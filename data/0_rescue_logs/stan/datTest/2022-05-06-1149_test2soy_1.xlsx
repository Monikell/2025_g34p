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<sst xmlns="http://schemas.openxmlformats.org/spreadsheetml/2006/main" count="17259" uniqueCount="1391">
  <si>
    <t>File opened</t>
  </si>
  <si>
    <t>2022-05-06 14:10:09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</si>
  <si>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</si>
  <si>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</si>
  <si>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</si>
  <si>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</si>
  <si>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</si>
  <si>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</si>
  <si>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</si>
  <si>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</si>
  <si>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</si>
  <si>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</si>
  <si>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</si>
  <si>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</si>
  <si>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</si>
  <si>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Fri May  6 10:48</t>
  </si>
  <si>
    <t>H2O rangematch</t>
  </si>
  <si>
    <t>Fri May  6 10:54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</si>
  <si>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</si>
  <si>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</si>
  <si>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</si>
  <si>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</si>
  <si>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</si>
  <si>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</si>
  <si>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</si>
  <si>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</si>
  <si>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</si>
  <si>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14:10:09</t>
  </si>
  <si>
    <t>Stability Definition:	ΔCO2 (Meas2): Per=20	ΔH2O (Meas2): Per=20	state (FlrLS): Per=15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</si>
  <si>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</si>
  <si>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</si>
  <si>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</si>
  <si>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</si>
  <si>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</si>
  <si>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</si>
  <si>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</si>
  <si>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</si>
  <si>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</si>
  <si>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</si>
  <si>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</si>
  <si>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</si>
  <si>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</si>
  <si>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</si>
  <si>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</si>
  <si>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</si>
  <si>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</si>
  <si>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</si>
  <si>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</si>
  <si>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</si>
  <si>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</si>
  <si>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</si>
  <si>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</si>
  <si>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</si>
  <si>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</si>
  <si>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</si>
  <si>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</si>
  <si>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</si>
  <si>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</si>
  <si>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</si>
  <si>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</si>
  <si>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</si>
  <si>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</si>
  <si>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</si>
  <si>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</si>
  <si>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</si>
  <si>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</si>
  <si>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</si>
  <si>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</si>
  <si>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</si>
  <si>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</si>
  <si>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</si>
  <si>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</si>
  <si>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</si>
  <si>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</si>
  <si>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</si>
  <si>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</si>
  <si>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</si>
  <si>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</si>
  <si>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</si>
  <si>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</si>
  <si>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1.66575 75.4165 378.835 630.981 884.239 1090.98 1270.16 1439.25</t>
  </si>
  <si>
    <t>Fs_true</t>
  </si>
  <si>
    <t>0.256044 101.256 401.223 602.103 801.595 1001.05 1201.02 1400.71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</si>
  <si>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</si>
  <si>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</si>
  <si>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</si>
  <si>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</si>
  <si>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</si>
  <si>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</si>
  <si>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</si>
  <si>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</si>
  <si>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</si>
  <si>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</si>
  <si>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</si>
  <si>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</si>
  <si>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</si>
  <si>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</si>
  <si>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</si>
  <si>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</si>
  <si>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</si>
  <si>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</si>
  <si>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</si>
  <si>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</si>
  <si>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</si>
  <si>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</si>
  <si>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</si>
  <si>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</si>
  <si>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</si>
  <si>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</si>
  <si>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</si>
  <si>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</si>
  <si>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</si>
  <si>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</si>
  <si>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</si>
  <si>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</si>
  <si>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</si>
  <si>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</si>
  <si>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</si>
  <si>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</si>
  <si>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</si>
  <si>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</si>
  <si>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</si>
  <si>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</si>
  <si>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</si>
  <si>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</si>
  <si>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</si>
  <si>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</si>
  <si>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</si>
  <si>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</si>
  <si>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</si>
  <si>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</si>
  <si>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</si>
  <si>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</si>
  <si>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</si>
  <si>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</si>
  <si>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</si>
  <si>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</si>
  <si>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</si>
  <si>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</si>
  <si>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</si>
  <si>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</si>
  <si>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</si>
  <si>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</si>
  <si>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</si>
  <si>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</si>
  <si>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</si>
  <si>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</si>
  <si>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</si>
  <si>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</si>
  <si>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</si>
  <si>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</si>
  <si>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</si>
  <si>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</si>
  <si>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</si>
  <si>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</si>
  <si>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</si>
  <si>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</si>
  <si>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</si>
  <si>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</si>
  <si>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</si>
  <si>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</si>
  <si>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</si>
  <si>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</si>
  <si>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</si>
  <si>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</si>
  <si>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</si>
  <si>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</si>
  <si>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</si>
  <si>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</si>
  <si>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</si>
  <si>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</si>
  <si>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</si>
  <si>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</si>
  <si>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</si>
  <si>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</si>
  <si>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</si>
  <si>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</si>
  <si>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</si>
  <si>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</si>
  <si>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</si>
  <si>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</si>
  <si>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</si>
  <si>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</si>
  <si>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</si>
  <si>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</si>
  <si>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</si>
  <si>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</si>
  <si>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</si>
  <si>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</si>
  <si>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</si>
  <si>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</si>
  <si>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</si>
  <si>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</si>
  <si>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</si>
  <si>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</si>
  <si>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</si>
  <si>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</si>
  <si>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</si>
  <si>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</si>
  <si>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</si>
  <si>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</si>
  <si>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</si>
  <si>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</si>
  <si>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</si>
  <si>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</si>
  <si>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</si>
  <si>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</si>
  <si>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</si>
  <si>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</si>
  <si>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</si>
  <si>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</si>
  <si>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</si>
  <si>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</si>
  <si>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</si>
  <si>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</si>
  <si>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</si>
  <si>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</si>
  <si>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</si>
  <si>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</si>
  <si>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</si>
  <si>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</si>
  <si>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</si>
  <si>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</si>
  <si>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</si>
  <si>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</si>
  <si>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</si>
  <si>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</si>
  <si>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</si>
  <si>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</si>
  <si>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</si>
  <si>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</si>
  <si>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</si>
  <si>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</si>
  <si>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</si>
  <si>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</si>
  <si>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</si>
  <si>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</si>
  <si>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</si>
  <si>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</si>
  <si>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</si>
  <si>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</si>
  <si>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</si>
  <si>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</si>
  <si>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</si>
  <si>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</si>
  <si>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</si>
  <si>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</si>
  <si>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</si>
  <si>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</si>
  <si>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</si>
  <si>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</si>
  <si>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</si>
  <si>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</si>
  <si>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</si>
  <si>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</si>
  <si>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</si>
  <si>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</si>
  <si>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</si>
  <si>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</si>
  <si>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</si>
  <si>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</si>
  <si>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</si>
  <si>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</si>
  <si>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</si>
  <si>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</si>
  <si>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</si>
  <si>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</si>
  <si>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</si>
  <si>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</si>
  <si>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</si>
  <si>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</si>
  <si>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</si>
  <si>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</si>
  <si>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</si>
  <si>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</si>
  <si>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</si>
  <si>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</si>
  <si>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</si>
  <si>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</si>
  <si>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</si>
  <si>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</si>
  <si>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</si>
  <si>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</si>
  <si>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</si>
  <si>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</si>
  <si>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</si>
  <si>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</si>
  <si>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</si>
  <si>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</si>
  <si>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</si>
  <si>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</si>
  <si>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</si>
  <si>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</si>
  <si>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</si>
  <si>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</si>
  <si>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</si>
  <si>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</si>
  <si>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</si>
  <si>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</si>
  <si>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</si>
  <si>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</si>
  <si>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</si>
  <si>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</si>
  <si>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</si>
  <si>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</si>
  <si>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</si>
  <si>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</si>
  <si>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</si>
  <si>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</si>
  <si>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</si>
  <si>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</si>
  <si>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</si>
  <si>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</si>
  <si>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</si>
  <si>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</si>
  <si>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</si>
  <si>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</si>
  <si>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</si>
  <si>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</si>
  <si>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</si>
  <si>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</si>
  <si>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</si>
  <si>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</si>
  <si>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</si>
  <si>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</si>
  <si>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</si>
  <si>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</si>
  <si>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</si>
  <si>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</si>
  <si>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</si>
  <si>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</si>
  <si>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</si>
  <si>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</si>
  <si>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</si>
  <si>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</si>
  <si>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</si>
  <si>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</si>
  <si>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</si>
  <si>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</si>
  <si>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</si>
  <si>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</si>
  <si>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</si>
  <si>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</si>
  <si>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</si>
  <si>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</si>
  <si>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</si>
  <si>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</si>
  <si>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</si>
  <si>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</si>
  <si>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</si>
  <si>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</si>
  <si>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</si>
  <si>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</si>
  <si>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</si>
  <si>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</si>
  <si>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</si>
  <si>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</si>
  <si>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</si>
  <si>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</si>
  <si>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</si>
  <si>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</si>
  <si>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</si>
  <si>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</si>
  <si>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</si>
  <si>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</si>
  <si>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</si>
  <si>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</si>
  <si>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</si>
  <si>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</si>
  <si>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</si>
  <si>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</si>
  <si>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</si>
  <si>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</si>
  <si>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</si>
  <si>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</si>
  <si>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</si>
  <si>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</si>
  <si>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</si>
  <si>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</si>
  <si>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</si>
  <si>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</si>
  <si>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</si>
  <si>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</si>
  <si>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</si>
  <si>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</si>
  <si>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</si>
  <si>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</si>
  <si>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</si>
  <si>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</si>
  <si>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</si>
  <si>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</si>
  <si>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</si>
  <si>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</si>
  <si>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</si>
  <si>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</si>
  <si>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</si>
  <si>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</si>
  <si>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</si>
  <si>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</si>
  <si>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</si>
  <si>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</si>
  <si>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</si>
  <si>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</si>
  <si>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</si>
  <si>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</si>
  <si>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</si>
  <si>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</si>
  <si>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</si>
  <si>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</si>
  <si>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</si>
  <si>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</si>
  <si>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20220506 14:10:20</t>
  </si>
  <si>
    <t>14:10:20</t>
  </si>
  <si>
    <t>dynamic_rampdown_try2</t>
  </si>
  <si>
    <t>stan</t>
  </si>
  <si>
    <t>RECT-1216-20220504-15_55_11</t>
  </si>
  <si>
    <t>MPF-1248-20220506-14_10_15</t>
  </si>
  <si>
    <t>-</t>
  </si>
  <si>
    <t>0: Broadleaf</t>
  </si>
  <si>
    <t>14:11:01</t>
  </si>
  <si>
    <t>0/0</t>
  </si>
  <si>
    <t>00000000</t>
  </si>
  <si>
    <t>iiiiiiii</t>
  </si>
  <si>
    <t>off</t>
  </si>
  <si>
    <t>20220506 14:13:22</t>
  </si>
  <si>
    <t>14:13:22</t>
  </si>
  <si>
    <t>20220506 14:13:24</t>
  </si>
  <si>
    <t>14:13:24</t>
  </si>
  <si>
    <t>20220506 14:13:26</t>
  </si>
  <si>
    <t>14:13:26</t>
  </si>
  <si>
    <t>20220506 14:13:28</t>
  </si>
  <si>
    <t>14:13:28</t>
  </si>
  <si>
    <t>20220506 14:13:30</t>
  </si>
  <si>
    <t>14:13:30</t>
  </si>
  <si>
    <t>20220506 14:13:32</t>
  </si>
  <si>
    <t>14:13:32</t>
  </si>
  <si>
    <t>20220506 14:13:34</t>
  </si>
  <si>
    <t>14:13:34</t>
  </si>
  <si>
    <t>20220506 14:13:36</t>
  </si>
  <si>
    <t>14:13:36</t>
  </si>
  <si>
    <t>20220506 14:13:38</t>
  </si>
  <si>
    <t>14:13:38</t>
  </si>
  <si>
    <t>20220506 14:13:40</t>
  </si>
  <si>
    <t>14:13:40</t>
  </si>
  <si>
    <t>20220506 14:13:42</t>
  </si>
  <si>
    <t>14:13:42</t>
  </si>
  <si>
    <t>20220506 14:13:44</t>
  </si>
  <si>
    <t>14:13:44</t>
  </si>
  <si>
    <t>20220506 14:13:46</t>
  </si>
  <si>
    <t>14:13:46</t>
  </si>
  <si>
    <t>20220506 14:13:48</t>
  </si>
  <si>
    <t>14:13:48</t>
  </si>
  <si>
    <t>20220506 14:13:50</t>
  </si>
  <si>
    <t>14:13:50</t>
  </si>
  <si>
    <t>20220506 14:13:52</t>
  </si>
  <si>
    <t>14:13:52</t>
  </si>
  <si>
    <t>20220506 14:13:54</t>
  </si>
  <si>
    <t>14:13:54</t>
  </si>
  <si>
    <t>20220506 14:13:56</t>
  </si>
  <si>
    <t>14:13:56</t>
  </si>
  <si>
    <t>20220506 14:13:58</t>
  </si>
  <si>
    <t>14:13:58</t>
  </si>
  <si>
    <t>20220506 14:14:00</t>
  </si>
  <si>
    <t>14:14:00</t>
  </si>
  <si>
    <t>20220506 14:14:02</t>
  </si>
  <si>
    <t>14:14:02</t>
  </si>
  <si>
    <t>20220506 14:14:04</t>
  </si>
  <si>
    <t>14:14:04</t>
  </si>
  <si>
    <t>20220506 14:14:06</t>
  </si>
  <si>
    <t>14:14:06</t>
  </si>
  <si>
    <t>20220506 14:14:08</t>
  </si>
  <si>
    <t>14:14:08</t>
  </si>
  <si>
    <t>20220506 14:14:10</t>
  </si>
  <si>
    <t>14:14:10</t>
  </si>
  <si>
    <t>20220506 14:14:12</t>
  </si>
  <si>
    <t>14:14:12</t>
  </si>
  <si>
    <t>20220506 14:14:14</t>
  </si>
  <si>
    <t>14:14:14</t>
  </si>
  <si>
    <t>20220506 14:14:16</t>
  </si>
  <si>
    <t>14:14:16</t>
  </si>
  <si>
    <t>20220506 14:14:18</t>
  </si>
  <si>
    <t>14:14:18</t>
  </si>
  <si>
    <t>20220506 14:14:20</t>
  </si>
  <si>
    <t>14:14:20</t>
  </si>
  <si>
    <t>20220506 14:14:22</t>
  </si>
  <si>
    <t>14:14:22</t>
  </si>
  <si>
    <t>20220506 14:14:24</t>
  </si>
  <si>
    <t>14:14:24</t>
  </si>
  <si>
    <t>20220506 14:14:26</t>
  </si>
  <si>
    <t>14:14:26</t>
  </si>
  <si>
    <t>20220506 14:14:28</t>
  </si>
  <si>
    <t>14:14:28</t>
  </si>
  <si>
    <t>20220506 14:14:30</t>
  </si>
  <si>
    <t>14:14:30</t>
  </si>
  <si>
    <t>20220506 14:14:32</t>
  </si>
  <si>
    <t>14:14:32</t>
  </si>
  <si>
    <t>20220506 14:14:34</t>
  </si>
  <si>
    <t>14:14:34</t>
  </si>
  <si>
    <t>20220506 14:14:36</t>
  </si>
  <si>
    <t>14:14:36</t>
  </si>
  <si>
    <t>20220506 14:14:38</t>
  </si>
  <si>
    <t>14:14:38</t>
  </si>
  <si>
    <t>20220506 14:14:40</t>
  </si>
  <si>
    <t>14:14:40</t>
  </si>
  <si>
    <t>20220506 14:14:42</t>
  </si>
  <si>
    <t>14:14:42</t>
  </si>
  <si>
    <t>20220506 14:14:44</t>
  </si>
  <si>
    <t>14:14:44</t>
  </si>
  <si>
    <t>20220506 14:14:46</t>
  </si>
  <si>
    <t>14:14:46</t>
  </si>
  <si>
    <t>20220506 14:14:48</t>
  </si>
  <si>
    <t>14:14:48</t>
  </si>
  <si>
    <t>20220506 14:14:50</t>
  </si>
  <si>
    <t>14:14:50</t>
  </si>
  <si>
    <t>20220506 14:14:52</t>
  </si>
  <si>
    <t>14:14:52</t>
  </si>
  <si>
    <t>20220506 14:14:54</t>
  </si>
  <si>
    <t>14:14:54</t>
  </si>
  <si>
    <t>20220506 14:14:56</t>
  </si>
  <si>
    <t>14:14:56</t>
  </si>
  <si>
    <t>20220506 14:14:58</t>
  </si>
  <si>
    <t>14:14:58</t>
  </si>
  <si>
    <t>20220506 14:15:00</t>
  </si>
  <si>
    <t>14:15:00</t>
  </si>
  <si>
    <t>20220506 14:15:02</t>
  </si>
  <si>
    <t>14:15:02</t>
  </si>
  <si>
    <t>20220506 14:15:04</t>
  </si>
  <si>
    <t>14:15:04</t>
  </si>
  <si>
    <t>20220506 14:15:06</t>
  </si>
  <si>
    <t>14:15:06</t>
  </si>
  <si>
    <t>20220506 14:15:08</t>
  </si>
  <si>
    <t>14:15:08</t>
  </si>
  <si>
    <t>20220506 14:15:10</t>
  </si>
  <si>
    <t>14:15:10</t>
  </si>
  <si>
    <t>20220506 14:15:12</t>
  </si>
  <si>
    <t>14:15:12</t>
  </si>
  <si>
    <t>20220506 14:15:14</t>
  </si>
  <si>
    <t>14:15:14</t>
  </si>
  <si>
    <t>20220506 14:15:16</t>
  </si>
  <si>
    <t>14:15:16</t>
  </si>
  <si>
    <t>20220506 14:15:18</t>
  </si>
  <si>
    <t>14:15:18</t>
  </si>
  <si>
    <t>20220506 14:15:20</t>
  </si>
  <si>
    <t>14:15:20</t>
  </si>
  <si>
    <t>20220506 14:15:22</t>
  </si>
  <si>
    <t>14:15:22</t>
  </si>
  <si>
    <t>20220506 14:15:24</t>
  </si>
  <si>
    <t>14:15:24</t>
  </si>
  <si>
    <t>20220506 14:15:26</t>
  </si>
  <si>
    <t>14:15:26</t>
  </si>
  <si>
    <t>20220506 14:15:28</t>
  </si>
  <si>
    <t>14:15:28</t>
  </si>
  <si>
    <t>20220506 14:15:30</t>
  </si>
  <si>
    <t>14:15:30</t>
  </si>
  <si>
    <t>20220506 14:15:32</t>
  </si>
  <si>
    <t>14:15:32</t>
  </si>
  <si>
    <t>20220506 14:15:34</t>
  </si>
  <si>
    <t>14:15:34</t>
  </si>
  <si>
    <t>20220506 14:15:36</t>
  </si>
  <si>
    <t>14:15:36</t>
  </si>
  <si>
    <t>20220506 14:15:38</t>
  </si>
  <si>
    <t>14:15:38</t>
  </si>
  <si>
    <t>20220506 14:15:40</t>
  </si>
  <si>
    <t>14:15:40</t>
  </si>
  <si>
    <t>20220506 14:15:42</t>
  </si>
  <si>
    <t>14:15:42</t>
  </si>
  <si>
    <t>20220506 14:15:44</t>
  </si>
  <si>
    <t>14:15:44</t>
  </si>
  <si>
    <t>20220506 14:15:46</t>
  </si>
  <si>
    <t>14:15:46</t>
  </si>
  <si>
    <t>20220506 14:15:48</t>
  </si>
  <si>
    <t>14:15:48</t>
  </si>
  <si>
    <t>20220506 14:15:50</t>
  </si>
  <si>
    <t>14:15:50</t>
  </si>
  <si>
    <t>20220506 14:15:52</t>
  </si>
  <si>
    <t>14:15:52</t>
  </si>
  <si>
    <t>20220506 14:15:54</t>
  </si>
  <si>
    <t>14:15:54</t>
  </si>
  <si>
    <t>20220506 14:15:56</t>
  </si>
  <si>
    <t>14:15:56</t>
  </si>
  <si>
    <t>20220506 14:15:58</t>
  </si>
  <si>
    <t>14:15:58</t>
  </si>
  <si>
    <t>20220506 14:16:00</t>
  </si>
  <si>
    <t>14:16:00</t>
  </si>
  <si>
    <t>20220506 14:16:02</t>
  </si>
  <si>
    <t>14:16:02</t>
  </si>
  <si>
    <t>20220506 14:16:04</t>
  </si>
  <si>
    <t>14:16:04</t>
  </si>
  <si>
    <t>20220506 14:16:06</t>
  </si>
  <si>
    <t>14:16:06</t>
  </si>
  <si>
    <t>20220506 14:16:08</t>
  </si>
  <si>
    <t>14:16:08</t>
  </si>
  <si>
    <t>20220506 14:16:10</t>
  </si>
  <si>
    <t>14:16:10</t>
  </si>
  <si>
    <t>20220506 14:16:12</t>
  </si>
  <si>
    <t>14:16:12</t>
  </si>
  <si>
    <t>20220506 14:16:14</t>
  </si>
  <si>
    <t>14:16:14</t>
  </si>
  <si>
    <t>20220506 14:16:16</t>
  </si>
  <si>
    <t>14:16:16</t>
  </si>
  <si>
    <t>20220506 14:16:18</t>
  </si>
  <si>
    <t>14:16:18</t>
  </si>
  <si>
    <t>20220506 14:16:20</t>
  </si>
  <si>
    <t>14:16:20</t>
  </si>
  <si>
    <t>20220506 14:16:22</t>
  </si>
  <si>
    <t>14:16:22</t>
  </si>
  <si>
    <t>20220506 14:16:24</t>
  </si>
  <si>
    <t>14:16:24</t>
  </si>
  <si>
    <t>20220506 14:16:26</t>
  </si>
  <si>
    <t>14:16:26</t>
  </si>
  <si>
    <t>20220506 14:16:28</t>
  </si>
  <si>
    <t>14:16:28</t>
  </si>
  <si>
    <t>20220506 14:16:30</t>
  </si>
  <si>
    <t>14:16:30</t>
  </si>
  <si>
    <t>20220506 14:16:32</t>
  </si>
  <si>
    <t>14:16:32</t>
  </si>
  <si>
    <t>20220506 14:16:34</t>
  </si>
  <si>
    <t>14:16:34</t>
  </si>
  <si>
    <t>20220506 14:16:36</t>
  </si>
  <si>
    <t>14:16:36</t>
  </si>
  <si>
    <t>20220506 14:16:38</t>
  </si>
  <si>
    <t>14:16:38</t>
  </si>
  <si>
    <t>20220506 14:16:40</t>
  </si>
  <si>
    <t>14:16:40</t>
  </si>
  <si>
    <t>20220506 14:16:42</t>
  </si>
  <si>
    <t>14:16:42</t>
  </si>
  <si>
    <t>20220506 14:16:44</t>
  </si>
  <si>
    <t>14:16:44</t>
  </si>
  <si>
    <t>20220506 14:16:46</t>
  </si>
  <si>
    <t>14:16:46</t>
  </si>
  <si>
    <t>20220506 14:16:48</t>
  </si>
  <si>
    <t>14:16:48</t>
  </si>
  <si>
    <t>20220506 14:16:50</t>
  </si>
  <si>
    <t>14:16:50</t>
  </si>
  <si>
    <t>20220506 14:16:52</t>
  </si>
  <si>
    <t>14:16:52</t>
  </si>
  <si>
    <t>20220506 14:16:54</t>
  </si>
  <si>
    <t>14:16:54</t>
  </si>
  <si>
    <t>20220506 14:16:56</t>
  </si>
  <si>
    <t>14:16:56</t>
  </si>
  <si>
    <t>20220506 14:16:58</t>
  </si>
  <si>
    <t>14:16:58</t>
  </si>
  <si>
    <t>20220506 14:16:59</t>
  </si>
  <si>
    <t>14:16:59</t>
  </si>
  <si>
    <t>20220506 14:17:01</t>
  </si>
  <si>
    <t>14:17:01</t>
  </si>
  <si>
    <t>20220506 14:17:03</t>
  </si>
  <si>
    <t>14:17:03</t>
  </si>
  <si>
    <t>20220506 14:17:05</t>
  </si>
  <si>
    <t>14:17:05</t>
  </si>
  <si>
    <t>20220506 14:17:07</t>
  </si>
  <si>
    <t>14:17:07</t>
  </si>
  <si>
    <t>20220506 14:17:09</t>
  </si>
  <si>
    <t>14:17:09</t>
  </si>
  <si>
    <t>20220506 14:17:11</t>
  </si>
  <si>
    <t>14:17:11</t>
  </si>
  <si>
    <t>20220506 14:17:13</t>
  </si>
  <si>
    <t>14:17:13</t>
  </si>
  <si>
    <t>20220506 14:17:15</t>
  </si>
  <si>
    <t>14:17:15</t>
  </si>
  <si>
    <t>20220506 14:17:17</t>
  </si>
  <si>
    <t>14:17:17</t>
  </si>
  <si>
    <t>20220506 14:17:19</t>
  </si>
  <si>
    <t>14:17:19</t>
  </si>
  <si>
    <t>20220506 14:17:21</t>
  </si>
  <si>
    <t>14:17:21</t>
  </si>
  <si>
    <t>20220506 14:17:23</t>
  </si>
  <si>
    <t>14:17:23</t>
  </si>
  <si>
    <t>20220506 14:17:25</t>
  </si>
  <si>
    <t>14:17:25</t>
  </si>
  <si>
    <t>20220506 14:17:27</t>
  </si>
  <si>
    <t>14:17:27</t>
  </si>
  <si>
    <t>20220506 14:17:29</t>
  </si>
  <si>
    <t>14:17:29</t>
  </si>
  <si>
    <t>20220506 14:17:31</t>
  </si>
  <si>
    <t>14:17:31</t>
  </si>
  <si>
    <t>20220506 14:17:33</t>
  </si>
  <si>
    <t>14:17:33</t>
  </si>
  <si>
    <t>20220506 14:17:35</t>
  </si>
  <si>
    <t>14:17:35</t>
  </si>
  <si>
    <t>20220506 14:17:37</t>
  </si>
  <si>
    <t>14:17:37</t>
  </si>
  <si>
    <t>20220506 14:17:39</t>
  </si>
  <si>
    <t>14:17:39</t>
  </si>
  <si>
    <t>20220506 14:17:41</t>
  </si>
  <si>
    <t>14:17:41</t>
  </si>
  <si>
    <t>20220506 14:17:43</t>
  </si>
  <si>
    <t>14:17:43</t>
  </si>
  <si>
    <t>20220506 14:17:45</t>
  </si>
  <si>
    <t>14:17:45</t>
  </si>
  <si>
    <t>20220506 14:17:47</t>
  </si>
  <si>
    <t>14:17:47</t>
  </si>
  <si>
    <t>20220506 14:17:49</t>
  </si>
  <si>
    <t>14:17:49</t>
  </si>
  <si>
    <t>20220506 14:17:51</t>
  </si>
  <si>
    <t>14:17:51</t>
  </si>
  <si>
    <t>20220506 14:17:53</t>
  </si>
  <si>
    <t>14:17:53</t>
  </si>
  <si>
    <t>20220506 14:17:55</t>
  </si>
  <si>
    <t>14:17:55</t>
  </si>
  <si>
    <t>20220506 14:17:57</t>
  </si>
  <si>
    <t>14:17:57</t>
  </si>
  <si>
    <t>20220506 14:17:59</t>
  </si>
  <si>
    <t>14:17:59</t>
  </si>
  <si>
    <t>20220506 14:18:01</t>
  </si>
  <si>
    <t>14:18:01</t>
  </si>
  <si>
    <t>20220506 14:18:03</t>
  </si>
  <si>
    <t>14:18:03</t>
  </si>
  <si>
    <t>20220506 14:18:05</t>
  </si>
  <si>
    <t>14:18:05</t>
  </si>
  <si>
    <t>20220506 14:18:07</t>
  </si>
  <si>
    <t>14:18:07</t>
  </si>
  <si>
    <t>20220506 14:18:09</t>
  </si>
  <si>
    <t>14:18:09</t>
  </si>
  <si>
    <t>20220506 14:18:11</t>
  </si>
  <si>
    <t>14:18:11</t>
  </si>
  <si>
    <t>20220506 14:18:13</t>
  </si>
  <si>
    <t>14:18:13</t>
  </si>
  <si>
    <t>20220506 14:18:15</t>
  </si>
  <si>
    <t>14:18:15</t>
  </si>
  <si>
    <t>20220506 14:18:17</t>
  </si>
  <si>
    <t>14:18:17</t>
  </si>
  <si>
    <t>20220506 14:18:19</t>
  </si>
  <si>
    <t>14:18:19</t>
  </si>
  <si>
    <t>20220506 14:18:21</t>
  </si>
  <si>
    <t>14:18:21</t>
  </si>
  <si>
    <t>20220506 14:18:23</t>
  </si>
  <si>
    <t>14:18:23</t>
  </si>
  <si>
    <t>20220506 14:18:25</t>
  </si>
  <si>
    <t>14:18:25</t>
  </si>
  <si>
    <t>20220506 14:18:27</t>
  </si>
  <si>
    <t>14:18:27</t>
  </si>
  <si>
    <t>20220506 14:18:29</t>
  </si>
  <si>
    <t>14:18:29</t>
  </si>
  <si>
    <t>20220506 14:18:31</t>
  </si>
  <si>
    <t>14:18:31</t>
  </si>
  <si>
    <t>20220506 14:18:33</t>
  </si>
  <si>
    <t>14:18:33</t>
  </si>
  <si>
    <t>20220506 14:18:35</t>
  </si>
  <si>
    <t>14:18:35</t>
  </si>
  <si>
    <t>20220506 14:18:37</t>
  </si>
  <si>
    <t>14:18:37</t>
  </si>
  <si>
    <t>20220506 14:18:39</t>
  </si>
  <si>
    <t>14:18:39</t>
  </si>
  <si>
    <t>20220506 14:18:41</t>
  </si>
  <si>
    <t>14:18:41</t>
  </si>
  <si>
    <t>20220506 14:18:43</t>
  </si>
  <si>
    <t>14:18:43</t>
  </si>
  <si>
    <t>20220506 14:18:45</t>
  </si>
  <si>
    <t>14:18:45</t>
  </si>
  <si>
    <t>20220506 14:18:47</t>
  </si>
  <si>
    <t>14:18:47</t>
  </si>
  <si>
    <t>20220506 14:18:49</t>
  </si>
  <si>
    <t>14:18:49</t>
  </si>
  <si>
    <t>20220506 14:18:51</t>
  </si>
  <si>
    <t>14:18:51</t>
  </si>
  <si>
    <t>20220506 14:18:53</t>
  </si>
  <si>
    <t>14:18:53</t>
  </si>
  <si>
    <t>20220506 14:18:55</t>
  </si>
  <si>
    <t>14:18:55</t>
  </si>
  <si>
    <t>20220506 14:18:57</t>
  </si>
  <si>
    <t>14:18:57</t>
  </si>
  <si>
    <t>20220506 14:18:59</t>
  </si>
  <si>
    <t>14:18:59</t>
  </si>
  <si>
    <t>20220506 14:19:01</t>
  </si>
  <si>
    <t>14:19:01</t>
  </si>
  <si>
    <t>20220506 14:19:03</t>
  </si>
  <si>
    <t>14:19:03</t>
  </si>
  <si>
    <t>20220506 14:19:05</t>
  </si>
  <si>
    <t>14:19:05</t>
  </si>
  <si>
    <t>20220506 14:19:07</t>
  </si>
  <si>
    <t>14:19:07</t>
  </si>
  <si>
    <t>20220506 14:19:09</t>
  </si>
  <si>
    <t>14:19:09</t>
  </si>
  <si>
    <t>20220506 14:19:11</t>
  </si>
  <si>
    <t>14:19:11</t>
  </si>
  <si>
    <t>20220506 14:19:13</t>
  </si>
  <si>
    <t>14:19:13</t>
  </si>
  <si>
    <t>20220506 14:19:15</t>
  </si>
  <si>
    <t>14:19:15</t>
  </si>
  <si>
    <t>20220506 14:19:17</t>
  </si>
  <si>
    <t>14:19:17</t>
  </si>
  <si>
    <t>20220506 14:19:19</t>
  </si>
  <si>
    <t>14:19:19</t>
  </si>
  <si>
    <t>20220506 14:19:21</t>
  </si>
  <si>
    <t>14:19:21</t>
  </si>
  <si>
    <t>20220506 14:19:23</t>
  </si>
  <si>
    <t>14:19:23</t>
  </si>
  <si>
    <t>20220506 14:19:25</t>
  </si>
  <si>
    <t>14:19:25</t>
  </si>
  <si>
    <t>20220506 14:19:27</t>
  </si>
  <si>
    <t>14:19:27</t>
  </si>
  <si>
    <t>20220506 14:19:29</t>
  </si>
  <si>
    <t>14:19:29</t>
  </si>
  <si>
    <t>20220506 14:19:31</t>
  </si>
  <si>
    <t>14:19:31</t>
  </si>
  <si>
    <t>20220506 14:19:33</t>
  </si>
  <si>
    <t>14:19:33</t>
  </si>
  <si>
    <t>20220506 14:19:35</t>
  </si>
  <si>
    <t>14:19:35</t>
  </si>
  <si>
    <t>20220506 14:19:37</t>
  </si>
  <si>
    <t>14:19:37</t>
  </si>
  <si>
    <t>20220506 14:19:39</t>
  </si>
  <si>
    <t>14:19:39</t>
  </si>
  <si>
    <t>20220506 14:19:41</t>
  </si>
  <si>
    <t>14:19:41</t>
  </si>
  <si>
    <t>20220506 14:19:43</t>
  </si>
  <si>
    <t>14:19:43</t>
  </si>
  <si>
    <t>20220506 14:19:45</t>
  </si>
  <si>
    <t>14:19:45</t>
  </si>
  <si>
    <t>20220506 14:19:47</t>
  </si>
  <si>
    <t>14:19:47</t>
  </si>
  <si>
    <t>20220506 14:19:49</t>
  </si>
  <si>
    <t>14:19:49</t>
  </si>
  <si>
    <t>20220506 14:19:51</t>
  </si>
  <si>
    <t>14:19:51</t>
  </si>
  <si>
    <t>20220506 14:19:53</t>
  </si>
  <si>
    <t>14:19:53</t>
  </si>
  <si>
    <t>20220506 14:19:55</t>
  </si>
  <si>
    <t>14:19:55</t>
  </si>
  <si>
    <t>20220506 14:19:57</t>
  </si>
  <si>
    <t>14:19:57</t>
  </si>
  <si>
    <t>20220506 14:19:59</t>
  </si>
  <si>
    <t>14:19:59</t>
  </si>
  <si>
    <t>20220506 14:20:01</t>
  </si>
  <si>
    <t>14:20:01</t>
  </si>
  <si>
    <t>20220506 14:20:03</t>
  </si>
  <si>
    <t>14:20:03</t>
  </si>
  <si>
    <t>20220506 14:20:05</t>
  </si>
  <si>
    <t>14:20:05</t>
  </si>
  <si>
    <t>20220506 14:20:07</t>
  </si>
  <si>
    <t>14:20:07</t>
  </si>
  <si>
    <t>20220506 14:20:09</t>
  </si>
  <si>
    <t>14:20:09</t>
  </si>
  <si>
    <t>20220506 14:20:11</t>
  </si>
  <si>
    <t>14:20:11</t>
  </si>
  <si>
    <t>20220506 14:20:13</t>
  </si>
  <si>
    <t>14:20:13</t>
  </si>
  <si>
    <t>20220506 14:20:15</t>
  </si>
  <si>
    <t>14:20:15</t>
  </si>
  <si>
    <t>20220506 14:20:17</t>
  </si>
  <si>
    <t>14:20:17</t>
  </si>
  <si>
    <t>20220506 14:20:19</t>
  </si>
  <si>
    <t>14:20:19</t>
  </si>
  <si>
    <t>20220506 14:20:21</t>
  </si>
  <si>
    <t>14:20:21</t>
  </si>
  <si>
    <t>20220506 14:20:23</t>
  </si>
  <si>
    <t>14:20:23</t>
  </si>
  <si>
    <t>20220506 14:20:25</t>
  </si>
  <si>
    <t>14:20:25</t>
  </si>
  <si>
    <t>20220506 14:20:27</t>
  </si>
  <si>
    <t>14:20:27</t>
  </si>
  <si>
    <t>20220506 14:20:29</t>
  </si>
  <si>
    <t>14:20:29</t>
  </si>
  <si>
    <t>20220506 14:20:31</t>
  </si>
  <si>
    <t>14:20:31</t>
  </si>
  <si>
    <t>20220506 14:20:33</t>
  </si>
  <si>
    <t>14:20:33</t>
  </si>
  <si>
    <t>20220506 14:20:35</t>
  </si>
  <si>
    <t>14:20:35</t>
  </si>
  <si>
    <t>20220506 14:20:37</t>
  </si>
  <si>
    <t>14:20:37</t>
  </si>
  <si>
    <t>20220506 14:20:39</t>
  </si>
  <si>
    <t>14:20:39</t>
  </si>
  <si>
    <t>20220506 14:20:41</t>
  </si>
  <si>
    <t>14:20:41</t>
  </si>
  <si>
    <t>20220506 14:20:43</t>
  </si>
  <si>
    <t>14:20:43</t>
  </si>
  <si>
    <t>20220506 14:20:45</t>
  </si>
  <si>
    <t>14:20:45</t>
  </si>
  <si>
    <t>20220506 14:20:47</t>
  </si>
  <si>
    <t>14:20:47</t>
  </si>
  <si>
    <t>20220506 14:20:49</t>
  </si>
  <si>
    <t>14:20:49</t>
  </si>
  <si>
    <t>20220506 14:20:51</t>
  </si>
  <si>
    <t>14:20:51</t>
  </si>
  <si>
    <t>20220506 14:20:53</t>
  </si>
  <si>
    <t>14:20:53</t>
  </si>
  <si>
    <t>20220506 14:20:55</t>
  </si>
  <si>
    <t>14:20:55</t>
  </si>
  <si>
    <t>20220506 14:20:57</t>
  </si>
  <si>
    <t>14:20:57</t>
  </si>
  <si>
    <t>20220506 14:20:59</t>
  </si>
  <si>
    <t>14:20:59</t>
  </si>
  <si>
    <t>20220506 14:21:01</t>
  </si>
  <si>
    <t>14:21:01</t>
  </si>
  <si>
    <t>20220506 14:21:03</t>
  </si>
  <si>
    <t>14:21:03</t>
  </si>
  <si>
    <t>20220506 14:21:05</t>
  </si>
  <si>
    <t>14:21:05</t>
  </si>
  <si>
    <t>20220506 14:21:07</t>
  </si>
  <si>
    <t>14:21:07</t>
  </si>
  <si>
    <t>20220506 14:21:09</t>
  </si>
  <si>
    <t>14:21:09</t>
  </si>
  <si>
    <t>20220506 14:21:11</t>
  </si>
  <si>
    <t>14:21:11</t>
  </si>
  <si>
    <t>20220506 14:21:13</t>
  </si>
  <si>
    <t>14:21:13</t>
  </si>
  <si>
    <t>20220506 14:21:15</t>
  </si>
  <si>
    <t>14:21:15</t>
  </si>
  <si>
    <t>20220506 14:21:17</t>
  </si>
  <si>
    <t>14:21:17</t>
  </si>
  <si>
    <t>20220506 14:21:19</t>
  </si>
  <si>
    <t>14:21:19</t>
  </si>
  <si>
    <t>20220506 14:21:20</t>
  </si>
  <si>
    <t>14:21:20</t>
  </si>
  <si>
    <t>20220506 14:31:22</t>
  </si>
  <si>
    <t>14:31:22</t>
  </si>
  <si>
    <t>dynamic_rampup</t>
  </si>
  <si>
    <t>MPF-1249-20220506-14_31_17</t>
  </si>
  <si>
    <t>14:31:58</t>
  </si>
  <si>
    <t>20220506 14:44:12</t>
  </si>
  <si>
    <t>14:44:12</t>
  </si>
  <si>
    <t>20220506 14:44:14</t>
  </si>
  <si>
    <t>14:44:14</t>
  </si>
  <si>
    <t>20220506 14:44:16</t>
  </si>
  <si>
    <t>14:44:16</t>
  </si>
  <si>
    <t>20220506 14:44:18</t>
  </si>
  <si>
    <t>14:44:18</t>
  </si>
  <si>
    <t>20220506 14:44:20</t>
  </si>
  <si>
    <t>14:44:20</t>
  </si>
  <si>
    <t>20220506 14:44:22</t>
  </si>
  <si>
    <t>14:44:22</t>
  </si>
  <si>
    <t>20220506 14:44:24</t>
  </si>
  <si>
    <t>14:44:24</t>
  </si>
  <si>
    <t>20220506 14:44:26</t>
  </si>
  <si>
    <t>14:44:26</t>
  </si>
  <si>
    <t>20220506 14:44:28</t>
  </si>
  <si>
    <t>14:44:28</t>
  </si>
  <si>
    <t>20220506 14:44:30</t>
  </si>
  <si>
    <t>14:44:30</t>
  </si>
  <si>
    <t>20220506 14:44:32</t>
  </si>
  <si>
    <t>14:44:32</t>
  </si>
  <si>
    <t>20220506 14:44:34</t>
  </si>
  <si>
    <t>14:44:34</t>
  </si>
  <si>
    <t>20220506 14:44:36</t>
  </si>
  <si>
    <t>14:44:36</t>
  </si>
  <si>
    <t>20220506 14:44:38</t>
  </si>
  <si>
    <t>14:44:38</t>
  </si>
  <si>
    <t>20220506 14:44:40</t>
  </si>
  <si>
    <t>14:44:40</t>
  </si>
  <si>
    <t>20220506 14:44:42</t>
  </si>
  <si>
    <t>14:44:42</t>
  </si>
  <si>
    <t>20220506 14:44:44</t>
  </si>
  <si>
    <t>14:44:44</t>
  </si>
  <si>
    <t>20220506 14:44:46</t>
  </si>
  <si>
    <t>14:44:46</t>
  </si>
  <si>
    <t>20220506 14:44:48</t>
  </si>
  <si>
    <t>14:44:48</t>
  </si>
  <si>
    <t>20220506 14:44:50</t>
  </si>
  <si>
    <t>14:44:50</t>
  </si>
  <si>
    <t>20220506 14:44:52</t>
  </si>
  <si>
    <t>14:44:52</t>
  </si>
  <si>
    <t>20220506 14:44:54</t>
  </si>
  <si>
    <t>14:44:54</t>
  </si>
  <si>
    <t>20220506 14:44:56</t>
  </si>
  <si>
    <t>14:44:56</t>
  </si>
  <si>
    <t>20220506 14:44:58</t>
  </si>
  <si>
    <t>14:44:58</t>
  </si>
  <si>
    <t>20220506 14:45:00</t>
  </si>
  <si>
    <t>14:45:00</t>
  </si>
  <si>
    <t>20220506 14:45:02</t>
  </si>
  <si>
    <t>14:45:02</t>
  </si>
  <si>
    <t>20220506 14:45:04</t>
  </si>
  <si>
    <t>14:45:04</t>
  </si>
  <si>
    <t>20220506 14:45:06</t>
  </si>
  <si>
    <t>14:45:06</t>
  </si>
  <si>
    <t>20220506 14:45:08</t>
  </si>
  <si>
    <t>14:45:08</t>
  </si>
  <si>
    <t>20220506 14:45:10</t>
  </si>
  <si>
    <t>14:45:10</t>
  </si>
  <si>
    <t>20220506 14:45:12</t>
  </si>
  <si>
    <t>14:45:12</t>
  </si>
  <si>
    <t>20220506 14:45:14</t>
  </si>
  <si>
    <t>14:45:14</t>
  </si>
  <si>
    <t>20220506 14:45:16</t>
  </si>
  <si>
    <t>14:45:16</t>
  </si>
  <si>
    <t>20220506 14:45:18</t>
  </si>
  <si>
    <t>14:45:18</t>
  </si>
  <si>
    <t>20220506 14:45:20</t>
  </si>
  <si>
    <t>14:45:20</t>
  </si>
  <si>
    <t>20220506 14:45:22</t>
  </si>
  <si>
    <t>14:45:22</t>
  </si>
  <si>
    <t>20220506 14:45:24</t>
  </si>
  <si>
    <t>14:45:24</t>
  </si>
  <si>
    <t>20220506 14:45:26</t>
  </si>
  <si>
    <t>14:45:26</t>
  </si>
  <si>
    <t>20220506 14:45:28</t>
  </si>
  <si>
    <t>14:45:28</t>
  </si>
  <si>
    <t>20220506 14:45:30</t>
  </si>
  <si>
    <t>14:45:30</t>
  </si>
  <si>
    <t>20220506 14:45:32</t>
  </si>
  <si>
    <t>14:45:32</t>
  </si>
  <si>
    <t>20220506 14:45:34</t>
  </si>
  <si>
    <t>14:45:34</t>
  </si>
  <si>
    <t>20220506 14:45:36</t>
  </si>
  <si>
    <t>14:45:36</t>
  </si>
  <si>
    <t>20220506 14:45:38</t>
  </si>
  <si>
    <t>14:45:38</t>
  </si>
  <si>
    <t>20220506 14:45:40</t>
  </si>
  <si>
    <t>14:45:40</t>
  </si>
  <si>
    <t>20220506 14:45:42</t>
  </si>
  <si>
    <t>14:45:42</t>
  </si>
  <si>
    <t>20220506 14:45:44</t>
  </si>
  <si>
    <t>14:45:44</t>
  </si>
  <si>
    <t>20220506 14:45:46</t>
  </si>
  <si>
    <t>14:45:46</t>
  </si>
  <si>
    <t>20220506 14:45:48</t>
  </si>
  <si>
    <t>14:45:48</t>
  </si>
  <si>
    <t>20220506 14:45:50</t>
  </si>
  <si>
    <t>14:45:50</t>
  </si>
  <si>
    <t>20220506 14:45:52</t>
  </si>
  <si>
    <t>14:45:52</t>
  </si>
  <si>
    <t>20220506 14:45:54</t>
  </si>
  <si>
    <t>14:45:54</t>
  </si>
  <si>
    <t>20220506 14:45:56</t>
  </si>
  <si>
    <t>14:45:56</t>
  </si>
  <si>
    <t>20220506 14:45:58</t>
  </si>
  <si>
    <t>14:45:58</t>
  </si>
  <si>
    <t>20220506 14:46:00</t>
  </si>
  <si>
    <t>14:46:00</t>
  </si>
  <si>
    <t>20220506 14:46:02</t>
  </si>
  <si>
    <t>14:46:02</t>
  </si>
  <si>
    <t>20220506 14:46:04</t>
  </si>
  <si>
    <t>14:46:04</t>
  </si>
  <si>
    <t>20220506 14:46:06</t>
  </si>
  <si>
    <t>14:46:06</t>
  </si>
  <si>
    <t>20220506 14:46:08</t>
  </si>
  <si>
    <t>14:46:08</t>
  </si>
  <si>
    <t>20220506 14:46:10</t>
  </si>
  <si>
    <t>14:46:10</t>
  </si>
  <si>
    <t>20220506 14:46:12</t>
  </si>
  <si>
    <t>14:46:12</t>
  </si>
  <si>
    <t>20220506 14:46:14</t>
  </si>
  <si>
    <t>14:46:14</t>
  </si>
  <si>
    <t>20220506 14:46:16</t>
  </si>
  <si>
    <t>14:46:16</t>
  </si>
  <si>
    <t>20220506 14:46:18</t>
  </si>
  <si>
    <t>14:46:18</t>
  </si>
  <si>
    <t>20220506 14:46:20</t>
  </si>
  <si>
    <t>14:46:20</t>
  </si>
  <si>
    <t>20220506 14:46:22</t>
  </si>
  <si>
    <t>14:46:22</t>
  </si>
  <si>
    <t>20220506 14:46:24</t>
  </si>
  <si>
    <t>14:46:24</t>
  </si>
  <si>
    <t>20220506 14:46:26</t>
  </si>
  <si>
    <t>14:46:26</t>
  </si>
  <si>
    <t>20220506 14:46:28</t>
  </si>
  <si>
    <t>14:46:28</t>
  </si>
  <si>
    <t>20220506 14:46:30</t>
  </si>
  <si>
    <t>14:46:30</t>
  </si>
  <si>
    <t>20220506 14:46:32</t>
  </si>
  <si>
    <t>14:46:32</t>
  </si>
  <si>
    <t>20220506 14:46:34</t>
  </si>
  <si>
    <t>14:46:34</t>
  </si>
  <si>
    <t>20220506 14:46:36</t>
  </si>
  <si>
    <t>14:46:36</t>
  </si>
  <si>
    <t>20220506 14:46:38</t>
  </si>
  <si>
    <t>14:46:38</t>
  </si>
  <si>
    <t>20220506 14:46:40</t>
  </si>
  <si>
    <t>14:46:40</t>
  </si>
  <si>
    <t>20220506 14:46:42</t>
  </si>
  <si>
    <t>14:46:42</t>
  </si>
  <si>
    <t>20220506 14:46:44</t>
  </si>
  <si>
    <t>14:46:44</t>
  </si>
  <si>
    <t>20220506 14:46:46</t>
  </si>
  <si>
    <t>14:46:46</t>
  </si>
  <si>
    <t>20220506 14:46:48</t>
  </si>
  <si>
    <t>14:46:48</t>
  </si>
  <si>
    <t>20220506 14:46:50</t>
  </si>
  <si>
    <t>14:46:50</t>
  </si>
  <si>
    <t>20220506 14:46:52</t>
  </si>
  <si>
    <t>14:46:52</t>
  </si>
  <si>
    <t>20220506 14:46:54</t>
  </si>
  <si>
    <t>14:46:54</t>
  </si>
  <si>
    <t>20220506 14:46:56</t>
  </si>
  <si>
    <t>14:46:56</t>
  </si>
  <si>
    <t>20220506 14:46:58</t>
  </si>
  <si>
    <t>14:46:58</t>
  </si>
  <si>
    <t>20220506 14:47:00</t>
  </si>
  <si>
    <t>14:47:00</t>
  </si>
  <si>
    <t>20220506 14:47:02</t>
  </si>
  <si>
    <t>14:47:02</t>
  </si>
  <si>
    <t>20220506 14:47:04</t>
  </si>
  <si>
    <t>14:47:04</t>
  </si>
  <si>
    <t>20220506 14:47:06</t>
  </si>
  <si>
    <t>14:47:06</t>
  </si>
  <si>
    <t>20220506 14:47:08</t>
  </si>
  <si>
    <t>14:47:08</t>
  </si>
  <si>
    <t>20220506 14:47:10</t>
  </si>
  <si>
    <t>14:47:10</t>
  </si>
  <si>
    <t>20220506 14:47:12</t>
  </si>
  <si>
    <t>14:47:12</t>
  </si>
  <si>
    <t>20220506 14:47:14</t>
  </si>
  <si>
    <t>14:47:14</t>
  </si>
  <si>
    <t>20220506 14:47:16</t>
  </si>
  <si>
    <t>14:47:16</t>
  </si>
  <si>
    <t>20220506 14:47:18</t>
  </si>
  <si>
    <t>14:47:18</t>
  </si>
  <si>
    <t>20220506 14:47:20</t>
  </si>
  <si>
    <t>14:47:20</t>
  </si>
  <si>
    <t>20220506 14:47:22</t>
  </si>
  <si>
    <t>14:47:22</t>
  </si>
  <si>
    <t>20220506 14:47:24</t>
  </si>
  <si>
    <t>14:47:24</t>
  </si>
  <si>
    <t>20220506 14:47:25</t>
  </si>
  <si>
    <t>14:47:25</t>
  </si>
  <si>
    <t>20220506 14:47:28</t>
  </si>
  <si>
    <t>14:47:28</t>
  </si>
  <si>
    <t>20220506 14:47:30</t>
  </si>
  <si>
    <t>14:47:30</t>
  </si>
  <si>
    <t>20220506 14:47:31</t>
  </si>
  <si>
    <t>14:47:31</t>
  </si>
  <si>
    <t>20220506 14:47:33</t>
  </si>
  <si>
    <t>14:47:33</t>
  </si>
  <si>
    <t>20220506 14:47:35</t>
  </si>
  <si>
    <t>14:47:35</t>
  </si>
  <si>
    <t>20220506 14:47:37</t>
  </si>
  <si>
    <t>14:47:37</t>
  </si>
  <si>
    <t>20220506 14:47:39</t>
  </si>
  <si>
    <t>14:47:39</t>
  </si>
  <si>
    <t>20220506 14:47:41</t>
  </si>
  <si>
    <t>14:47:41</t>
  </si>
  <si>
    <t>20220506 14:47:43</t>
  </si>
  <si>
    <t>14:47:43</t>
  </si>
  <si>
    <t>20220506 14:47:45</t>
  </si>
  <si>
    <t>14:47:45</t>
  </si>
  <si>
    <t>20220506 14:47:47</t>
  </si>
  <si>
    <t>14:47:47</t>
  </si>
  <si>
    <t>20220506 14:47:49</t>
  </si>
  <si>
    <t>14:47:49</t>
  </si>
  <si>
    <t>20220506 14:47:51</t>
  </si>
  <si>
    <t>14:47:51</t>
  </si>
  <si>
    <t>20220506 14:47:53</t>
  </si>
  <si>
    <t>14:47:53</t>
  </si>
  <si>
    <t>20220506 14:47:55</t>
  </si>
  <si>
    <t>14:47:55</t>
  </si>
  <si>
    <t>20220506 14:47:57</t>
  </si>
  <si>
    <t>14:47:57</t>
  </si>
  <si>
    <t>20220506 14:47:59</t>
  </si>
  <si>
    <t>14:47:59</t>
  </si>
  <si>
    <t>20220506 14:48:01</t>
  </si>
  <si>
    <t>14:48:01</t>
  </si>
  <si>
    <t>20220506 14:48:03</t>
  </si>
  <si>
    <t>14:48:03</t>
  </si>
  <si>
    <t>20220506 14:48:05</t>
  </si>
  <si>
    <t>14:48:05</t>
  </si>
  <si>
    <t>20220506 14:48:07</t>
  </si>
  <si>
    <t>14:48:07</t>
  </si>
  <si>
    <t>20220506 14:48:09</t>
  </si>
  <si>
    <t>14:48:09</t>
  </si>
  <si>
    <t>20220506 14:48:11</t>
  </si>
  <si>
    <t>14:48:11</t>
  </si>
  <si>
    <t>20220506 14:48:13</t>
  </si>
  <si>
    <t>14:48:13</t>
  </si>
  <si>
    <t>20220506 14:48:15</t>
  </si>
  <si>
    <t>14:48:15</t>
  </si>
  <si>
    <t>20220506 14:48:17</t>
  </si>
  <si>
    <t>14:48:17</t>
  </si>
  <si>
    <t>20220506 14:48:19</t>
  </si>
  <si>
    <t>14:48:19</t>
  </si>
  <si>
    <t>20220506 14:48:21</t>
  </si>
  <si>
    <t>14:48:21</t>
  </si>
  <si>
    <t>20220506 14:48:23</t>
  </si>
  <si>
    <t>14:48:23</t>
  </si>
  <si>
    <t>20220506 14:48:25</t>
  </si>
  <si>
    <t>14:48:25</t>
  </si>
  <si>
    <t>20220506 14:48:27</t>
  </si>
  <si>
    <t>14:48:27</t>
  </si>
  <si>
    <t>20220506 14:48:29</t>
  </si>
  <si>
    <t>14:48:29</t>
  </si>
  <si>
    <t>20220506 14:48:31</t>
  </si>
  <si>
    <t>14:48:31</t>
  </si>
  <si>
    <t>20220506 14:48:33</t>
  </si>
  <si>
    <t>14:48:33</t>
  </si>
  <si>
    <t>20220506 14:48:35</t>
  </si>
  <si>
    <t>14:48:35</t>
  </si>
  <si>
    <t>20220506 14:48:37</t>
  </si>
  <si>
    <t>14:48:37</t>
  </si>
  <si>
    <t>20220506 14:48:39</t>
  </si>
  <si>
    <t>14:48:39</t>
  </si>
  <si>
    <t>20220506 14:48:41</t>
  </si>
  <si>
    <t>14:48:41</t>
  </si>
  <si>
    <t>20220506 14:48:43</t>
  </si>
  <si>
    <t>14:48:43</t>
  </si>
  <si>
    <t>20220506 14:48:45</t>
  </si>
  <si>
    <t>14:48:45</t>
  </si>
  <si>
    <t>20220506 14:48:47</t>
  </si>
  <si>
    <t>14:48:47</t>
  </si>
  <si>
    <t>20220506 14:48:49</t>
  </si>
  <si>
    <t>14:48:49</t>
  </si>
  <si>
    <t>20220506 14:48:51</t>
  </si>
  <si>
    <t>14:48:51</t>
  </si>
  <si>
    <t>20220506 14:48:53</t>
  </si>
  <si>
    <t>14:48:53</t>
  </si>
  <si>
    <t>20220506 14:48:55</t>
  </si>
  <si>
    <t>14:48:55</t>
  </si>
  <si>
    <t>20220506 14:48:57</t>
  </si>
  <si>
    <t>14:48:57</t>
  </si>
  <si>
    <t>20220506 14:48:59</t>
  </si>
  <si>
    <t>14:48:59</t>
  </si>
  <si>
    <t>20220506 14:49:01</t>
  </si>
  <si>
    <t>14:49:01</t>
  </si>
  <si>
    <t>20220506 14:49:03</t>
  </si>
  <si>
    <t>14:49:03</t>
  </si>
  <si>
    <t>20220506 14:49:05</t>
  </si>
  <si>
    <t>14:49:05</t>
  </si>
  <si>
    <t>20220506 14:49:07</t>
  </si>
  <si>
    <t>14:49:07</t>
  </si>
  <si>
    <t>20220506 14:49:09</t>
  </si>
  <si>
    <t>14:49:09</t>
  </si>
  <si>
    <t>20220506 14:49:11</t>
  </si>
  <si>
    <t>14:49:11</t>
  </si>
  <si>
    <t>20220506 14:49:13</t>
  </si>
  <si>
    <t>14:49:13</t>
  </si>
  <si>
    <t>20220506 14:49:15</t>
  </si>
  <si>
    <t>14:49:15</t>
  </si>
  <si>
    <t>20220506 14:49:17</t>
  </si>
  <si>
    <t>14:49:17</t>
  </si>
  <si>
    <t>20220506 14:49:19</t>
  </si>
  <si>
    <t>14:49:19</t>
  </si>
  <si>
    <t>20220506 14:49:21</t>
  </si>
  <si>
    <t>14:49:21</t>
  </si>
  <si>
    <t>20220506 14:49:23</t>
  </si>
  <si>
    <t>14:49:23</t>
  </si>
  <si>
    <t>20220506 14:49:25</t>
  </si>
  <si>
    <t>14:49:25</t>
  </si>
  <si>
    <t>20220506 14:49:27</t>
  </si>
  <si>
    <t>14:49:27</t>
  </si>
  <si>
    <t>20220506 14:49:29</t>
  </si>
  <si>
    <t>14:49:29</t>
  </si>
  <si>
    <t>20220506 14:49:31</t>
  </si>
  <si>
    <t>14:49:31</t>
  </si>
  <si>
    <t>20220506 14:49:33</t>
  </si>
  <si>
    <t>14:49:33</t>
  </si>
  <si>
    <t>20220506 14:49:35</t>
  </si>
  <si>
    <t>14:49:35</t>
  </si>
  <si>
    <t>20220506 14:49:37</t>
  </si>
  <si>
    <t>14:49:37</t>
  </si>
  <si>
    <t>20220506 14:49:39</t>
  </si>
  <si>
    <t>14:49:39</t>
  </si>
  <si>
    <t>20220506 14:49:41</t>
  </si>
  <si>
    <t>14:49:41</t>
  </si>
  <si>
    <t>20220506 14:49:43</t>
  </si>
  <si>
    <t>14:49:43</t>
  </si>
  <si>
    <t>20220506 14:49:45</t>
  </si>
  <si>
    <t>14:49:45</t>
  </si>
  <si>
    <t>20220506 14:49:47</t>
  </si>
  <si>
    <t>14:49:47</t>
  </si>
  <si>
    <t>20220506 14:49:49</t>
  </si>
  <si>
    <t>14:49:49</t>
  </si>
  <si>
    <t>20220506 14:49:51</t>
  </si>
  <si>
    <t>14:49:51</t>
  </si>
  <si>
    <t>20220506 14:49:53</t>
  </si>
  <si>
    <t>14:49:53</t>
  </si>
  <si>
    <t>20220506 14:49:55</t>
  </si>
  <si>
    <t>14:49:55</t>
  </si>
  <si>
    <t>20220506 14:49:57</t>
  </si>
  <si>
    <t>14:49:57</t>
  </si>
  <si>
    <t>20220506 14:49:59</t>
  </si>
  <si>
    <t>14:49:59</t>
  </si>
  <si>
    <t>20220506 14:50:01</t>
  </si>
  <si>
    <t>14:50:01</t>
  </si>
  <si>
    <t>20220506 14:50:03</t>
  </si>
  <si>
    <t>14:50:03</t>
  </si>
  <si>
    <t>20220506 14:50:05</t>
  </si>
  <si>
    <t>14:50:05</t>
  </si>
  <si>
    <t>20220506 14:50:07</t>
  </si>
  <si>
    <t>14:50:07</t>
  </si>
  <si>
    <t>20220506 14:50:09</t>
  </si>
  <si>
    <t>14:50:09</t>
  </si>
  <si>
    <t>20220506 14:50:11</t>
  </si>
  <si>
    <t>14:50:11</t>
  </si>
  <si>
    <t>20220506 14:50:13</t>
  </si>
  <si>
    <t>14:50:13</t>
  </si>
  <si>
    <t>20220506 14:50:15</t>
  </si>
  <si>
    <t>14:50:15</t>
  </si>
  <si>
    <t>20220506 14:50:17</t>
  </si>
  <si>
    <t>14:50:17</t>
  </si>
  <si>
    <t>20220506 14:50:19</t>
  </si>
  <si>
    <t>14:50:19</t>
  </si>
  <si>
    <t>20220506 14:50:21</t>
  </si>
  <si>
    <t>14:50:21</t>
  </si>
  <si>
    <t>20220506 14:50:23</t>
  </si>
  <si>
    <t>14:50:23</t>
  </si>
  <si>
    <t>20220506 14:50:25</t>
  </si>
  <si>
    <t>14:50:25</t>
  </si>
  <si>
    <t>20220506 14:50:27</t>
  </si>
  <si>
    <t>14:50:27</t>
  </si>
  <si>
    <t>20220506 14:50:29</t>
  </si>
  <si>
    <t>14:50:29</t>
  </si>
  <si>
    <t>20220506 14:50:31</t>
  </si>
  <si>
    <t>14:50:31</t>
  </si>
  <si>
    <t>20220506 14:50:33</t>
  </si>
  <si>
    <t>14:50:33</t>
  </si>
  <si>
    <t>20220506 14:50:35</t>
  </si>
  <si>
    <t>14:50:35</t>
  </si>
  <si>
    <t>20220506 14:50:37</t>
  </si>
  <si>
    <t>14:50:37</t>
  </si>
  <si>
    <t>20220506 14:50:39</t>
  </si>
  <si>
    <t>14:50:39</t>
  </si>
  <si>
    <t>20220506 14:50:41</t>
  </si>
  <si>
    <t>14:50:41</t>
  </si>
  <si>
    <t>20220506 14:50:43</t>
  </si>
  <si>
    <t>14:50:43</t>
  </si>
  <si>
    <t>20220506 14:50:45</t>
  </si>
  <si>
    <t>14:50:45</t>
  </si>
  <si>
    <t>20220506 14:50:47</t>
  </si>
  <si>
    <t>14:50:47</t>
  </si>
  <si>
    <t>20220506 14:50:49</t>
  </si>
  <si>
    <t>14:50:49</t>
  </si>
  <si>
    <t>20220506 14:50:51</t>
  </si>
  <si>
    <t>14:50:51</t>
  </si>
  <si>
    <t>20220506 14:50:53</t>
  </si>
  <si>
    <t>14:50:53</t>
  </si>
  <si>
    <t>20220506 14:50:55</t>
  </si>
  <si>
    <t>14:50:55</t>
  </si>
  <si>
    <t>20220506 14:50:57</t>
  </si>
  <si>
    <t>14:50:57</t>
  </si>
  <si>
    <t>20220506 14:50:59</t>
  </si>
  <si>
    <t>14:50:59</t>
  </si>
  <si>
    <t>20220506 14:51:01</t>
  </si>
  <si>
    <t>14:51:01</t>
  </si>
  <si>
    <t>20220506 14:51:03</t>
  </si>
  <si>
    <t>14:51:03</t>
  </si>
  <si>
    <t>20220506 14:51:05</t>
  </si>
  <si>
    <t>14:51:05</t>
  </si>
  <si>
    <t>20220506 14:51:07</t>
  </si>
  <si>
    <t>14:51:07</t>
  </si>
  <si>
    <t>20220506 14:51:09</t>
  </si>
  <si>
    <t>14:51:09</t>
  </si>
  <si>
    <t>20220506 14:51:11</t>
  </si>
  <si>
    <t>14:51:11</t>
  </si>
  <si>
    <t>20220506 14:51:13</t>
  </si>
  <si>
    <t>14:51:13</t>
  </si>
  <si>
    <t>20220506 14:51:15</t>
  </si>
  <si>
    <t>14:51:15</t>
  </si>
  <si>
    <t>20220506 14:51:17</t>
  </si>
  <si>
    <t>14:51:17</t>
  </si>
  <si>
    <t>20220506 14:51:19</t>
  </si>
  <si>
    <t>14:51:19</t>
  </si>
  <si>
    <t>20220506 14:51:21</t>
  </si>
  <si>
    <t>14:51:21</t>
  </si>
  <si>
    <t>20220506 14:51:23</t>
  </si>
  <si>
    <t>14:51:23</t>
  </si>
  <si>
    <t>20220506 14:51:25</t>
  </si>
  <si>
    <t>14:51:25</t>
  </si>
  <si>
    <t>20220506 14:51:27</t>
  </si>
  <si>
    <t>14:51:27</t>
  </si>
  <si>
    <t>20220506 14:51:29</t>
  </si>
  <si>
    <t>14:51:29</t>
  </si>
  <si>
    <t>20220506 14:51:31</t>
  </si>
  <si>
    <t>14:51:31</t>
  </si>
  <si>
    <t>20220506 14:51:33</t>
  </si>
  <si>
    <t>14:51:33</t>
  </si>
  <si>
    <t>20220506 14:51:35</t>
  </si>
  <si>
    <t>14:51:35</t>
  </si>
  <si>
    <t>20220506 14:51:37</t>
  </si>
  <si>
    <t>14:51:37</t>
  </si>
  <si>
    <t>20220506 14:51:39</t>
  </si>
  <si>
    <t>14:51:39</t>
  </si>
  <si>
    <t>20220506 14:51:41</t>
  </si>
  <si>
    <t>14:51:41</t>
  </si>
  <si>
    <t>20220506 14:51:43</t>
  </si>
  <si>
    <t>14:51:43</t>
  </si>
  <si>
    <t>20220506 14:51:45</t>
  </si>
  <si>
    <t>14:51:45</t>
  </si>
  <si>
    <t>20220506 14:51:47</t>
  </si>
  <si>
    <t>14:51:47</t>
  </si>
  <si>
    <t>20220506 14:51:48</t>
  </si>
  <si>
    <t>14:51:48</t>
  </si>
  <si>
    <t>20220506 14:51:50</t>
  </si>
  <si>
    <t>14:51:50</t>
  </si>
  <si>
    <t>20220506 14:51:52</t>
  </si>
  <si>
    <t>14:51:52</t>
  </si>
  <si>
    <t>20220506 14:51:54</t>
  </si>
  <si>
    <t>14:51:54</t>
  </si>
  <si>
    <t>20220506 14:51:56</t>
  </si>
  <si>
    <t>14:51:56</t>
  </si>
  <si>
    <t>20220506 14:51:58</t>
  </si>
  <si>
    <t>14:51:58</t>
  </si>
  <si>
    <t>20220506 14:52:00</t>
  </si>
  <si>
    <t>14:52:00</t>
  </si>
  <si>
    <t>20220506 14:52:02</t>
  </si>
  <si>
    <t>14:52:02</t>
  </si>
  <si>
    <t>20220506 14:52:04</t>
  </si>
  <si>
    <t>14:52:04</t>
  </si>
  <si>
    <t>20220506 14:52:06</t>
  </si>
  <si>
    <t>14:52:06</t>
  </si>
  <si>
    <t>20220506 14:52:08</t>
  </si>
  <si>
    <t>14:52:08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</si>
</sst>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499"/>
  <sheetViews>
    <sheetView tabSelected="1" workbookViewId="0"/>
  </sheetViews>
  <sheetFormatPr defaultRowHeight="15"/>
  <sheetData>
    <row r="2" spans="1:281">
      <c r="A2" t="s">
        <v>29</v>
      </c>
      <c r="B2" t="s">
        <v>30</v>
      </c>
      <c r="C2" t="s">
        <v>31</v>
      </c>
    </row>
    <row r="3" spans="1:281">
      <c r="B3">
        <v>4</v>
      </c>
      <c r="C3">
        <v>21</v>
      </c>
    </row>
    <row r="4" spans="1:281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1">
      <c r="B5" t="s">
        <v>19</v>
      </c>
      <c r="C5" t="s">
        <v>35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1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80</v>
      </c>
      <c r="G13" t="s">
        <v>82</v>
      </c>
      <c r="H13">
        <v>0</v>
      </c>
    </row>
    <row r="14" spans="1:281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92</v>
      </c>
      <c r="CS14" t="s">
        <v>92</v>
      </c>
      <c r="CT14" t="s">
        <v>92</v>
      </c>
      <c r="CU14" t="s">
        <v>92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88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182</v>
      </c>
      <c r="CI15" t="s">
        <v>190</v>
      </c>
      <c r="CJ15" t="s">
        <v>156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114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107</v>
      </c>
      <c r="FA15" t="s">
        <v>110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>
      <c r="B16" t="s">
        <v>381</v>
      </c>
      <c r="C16" t="s">
        <v>381</v>
      </c>
      <c r="F16" t="s">
        <v>381</v>
      </c>
      <c r="I16" t="s">
        <v>381</v>
      </c>
      <c r="J16" t="s">
        <v>382</v>
      </c>
      <c r="K16" t="s">
        <v>383</v>
      </c>
      <c r="L16" t="s">
        <v>384</v>
      </c>
      <c r="M16" t="s">
        <v>385</v>
      </c>
      <c r="N16" t="s">
        <v>385</v>
      </c>
      <c r="O16" t="s">
        <v>214</v>
      </c>
      <c r="P16" t="s">
        <v>214</v>
      </c>
      <c r="Q16" t="s">
        <v>382</v>
      </c>
      <c r="R16" t="s">
        <v>382</v>
      </c>
      <c r="S16" t="s">
        <v>382</v>
      </c>
      <c r="T16" t="s">
        <v>382</v>
      </c>
      <c r="U16" t="s">
        <v>386</v>
      </c>
      <c r="V16" t="s">
        <v>387</v>
      </c>
      <c r="W16" t="s">
        <v>387</v>
      </c>
      <c r="X16" t="s">
        <v>388</v>
      </c>
      <c r="Y16" t="s">
        <v>389</v>
      </c>
      <c r="Z16" t="s">
        <v>388</v>
      </c>
      <c r="AA16" t="s">
        <v>388</v>
      </c>
      <c r="AB16" t="s">
        <v>388</v>
      </c>
      <c r="AC16" t="s">
        <v>386</v>
      </c>
      <c r="AD16" t="s">
        <v>386</v>
      </c>
      <c r="AE16" t="s">
        <v>386</v>
      </c>
      <c r="AF16" t="s">
        <v>386</v>
      </c>
      <c r="AG16" t="s">
        <v>384</v>
      </c>
      <c r="AH16" t="s">
        <v>383</v>
      </c>
      <c r="AI16" t="s">
        <v>384</v>
      </c>
      <c r="AJ16" t="s">
        <v>385</v>
      </c>
      <c r="AK16" t="s">
        <v>385</v>
      </c>
      <c r="AL16" t="s">
        <v>390</v>
      </c>
      <c r="AM16" t="s">
        <v>391</v>
      </c>
      <c r="AN16" t="s">
        <v>383</v>
      </c>
      <c r="AO16" t="s">
        <v>392</v>
      </c>
      <c r="AP16" t="s">
        <v>392</v>
      </c>
      <c r="AQ16" t="s">
        <v>393</v>
      </c>
      <c r="AR16" t="s">
        <v>391</v>
      </c>
      <c r="AS16" t="s">
        <v>394</v>
      </c>
      <c r="AT16" t="s">
        <v>389</v>
      </c>
      <c r="AV16" t="s">
        <v>389</v>
      </c>
      <c r="AW16" t="s">
        <v>394</v>
      </c>
      <c r="BC16" t="s">
        <v>384</v>
      </c>
      <c r="BJ16" t="s">
        <v>384</v>
      </c>
      <c r="BK16" t="s">
        <v>384</v>
      </c>
      <c r="BL16" t="s">
        <v>384</v>
      </c>
      <c r="BM16" t="s">
        <v>395</v>
      </c>
      <c r="CA16" t="s">
        <v>396</v>
      </c>
      <c r="CB16" t="s">
        <v>396</v>
      </c>
      <c r="CC16" t="s">
        <v>396</v>
      </c>
      <c r="CD16" t="s">
        <v>384</v>
      </c>
      <c r="CF16" t="s">
        <v>397</v>
      </c>
      <c r="CI16" t="s">
        <v>396</v>
      </c>
      <c r="CN16" t="s">
        <v>381</v>
      </c>
      <c r="CO16" t="s">
        <v>381</v>
      </c>
      <c r="CP16" t="s">
        <v>381</v>
      </c>
      <c r="CQ16" t="s">
        <v>381</v>
      </c>
      <c r="CR16" t="s">
        <v>384</v>
      </c>
      <c r="CS16" t="s">
        <v>384</v>
      </c>
      <c r="CU16" t="s">
        <v>398</v>
      </c>
      <c r="CV16" t="s">
        <v>399</v>
      </c>
      <c r="CY16" t="s">
        <v>382</v>
      </c>
      <c r="DA16" t="s">
        <v>381</v>
      </c>
      <c r="DB16" t="s">
        <v>385</v>
      </c>
      <c r="DC16" t="s">
        <v>385</v>
      </c>
      <c r="DD16" t="s">
        <v>392</v>
      </c>
      <c r="DE16" t="s">
        <v>392</v>
      </c>
      <c r="DF16" t="s">
        <v>385</v>
      </c>
      <c r="DG16" t="s">
        <v>392</v>
      </c>
      <c r="DH16" t="s">
        <v>394</v>
      </c>
      <c r="DI16" t="s">
        <v>388</v>
      </c>
      <c r="DJ16" t="s">
        <v>388</v>
      </c>
      <c r="DK16" t="s">
        <v>387</v>
      </c>
      <c r="DL16" t="s">
        <v>387</v>
      </c>
      <c r="DM16" t="s">
        <v>387</v>
      </c>
      <c r="DN16" t="s">
        <v>387</v>
      </c>
      <c r="DO16" t="s">
        <v>387</v>
      </c>
      <c r="DP16" t="s">
        <v>400</v>
      </c>
      <c r="DQ16" t="s">
        <v>384</v>
      </c>
      <c r="DR16" t="s">
        <v>384</v>
      </c>
      <c r="DS16" t="s">
        <v>385</v>
      </c>
      <c r="DT16" t="s">
        <v>385</v>
      </c>
      <c r="DU16" t="s">
        <v>385</v>
      </c>
      <c r="DV16" t="s">
        <v>392</v>
      </c>
      <c r="DW16" t="s">
        <v>385</v>
      </c>
      <c r="DX16" t="s">
        <v>392</v>
      </c>
      <c r="DY16" t="s">
        <v>388</v>
      </c>
      <c r="DZ16" t="s">
        <v>388</v>
      </c>
      <c r="EA16" t="s">
        <v>387</v>
      </c>
      <c r="EB16" t="s">
        <v>387</v>
      </c>
      <c r="EC16" t="s">
        <v>384</v>
      </c>
      <c r="EH16" t="s">
        <v>384</v>
      </c>
      <c r="EK16" t="s">
        <v>387</v>
      </c>
      <c r="EL16" t="s">
        <v>387</v>
      </c>
      <c r="EM16" t="s">
        <v>387</v>
      </c>
      <c r="EN16" t="s">
        <v>387</v>
      </c>
      <c r="EO16" t="s">
        <v>387</v>
      </c>
      <c r="EP16" t="s">
        <v>384</v>
      </c>
      <c r="EQ16" t="s">
        <v>384</v>
      </c>
      <c r="ER16" t="s">
        <v>384</v>
      </c>
      <c r="ES16" t="s">
        <v>381</v>
      </c>
      <c r="EV16" t="s">
        <v>401</v>
      </c>
      <c r="EW16" t="s">
        <v>401</v>
      </c>
      <c r="EY16" t="s">
        <v>381</v>
      </c>
      <c r="EZ16" t="s">
        <v>402</v>
      </c>
      <c r="FB16" t="s">
        <v>381</v>
      </c>
      <c r="FC16" t="s">
        <v>381</v>
      </c>
      <c r="FE16" t="s">
        <v>403</v>
      </c>
      <c r="FF16" t="s">
        <v>404</v>
      </c>
      <c r="FG16" t="s">
        <v>403</v>
      </c>
      <c r="FH16" t="s">
        <v>404</v>
      </c>
      <c r="FI16" t="s">
        <v>403</v>
      </c>
      <c r="FJ16" t="s">
        <v>404</v>
      </c>
      <c r="FK16" t="s">
        <v>389</v>
      </c>
      <c r="FL16" t="s">
        <v>389</v>
      </c>
      <c r="FN16" t="s">
        <v>405</v>
      </c>
      <c r="FR16" t="s">
        <v>405</v>
      </c>
      <c r="FV16" t="s">
        <v>405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392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403</v>
      </c>
      <c r="II16" t="s">
        <v>404</v>
      </c>
      <c r="IJ16" t="s">
        <v>404</v>
      </c>
      <c r="IN16" t="s">
        <v>404</v>
      </c>
      <c r="IR16" t="s">
        <v>385</v>
      </c>
      <c r="IS16" t="s">
        <v>385</v>
      </c>
      <c r="IT16" t="s">
        <v>392</v>
      </c>
      <c r="IU16" t="s">
        <v>392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394</v>
      </c>
      <c r="JH16" t="s">
        <v>394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392</v>
      </c>
      <c r="JT16" t="s">
        <v>389</v>
      </c>
      <c r="JU16" t="s">
        <v>389</v>
      </c>
    </row>
    <row r="17" spans="1:281">
      <c r="A17">
        <v>1</v>
      </c>
      <c r="B17">
        <v>1651864220.6</v>
      </c>
      <c r="C17">
        <v>0</v>
      </c>
      <c r="D17" t="s">
        <v>411</v>
      </c>
      <c r="E17" t="s">
        <v>412</v>
      </c>
      <c r="F17">
        <v>5</v>
      </c>
      <c r="G17" t="s">
        <v>413</v>
      </c>
      <c r="H17" t="s">
        <v>414</v>
      </c>
      <c r="I17">
        <v>1651864218.1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404.4193369492509</v>
      </c>
      <c r="AK17">
        <v>377.3402303030303</v>
      </c>
      <c r="AL17">
        <v>-0.0007639225389801631</v>
      </c>
      <c r="AM17">
        <v>66.38454608033999</v>
      </c>
      <c r="AN17">
        <f>(AP17 - AO17 + DI17*1E3/(8.314*(DK17+273.15)) * AR17/DH17 * AQ17) * DH17/(100*CV17) * 1000/(1000 - AP17)</f>
        <v>0</v>
      </c>
      <c r="AO17">
        <v>11.03219433190311</v>
      </c>
      <c r="AP17">
        <v>18.40918764705882</v>
      </c>
      <c r="AQ17">
        <v>-9.584462663405308E-05</v>
      </c>
      <c r="AR17">
        <v>80.44147654147203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415</v>
      </c>
      <c r="AY17">
        <v>10510</v>
      </c>
      <c r="AZ17">
        <v>590.42</v>
      </c>
      <c r="BA17">
        <v>2650.6</v>
      </c>
      <c r="BB17">
        <f>1-AZ17/BA17</f>
        <v>0</v>
      </c>
      <c r="BC17">
        <v>-1.816883183993991</v>
      </c>
      <c r="BD17" t="s">
        <v>416</v>
      </c>
      <c r="BE17">
        <v>10442</v>
      </c>
      <c r="BF17">
        <v>996.2309600000001</v>
      </c>
      <c r="BG17">
        <v>1354.6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417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1248</v>
      </c>
      <c r="CA17">
        <v>300</v>
      </c>
      <c r="CB17">
        <v>300</v>
      </c>
      <c r="CC17">
        <v>300</v>
      </c>
      <c r="CD17">
        <v>10442</v>
      </c>
      <c r="CE17">
        <v>1293.69</v>
      </c>
      <c r="CF17">
        <v>-0.00735246</v>
      </c>
      <c r="CG17">
        <v>0.5</v>
      </c>
      <c r="CH17" t="s">
        <v>417</v>
      </c>
      <c r="CI17" t="s">
        <v>417</v>
      </c>
      <c r="CJ17" t="s">
        <v>417</v>
      </c>
      <c r="CK17" t="s">
        <v>417</v>
      </c>
      <c r="CL17" t="s">
        <v>417</v>
      </c>
      <c r="CM17" t="s">
        <v>417</v>
      </c>
      <c r="CN17" t="s">
        <v>417</v>
      </c>
      <c r="CO17" t="s">
        <v>417</v>
      </c>
      <c r="CP17" t="s">
        <v>417</v>
      </c>
      <c r="CQ17" t="s">
        <v>417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418</v>
      </c>
      <c r="CY17">
        <v>2</v>
      </c>
      <c r="CZ17" t="b">
        <v>1</v>
      </c>
      <c r="DA17">
        <v>1651864218.1</v>
      </c>
      <c r="DB17">
        <v>370.7913333333333</v>
      </c>
      <c r="DC17">
        <v>399.9866666666667</v>
      </c>
      <c r="DD17">
        <v>18.32628888888889</v>
      </c>
      <c r="DE17">
        <v>11.03186666666667</v>
      </c>
      <c r="DF17">
        <v>371.7793333333333</v>
      </c>
      <c r="DG17">
        <v>18.39228888888889</v>
      </c>
      <c r="DH17">
        <v>500.0423333333334</v>
      </c>
      <c r="DI17">
        <v>89.94868888888888</v>
      </c>
      <c r="DJ17">
        <v>0.09996615555555555</v>
      </c>
      <c r="DK17">
        <v>25.69244444444444</v>
      </c>
      <c r="DL17">
        <v>24.99943333333333</v>
      </c>
      <c r="DM17">
        <v>999.9000000000001</v>
      </c>
      <c r="DN17">
        <v>0</v>
      </c>
      <c r="DO17">
        <v>0</v>
      </c>
      <c r="DP17">
        <v>9997.916666666664</v>
      </c>
      <c r="DQ17">
        <v>0</v>
      </c>
      <c r="DR17">
        <v>3.13357</v>
      </c>
      <c r="DS17">
        <v>-29.57941111111111</v>
      </c>
      <c r="DT17">
        <v>377.3548888888889</v>
      </c>
      <c r="DU17">
        <v>404.4483333333334</v>
      </c>
      <c r="DV17">
        <v>7.380065555555555</v>
      </c>
      <c r="DW17">
        <v>399.9866666666667</v>
      </c>
      <c r="DX17">
        <v>11.03186666666667</v>
      </c>
      <c r="DY17">
        <v>1.656131111111111</v>
      </c>
      <c r="DZ17">
        <v>0.9923022222222223</v>
      </c>
      <c r="EA17">
        <v>14.49121111111111</v>
      </c>
      <c r="EB17">
        <v>6.803838888888889</v>
      </c>
      <c r="EC17">
        <v>1500.026666666667</v>
      </c>
      <c r="ED17">
        <v>0.9730025555555556</v>
      </c>
      <c r="EE17">
        <v>0.02699790000000001</v>
      </c>
      <c r="EF17">
        <v>0</v>
      </c>
      <c r="EG17">
        <v>996.4152222222222</v>
      </c>
      <c r="EH17">
        <v>5.00097</v>
      </c>
      <c r="EI17">
        <v>14768.45555555556</v>
      </c>
      <c r="EJ17">
        <v>12491.82222222222</v>
      </c>
      <c r="EK17">
        <v>37.187</v>
      </c>
      <c r="EL17">
        <v>38.687</v>
      </c>
      <c r="EM17">
        <v>37.562</v>
      </c>
      <c r="EN17">
        <v>38.375</v>
      </c>
      <c r="EO17">
        <v>38.07599999999999</v>
      </c>
      <c r="EP17">
        <v>1454.665555555556</v>
      </c>
      <c r="EQ17">
        <v>40.36111111111111</v>
      </c>
      <c r="ER17">
        <v>0</v>
      </c>
      <c r="ES17">
        <v>3800.799999952316</v>
      </c>
      <c r="ET17">
        <v>0</v>
      </c>
      <c r="EU17">
        <v>996.2309600000001</v>
      </c>
      <c r="EV17">
        <v>3.254230768851814</v>
      </c>
      <c r="EW17">
        <v>43.84615380557663</v>
      </c>
      <c r="EX17">
        <v>14764.968</v>
      </c>
      <c r="EY17">
        <v>15</v>
      </c>
      <c r="EZ17">
        <v>1651864261.1</v>
      </c>
      <c r="FA17" t="s">
        <v>419</v>
      </c>
      <c r="FB17">
        <v>1651864241.6</v>
      </c>
      <c r="FC17">
        <v>1651864261.1</v>
      </c>
      <c r="FD17">
        <v>7</v>
      </c>
      <c r="FE17">
        <v>0.438</v>
      </c>
      <c r="FF17">
        <v>0.002</v>
      </c>
      <c r="FG17">
        <v>-0.988</v>
      </c>
      <c r="FH17">
        <v>-0.066</v>
      </c>
      <c r="FI17">
        <v>400</v>
      </c>
      <c r="FJ17">
        <v>11</v>
      </c>
      <c r="FK17">
        <v>0.05</v>
      </c>
      <c r="FL17">
        <v>0.02</v>
      </c>
      <c r="FM17">
        <v>-29.60632439024391</v>
      </c>
      <c r="FN17">
        <v>0.1826299651568535</v>
      </c>
      <c r="FO17">
        <v>0.03813273211788723</v>
      </c>
      <c r="FP17">
        <v>-1</v>
      </c>
      <c r="FQ17">
        <v>7.391373170731707</v>
      </c>
      <c r="FR17">
        <v>-0.07308710801391508</v>
      </c>
      <c r="FS17">
        <v>0.007314672671276856</v>
      </c>
      <c r="FT17">
        <v>-1</v>
      </c>
      <c r="FU17">
        <v>0</v>
      </c>
      <c r="FV17">
        <v>0</v>
      </c>
      <c r="FW17">
        <v>0</v>
      </c>
      <c r="FX17">
        <v>-1</v>
      </c>
      <c r="FY17">
        <v>0</v>
      </c>
      <c r="FZ17">
        <v>0</v>
      </c>
      <c r="GA17" t="s">
        <v>420</v>
      </c>
      <c r="GB17">
        <v>2.98075</v>
      </c>
      <c r="GC17">
        <v>2.70622</v>
      </c>
      <c r="GD17">
        <v>0.08503810000000001</v>
      </c>
      <c r="GE17">
        <v>0.0891005</v>
      </c>
      <c r="GF17">
        <v>0.0879033</v>
      </c>
      <c r="GG17">
        <v>0.0596159</v>
      </c>
      <c r="GH17">
        <v>28882.6</v>
      </c>
      <c r="GI17">
        <v>28817.2</v>
      </c>
      <c r="GJ17">
        <v>29351.1</v>
      </c>
      <c r="GK17">
        <v>29265.5</v>
      </c>
      <c r="GL17">
        <v>35447.8</v>
      </c>
      <c r="GM17">
        <v>36656.6</v>
      </c>
      <c r="GN17">
        <v>41312.7</v>
      </c>
      <c r="GO17">
        <v>41771.8</v>
      </c>
      <c r="GP17">
        <v>1.95925</v>
      </c>
      <c r="GQ17">
        <v>1.84652</v>
      </c>
      <c r="GR17">
        <v>-0.0268593</v>
      </c>
      <c r="GS17">
        <v>0</v>
      </c>
      <c r="GT17">
        <v>25.4359</v>
      </c>
      <c r="GU17">
        <v>999.9</v>
      </c>
      <c r="GV17">
        <v>32.1</v>
      </c>
      <c r="GW17">
        <v>34.2</v>
      </c>
      <c r="GX17">
        <v>19.2813</v>
      </c>
      <c r="GY17">
        <v>62.4574</v>
      </c>
      <c r="GZ17">
        <v>35.0881</v>
      </c>
      <c r="HA17">
        <v>1</v>
      </c>
      <c r="HB17">
        <v>0.09724090000000001</v>
      </c>
      <c r="HC17">
        <v>2.27206</v>
      </c>
      <c r="HD17">
        <v>20.3206</v>
      </c>
      <c r="HE17">
        <v>5.22493</v>
      </c>
      <c r="HF17">
        <v>12.0099</v>
      </c>
      <c r="HG17">
        <v>4.99075</v>
      </c>
      <c r="HH17">
        <v>3.29</v>
      </c>
      <c r="HI17">
        <v>988.2</v>
      </c>
      <c r="HJ17">
        <v>9489.299999999999</v>
      </c>
      <c r="HK17">
        <v>5139.4</v>
      </c>
      <c r="HL17">
        <v>24.7</v>
      </c>
      <c r="HM17">
        <v>1.8675</v>
      </c>
      <c r="HN17">
        <v>1.86646</v>
      </c>
      <c r="HO17">
        <v>1.866</v>
      </c>
      <c r="HP17">
        <v>1.86584</v>
      </c>
      <c r="HQ17">
        <v>1.86768</v>
      </c>
      <c r="HR17">
        <v>1.87017</v>
      </c>
      <c r="HS17">
        <v>1.86888</v>
      </c>
      <c r="HT17">
        <v>1.87025</v>
      </c>
      <c r="HU17">
        <v>0</v>
      </c>
      <c r="HV17">
        <v>0</v>
      </c>
      <c r="HW17">
        <v>0</v>
      </c>
      <c r="HX17">
        <v>0</v>
      </c>
      <c r="HY17" t="s">
        <v>421</v>
      </c>
      <c r="HZ17" t="s">
        <v>422</v>
      </c>
      <c r="IA17" t="s">
        <v>423</v>
      </c>
      <c r="IB17" t="s">
        <v>423</v>
      </c>
      <c r="IC17" t="s">
        <v>423</v>
      </c>
      <c r="ID17" t="s">
        <v>423</v>
      </c>
      <c r="IE17">
        <v>0</v>
      </c>
      <c r="IF17">
        <v>100</v>
      </c>
      <c r="IG17">
        <v>100</v>
      </c>
      <c r="IH17">
        <v>-0.988</v>
      </c>
      <c r="II17">
        <v>-0.066</v>
      </c>
      <c r="IJ17">
        <v>-0.6540367517687078</v>
      </c>
      <c r="IK17">
        <v>-0.002077099775823331</v>
      </c>
      <c r="IL17">
        <v>4.593143279902166E-07</v>
      </c>
      <c r="IM17">
        <v>-1.865383991892071E-10</v>
      </c>
      <c r="IN17">
        <v>-0.0625294926435566</v>
      </c>
      <c r="IO17">
        <v>-0.01129461987421345</v>
      </c>
      <c r="IP17">
        <v>0.00116580895745559</v>
      </c>
      <c r="IQ17">
        <v>-1.679085872906199E-05</v>
      </c>
      <c r="IR17">
        <v>2</v>
      </c>
      <c r="IS17">
        <v>2290</v>
      </c>
      <c r="IT17">
        <v>0</v>
      </c>
      <c r="IU17">
        <v>32</v>
      </c>
      <c r="IV17">
        <v>71.09999999999999</v>
      </c>
      <c r="IW17">
        <v>76.59999999999999</v>
      </c>
      <c r="IX17">
        <v>1.00098</v>
      </c>
      <c r="IY17">
        <v>2.24731</v>
      </c>
      <c r="IZ17">
        <v>1.39648</v>
      </c>
      <c r="JA17">
        <v>2.35718</v>
      </c>
      <c r="JB17">
        <v>1.49536</v>
      </c>
      <c r="JC17">
        <v>2.30469</v>
      </c>
      <c r="JD17">
        <v>38.2812</v>
      </c>
      <c r="JE17">
        <v>24.035</v>
      </c>
      <c r="JF17">
        <v>18</v>
      </c>
      <c r="JG17">
        <v>512.62</v>
      </c>
      <c r="JH17">
        <v>425.964</v>
      </c>
      <c r="JI17">
        <v>22.3821</v>
      </c>
      <c r="JJ17">
        <v>28.5574</v>
      </c>
      <c r="JK17">
        <v>30</v>
      </c>
      <c r="JL17">
        <v>28.5265</v>
      </c>
      <c r="JM17">
        <v>28.4665</v>
      </c>
      <c r="JN17">
        <v>20.0358</v>
      </c>
      <c r="JO17">
        <v>41.2769</v>
      </c>
      <c r="JP17">
        <v>0</v>
      </c>
      <c r="JQ17">
        <v>22.3826</v>
      </c>
      <c r="JR17">
        <v>400</v>
      </c>
      <c r="JS17">
        <v>11.0415</v>
      </c>
      <c r="JT17">
        <v>100.328</v>
      </c>
      <c r="JU17">
        <v>100.254</v>
      </c>
    </row>
    <row r="18" spans="1:281">
      <c r="A18">
        <v>2</v>
      </c>
      <c r="B18">
        <v>1651864402.6</v>
      </c>
      <c r="C18">
        <v>182</v>
      </c>
      <c r="D18" t="s">
        <v>424</v>
      </c>
      <c r="E18" t="s">
        <v>425</v>
      </c>
      <c r="F18">
        <v>2</v>
      </c>
      <c r="G18" t="s">
        <v>413</v>
      </c>
      <c r="H18" t="s">
        <v>414</v>
      </c>
      <c r="I18">
        <v>1651864401.35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1622.992714322968</v>
      </c>
      <c r="AK18">
        <v>1592.147454545455</v>
      </c>
      <c r="AL18">
        <v>0.1409600513887055</v>
      </c>
      <c r="AM18">
        <v>66.38192812717227</v>
      </c>
      <c r="AN18">
        <f>(AP18 - AO18 + DI18*1E3/(8.314*(DK18+273.15)) * AR18/DH18 * AQ18) * DH18/(100*CV18) * 1000/(1000 - AP18)</f>
        <v>0</v>
      </c>
      <c r="AO18">
        <v>11.05063200706182</v>
      </c>
      <c r="AP18">
        <v>18.41429117647059</v>
      </c>
      <c r="AQ18">
        <v>4.918692354635168E-05</v>
      </c>
      <c r="AR18">
        <v>80.47224507511959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417</v>
      </c>
      <c r="AY18" t="s">
        <v>417</v>
      </c>
      <c r="AZ18">
        <v>0</v>
      </c>
      <c r="BA18">
        <v>0</v>
      </c>
      <c r="BB18">
        <f>1-AZ18/BA18</f>
        <v>0</v>
      </c>
      <c r="BC18">
        <v>0</v>
      </c>
      <c r="BD18" t="s">
        <v>417</v>
      </c>
      <c r="BE18" t="s">
        <v>417</v>
      </c>
      <c r="BF18">
        <v>0</v>
      </c>
      <c r="BG18">
        <v>0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417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1248</v>
      </c>
      <c r="CA18">
        <v>300</v>
      </c>
      <c r="CB18">
        <v>300</v>
      </c>
      <c r="CC18">
        <v>300</v>
      </c>
      <c r="CD18">
        <v>10442</v>
      </c>
      <c r="CE18">
        <v>1293.69</v>
      </c>
      <c r="CF18">
        <v>-0.00735246</v>
      </c>
      <c r="CG18">
        <v>0.5</v>
      </c>
      <c r="CH18" t="s">
        <v>417</v>
      </c>
      <c r="CI18" t="s">
        <v>417</v>
      </c>
      <c r="CJ18" t="s">
        <v>417</v>
      </c>
      <c r="CK18" t="s">
        <v>417</v>
      </c>
      <c r="CL18" t="s">
        <v>417</v>
      </c>
      <c r="CM18" t="s">
        <v>417</v>
      </c>
      <c r="CN18" t="s">
        <v>417</v>
      </c>
      <c r="CO18" t="s">
        <v>417</v>
      </c>
      <c r="CP18" t="s">
        <v>417</v>
      </c>
      <c r="CQ18" t="s">
        <v>417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418</v>
      </c>
      <c r="CY18">
        <v>2</v>
      </c>
      <c r="CZ18" t="b">
        <v>1</v>
      </c>
      <c r="DA18">
        <v>1651864401.35</v>
      </c>
      <c r="DB18">
        <v>1562.7475</v>
      </c>
      <c r="DC18">
        <v>1605.145</v>
      </c>
      <c r="DD18">
        <v>18.413725</v>
      </c>
      <c r="DE18">
        <v>11.050025</v>
      </c>
      <c r="DF18">
        <v>1565.8075</v>
      </c>
      <c r="DG18">
        <v>18.39245</v>
      </c>
      <c r="DH18">
        <v>499.9605</v>
      </c>
      <c r="DI18">
        <v>89.9427</v>
      </c>
      <c r="DJ18">
        <v>0.09961465000000001</v>
      </c>
      <c r="DK18">
        <v>25.68635</v>
      </c>
      <c r="DL18">
        <v>25.0035</v>
      </c>
      <c r="DM18">
        <v>999.9</v>
      </c>
      <c r="DN18">
        <v>0</v>
      </c>
      <c r="DO18">
        <v>0</v>
      </c>
      <c r="DP18">
        <v>10008.2625</v>
      </c>
      <c r="DQ18">
        <v>0</v>
      </c>
      <c r="DR18">
        <v>3.20383</v>
      </c>
      <c r="DS18">
        <v>-42.393675</v>
      </c>
      <c r="DT18">
        <v>1592.065</v>
      </c>
      <c r="DU18">
        <v>1623.0775</v>
      </c>
      <c r="DV18">
        <v>7.3637025</v>
      </c>
      <c r="DW18">
        <v>1605.145</v>
      </c>
      <c r="DX18">
        <v>11.050025</v>
      </c>
      <c r="DY18">
        <v>1.656175</v>
      </c>
      <c r="DZ18">
        <v>0.9938675</v>
      </c>
      <c r="EA18">
        <v>14.49165</v>
      </c>
      <c r="EB18">
        <v>6.826784999999999</v>
      </c>
      <c r="EC18">
        <v>1500.0225</v>
      </c>
      <c r="ED18">
        <v>0.973002</v>
      </c>
      <c r="EE18">
        <v>0.0269985</v>
      </c>
      <c r="EF18">
        <v>0</v>
      </c>
      <c r="EG18">
        <v>1086.3175</v>
      </c>
      <c r="EH18">
        <v>5.00097</v>
      </c>
      <c r="EI18">
        <v>16088.7</v>
      </c>
      <c r="EJ18">
        <v>12491.8</v>
      </c>
      <c r="EK18">
        <v>37.25</v>
      </c>
      <c r="EL18">
        <v>38.687</v>
      </c>
      <c r="EM18">
        <v>37.625</v>
      </c>
      <c r="EN18">
        <v>38.437</v>
      </c>
      <c r="EO18">
        <v>38.125</v>
      </c>
      <c r="EP18">
        <v>1454.6625</v>
      </c>
      <c r="EQ18">
        <v>40.36</v>
      </c>
      <c r="ER18">
        <v>0</v>
      </c>
      <c r="ES18">
        <v>181.7999999523163</v>
      </c>
      <c r="ET18">
        <v>0</v>
      </c>
      <c r="EU18">
        <v>1107.8552</v>
      </c>
      <c r="EV18">
        <v>-213.8153849372357</v>
      </c>
      <c r="EW18">
        <v>-3084.823081816858</v>
      </c>
      <c r="EX18">
        <v>16398.56</v>
      </c>
      <c r="EY18">
        <v>15</v>
      </c>
      <c r="EZ18">
        <v>1651864261.1</v>
      </c>
      <c r="FA18" t="s">
        <v>419</v>
      </c>
      <c r="FB18">
        <v>1651864241.6</v>
      </c>
      <c r="FC18">
        <v>1651864261.1</v>
      </c>
      <c r="FD18">
        <v>7</v>
      </c>
      <c r="FE18">
        <v>0.438</v>
      </c>
      <c r="FF18">
        <v>0.002</v>
      </c>
      <c r="FG18">
        <v>-0.988</v>
      </c>
      <c r="FH18">
        <v>-0.066</v>
      </c>
      <c r="FI18">
        <v>400</v>
      </c>
      <c r="FJ18">
        <v>11</v>
      </c>
      <c r="FK18">
        <v>0.05</v>
      </c>
      <c r="FL18">
        <v>0.02</v>
      </c>
      <c r="FM18">
        <v>-45.7061825</v>
      </c>
      <c r="FN18">
        <v>29.50210694183868</v>
      </c>
      <c r="FO18">
        <v>2.914249103533147</v>
      </c>
      <c r="FP18">
        <v>-1</v>
      </c>
      <c r="FQ18">
        <v>7.3535625</v>
      </c>
      <c r="FR18">
        <v>0.06970829268291219</v>
      </c>
      <c r="FS18">
        <v>0.006826149262212171</v>
      </c>
      <c r="FT18">
        <v>-1</v>
      </c>
      <c r="FU18">
        <v>0</v>
      </c>
      <c r="FV18">
        <v>0</v>
      </c>
      <c r="FW18">
        <v>0</v>
      </c>
      <c r="FX18">
        <v>-1</v>
      </c>
      <c r="FY18">
        <v>0</v>
      </c>
      <c r="FZ18">
        <v>0</v>
      </c>
      <c r="GA18" t="s">
        <v>420</v>
      </c>
      <c r="GB18">
        <v>2.98039</v>
      </c>
      <c r="GC18">
        <v>2.70608</v>
      </c>
      <c r="GD18">
        <v>0.225884</v>
      </c>
      <c r="GE18">
        <v>0.226954</v>
      </c>
      <c r="GF18">
        <v>0.08789909999999999</v>
      </c>
      <c r="GG18">
        <v>0.0596834</v>
      </c>
      <c r="GH18">
        <v>24432.1</v>
      </c>
      <c r="GI18">
        <v>24452.8</v>
      </c>
      <c r="GJ18">
        <v>29348.2</v>
      </c>
      <c r="GK18">
        <v>29263.9</v>
      </c>
      <c r="GL18">
        <v>35447.6</v>
      </c>
      <c r="GM18">
        <v>36653.8</v>
      </c>
      <c r="GN18">
        <v>41309.4</v>
      </c>
      <c r="GO18">
        <v>41768.9</v>
      </c>
      <c r="GP18">
        <v>1.95835</v>
      </c>
      <c r="GQ18">
        <v>1.84973</v>
      </c>
      <c r="GR18">
        <v>-0.0260025</v>
      </c>
      <c r="GS18">
        <v>0</v>
      </c>
      <c r="GT18">
        <v>25.4294</v>
      </c>
      <c r="GU18">
        <v>999.9</v>
      </c>
      <c r="GV18">
        <v>32</v>
      </c>
      <c r="GW18">
        <v>34.2</v>
      </c>
      <c r="GX18">
        <v>19.2209</v>
      </c>
      <c r="GY18">
        <v>62.7674</v>
      </c>
      <c r="GZ18">
        <v>34.9119</v>
      </c>
      <c r="HA18">
        <v>1</v>
      </c>
      <c r="HB18">
        <v>0.100854</v>
      </c>
      <c r="HC18">
        <v>2.31246</v>
      </c>
      <c r="HD18">
        <v>20.3191</v>
      </c>
      <c r="HE18">
        <v>5.22178</v>
      </c>
      <c r="HF18">
        <v>12.0099</v>
      </c>
      <c r="HG18">
        <v>4.9898</v>
      </c>
      <c r="HH18">
        <v>3.28925</v>
      </c>
      <c r="HI18">
        <v>991.7</v>
      </c>
      <c r="HJ18">
        <v>9511.4</v>
      </c>
      <c r="HK18">
        <v>5139.4</v>
      </c>
      <c r="HL18">
        <v>24.8</v>
      </c>
      <c r="HM18">
        <v>1.86751</v>
      </c>
      <c r="HN18">
        <v>1.86646</v>
      </c>
      <c r="HO18">
        <v>1.866</v>
      </c>
      <c r="HP18">
        <v>1.86584</v>
      </c>
      <c r="HQ18">
        <v>1.86768</v>
      </c>
      <c r="HR18">
        <v>1.87019</v>
      </c>
      <c r="HS18">
        <v>1.86888</v>
      </c>
      <c r="HT18">
        <v>1.87025</v>
      </c>
      <c r="HU18">
        <v>0</v>
      </c>
      <c r="HV18">
        <v>0</v>
      </c>
      <c r="HW18">
        <v>0</v>
      </c>
      <c r="HX18">
        <v>0</v>
      </c>
      <c r="HY18" t="s">
        <v>421</v>
      </c>
      <c r="HZ18" t="s">
        <v>422</v>
      </c>
      <c r="IA18" t="s">
        <v>423</v>
      </c>
      <c r="IB18" t="s">
        <v>423</v>
      </c>
      <c r="IC18" t="s">
        <v>423</v>
      </c>
      <c r="ID18" t="s">
        <v>423</v>
      </c>
      <c r="IE18">
        <v>0</v>
      </c>
      <c r="IF18">
        <v>100</v>
      </c>
      <c r="IG18">
        <v>100</v>
      </c>
      <c r="IH18">
        <v>-3.05</v>
      </c>
      <c r="II18">
        <v>0.0213</v>
      </c>
      <c r="IJ18">
        <v>-0.2164499368582429</v>
      </c>
      <c r="IK18">
        <v>-0.002077099775823331</v>
      </c>
      <c r="IL18">
        <v>4.593143279902166E-07</v>
      </c>
      <c r="IM18">
        <v>-1.865383991892071E-10</v>
      </c>
      <c r="IN18">
        <v>-0.06087574426827484</v>
      </c>
      <c r="IO18">
        <v>-0.01129461987421345</v>
      </c>
      <c r="IP18">
        <v>0.00116580895745559</v>
      </c>
      <c r="IQ18">
        <v>-1.679085872906199E-05</v>
      </c>
      <c r="IR18">
        <v>2</v>
      </c>
      <c r="IS18">
        <v>2290</v>
      </c>
      <c r="IT18">
        <v>0</v>
      </c>
      <c r="IU18">
        <v>32</v>
      </c>
      <c r="IV18">
        <v>2.7</v>
      </c>
      <c r="IW18">
        <v>2.4</v>
      </c>
      <c r="IX18">
        <v>3.03833</v>
      </c>
      <c r="IY18">
        <v>2.1875</v>
      </c>
      <c r="IZ18">
        <v>1.39648</v>
      </c>
      <c r="JA18">
        <v>2.35596</v>
      </c>
      <c r="JB18">
        <v>1.49536</v>
      </c>
      <c r="JC18">
        <v>2.28882</v>
      </c>
      <c r="JD18">
        <v>38.379</v>
      </c>
      <c r="JE18">
        <v>24.0262</v>
      </c>
      <c r="JF18">
        <v>18</v>
      </c>
      <c r="JG18">
        <v>512.415</v>
      </c>
      <c r="JH18">
        <v>428.19</v>
      </c>
      <c r="JI18">
        <v>22.5204</v>
      </c>
      <c r="JJ18">
        <v>28.6022</v>
      </c>
      <c r="JK18">
        <v>30.0006</v>
      </c>
      <c r="JL18">
        <v>28.5717</v>
      </c>
      <c r="JM18">
        <v>28.5099</v>
      </c>
      <c r="JN18">
        <v>60.7204</v>
      </c>
      <c r="JO18">
        <v>41.2782</v>
      </c>
      <c r="JP18">
        <v>0</v>
      </c>
      <c r="JQ18">
        <v>22.4826</v>
      </c>
      <c r="JR18">
        <v>1598.31</v>
      </c>
      <c r="JS18">
        <v>11.0746</v>
      </c>
      <c r="JT18">
        <v>100.319</v>
      </c>
      <c r="JU18">
        <v>100.248</v>
      </c>
    </row>
    <row r="19" spans="1:281">
      <c r="A19">
        <v>3</v>
      </c>
      <c r="B19">
        <v>1651864404.6</v>
      </c>
      <c r="C19">
        <v>184</v>
      </c>
      <c r="D19" t="s">
        <v>426</v>
      </c>
      <c r="E19" t="s">
        <v>427</v>
      </c>
      <c r="F19">
        <v>2</v>
      </c>
      <c r="G19" t="s">
        <v>413</v>
      </c>
      <c r="H19" t="s">
        <v>414</v>
      </c>
      <c r="I19">
        <v>1651864403.6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1623.04142729157</v>
      </c>
      <c r="AK19">
        <v>1592.119515151515</v>
      </c>
      <c r="AL19">
        <v>0.0334376032168589</v>
      </c>
      <c r="AM19">
        <v>66.38192812717227</v>
      </c>
      <c r="AN19">
        <f>(AP19 - AO19 + DI19*1E3/(8.314*(DK19+273.15)) * AR19/DH19 * AQ19) * DH19/(100*CV19) * 1000/(1000 - AP19)</f>
        <v>0</v>
      </c>
      <c r="AO19">
        <v>11.0503184144744</v>
      </c>
      <c r="AP19">
        <v>18.41499176470587</v>
      </c>
      <c r="AQ19">
        <v>5.436547632435541E-05</v>
      </c>
      <c r="AR19">
        <v>80.47224507511959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417</v>
      </c>
      <c r="AY19" t="s">
        <v>417</v>
      </c>
      <c r="AZ19">
        <v>0</v>
      </c>
      <c r="BA19">
        <v>0</v>
      </c>
      <c r="BB19">
        <f>1-AZ19/BA19</f>
        <v>0</v>
      </c>
      <c r="BC19">
        <v>0</v>
      </c>
      <c r="BD19" t="s">
        <v>417</v>
      </c>
      <c r="BE19" t="s">
        <v>417</v>
      </c>
      <c r="BF19">
        <v>0</v>
      </c>
      <c r="BG19">
        <v>0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417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1248</v>
      </c>
      <c r="CA19">
        <v>300</v>
      </c>
      <c r="CB19">
        <v>300</v>
      </c>
      <c r="CC19">
        <v>300</v>
      </c>
      <c r="CD19">
        <v>10442</v>
      </c>
      <c r="CE19">
        <v>1293.69</v>
      </c>
      <c r="CF19">
        <v>-0.00735246</v>
      </c>
      <c r="CG19">
        <v>0.5</v>
      </c>
      <c r="CH19" t="s">
        <v>417</v>
      </c>
      <c r="CI19" t="s">
        <v>417</v>
      </c>
      <c r="CJ19" t="s">
        <v>417</v>
      </c>
      <c r="CK19" t="s">
        <v>417</v>
      </c>
      <c r="CL19" t="s">
        <v>417</v>
      </c>
      <c r="CM19" t="s">
        <v>417</v>
      </c>
      <c r="CN19" t="s">
        <v>417</v>
      </c>
      <c r="CO19" t="s">
        <v>417</v>
      </c>
      <c r="CP19" t="s">
        <v>417</v>
      </c>
      <c r="CQ19" t="s">
        <v>417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418</v>
      </c>
      <c r="CY19">
        <v>2</v>
      </c>
      <c r="CZ19" t="b">
        <v>1</v>
      </c>
      <c r="DA19">
        <v>1651864403.6</v>
      </c>
      <c r="DB19">
        <v>1562.81</v>
      </c>
      <c r="DC19">
        <v>1605.093333333333</v>
      </c>
      <c r="DD19">
        <v>18.4151</v>
      </c>
      <c r="DE19">
        <v>11.04896666666667</v>
      </c>
      <c r="DF19">
        <v>1565.87</v>
      </c>
      <c r="DG19">
        <v>18.3938</v>
      </c>
      <c r="DH19">
        <v>499.939</v>
      </c>
      <c r="DI19">
        <v>89.94503333333334</v>
      </c>
      <c r="DJ19">
        <v>0.0996454</v>
      </c>
      <c r="DK19">
        <v>25.6859</v>
      </c>
      <c r="DL19">
        <v>25.0029</v>
      </c>
      <c r="DM19">
        <v>999.9</v>
      </c>
      <c r="DN19">
        <v>0</v>
      </c>
      <c r="DO19">
        <v>0</v>
      </c>
      <c r="DP19">
        <v>10007.08333333333</v>
      </c>
      <c r="DQ19">
        <v>0</v>
      </c>
      <c r="DR19">
        <v>3.20383</v>
      </c>
      <c r="DS19">
        <v>-42.27926666666666</v>
      </c>
      <c r="DT19">
        <v>1592.13</v>
      </c>
      <c r="DU19">
        <v>1623.023333333333</v>
      </c>
      <c r="DV19">
        <v>7.366116666666667</v>
      </c>
      <c r="DW19">
        <v>1605.093333333333</v>
      </c>
      <c r="DX19">
        <v>11.04896666666667</v>
      </c>
      <c r="DY19">
        <v>1.656346666666667</v>
      </c>
      <c r="DZ19">
        <v>0.9937996666666667</v>
      </c>
      <c r="EA19">
        <v>14.4932</v>
      </c>
      <c r="EB19">
        <v>6.82579</v>
      </c>
      <c r="EC19">
        <v>1500.016666666667</v>
      </c>
      <c r="ED19">
        <v>0.973002</v>
      </c>
      <c r="EE19">
        <v>0.0269985</v>
      </c>
      <c r="EF19">
        <v>0</v>
      </c>
      <c r="EG19">
        <v>1078.183333333333</v>
      </c>
      <c r="EH19">
        <v>5.00097</v>
      </c>
      <c r="EI19">
        <v>15968.36666666667</v>
      </c>
      <c r="EJ19">
        <v>12491.7</v>
      </c>
      <c r="EK19">
        <v>37.25</v>
      </c>
      <c r="EL19">
        <v>38.687</v>
      </c>
      <c r="EM19">
        <v>37.625</v>
      </c>
      <c r="EN19">
        <v>38.437</v>
      </c>
      <c r="EO19">
        <v>38.125</v>
      </c>
      <c r="EP19">
        <v>1454.656666666667</v>
      </c>
      <c r="EQ19">
        <v>40.36</v>
      </c>
      <c r="ER19">
        <v>0</v>
      </c>
      <c r="ES19">
        <v>183.6000001430511</v>
      </c>
      <c r="ET19">
        <v>0</v>
      </c>
      <c r="EU19">
        <v>1102.549230769231</v>
      </c>
      <c r="EV19">
        <v>-224.6324786459974</v>
      </c>
      <c r="EW19">
        <v>-3250.694017537992</v>
      </c>
      <c r="EX19">
        <v>16321.4</v>
      </c>
      <c r="EY19">
        <v>15</v>
      </c>
      <c r="EZ19">
        <v>1651864261.1</v>
      </c>
      <c r="FA19" t="s">
        <v>419</v>
      </c>
      <c r="FB19">
        <v>1651864241.6</v>
      </c>
      <c r="FC19">
        <v>1651864261.1</v>
      </c>
      <c r="FD19">
        <v>7</v>
      </c>
      <c r="FE19">
        <v>0.438</v>
      </c>
      <c r="FF19">
        <v>0.002</v>
      </c>
      <c r="FG19">
        <v>-0.988</v>
      </c>
      <c r="FH19">
        <v>-0.066</v>
      </c>
      <c r="FI19">
        <v>400</v>
      </c>
      <c r="FJ19">
        <v>11</v>
      </c>
      <c r="FK19">
        <v>0.05</v>
      </c>
      <c r="FL19">
        <v>0.02</v>
      </c>
      <c r="FM19">
        <v>-45.17504146341464</v>
      </c>
      <c r="FN19">
        <v>26.43377979094076</v>
      </c>
      <c r="FO19">
        <v>2.704894197558955</v>
      </c>
      <c r="FP19">
        <v>-1</v>
      </c>
      <c r="FQ19">
        <v>7.355003902439026</v>
      </c>
      <c r="FR19">
        <v>0.06836445993030871</v>
      </c>
      <c r="FS19">
        <v>0.00685637281553475</v>
      </c>
      <c r="FT19">
        <v>-1</v>
      </c>
      <c r="FU19">
        <v>0</v>
      </c>
      <c r="FV19">
        <v>0</v>
      </c>
      <c r="FW19">
        <v>0</v>
      </c>
      <c r="FX19">
        <v>-1</v>
      </c>
      <c r="FY19">
        <v>0</v>
      </c>
      <c r="FZ19">
        <v>0</v>
      </c>
      <c r="GA19" t="s">
        <v>420</v>
      </c>
      <c r="GB19">
        <v>2.98031</v>
      </c>
      <c r="GC19">
        <v>2.70598</v>
      </c>
      <c r="GD19">
        <v>0.225883</v>
      </c>
      <c r="GE19">
        <v>0.226966</v>
      </c>
      <c r="GF19">
        <v>0.08790480000000001</v>
      </c>
      <c r="GG19">
        <v>0.0596803</v>
      </c>
      <c r="GH19">
        <v>24432.2</v>
      </c>
      <c r="GI19">
        <v>24452.6</v>
      </c>
      <c r="GJ19">
        <v>29348.3</v>
      </c>
      <c r="GK19">
        <v>29264.1</v>
      </c>
      <c r="GL19">
        <v>35447.7</v>
      </c>
      <c r="GM19">
        <v>36654.1</v>
      </c>
      <c r="GN19">
        <v>41309.7</v>
      </c>
      <c r="GO19">
        <v>41769.2</v>
      </c>
      <c r="GP19">
        <v>1.95835</v>
      </c>
      <c r="GQ19">
        <v>1.84955</v>
      </c>
      <c r="GR19">
        <v>-0.0261143</v>
      </c>
      <c r="GS19">
        <v>0</v>
      </c>
      <c r="GT19">
        <v>25.4294</v>
      </c>
      <c r="GU19">
        <v>999.9</v>
      </c>
      <c r="GV19">
        <v>32</v>
      </c>
      <c r="GW19">
        <v>34.2</v>
      </c>
      <c r="GX19">
        <v>19.2222</v>
      </c>
      <c r="GY19">
        <v>62.3274</v>
      </c>
      <c r="GZ19">
        <v>35.2484</v>
      </c>
      <c r="HA19">
        <v>1</v>
      </c>
      <c r="HB19">
        <v>0.101126</v>
      </c>
      <c r="HC19">
        <v>2.30194</v>
      </c>
      <c r="HD19">
        <v>20.3185</v>
      </c>
      <c r="HE19">
        <v>5.21744</v>
      </c>
      <c r="HF19">
        <v>12.0099</v>
      </c>
      <c r="HG19">
        <v>4.9888</v>
      </c>
      <c r="HH19">
        <v>3.28858</v>
      </c>
      <c r="HI19">
        <v>991.7</v>
      </c>
      <c r="HJ19">
        <v>9511.4</v>
      </c>
      <c r="HK19">
        <v>5139.4</v>
      </c>
      <c r="HL19">
        <v>24.8</v>
      </c>
      <c r="HM19">
        <v>1.8675</v>
      </c>
      <c r="HN19">
        <v>1.86646</v>
      </c>
      <c r="HO19">
        <v>1.866</v>
      </c>
      <c r="HP19">
        <v>1.86584</v>
      </c>
      <c r="HQ19">
        <v>1.86768</v>
      </c>
      <c r="HR19">
        <v>1.8702</v>
      </c>
      <c r="HS19">
        <v>1.86886</v>
      </c>
      <c r="HT19">
        <v>1.87026</v>
      </c>
      <c r="HU19">
        <v>0</v>
      </c>
      <c r="HV19">
        <v>0</v>
      </c>
      <c r="HW19">
        <v>0</v>
      </c>
      <c r="HX19">
        <v>0</v>
      </c>
      <c r="HY19" t="s">
        <v>421</v>
      </c>
      <c r="HZ19" t="s">
        <v>422</v>
      </c>
      <c r="IA19" t="s">
        <v>423</v>
      </c>
      <c r="IB19" t="s">
        <v>423</v>
      </c>
      <c r="IC19" t="s">
        <v>423</v>
      </c>
      <c r="ID19" t="s">
        <v>423</v>
      </c>
      <c r="IE19">
        <v>0</v>
      </c>
      <c r="IF19">
        <v>100</v>
      </c>
      <c r="IG19">
        <v>100</v>
      </c>
      <c r="IH19">
        <v>-3.06</v>
      </c>
      <c r="II19">
        <v>0.0213</v>
      </c>
      <c r="IJ19">
        <v>-0.2164499368582429</v>
      </c>
      <c r="IK19">
        <v>-0.002077099775823331</v>
      </c>
      <c r="IL19">
        <v>4.593143279902166E-07</v>
      </c>
      <c r="IM19">
        <v>-1.865383991892071E-10</v>
      </c>
      <c r="IN19">
        <v>-0.06087574426827484</v>
      </c>
      <c r="IO19">
        <v>-0.01129461987421345</v>
      </c>
      <c r="IP19">
        <v>0.00116580895745559</v>
      </c>
      <c r="IQ19">
        <v>-1.679085872906199E-05</v>
      </c>
      <c r="IR19">
        <v>2</v>
      </c>
      <c r="IS19">
        <v>2290</v>
      </c>
      <c r="IT19">
        <v>0</v>
      </c>
      <c r="IU19">
        <v>32</v>
      </c>
      <c r="IV19">
        <v>2.7</v>
      </c>
      <c r="IW19">
        <v>2.4</v>
      </c>
      <c r="IX19">
        <v>3.02979</v>
      </c>
      <c r="IY19">
        <v>2.1814</v>
      </c>
      <c r="IZ19">
        <v>1.39648</v>
      </c>
      <c r="JA19">
        <v>2.35718</v>
      </c>
      <c r="JB19">
        <v>1.49536</v>
      </c>
      <c r="JC19">
        <v>2.3645</v>
      </c>
      <c r="JD19">
        <v>38.379</v>
      </c>
      <c r="JE19">
        <v>24.0437</v>
      </c>
      <c r="JF19">
        <v>18</v>
      </c>
      <c r="JG19">
        <v>512.415</v>
      </c>
      <c r="JH19">
        <v>428.086</v>
      </c>
      <c r="JI19">
        <v>22.4997</v>
      </c>
      <c r="JJ19">
        <v>28.6022</v>
      </c>
      <c r="JK19">
        <v>30.0006</v>
      </c>
      <c r="JL19">
        <v>28.5717</v>
      </c>
      <c r="JM19">
        <v>28.51</v>
      </c>
      <c r="JN19">
        <v>60.5209</v>
      </c>
      <c r="JO19">
        <v>41.2782</v>
      </c>
      <c r="JP19">
        <v>0</v>
      </c>
      <c r="JQ19">
        <v>22.4795</v>
      </c>
      <c r="JR19">
        <v>1591.61</v>
      </c>
      <c r="JS19">
        <v>11.0746</v>
      </c>
      <c r="JT19">
        <v>100.319</v>
      </c>
      <c r="JU19">
        <v>100.249</v>
      </c>
    </row>
    <row r="20" spans="1:281">
      <c r="A20">
        <v>4</v>
      </c>
      <c r="B20">
        <v>1651864406.6</v>
      </c>
      <c r="C20">
        <v>186</v>
      </c>
      <c r="D20" t="s">
        <v>428</v>
      </c>
      <c r="E20" t="s">
        <v>429</v>
      </c>
      <c r="F20">
        <v>2</v>
      </c>
      <c r="G20" t="s">
        <v>413</v>
      </c>
      <c r="H20" t="s">
        <v>414</v>
      </c>
      <c r="I20">
        <v>1651864405.225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1623.133877191704</v>
      </c>
      <c r="AK20">
        <v>1592.089393939394</v>
      </c>
      <c r="AL20">
        <v>-0.008757925597397746</v>
      </c>
      <c r="AM20">
        <v>66.38192812717227</v>
      </c>
      <c r="AN20">
        <f>(AP20 - AO20 + DI20*1E3/(8.314*(DK20+273.15)) * AR20/DH20 * AQ20) * DH20/(100*CV20) * 1000/(1000 - AP20)</f>
        <v>0</v>
      </c>
      <c r="AO20">
        <v>11.04971165515124</v>
      </c>
      <c r="AP20">
        <v>18.41481999999999</v>
      </c>
      <c r="AQ20">
        <v>3.898651099630957E-05</v>
      </c>
      <c r="AR20">
        <v>80.47224507511959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417</v>
      </c>
      <c r="AY20" t="s">
        <v>417</v>
      </c>
      <c r="AZ20">
        <v>0</v>
      </c>
      <c r="BA20">
        <v>0</v>
      </c>
      <c r="BB20">
        <f>1-AZ20/BA20</f>
        <v>0</v>
      </c>
      <c r="BC20">
        <v>0</v>
      </c>
      <c r="BD20" t="s">
        <v>417</v>
      </c>
      <c r="BE20" t="s">
        <v>417</v>
      </c>
      <c r="BF20">
        <v>0</v>
      </c>
      <c r="BG20">
        <v>0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417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1248</v>
      </c>
      <c r="CA20">
        <v>300</v>
      </c>
      <c r="CB20">
        <v>300</v>
      </c>
      <c r="CC20">
        <v>300</v>
      </c>
      <c r="CD20">
        <v>10442</v>
      </c>
      <c r="CE20">
        <v>1293.69</v>
      </c>
      <c r="CF20">
        <v>-0.00735246</v>
      </c>
      <c r="CG20">
        <v>0.5</v>
      </c>
      <c r="CH20" t="s">
        <v>417</v>
      </c>
      <c r="CI20" t="s">
        <v>417</v>
      </c>
      <c r="CJ20" t="s">
        <v>417</v>
      </c>
      <c r="CK20" t="s">
        <v>417</v>
      </c>
      <c r="CL20" t="s">
        <v>417</v>
      </c>
      <c r="CM20" t="s">
        <v>417</v>
      </c>
      <c r="CN20" t="s">
        <v>417</v>
      </c>
      <c r="CO20" t="s">
        <v>417</v>
      </c>
      <c r="CP20" t="s">
        <v>417</v>
      </c>
      <c r="CQ20" t="s">
        <v>417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418</v>
      </c>
      <c r="CY20">
        <v>2</v>
      </c>
      <c r="CZ20" t="b">
        <v>1</v>
      </c>
      <c r="DA20">
        <v>1651864405.225</v>
      </c>
      <c r="DB20">
        <v>1562.7925</v>
      </c>
      <c r="DC20">
        <v>1604.7575</v>
      </c>
      <c r="DD20">
        <v>18.414925</v>
      </c>
      <c r="DE20">
        <v>11.048125</v>
      </c>
      <c r="DF20">
        <v>1565.8525</v>
      </c>
      <c r="DG20">
        <v>18.393625</v>
      </c>
      <c r="DH20">
        <v>500.00375</v>
      </c>
      <c r="DI20">
        <v>89.94515</v>
      </c>
      <c r="DJ20">
        <v>0.09988269999999999</v>
      </c>
      <c r="DK20">
        <v>25.684425</v>
      </c>
      <c r="DL20">
        <v>24.998475</v>
      </c>
      <c r="DM20">
        <v>999.9</v>
      </c>
      <c r="DN20">
        <v>0</v>
      </c>
      <c r="DO20">
        <v>0</v>
      </c>
      <c r="DP20">
        <v>10001.5625</v>
      </c>
      <c r="DQ20">
        <v>0</v>
      </c>
      <c r="DR20">
        <v>3.20383</v>
      </c>
      <c r="DS20">
        <v>-41.96622499999999</v>
      </c>
      <c r="DT20">
        <v>1592.1125</v>
      </c>
      <c r="DU20">
        <v>1622.685</v>
      </c>
      <c r="DV20">
        <v>7.36679</v>
      </c>
      <c r="DW20">
        <v>1604.7575</v>
      </c>
      <c r="DX20">
        <v>11.048125</v>
      </c>
      <c r="DY20">
        <v>1.656335</v>
      </c>
      <c r="DZ20">
        <v>0.9937255</v>
      </c>
      <c r="EA20">
        <v>14.493125</v>
      </c>
      <c r="EB20">
        <v>6.824705</v>
      </c>
      <c r="EC20">
        <v>1500.005</v>
      </c>
      <c r="ED20">
        <v>0.973002</v>
      </c>
      <c r="EE20">
        <v>0.0269985</v>
      </c>
      <c r="EF20">
        <v>0</v>
      </c>
      <c r="EG20">
        <v>1071.965</v>
      </c>
      <c r="EH20">
        <v>5.00097</v>
      </c>
      <c r="EI20">
        <v>15877.925</v>
      </c>
      <c r="EJ20">
        <v>12491.65</v>
      </c>
      <c r="EK20">
        <v>37.25</v>
      </c>
      <c r="EL20">
        <v>38.687</v>
      </c>
      <c r="EM20">
        <v>37.625</v>
      </c>
      <c r="EN20">
        <v>38.437</v>
      </c>
      <c r="EO20">
        <v>38.125</v>
      </c>
      <c r="EP20">
        <v>1454.645</v>
      </c>
      <c r="EQ20">
        <v>40.36</v>
      </c>
      <c r="ER20">
        <v>0</v>
      </c>
      <c r="ES20">
        <v>185.4000000953674</v>
      </c>
      <c r="ET20">
        <v>0</v>
      </c>
      <c r="EU20">
        <v>1094.8488</v>
      </c>
      <c r="EV20">
        <v>-234.1638461375812</v>
      </c>
      <c r="EW20">
        <v>-3392.576923107432</v>
      </c>
      <c r="EX20">
        <v>16210.048</v>
      </c>
      <c r="EY20">
        <v>15</v>
      </c>
      <c r="EZ20">
        <v>1651864261.1</v>
      </c>
      <c r="FA20" t="s">
        <v>419</v>
      </c>
      <c r="FB20">
        <v>1651864241.6</v>
      </c>
      <c r="FC20">
        <v>1651864261.1</v>
      </c>
      <c r="FD20">
        <v>7</v>
      </c>
      <c r="FE20">
        <v>0.438</v>
      </c>
      <c r="FF20">
        <v>0.002</v>
      </c>
      <c r="FG20">
        <v>-0.988</v>
      </c>
      <c r="FH20">
        <v>-0.066</v>
      </c>
      <c r="FI20">
        <v>400</v>
      </c>
      <c r="FJ20">
        <v>11</v>
      </c>
      <c r="FK20">
        <v>0.05</v>
      </c>
      <c r="FL20">
        <v>0.02</v>
      </c>
      <c r="FM20">
        <v>-44.0484675</v>
      </c>
      <c r="FN20">
        <v>19.27773095684803</v>
      </c>
      <c r="FO20">
        <v>1.945053944417417</v>
      </c>
      <c r="FP20">
        <v>-1</v>
      </c>
      <c r="FQ20">
        <v>7.35812825</v>
      </c>
      <c r="FR20">
        <v>0.06240236397747569</v>
      </c>
      <c r="FS20">
        <v>0.006115191692620991</v>
      </c>
      <c r="FT20">
        <v>-1</v>
      </c>
      <c r="FU20">
        <v>0</v>
      </c>
      <c r="FV20">
        <v>0</v>
      </c>
      <c r="FW20">
        <v>0</v>
      </c>
      <c r="FX20">
        <v>-1</v>
      </c>
      <c r="FY20">
        <v>0</v>
      </c>
      <c r="FZ20">
        <v>0</v>
      </c>
      <c r="GA20" t="s">
        <v>420</v>
      </c>
      <c r="GB20">
        <v>2.9806</v>
      </c>
      <c r="GC20">
        <v>2.70617</v>
      </c>
      <c r="GD20">
        <v>0.225875</v>
      </c>
      <c r="GE20">
        <v>0.226822</v>
      </c>
      <c r="GF20">
        <v>0.08790249999999999</v>
      </c>
      <c r="GG20">
        <v>0.0596774</v>
      </c>
      <c r="GH20">
        <v>24432.4</v>
      </c>
      <c r="GI20">
        <v>24457.1</v>
      </c>
      <c r="GJ20">
        <v>29348.1</v>
      </c>
      <c r="GK20">
        <v>29264</v>
      </c>
      <c r="GL20">
        <v>35447.4</v>
      </c>
      <c r="GM20">
        <v>36654.3</v>
      </c>
      <c r="GN20">
        <v>41309.3</v>
      </c>
      <c r="GO20">
        <v>41769.2</v>
      </c>
      <c r="GP20">
        <v>1.9586</v>
      </c>
      <c r="GQ20">
        <v>1.84953</v>
      </c>
      <c r="GR20">
        <v>-0.0264868</v>
      </c>
      <c r="GS20">
        <v>0</v>
      </c>
      <c r="GT20">
        <v>25.4294</v>
      </c>
      <c r="GU20">
        <v>999.9</v>
      </c>
      <c r="GV20">
        <v>32</v>
      </c>
      <c r="GW20">
        <v>34.2</v>
      </c>
      <c r="GX20">
        <v>19.2228</v>
      </c>
      <c r="GY20">
        <v>62.4874</v>
      </c>
      <c r="GZ20">
        <v>34.7917</v>
      </c>
      <c r="HA20">
        <v>1</v>
      </c>
      <c r="HB20">
        <v>0.100884</v>
      </c>
      <c r="HC20">
        <v>2.26641</v>
      </c>
      <c r="HD20">
        <v>20.319</v>
      </c>
      <c r="HE20">
        <v>5.21804</v>
      </c>
      <c r="HF20">
        <v>12.0099</v>
      </c>
      <c r="HG20">
        <v>4.98895</v>
      </c>
      <c r="HH20">
        <v>3.28865</v>
      </c>
      <c r="HI20">
        <v>991.9</v>
      </c>
      <c r="HJ20">
        <v>9512.799999999999</v>
      </c>
      <c r="HK20">
        <v>5139.4</v>
      </c>
      <c r="HL20">
        <v>24.8</v>
      </c>
      <c r="HM20">
        <v>1.86749</v>
      </c>
      <c r="HN20">
        <v>1.86646</v>
      </c>
      <c r="HO20">
        <v>1.866</v>
      </c>
      <c r="HP20">
        <v>1.86584</v>
      </c>
      <c r="HQ20">
        <v>1.86768</v>
      </c>
      <c r="HR20">
        <v>1.8702</v>
      </c>
      <c r="HS20">
        <v>1.86886</v>
      </c>
      <c r="HT20">
        <v>1.87026</v>
      </c>
      <c r="HU20">
        <v>0</v>
      </c>
      <c r="HV20">
        <v>0</v>
      </c>
      <c r="HW20">
        <v>0</v>
      </c>
      <c r="HX20">
        <v>0</v>
      </c>
      <c r="HY20" t="s">
        <v>421</v>
      </c>
      <c r="HZ20" t="s">
        <v>422</v>
      </c>
      <c r="IA20" t="s">
        <v>423</v>
      </c>
      <c r="IB20" t="s">
        <v>423</v>
      </c>
      <c r="IC20" t="s">
        <v>423</v>
      </c>
      <c r="ID20" t="s">
        <v>423</v>
      </c>
      <c r="IE20">
        <v>0</v>
      </c>
      <c r="IF20">
        <v>100</v>
      </c>
      <c r="IG20">
        <v>100</v>
      </c>
      <c r="IH20">
        <v>-3.06</v>
      </c>
      <c r="II20">
        <v>0.0213</v>
      </c>
      <c r="IJ20">
        <v>-0.2164499368582429</v>
      </c>
      <c r="IK20">
        <v>-0.002077099775823331</v>
      </c>
      <c r="IL20">
        <v>4.593143279902166E-07</v>
      </c>
      <c r="IM20">
        <v>-1.865383991892071E-10</v>
      </c>
      <c r="IN20">
        <v>-0.06087574426827484</v>
      </c>
      <c r="IO20">
        <v>-0.01129461987421345</v>
      </c>
      <c r="IP20">
        <v>0.00116580895745559</v>
      </c>
      <c r="IQ20">
        <v>-1.679085872906199E-05</v>
      </c>
      <c r="IR20">
        <v>2</v>
      </c>
      <c r="IS20">
        <v>2290</v>
      </c>
      <c r="IT20">
        <v>0</v>
      </c>
      <c r="IU20">
        <v>32</v>
      </c>
      <c r="IV20">
        <v>2.8</v>
      </c>
      <c r="IW20">
        <v>2.4</v>
      </c>
      <c r="IX20">
        <v>3.02124</v>
      </c>
      <c r="IY20">
        <v>2.18506</v>
      </c>
      <c r="IZ20">
        <v>1.39648</v>
      </c>
      <c r="JA20">
        <v>2.35718</v>
      </c>
      <c r="JB20">
        <v>1.49536</v>
      </c>
      <c r="JC20">
        <v>2.33032</v>
      </c>
      <c r="JD20">
        <v>38.379</v>
      </c>
      <c r="JE20">
        <v>24.035</v>
      </c>
      <c r="JF20">
        <v>18</v>
      </c>
      <c r="JG20">
        <v>512.581</v>
      </c>
      <c r="JH20">
        <v>428.08</v>
      </c>
      <c r="JI20">
        <v>22.4864</v>
      </c>
      <c r="JJ20">
        <v>28.6022</v>
      </c>
      <c r="JK20">
        <v>30.0002</v>
      </c>
      <c r="JL20">
        <v>28.572</v>
      </c>
      <c r="JM20">
        <v>28.5112</v>
      </c>
      <c r="JN20">
        <v>60.3262</v>
      </c>
      <c r="JO20">
        <v>41.2782</v>
      </c>
      <c r="JP20">
        <v>0</v>
      </c>
      <c r="JQ20">
        <v>22.4795</v>
      </c>
      <c r="JR20">
        <v>1584.92</v>
      </c>
      <c r="JS20">
        <v>11.0746</v>
      </c>
      <c r="JT20">
        <v>100.319</v>
      </c>
      <c r="JU20">
        <v>100.249</v>
      </c>
    </row>
    <row r="21" spans="1:281">
      <c r="A21">
        <v>5</v>
      </c>
      <c r="B21">
        <v>1651864408.6</v>
      </c>
      <c r="C21">
        <v>188</v>
      </c>
      <c r="D21" t="s">
        <v>430</v>
      </c>
      <c r="E21" t="s">
        <v>431</v>
      </c>
      <c r="F21">
        <v>2</v>
      </c>
      <c r="G21" t="s">
        <v>413</v>
      </c>
      <c r="H21" t="s">
        <v>414</v>
      </c>
      <c r="I21">
        <v>1651864407.6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1622.416953916316</v>
      </c>
      <c r="AK21">
        <v>1591.617333333333</v>
      </c>
      <c r="AL21">
        <v>-0.1593674177170092</v>
      </c>
      <c r="AM21">
        <v>66.38192812717227</v>
      </c>
      <c r="AN21">
        <f>(AP21 - AO21 + DI21*1E3/(8.314*(DK21+273.15)) * AR21/DH21 * AQ21) * DH21/(100*CV21) * 1000/(1000 - AP21)</f>
        <v>0</v>
      </c>
      <c r="AO21">
        <v>11.04866763387529</v>
      </c>
      <c r="AP21">
        <v>18.41351352941176</v>
      </c>
      <c r="AQ21">
        <v>2.821257736821735E-05</v>
      </c>
      <c r="AR21">
        <v>80.47224507511959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417</v>
      </c>
      <c r="AY21" t="s">
        <v>417</v>
      </c>
      <c r="AZ21">
        <v>0</v>
      </c>
      <c r="BA21">
        <v>0</v>
      </c>
      <c r="BB21">
        <f>1-AZ21/BA21</f>
        <v>0</v>
      </c>
      <c r="BC21">
        <v>0</v>
      </c>
      <c r="BD21" t="s">
        <v>417</v>
      </c>
      <c r="BE21" t="s">
        <v>417</v>
      </c>
      <c r="BF21">
        <v>0</v>
      </c>
      <c r="BG21">
        <v>0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417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1248</v>
      </c>
      <c r="CA21">
        <v>300</v>
      </c>
      <c r="CB21">
        <v>300</v>
      </c>
      <c r="CC21">
        <v>300</v>
      </c>
      <c r="CD21">
        <v>10442</v>
      </c>
      <c r="CE21">
        <v>1293.69</v>
      </c>
      <c r="CF21">
        <v>-0.00735246</v>
      </c>
      <c r="CG21">
        <v>0.5</v>
      </c>
      <c r="CH21" t="s">
        <v>417</v>
      </c>
      <c r="CI21" t="s">
        <v>417</v>
      </c>
      <c r="CJ21" t="s">
        <v>417</v>
      </c>
      <c r="CK21" t="s">
        <v>417</v>
      </c>
      <c r="CL21" t="s">
        <v>417</v>
      </c>
      <c r="CM21" t="s">
        <v>417</v>
      </c>
      <c r="CN21" t="s">
        <v>417</v>
      </c>
      <c r="CO21" t="s">
        <v>417</v>
      </c>
      <c r="CP21" t="s">
        <v>417</v>
      </c>
      <c r="CQ21" t="s">
        <v>417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418</v>
      </c>
      <c r="CY21">
        <v>2</v>
      </c>
      <c r="CZ21" t="b">
        <v>1</v>
      </c>
      <c r="DA21">
        <v>1651864407.6</v>
      </c>
      <c r="DB21">
        <v>1562.47</v>
      </c>
      <c r="DC21">
        <v>1601.306666666667</v>
      </c>
      <c r="DD21">
        <v>18.4139</v>
      </c>
      <c r="DE21">
        <v>11.0477</v>
      </c>
      <c r="DF21">
        <v>1565.526666666667</v>
      </c>
      <c r="DG21">
        <v>18.3926</v>
      </c>
      <c r="DH21">
        <v>500.0703333333333</v>
      </c>
      <c r="DI21">
        <v>89.94463333333334</v>
      </c>
      <c r="DJ21">
        <v>0.1000336666666667</v>
      </c>
      <c r="DK21">
        <v>25.6836</v>
      </c>
      <c r="DL21">
        <v>24.9918</v>
      </c>
      <c r="DM21">
        <v>999.9</v>
      </c>
      <c r="DN21">
        <v>0</v>
      </c>
      <c r="DO21">
        <v>0</v>
      </c>
      <c r="DP21">
        <v>9999.783333333333</v>
      </c>
      <c r="DQ21">
        <v>0</v>
      </c>
      <c r="DR21">
        <v>3.20383</v>
      </c>
      <c r="DS21">
        <v>-38.83779999999999</v>
      </c>
      <c r="DT21">
        <v>1591.78</v>
      </c>
      <c r="DU21">
        <v>1619.196666666667</v>
      </c>
      <c r="DV21">
        <v>7.366169999999999</v>
      </c>
      <c r="DW21">
        <v>1601.306666666667</v>
      </c>
      <c r="DX21">
        <v>11.0477</v>
      </c>
      <c r="DY21">
        <v>1.65623</v>
      </c>
      <c r="DZ21">
        <v>0.993683</v>
      </c>
      <c r="EA21">
        <v>14.49216666666667</v>
      </c>
      <c r="EB21">
        <v>6.824079999999999</v>
      </c>
      <c r="EC21">
        <v>1500</v>
      </c>
      <c r="ED21">
        <v>0.973002</v>
      </c>
      <c r="EE21">
        <v>0.0269985</v>
      </c>
      <c r="EF21">
        <v>0</v>
      </c>
      <c r="EG21">
        <v>1063.1</v>
      </c>
      <c r="EH21">
        <v>5.00097</v>
      </c>
      <c r="EI21">
        <v>15747.36666666667</v>
      </c>
      <c r="EJ21">
        <v>12491.6</v>
      </c>
      <c r="EK21">
        <v>37.25</v>
      </c>
      <c r="EL21">
        <v>38.687</v>
      </c>
      <c r="EM21">
        <v>37.625</v>
      </c>
      <c r="EN21">
        <v>38.437</v>
      </c>
      <c r="EO21">
        <v>38.125</v>
      </c>
      <c r="EP21">
        <v>1454.64</v>
      </c>
      <c r="EQ21">
        <v>40.36</v>
      </c>
      <c r="ER21">
        <v>0</v>
      </c>
      <c r="ES21">
        <v>187.7999999523163</v>
      </c>
      <c r="ET21">
        <v>0</v>
      </c>
      <c r="EU21">
        <v>1085.7572</v>
      </c>
      <c r="EV21">
        <v>-232.1561541964947</v>
      </c>
      <c r="EW21">
        <v>-3376.06154377906</v>
      </c>
      <c r="EX21">
        <v>16077.892</v>
      </c>
      <c r="EY21">
        <v>15</v>
      </c>
      <c r="EZ21">
        <v>1651864261.1</v>
      </c>
      <c r="FA21" t="s">
        <v>419</v>
      </c>
      <c r="FB21">
        <v>1651864241.6</v>
      </c>
      <c r="FC21">
        <v>1651864261.1</v>
      </c>
      <c r="FD21">
        <v>7</v>
      </c>
      <c r="FE21">
        <v>0.438</v>
      </c>
      <c r="FF21">
        <v>0.002</v>
      </c>
      <c r="FG21">
        <v>-0.988</v>
      </c>
      <c r="FH21">
        <v>-0.066</v>
      </c>
      <c r="FI21">
        <v>400</v>
      </c>
      <c r="FJ21">
        <v>11</v>
      </c>
      <c r="FK21">
        <v>0.05</v>
      </c>
      <c r="FL21">
        <v>0.02</v>
      </c>
      <c r="FM21">
        <v>-43.53776585365854</v>
      </c>
      <c r="FN21">
        <v>19.15227804878044</v>
      </c>
      <c r="FO21">
        <v>1.973793277856645</v>
      </c>
      <c r="FP21">
        <v>-1</v>
      </c>
      <c r="FQ21">
        <v>7.359325365853658</v>
      </c>
      <c r="FR21">
        <v>0.05736710801392531</v>
      </c>
      <c r="FS21">
        <v>0.005784058030930904</v>
      </c>
      <c r="FT21">
        <v>-1</v>
      </c>
      <c r="FU21">
        <v>0</v>
      </c>
      <c r="FV21">
        <v>0</v>
      </c>
      <c r="FW21">
        <v>0</v>
      </c>
      <c r="FX21">
        <v>-1</v>
      </c>
      <c r="FY21">
        <v>0</v>
      </c>
      <c r="FZ21">
        <v>0</v>
      </c>
      <c r="GA21" t="s">
        <v>420</v>
      </c>
      <c r="GB21">
        <v>2.9806</v>
      </c>
      <c r="GC21">
        <v>2.70628</v>
      </c>
      <c r="GD21">
        <v>0.225813</v>
      </c>
      <c r="GE21">
        <v>0.226393</v>
      </c>
      <c r="GF21">
        <v>0.0878945</v>
      </c>
      <c r="GG21">
        <v>0.0596759</v>
      </c>
      <c r="GH21">
        <v>24434</v>
      </c>
      <c r="GI21">
        <v>24470.5</v>
      </c>
      <c r="GJ21">
        <v>29347.7</v>
      </c>
      <c r="GK21">
        <v>29263.8</v>
      </c>
      <c r="GL21">
        <v>35447.4</v>
      </c>
      <c r="GM21">
        <v>36654.2</v>
      </c>
      <c r="GN21">
        <v>41308.9</v>
      </c>
      <c r="GO21">
        <v>41769.1</v>
      </c>
      <c r="GP21">
        <v>1.9586</v>
      </c>
      <c r="GQ21">
        <v>1.84975</v>
      </c>
      <c r="GR21">
        <v>-0.0266917</v>
      </c>
      <c r="GS21">
        <v>0</v>
      </c>
      <c r="GT21">
        <v>25.4294</v>
      </c>
      <c r="GU21">
        <v>999.9</v>
      </c>
      <c r="GV21">
        <v>32</v>
      </c>
      <c r="GW21">
        <v>34.2</v>
      </c>
      <c r="GX21">
        <v>19.2218</v>
      </c>
      <c r="GY21">
        <v>62.3774</v>
      </c>
      <c r="GZ21">
        <v>35.1322</v>
      </c>
      <c r="HA21">
        <v>1</v>
      </c>
      <c r="HB21">
        <v>0.10096</v>
      </c>
      <c r="HC21">
        <v>2.247</v>
      </c>
      <c r="HD21">
        <v>20.3194</v>
      </c>
      <c r="HE21">
        <v>5.21819</v>
      </c>
      <c r="HF21">
        <v>12.0099</v>
      </c>
      <c r="HG21">
        <v>4.98885</v>
      </c>
      <c r="HH21">
        <v>3.28865</v>
      </c>
      <c r="HI21">
        <v>991.9</v>
      </c>
      <c r="HJ21">
        <v>9512.799999999999</v>
      </c>
      <c r="HK21">
        <v>5139.4</v>
      </c>
      <c r="HL21">
        <v>24.8</v>
      </c>
      <c r="HM21">
        <v>1.86748</v>
      </c>
      <c r="HN21">
        <v>1.86646</v>
      </c>
      <c r="HO21">
        <v>1.866</v>
      </c>
      <c r="HP21">
        <v>1.86584</v>
      </c>
      <c r="HQ21">
        <v>1.86768</v>
      </c>
      <c r="HR21">
        <v>1.87018</v>
      </c>
      <c r="HS21">
        <v>1.86886</v>
      </c>
      <c r="HT21">
        <v>1.87024</v>
      </c>
      <c r="HU21">
        <v>0</v>
      </c>
      <c r="HV21">
        <v>0</v>
      </c>
      <c r="HW21">
        <v>0</v>
      </c>
      <c r="HX21">
        <v>0</v>
      </c>
      <c r="HY21" t="s">
        <v>421</v>
      </c>
      <c r="HZ21" t="s">
        <v>422</v>
      </c>
      <c r="IA21" t="s">
        <v>423</v>
      </c>
      <c r="IB21" t="s">
        <v>423</v>
      </c>
      <c r="IC21" t="s">
        <v>423</v>
      </c>
      <c r="ID21" t="s">
        <v>423</v>
      </c>
      <c r="IE21">
        <v>0</v>
      </c>
      <c r="IF21">
        <v>100</v>
      </c>
      <c r="IG21">
        <v>100</v>
      </c>
      <c r="IH21">
        <v>-3.06</v>
      </c>
      <c r="II21">
        <v>0.0212</v>
      </c>
      <c r="IJ21">
        <v>-0.2164499368582429</v>
      </c>
      <c r="IK21">
        <v>-0.002077099775823331</v>
      </c>
      <c r="IL21">
        <v>4.593143279902166E-07</v>
      </c>
      <c r="IM21">
        <v>-1.865383991892071E-10</v>
      </c>
      <c r="IN21">
        <v>-0.06087574426827484</v>
      </c>
      <c r="IO21">
        <v>-0.01129461987421345</v>
      </c>
      <c r="IP21">
        <v>0.00116580895745559</v>
      </c>
      <c r="IQ21">
        <v>-1.679085872906199E-05</v>
      </c>
      <c r="IR21">
        <v>2</v>
      </c>
      <c r="IS21">
        <v>2290</v>
      </c>
      <c r="IT21">
        <v>0</v>
      </c>
      <c r="IU21">
        <v>32</v>
      </c>
      <c r="IV21">
        <v>2.8</v>
      </c>
      <c r="IW21">
        <v>2.5</v>
      </c>
      <c r="IX21">
        <v>3.01025</v>
      </c>
      <c r="IY21">
        <v>2.18506</v>
      </c>
      <c r="IZ21">
        <v>1.39648</v>
      </c>
      <c r="JA21">
        <v>2.35596</v>
      </c>
      <c r="JB21">
        <v>1.49536</v>
      </c>
      <c r="JC21">
        <v>2.32666</v>
      </c>
      <c r="JD21">
        <v>38.379</v>
      </c>
      <c r="JE21">
        <v>24.035</v>
      </c>
      <c r="JF21">
        <v>18</v>
      </c>
      <c r="JG21">
        <v>512.592</v>
      </c>
      <c r="JH21">
        <v>428.222</v>
      </c>
      <c r="JI21">
        <v>22.4799</v>
      </c>
      <c r="JJ21">
        <v>28.6022</v>
      </c>
      <c r="JK21">
        <v>30.0003</v>
      </c>
      <c r="JL21">
        <v>28.5732</v>
      </c>
      <c r="JM21">
        <v>28.5122</v>
      </c>
      <c r="JN21">
        <v>60.1342</v>
      </c>
      <c r="JO21">
        <v>41.2782</v>
      </c>
      <c r="JP21">
        <v>0</v>
      </c>
      <c r="JQ21">
        <v>22.4795</v>
      </c>
      <c r="JR21">
        <v>1578.22</v>
      </c>
      <c r="JS21">
        <v>11.0746</v>
      </c>
      <c r="JT21">
        <v>100.318</v>
      </c>
      <c r="JU21">
        <v>100.248</v>
      </c>
    </row>
    <row r="22" spans="1:281">
      <c r="A22">
        <v>6</v>
      </c>
      <c r="B22">
        <v>1651864410.6</v>
      </c>
      <c r="C22">
        <v>190</v>
      </c>
      <c r="D22" t="s">
        <v>432</v>
      </c>
      <c r="E22" t="s">
        <v>433</v>
      </c>
      <c r="F22">
        <v>2</v>
      </c>
      <c r="G22" t="s">
        <v>413</v>
      </c>
      <c r="H22" t="s">
        <v>414</v>
      </c>
      <c r="I22">
        <v>1651864409.225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1618.525797952788</v>
      </c>
      <c r="AK22">
        <v>1589.838363636363</v>
      </c>
      <c r="AL22">
        <v>-0.6645180494449536</v>
      </c>
      <c r="AM22">
        <v>66.38192812717227</v>
      </c>
      <c r="AN22">
        <f>(AP22 - AO22 + DI22*1E3/(8.314*(DK22+273.15)) * AR22/DH22 * AQ22) * DH22/(100*CV22) * 1000/(1000 - AP22)</f>
        <v>0</v>
      </c>
      <c r="AO22">
        <v>11.04794420683435</v>
      </c>
      <c r="AP22">
        <v>18.41128088235293</v>
      </c>
      <c r="AQ22">
        <v>4.683802522162622E-06</v>
      </c>
      <c r="AR22">
        <v>80.47224507511959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417</v>
      </c>
      <c r="AY22" t="s">
        <v>417</v>
      </c>
      <c r="AZ22">
        <v>0</v>
      </c>
      <c r="BA22">
        <v>0</v>
      </c>
      <c r="BB22">
        <f>1-AZ22/BA22</f>
        <v>0</v>
      </c>
      <c r="BC22">
        <v>0</v>
      </c>
      <c r="BD22" t="s">
        <v>417</v>
      </c>
      <c r="BE22" t="s">
        <v>417</v>
      </c>
      <c r="BF22">
        <v>0</v>
      </c>
      <c r="BG22">
        <v>0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417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1248</v>
      </c>
      <c r="CA22">
        <v>300</v>
      </c>
      <c r="CB22">
        <v>300</v>
      </c>
      <c r="CC22">
        <v>300</v>
      </c>
      <c r="CD22">
        <v>10442</v>
      </c>
      <c r="CE22">
        <v>1293.69</v>
      </c>
      <c r="CF22">
        <v>-0.00735246</v>
      </c>
      <c r="CG22">
        <v>0.5</v>
      </c>
      <c r="CH22" t="s">
        <v>417</v>
      </c>
      <c r="CI22" t="s">
        <v>417</v>
      </c>
      <c r="CJ22" t="s">
        <v>417</v>
      </c>
      <c r="CK22" t="s">
        <v>417</v>
      </c>
      <c r="CL22" t="s">
        <v>417</v>
      </c>
      <c r="CM22" t="s">
        <v>417</v>
      </c>
      <c r="CN22" t="s">
        <v>417</v>
      </c>
      <c r="CO22" t="s">
        <v>417</v>
      </c>
      <c r="CP22" t="s">
        <v>417</v>
      </c>
      <c r="CQ22" t="s">
        <v>417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418</v>
      </c>
      <c r="CY22">
        <v>2</v>
      </c>
      <c r="CZ22" t="b">
        <v>1</v>
      </c>
      <c r="DA22">
        <v>1651864409.225</v>
      </c>
      <c r="DB22">
        <v>1561.3875</v>
      </c>
      <c r="DC22">
        <v>1596.6875</v>
      </c>
      <c r="DD22">
        <v>18.412275</v>
      </c>
      <c r="DE22">
        <v>11.047125</v>
      </c>
      <c r="DF22">
        <v>1564.4425</v>
      </c>
      <c r="DG22">
        <v>18.391025</v>
      </c>
      <c r="DH22">
        <v>500.0165</v>
      </c>
      <c r="DI22">
        <v>89.944975</v>
      </c>
      <c r="DJ22">
        <v>0.09999685</v>
      </c>
      <c r="DK22">
        <v>25.68375</v>
      </c>
      <c r="DL22">
        <v>24.992125</v>
      </c>
      <c r="DM22">
        <v>999.9</v>
      </c>
      <c r="DN22">
        <v>0</v>
      </c>
      <c r="DO22">
        <v>0</v>
      </c>
      <c r="DP22">
        <v>10013.575</v>
      </c>
      <c r="DQ22">
        <v>0</v>
      </c>
      <c r="DR22">
        <v>3.20383</v>
      </c>
      <c r="DS22">
        <v>-35.299975</v>
      </c>
      <c r="DT22">
        <v>1590.675</v>
      </c>
      <c r="DU22">
        <v>1614.5225</v>
      </c>
      <c r="DV22">
        <v>7.3651275</v>
      </c>
      <c r="DW22">
        <v>1596.6875</v>
      </c>
      <c r="DX22">
        <v>11.047125</v>
      </c>
      <c r="DY22">
        <v>1.6560925</v>
      </c>
      <c r="DZ22">
        <v>0.993636</v>
      </c>
      <c r="EA22">
        <v>14.490875</v>
      </c>
      <c r="EB22">
        <v>6.8233925</v>
      </c>
      <c r="EC22">
        <v>1499.995</v>
      </c>
      <c r="ED22">
        <v>0.973002</v>
      </c>
      <c r="EE22">
        <v>0.0269985</v>
      </c>
      <c r="EF22">
        <v>0</v>
      </c>
      <c r="EG22">
        <v>1058.2325</v>
      </c>
      <c r="EH22">
        <v>5.00097</v>
      </c>
      <c r="EI22">
        <v>15677.375</v>
      </c>
      <c r="EJ22">
        <v>12491.55</v>
      </c>
      <c r="EK22">
        <v>37.25</v>
      </c>
      <c r="EL22">
        <v>38.687</v>
      </c>
      <c r="EM22">
        <v>37.625</v>
      </c>
      <c r="EN22">
        <v>38.437</v>
      </c>
      <c r="EO22">
        <v>38.125</v>
      </c>
      <c r="EP22">
        <v>1454.635</v>
      </c>
      <c r="EQ22">
        <v>40.36</v>
      </c>
      <c r="ER22">
        <v>0</v>
      </c>
      <c r="ES22">
        <v>189.6000001430511</v>
      </c>
      <c r="ET22">
        <v>0</v>
      </c>
      <c r="EU22">
        <v>1080.189230769231</v>
      </c>
      <c r="EV22">
        <v>-227.5275213412121</v>
      </c>
      <c r="EW22">
        <v>-3294.878632233614</v>
      </c>
      <c r="EX22">
        <v>15997.00769230769</v>
      </c>
      <c r="EY22">
        <v>15</v>
      </c>
      <c r="EZ22">
        <v>1651864261.1</v>
      </c>
      <c r="FA22" t="s">
        <v>419</v>
      </c>
      <c r="FB22">
        <v>1651864241.6</v>
      </c>
      <c r="FC22">
        <v>1651864261.1</v>
      </c>
      <c r="FD22">
        <v>7</v>
      </c>
      <c r="FE22">
        <v>0.438</v>
      </c>
      <c r="FF22">
        <v>0.002</v>
      </c>
      <c r="FG22">
        <v>-0.988</v>
      </c>
      <c r="FH22">
        <v>-0.066</v>
      </c>
      <c r="FI22">
        <v>400</v>
      </c>
      <c r="FJ22">
        <v>11</v>
      </c>
      <c r="FK22">
        <v>0.05</v>
      </c>
      <c r="FL22">
        <v>0.02</v>
      </c>
      <c r="FM22">
        <v>-42.04736</v>
      </c>
      <c r="FN22">
        <v>26.38860112570359</v>
      </c>
      <c r="FO22">
        <v>2.900433333469329</v>
      </c>
      <c r="FP22">
        <v>-1</v>
      </c>
      <c r="FQ22">
        <v>7.361440250000001</v>
      </c>
      <c r="FR22">
        <v>0.04392191369606341</v>
      </c>
      <c r="FS22">
        <v>0.004551231419901703</v>
      </c>
      <c r="FT22">
        <v>-1</v>
      </c>
      <c r="FU22">
        <v>0</v>
      </c>
      <c r="FV22">
        <v>0</v>
      </c>
      <c r="FW22">
        <v>0</v>
      </c>
      <c r="FX22">
        <v>-1</v>
      </c>
      <c r="FY22">
        <v>0</v>
      </c>
      <c r="FZ22">
        <v>0</v>
      </c>
      <c r="GA22" t="s">
        <v>420</v>
      </c>
      <c r="GB22">
        <v>2.98048</v>
      </c>
      <c r="GC22">
        <v>2.70621</v>
      </c>
      <c r="GD22">
        <v>0.225632</v>
      </c>
      <c r="GE22">
        <v>0.225902</v>
      </c>
      <c r="GF22">
        <v>0.0878879</v>
      </c>
      <c r="GG22">
        <v>0.0596712</v>
      </c>
      <c r="GH22">
        <v>24439.8</v>
      </c>
      <c r="GI22">
        <v>24485.9</v>
      </c>
      <c r="GJ22">
        <v>29347.8</v>
      </c>
      <c r="GK22">
        <v>29263.7</v>
      </c>
      <c r="GL22">
        <v>35448</v>
      </c>
      <c r="GM22">
        <v>36654.2</v>
      </c>
      <c r="GN22">
        <v>41309.3</v>
      </c>
      <c r="GO22">
        <v>41768.9</v>
      </c>
      <c r="GP22">
        <v>1.95853</v>
      </c>
      <c r="GQ22">
        <v>1.84958</v>
      </c>
      <c r="GR22">
        <v>-0.0266172</v>
      </c>
      <c r="GS22">
        <v>0</v>
      </c>
      <c r="GT22">
        <v>25.4294</v>
      </c>
      <c r="GU22">
        <v>999.9</v>
      </c>
      <c r="GV22">
        <v>32</v>
      </c>
      <c r="GW22">
        <v>34.2</v>
      </c>
      <c r="GX22">
        <v>19.2209</v>
      </c>
      <c r="GY22">
        <v>62.6574</v>
      </c>
      <c r="GZ22">
        <v>35.1282</v>
      </c>
      <c r="HA22">
        <v>1</v>
      </c>
      <c r="HB22">
        <v>0.10094</v>
      </c>
      <c r="HC22">
        <v>2.22315</v>
      </c>
      <c r="HD22">
        <v>20.3197</v>
      </c>
      <c r="HE22">
        <v>5.21789</v>
      </c>
      <c r="HF22">
        <v>12.0099</v>
      </c>
      <c r="HG22">
        <v>4.98875</v>
      </c>
      <c r="HH22">
        <v>3.28865</v>
      </c>
      <c r="HI22">
        <v>991.9</v>
      </c>
      <c r="HJ22">
        <v>9512.799999999999</v>
      </c>
      <c r="HK22">
        <v>5139.4</v>
      </c>
      <c r="HL22">
        <v>24.8</v>
      </c>
      <c r="HM22">
        <v>1.86749</v>
      </c>
      <c r="HN22">
        <v>1.86646</v>
      </c>
      <c r="HO22">
        <v>1.866</v>
      </c>
      <c r="HP22">
        <v>1.86584</v>
      </c>
      <c r="HQ22">
        <v>1.86768</v>
      </c>
      <c r="HR22">
        <v>1.8702</v>
      </c>
      <c r="HS22">
        <v>1.86884</v>
      </c>
      <c r="HT22">
        <v>1.87022</v>
      </c>
      <c r="HU22">
        <v>0</v>
      </c>
      <c r="HV22">
        <v>0</v>
      </c>
      <c r="HW22">
        <v>0</v>
      </c>
      <c r="HX22">
        <v>0</v>
      </c>
      <c r="HY22" t="s">
        <v>421</v>
      </c>
      <c r="HZ22" t="s">
        <v>422</v>
      </c>
      <c r="IA22" t="s">
        <v>423</v>
      </c>
      <c r="IB22" t="s">
        <v>423</v>
      </c>
      <c r="IC22" t="s">
        <v>423</v>
      </c>
      <c r="ID22" t="s">
        <v>423</v>
      </c>
      <c r="IE22">
        <v>0</v>
      </c>
      <c r="IF22">
        <v>100</v>
      </c>
      <c r="IG22">
        <v>100</v>
      </c>
      <c r="IH22">
        <v>-3.05</v>
      </c>
      <c r="II22">
        <v>0.0213</v>
      </c>
      <c r="IJ22">
        <v>-0.2164499368582429</v>
      </c>
      <c r="IK22">
        <v>-0.002077099775823331</v>
      </c>
      <c r="IL22">
        <v>4.593143279902166E-07</v>
      </c>
      <c r="IM22">
        <v>-1.865383991892071E-10</v>
      </c>
      <c r="IN22">
        <v>-0.06087574426827484</v>
      </c>
      <c r="IO22">
        <v>-0.01129461987421345</v>
      </c>
      <c r="IP22">
        <v>0.00116580895745559</v>
      </c>
      <c r="IQ22">
        <v>-1.679085872906199E-05</v>
      </c>
      <c r="IR22">
        <v>2</v>
      </c>
      <c r="IS22">
        <v>2290</v>
      </c>
      <c r="IT22">
        <v>0</v>
      </c>
      <c r="IU22">
        <v>32</v>
      </c>
      <c r="IV22">
        <v>2.8</v>
      </c>
      <c r="IW22">
        <v>2.5</v>
      </c>
      <c r="IX22">
        <v>2.99927</v>
      </c>
      <c r="IY22">
        <v>2.18384</v>
      </c>
      <c r="IZ22">
        <v>1.39648</v>
      </c>
      <c r="JA22">
        <v>2.35596</v>
      </c>
      <c r="JB22">
        <v>1.49536</v>
      </c>
      <c r="JC22">
        <v>2.36694</v>
      </c>
      <c r="JD22">
        <v>38.379</v>
      </c>
      <c r="JE22">
        <v>24.0437</v>
      </c>
      <c r="JF22">
        <v>18</v>
      </c>
      <c r="JG22">
        <v>512.551</v>
      </c>
      <c r="JH22">
        <v>428.117</v>
      </c>
      <c r="JI22">
        <v>22.476</v>
      </c>
      <c r="JJ22">
        <v>28.6031</v>
      </c>
      <c r="JK22">
        <v>30.0002</v>
      </c>
      <c r="JL22">
        <v>28.5741</v>
      </c>
      <c r="JM22">
        <v>28.5122</v>
      </c>
      <c r="JN22">
        <v>59.9161</v>
      </c>
      <c r="JO22">
        <v>41.2782</v>
      </c>
      <c r="JP22">
        <v>0</v>
      </c>
      <c r="JQ22">
        <v>22.4805</v>
      </c>
      <c r="JR22">
        <v>1571.53</v>
      </c>
      <c r="JS22">
        <v>11.0746</v>
      </c>
      <c r="JT22">
        <v>100.318</v>
      </c>
      <c r="JU22">
        <v>100.248</v>
      </c>
    </row>
    <row r="23" spans="1:281">
      <c r="A23">
        <v>7</v>
      </c>
      <c r="B23">
        <v>1651864412.6</v>
      </c>
      <c r="C23">
        <v>192</v>
      </c>
      <c r="D23" t="s">
        <v>434</v>
      </c>
      <c r="E23" t="s">
        <v>435</v>
      </c>
      <c r="F23">
        <v>2</v>
      </c>
      <c r="G23" t="s">
        <v>413</v>
      </c>
      <c r="H23" t="s">
        <v>414</v>
      </c>
      <c r="I23">
        <v>1651864411.6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1612.757979920355</v>
      </c>
      <c r="AK23">
        <v>1586.770787878788</v>
      </c>
      <c r="AL23">
        <v>-1.321121311333499</v>
      </c>
      <c r="AM23">
        <v>66.38192812717227</v>
      </c>
      <c r="AN23">
        <f>(AP23 - AO23 + DI23*1E3/(8.314*(DK23+273.15)) * AR23/DH23 * AQ23) * DH23/(100*CV23) * 1000/(1000 - AP23)</f>
        <v>0</v>
      </c>
      <c r="AO23">
        <v>11.04758022723824</v>
      </c>
      <c r="AP23">
        <v>18.40833411764705</v>
      </c>
      <c r="AQ23">
        <v>-1.290090160574131E-05</v>
      </c>
      <c r="AR23">
        <v>80.47224507511959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417</v>
      </c>
      <c r="AY23" t="s">
        <v>417</v>
      </c>
      <c r="AZ23">
        <v>0</v>
      </c>
      <c r="BA23">
        <v>0</v>
      </c>
      <c r="BB23">
        <f>1-AZ23/BA23</f>
        <v>0</v>
      </c>
      <c r="BC23">
        <v>0</v>
      </c>
      <c r="BD23" t="s">
        <v>417</v>
      </c>
      <c r="BE23" t="s">
        <v>417</v>
      </c>
      <c r="BF23">
        <v>0</v>
      </c>
      <c r="BG23">
        <v>0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417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1248</v>
      </c>
      <c r="CA23">
        <v>300</v>
      </c>
      <c r="CB23">
        <v>300</v>
      </c>
      <c r="CC23">
        <v>300</v>
      </c>
      <c r="CD23">
        <v>10442</v>
      </c>
      <c r="CE23">
        <v>1293.69</v>
      </c>
      <c r="CF23">
        <v>-0.00735246</v>
      </c>
      <c r="CG23">
        <v>0.5</v>
      </c>
      <c r="CH23" t="s">
        <v>417</v>
      </c>
      <c r="CI23" t="s">
        <v>417</v>
      </c>
      <c r="CJ23" t="s">
        <v>417</v>
      </c>
      <c r="CK23" t="s">
        <v>417</v>
      </c>
      <c r="CL23" t="s">
        <v>417</v>
      </c>
      <c r="CM23" t="s">
        <v>417</v>
      </c>
      <c r="CN23" t="s">
        <v>417</v>
      </c>
      <c r="CO23" t="s">
        <v>417</v>
      </c>
      <c r="CP23" t="s">
        <v>417</v>
      </c>
      <c r="CQ23" t="s">
        <v>417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418</v>
      </c>
      <c r="CY23">
        <v>2</v>
      </c>
      <c r="CZ23" t="b">
        <v>1</v>
      </c>
      <c r="DA23">
        <v>1651864411.6</v>
      </c>
      <c r="DB23">
        <v>1558.396666666667</v>
      </c>
      <c r="DC23">
        <v>1589.153333333334</v>
      </c>
      <c r="DD23">
        <v>18.40903333333333</v>
      </c>
      <c r="DE23">
        <v>11.04586666666667</v>
      </c>
      <c r="DF23">
        <v>1561.45</v>
      </c>
      <c r="DG23">
        <v>18.38783333333333</v>
      </c>
      <c r="DH23">
        <v>500.0516666666667</v>
      </c>
      <c r="DI23">
        <v>89.94603333333333</v>
      </c>
      <c r="DJ23">
        <v>0.100175</v>
      </c>
      <c r="DK23">
        <v>25.68236666666667</v>
      </c>
      <c r="DL23">
        <v>24.99183333333333</v>
      </c>
      <c r="DM23">
        <v>999.9</v>
      </c>
      <c r="DN23">
        <v>0</v>
      </c>
      <c r="DO23">
        <v>0</v>
      </c>
      <c r="DP23">
        <v>9976.873333333335</v>
      </c>
      <c r="DQ23">
        <v>0</v>
      </c>
      <c r="DR23">
        <v>3.20383</v>
      </c>
      <c r="DS23">
        <v>-30.7553</v>
      </c>
      <c r="DT23">
        <v>1587.626666666667</v>
      </c>
      <c r="DU23">
        <v>1606.903333333333</v>
      </c>
      <c r="DV23">
        <v>7.363143333333333</v>
      </c>
      <c r="DW23">
        <v>1589.153333333334</v>
      </c>
      <c r="DX23">
        <v>11.04586666666667</v>
      </c>
      <c r="DY23">
        <v>1.65582</v>
      </c>
      <c r="DZ23">
        <v>0.9935339999999999</v>
      </c>
      <c r="EA23">
        <v>14.48833333333334</v>
      </c>
      <c r="EB23">
        <v>6.8219</v>
      </c>
      <c r="EC23">
        <v>1499.986666666667</v>
      </c>
      <c r="ED23">
        <v>0.973002</v>
      </c>
      <c r="EE23">
        <v>0.0269985</v>
      </c>
      <c r="EF23">
        <v>0</v>
      </c>
      <c r="EG23">
        <v>1051.336666666667</v>
      </c>
      <c r="EH23">
        <v>5.00097</v>
      </c>
      <c r="EI23">
        <v>15577.86666666667</v>
      </c>
      <c r="EJ23">
        <v>12491.46666666667</v>
      </c>
      <c r="EK23">
        <v>37.25</v>
      </c>
      <c r="EL23">
        <v>38.687</v>
      </c>
      <c r="EM23">
        <v>37.625</v>
      </c>
      <c r="EN23">
        <v>38.437</v>
      </c>
      <c r="EO23">
        <v>38.125</v>
      </c>
      <c r="EP23">
        <v>1454.626666666667</v>
      </c>
      <c r="EQ23">
        <v>40.36</v>
      </c>
      <c r="ER23">
        <v>0</v>
      </c>
      <c r="ES23">
        <v>191.4000000953674</v>
      </c>
      <c r="ET23">
        <v>0</v>
      </c>
      <c r="EU23">
        <v>1072.4456</v>
      </c>
      <c r="EV23">
        <v>-215.5007692242311</v>
      </c>
      <c r="EW23">
        <v>-3135.023076925561</v>
      </c>
      <c r="EX23">
        <v>15884.976</v>
      </c>
      <c r="EY23">
        <v>15</v>
      </c>
      <c r="EZ23">
        <v>1651864261.1</v>
      </c>
      <c r="FA23" t="s">
        <v>419</v>
      </c>
      <c r="FB23">
        <v>1651864241.6</v>
      </c>
      <c r="FC23">
        <v>1651864261.1</v>
      </c>
      <c r="FD23">
        <v>7</v>
      </c>
      <c r="FE23">
        <v>0.438</v>
      </c>
      <c r="FF23">
        <v>0.002</v>
      </c>
      <c r="FG23">
        <v>-0.988</v>
      </c>
      <c r="FH23">
        <v>-0.066</v>
      </c>
      <c r="FI23">
        <v>400</v>
      </c>
      <c r="FJ23">
        <v>11</v>
      </c>
      <c r="FK23">
        <v>0.05</v>
      </c>
      <c r="FL23">
        <v>0.02</v>
      </c>
      <c r="FM23">
        <v>-41.10234146341463</v>
      </c>
      <c r="FN23">
        <v>33.36092613240409</v>
      </c>
      <c r="FO23">
        <v>3.798921791064176</v>
      </c>
      <c r="FP23">
        <v>-1</v>
      </c>
      <c r="FQ23">
        <v>7.361963414634147</v>
      </c>
      <c r="FR23">
        <v>0.0362592334494794</v>
      </c>
      <c r="FS23">
        <v>0.004166212885065858</v>
      </c>
      <c r="FT23">
        <v>-1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0</v>
      </c>
      <c r="GA23" t="s">
        <v>420</v>
      </c>
      <c r="GB23">
        <v>2.98062</v>
      </c>
      <c r="GC23">
        <v>2.70599</v>
      </c>
      <c r="GD23">
        <v>0.22535</v>
      </c>
      <c r="GE23">
        <v>0.22532</v>
      </c>
      <c r="GF23">
        <v>0.0878838</v>
      </c>
      <c r="GG23">
        <v>0.0596672</v>
      </c>
      <c r="GH23">
        <v>24449</v>
      </c>
      <c r="GI23">
        <v>24504.4</v>
      </c>
      <c r="GJ23">
        <v>29348.2</v>
      </c>
      <c r="GK23">
        <v>29263.8</v>
      </c>
      <c r="GL23">
        <v>35448.5</v>
      </c>
      <c r="GM23">
        <v>36654.3</v>
      </c>
      <c r="GN23">
        <v>41309.8</v>
      </c>
      <c r="GO23">
        <v>41768.8</v>
      </c>
      <c r="GP23">
        <v>1.95858</v>
      </c>
      <c r="GQ23">
        <v>1.84958</v>
      </c>
      <c r="GR23">
        <v>-0.0266731</v>
      </c>
      <c r="GS23">
        <v>0</v>
      </c>
      <c r="GT23">
        <v>25.4296</v>
      </c>
      <c r="GU23">
        <v>999.9</v>
      </c>
      <c r="GV23">
        <v>32</v>
      </c>
      <c r="GW23">
        <v>34.2</v>
      </c>
      <c r="GX23">
        <v>19.2227</v>
      </c>
      <c r="GY23">
        <v>62.6374</v>
      </c>
      <c r="GZ23">
        <v>35.2804</v>
      </c>
      <c r="HA23">
        <v>1</v>
      </c>
      <c r="HB23">
        <v>0.1008</v>
      </c>
      <c r="HC23">
        <v>2.20078</v>
      </c>
      <c r="HD23">
        <v>20.32</v>
      </c>
      <c r="HE23">
        <v>5.21789</v>
      </c>
      <c r="HF23">
        <v>12.0099</v>
      </c>
      <c r="HG23">
        <v>4.9888</v>
      </c>
      <c r="HH23">
        <v>3.28865</v>
      </c>
      <c r="HI23">
        <v>991.9</v>
      </c>
      <c r="HJ23">
        <v>9512.799999999999</v>
      </c>
      <c r="HK23">
        <v>5139.4</v>
      </c>
      <c r="HL23">
        <v>24.8</v>
      </c>
      <c r="HM23">
        <v>1.8675</v>
      </c>
      <c r="HN23">
        <v>1.86646</v>
      </c>
      <c r="HO23">
        <v>1.866</v>
      </c>
      <c r="HP23">
        <v>1.86584</v>
      </c>
      <c r="HQ23">
        <v>1.86768</v>
      </c>
      <c r="HR23">
        <v>1.87022</v>
      </c>
      <c r="HS23">
        <v>1.86884</v>
      </c>
      <c r="HT23">
        <v>1.87022</v>
      </c>
      <c r="HU23">
        <v>0</v>
      </c>
      <c r="HV23">
        <v>0</v>
      </c>
      <c r="HW23">
        <v>0</v>
      </c>
      <c r="HX23">
        <v>0</v>
      </c>
      <c r="HY23" t="s">
        <v>421</v>
      </c>
      <c r="HZ23" t="s">
        <v>422</v>
      </c>
      <c r="IA23" t="s">
        <v>423</v>
      </c>
      <c r="IB23" t="s">
        <v>423</v>
      </c>
      <c r="IC23" t="s">
        <v>423</v>
      </c>
      <c r="ID23" t="s">
        <v>423</v>
      </c>
      <c r="IE23">
        <v>0</v>
      </c>
      <c r="IF23">
        <v>100</v>
      </c>
      <c r="IG23">
        <v>100</v>
      </c>
      <c r="IH23">
        <v>-3.05</v>
      </c>
      <c r="II23">
        <v>0.0212</v>
      </c>
      <c r="IJ23">
        <v>-0.2164499368582429</v>
      </c>
      <c r="IK23">
        <v>-0.002077099775823331</v>
      </c>
      <c r="IL23">
        <v>4.593143279902166E-07</v>
      </c>
      <c r="IM23">
        <v>-1.865383991892071E-10</v>
      </c>
      <c r="IN23">
        <v>-0.06087574426827484</v>
      </c>
      <c r="IO23">
        <v>-0.01129461987421345</v>
      </c>
      <c r="IP23">
        <v>0.00116580895745559</v>
      </c>
      <c r="IQ23">
        <v>-1.679085872906199E-05</v>
      </c>
      <c r="IR23">
        <v>2</v>
      </c>
      <c r="IS23">
        <v>2290</v>
      </c>
      <c r="IT23">
        <v>0</v>
      </c>
      <c r="IU23">
        <v>32</v>
      </c>
      <c r="IV23">
        <v>2.9</v>
      </c>
      <c r="IW23">
        <v>2.5</v>
      </c>
      <c r="IX23">
        <v>2.99072</v>
      </c>
      <c r="IY23">
        <v>2.1936</v>
      </c>
      <c r="IZ23">
        <v>1.39648</v>
      </c>
      <c r="JA23">
        <v>2.35596</v>
      </c>
      <c r="JB23">
        <v>1.49536</v>
      </c>
      <c r="JC23">
        <v>2.29858</v>
      </c>
      <c r="JD23">
        <v>38.379</v>
      </c>
      <c r="JE23">
        <v>24.035</v>
      </c>
      <c r="JF23">
        <v>18</v>
      </c>
      <c r="JG23">
        <v>512.5839999999999</v>
      </c>
      <c r="JH23">
        <v>428.118</v>
      </c>
      <c r="JI23">
        <v>22.4743</v>
      </c>
      <c r="JJ23">
        <v>28.6043</v>
      </c>
      <c r="JK23">
        <v>30.0001</v>
      </c>
      <c r="JL23">
        <v>28.5741</v>
      </c>
      <c r="JM23">
        <v>28.5122</v>
      </c>
      <c r="JN23">
        <v>59.7313</v>
      </c>
      <c r="JO23">
        <v>41.2782</v>
      </c>
      <c r="JP23">
        <v>0</v>
      </c>
      <c r="JQ23">
        <v>22.4805</v>
      </c>
      <c r="JR23">
        <v>1564.85</v>
      </c>
      <c r="JS23">
        <v>11.0746</v>
      </c>
      <c r="JT23">
        <v>100.319</v>
      </c>
      <c r="JU23">
        <v>100.248</v>
      </c>
    </row>
    <row r="24" spans="1:281">
      <c r="A24">
        <v>8</v>
      </c>
      <c r="B24">
        <v>1651864414.6</v>
      </c>
      <c r="C24">
        <v>194</v>
      </c>
      <c r="D24" t="s">
        <v>436</v>
      </c>
      <c r="E24" t="s">
        <v>437</v>
      </c>
      <c r="F24">
        <v>2</v>
      </c>
      <c r="G24" t="s">
        <v>413</v>
      </c>
      <c r="H24" t="s">
        <v>414</v>
      </c>
      <c r="I24">
        <v>1651864413.225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1606.11372086566</v>
      </c>
      <c r="AK24">
        <v>1582.607212121212</v>
      </c>
      <c r="AL24">
        <v>-1.900385467532987</v>
      </c>
      <c r="AM24">
        <v>66.38192812717227</v>
      </c>
      <c r="AN24">
        <f>(AP24 - AO24 + DI24*1E3/(8.314*(DK24+273.15)) * AR24/DH24 * AQ24) * DH24/(100*CV24) * 1000/(1000 - AP24)</f>
        <v>0</v>
      </c>
      <c r="AO24">
        <v>11.046624741343</v>
      </c>
      <c r="AP24">
        <v>18.40776617647058</v>
      </c>
      <c r="AQ24">
        <v>-4.26820673306023E-05</v>
      </c>
      <c r="AR24">
        <v>80.47224507511959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417</v>
      </c>
      <c r="AY24" t="s">
        <v>417</v>
      </c>
      <c r="AZ24">
        <v>0</v>
      </c>
      <c r="BA24">
        <v>0</v>
      </c>
      <c r="BB24">
        <f>1-AZ24/BA24</f>
        <v>0</v>
      </c>
      <c r="BC24">
        <v>0</v>
      </c>
      <c r="BD24" t="s">
        <v>417</v>
      </c>
      <c r="BE24" t="s">
        <v>417</v>
      </c>
      <c r="BF24">
        <v>0</v>
      </c>
      <c r="BG24">
        <v>0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417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1248</v>
      </c>
      <c r="CA24">
        <v>300</v>
      </c>
      <c r="CB24">
        <v>300</v>
      </c>
      <c r="CC24">
        <v>300</v>
      </c>
      <c r="CD24">
        <v>10442</v>
      </c>
      <c r="CE24">
        <v>1293.69</v>
      </c>
      <c r="CF24">
        <v>-0.00735246</v>
      </c>
      <c r="CG24">
        <v>0.5</v>
      </c>
      <c r="CH24" t="s">
        <v>417</v>
      </c>
      <c r="CI24" t="s">
        <v>417</v>
      </c>
      <c r="CJ24" t="s">
        <v>417</v>
      </c>
      <c r="CK24" t="s">
        <v>417</v>
      </c>
      <c r="CL24" t="s">
        <v>417</v>
      </c>
      <c r="CM24" t="s">
        <v>417</v>
      </c>
      <c r="CN24" t="s">
        <v>417</v>
      </c>
      <c r="CO24" t="s">
        <v>417</v>
      </c>
      <c r="CP24" t="s">
        <v>417</v>
      </c>
      <c r="CQ24" t="s">
        <v>417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418</v>
      </c>
      <c r="CY24">
        <v>2</v>
      </c>
      <c r="CZ24" t="b">
        <v>1</v>
      </c>
      <c r="DA24">
        <v>1651864413.225</v>
      </c>
      <c r="DB24">
        <v>1555.3275</v>
      </c>
      <c r="DC24">
        <v>1583.5</v>
      </c>
      <c r="DD24">
        <v>18.4084</v>
      </c>
      <c r="DE24">
        <v>11.045375</v>
      </c>
      <c r="DF24">
        <v>1558.3725</v>
      </c>
      <c r="DG24">
        <v>18.3872</v>
      </c>
      <c r="DH24">
        <v>500.06975</v>
      </c>
      <c r="DI24">
        <v>89.94612499999999</v>
      </c>
      <c r="DJ24">
        <v>0.100025475</v>
      </c>
      <c r="DK24">
        <v>25.681325</v>
      </c>
      <c r="DL24">
        <v>24.993475</v>
      </c>
      <c r="DM24">
        <v>999.9</v>
      </c>
      <c r="DN24">
        <v>0</v>
      </c>
      <c r="DO24">
        <v>0</v>
      </c>
      <c r="DP24">
        <v>9974.530000000001</v>
      </c>
      <c r="DQ24">
        <v>0</v>
      </c>
      <c r="DR24">
        <v>3.20383</v>
      </c>
      <c r="DS24">
        <v>-28.174325</v>
      </c>
      <c r="DT24">
        <v>1584.495</v>
      </c>
      <c r="DU24">
        <v>1601.1875</v>
      </c>
      <c r="DV24">
        <v>7.363</v>
      </c>
      <c r="DW24">
        <v>1583.5</v>
      </c>
      <c r="DX24">
        <v>11.045375</v>
      </c>
      <c r="DY24">
        <v>1.655765</v>
      </c>
      <c r="DZ24">
        <v>0.9934907500000001</v>
      </c>
      <c r="EA24">
        <v>14.4878</v>
      </c>
      <c r="EB24">
        <v>6.8212675</v>
      </c>
      <c r="EC24">
        <v>1499.9725</v>
      </c>
      <c r="ED24">
        <v>0.973002</v>
      </c>
      <c r="EE24">
        <v>0.0269985</v>
      </c>
      <c r="EF24">
        <v>0</v>
      </c>
      <c r="EG24">
        <v>1046.7075</v>
      </c>
      <c r="EH24">
        <v>5.00097</v>
      </c>
      <c r="EI24">
        <v>15510.275</v>
      </c>
      <c r="EJ24">
        <v>12491.375</v>
      </c>
      <c r="EK24">
        <v>37.25</v>
      </c>
      <c r="EL24">
        <v>38.687</v>
      </c>
      <c r="EM24">
        <v>37.625</v>
      </c>
      <c r="EN24">
        <v>38.437</v>
      </c>
      <c r="EO24">
        <v>38.125</v>
      </c>
      <c r="EP24">
        <v>1454.6125</v>
      </c>
      <c r="EQ24">
        <v>40.36</v>
      </c>
      <c r="ER24">
        <v>0</v>
      </c>
      <c r="ES24">
        <v>193.7999999523163</v>
      </c>
      <c r="ET24">
        <v>0</v>
      </c>
      <c r="EU24">
        <v>1064.2232</v>
      </c>
      <c r="EV24">
        <v>-198.3415387625014</v>
      </c>
      <c r="EW24">
        <v>-2891.561542952245</v>
      </c>
      <c r="EX24">
        <v>15765.452</v>
      </c>
      <c r="EY24">
        <v>15</v>
      </c>
      <c r="EZ24">
        <v>1651864261.1</v>
      </c>
      <c r="FA24" t="s">
        <v>419</v>
      </c>
      <c r="FB24">
        <v>1651864241.6</v>
      </c>
      <c r="FC24">
        <v>1651864261.1</v>
      </c>
      <c r="FD24">
        <v>7</v>
      </c>
      <c r="FE24">
        <v>0.438</v>
      </c>
      <c r="FF24">
        <v>0.002</v>
      </c>
      <c r="FG24">
        <v>-0.988</v>
      </c>
      <c r="FH24">
        <v>-0.066</v>
      </c>
      <c r="FI24">
        <v>400</v>
      </c>
      <c r="FJ24">
        <v>11</v>
      </c>
      <c r="FK24">
        <v>0.05</v>
      </c>
      <c r="FL24">
        <v>0.02</v>
      </c>
      <c r="FM24">
        <v>-38.93790249999999</v>
      </c>
      <c r="FN24">
        <v>49.24799212007518</v>
      </c>
      <c r="FO24">
        <v>5.321622403998967</v>
      </c>
      <c r="FP24">
        <v>-1</v>
      </c>
      <c r="FQ24">
        <v>7.36301575</v>
      </c>
      <c r="FR24">
        <v>0.02266863039399934</v>
      </c>
      <c r="FS24">
        <v>0.003379685553050783</v>
      </c>
      <c r="FT24">
        <v>-1</v>
      </c>
      <c r="FU24">
        <v>0</v>
      </c>
      <c r="FV24">
        <v>0</v>
      </c>
      <c r="FW24">
        <v>0</v>
      </c>
      <c r="FX24">
        <v>-1</v>
      </c>
      <c r="FY24">
        <v>0</v>
      </c>
      <c r="FZ24">
        <v>0</v>
      </c>
      <c r="GA24" t="s">
        <v>420</v>
      </c>
      <c r="GB24">
        <v>2.98064</v>
      </c>
      <c r="GC24">
        <v>2.70595</v>
      </c>
      <c r="GD24">
        <v>0.22497</v>
      </c>
      <c r="GE24">
        <v>0.224737</v>
      </c>
      <c r="GF24">
        <v>0.0878766</v>
      </c>
      <c r="GG24">
        <v>0.0596656</v>
      </c>
      <c r="GH24">
        <v>24460.9</v>
      </c>
      <c r="GI24">
        <v>24522.7</v>
      </c>
      <c r="GJ24">
        <v>29348.1</v>
      </c>
      <c r="GK24">
        <v>29263.6</v>
      </c>
      <c r="GL24">
        <v>35448.7</v>
      </c>
      <c r="GM24">
        <v>36654.2</v>
      </c>
      <c r="GN24">
        <v>41309.6</v>
      </c>
      <c r="GO24">
        <v>41768.6</v>
      </c>
      <c r="GP24">
        <v>1.95855</v>
      </c>
      <c r="GQ24">
        <v>1.84975</v>
      </c>
      <c r="GR24">
        <v>-0.0266358</v>
      </c>
      <c r="GS24">
        <v>0</v>
      </c>
      <c r="GT24">
        <v>25.4307</v>
      </c>
      <c r="GU24">
        <v>999.9</v>
      </c>
      <c r="GV24">
        <v>32</v>
      </c>
      <c r="GW24">
        <v>34.2</v>
      </c>
      <c r="GX24">
        <v>19.2227</v>
      </c>
      <c r="GY24">
        <v>62.7674</v>
      </c>
      <c r="GZ24">
        <v>34.8678</v>
      </c>
      <c r="HA24">
        <v>1</v>
      </c>
      <c r="HB24">
        <v>0.100838</v>
      </c>
      <c r="HC24">
        <v>2.1882</v>
      </c>
      <c r="HD24">
        <v>20.32</v>
      </c>
      <c r="HE24">
        <v>5.21819</v>
      </c>
      <c r="HF24">
        <v>12.0099</v>
      </c>
      <c r="HG24">
        <v>4.98885</v>
      </c>
      <c r="HH24">
        <v>3.28865</v>
      </c>
      <c r="HI24">
        <v>991.9</v>
      </c>
      <c r="HJ24">
        <v>9512.799999999999</v>
      </c>
      <c r="HK24">
        <v>5139.4</v>
      </c>
      <c r="HL24">
        <v>24.8</v>
      </c>
      <c r="HM24">
        <v>1.8675</v>
      </c>
      <c r="HN24">
        <v>1.86646</v>
      </c>
      <c r="HO24">
        <v>1.866</v>
      </c>
      <c r="HP24">
        <v>1.86584</v>
      </c>
      <c r="HQ24">
        <v>1.86768</v>
      </c>
      <c r="HR24">
        <v>1.87021</v>
      </c>
      <c r="HS24">
        <v>1.86883</v>
      </c>
      <c r="HT24">
        <v>1.87022</v>
      </c>
      <c r="HU24">
        <v>0</v>
      </c>
      <c r="HV24">
        <v>0</v>
      </c>
      <c r="HW24">
        <v>0</v>
      </c>
      <c r="HX24">
        <v>0</v>
      </c>
      <c r="HY24" t="s">
        <v>421</v>
      </c>
      <c r="HZ24" t="s">
        <v>422</v>
      </c>
      <c r="IA24" t="s">
        <v>423</v>
      </c>
      <c r="IB24" t="s">
        <v>423</v>
      </c>
      <c r="IC24" t="s">
        <v>423</v>
      </c>
      <c r="ID24" t="s">
        <v>423</v>
      </c>
      <c r="IE24">
        <v>0</v>
      </c>
      <c r="IF24">
        <v>100</v>
      </c>
      <c r="IG24">
        <v>100</v>
      </c>
      <c r="IH24">
        <v>-3.04</v>
      </c>
      <c r="II24">
        <v>0.0212</v>
      </c>
      <c r="IJ24">
        <v>-0.2164499368582429</v>
      </c>
      <c r="IK24">
        <v>-0.002077099775823331</v>
      </c>
      <c r="IL24">
        <v>4.593143279902166E-07</v>
      </c>
      <c r="IM24">
        <v>-1.865383991892071E-10</v>
      </c>
      <c r="IN24">
        <v>-0.06087574426827484</v>
      </c>
      <c r="IO24">
        <v>-0.01129461987421345</v>
      </c>
      <c r="IP24">
        <v>0.00116580895745559</v>
      </c>
      <c r="IQ24">
        <v>-1.679085872906199E-05</v>
      </c>
      <c r="IR24">
        <v>2</v>
      </c>
      <c r="IS24">
        <v>2290</v>
      </c>
      <c r="IT24">
        <v>0</v>
      </c>
      <c r="IU24">
        <v>32</v>
      </c>
      <c r="IV24">
        <v>2.9</v>
      </c>
      <c r="IW24">
        <v>2.6</v>
      </c>
      <c r="IX24">
        <v>2.97974</v>
      </c>
      <c r="IY24">
        <v>2.18018</v>
      </c>
      <c r="IZ24">
        <v>1.39648</v>
      </c>
      <c r="JA24">
        <v>2.35596</v>
      </c>
      <c r="JB24">
        <v>1.49536</v>
      </c>
      <c r="JC24">
        <v>2.34863</v>
      </c>
      <c r="JD24">
        <v>38.379</v>
      </c>
      <c r="JE24">
        <v>24.035</v>
      </c>
      <c r="JF24">
        <v>18</v>
      </c>
      <c r="JG24">
        <v>512.567</v>
      </c>
      <c r="JH24">
        <v>428.222</v>
      </c>
      <c r="JI24">
        <v>22.4744</v>
      </c>
      <c r="JJ24">
        <v>28.6046</v>
      </c>
      <c r="JK24">
        <v>30.0001</v>
      </c>
      <c r="JL24">
        <v>28.5741</v>
      </c>
      <c r="JM24">
        <v>28.5122</v>
      </c>
      <c r="JN24">
        <v>59.5123</v>
      </c>
      <c r="JO24">
        <v>41.2782</v>
      </c>
      <c r="JP24">
        <v>0</v>
      </c>
      <c r="JQ24">
        <v>22.4855</v>
      </c>
      <c r="JR24">
        <v>1558.17</v>
      </c>
      <c r="JS24">
        <v>11.0746</v>
      </c>
      <c r="JT24">
        <v>100.319</v>
      </c>
      <c r="JU24">
        <v>100.247</v>
      </c>
    </row>
    <row r="25" spans="1:281">
      <c r="A25">
        <v>9</v>
      </c>
      <c r="B25">
        <v>1651864416.6</v>
      </c>
      <c r="C25">
        <v>196</v>
      </c>
      <c r="D25" t="s">
        <v>438</v>
      </c>
      <c r="E25" t="s">
        <v>439</v>
      </c>
      <c r="F25">
        <v>2</v>
      </c>
      <c r="G25" t="s">
        <v>413</v>
      </c>
      <c r="H25" t="s">
        <v>414</v>
      </c>
      <c r="I25">
        <v>1651864415.6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1599.082955745249</v>
      </c>
      <c r="AK25">
        <v>1577.50915151515</v>
      </c>
      <c r="AL25">
        <v>-2.400853398769097</v>
      </c>
      <c r="AM25">
        <v>66.38192812717227</v>
      </c>
      <c r="AN25">
        <f>(AP25 - AO25 + DI25*1E3/(8.314*(DK25+273.15)) * AR25/DH25 * AQ25) * DH25/(100*CV25) * 1000/(1000 - AP25)</f>
        <v>0</v>
      </c>
      <c r="AO25">
        <v>11.04564614482985</v>
      </c>
      <c r="AP25">
        <v>18.407355</v>
      </c>
      <c r="AQ25">
        <v>-4.071645004784297E-05</v>
      </c>
      <c r="AR25">
        <v>80.47224507511959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417</v>
      </c>
      <c r="AY25" t="s">
        <v>417</v>
      </c>
      <c r="AZ25">
        <v>0</v>
      </c>
      <c r="BA25">
        <v>0</v>
      </c>
      <c r="BB25">
        <f>1-AZ25/BA25</f>
        <v>0</v>
      </c>
      <c r="BC25">
        <v>0</v>
      </c>
      <c r="BD25" t="s">
        <v>417</v>
      </c>
      <c r="BE25" t="s">
        <v>417</v>
      </c>
      <c r="BF25">
        <v>0</v>
      </c>
      <c r="BG25">
        <v>0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417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1248</v>
      </c>
      <c r="CA25">
        <v>300</v>
      </c>
      <c r="CB25">
        <v>300</v>
      </c>
      <c r="CC25">
        <v>300</v>
      </c>
      <c r="CD25">
        <v>10442</v>
      </c>
      <c r="CE25">
        <v>1293.69</v>
      </c>
      <c r="CF25">
        <v>-0.00735246</v>
      </c>
      <c r="CG25">
        <v>0.5</v>
      </c>
      <c r="CH25" t="s">
        <v>417</v>
      </c>
      <c r="CI25" t="s">
        <v>417</v>
      </c>
      <c r="CJ25" t="s">
        <v>417</v>
      </c>
      <c r="CK25" t="s">
        <v>417</v>
      </c>
      <c r="CL25" t="s">
        <v>417</v>
      </c>
      <c r="CM25" t="s">
        <v>417</v>
      </c>
      <c r="CN25" t="s">
        <v>417</v>
      </c>
      <c r="CO25" t="s">
        <v>417</v>
      </c>
      <c r="CP25" t="s">
        <v>417</v>
      </c>
      <c r="CQ25" t="s">
        <v>417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418</v>
      </c>
      <c r="CY25">
        <v>2</v>
      </c>
      <c r="CZ25" t="b">
        <v>1</v>
      </c>
      <c r="DA25">
        <v>1651864415.6</v>
      </c>
      <c r="DB25">
        <v>1549.78</v>
      </c>
      <c r="DC25">
        <v>1575.873333333333</v>
      </c>
      <c r="DD25">
        <v>18.4075</v>
      </c>
      <c r="DE25">
        <v>11.04473333333333</v>
      </c>
      <c r="DF25">
        <v>1552.81</v>
      </c>
      <c r="DG25">
        <v>18.3863</v>
      </c>
      <c r="DH25">
        <v>499.9850000000001</v>
      </c>
      <c r="DI25">
        <v>89.94436666666667</v>
      </c>
      <c r="DJ25">
        <v>0.09975483333333333</v>
      </c>
      <c r="DK25">
        <v>25.68203333333333</v>
      </c>
      <c r="DL25">
        <v>24.99613333333334</v>
      </c>
      <c r="DM25">
        <v>999.9</v>
      </c>
      <c r="DN25">
        <v>0</v>
      </c>
      <c r="DO25">
        <v>0</v>
      </c>
      <c r="DP25">
        <v>10003.76666666667</v>
      </c>
      <c r="DQ25">
        <v>0</v>
      </c>
      <c r="DR25">
        <v>3.20383</v>
      </c>
      <c r="DS25">
        <v>-26.0936</v>
      </c>
      <c r="DT25">
        <v>1578.843333333333</v>
      </c>
      <c r="DU25">
        <v>1593.476666666667</v>
      </c>
      <c r="DV25">
        <v>7.362756666666667</v>
      </c>
      <c r="DW25">
        <v>1575.873333333333</v>
      </c>
      <c r="DX25">
        <v>11.04473333333333</v>
      </c>
      <c r="DY25">
        <v>1.65565</v>
      </c>
      <c r="DZ25">
        <v>0.9934106666666667</v>
      </c>
      <c r="EA25">
        <v>14.48673333333333</v>
      </c>
      <c r="EB25">
        <v>6.82009</v>
      </c>
      <c r="EC25">
        <v>1499.963333333333</v>
      </c>
      <c r="ED25">
        <v>0.973002</v>
      </c>
      <c r="EE25">
        <v>0.0269985</v>
      </c>
      <c r="EF25">
        <v>0</v>
      </c>
      <c r="EG25">
        <v>1041.21</v>
      </c>
      <c r="EH25">
        <v>5.00097</v>
      </c>
      <c r="EI25">
        <v>15431.5</v>
      </c>
      <c r="EJ25">
        <v>12491.3</v>
      </c>
      <c r="EK25">
        <v>37.25</v>
      </c>
      <c r="EL25">
        <v>38.687</v>
      </c>
      <c r="EM25">
        <v>37.625</v>
      </c>
      <c r="EN25">
        <v>38.437</v>
      </c>
      <c r="EO25">
        <v>38.125</v>
      </c>
      <c r="EP25">
        <v>1454.603333333333</v>
      </c>
      <c r="EQ25">
        <v>40.36</v>
      </c>
      <c r="ER25">
        <v>0</v>
      </c>
      <c r="ES25">
        <v>195.6000001430511</v>
      </c>
      <c r="ET25">
        <v>0</v>
      </c>
      <c r="EU25">
        <v>1059.534230769231</v>
      </c>
      <c r="EV25">
        <v>-186.99316235343</v>
      </c>
      <c r="EW25">
        <v>-2717.764102089134</v>
      </c>
      <c r="EX25">
        <v>15697.14615384615</v>
      </c>
      <c r="EY25">
        <v>15</v>
      </c>
      <c r="EZ25">
        <v>1651864261.1</v>
      </c>
      <c r="FA25" t="s">
        <v>419</v>
      </c>
      <c r="FB25">
        <v>1651864241.6</v>
      </c>
      <c r="FC25">
        <v>1651864261.1</v>
      </c>
      <c r="FD25">
        <v>7</v>
      </c>
      <c r="FE25">
        <v>0.438</v>
      </c>
      <c r="FF25">
        <v>0.002</v>
      </c>
      <c r="FG25">
        <v>-0.988</v>
      </c>
      <c r="FH25">
        <v>-0.066</v>
      </c>
      <c r="FI25">
        <v>400</v>
      </c>
      <c r="FJ25">
        <v>11</v>
      </c>
      <c r="FK25">
        <v>0.05</v>
      </c>
      <c r="FL25">
        <v>0.02</v>
      </c>
      <c r="FM25">
        <v>-37.77078292682926</v>
      </c>
      <c r="FN25">
        <v>56.23840348432052</v>
      </c>
      <c r="FO25">
        <v>6.054471411053939</v>
      </c>
      <c r="FP25">
        <v>-1</v>
      </c>
      <c r="FQ25">
        <v>7.36333512195122</v>
      </c>
      <c r="FR25">
        <v>0.0145457142857206</v>
      </c>
      <c r="FS25">
        <v>0.002952778040398559</v>
      </c>
      <c r="FT25">
        <v>-1</v>
      </c>
      <c r="FU25">
        <v>0</v>
      </c>
      <c r="FV25">
        <v>0</v>
      </c>
      <c r="FW25">
        <v>0</v>
      </c>
      <c r="FX25">
        <v>-1</v>
      </c>
      <c r="FY25">
        <v>0</v>
      </c>
      <c r="FZ25">
        <v>0</v>
      </c>
      <c r="GA25" t="s">
        <v>420</v>
      </c>
      <c r="GB25">
        <v>2.9804</v>
      </c>
      <c r="GC25">
        <v>2.70608</v>
      </c>
      <c r="GD25">
        <v>0.224524</v>
      </c>
      <c r="GE25">
        <v>0.224213</v>
      </c>
      <c r="GF25">
        <v>0.087871</v>
      </c>
      <c r="GG25">
        <v>0.0596639</v>
      </c>
      <c r="GH25">
        <v>24475.2</v>
      </c>
      <c r="GI25">
        <v>24539.2</v>
      </c>
      <c r="GJ25">
        <v>29348.3</v>
      </c>
      <c r="GK25">
        <v>29263.5</v>
      </c>
      <c r="GL25">
        <v>35449.1</v>
      </c>
      <c r="GM25">
        <v>36654.2</v>
      </c>
      <c r="GN25">
        <v>41309.8</v>
      </c>
      <c r="GO25">
        <v>41768.5</v>
      </c>
      <c r="GP25">
        <v>1.95845</v>
      </c>
      <c r="GQ25">
        <v>1.84967</v>
      </c>
      <c r="GR25">
        <v>-0.0265054</v>
      </c>
      <c r="GS25">
        <v>0</v>
      </c>
      <c r="GT25">
        <v>25.4315</v>
      </c>
      <c r="GU25">
        <v>999.9</v>
      </c>
      <c r="GV25">
        <v>32</v>
      </c>
      <c r="GW25">
        <v>34.2</v>
      </c>
      <c r="GX25">
        <v>19.2229</v>
      </c>
      <c r="GY25">
        <v>62.5074</v>
      </c>
      <c r="GZ25">
        <v>35.1042</v>
      </c>
      <c r="HA25">
        <v>1</v>
      </c>
      <c r="HB25">
        <v>0.100795</v>
      </c>
      <c r="HC25">
        <v>2.16769</v>
      </c>
      <c r="HD25">
        <v>20.3204</v>
      </c>
      <c r="HE25">
        <v>5.21804</v>
      </c>
      <c r="HF25">
        <v>12.0099</v>
      </c>
      <c r="HG25">
        <v>4.98895</v>
      </c>
      <c r="HH25">
        <v>3.28865</v>
      </c>
      <c r="HI25">
        <v>992.1</v>
      </c>
      <c r="HJ25">
        <v>9514.200000000001</v>
      </c>
      <c r="HK25">
        <v>5139.4</v>
      </c>
      <c r="HL25">
        <v>24.8</v>
      </c>
      <c r="HM25">
        <v>1.86749</v>
      </c>
      <c r="HN25">
        <v>1.86646</v>
      </c>
      <c r="HO25">
        <v>1.866</v>
      </c>
      <c r="HP25">
        <v>1.86584</v>
      </c>
      <c r="HQ25">
        <v>1.86768</v>
      </c>
      <c r="HR25">
        <v>1.87019</v>
      </c>
      <c r="HS25">
        <v>1.86883</v>
      </c>
      <c r="HT25">
        <v>1.87021</v>
      </c>
      <c r="HU25">
        <v>0</v>
      </c>
      <c r="HV25">
        <v>0</v>
      </c>
      <c r="HW25">
        <v>0</v>
      </c>
      <c r="HX25">
        <v>0</v>
      </c>
      <c r="HY25" t="s">
        <v>421</v>
      </c>
      <c r="HZ25" t="s">
        <v>422</v>
      </c>
      <c r="IA25" t="s">
        <v>423</v>
      </c>
      <c r="IB25" t="s">
        <v>423</v>
      </c>
      <c r="IC25" t="s">
        <v>423</v>
      </c>
      <c r="ID25" t="s">
        <v>423</v>
      </c>
      <c r="IE25">
        <v>0</v>
      </c>
      <c r="IF25">
        <v>100</v>
      </c>
      <c r="IG25">
        <v>100</v>
      </c>
      <c r="IH25">
        <v>-3.03</v>
      </c>
      <c r="II25">
        <v>0.0212</v>
      </c>
      <c r="IJ25">
        <v>-0.2164499368582429</v>
      </c>
      <c r="IK25">
        <v>-0.002077099775823331</v>
      </c>
      <c r="IL25">
        <v>4.593143279902166E-07</v>
      </c>
      <c r="IM25">
        <v>-1.865383991892071E-10</v>
      </c>
      <c r="IN25">
        <v>-0.06087574426827484</v>
      </c>
      <c r="IO25">
        <v>-0.01129461987421345</v>
      </c>
      <c r="IP25">
        <v>0.00116580895745559</v>
      </c>
      <c r="IQ25">
        <v>-1.679085872906199E-05</v>
      </c>
      <c r="IR25">
        <v>2</v>
      </c>
      <c r="IS25">
        <v>2290</v>
      </c>
      <c r="IT25">
        <v>0</v>
      </c>
      <c r="IU25">
        <v>32</v>
      </c>
      <c r="IV25">
        <v>2.9</v>
      </c>
      <c r="IW25">
        <v>2.6</v>
      </c>
      <c r="IX25">
        <v>2.96997</v>
      </c>
      <c r="IY25">
        <v>2.18384</v>
      </c>
      <c r="IZ25">
        <v>1.39648</v>
      </c>
      <c r="JA25">
        <v>2.35596</v>
      </c>
      <c r="JB25">
        <v>1.49536</v>
      </c>
      <c r="JC25">
        <v>2.34497</v>
      </c>
      <c r="JD25">
        <v>38.379</v>
      </c>
      <c r="JE25">
        <v>24.0437</v>
      </c>
      <c r="JF25">
        <v>18</v>
      </c>
      <c r="JG25">
        <v>512.502</v>
      </c>
      <c r="JH25">
        <v>428.178</v>
      </c>
      <c r="JI25">
        <v>22.4756</v>
      </c>
      <c r="JJ25">
        <v>28.6046</v>
      </c>
      <c r="JK25">
        <v>30.0001</v>
      </c>
      <c r="JL25">
        <v>28.5741</v>
      </c>
      <c r="JM25">
        <v>28.5124</v>
      </c>
      <c r="JN25">
        <v>59.3085</v>
      </c>
      <c r="JO25">
        <v>41.2782</v>
      </c>
      <c r="JP25">
        <v>0</v>
      </c>
      <c r="JQ25">
        <v>22.4855</v>
      </c>
      <c r="JR25">
        <v>1551.47</v>
      </c>
      <c r="JS25">
        <v>11.0746</v>
      </c>
      <c r="JT25">
        <v>100.32</v>
      </c>
      <c r="JU25">
        <v>100.247</v>
      </c>
    </row>
    <row r="26" spans="1:281">
      <c r="A26">
        <v>10</v>
      </c>
      <c r="B26">
        <v>1651864418.6</v>
      </c>
      <c r="C26">
        <v>198</v>
      </c>
      <c r="D26" t="s">
        <v>440</v>
      </c>
      <c r="E26" t="s">
        <v>441</v>
      </c>
      <c r="F26">
        <v>2</v>
      </c>
      <c r="G26" t="s">
        <v>413</v>
      </c>
      <c r="H26" t="s">
        <v>414</v>
      </c>
      <c r="I26">
        <v>1651864417.225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1592.805985004561</v>
      </c>
      <c r="AK26">
        <v>1572.113818181818</v>
      </c>
      <c r="AL26">
        <v>-2.660145500993092</v>
      </c>
      <c r="AM26">
        <v>66.38192812717227</v>
      </c>
      <c r="AN26">
        <f>(AP26 - AO26 + DI26*1E3/(8.314*(DK26+273.15)) * AR26/DH26 * AQ26) * DH26/(100*CV26) * 1000/(1000 - AP26)</f>
        <v>0</v>
      </c>
      <c r="AO26">
        <v>11.04512202324705</v>
      </c>
      <c r="AP26">
        <v>18.40448411764705</v>
      </c>
      <c r="AQ26">
        <v>-6.326593093615832E-06</v>
      </c>
      <c r="AR26">
        <v>80.47224507511959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417</v>
      </c>
      <c r="AY26" t="s">
        <v>417</v>
      </c>
      <c r="AZ26">
        <v>0</v>
      </c>
      <c r="BA26">
        <v>0</v>
      </c>
      <c r="BB26">
        <f>1-AZ26/BA26</f>
        <v>0</v>
      </c>
      <c r="BC26">
        <v>0</v>
      </c>
      <c r="BD26" t="s">
        <v>417</v>
      </c>
      <c r="BE26" t="s">
        <v>417</v>
      </c>
      <c r="BF26">
        <v>0</v>
      </c>
      <c r="BG26">
        <v>0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417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1248</v>
      </c>
      <c r="CA26">
        <v>300</v>
      </c>
      <c r="CB26">
        <v>300</v>
      </c>
      <c r="CC26">
        <v>300</v>
      </c>
      <c r="CD26">
        <v>10442</v>
      </c>
      <c r="CE26">
        <v>1293.69</v>
      </c>
      <c r="CF26">
        <v>-0.00735246</v>
      </c>
      <c r="CG26">
        <v>0.5</v>
      </c>
      <c r="CH26" t="s">
        <v>417</v>
      </c>
      <c r="CI26" t="s">
        <v>417</v>
      </c>
      <c r="CJ26" t="s">
        <v>417</v>
      </c>
      <c r="CK26" t="s">
        <v>417</v>
      </c>
      <c r="CL26" t="s">
        <v>417</v>
      </c>
      <c r="CM26" t="s">
        <v>417</v>
      </c>
      <c r="CN26" t="s">
        <v>417</v>
      </c>
      <c r="CO26" t="s">
        <v>417</v>
      </c>
      <c r="CP26" t="s">
        <v>417</v>
      </c>
      <c r="CQ26" t="s">
        <v>417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418</v>
      </c>
      <c r="CY26">
        <v>2</v>
      </c>
      <c r="CZ26" t="b">
        <v>1</v>
      </c>
      <c r="DA26">
        <v>1651864417.225</v>
      </c>
      <c r="DB26">
        <v>1545.525</v>
      </c>
      <c r="DC26">
        <v>1570.7175</v>
      </c>
      <c r="DD26">
        <v>18.405375</v>
      </c>
      <c r="DE26">
        <v>11.044475</v>
      </c>
      <c r="DF26">
        <v>1548.55</v>
      </c>
      <c r="DG26">
        <v>18.3842</v>
      </c>
      <c r="DH26">
        <v>500.01575</v>
      </c>
      <c r="DI26">
        <v>89.94355</v>
      </c>
      <c r="DJ26">
        <v>0.09998942500000001</v>
      </c>
      <c r="DK26">
        <v>25.681775</v>
      </c>
      <c r="DL26">
        <v>24.99535</v>
      </c>
      <c r="DM26">
        <v>999.9</v>
      </c>
      <c r="DN26">
        <v>0</v>
      </c>
      <c r="DO26">
        <v>0</v>
      </c>
      <c r="DP26">
        <v>10007.825</v>
      </c>
      <c r="DQ26">
        <v>0</v>
      </c>
      <c r="DR26">
        <v>3.20383</v>
      </c>
      <c r="DS26">
        <v>-25.192475</v>
      </c>
      <c r="DT26">
        <v>1574.5075</v>
      </c>
      <c r="DU26">
        <v>1588.2625</v>
      </c>
      <c r="DV26">
        <v>7.3608825</v>
      </c>
      <c r="DW26">
        <v>1570.7175</v>
      </c>
      <c r="DX26">
        <v>11.044475</v>
      </c>
      <c r="DY26">
        <v>1.6554425</v>
      </c>
      <c r="DZ26">
        <v>0.99337925</v>
      </c>
      <c r="EA26">
        <v>14.4848</v>
      </c>
      <c r="EB26">
        <v>6.81963</v>
      </c>
      <c r="EC26">
        <v>1499.96</v>
      </c>
      <c r="ED26">
        <v>0.973002</v>
      </c>
      <c r="EE26">
        <v>0.0269985</v>
      </c>
      <c r="EF26">
        <v>0</v>
      </c>
      <c r="EG26">
        <v>1037.6125</v>
      </c>
      <c r="EH26">
        <v>5.00097</v>
      </c>
      <c r="EI26">
        <v>15380.975</v>
      </c>
      <c r="EJ26">
        <v>12491.3</v>
      </c>
      <c r="EK26">
        <v>37.25</v>
      </c>
      <c r="EL26">
        <v>38.687</v>
      </c>
      <c r="EM26">
        <v>37.625</v>
      </c>
      <c r="EN26">
        <v>38.437</v>
      </c>
      <c r="EO26">
        <v>38.125</v>
      </c>
      <c r="EP26">
        <v>1454.6</v>
      </c>
      <c r="EQ26">
        <v>40.36</v>
      </c>
      <c r="ER26">
        <v>0</v>
      </c>
      <c r="ES26">
        <v>197.4000000953674</v>
      </c>
      <c r="ET26">
        <v>0</v>
      </c>
      <c r="EU26">
        <v>1053.226</v>
      </c>
      <c r="EV26">
        <v>-170.3169230785121</v>
      </c>
      <c r="EW26">
        <v>-2467.953846148953</v>
      </c>
      <c r="EX26">
        <v>15605.028</v>
      </c>
      <c r="EY26">
        <v>15</v>
      </c>
      <c r="EZ26">
        <v>1651864261.1</v>
      </c>
      <c r="FA26" t="s">
        <v>419</v>
      </c>
      <c r="FB26">
        <v>1651864241.6</v>
      </c>
      <c r="FC26">
        <v>1651864261.1</v>
      </c>
      <c r="FD26">
        <v>7</v>
      </c>
      <c r="FE26">
        <v>0.438</v>
      </c>
      <c r="FF26">
        <v>0.002</v>
      </c>
      <c r="FG26">
        <v>-0.988</v>
      </c>
      <c r="FH26">
        <v>-0.066</v>
      </c>
      <c r="FI26">
        <v>400</v>
      </c>
      <c r="FJ26">
        <v>11</v>
      </c>
      <c r="FK26">
        <v>0.05</v>
      </c>
      <c r="FL26">
        <v>0.02</v>
      </c>
      <c r="FM26">
        <v>-35.408155</v>
      </c>
      <c r="FN26">
        <v>68.56933058161358</v>
      </c>
      <c r="FO26">
        <v>6.87136550970584</v>
      </c>
      <c r="FP26">
        <v>-1</v>
      </c>
      <c r="FQ26">
        <v>7.363895500000001</v>
      </c>
      <c r="FR26">
        <v>-0.007348592870551072</v>
      </c>
      <c r="FS26">
        <v>0.001999000937968775</v>
      </c>
      <c r="FT26">
        <v>-1</v>
      </c>
      <c r="FU26">
        <v>0</v>
      </c>
      <c r="FV26">
        <v>0</v>
      </c>
      <c r="FW26">
        <v>0</v>
      </c>
      <c r="FX26">
        <v>-1</v>
      </c>
      <c r="FY26">
        <v>0</v>
      </c>
      <c r="FZ26">
        <v>0</v>
      </c>
      <c r="GA26" t="s">
        <v>420</v>
      </c>
      <c r="GB26">
        <v>2.98058</v>
      </c>
      <c r="GC26">
        <v>2.70634</v>
      </c>
      <c r="GD26">
        <v>0.224048</v>
      </c>
      <c r="GE26">
        <v>0.22362</v>
      </c>
      <c r="GF26">
        <v>0.0878693</v>
      </c>
      <c r="GG26">
        <v>0.0596602</v>
      </c>
      <c r="GH26">
        <v>24490.2</v>
      </c>
      <c r="GI26">
        <v>24557.9</v>
      </c>
      <c r="GJ26">
        <v>29348.3</v>
      </c>
      <c r="GK26">
        <v>29263.4</v>
      </c>
      <c r="GL26">
        <v>35449.2</v>
      </c>
      <c r="GM26">
        <v>36654.1</v>
      </c>
      <c r="GN26">
        <v>41309.9</v>
      </c>
      <c r="GO26">
        <v>41768.3</v>
      </c>
      <c r="GP26">
        <v>1.95853</v>
      </c>
      <c r="GQ26">
        <v>1.84948</v>
      </c>
      <c r="GR26">
        <v>-0.0266917</v>
      </c>
      <c r="GS26">
        <v>0</v>
      </c>
      <c r="GT26">
        <v>25.4315</v>
      </c>
      <c r="GU26">
        <v>999.9</v>
      </c>
      <c r="GV26">
        <v>32</v>
      </c>
      <c r="GW26">
        <v>34.2</v>
      </c>
      <c r="GX26">
        <v>19.2233</v>
      </c>
      <c r="GY26">
        <v>62.6674</v>
      </c>
      <c r="GZ26">
        <v>34.9038</v>
      </c>
      <c r="HA26">
        <v>1</v>
      </c>
      <c r="HB26">
        <v>0.100727</v>
      </c>
      <c r="HC26">
        <v>2.15588</v>
      </c>
      <c r="HD26">
        <v>20.3205</v>
      </c>
      <c r="HE26">
        <v>5.21804</v>
      </c>
      <c r="HF26">
        <v>12.0099</v>
      </c>
      <c r="HG26">
        <v>4.98875</v>
      </c>
      <c r="HH26">
        <v>3.28865</v>
      </c>
      <c r="HI26">
        <v>992.1</v>
      </c>
      <c r="HJ26">
        <v>9514.200000000001</v>
      </c>
      <c r="HK26">
        <v>5139.4</v>
      </c>
      <c r="HL26">
        <v>24.8</v>
      </c>
      <c r="HM26">
        <v>1.86749</v>
      </c>
      <c r="HN26">
        <v>1.86646</v>
      </c>
      <c r="HO26">
        <v>1.866</v>
      </c>
      <c r="HP26">
        <v>1.86584</v>
      </c>
      <c r="HQ26">
        <v>1.86768</v>
      </c>
      <c r="HR26">
        <v>1.8702</v>
      </c>
      <c r="HS26">
        <v>1.86885</v>
      </c>
      <c r="HT26">
        <v>1.87022</v>
      </c>
      <c r="HU26">
        <v>0</v>
      </c>
      <c r="HV26">
        <v>0</v>
      </c>
      <c r="HW26">
        <v>0</v>
      </c>
      <c r="HX26">
        <v>0</v>
      </c>
      <c r="HY26" t="s">
        <v>421</v>
      </c>
      <c r="HZ26" t="s">
        <v>422</v>
      </c>
      <c r="IA26" t="s">
        <v>423</v>
      </c>
      <c r="IB26" t="s">
        <v>423</v>
      </c>
      <c r="IC26" t="s">
        <v>423</v>
      </c>
      <c r="ID26" t="s">
        <v>423</v>
      </c>
      <c r="IE26">
        <v>0</v>
      </c>
      <c r="IF26">
        <v>100</v>
      </c>
      <c r="IG26">
        <v>100</v>
      </c>
      <c r="IH26">
        <v>-3.01</v>
      </c>
      <c r="II26">
        <v>0.0212</v>
      </c>
      <c r="IJ26">
        <v>-0.2164499368582429</v>
      </c>
      <c r="IK26">
        <v>-0.002077099775823331</v>
      </c>
      <c r="IL26">
        <v>4.593143279902166E-07</v>
      </c>
      <c r="IM26">
        <v>-1.865383991892071E-10</v>
      </c>
      <c r="IN26">
        <v>-0.06087574426827484</v>
      </c>
      <c r="IO26">
        <v>-0.01129461987421345</v>
      </c>
      <c r="IP26">
        <v>0.00116580895745559</v>
      </c>
      <c r="IQ26">
        <v>-1.679085872906199E-05</v>
      </c>
      <c r="IR26">
        <v>2</v>
      </c>
      <c r="IS26">
        <v>2290</v>
      </c>
      <c r="IT26">
        <v>0</v>
      </c>
      <c r="IU26">
        <v>32</v>
      </c>
      <c r="IV26">
        <v>3</v>
      </c>
      <c r="IW26">
        <v>2.6</v>
      </c>
      <c r="IX26">
        <v>2.95898</v>
      </c>
      <c r="IY26">
        <v>2.1875</v>
      </c>
      <c r="IZ26">
        <v>1.39648</v>
      </c>
      <c r="JA26">
        <v>2.35718</v>
      </c>
      <c r="JB26">
        <v>1.49536</v>
      </c>
      <c r="JC26">
        <v>2.29736</v>
      </c>
      <c r="JD26">
        <v>38.379</v>
      </c>
      <c r="JE26">
        <v>24.035</v>
      </c>
      <c r="JF26">
        <v>18</v>
      </c>
      <c r="JG26">
        <v>512.551</v>
      </c>
      <c r="JH26">
        <v>428.068</v>
      </c>
      <c r="JI26">
        <v>22.4782</v>
      </c>
      <c r="JJ26">
        <v>28.6046</v>
      </c>
      <c r="JK26">
        <v>30</v>
      </c>
      <c r="JL26">
        <v>28.5741</v>
      </c>
      <c r="JM26">
        <v>28.5136</v>
      </c>
      <c r="JN26">
        <v>59.1115</v>
      </c>
      <c r="JO26">
        <v>41.2782</v>
      </c>
      <c r="JP26">
        <v>0</v>
      </c>
      <c r="JQ26">
        <v>22.4855</v>
      </c>
      <c r="JR26">
        <v>1544.79</v>
      </c>
      <c r="JS26">
        <v>11.0746</v>
      </c>
      <c r="JT26">
        <v>100.32</v>
      </c>
      <c r="JU26">
        <v>100.247</v>
      </c>
    </row>
    <row r="27" spans="1:281">
      <c r="A27">
        <v>11</v>
      </c>
      <c r="B27">
        <v>1651864420.6</v>
      </c>
      <c r="C27">
        <v>200</v>
      </c>
      <c r="D27" t="s">
        <v>442</v>
      </c>
      <c r="E27" t="s">
        <v>443</v>
      </c>
      <c r="F27">
        <v>2</v>
      </c>
      <c r="G27" t="s">
        <v>413</v>
      </c>
      <c r="H27" t="s">
        <v>414</v>
      </c>
      <c r="I27">
        <v>1651864419.6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1586.212005905842</v>
      </c>
      <c r="AK27">
        <v>1566.232666666667</v>
      </c>
      <c r="AL27">
        <v>-2.864031885391285</v>
      </c>
      <c r="AM27">
        <v>66.38192812717227</v>
      </c>
      <c r="AN27">
        <f>(AP27 - AO27 + DI27*1E3/(8.314*(DK27+273.15)) * AR27/DH27 * AQ27) * DH27/(100*CV27) * 1000/(1000 - AP27)</f>
        <v>0</v>
      </c>
      <c r="AO27">
        <v>11.04471717610728</v>
      </c>
      <c r="AP27">
        <v>18.40539294117647</v>
      </c>
      <c r="AQ27">
        <v>-3.142766686055946E-05</v>
      </c>
      <c r="AR27">
        <v>80.47224507511959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417</v>
      </c>
      <c r="AY27" t="s">
        <v>417</v>
      </c>
      <c r="AZ27">
        <v>0</v>
      </c>
      <c r="BA27">
        <v>0</v>
      </c>
      <c r="BB27">
        <f>1-AZ27/BA27</f>
        <v>0</v>
      </c>
      <c r="BC27">
        <v>0</v>
      </c>
      <c r="BD27" t="s">
        <v>417</v>
      </c>
      <c r="BE27" t="s">
        <v>417</v>
      </c>
      <c r="BF27">
        <v>0</v>
      </c>
      <c r="BG27">
        <v>0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417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1248</v>
      </c>
      <c r="CA27">
        <v>300</v>
      </c>
      <c r="CB27">
        <v>300</v>
      </c>
      <c r="CC27">
        <v>300</v>
      </c>
      <c r="CD27">
        <v>10442</v>
      </c>
      <c r="CE27">
        <v>1293.69</v>
      </c>
      <c r="CF27">
        <v>-0.00735246</v>
      </c>
      <c r="CG27">
        <v>0.5</v>
      </c>
      <c r="CH27" t="s">
        <v>417</v>
      </c>
      <c r="CI27" t="s">
        <v>417</v>
      </c>
      <c r="CJ27" t="s">
        <v>417</v>
      </c>
      <c r="CK27" t="s">
        <v>417</v>
      </c>
      <c r="CL27" t="s">
        <v>417</v>
      </c>
      <c r="CM27" t="s">
        <v>417</v>
      </c>
      <c r="CN27" t="s">
        <v>417</v>
      </c>
      <c r="CO27" t="s">
        <v>417</v>
      </c>
      <c r="CP27" t="s">
        <v>417</v>
      </c>
      <c r="CQ27" t="s">
        <v>417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418</v>
      </c>
      <c r="CY27">
        <v>2</v>
      </c>
      <c r="CZ27" t="b">
        <v>1</v>
      </c>
      <c r="DA27">
        <v>1651864419.6</v>
      </c>
      <c r="DB27">
        <v>1538.873333333333</v>
      </c>
      <c r="DC27">
        <v>1562.543333333333</v>
      </c>
      <c r="DD27">
        <v>18.4055</v>
      </c>
      <c r="DE27">
        <v>11.04393333333333</v>
      </c>
      <c r="DF27">
        <v>1541.883333333333</v>
      </c>
      <c r="DG27">
        <v>18.38433333333333</v>
      </c>
      <c r="DH27">
        <v>500.055</v>
      </c>
      <c r="DI27">
        <v>89.94386666666666</v>
      </c>
      <c r="DJ27">
        <v>0.100098</v>
      </c>
      <c r="DK27">
        <v>25.67886666666667</v>
      </c>
      <c r="DL27">
        <v>24.99156666666667</v>
      </c>
      <c r="DM27">
        <v>999.9</v>
      </c>
      <c r="DN27">
        <v>0</v>
      </c>
      <c r="DO27">
        <v>0</v>
      </c>
      <c r="DP27">
        <v>10013.13333333333</v>
      </c>
      <c r="DQ27">
        <v>0</v>
      </c>
      <c r="DR27">
        <v>3.20383</v>
      </c>
      <c r="DS27">
        <v>-23.67166666666667</v>
      </c>
      <c r="DT27">
        <v>1567.73</v>
      </c>
      <c r="DU27">
        <v>1579.993333333333</v>
      </c>
      <c r="DV27">
        <v>7.361593333333334</v>
      </c>
      <c r="DW27">
        <v>1562.543333333333</v>
      </c>
      <c r="DX27">
        <v>11.04393333333333</v>
      </c>
      <c r="DY27">
        <v>1.655463333333334</v>
      </c>
      <c r="DZ27">
        <v>0.9933316666666666</v>
      </c>
      <c r="EA27">
        <v>14.48496666666667</v>
      </c>
      <c r="EB27">
        <v>6.818936666666667</v>
      </c>
      <c r="EC27">
        <v>1499.956666666667</v>
      </c>
      <c r="ED27">
        <v>0.973002</v>
      </c>
      <c r="EE27">
        <v>0.0269985</v>
      </c>
      <c r="EF27">
        <v>0</v>
      </c>
      <c r="EG27">
        <v>1032.96</v>
      </c>
      <c r="EH27">
        <v>5.00097</v>
      </c>
      <c r="EI27">
        <v>15312.5</v>
      </c>
      <c r="EJ27">
        <v>12491.23333333333</v>
      </c>
      <c r="EK27">
        <v>37.25</v>
      </c>
      <c r="EL27">
        <v>38.687</v>
      </c>
      <c r="EM27">
        <v>37.625</v>
      </c>
      <c r="EN27">
        <v>38.437</v>
      </c>
      <c r="EO27">
        <v>38.125</v>
      </c>
      <c r="EP27">
        <v>1454.596666666667</v>
      </c>
      <c r="EQ27">
        <v>40.36</v>
      </c>
      <c r="ER27">
        <v>0</v>
      </c>
      <c r="ES27">
        <v>199.7999999523163</v>
      </c>
      <c r="ET27">
        <v>0</v>
      </c>
      <c r="EU27">
        <v>1046.812</v>
      </c>
      <c r="EV27">
        <v>-150.3000002393357</v>
      </c>
      <c r="EW27">
        <v>-2175.500003369315</v>
      </c>
      <c r="EX27">
        <v>15512.132</v>
      </c>
      <c r="EY27">
        <v>15</v>
      </c>
      <c r="EZ27">
        <v>1651864261.1</v>
      </c>
      <c r="FA27" t="s">
        <v>419</v>
      </c>
      <c r="FB27">
        <v>1651864241.6</v>
      </c>
      <c r="FC27">
        <v>1651864261.1</v>
      </c>
      <c r="FD27">
        <v>7</v>
      </c>
      <c r="FE27">
        <v>0.438</v>
      </c>
      <c r="FF27">
        <v>0.002</v>
      </c>
      <c r="FG27">
        <v>-0.988</v>
      </c>
      <c r="FH27">
        <v>-0.066</v>
      </c>
      <c r="FI27">
        <v>400</v>
      </c>
      <c r="FJ27">
        <v>11</v>
      </c>
      <c r="FK27">
        <v>0.05</v>
      </c>
      <c r="FL27">
        <v>0.02</v>
      </c>
      <c r="FM27">
        <v>-34.481785</v>
      </c>
      <c r="FN27">
        <v>71.4532300187617</v>
      </c>
      <c r="FO27">
        <v>7.083936320914735</v>
      </c>
      <c r="FP27">
        <v>-1</v>
      </c>
      <c r="FQ27">
        <v>7.36390875</v>
      </c>
      <c r="FR27">
        <v>-0.01218090056286822</v>
      </c>
      <c r="FS27">
        <v>0.00198177847841276</v>
      </c>
      <c r="FT27">
        <v>-1</v>
      </c>
      <c r="FU27">
        <v>0</v>
      </c>
      <c r="FV27">
        <v>0</v>
      </c>
      <c r="FW27">
        <v>0</v>
      </c>
      <c r="FX27">
        <v>-1</v>
      </c>
      <c r="FY27">
        <v>0</v>
      </c>
      <c r="FZ27">
        <v>0</v>
      </c>
      <c r="GA27" t="s">
        <v>420</v>
      </c>
      <c r="GB27">
        <v>2.98064</v>
      </c>
      <c r="GC27">
        <v>2.70635</v>
      </c>
      <c r="GD27">
        <v>0.223533</v>
      </c>
      <c r="GE27">
        <v>0.223019</v>
      </c>
      <c r="GF27">
        <v>0.0878699</v>
      </c>
      <c r="GG27">
        <v>0.0596572</v>
      </c>
      <c r="GH27">
        <v>24506.4</v>
      </c>
      <c r="GI27">
        <v>24577</v>
      </c>
      <c r="GJ27">
        <v>29348.2</v>
      </c>
      <c r="GK27">
        <v>29263.5</v>
      </c>
      <c r="GL27">
        <v>35449.2</v>
      </c>
      <c r="GM27">
        <v>36654.2</v>
      </c>
      <c r="GN27">
        <v>41309.9</v>
      </c>
      <c r="GO27">
        <v>41768.3</v>
      </c>
      <c r="GP27">
        <v>1.95868</v>
      </c>
      <c r="GQ27">
        <v>1.8493</v>
      </c>
      <c r="GR27">
        <v>-0.0270456</v>
      </c>
      <c r="GS27">
        <v>0</v>
      </c>
      <c r="GT27">
        <v>25.4315</v>
      </c>
      <c r="GU27">
        <v>999.9</v>
      </c>
      <c r="GV27">
        <v>32</v>
      </c>
      <c r="GW27">
        <v>34.2</v>
      </c>
      <c r="GX27">
        <v>19.2233</v>
      </c>
      <c r="GY27">
        <v>62.4074</v>
      </c>
      <c r="GZ27">
        <v>35.2885</v>
      </c>
      <c r="HA27">
        <v>1</v>
      </c>
      <c r="HB27">
        <v>0.10079</v>
      </c>
      <c r="HC27">
        <v>2.15155</v>
      </c>
      <c r="HD27">
        <v>20.3205</v>
      </c>
      <c r="HE27">
        <v>5.21804</v>
      </c>
      <c r="HF27">
        <v>12.0099</v>
      </c>
      <c r="HG27">
        <v>4.98875</v>
      </c>
      <c r="HH27">
        <v>3.28865</v>
      </c>
      <c r="HI27">
        <v>992.1</v>
      </c>
      <c r="HJ27">
        <v>9514.200000000001</v>
      </c>
      <c r="HK27">
        <v>5139.4</v>
      </c>
      <c r="HL27">
        <v>24.8</v>
      </c>
      <c r="HM27">
        <v>1.86749</v>
      </c>
      <c r="HN27">
        <v>1.86646</v>
      </c>
      <c r="HO27">
        <v>1.866</v>
      </c>
      <c r="HP27">
        <v>1.86584</v>
      </c>
      <c r="HQ27">
        <v>1.86768</v>
      </c>
      <c r="HR27">
        <v>1.87019</v>
      </c>
      <c r="HS27">
        <v>1.86887</v>
      </c>
      <c r="HT27">
        <v>1.87024</v>
      </c>
      <c r="HU27">
        <v>0</v>
      </c>
      <c r="HV27">
        <v>0</v>
      </c>
      <c r="HW27">
        <v>0</v>
      </c>
      <c r="HX27">
        <v>0</v>
      </c>
      <c r="HY27" t="s">
        <v>421</v>
      </c>
      <c r="HZ27" t="s">
        <v>422</v>
      </c>
      <c r="IA27" t="s">
        <v>423</v>
      </c>
      <c r="IB27" t="s">
        <v>423</v>
      </c>
      <c r="IC27" t="s">
        <v>423</v>
      </c>
      <c r="ID27" t="s">
        <v>423</v>
      </c>
      <c r="IE27">
        <v>0</v>
      </c>
      <c r="IF27">
        <v>100</v>
      </c>
      <c r="IG27">
        <v>100</v>
      </c>
      <c r="IH27">
        <v>-3.01</v>
      </c>
      <c r="II27">
        <v>0.0212</v>
      </c>
      <c r="IJ27">
        <v>-0.2164499368582429</v>
      </c>
      <c r="IK27">
        <v>-0.002077099775823331</v>
      </c>
      <c r="IL27">
        <v>4.593143279902166E-07</v>
      </c>
      <c r="IM27">
        <v>-1.865383991892071E-10</v>
      </c>
      <c r="IN27">
        <v>-0.06087574426827484</v>
      </c>
      <c r="IO27">
        <v>-0.01129461987421345</v>
      </c>
      <c r="IP27">
        <v>0.00116580895745559</v>
      </c>
      <c r="IQ27">
        <v>-1.679085872906199E-05</v>
      </c>
      <c r="IR27">
        <v>2</v>
      </c>
      <c r="IS27">
        <v>2290</v>
      </c>
      <c r="IT27">
        <v>0</v>
      </c>
      <c r="IU27">
        <v>32</v>
      </c>
      <c r="IV27">
        <v>3</v>
      </c>
      <c r="IW27">
        <v>2.7</v>
      </c>
      <c r="IX27">
        <v>2.94922</v>
      </c>
      <c r="IY27">
        <v>2.18018</v>
      </c>
      <c r="IZ27">
        <v>1.39648</v>
      </c>
      <c r="JA27">
        <v>2.35596</v>
      </c>
      <c r="JB27">
        <v>1.49536</v>
      </c>
      <c r="JC27">
        <v>2.37305</v>
      </c>
      <c r="JD27">
        <v>38.379</v>
      </c>
      <c r="JE27">
        <v>24.0437</v>
      </c>
      <c r="JF27">
        <v>18</v>
      </c>
      <c r="JG27">
        <v>512.6559999999999</v>
      </c>
      <c r="JH27">
        <v>427.971</v>
      </c>
      <c r="JI27">
        <v>22.481</v>
      </c>
      <c r="JJ27">
        <v>28.6046</v>
      </c>
      <c r="JK27">
        <v>30.0001</v>
      </c>
      <c r="JL27">
        <v>28.575</v>
      </c>
      <c r="JM27">
        <v>28.5147</v>
      </c>
      <c r="JN27">
        <v>58.9165</v>
      </c>
      <c r="JO27">
        <v>41.2782</v>
      </c>
      <c r="JP27">
        <v>0</v>
      </c>
      <c r="JQ27">
        <v>22.4891</v>
      </c>
      <c r="JR27">
        <v>1538.11</v>
      </c>
      <c r="JS27">
        <v>11.0746</v>
      </c>
      <c r="JT27">
        <v>100.32</v>
      </c>
      <c r="JU27">
        <v>100.247</v>
      </c>
    </row>
    <row r="28" spans="1:281">
      <c r="A28">
        <v>12</v>
      </c>
      <c r="B28">
        <v>1651864422.6</v>
      </c>
      <c r="C28">
        <v>202</v>
      </c>
      <c r="D28" t="s">
        <v>444</v>
      </c>
      <c r="E28" t="s">
        <v>445</v>
      </c>
      <c r="F28">
        <v>2</v>
      </c>
      <c r="G28" t="s">
        <v>413</v>
      </c>
      <c r="H28" t="s">
        <v>414</v>
      </c>
      <c r="I28">
        <v>1651864421.225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1579.140050621563</v>
      </c>
      <c r="AK28">
        <v>1559.938424242423</v>
      </c>
      <c r="AL28">
        <v>-3.079300714450003</v>
      </c>
      <c r="AM28">
        <v>66.38192812717227</v>
      </c>
      <c r="AN28">
        <f>(AP28 - AO28 + DI28*1E3/(8.314*(DK28+273.15)) * AR28/DH28 * AQ28) * DH28/(100*CV28) * 1000/(1000 - AP28)</f>
        <v>0</v>
      </c>
      <c r="AO28">
        <v>11.04431742785406</v>
      </c>
      <c r="AP28">
        <v>18.40600999999999</v>
      </c>
      <c r="AQ28">
        <v>-2.751816880601022E-05</v>
      </c>
      <c r="AR28">
        <v>80.47224507511959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417</v>
      </c>
      <c r="AY28" t="s">
        <v>417</v>
      </c>
      <c r="AZ28">
        <v>0</v>
      </c>
      <c r="BA28">
        <v>0</v>
      </c>
      <c r="BB28">
        <f>1-AZ28/BA28</f>
        <v>0</v>
      </c>
      <c r="BC28">
        <v>0</v>
      </c>
      <c r="BD28" t="s">
        <v>417</v>
      </c>
      <c r="BE28" t="s">
        <v>417</v>
      </c>
      <c r="BF28">
        <v>0</v>
      </c>
      <c r="BG28">
        <v>0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417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1248</v>
      </c>
      <c r="CA28">
        <v>300</v>
      </c>
      <c r="CB28">
        <v>300</v>
      </c>
      <c r="CC28">
        <v>300</v>
      </c>
      <c r="CD28">
        <v>10442</v>
      </c>
      <c r="CE28">
        <v>1293.69</v>
      </c>
      <c r="CF28">
        <v>-0.00735246</v>
      </c>
      <c r="CG28">
        <v>0.5</v>
      </c>
      <c r="CH28" t="s">
        <v>417</v>
      </c>
      <c r="CI28" t="s">
        <v>417</v>
      </c>
      <c r="CJ28" t="s">
        <v>417</v>
      </c>
      <c r="CK28" t="s">
        <v>417</v>
      </c>
      <c r="CL28" t="s">
        <v>417</v>
      </c>
      <c r="CM28" t="s">
        <v>417</v>
      </c>
      <c r="CN28" t="s">
        <v>417</v>
      </c>
      <c r="CO28" t="s">
        <v>417</v>
      </c>
      <c r="CP28" t="s">
        <v>417</v>
      </c>
      <c r="CQ28" t="s">
        <v>417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418</v>
      </c>
      <c r="CY28">
        <v>2</v>
      </c>
      <c r="CZ28" t="b">
        <v>1</v>
      </c>
      <c r="DA28">
        <v>1651864421.225</v>
      </c>
      <c r="DB28">
        <v>1533.95</v>
      </c>
      <c r="DC28">
        <v>1556.9275</v>
      </c>
      <c r="DD28">
        <v>18.405675</v>
      </c>
      <c r="DE28">
        <v>11.0432</v>
      </c>
      <c r="DF28">
        <v>1536.9525</v>
      </c>
      <c r="DG28">
        <v>18.3845</v>
      </c>
      <c r="DH28">
        <v>500.04775</v>
      </c>
      <c r="DI28">
        <v>89.943575</v>
      </c>
      <c r="DJ28">
        <v>0.10013475</v>
      </c>
      <c r="DK28">
        <v>25.678675</v>
      </c>
      <c r="DL28">
        <v>24.986375</v>
      </c>
      <c r="DM28">
        <v>999.9</v>
      </c>
      <c r="DN28">
        <v>0</v>
      </c>
      <c r="DO28">
        <v>0</v>
      </c>
      <c r="DP28">
        <v>10003.775</v>
      </c>
      <c r="DQ28">
        <v>0</v>
      </c>
      <c r="DR28">
        <v>3.20383</v>
      </c>
      <c r="DS28">
        <v>-22.978425</v>
      </c>
      <c r="DT28">
        <v>1562.7125</v>
      </c>
      <c r="DU28">
        <v>1574.3125</v>
      </c>
      <c r="DV28">
        <v>7.362480000000001</v>
      </c>
      <c r="DW28">
        <v>1556.9275</v>
      </c>
      <c r="DX28">
        <v>11.0432</v>
      </c>
      <c r="DY28">
        <v>1.655475</v>
      </c>
      <c r="DZ28">
        <v>0.99326425</v>
      </c>
      <c r="EA28">
        <v>14.485075</v>
      </c>
      <c r="EB28">
        <v>6.81795</v>
      </c>
      <c r="EC28">
        <v>1499.9525</v>
      </c>
      <c r="ED28">
        <v>0.973002</v>
      </c>
      <c r="EE28">
        <v>0.0269985</v>
      </c>
      <c r="EF28">
        <v>0</v>
      </c>
      <c r="EG28">
        <v>1030.555</v>
      </c>
      <c r="EH28">
        <v>5.00097</v>
      </c>
      <c r="EI28">
        <v>15277.9</v>
      </c>
      <c r="EJ28">
        <v>12491.175</v>
      </c>
      <c r="EK28">
        <v>37.25</v>
      </c>
      <c r="EL28">
        <v>38.687</v>
      </c>
      <c r="EM28">
        <v>37.625</v>
      </c>
      <c r="EN28">
        <v>38.437</v>
      </c>
      <c r="EO28">
        <v>38.125</v>
      </c>
      <c r="EP28">
        <v>1454.5925</v>
      </c>
      <c r="EQ28">
        <v>40.36</v>
      </c>
      <c r="ER28">
        <v>0</v>
      </c>
      <c r="ES28">
        <v>201.6000001430511</v>
      </c>
      <c r="ET28">
        <v>0</v>
      </c>
      <c r="EU28">
        <v>1043.288461538461</v>
      </c>
      <c r="EV28">
        <v>-137.87897433108</v>
      </c>
      <c r="EW28">
        <v>-1994.776067856636</v>
      </c>
      <c r="EX28">
        <v>15461.50769230769</v>
      </c>
      <c r="EY28">
        <v>15</v>
      </c>
      <c r="EZ28">
        <v>1651864261.1</v>
      </c>
      <c r="FA28" t="s">
        <v>419</v>
      </c>
      <c r="FB28">
        <v>1651864241.6</v>
      </c>
      <c r="FC28">
        <v>1651864261.1</v>
      </c>
      <c r="FD28">
        <v>7</v>
      </c>
      <c r="FE28">
        <v>0.438</v>
      </c>
      <c r="FF28">
        <v>0.002</v>
      </c>
      <c r="FG28">
        <v>-0.988</v>
      </c>
      <c r="FH28">
        <v>-0.066</v>
      </c>
      <c r="FI28">
        <v>400</v>
      </c>
      <c r="FJ28">
        <v>11</v>
      </c>
      <c r="FK28">
        <v>0.05</v>
      </c>
      <c r="FL28">
        <v>0.02</v>
      </c>
      <c r="FM28">
        <v>-31.5845125</v>
      </c>
      <c r="FN28">
        <v>72.93312833020637</v>
      </c>
      <c r="FO28">
        <v>7.191935191420578</v>
      </c>
      <c r="FP28">
        <v>-1</v>
      </c>
      <c r="FQ28">
        <v>7.363790249999999</v>
      </c>
      <c r="FR28">
        <v>-0.01827973733583916</v>
      </c>
      <c r="FS28">
        <v>0.002031584956997862</v>
      </c>
      <c r="FT28">
        <v>-1</v>
      </c>
      <c r="FU28">
        <v>0</v>
      </c>
      <c r="FV28">
        <v>0</v>
      </c>
      <c r="FW28">
        <v>0</v>
      </c>
      <c r="FX28">
        <v>-1</v>
      </c>
      <c r="FY28">
        <v>0</v>
      </c>
      <c r="FZ28">
        <v>0</v>
      </c>
      <c r="GA28" t="s">
        <v>420</v>
      </c>
      <c r="GB28">
        <v>2.98073</v>
      </c>
      <c r="GC28">
        <v>2.70626</v>
      </c>
      <c r="GD28">
        <v>0.222991</v>
      </c>
      <c r="GE28">
        <v>0.222457</v>
      </c>
      <c r="GF28">
        <v>0.0878593</v>
      </c>
      <c r="GG28">
        <v>0.0596562</v>
      </c>
      <c r="GH28">
        <v>24523.5</v>
      </c>
      <c r="GI28">
        <v>24594.9</v>
      </c>
      <c r="GJ28">
        <v>29348.2</v>
      </c>
      <c r="GK28">
        <v>29263.7</v>
      </c>
      <c r="GL28">
        <v>35449.3</v>
      </c>
      <c r="GM28">
        <v>36654.5</v>
      </c>
      <c r="GN28">
        <v>41309.6</v>
      </c>
      <c r="GO28">
        <v>41768.6</v>
      </c>
      <c r="GP28">
        <v>1.95868</v>
      </c>
      <c r="GQ28">
        <v>1.84923</v>
      </c>
      <c r="GR28">
        <v>-0.0272319</v>
      </c>
      <c r="GS28">
        <v>0</v>
      </c>
      <c r="GT28">
        <v>25.4315</v>
      </c>
      <c r="GU28">
        <v>999.9</v>
      </c>
      <c r="GV28">
        <v>32</v>
      </c>
      <c r="GW28">
        <v>34.2</v>
      </c>
      <c r="GX28">
        <v>19.224</v>
      </c>
      <c r="GY28">
        <v>62.5374</v>
      </c>
      <c r="GZ28">
        <v>34.8037</v>
      </c>
      <c r="HA28">
        <v>1</v>
      </c>
      <c r="HB28">
        <v>0.10079</v>
      </c>
      <c r="HC28">
        <v>2.14512</v>
      </c>
      <c r="HD28">
        <v>20.3205</v>
      </c>
      <c r="HE28">
        <v>5.21804</v>
      </c>
      <c r="HF28">
        <v>12.0099</v>
      </c>
      <c r="HG28">
        <v>4.98895</v>
      </c>
      <c r="HH28">
        <v>3.28865</v>
      </c>
      <c r="HI28">
        <v>992.1</v>
      </c>
      <c r="HJ28">
        <v>9514.200000000001</v>
      </c>
      <c r="HK28">
        <v>5139.4</v>
      </c>
      <c r="HL28">
        <v>24.8</v>
      </c>
      <c r="HM28">
        <v>1.86748</v>
      </c>
      <c r="HN28">
        <v>1.86646</v>
      </c>
      <c r="HO28">
        <v>1.866</v>
      </c>
      <c r="HP28">
        <v>1.86584</v>
      </c>
      <c r="HQ28">
        <v>1.86768</v>
      </c>
      <c r="HR28">
        <v>1.87019</v>
      </c>
      <c r="HS28">
        <v>1.86887</v>
      </c>
      <c r="HT28">
        <v>1.87022</v>
      </c>
      <c r="HU28">
        <v>0</v>
      </c>
      <c r="HV28">
        <v>0</v>
      </c>
      <c r="HW28">
        <v>0</v>
      </c>
      <c r="HX28">
        <v>0</v>
      </c>
      <c r="HY28" t="s">
        <v>421</v>
      </c>
      <c r="HZ28" t="s">
        <v>422</v>
      </c>
      <c r="IA28" t="s">
        <v>423</v>
      </c>
      <c r="IB28" t="s">
        <v>423</v>
      </c>
      <c r="IC28" t="s">
        <v>423</v>
      </c>
      <c r="ID28" t="s">
        <v>423</v>
      </c>
      <c r="IE28">
        <v>0</v>
      </c>
      <c r="IF28">
        <v>100</v>
      </c>
      <c r="IG28">
        <v>100</v>
      </c>
      <c r="IH28">
        <v>-3</v>
      </c>
      <c r="II28">
        <v>0.0212</v>
      </c>
      <c r="IJ28">
        <v>-0.2164499368582429</v>
      </c>
      <c r="IK28">
        <v>-0.002077099775823331</v>
      </c>
      <c r="IL28">
        <v>4.593143279902166E-07</v>
      </c>
      <c r="IM28">
        <v>-1.865383991892071E-10</v>
      </c>
      <c r="IN28">
        <v>-0.06087574426827484</v>
      </c>
      <c r="IO28">
        <v>-0.01129461987421345</v>
      </c>
      <c r="IP28">
        <v>0.00116580895745559</v>
      </c>
      <c r="IQ28">
        <v>-1.679085872906199E-05</v>
      </c>
      <c r="IR28">
        <v>2</v>
      </c>
      <c r="IS28">
        <v>2290</v>
      </c>
      <c r="IT28">
        <v>0</v>
      </c>
      <c r="IU28">
        <v>32</v>
      </c>
      <c r="IV28">
        <v>3</v>
      </c>
      <c r="IW28">
        <v>2.7</v>
      </c>
      <c r="IX28">
        <v>2.93945</v>
      </c>
      <c r="IY28">
        <v>2.19238</v>
      </c>
      <c r="IZ28">
        <v>1.39648</v>
      </c>
      <c r="JA28">
        <v>2.35596</v>
      </c>
      <c r="JB28">
        <v>1.49536</v>
      </c>
      <c r="JC28">
        <v>2.31079</v>
      </c>
      <c r="JD28">
        <v>38.379</v>
      </c>
      <c r="JE28">
        <v>24.035</v>
      </c>
      <c r="JF28">
        <v>18</v>
      </c>
      <c r="JG28">
        <v>512.6660000000001</v>
      </c>
      <c r="JH28">
        <v>427.926</v>
      </c>
      <c r="JI28">
        <v>22.4836</v>
      </c>
      <c r="JJ28">
        <v>28.6055</v>
      </c>
      <c r="JK28">
        <v>30.0001</v>
      </c>
      <c r="JL28">
        <v>28.5762</v>
      </c>
      <c r="JM28">
        <v>28.5147</v>
      </c>
      <c r="JN28">
        <v>58.6957</v>
      </c>
      <c r="JO28">
        <v>41.2782</v>
      </c>
      <c r="JP28">
        <v>0</v>
      </c>
      <c r="JQ28">
        <v>22.4891</v>
      </c>
      <c r="JR28">
        <v>1531.43</v>
      </c>
      <c r="JS28">
        <v>11.0746</v>
      </c>
      <c r="JT28">
        <v>100.319</v>
      </c>
      <c r="JU28">
        <v>100.247</v>
      </c>
    </row>
    <row r="29" spans="1:281">
      <c r="A29">
        <v>13</v>
      </c>
      <c r="B29">
        <v>1651864424.6</v>
      </c>
      <c r="C29">
        <v>204</v>
      </c>
      <c r="D29" t="s">
        <v>446</v>
      </c>
      <c r="E29" t="s">
        <v>447</v>
      </c>
      <c r="F29">
        <v>2</v>
      </c>
      <c r="G29" t="s">
        <v>413</v>
      </c>
      <c r="H29" t="s">
        <v>414</v>
      </c>
      <c r="I29">
        <v>1651864423.6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1572.288730303158</v>
      </c>
      <c r="AK29">
        <v>1553.605696969696</v>
      </c>
      <c r="AL29">
        <v>-3.167099230278691</v>
      </c>
      <c r="AM29">
        <v>66.38192812717227</v>
      </c>
      <c r="AN29">
        <f>(AP29 - AO29 + DI29*1E3/(8.314*(DK29+273.15)) * AR29/DH29 * AQ29) * DH29/(100*CV29) * 1000/(1000 - AP29)</f>
        <v>0</v>
      </c>
      <c r="AO29">
        <v>11.04370516137758</v>
      </c>
      <c r="AP29">
        <v>18.40030058823529</v>
      </c>
      <c r="AQ29">
        <v>3.172962740420878E-05</v>
      </c>
      <c r="AR29">
        <v>80.47224507511959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417</v>
      </c>
      <c r="AY29" t="s">
        <v>417</v>
      </c>
      <c r="AZ29">
        <v>0</v>
      </c>
      <c r="BA29">
        <v>0</v>
      </c>
      <c r="BB29">
        <f>1-AZ29/BA29</f>
        <v>0</v>
      </c>
      <c r="BC29">
        <v>0</v>
      </c>
      <c r="BD29" t="s">
        <v>417</v>
      </c>
      <c r="BE29" t="s">
        <v>417</v>
      </c>
      <c r="BF29">
        <v>0</v>
      </c>
      <c r="BG29">
        <v>0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417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1248</v>
      </c>
      <c r="CA29">
        <v>300</v>
      </c>
      <c r="CB29">
        <v>300</v>
      </c>
      <c r="CC29">
        <v>300</v>
      </c>
      <c r="CD29">
        <v>10442</v>
      </c>
      <c r="CE29">
        <v>1293.69</v>
      </c>
      <c r="CF29">
        <v>-0.00735246</v>
      </c>
      <c r="CG29">
        <v>0.5</v>
      </c>
      <c r="CH29" t="s">
        <v>417</v>
      </c>
      <c r="CI29" t="s">
        <v>417</v>
      </c>
      <c r="CJ29" t="s">
        <v>417</v>
      </c>
      <c r="CK29" t="s">
        <v>417</v>
      </c>
      <c r="CL29" t="s">
        <v>417</v>
      </c>
      <c r="CM29" t="s">
        <v>417</v>
      </c>
      <c r="CN29" t="s">
        <v>417</v>
      </c>
      <c r="CO29" t="s">
        <v>417</v>
      </c>
      <c r="CP29" t="s">
        <v>417</v>
      </c>
      <c r="CQ29" t="s">
        <v>417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418</v>
      </c>
      <c r="CY29">
        <v>2</v>
      </c>
      <c r="CZ29" t="b">
        <v>1</v>
      </c>
      <c r="DA29">
        <v>1651864423.6</v>
      </c>
      <c r="DB29">
        <v>1526.596666666667</v>
      </c>
      <c r="DC29">
        <v>1549.176666666667</v>
      </c>
      <c r="DD29">
        <v>18.4013</v>
      </c>
      <c r="DE29">
        <v>11.0423</v>
      </c>
      <c r="DF29">
        <v>1529.583333333333</v>
      </c>
      <c r="DG29">
        <v>18.3802</v>
      </c>
      <c r="DH29">
        <v>500.0513333333333</v>
      </c>
      <c r="DI29">
        <v>89.94243333333333</v>
      </c>
      <c r="DJ29">
        <v>0.1000798</v>
      </c>
      <c r="DK29">
        <v>25.68096666666667</v>
      </c>
      <c r="DL29">
        <v>24.98676666666666</v>
      </c>
      <c r="DM29">
        <v>999.9</v>
      </c>
      <c r="DN29">
        <v>0</v>
      </c>
      <c r="DO29">
        <v>0</v>
      </c>
      <c r="DP29">
        <v>9994.583333333334</v>
      </c>
      <c r="DQ29">
        <v>0</v>
      </c>
      <c r="DR29">
        <v>3.20992</v>
      </c>
      <c r="DS29">
        <v>-22.5813</v>
      </c>
      <c r="DT29">
        <v>1555.213333333333</v>
      </c>
      <c r="DU29">
        <v>1566.476666666667</v>
      </c>
      <c r="DV29">
        <v>7.358996666666666</v>
      </c>
      <c r="DW29">
        <v>1549.176666666667</v>
      </c>
      <c r="DX29">
        <v>11.0423</v>
      </c>
      <c r="DY29">
        <v>1.655056666666667</v>
      </c>
      <c r="DZ29">
        <v>0.993173</v>
      </c>
      <c r="EA29">
        <v>14.4812</v>
      </c>
      <c r="EB29">
        <v>6.816613333333334</v>
      </c>
      <c r="EC29">
        <v>1499.946666666667</v>
      </c>
      <c r="ED29">
        <v>0.973002</v>
      </c>
      <c r="EE29">
        <v>0.0269985</v>
      </c>
      <c r="EF29">
        <v>0</v>
      </c>
      <c r="EG29">
        <v>1027.586666666667</v>
      </c>
      <c r="EH29">
        <v>5.00097</v>
      </c>
      <c r="EI29">
        <v>15230.56666666667</v>
      </c>
      <c r="EJ29">
        <v>12491.1</v>
      </c>
      <c r="EK29">
        <v>37.25</v>
      </c>
      <c r="EL29">
        <v>38.687</v>
      </c>
      <c r="EM29">
        <v>37.625</v>
      </c>
      <c r="EN29">
        <v>38.437</v>
      </c>
      <c r="EO29">
        <v>38.125</v>
      </c>
      <c r="EP29">
        <v>1454.586666666667</v>
      </c>
      <c r="EQ29">
        <v>40.36</v>
      </c>
      <c r="ER29">
        <v>0</v>
      </c>
      <c r="ES29">
        <v>203.4000000953674</v>
      </c>
      <c r="ET29">
        <v>0</v>
      </c>
      <c r="EU29">
        <v>1038.6212</v>
      </c>
      <c r="EV29">
        <v>-120.8100000106364</v>
      </c>
      <c r="EW29">
        <v>-1753.030769183099</v>
      </c>
      <c r="EX29">
        <v>15393.996</v>
      </c>
      <c r="EY29">
        <v>15</v>
      </c>
      <c r="EZ29">
        <v>1651864261.1</v>
      </c>
      <c r="FA29" t="s">
        <v>419</v>
      </c>
      <c r="FB29">
        <v>1651864241.6</v>
      </c>
      <c r="FC29">
        <v>1651864261.1</v>
      </c>
      <c r="FD29">
        <v>7</v>
      </c>
      <c r="FE29">
        <v>0.438</v>
      </c>
      <c r="FF29">
        <v>0.002</v>
      </c>
      <c r="FG29">
        <v>-0.988</v>
      </c>
      <c r="FH29">
        <v>-0.066</v>
      </c>
      <c r="FI29">
        <v>400</v>
      </c>
      <c r="FJ29">
        <v>11</v>
      </c>
      <c r="FK29">
        <v>0.05</v>
      </c>
      <c r="FL29">
        <v>0.02</v>
      </c>
      <c r="FM29">
        <v>-30.41178292682926</v>
      </c>
      <c r="FN29">
        <v>68.81584390243903</v>
      </c>
      <c r="FO29">
        <v>7.029482066994431</v>
      </c>
      <c r="FP29">
        <v>-1</v>
      </c>
      <c r="FQ29">
        <v>7.363408292682926</v>
      </c>
      <c r="FR29">
        <v>-0.02083588850172464</v>
      </c>
      <c r="FS29">
        <v>0.002261519996556419</v>
      </c>
      <c r="FT29">
        <v>-1</v>
      </c>
      <c r="FU29">
        <v>0</v>
      </c>
      <c r="FV29">
        <v>0</v>
      </c>
      <c r="FW29">
        <v>0</v>
      </c>
      <c r="FX29">
        <v>-1</v>
      </c>
      <c r="FY29">
        <v>0</v>
      </c>
      <c r="FZ29">
        <v>0</v>
      </c>
      <c r="GA29" t="s">
        <v>420</v>
      </c>
      <c r="GB29">
        <v>2.98054</v>
      </c>
      <c r="GC29">
        <v>2.70616</v>
      </c>
      <c r="GD29">
        <v>0.222431</v>
      </c>
      <c r="GE29">
        <v>0.221897</v>
      </c>
      <c r="GF29">
        <v>0.08784649999999999</v>
      </c>
      <c r="GG29">
        <v>0.0596506</v>
      </c>
      <c r="GH29">
        <v>24541.2</v>
      </c>
      <c r="GI29">
        <v>24612.6</v>
      </c>
      <c r="GJ29">
        <v>29348.3</v>
      </c>
      <c r="GK29">
        <v>29263.6</v>
      </c>
      <c r="GL29">
        <v>35449.7</v>
      </c>
      <c r="GM29">
        <v>36654.8</v>
      </c>
      <c r="GN29">
        <v>41309.5</v>
      </c>
      <c r="GO29">
        <v>41768.7</v>
      </c>
      <c r="GP29">
        <v>1.95842</v>
      </c>
      <c r="GQ29">
        <v>1.84942</v>
      </c>
      <c r="GR29">
        <v>-0.0269152</v>
      </c>
      <c r="GS29">
        <v>0</v>
      </c>
      <c r="GT29">
        <v>25.4317</v>
      </c>
      <c r="GU29">
        <v>999.9</v>
      </c>
      <c r="GV29">
        <v>32</v>
      </c>
      <c r="GW29">
        <v>34.2</v>
      </c>
      <c r="GX29">
        <v>19.2224</v>
      </c>
      <c r="GY29">
        <v>62.6374</v>
      </c>
      <c r="GZ29">
        <v>35.1242</v>
      </c>
      <c r="HA29">
        <v>1</v>
      </c>
      <c r="HB29">
        <v>0.100732</v>
      </c>
      <c r="HC29">
        <v>2.14289</v>
      </c>
      <c r="HD29">
        <v>20.3206</v>
      </c>
      <c r="HE29">
        <v>5.21774</v>
      </c>
      <c r="HF29">
        <v>12.0099</v>
      </c>
      <c r="HG29">
        <v>4.98885</v>
      </c>
      <c r="HH29">
        <v>3.28858</v>
      </c>
      <c r="HI29">
        <v>992.1</v>
      </c>
      <c r="HJ29">
        <v>9514.200000000001</v>
      </c>
      <c r="HK29">
        <v>5139.4</v>
      </c>
      <c r="HL29">
        <v>24.8</v>
      </c>
      <c r="HM29">
        <v>1.86749</v>
      </c>
      <c r="HN29">
        <v>1.86646</v>
      </c>
      <c r="HO29">
        <v>1.866</v>
      </c>
      <c r="HP29">
        <v>1.86584</v>
      </c>
      <c r="HQ29">
        <v>1.86768</v>
      </c>
      <c r="HR29">
        <v>1.8702</v>
      </c>
      <c r="HS29">
        <v>1.86886</v>
      </c>
      <c r="HT29">
        <v>1.8702</v>
      </c>
      <c r="HU29">
        <v>0</v>
      </c>
      <c r="HV29">
        <v>0</v>
      </c>
      <c r="HW29">
        <v>0</v>
      </c>
      <c r="HX29">
        <v>0</v>
      </c>
      <c r="HY29" t="s">
        <v>421</v>
      </c>
      <c r="HZ29" t="s">
        <v>422</v>
      </c>
      <c r="IA29" t="s">
        <v>423</v>
      </c>
      <c r="IB29" t="s">
        <v>423</v>
      </c>
      <c r="IC29" t="s">
        <v>423</v>
      </c>
      <c r="ID29" t="s">
        <v>423</v>
      </c>
      <c r="IE29">
        <v>0</v>
      </c>
      <c r="IF29">
        <v>100</v>
      </c>
      <c r="IG29">
        <v>100</v>
      </c>
      <c r="IH29">
        <v>-2.98</v>
      </c>
      <c r="II29">
        <v>0.021</v>
      </c>
      <c r="IJ29">
        <v>-0.2164499368582429</v>
      </c>
      <c r="IK29">
        <v>-0.002077099775823331</v>
      </c>
      <c r="IL29">
        <v>4.593143279902166E-07</v>
      </c>
      <c r="IM29">
        <v>-1.865383991892071E-10</v>
      </c>
      <c r="IN29">
        <v>-0.06087574426827484</v>
      </c>
      <c r="IO29">
        <v>-0.01129461987421345</v>
      </c>
      <c r="IP29">
        <v>0.00116580895745559</v>
      </c>
      <c r="IQ29">
        <v>-1.679085872906199E-05</v>
      </c>
      <c r="IR29">
        <v>2</v>
      </c>
      <c r="IS29">
        <v>2290</v>
      </c>
      <c r="IT29">
        <v>0</v>
      </c>
      <c r="IU29">
        <v>32</v>
      </c>
      <c r="IV29">
        <v>3</v>
      </c>
      <c r="IW29">
        <v>2.7</v>
      </c>
      <c r="IX29">
        <v>2.92847</v>
      </c>
      <c r="IY29">
        <v>2.18628</v>
      </c>
      <c r="IZ29">
        <v>1.39648</v>
      </c>
      <c r="JA29">
        <v>2.35596</v>
      </c>
      <c r="JB29">
        <v>1.49536</v>
      </c>
      <c r="JC29">
        <v>2.34253</v>
      </c>
      <c r="JD29">
        <v>38.379</v>
      </c>
      <c r="JE29">
        <v>24.0437</v>
      </c>
      <c r="JF29">
        <v>18</v>
      </c>
      <c r="JG29">
        <v>512.506</v>
      </c>
      <c r="JH29">
        <v>428.045</v>
      </c>
      <c r="JI29">
        <v>22.4863</v>
      </c>
      <c r="JJ29">
        <v>28.6067</v>
      </c>
      <c r="JK29">
        <v>30.0001</v>
      </c>
      <c r="JL29">
        <v>28.5765</v>
      </c>
      <c r="JM29">
        <v>28.5147</v>
      </c>
      <c r="JN29">
        <v>58.4961</v>
      </c>
      <c r="JO29">
        <v>41.2782</v>
      </c>
      <c r="JP29">
        <v>0</v>
      </c>
      <c r="JQ29">
        <v>22.4982</v>
      </c>
      <c r="JR29">
        <v>1524.75</v>
      </c>
      <c r="JS29">
        <v>11.0746</v>
      </c>
      <c r="JT29">
        <v>100.319</v>
      </c>
      <c r="JU29">
        <v>100.247</v>
      </c>
    </row>
    <row r="30" spans="1:281">
      <c r="A30">
        <v>14</v>
      </c>
      <c r="B30">
        <v>1651864426.6</v>
      </c>
      <c r="C30">
        <v>206</v>
      </c>
      <c r="D30" t="s">
        <v>448</v>
      </c>
      <c r="E30" t="s">
        <v>449</v>
      </c>
      <c r="F30">
        <v>2</v>
      </c>
      <c r="G30" t="s">
        <v>413</v>
      </c>
      <c r="H30" t="s">
        <v>414</v>
      </c>
      <c r="I30">
        <v>1651864425.225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1565.770707115549</v>
      </c>
      <c r="AK30">
        <v>1547.058969696969</v>
      </c>
      <c r="AL30">
        <v>-3.241586127824626</v>
      </c>
      <c r="AM30">
        <v>66.38192812717227</v>
      </c>
      <c r="AN30">
        <f>(AP30 - AO30 + DI30*1E3/(8.314*(DK30+273.15)) * AR30/DH30 * AQ30) * DH30/(100*CV30) * 1000/(1000 - AP30)</f>
        <v>0</v>
      </c>
      <c r="AO30">
        <v>11.04292334832683</v>
      </c>
      <c r="AP30">
        <v>18.39679705882353</v>
      </c>
      <c r="AQ30">
        <v>-8.989039282475779E-06</v>
      </c>
      <c r="AR30">
        <v>80.47224507511959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417</v>
      </c>
      <c r="AY30" t="s">
        <v>417</v>
      </c>
      <c r="AZ30">
        <v>0</v>
      </c>
      <c r="BA30">
        <v>0</v>
      </c>
      <c r="BB30">
        <f>1-AZ30/BA30</f>
        <v>0</v>
      </c>
      <c r="BC30">
        <v>0</v>
      </c>
      <c r="BD30" t="s">
        <v>417</v>
      </c>
      <c r="BE30" t="s">
        <v>417</v>
      </c>
      <c r="BF30">
        <v>0</v>
      </c>
      <c r="BG30">
        <v>0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417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1248</v>
      </c>
      <c r="CA30">
        <v>300</v>
      </c>
      <c r="CB30">
        <v>300</v>
      </c>
      <c r="CC30">
        <v>300</v>
      </c>
      <c r="CD30">
        <v>10442</v>
      </c>
      <c r="CE30">
        <v>1293.69</v>
      </c>
      <c r="CF30">
        <v>-0.00735246</v>
      </c>
      <c r="CG30">
        <v>0.5</v>
      </c>
      <c r="CH30" t="s">
        <v>417</v>
      </c>
      <c r="CI30" t="s">
        <v>417</v>
      </c>
      <c r="CJ30" t="s">
        <v>417</v>
      </c>
      <c r="CK30" t="s">
        <v>417</v>
      </c>
      <c r="CL30" t="s">
        <v>417</v>
      </c>
      <c r="CM30" t="s">
        <v>417</v>
      </c>
      <c r="CN30" t="s">
        <v>417</v>
      </c>
      <c r="CO30" t="s">
        <v>417</v>
      </c>
      <c r="CP30" t="s">
        <v>417</v>
      </c>
      <c r="CQ30" t="s">
        <v>417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418</v>
      </c>
      <c r="CY30">
        <v>2</v>
      </c>
      <c r="CZ30" t="b">
        <v>1</v>
      </c>
      <c r="DA30">
        <v>1651864425.225</v>
      </c>
      <c r="DB30">
        <v>1521.4025</v>
      </c>
      <c r="DC30">
        <v>1543.8275</v>
      </c>
      <c r="DD30">
        <v>18.39875</v>
      </c>
      <c r="DE30">
        <v>11.04165</v>
      </c>
      <c r="DF30">
        <v>1524.3825</v>
      </c>
      <c r="DG30">
        <v>18.377675</v>
      </c>
      <c r="DH30">
        <v>499.9975</v>
      </c>
      <c r="DI30">
        <v>89.9423</v>
      </c>
      <c r="DJ30">
        <v>0.09998465000000001</v>
      </c>
      <c r="DK30">
        <v>25.682225</v>
      </c>
      <c r="DL30">
        <v>24.993</v>
      </c>
      <c r="DM30">
        <v>999.9</v>
      </c>
      <c r="DN30">
        <v>0</v>
      </c>
      <c r="DO30">
        <v>0</v>
      </c>
      <c r="DP30">
        <v>9993.75</v>
      </c>
      <c r="DQ30">
        <v>0</v>
      </c>
      <c r="DR30">
        <v>3.21753</v>
      </c>
      <c r="DS30">
        <v>-22.4221</v>
      </c>
      <c r="DT30">
        <v>1549.9225</v>
      </c>
      <c r="DU30">
        <v>1561.0625</v>
      </c>
      <c r="DV30">
        <v>7.357115</v>
      </c>
      <c r="DW30">
        <v>1543.8275</v>
      </c>
      <c r="DX30">
        <v>11.04165</v>
      </c>
      <c r="DY30">
        <v>1.6548275</v>
      </c>
      <c r="DZ30">
        <v>0.9931107499999999</v>
      </c>
      <c r="EA30">
        <v>14.47905</v>
      </c>
      <c r="EB30">
        <v>6.815700000000001</v>
      </c>
      <c r="EC30">
        <v>1500.0125</v>
      </c>
      <c r="ED30">
        <v>0.973002</v>
      </c>
      <c r="EE30">
        <v>0.0269985</v>
      </c>
      <c r="EF30">
        <v>0</v>
      </c>
      <c r="EG30">
        <v>1025.3075</v>
      </c>
      <c r="EH30">
        <v>5.00097</v>
      </c>
      <c r="EI30">
        <v>15201.95</v>
      </c>
      <c r="EJ30">
        <v>12491.725</v>
      </c>
      <c r="EK30">
        <v>37.25</v>
      </c>
      <c r="EL30">
        <v>38.687</v>
      </c>
      <c r="EM30">
        <v>37.625</v>
      </c>
      <c r="EN30">
        <v>38.437</v>
      </c>
      <c r="EO30">
        <v>38.125</v>
      </c>
      <c r="EP30">
        <v>1454.65</v>
      </c>
      <c r="EQ30">
        <v>40.3625</v>
      </c>
      <c r="ER30">
        <v>0</v>
      </c>
      <c r="ES30">
        <v>205.7999999523163</v>
      </c>
      <c r="ET30">
        <v>0</v>
      </c>
      <c r="EU30">
        <v>1034.1028</v>
      </c>
      <c r="EV30">
        <v>-103.6715386326223</v>
      </c>
      <c r="EW30">
        <v>-1487.584617662376</v>
      </c>
      <c r="EX30">
        <v>15328.7</v>
      </c>
      <c r="EY30">
        <v>15</v>
      </c>
      <c r="EZ30">
        <v>1651864261.1</v>
      </c>
      <c r="FA30" t="s">
        <v>419</v>
      </c>
      <c r="FB30">
        <v>1651864241.6</v>
      </c>
      <c r="FC30">
        <v>1651864261.1</v>
      </c>
      <c r="FD30">
        <v>7</v>
      </c>
      <c r="FE30">
        <v>0.438</v>
      </c>
      <c r="FF30">
        <v>0.002</v>
      </c>
      <c r="FG30">
        <v>-0.988</v>
      </c>
      <c r="FH30">
        <v>-0.066</v>
      </c>
      <c r="FI30">
        <v>400</v>
      </c>
      <c r="FJ30">
        <v>11</v>
      </c>
      <c r="FK30">
        <v>0.05</v>
      </c>
      <c r="FL30">
        <v>0.02</v>
      </c>
      <c r="FM30">
        <v>-27.666615</v>
      </c>
      <c r="FN30">
        <v>53.47351519699818</v>
      </c>
      <c r="FO30">
        <v>5.529711162554062</v>
      </c>
      <c r="FP30">
        <v>-1</v>
      </c>
      <c r="FQ30">
        <v>7.362144499999999</v>
      </c>
      <c r="FR30">
        <v>-0.02472472795498777</v>
      </c>
      <c r="FS30">
        <v>0.002630683323777344</v>
      </c>
      <c r="FT30">
        <v>-1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0</v>
      </c>
      <c r="GA30" t="s">
        <v>420</v>
      </c>
      <c r="GB30">
        <v>2.98063</v>
      </c>
      <c r="GC30">
        <v>2.70603</v>
      </c>
      <c r="GD30">
        <v>0.221867</v>
      </c>
      <c r="GE30">
        <v>0.221302</v>
      </c>
      <c r="GF30">
        <v>0.08784169999999999</v>
      </c>
      <c r="GG30">
        <v>0.0596466</v>
      </c>
      <c r="GH30">
        <v>24558.9</v>
      </c>
      <c r="GI30">
        <v>24631.4</v>
      </c>
      <c r="GJ30">
        <v>29348.2</v>
      </c>
      <c r="GK30">
        <v>29263.6</v>
      </c>
      <c r="GL30">
        <v>35449.9</v>
      </c>
      <c r="GM30">
        <v>36654.9</v>
      </c>
      <c r="GN30">
        <v>41309.4</v>
      </c>
      <c r="GO30">
        <v>41768.7</v>
      </c>
      <c r="GP30">
        <v>1.9584</v>
      </c>
      <c r="GQ30">
        <v>1.84932</v>
      </c>
      <c r="GR30">
        <v>-0.0265241</v>
      </c>
      <c r="GS30">
        <v>0</v>
      </c>
      <c r="GT30">
        <v>25.4328</v>
      </c>
      <c r="GU30">
        <v>999.9</v>
      </c>
      <c r="GV30">
        <v>32</v>
      </c>
      <c r="GW30">
        <v>34.2</v>
      </c>
      <c r="GX30">
        <v>19.2217</v>
      </c>
      <c r="GY30">
        <v>62.5874</v>
      </c>
      <c r="GZ30">
        <v>34.7716</v>
      </c>
      <c r="HA30">
        <v>1</v>
      </c>
      <c r="HB30">
        <v>0.100757</v>
      </c>
      <c r="HC30">
        <v>2.12535</v>
      </c>
      <c r="HD30">
        <v>20.3208</v>
      </c>
      <c r="HE30">
        <v>5.21699</v>
      </c>
      <c r="HF30">
        <v>12.0099</v>
      </c>
      <c r="HG30">
        <v>4.98855</v>
      </c>
      <c r="HH30">
        <v>3.2885</v>
      </c>
      <c r="HI30">
        <v>992.1</v>
      </c>
      <c r="HJ30">
        <v>9514.200000000001</v>
      </c>
      <c r="HK30">
        <v>5139.4</v>
      </c>
      <c r="HL30">
        <v>24.8</v>
      </c>
      <c r="HM30">
        <v>1.86749</v>
      </c>
      <c r="HN30">
        <v>1.86646</v>
      </c>
      <c r="HO30">
        <v>1.866</v>
      </c>
      <c r="HP30">
        <v>1.86584</v>
      </c>
      <c r="HQ30">
        <v>1.86768</v>
      </c>
      <c r="HR30">
        <v>1.8702</v>
      </c>
      <c r="HS30">
        <v>1.86885</v>
      </c>
      <c r="HT30">
        <v>1.87022</v>
      </c>
      <c r="HU30">
        <v>0</v>
      </c>
      <c r="HV30">
        <v>0</v>
      </c>
      <c r="HW30">
        <v>0</v>
      </c>
      <c r="HX30">
        <v>0</v>
      </c>
      <c r="HY30" t="s">
        <v>421</v>
      </c>
      <c r="HZ30" t="s">
        <v>422</v>
      </c>
      <c r="IA30" t="s">
        <v>423</v>
      </c>
      <c r="IB30" t="s">
        <v>423</v>
      </c>
      <c r="IC30" t="s">
        <v>423</v>
      </c>
      <c r="ID30" t="s">
        <v>423</v>
      </c>
      <c r="IE30">
        <v>0</v>
      </c>
      <c r="IF30">
        <v>100</v>
      </c>
      <c r="IG30">
        <v>100</v>
      </c>
      <c r="IH30">
        <v>-2.97</v>
      </c>
      <c r="II30">
        <v>0.0211</v>
      </c>
      <c r="IJ30">
        <v>-0.2164499368582429</v>
      </c>
      <c r="IK30">
        <v>-0.002077099775823331</v>
      </c>
      <c r="IL30">
        <v>4.593143279902166E-07</v>
      </c>
      <c r="IM30">
        <v>-1.865383991892071E-10</v>
      </c>
      <c r="IN30">
        <v>-0.06087574426827484</v>
      </c>
      <c r="IO30">
        <v>-0.01129461987421345</v>
      </c>
      <c r="IP30">
        <v>0.00116580895745559</v>
      </c>
      <c r="IQ30">
        <v>-1.679085872906199E-05</v>
      </c>
      <c r="IR30">
        <v>2</v>
      </c>
      <c r="IS30">
        <v>2290</v>
      </c>
      <c r="IT30">
        <v>0</v>
      </c>
      <c r="IU30">
        <v>32</v>
      </c>
      <c r="IV30">
        <v>3.1</v>
      </c>
      <c r="IW30">
        <v>2.8</v>
      </c>
      <c r="IX30">
        <v>2.91992</v>
      </c>
      <c r="IY30">
        <v>2.18506</v>
      </c>
      <c r="IZ30">
        <v>1.39648</v>
      </c>
      <c r="JA30">
        <v>2.35596</v>
      </c>
      <c r="JB30">
        <v>1.49536</v>
      </c>
      <c r="JC30">
        <v>2.35229</v>
      </c>
      <c r="JD30">
        <v>38.379</v>
      </c>
      <c r="JE30">
        <v>24.035</v>
      </c>
      <c r="JF30">
        <v>18</v>
      </c>
      <c r="JG30">
        <v>512.49</v>
      </c>
      <c r="JH30">
        <v>427.986</v>
      </c>
      <c r="JI30">
        <v>22.4891</v>
      </c>
      <c r="JJ30">
        <v>28.607</v>
      </c>
      <c r="JK30">
        <v>30.0001</v>
      </c>
      <c r="JL30">
        <v>28.5765</v>
      </c>
      <c r="JM30">
        <v>28.5148</v>
      </c>
      <c r="JN30">
        <v>58.2935</v>
      </c>
      <c r="JO30">
        <v>41.2782</v>
      </c>
      <c r="JP30">
        <v>0</v>
      </c>
      <c r="JQ30">
        <v>22.4982</v>
      </c>
      <c r="JR30">
        <v>1518.07</v>
      </c>
      <c r="JS30">
        <v>11.0746</v>
      </c>
      <c r="JT30">
        <v>100.319</v>
      </c>
      <c r="JU30">
        <v>100.247</v>
      </c>
    </row>
    <row r="31" spans="1:281">
      <c r="A31">
        <v>15</v>
      </c>
      <c r="B31">
        <v>1651864428.6</v>
      </c>
      <c r="C31">
        <v>208</v>
      </c>
      <c r="D31" t="s">
        <v>450</v>
      </c>
      <c r="E31" t="s">
        <v>451</v>
      </c>
      <c r="F31">
        <v>2</v>
      </c>
      <c r="G31" t="s">
        <v>413</v>
      </c>
      <c r="H31" t="s">
        <v>414</v>
      </c>
      <c r="I31">
        <v>1651864427.6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1558.974644298908</v>
      </c>
      <c r="AK31">
        <v>1540.35303030303</v>
      </c>
      <c r="AL31">
        <v>-3.320436961596956</v>
      </c>
      <c r="AM31">
        <v>66.38192812717227</v>
      </c>
      <c r="AN31">
        <f>(AP31 - AO31 + DI31*1E3/(8.314*(DK31+273.15)) * AR31/DH31 * AQ31) * DH31/(100*CV31) * 1000/(1000 - AP31)</f>
        <v>0</v>
      </c>
      <c r="AO31">
        <v>11.0421212788282</v>
      </c>
      <c r="AP31">
        <v>18.39594676470586</v>
      </c>
      <c r="AQ31">
        <v>-5.994736565161454E-05</v>
      </c>
      <c r="AR31">
        <v>80.47224507511959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417</v>
      </c>
      <c r="AY31" t="s">
        <v>417</v>
      </c>
      <c r="AZ31">
        <v>0</v>
      </c>
      <c r="BA31">
        <v>0</v>
      </c>
      <c r="BB31">
        <f>1-AZ31/BA31</f>
        <v>0</v>
      </c>
      <c r="BC31">
        <v>0</v>
      </c>
      <c r="BD31" t="s">
        <v>417</v>
      </c>
      <c r="BE31" t="s">
        <v>417</v>
      </c>
      <c r="BF31">
        <v>0</v>
      </c>
      <c r="BG31">
        <v>0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417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1248</v>
      </c>
      <c r="CA31">
        <v>300</v>
      </c>
      <c r="CB31">
        <v>300</v>
      </c>
      <c r="CC31">
        <v>300</v>
      </c>
      <c r="CD31">
        <v>10442</v>
      </c>
      <c r="CE31">
        <v>1293.69</v>
      </c>
      <c r="CF31">
        <v>-0.00735246</v>
      </c>
      <c r="CG31">
        <v>0.5</v>
      </c>
      <c r="CH31" t="s">
        <v>417</v>
      </c>
      <c r="CI31" t="s">
        <v>417</v>
      </c>
      <c r="CJ31" t="s">
        <v>417</v>
      </c>
      <c r="CK31" t="s">
        <v>417</v>
      </c>
      <c r="CL31" t="s">
        <v>417</v>
      </c>
      <c r="CM31" t="s">
        <v>417</v>
      </c>
      <c r="CN31" t="s">
        <v>417</v>
      </c>
      <c r="CO31" t="s">
        <v>417</v>
      </c>
      <c r="CP31" t="s">
        <v>417</v>
      </c>
      <c r="CQ31" t="s">
        <v>417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418</v>
      </c>
      <c r="CY31">
        <v>2</v>
      </c>
      <c r="CZ31" t="b">
        <v>1</v>
      </c>
      <c r="DA31">
        <v>1651864427.6</v>
      </c>
      <c r="DB31">
        <v>1513.666666666667</v>
      </c>
      <c r="DC31">
        <v>1535.75</v>
      </c>
      <c r="DD31">
        <v>18.39616666666667</v>
      </c>
      <c r="DE31">
        <v>11.04043333333333</v>
      </c>
      <c r="DF31">
        <v>1516.63</v>
      </c>
      <c r="DG31">
        <v>18.37513333333333</v>
      </c>
      <c r="DH31">
        <v>500.05</v>
      </c>
      <c r="DI31">
        <v>89.94206666666666</v>
      </c>
      <c r="DJ31">
        <v>0.09980070000000001</v>
      </c>
      <c r="DK31">
        <v>25.68196666666666</v>
      </c>
      <c r="DL31">
        <v>24.99913333333333</v>
      </c>
      <c r="DM31">
        <v>999.9</v>
      </c>
      <c r="DN31">
        <v>0</v>
      </c>
      <c r="DO31">
        <v>0</v>
      </c>
      <c r="DP31">
        <v>10025.63333333333</v>
      </c>
      <c r="DQ31">
        <v>0</v>
      </c>
      <c r="DR31">
        <v>3.211793333333333</v>
      </c>
      <c r="DS31">
        <v>-22.08293333333333</v>
      </c>
      <c r="DT31">
        <v>1542.033333333333</v>
      </c>
      <c r="DU31">
        <v>1552.893333333333</v>
      </c>
      <c r="DV31">
        <v>7.355713333333334</v>
      </c>
      <c r="DW31">
        <v>1535.75</v>
      </c>
      <c r="DX31">
        <v>11.04043333333333</v>
      </c>
      <c r="DY31">
        <v>1.65459</v>
      </c>
      <c r="DZ31">
        <v>0.9930016666666667</v>
      </c>
      <c r="EA31">
        <v>14.47683333333333</v>
      </c>
      <c r="EB31">
        <v>6.814096666666667</v>
      </c>
      <c r="EC31">
        <v>1500.036666666667</v>
      </c>
      <c r="ED31">
        <v>0.9730036666666667</v>
      </c>
      <c r="EE31">
        <v>0.0269967</v>
      </c>
      <c r="EF31">
        <v>0</v>
      </c>
      <c r="EG31">
        <v>1023.02</v>
      </c>
      <c r="EH31">
        <v>5.00097</v>
      </c>
      <c r="EI31">
        <v>15168.5</v>
      </c>
      <c r="EJ31">
        <v>12491.93333333333</v>
      </c>
      <c r="EK31">
        <v>37.25</v>
      </c>
      <c r="EL31">
        <v>38.687</v>
      </c>
      <c r="EM31">
        <v>37.625</v>
      </c>
      <c r="EN31">
        <v>38.437</v>
      </c>
      <c r="EO31">
        <v>38.125</v>
      </c>
      <c r="EP31">
        <v>1454.676666666667</v>
      </c>
      <c r="EQ31">
        <v>40.36</v>
      </c>
      <c r="ER31">
        <v>0</v>
      </c>
      <c r="ES31">
        <v>207.6000001430511</v>
      </c>
      <c r="ET31">
        <v>0</v>
      </c>
      <c r="EU31">
        <v>1031.701923076923</v>
      </c>
      <c r="EV31">
        <v>-94.18564101571543</v>
      </c>
      <c r="EW31">
        <v>-1343.883760291743</v>
      </c>
      <c r="EX31">
        <v>15293.93076923077</v>
      </c>
      <c r="EY31">
        <v>15</v>
      </c>
      <c r="EZ31">
        <v>1651864261.1</v>
      </c>
      <c r="FA31" t="s">
        <v>419</v>
      </c>
      <c r="FB31">
        <v>1651864241.6</v>
      </c>
      <c r="FC31">
        <v>1651864261.1</v>
      </c>
      <c r="FD31">
        <v>7</v>
      </c>
      <c r="FE31">
        <v>0.438</v>
      </c>
      <c r="FF31">
        <v>0.002</v>
      </c>
      <c r="FG31">
        <v>-0.988</v>
      </c>
      <c r="FH31">
        <v>-0.066</v>
      </c>
      <c r="FI31">
        <v>400</v>
      </c>
      <c r="FJ31">
        <v>11</v>
      </c>
      <c r="FK31">
        <v>0.05</v>
      </c>
      <c r="FL31">
        <v>0.02</v>
      </c>
      <c r="FM31">
        <v>-26.75242</v>
      </c>
      <c r="FN31">
        <v>46.25073095684805</v>
      </c>
      <c r="FO31">
        <v>4.821331793301514</v>
      </c>
      <c r="FP31">
        <v>-1</v>
      </c>
      <c r="FQ31">
        <v>7.361643000000001</v>
      </c>
      <c r="FR31">
        <v>-0.02497733583489715</v>
      </c>
      <c r="FS31">
        <v>0.002657499012229384</v>
      </c>
      <c r="FT31">
        <v>-1</v>
      </c>
      <c r="FU31">
        <v>0</v>
      </c>
      <c r="FV31">
        <v>0</v>
      </c>
      <c r="FW31">
        <v>0</v>
      </c>
      <c r="FX31">
        <v>-1</v>
      </c>
      <c r="FY31">
        <v>0</v>
      </c>
      <c r="FZ31">
        <v>0</v>
      </c>
      <c r="GA31" t="s">
        <v>420</v>
      </c>
      <c r="GB31">
        <v>2.98059</v>
      </c>
      <c r="GC31">
        <v>2.70624</v>
      </c>
      <c r="GD31">
        <v>0.22129</v>
      </c>
      <c r="GE31">
        <v>0.220719</v>
      </c>
      <c r="GF31">
        <v>0.0878316</v>
      </c>
      <c r="GG31">
        <v>0.0596427</v>
      </c>
      <c r="GH31">
        <v>24576.9</v>
      </c>
      <c r="GI31">
        <v>24649.9</v>
      </c>
      <c r="GJ31">
        <v>29347.8</v>
      </c>
      <c r="GK31">
        <v>29263.6</v>
      </c>
      <c r="GL31">
        <v>35449.9</v>
      </c>
      <c r="GM31">
        <v>36655.1</v>
      </c>
      <c r="GN31">
        <v>41309</v>
      </c>
      <c r="GO31">
        <v>41768.7</v>
      </c>
      <c r="GP31">
        <v>1.9585</v>
      </c>
      <c r="GQ31">
        <v>1.84913</v>
      </c>
      <c r="GR31">
        <v>-0.0265911</v>
      </c>
      <c r="GS31">
        <v>0</v>
      </c>
      <c r="GT31">
        <v>25.4337</v>
      </c>
      <c r="GU31">
        <v>999.9</v>
      </c>
      <c r="GV31">
        <v>32</v>
      </c>
      <c r="GW31">
        <v>34.2</v>
      </c>
      <c r="GX31">
        <v>19.2218</v>
      </c>
      <c r="GY31">
        <v>62.2674</v>
      </c>
      <c r="GZ31">
        <v>35.2684</v>
      </c>
      <c r="HA31">
        <v>1</v>
      </c>
      <c r="HB31">
        <v>0.100737</v>
      </c>
      <c r="HC31">
        <v>2.11859</v>
      </c>
      <c r="HD31">
        <v>20.321</v>
      </c>
      <c r="HE31">
        <v>5.21699</v>
      </c>
      <c r="HF31">
        <v>12.0099</v>
      </c>
      <c r="HG31">
        <v>4.9887</v>
      </c>
      <c r="HH31">
        <v>3.2885</v>
      </c>
      <c r="HI31">
        <v>992.3</v>
      </c>
      <c r="HJ31">
        <v>9515.6</v>
      </c>
      <c r="HK31">
        <v>5139.4</v>
      </c>
      <c r="HL31">
        <v>24.8</v>
      </c>
      <c r="HM31">
        <v>1.86749</v>
      </c>
      <c r="HN31">
        <v>1.86646</v>
      </c>
      <c r="HO31">
        <v>1.866</v>
      </c>
      <c r="HP31">
        <v>1.86584</v>
      </c>
      <c r="HQ31">
        <v>1.86768</v>
      </c>
      <c r="HR31">
        <v>1.87021</v>
      </c>
      <c r="HS31">
        <v>1.86886</v>
      </c>
      <c r="HT31">
        <v>1.87023</v>
      </c>
      <c r="HU31">
        <v>0</v>
      </c>
      <c r="HV31">
        <v>0</v>
      </c>
      <c r="HW31">
        <v>0</v>
      </c>
      <c r="HX31">
        <v>0</v>
      </c>
      <c r="HY31" t="s">
        <v>421</v>
      </c>
      <c r="HZ31" t="s">
        <v>422</v>
      </c>
      <c r="IA31" t="s">
        <v>423</v>
      </c>
      <c r="IB31" t="s">
        <v>423</v>
      </c>
      <c r="IC31" t="s">
        <v>423</v>
      </c>
      <c r="ID31" t="s">
        <v>423</v>
      </c>
      <c r="IE31">
        <v>0</v>
      </c>
      <c r="IF31">
        <v>100</v>
      </c>
      <c r="IG31">
        <v>100</v>
      </c>
      <c r="IH31">
        <v>-2.95</v>
      </c>
      <c r="II31">
        <v>0.021</v>
      </c>
      <c r="IJ31">
        <v>-0.2164499368582429</v>
      </c>
      <c r="IK31">
        <v>-0.002077099775823331</v>
      </c>
      <c r="IL31">
        <v>4.593143279902166E-07</v>
      </c>
      <c r="IM31">
        <v>-1.865383991892071E-10</v>
      </c>
      <c r="IN31">
        <v>-0.06087574426827484</v>
      </c>
      <c r="IO31">
        <v>-0.01129461987421345</v>
      </c>
      <c r="IP31">
        <v>0.00116580895745559</v>
      </c>
      <c r="IQ31">
        <v>-1.679085872906199E-05</v>
      </c>
      <c r="IR31">
        <v>2</v>
      </c>
      <c r="IS31">
        <v>2290</v>
      </c>
      <c r="IT31">
        <v>0</v>
      </c>
      <c r="IU31">
        <v>32</v>
      </c>
      <c r="IV31">
        <v>3.1</v>
      </c>
      <c r="IW31">
        <v>2.8</v>
      </c>
      <c r="IX31">
        <v>2.90894</v>
      </c>
      <c r="IY31">
        <v>2.18872</v>
      </c>
      <c r="IZ31">
        <v>1.39648</v>
      </c>
      <c r="JA31">
        <v>2.35718</v>
      </c>
      <c r="JB31">
        <v>1.49536</v>
      </c>
      <c r="JC31">
        <v>2.28394</v>
      </c>
      <c r="JD31">
        <v>38.379</v>
      </c>
      <c r="JE31">
        <v>24.035</v>
      </c>
      <c r="JF31">
        <v>18</v>
      </c>
      <c r="JG31">
        <v>512.5549999999999</v>
      </c>
      <c r="JH31">
        <v>427.876</v>
      </c>
      <c r="JI31">
        <v>22.4934</v>
      </c>
      <c r="JJ31">
        <v>28.607</v>
      </c>
      <c r="JK31">
        <v>30.0001</v>
      </c>
      <c r="JL31">
        <v>28.5765</v>
      </c>
      <c r="JM31">
        <v>28.5161</v>
      </c>
      <c r="JN31">
        <v>58.0967</v>
      </c>
      <c r="JO31">
        <v>41.2782</v>
      </c>
      <c r="JP31">
        <v>0</v>
      </c>
      <c r="JQ31">
        <v>22.4982</v>
      </c>
      <c r="JR31">
        <v>1511.39</v>
      </c>
      <c r="JS31">
        <v>11.0746</v>
      </c>
      <c r="JT31">
        <v>100.318</v>
      </c>
      <c r="JU31">
        <v>100.247</v>
      </c>
    </row>
    <row r="32" spans="1:281">
      <c r="A32">
        <v>16</v>
      </c>
      <c r="B32">
        <v>1651864430.6</v>
      </c>
      <c r="C32">
        <v>210</v>
      </c>
      <c r="D32" t="s">
        <v>452</v>
      </c>
      <c r="E32" t="s">
        <v>453</v>
      </c>
      <c r="F32">
        <v>2</v>
      </c>
      <c r="G32" t="s">
        <v>413</v>
      </c>
      <c r="H32" t="s">
        <v>414</v>
      </c>
      <c r="I32">
        <v>1651864429.225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1552.085261729336</v>
      </c>
      <c r="AK32">
        <v>1533.687454545453</v>
      </c>
      <c r="AL32">
        <v>-3.345698369056187</v>
      </c>
      <c r="AM32">
        <v>66.38192812717227</v>
      </c>
      <c r="AN32">
        <f>(AP32 - AO32 + DI32*1E3/(8.314*(DK32+273.15)) * AR32/DH32 * AQ32) * DH32/(100*CV32) * 1000/(1000 - AP32)</f>
        <v>0</v>
      </c>
      <c r="AO32">
        <v>11.04124070537702</v>
      </c>
      <c r="AP32">
        <v>18.39326911764706</v>
      </c>
      <c r="AQ32">
        <v>-3.402224636752809E-05</v>
      </c>
      <c r="AR32">
        <v>80.47224507511959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417</v>
      </c>
      <c r="AY32" t="s">
        <v>417</v>
      </c>
      <c r="AZ32">
        <v>0</v>
      </c>
      <c r="BA32">
        <v>0</v>
      </c>
      <c r="BB32">
        <f>1-AZ32/BA32</f>
        <v>0</v>
      </c>
      <c r="BC32">
        <v>0</v>
      </c>
      <c r="BD32" t="s">
        <v>417</v>
      </c>
      <c r="BE32" t="s">
        <v>417</v>
      </c>
      <c r="BF32">
        <v>0</v>
      </c>
      <c r="BG32">
        <v>0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417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1248</v>
      </c>
      <c r="CA32">
        <v>300</v>
      </c>
      <c r="CB32">
        <v>300</v>
      </c>
      <c r="CC32">
        <v>300</v>
      </c>
      <c r="CD32">
        <v>10442</v>
      </c>
      <c r="CE32">
        <v>1293.69</v>
      </c>
      <c r="CF32">
        <v>-0.00735246</v>
      </c>
      <c r="CG32">
        <v>0.5</v>
      </c>
      <c r="CH32" t="s">
        <v>417</v>
      </c>
      <c r="CI32" t="s">
        <v>417</v>
      </c>
      <c r="CJ32" t="s">
        <v>417</v>
      </c>
      <c r="CK32" t="s">
        <v>417</v>
      </c>
      <c r="CL32" t="s">
        <v>417</v>
      </c>
      <c r="CM32" t="s">
        <v>417</v>
      </c>
      <c r="CN32" t="s">
        <v>417</v>
      </c>
      <c r="CO32" t="s">
        <v>417</v>
      </c>
      <c r="CP32" t="s">
        <v>417</v>
      </c>
      <c r="CQ32" t="s">
        <v>417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418</v>
      </c>
      <c r="CY32">
        <v>2</v>
      </c>
      <c r="CZ32" t="b">
        <v>1</v>
      </c>
      <c r="DA32">
        <v>1651864429.225</v>
      </c>
      <c r="DB32">
        <v>1508.35</v>
      </c>
      <c r="DC32">
        <v>1530.285</v>
      </c>
      <c r="DD32">
        <v>18.39425</v>
      </c>
      <c r="DE32">
        <v>11.039675</v>
      </c>
      <c r="DF32">
        <v>1511.3025</v>
      </c>
      <c r="DG32">
        <v>18.37325</v>
      </c>
      <c r="DH32">
        <v>500.058</v>
      </c>
      <c r="DI32">
        <v>89.94172499999999</v>
      </c>
      <c r="DJ32">
        <v>0.099848875</v>
      </c>
      <c r="DK32">
        <v>25.6815</v>
      </c>
      <c r="DL32">
        <v>24.997125</v>
      </c>
      <c r="DM32">
        <v>999.9</v>
      </c>
      <c r="DN32">
        <v>0</v>
      </c>
      <c r="DO32">
        <v>0</v>
      </c>
      <c r="DP32">
        <v>10028.1</v>
      </c>
      <c r="DQ32">
        <v>0</v>
      </c>
      <c r="DR32">
        <v>3.2041825</v>
      </c>
      <c r="DS32">
        <v>-21.935225</v>
      </c>
      <c r="DT32">
        <v>1536.6125</v>
      </c>
      <c r="DU32">
        <v>1547.365</v>
      </c>
      <c r="DV32">
        <v>7.3545675</v>
      </c>
      <c r="DW32">
        <v>1530.285</v>
      </c>
      <c r="DX32">
        <v>11.039675</v>
      </c>
      <c r="DY32">
        <v>1.65441</v>
      </c>
      <c r="DZ32">
        <v>0.99292875</v>
      </c>
      <c r="EA32">
        <v>14.475175</v>
      </c>
      <c r="EB32">
        <v>6.81303</v>
      </c>
      <c r="EC32">
        <v>1499.93</v>
      </c>
      <c r="ED32">
        <v>0.973002</v>
      </c>
      <c r="EE32">
        <v>0.0269985</v>
      </c>
      <c r="EF32">
        <v>0</v>
      </c>
      <c r="EG32">
        <v>1021.5425</v>
      </c>
      <c r="EH32">
        <v>5.00097</v>
      </c>
      <c r="EI32">
        <v>15145.3</v>
      </c>
      <c r="EJ32">
        <v>12491</v>
      </c>
      <c r="EK32">
        <v>37.25</v>
      </c>
      <c r="EL32">
        <v>38.687</v>
      </c>
      <c r="EM32">
        <v>37.625</v>
      </c>
      <c r="EN32">
        <v>38.437</v>
      </c>
      <c r="EO32">
        <v>38.125</v>
      </c>
      <c r="EP32">
        <v>1454.57</v>
      </c>
      <c r="EQ32">
        <v>40.36</v>
      </c>
      <c r="ER32">
        <v>0</v>
      </c>
      <c r="ES32">
        <v>209.4000000953674</v>
      </c>
      <c r="ET32">
        <v>0</v>
      </c>
      <c r="EU32">
        <v>1028.5396</v>
      </c>
      <c r="EV32">
        <v>-80.00923078701791</v>
      </c>
      <c r="EW32">
        <v>-1155.053846120841</v>
      </c>
      <c r="EX32">
        <v>15248.284</v>
      </c>
      <c r="EY32">
        <v>15</v>
      </c>
      <c r="EZ32">
        <v>1651864261.1</v>
      </c>
      <c r="FA32" t="s">
        <v>419</v>
      </c>
      <c r="FB32">
        <v>1651864241.6</v>
      </c>
      <c r="FC32">
        <v>1651864261.1</v>
      </c>
      <c r="FD32">
        <v>7</v>
      </c>
      <c r="FE32">
        <v>0.438</v>
      </c>
      <c r="FF32">
        <v>0.002</v>
      </c>
      <c r="FG32">
        <v>-0.988</v>
      </c>
      <c r="FH32">
        <v>-0.066</v>
      </c>
      <c r="FI32">
        <v>400</v>
      </c>
      <c r="FJ32">
        <v>11</v>
      </c>
      <c r="FK32">
        <v>0.05</v>
      </c>
      <c r="FL32">
        <v>0.02</v>
      </c>
      <c r="FM32">
        <v>-24.63479</v>
      </c>
      <c r="FN32">
        <v>27.85901088180113</v>
      </c>
      <c r="FO32">
        <v>2.941936724659454</v>
      </c>
      <c r="FP32">
        <v>-1</v>
      </c>
      <c r="FQ32">
        <v>7.360067749999999</v>
      </c>
      <c r="FR32">
        <v>-0.02939403377113154</v>
      </c>
      <c r="FS32">
        <v>0.003105001197664787</v>
      </c>
      <c r="FT32">
        <v>-1</v>
      </c>
      <c r="FU32">
        <v>0</v>
      </c>
      <c r="FV32">
        <v>0</v>
      </c>
      <c r="FW32">
        <v>0</v>
      </c>
      <c r="FX32">
        <v>-1</v>
      </c>
      <c r="FY32">
        <v>0</v>
      </c>
      <c r="FZ32">
        <v>0</v>
      </c>
      <c r="GA32" t="s">
        <v>420</v>
      </c>
      <c r="GB32">
        <v>2.9805</v>
      </c>
      <c r="GC32">
        <v>2.70639</v>
      </c>
      <c r="GD32">
        <v>0.220705</v>
      </c>
      <c r="GE32">
        <v>0.220139</v>
      </c>
      <c r="GF32">
        <v>0.0878237</v>
      </c>
      <c r="GG32">
        <v>0.0596395</v>
      </c>
      <c r="GH32">
        <v>24595.2</v>
      </c>
      <c r="GI32">
        <v>24668.2</v>
      </c>
      <c r="GJ32">
        <v>29347.6</v>
      </c>
      <c r="GK32">
        <v>29263.6</v>
      </c>
      <c r="GL32">
        <v>35449.9</v>
      </c>
      <c r="GM32">
        <v>36655</v>
      </c>
      <c r="GN32">
        <v>41308.7</v>
      </c>
      <c r="GO32">
        <v>41768.5</v>
      </c>
      <c r="GP32">
        <v>1.95842</v>
      </c>
      <c r="GQ32">
        <v>1.84923</v>
      </c>
      <c r="GR32">
        <v>-0.0268817</v>
      </c>
      <c r="GS32">
        <v>0</v>
      </c>
      <c r="GT32">
        <v>25.4337</v>
      </c>
      <c r="GU32">
        <v>999.9</v>
      </c>
      <c r="GV32">
        <v>32</v>
      </c>
      <c r="GW32">
        <v>34.2</v>
      </c>
      <c r="GX32">
        <v>19.221</v>
      </c>
      <c r="GY32">
        <v>62.4874</v>
      </c>
      <c r="GZ32">
        <v>34.8958</v>
      </c>
      <c r="HA32">
        <v>1</v>
      </c>
      <c r="HB32">
        <v>0.100767</v>
      </c>
      <c r="HC32">
        <v>2.1274</v>
      </c>
      <c r="HD32">
        <v>20.321</v>
      </c>
      <c r="HE32">
        <v>5.21714</v>
      </c>
      <c r="HF32">
        <v>12.0099</v>
      </c>
      <c r="HG32">
        <v>4.98885</v>
      </c>
      <c r="HH32">
        <v>3.2885</v>
      </c>
      <c r="HI32">
        <v>992.3</v>
      </c>
      <c r="HJ32">
        <v>9515.6</v>
      </c>
      <c r="HK32">
        <v>5139.4</v>
      </c>
      <c r="HL32">
        <v>24.8</v>
      </c>
      <c r="HM32">
        <v>1.86749</v>
      </c>
      <c r="HN32">
        <v>1.86646</v>
      </c>
      <c r="HO32">
        <v>1.866</v>
      </c>
      <c r="HP32">
        <v>1.86584</v>
      </c>
      <c r="HQ32">
        <v>1.86768</v>
      </c>
      <c r="HR32">
        <v>1.87022</v>
      </c>
      <c r="HS32">
        <v>1.86887</v>
      </c>
      <c r="HT32">
        <v>1.87023</v>
      </c>
      <c r="HU32">
        <v>0</v>
      </c>
      <c r="HV32">
        <v>0</v>
      </c>
      <c r="HW32">
        <v>0</v>
      </c>
      <c r="HX32">
        <v>0</v>
      </c>
      <c r="HY32" t="s">
        <v>421</v>
      </c>
      <c r="HZ32" t="s">
        <v>422</v>
      </c>
      <c r="IA32" t="s">
        <v>423</v>
      </c>
      <c r="IB32" t="s">
        <v>423</v>
      </c>
      <c r="IC32" t="s">
        <v>423</v>
      </c>
      <c r="ID32" t="s">
        <v>423</v>
      </c>
      <c r="IE32">
        <v>0</v>
      </c>
      <c r="IF32">
        <v>100</v>
      </c>
      <c r="IG32">
        <v>100</v>
      </c>
      <c r="IH32">
        <v>-2.94</v>
      </c>
      <c r="II32">
        <v>0.021</v>
      </c>
      <c r="IJ32">
        <v>-0.2164499368582429</v>
      </c>
      <c r="IK32">
        <v>-0.002077099775823331</v>
      </c>
      <c r="IL32">
        <v>4.593143279902166E-07</v>
      </c>
      <c r="IM32">
        <v>-1.865383991892071E-10</v>
      </c>
      <c r="IN32">
        <v>-0.06087574426827484</v>
      </c>
      <c r="IO32">
        <v>-0.01129461987421345</v>
      </c>
      <c r="IP32">
        <v>0.00116580895745559</v>
      </c>
      <c r="IQ32">
        <v>-1.679085872906199E-05</v>
      </c>
      <c r="IR32">
        <v>2</v>
      </c>
      <c r="IS32">
        <v>2290</v>
      </c>
      <c r="IT32">
        <v>0</v>
      </c>
      <c r="IU32">
        <v>32</v>
      </c>
      <c r="IV32">
        <v>3.1</v>
      </c>
      <c r="IW32">
        <v>2.8</v>
      </c>
      <c r="IX32">
        <v>2.89917</v>
      </c>
      <c r="IY32">
        <v>2.18262</v>
      </c>
      <c r="IZ32">
        <v>1.39648</v>
      </c>
      <c r="JA32">
        <v>2.35718</v>
      </c>
      <c r="JB32">
        <v>1.49536</v>
      </c>
      <c r="JC32">
        <v>2.35229</v>
      </c>
      <c r="JD32">
        <v>38.379</v>
      </c>
      <c r="JE32">
        <v>24.0437</v>
      </c>
      <c r="JF32">
        <v>18</v>
      </c>
      <c r="JG32">
        <v>512.514</v>
      </c>
      <c r="JH32">
        <v>427.944</v>
      </c>
      <c r="JI32">
        <v>22.4973</v>
      </c>
      <c r="JJ32">
        <v>28.607</v>
      </c>
      <c r="JK32">
        <v>30.0001</v>
      </c>
      <c r="JL32">
        <v>28.5775</v>
      </c>
      <c r="JM32">
        <v>28.5171</v>
      </c>
      <c r="JN32">
        <v>57.8926</v>
      </c>
      <c r="JO32">
        <v>41.2782</v>
      </c>
      <c r="JP32">
        <v>0</v>
      </c>
      <c r="JQ32">
        <v>22.5007</v>
      </c>
      <c r="JR32">
        <v>1504.71</v>
      </c>
      <c r="JS32">
        <v>11.0746</v>
      </c>
      <c r="JT32">
        <v>100.317</v>
      </c>
      <c r="JU32">
        <v>100.247</v>
      </c>
    </row>
    <row r="33" spans="1:281">
      <c r="A33">
        <v>17</v>
      </c>
      <c r="B33">
        <v>1651864432.6</v>
      </c>
      <c r="C33">
        <v>212</v>
      </c>
      <c r="D33" t="s">
        <v>454</v>
      </c>
      <c r="E33" t="s">
        <v>455</v>
      </c>
      <c r="F33">
        <v>2</v>
      </c>
      <c r="G33" t="s">
        <v>413</v>
      </c>
      <c r="H33" t="s">
        <v>414</v>
      </c>
      <c r="I33">
        <v>1651864431.6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1545.320193442222</v>
      </c>
      <c r="AK33">
        <v>1527.010121212121</v>
      </c>
      <c r="AL33">
        <v>-3.344362286982145</v>
      </c>
      <c r="AM33">
        <v>66.38192812717227</v>
      </c>
      <c r="AN33">
        <f>(AP33 - AO33 + DI33*1E3/(8.314*(DK33+273.15)) * AR33/DH33 * AQ33) * DH33/(100*CV33) * 1000/(1000 - AP33)</f>
        <v>0</v>
      </c>
      <c r="AO33">
        <v>11.04011984464053</v>
      </c>
      <c r="AP33">
        <v>18.39061970588235</v>
      </c>
      <c r="AQ33">
        <v>-2.355599769264718E-05</v>
      </c>
      <c r="AR33">
        <v>80.47224507511959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417</v>
      </c>
      <c r="AY33" t="s">
        <v>417</v>
      </c>
      <c r="AZ33">
        <v>0</v>
      </c>
      <c r="BA33">
        <v>0</v>
      </c>
      <c r="BB33">
        <f>1-AZ33/BA33</f>
        <v>0</v>
      </c>
      <c r="BC33">
        <v>0</v>
      </c>
      <c r="BD33" t="s">
        <v>417</v>
      </c>
      <c r="BE33" t="s">
        <v>417</v>
      </c>
      <c r="BF33">
        <v>0</v>
      </c>
      <c r="BG33">
        <v>0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417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1248</v>
      </c>
      <c r="CA33">
        <v>300</v>
      </c>
      <c r="CB33">
        <v>300</v>
      </c>
      <c r="CC33">
        <v>300</v>
      </c>
      <c r="CD33">
        <v>10442</v>
      </c>
      <c r="CE33">
        <v>1293.69</v>
      </c>
      <c r="CF33">
        <v>-0.00735246</v>
      </c>
      <c r="CG33">
        <v>0.5</v>
      </c>
      <c r="CH33" t="s">
        <v>417</v>
      </c>
      <c r="CI33" t="s">
        <v>417</v>
      </c>
      <c r="CJ33" t="s">
        <v>417</v>
      </c>
      <c r="CK33" t="s">
        <v>417</v>
      </c>
      <c r="CL33" t="s">
        <v>417</v>
      </c>
      <c r="CM33" t="s">
        <v>417</v>
      </c>
      <c r="CN33" t="s">
        <v>417</v>
      </c>
      <c r="CO33" t="s">
        <v>417</v>
      </c>
      <c r="CP33" t="s">
        <v>417</v>
      </c>
      <c r="CQ33" t="s">
        <v>417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418</v>
      </c>
      <c r="CY33">
        <v>2</v>
      </c>
      <c r="CZ33" t="b">
        <v>1</v>
      </c>
      <c r="DA33">
        <v>1651864431.6</v>
      </c>
      <c r="DB33">
        <v>1500.563333333334</v>
      </c>
      <c r="DC33">
        <v>1522.376666666667</v>
      </c>
      <c r="DD33">
        <v>18.39146666666667</v>
      </c>
      <c r="DE33">
        <v>11.03926666666666</v>
      </c>
      <c r="DF33">
        <v>1503.503333333333</v>
      </c>
      <c r="DG33">
        <v>18.3705</v>
      </c>
      <c r="DH33">
        <v>500.0603333333333</v>
      </c>
      <c r="DI33">
        <v>89.94276666666667</v>
      </c>
      <c r="DJ33">
        <v>0.1001093333333333</v>
      </c>
      <c r="DK33">
        <v>25.68</v>
      </c>
      <c r="DL33">
        <v>24.99206666666667</v>
      </c>
      <c r="DM33">
        <v>999.9</v>
      </c>
      <c r="DN33">
        <v>0</v>
      </c>
      <c r="DO33">
        <v>0</v>
      </c>
      <c r="DP33">
        <v>10009.98666666667</v>
      </c>
      <c r="DQ33">
        <v>0</v>
      </c>
      <c r="DR33">
        <v>3.20383</v>
      </c>
      <c r="DS33">
        <v>-21.80933333333333</v>
      </c>
      <c r="DT33">
        <v>1528.683333333333</v>
      </c>
      <c r="DU33">
        <v>1539.366666666667</v>
      </c>
      <c r="DV33">
        <v>7.352193333333333</v>
      </c>
      <c r="DW33">
        <v>1522.376666666667</v>
      </c>
      <c r="DX33">
        <v>11.03926666666666</v>
      </c>
      <c r="DY33">
        <v>1.654176666666667</v>
      </c>
      <c r="DZ33">
        <v>0.9929033333333334</v>
      </c>
      <c r="EA33">
        <v>14.473</v>
      </c>
      <c r="EB33">
        <v>6.812656666666666</v>
      </c>
      <c r="EC33">
        <v>1499.92</v>
      </c>
      <c r="ED33">
        <v>0.973002</v>
      </c>
      <c r="EE33">
        <v>0.0269985</v>
      </c>
      <c r="EF33">
        <v>0</v>
      </c>
      <c r="EG33">
        <v>1019.476666666667</v>
      </c>
      <c r="EH33">
        <v>5.00097</v>
      </c>
      <c r="EI33">
        <v>15115.7</v>
      </c>
      <c r="EJ33">
        <v>12490.9</v>
      </c>
      <c r="EK33">
        <v>37.25</v>
      </c>
      <c r="EL33">
        <v>38.687</v>
      </c>
      <c r="EM33">
        <v>37.625</v>
      </c>
      <c r="EN33">
        <v>38.437</v>
      </c>
      <c r="EO33">
        <v>38.125</v>
      </c>
      <c r="EP33">
        <v>1454.56</v>
      </c>
      <c r="EQ33">
        <v>40.36</v>
      </c>
      <c r="ER33">
        <v>0</v>
      </c>
      <c r="ES33">
        <v>211.7999999523163</v>
      </c>
      <c r="ET33">
        <v>0</v>
      </c>
      <c r="EU33">
        <v>1025.528</v>
      </c>
      <c r="EV33">
        <v>-67.48230781121892</v>
      </c>
      <c r="EW33">
        <v>-974.1384630341447</v>
      </c>
      <c r="EX33">
        <v>15204.796</v>
      </c>
      <c r="EY33">
        <v>15</v>
      </c>
      <c r="EZ33">
        <v>1651864261.1</v>
      </c>
      <c r="FA33" t="s">
        <v>419</v>
      </c>
      <c r="FB33">
        <v>1651864241.6</v>
      </c>
      <c r="FC33">
        <v>1651864261.1</v>
      </c>
      <c r="FD33">
        <v>7</v>
      </c>
      <c r="FE33">
        <v>0.438</v>
      </c>
      <c r="FF33">
        <v>0.002</v>
      </c>
      <c r="FG33">
        <v>-0.988</v>
      </c>
      <c r="FH33">
        <v>-0.066</v>
      </c>
      <c r="FI33">
        <v>400</v>
      </c>
      <c r="FJ33">
        <v>11</v>
      </c>
      <c r="FK33">
        <v>0.05</v>
      </c>
      <c r="FL33">
        <v>0.02</v>
      </c>
      <c r="FM33">
        <v>-24.11841</v>
      </c>
      <c r="FN33">
        <v>23.03461238273932</v>
      </c>
      <c r="FO33">
        <v>2.425377521005751</v>
      </c>
      <c r="FP33">
        <v>-1</v>
      </c>
      <c r="FQ33">
        <v>7.359547749999999</v>
      </c>
      <c r="FR33">
        <v>-0.03185099437149415</v>
      </c>
      <c r="FS33">
        <v>0.003324722159444289</v>
      </c>
      <c r="FT33">
        <v>-1</v>
      </c>
      <c r="FU33">
        <v>0</v>
      </c>
      <c r="FV33">
        <v>0</v>
      </c>
      <c r="FW33">
        <v>0</v>
      </c>
      <c r="FX33">
        <v>-1</v>
      </c>
      <c r="FY33">
        <v>0</v>
      </c>
      <c r="FZ33">
        <v>0</v>
      </c>
      <c r="GA33" t="s">
        <v>420</v>
      </c>
      <c r="GB33">
        <v>2.98054</v>
      </c>
      <c r="GC33">
        <v>2.70635</v>
      </c>
      <c r="GD33">
        <v>0.220128</v>
      </c>
      <c r="GE33">
        <v>0.219564</v>
      </c>
      <c r="GF33">
        <v>0.0878149</v>
      </c>
      <c r="GG33">
        <v>0.0596428</v>
      </c>
      <c r="GH33">
        <v>24613.2</v>
      </c>
      <c r="GI33">
        <v>24686.2</v>
      </c>
      <c r="GJ33">
        <v>29347.4</v>
      </c>
      <c r="GK33">
        <v>29263.4</v>
      </c>
      <c r="GL33">
        <v>35449.9</v>
      </c>
      <c r="GM33">
        <v>36654.8</v>
      </c>
      <c r="GN33">
        <v>41308.3</v>
      </c>
      <c r="GO33">
        <v>41768.3</v>
      </c>
      <c r="GP33">
        <v>1.95847</v>
      </c>
      <c r="GQ33">
        <v>1.84915</v>
      </c>
      <c r="GR33">
        <v>-0.0266805</v>
      </c>
      <c r="GS33">
        <v>0</v>
      </c>
      <c r="GT33">
        <v>25.4337</v>
      </c>
      <c r="GU33">
        <v>999.9</v>
      </c>
      <c r="GV33">
        <v>32</v>
      </c>
      <c r="GW33">
        <v>34.2</v>
      </c>
      <c r="GX33">
        <v>19.2226</v>
      </c>
      <c r="GY33">
        <v>62.6774</v>
      </c>
      <c r="GZ33">
        <v>35.1282</v>
      </c>
      <c r="HA33">
        <v>1</v>
      </c>
      <c r="HB33">
        <v>0.100884</v>
      </c>
      <c r="HC33">
        <v>2.13064</v>
      </c>
      <c r="HD33">
        <v>20.3209</v>
      </c>
      <c r="HE33">
        <v>5.21729</v>
      </c>
      <c r="HF33">
        <v>12.0099</v>
      </c>
      <c r="HG33">
        <v>4.9886</v>
      </c>
      <c r="HH33">
        <v>3.2885</v>
      </c>
      <c r="HI33">
        <v>992.3</v>
      </c>
      <c r="HJ33">
        <v>9515.6</v>
      </c>
      <c r="HK33">
        <v>5139.4</v>
      </c>
      <c r="HL33">
        <v>24.8</v>
      </c>
      <c r="HM33">
        <v>1.86749</v>
      </c>
      <c r="HN33">
        <v>1.86646</v>
      </c>
      <c r="HO33">
        <v>1.866</v>
      </c>
      <c r="HP33">
        <v>1.86584</v>
      </c>
      <c r="HQ33">
        <v>1.86768</v>
      </c>
      <c r="HR33">
        <v>1.87023</v>
      </c>
      <c r="HS33">
        <v>1.86887</v>
      </c>
      <c r="HT33">
        <v>1.87022</v>
      </c>
      <c r="HU33">
        <v>0</v>
      </c>
      <c r="HV33">
        <v>0</v>
      </c>
      <c r="HW33">
        <v>0</v>
      </c>
      <c r="HX33">
        <v>0</v>
      </c>
      <c r="HY33" t="s">
        <v>421</v>
      </c>
      <c r="HZ33" t="s">
        <v>422</v>
      </c>
      <c r="IA33" t="s">
        <v>423</v>
      </c>
      <c r="IB33" t="s">
        <v>423</v>
      </c>
      <c r="IC33" t="s">
        <v>423</v>
      </c>
      <c r="ID33" t="s">
        <v>423</v>
      </c>
      <c r="IE33">
        <v>0</v>
      </c>
      <c r="IF33">
        <v>100</v>
      </c>
      <c r="IG33">
        <v>100</v>
      </c>
      <c r="IH33">
        <v>-2.93</v>
      </c>
      <c r="II33">
        <v>0.0209</v>
      </c>
      <c r="IJ33">
        <v>-0.2164499368582429</v>
      </c>
      <c r="IK33">
        <v>-0.002077099775823331</v>
      </c>
      <c r="IL33">
        <v>4.593143279902166E-07</v>
      </c>
      <c r="IM33">
        <v>-1.865383991892071E-10</v>
      </c>
      <c r="IN33">
        <v>-0.06087574426827484</v>
      </c>
      <c r="IO33">
        <v>-0.01129461987421345</v>
      </c>
      <c r="IP33">
        <v>0.00116580895745559</v>
      </c>
      <c r="IQ33">
        <v>-1.679085872906199E-05</v>
      </c>
      <c r="IR33">
        <v>2</v>
      </c>
      <c r="IS33">
        <v>2290</v>
      </c>
      <c r="IT33">
        <v>0</v>
      </c>
      <c r="IU33">
        <v>32</v>
      </c>
      <c r="IV33">
        <v>3.2</v>
      </c>
      <c r="IW33">
        <v>2.9</v>
      </c>
      <c r="IX33">
        <v>2.8894</v>
      </c>
      <c r="IY33">
        <v>2.1875</v>
      </c>
      <c r="IZ33">
        <v>1.39648</v>
      </c>
      <c r="JA33">
        <v>2.35596</v>
      </c>
      <c r="JB33">
        <v>1.49536</v>
      </c>
      <c r="JC33">
        <v>2.31445</v>
      </c>
      <c r="JD33">
        <v>38.379</v>
      </c>
      <c r="JE33">
        <v>24.035</v>
      </c>
      <c r="JF33">
        <v>18</v>
      </c>
      <c r="JG33">
        <v>512.557</v>
      </c>
      <c r="JH33">
        <v>427.899</v>
      </c>
      <c r="JI33">
        <v>22.4997</v>
      </c>
      <c r="JJ33">
        <v>28.6074</v>
      </c>
      <c r="JK33">
        <v>30.0002</v>
      </c>
      <c r="JL33">
        <v>28.5787</v>
      </c>
      <c r="JM33">
        <v>28.5171</v>
      </c>
      <c r="JN33">
        <v>57.6866</v>
      </c>
      <c r="JO33">
        <v>41.2782</v>
      </c>
      <c r="JP33">
        <v>0</v>
      </c>
      <c r="JQ33">
        <v>22.5007</v>
      </c>
      <c r="JR33">
        <v>1498.01</v>
      </c>
      <c r="JS33">
        <v>11.0746</v>
      </c>
      <c r="JT33">
        <v>100.316</v>
      </c>
      <c r="JU33">
        <v>100.247</v>
      </c>
    </row>
    <row r="34" spans="1:281">
      <c r="A34">
        <v>18</v>
      </c>
      <c r="B34">
        <v>1651864434.6</v>
      </c>
      <c r="C34">
        <v>214</v>
      </c>
      <c r="D34" t="s">
        <v>456</v>
      </c>
      <c r="E34" t="s">
        <v>457</v>
      </c>
      <c r="F34">
        <v>2</v>
      </c>
      <c r="G34" t="s">
        <v>413</v>
      </c>
      <c r="H34" t="s">
        <v>414</v>
      </c>
      <c r="I34">
        <v>1651864433.225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1538.594005540786</v>
      </c>
      <c r="AK34">
        <v>1520.340121212121</v>
      </c>
      <c r="AL34">
        <v>-3.334363661352333</v>
      </c>
      <c r="AM34">
        <v>66.38192812717227</v>
      </c>
      <c r="AN34">
        <f>(AP34 - AO34 + DI34*1E3/(8.314*(DK34+273.15)) * AR34/DH34 * AQ34) * DH34/(100*CV34) * 1000/(1000 - AP34)</f>
        <v>0</v>
      </c>
      <c r="AO34">
        <v>11.03935850800148</v>
      </c>
      <c r="AP34">
        <v>18.3874194117647</v>
      </c>
      <c r="AQ34">
        <v>-2.569634163030227E-05</v>
      </c>
      <c r="AR34">
        <v>80.47224507511959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417</v>
      </c>
      <c r="AY34" t="s">
        <v>417</v>
      </c>
      <c r="AZ34">
        <v>0</v>
      </c>
      <c r="BA34">
        <v>0</v>
      </c>
      <c r="BB34">
        <f>1-AZ34/BA34</f>
        <v>0</v>
      </c>
      <c r="BC34">
        <v>0</v>
      </c>
      <c r="BD34" t="s">
        <v>417</v>
      </c>
      <c r="BE34" t="s">
        <v>417</v>
      </c>
      <c r="BF34">
        <v>0</v>
      </c>
      <c r="BG34">
        <v>0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417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1248</v>
      </c>
      <c r="CA34">
        <v>300</v>
      </c>
      <c r="CB34">
        <v>300</v>
      </c>
      <c r="CC34">
        <v>300</v>
      </c>
      <c r="CD34">
        <v>10442</v>
      </c>
      <c r="CE34">
        <v>1293.69</v>
      </c>
      <c r="CF34">
        <v>-0.00735246</v>
      </c>
      <c r="CG34">
        <v>0.5</v>
      </c>
      <c r="CH34" t="s">
        <v>417</v>
      </c>
      <c r="CI34" t="s">
        <v>417</v>
      </c>
      <c r="CJ34" t="s">
        <v>417</v>
      </c>
      <c r="CK34" t="s">
        <v>417</v>
      </c>
      <c r="CL34" t="s">
        <v>417</v>
      </c>
      <c r="CM34" t="s">
        <v>417</v>
      </c>
      <c r="CN34" t="s">
        <v>417</v>
      </c>
      <c r="CO34" t="s">
        <v>417</v>
      </c>
      <c r="CP34" t="s">
        <v>417</v>
      </c>
      <c r="CQ34" t="s">
        <v>417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418</v>
      </c>
      <c r="CY34">
        <v>2</v>
      </c>
      <c r="CZ34" t="b">
        <v>1</v>
      </c>
      <c r="DA34">
        <v>1651864433.225</v>
      </c>
      <c r="DB34">
        <v>1495.2425</v>
      </c>
      <c r="DC34">
        <v>1517</v>
      </c>
      <c r="DD34">
        <v>18.38875</v>
      </c>
      <c r="DE34">
        <v>11.039525</v>
      </c>
      <c r="DF34">
        <v>1498.1675</v>
      </c>
      <c r="DG34">
        <v>18.367825</v>
      </c>
      <c r="DH34">
        <v>500.07075</v>
      </c>
      <c r="DI34">
        <v>89.94432499999999</v>
      </c>
      <c r="DJ34">
        <v>0.10008275</v>
      </c>
      <c r="DK34">
        <v>25.67945</v>
      </c>
      <c r="DL34">
        <v>24.99715</v>
      </c>
      <c r="DM34">
        <v>999.9</v>
      </c>
      <c r="DN34">
        <v>0</v>
      </c>
      <c r="DO34">
        <v>0</v>
      </c>
      <c r="DP34">
        <v>10009.695</v>
      </c>
      <c r="DQ34">
        <v>0</v>
      </c>
      <c r="DR34">
        <v>3.20383</v>
      </c>
      <c r="DS34">
        <v>-21.756425</v>
      </c>
      <c r="DT34">
        <v>1523.255</v>
      </c>
      <c r="DU34">
        <v>1533.9325</v>
      </c>
      <c r="DV34">
        <v>7.349200000000001</v>
      </c>
      <c r="DW34">
        <v>1517</v>
      </c>
      <c r="DX34">
        <v>11.039525</v>
      </c>
      <c r="DY34">
        <v>1.6539625</v>
      </c>
      <c r="DZ34">
        <v>0.9929435</v>
      </c>
      <c r="EA34">
        <v>14.470975</v>
      </c>
      <c r="EB34">
        <v>6.81325</v>
      </c>
      <c r="EC34">
        <v>1499.9925</v>
      </c>
      <c r="ED34">
        <v>0.9730032500000001</v>
      </c>
      <c r="EE34">
        <v>0.02699715</v>
      </c>
      <c r="EF34">
        <v>0</v>
      </c>
      <c r="EG34">
        <v>1018.5475</v>
      </c>
      <c r="EH34">
        <v>5.00097</v>
      </c>
      <c r="EI34">
        <v>15101</v>
      </c>
      <c r="EJ34">
        <v>12491.525</v>
      </c>
      <c r="EK34">
        <v>37.25</v>
      </c>
      <c r="EL34">
        <v>38.687</v>
      </c>
      <c r="EM34">
        <v>37.625</v>
      </c>
      <c r="EN34">
        <v>38.437</v>
      </c>
      <c r="EO34">
        <v>38.125</v>
      </c>
      <c r="EP34">
        <v>1454.6325</v>
      </c>
      <c r="EQ34">
        <v>40.36</v>
      </c>
      <c r="ER34">
        <v>0</v>
      </c>
      <c r="ES34">
        <v>213.6000001430511</v>
      </c>
      <c r="ET34">
        <v>0</v>
      </c>
      <c r="EU34">
        <v>1023.954230769231</v>
      </c>
      <c r="EV34">
        <v>-60.16444444269543</v>
      </c>
      <c r="EW34">
        <v>-885.7948715724898</v>
      </c>
      <c r="EX34">
        <v>15181.68846153846</v>
      </c>
      <c r="EY34">
        <v>15</v>
      </c>
      <c r="EZ34">
        <v>1651864261.1</v>
      </c>
      <c r="FA34" t="s">
        <v>419</v>
      </c>
      <c r="FB34">
        <v>1651864241.6</v>
      </c>
      <c r="FC34">
        <v>1651864261.1</v>
      </c>
      <c r="FD34">
        <v>7</v>
      </c>
      <c r="FE34">
        <v>0.438</v>
      </c>
      <c r="FF34">
        <v>0.002</v>
      </c>
      <c r="FG34">
        <v>-0.988</v>
      </c>
      <c r="FH34">
        <v>-0.066</v>
      </c>
      <c r="FI34">
        <v>400</v>
      </c>
      <c r="FJ34">
        <v>11</v>
      </c>
      <c r="FK34">
        <v>0.05</v>
      </c>
      <c r="FL34">
        <v>0.02</v>
      </c>
      <c r="FM34">
        <v>-23.0693675</v>
      </c>
      <c r="FN34">
        <v>13.73017148217643</v>
      </c>
      <c r="FO34">
        <v>1.461457562399179</v>
      </c>
      <c r="FP34">
        <v>-1</v>
      </c>
      <c r="FQ34">
        <v>7.357545250000001</v>
      </c>
      <c r="FR34">
        <v>-0.04329804878048714</v>
      </c>
      <c r="FS34">
        <v>0.004431505380511244</v>
      </c>
      <c r="FT34">
        <v>-1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0</v>
      </c>
      <c r="GA34" t="s">
        <v>420</v>
      </c>
      <c r="GB34">
        <v>2.98077</v>
      </c>
      <c r="GC34">
        <v>2.70622</v>
      </c>
      <c r="GD34">
        <v>0.219545</v>
      </c>
      <c r="GE34">
        <v>0.218993</v>
      </c>
      <c r="GF34">
        <v>0.08780350000000001</v>
      </c>
      <c r="GG34">
        <v>0.0596401</v>
      </c>
      <c r="GH34">
        <v>24631.8</v>
      </c>
      <c r="GI34">
        <v>24704.4</v>
      </c>
      <c r="GJ34">
        <v>29347.6</v>
      </c>
      <c r="GK34">
        <v>29263.5</v>
      </c>
      <c r="GL34">
        <v>35450.5</v>
      </c>
      <c r="GM34">
        <v>36655</v>
      </c>
      <c r="GN34">
        <v>41308.6</v>
      </c>
      <c r="GO34">
        <v>41768.5</v>
      </c>
      <c r="GP34">
        <v>1.95863</v>
      </c>
      <c r="GQ34">
        <v>1.8493</v>
      </c>
      <c r="GR34">
        <v>-0.0263602</v>
      </c>
      <c r="GS34">
        <v>0</v>
      </c>
      <c r="GT34">
        <v>25.434</v>
      </c>
      <c r="GU34">
        <v>999.9</v>
      </c>
      <c r="GV34">
        <v>32</v>
      </c>
      <c r="GW34">
        <v>34.2</v>
      </c>
      <c r="GX34">
        <v>19.2241</v>
      </c>
      <c r="GY34">
        <v>62.4774</v>
      </c>
      <c r="GZ34">
        <v>34.8397</v>
      </c>
      <c r="HA34">
        <v>1</v>
      </c>
      <c r="HB34">
        <v>0.100925</v>
      </c>
      <c r="HC34">
        <v>2.13628</v>
      </c>
      <c r="HD34">
        <v>20.3207</v>
      </c>
      <c r="HE34">
        <v>5.21774</v>
      </c>
      <c r="HF34">
        <v>12.0099</v>
      </c>
      <c r="HG34">
        <v>4.98865</v>
      </c>
      <c r="HH34">
        <v>3.2885</v>
      </c>
      <c r="HI34">
        <v>992.3</v>
      </c>
      <c r="HJ34">
        <v>9515.6</v>
      </c>
      <c r="HK34">
        <v>5139.4</v>
      </c>
      <c r="HL34">
        <v>24.8</v>
      </c>
      <c r="HM34">
        <v>1.86751</v>
      </c>
      <c r="HN34">
        <v>1.86646</v>
      </c>
      <c r="HO34">
        <v>1.866</v>
      </c>
      <c r="HP34">
        <v>1.86584</v>
      </c>
      <c r="HQ34">
        <v>1.86768</v>
      </c>
      <c r="HR34">
        <v>1.87023</v>
      </c>
      <c r="HS34">
        <v>1.86889</v>
      </c>
      <c r="HT34">
        <v>1.87023</v>
      </c>
      <c r="HU34">
        <v>0</v>
      </c>
      <c r="HV34">
        <v>0</v>
      </c>
      <c r="HW34">
        <v>0</v>
      </c>
      <c r="HX34">
        <v>0</v>
      </c>
      <c r="HY34" t="s">
        <v>421</v>
      </c>
      <c r="HZ34" t="s">
        <v>422</v>
      </c>
      <c r="IA34" t="s">
        <v>423</v>
      </c>
      <c r="IB34" t="s">
        <v>423</v>
      </c>
      <c r="IC34" t="s">
        <v>423</v>
      </c>
      <c r="ID34" t="s">
        <v>423</v>
      </c>
      <c r="IE34">
        <v>0</v>
      </c>
      <c r="IF34">
        <v>100</v>
      </c>
      <c r="IG34">
        <v>100</v>
      </c>
      <c r="IH34">
        <v>-2.92</v>
      </c>
      <c r="II34">
        <v>0.0209</v>
      </c>
      <c r="IJ34">
        <v>-0.2164499368582429</v>
      </c>
      <c r="IK34">
        <v>-0.002077099775823331</v>
      </c>
      <c r="IL34">
        <v>4.593143279902166E-07</v>
      </c>
      <c r="IM34">
        <v>-1.865383991892071E-10</v>
      </c>
      <c r="IN34">
        <v>-0.06087574426827484</v>
      </c>
      <c r="IO34">
        <v>-0.01129461987421345</v>
      </c>
      <c r="IP34">
        <v>0.00116580895745559</v>
      </c>
      <c r="IQ34">
        <v>-1.679085872906199E-05</v>
      </c>
      <c r="IR34">
        <v>2</v>
      </c>
      <c r="IS34">
        <v>2290</v>
      </c>
      <c r="IT34">
        <v>0</v>
      </c>
      <c r="IU34">
        <v>32</v>
      </c>
      <c r="IV34">
        <v>3.2</v>
      </c>
      <c r="IW34">
        <v>2.9</v>
      </c>
      <c r="IX34">
        <v>2.87842</v>
      </c>
      <c r="IY34">
        <v>2.1875</v>
      </c>
      <c r="IZ34">
        <v>1.39648</v>
      </c>
      <c r="JA34">
        <v>2.35718</v>
      </c>
      <c r="JB34">
        <v>1.49536</v>
      </c>
      <c r="JC34">
        <v>2.29858</v>
      </c>
      <c r="JD34">
        <v>38.379</v>
      </c>
      <c r="JE34">
        <v>24.0437</v>
      </c>
      <c r="JF34">
        <v>18</v>
      </c>
      <c r="JG34">
        <v>512.658</v>
      </c>
      <c r="JH34">
        <v>427.988</v>
      </c>
      <c r="JI34">
        <v>22.5016</v>
      </c>
      <c r="JJ34">
        <v>28.6086</v>
      </c>
      <c r="JK34">
        <v>30.0002</v>
      </c>
      <c r="JL34">
        <v>28.579</v>
      </c>
      <c r="JM34">
        <v>28.5171</v>
      </c>
      <c r="JN34">
        <v>57.4762</v>
      </c>
      <c r="JO34">
        <v>41.2782</v>
      </c>
      <c r="JP34">
        <v>0</v>
      </c>
      <c r="JQ34">
        <v>22.504</v>
      </c>
      <c r="JR34">
        <v>1491.32</v>
      </c>
      <c r="JS34">
        <v>11.0746</v>
      </c>
      <c r="JT34">
        <v>100.317</v>
      </c>
      <c r="JU34">
        <v>100.247</v>
      </c>
    </row>
    <row r="35" spans="1:281">
      <c r="A35">
        <v>19</v>
      </c>
      <c r="B35">
        <v>1651864436.6</v>
      </c>
      <c r="C35">
        <v>216</v>
      </c>
      <c r="D35" t="s">
        <v>458</v>
      </c>
      <c r="E35" t="s">
        <v>459</v>
      </c>
      <c r="F35">
        <v>2</v>
      </c>
      <c r="G35" t="s">
        <v>413</v>
      </c>
      <c r="H35" t="s">
        <v>414</v>
      </c>
      <c r="I35">
        <v>1651864435.6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1531.958602839667</v>
      </c>
      <c r="AK35">
        <v>1513.669939393939</v>
      </c>
      <c r="AL35">
        <v>-3.333149715975973</v>
      </c>
      <c r="AM35">
        <v>66.38192812717227</v>
      </c>
      <c r="AN35">
        <f>(AP35 - AO35 + DI35*1E3/(8.314*(DK35+273.15)) * AR35/DH35 * AQ35) * DH35/(100*CV35) * 1000/(1000 - AP35)</f>
        <v>0</v>
      </c>
      <c r="AO35">
        <v>11.03956169220591</v>
      </c>
      <c r="AP35">
        <v>18.38334558823529</v>
      </c>
      <c r="AQ35">
        <v>-2.764100419343764E-05</v>
      </c>
      <c r="AR35">
        <v>80.47224507511959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417</v>
      </c>
      <c r="AY35" t="s">
        <v>417</v>
      </c>
      <c r="AZ35">
        <v>0</v>
      </c>
      <c r="BA35">
        <v>0</v>
      </c>
      <c r="BB35">
        <f>1-AZ35/BA35</f>
        <v>0</v>
      </c>
      <c r="BC35">
        <v>0</v>
      </c>
      <c r="BD35" t="s">
        <v>417</v>
      </c>
      <c r="BE35" t="s">
        <v>417</v>
      </c>
      <c r="BF35">
        <v>0</v>
      </c>
      <c r="BG35">
        <v>0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417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1248</v>
      </c>
      <c r="CA35">
        <v>300</v>
      </c>
      <c r="CB35">
        <v>300</v>
      </c>
      <c r="CC35">
        <v>300</v>
      </c>
      <c r="CD35">
        <v>10442</v>
      </c>
      <c r="CE35">
        <v>1293.69</v>
      </c>
      <c r="CF35">
        <v>-0.00735246</v>
      </c>
      <c r="CG35">
        <v>0.5</v>
      </c>
      <c r="CH35" t="s">
        <v>417</v>
      </c>
      <c r="CI35" t="s">
        <v>417</v>
      </c>
      <c r="CJ35" t="s">
        <v>417</v>
      </c>
      <c r="CK35" t="s">
        <v>417</v>
      </c>
      <c r="CL35" t="s">
        <v>417</v>
      </c>
      <c r="CM35" t="s">
        <v>417</v>
      </c>
      <c r="CN35" t="s">
        <v>417</v>
      </c>
      <c r="CO35" t="s">
        <v>417</v>
      </c>
      <c r="CP35" t="s">
        <v>417</v>
      </c>
      <c r="CQ35" t="s">
        <v>417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418</v>
      </c>
      <c r="CY35">
        <v>2</v>
      </c>
      <c r="CZ35" t="b">
        <v>1</v>
      </c>
      <c r="DA35">
        <v>1651864435.6</v>
      </c>
      <c r="DB35">
        <v>1487.466666666666</v>
      </c>
      <c r="DC35">
        <v>1509.246666666667</v>
      </c>
      <c r="DD35">
        <v>18.3843</v>
      </c>
      <c r="DE35">
        <v>11.0382</v>
      </c>
      <c r="DF35">
        <v>1490.376666666666</v>
      </c>
      <c r="DG35">
        <v>18.36343333333333</v>
      </c>
      <c r="DH35">
        <v>500.0243333333333</v>
      </c>
      <c r="DI35">
        <v>89.94369999999999</v>
      </c>
      <c r="DJ35">
        <v>0.1000013666666667</v>
      </c>
      <c r="DK35">
        <v>25.68236666666667</v>
      </c>
      <c r="DL35">
        <v>25.00173333333333</v>
      </c>
      <c r="DM35">
        <v>999.9</v>
      </c>
      <c r="DN35">
        <v>0</v>
      </c>
      <c r="DO35">
        <v>0</v>
      </c>
      <c r="DP35">
        <v>9999.966666666667</v>
      </c>
      <c r="DQ35">
        <v>0</v>
      </c>
      <c r="DR35">
        <v>3.20383</v>
      </c>
      <c r="DS35">
        <v>-21.77956666666667</v>
      </c>
      <c r="DT35">
        <v>1515.326666666667</v>
      </c>
      <c r="DU35">
        <v>1526.093333333333</v>
      </c>
      <c r="DV35">
        <v>7.346126666666667</v>
      </c>
      <c r="DW35">
        <v>1509.246666666667</v>
      </c>
      <c r="DX35">
        <v>11.0382</v>
      </c>
      <c r="DY35">
        <v>1.653553333333333</v>
      </c>
      <c r="DZ35">
        <v>0.992816</v>
      </c>
      <c r="EA35">
        <v>14.46716666666667</v>
      </c>
      <c r="EB35">
        <v>6.811376666666667</v>
      </c>
      <c r="EC35">
        <v>1500.01</v>
      </c>
      <c r="ED35">
        <v>0.973002</v>
      </c>
      <c r="EE35">
        <v>0.0269985</v>
      </c>
      <c r="EF35">
        <v>0</v>
      </c>
      <c r="EG35">
        <v>1016.746666666667</v>
      </c>
      <c r="EH35">
        <v>5.00097</v>
      </c>
      <c r="EI35">
        <v>15079.16666666667</v>
      </c>
      <c r="EJ35">
        <v>12491.63333333333</v>
      </c>
      <c r="EK35">
        <v>37.25</v>
      </c>
      <c r="EL35">
        <v>38.687</v>
      </c>
      <c r="EM35">
        <v>37.625</v>
      </c>
      <c r="EN35">
        <v>38.437</v>
      </c>
      <c r="EO35">
        <v>38.125</v>
      </c>
      <c r="EP35">
        <v>1454.646666666667</v>
      </c>
      <c r="EQ35">
        <v>40.36333333333334</v>
      </c>
      <c r="ER35">
        <v>0</v>
      </c>
      <c r="ES35">
        <v>215.4000000953674</v>
      </c>
      <c r="ET35">
        <v>0</v>
      </c>
      <c r="EU35">
        <v>1021.8528</v>
      </c>
      <c r="EV35">
        <v>-52.12307694508588</v>
      </c>
      <c r="EW35">
        <v>-769.2307692613509</v>
      </c>
      <c r="EX35">
        <v>15151.536</v>
      </c>
      <c r="EY35">
        <v>15</v>
      </c>
      <c r="EZ35">
        <v>1651864261.1</v>
      </c>
      <c r="FA35" t="s">
        <v>419</v>
      </c>
      <c r="FB35">
        <v>1651864241.6</v>
      </c>
      <c r="FC35">
        <v>1651864261.1</v>
      </c>
      <c r="FD35">
        <v>7</v>
      </c>
      <c r="FE35">
        <v>0.438</v>
      </c>
      <c r="FF35">
        <v>0.002</v>
      </c>
      <c r="FG35">
        <v>-0.988</v>
      </c>
      <c r="FH35">
        <v>-0.066</v>
      </c>
      <c r="FI35">
        <v>400</v>
      </c>
      <c r="FJ35">
        <v>11</v>
      </c>
      <c r="FK35">
        <v>0.05</v>
      </c>
      <c r="FL35">
        <v>0.02</v>
      </c>
      <c r="FM35">
        <v>-22.81277073170732</v>
      </c>
      <c r="FN35">
        <v>11.18754982578397</v>
      </c>
      <c r="FO35">
        <v>1.253323718182179</v>
      </c>
      <c r="FP35">
        <v>-1</v>
      </c>
      <c r="FQ35">
        <v>7.356504634146342</v>
      </c>
      <c r="FR35">
        <v>-0.04859958188151731</v>
      </c>
      <c r="FS35">
        <v>0.005043307614593779</v>
      </c>
      <c r="FT35">
        <v>-1</v>
      </c>
      <c r="FU35">
        <v>0</v>
      </c>
      <c r="FV35">
        <v>0</v>
      </c>
      <c r="FW35">
        <v>0</v>
      </c>
      <c r="FX35">
        <v>-1</v>
      </c>
      <c r="FY35">
        <v>0</v>
      </c>
      <c r="FZ35">
        <v>0</v>
      </c>
      <c r="GA35" t="s">
        <v>420</v>
      </c>
      <c r="GB35">
        <v>2.98067</v>
      </c>
      <c r="GC35">
        <v>2.70608</v>
      </c>
      <c r="GD35">
        <v>0.21896</v>
      </c>
      <c r="GE35">
        <v>0.21839</v>
      </c>
      <c r="GF35">
        <v>0.0877901</v>
      </c>
      <c r="GG35">
        <v>0.0596313</v>
      </c>
      <c r="GH35">
        <v>24650.6</v>
      </c>
      <c r="GI35">
        <v>24723.6</v>
      </c>
      <c r="GJ35">
        <v>29348</v>
      </c>
      <c r="GK35">
        <v>29263.6</v>
      </c>
      <c r="GL35">
        <v>35451.6</v>
      </c>
      <c r="GM35">
        <v>36655.3</v>
      </c>
      <c r="GN35">
        <v>41309.2</v>
      </c>
      <c r="GO35">
        <v>41768.5</v>
      </c>
      <c r="GP35">
        <v>1.95868</v>
      </c>
      <c r="GQ35">
        <v>1.84948</v>
      </c>
      <c r="GR35">
        <v>-0.0267103</v>
      </c>
      <c r="GS35">
        <v>0</v>
      </c>
      <c r="GT35">
        <v>25.435</v>
      </c>
      <c r="GU35">
        <v>999.9</v>
      </c>
      <c r="GV35">
        <v>31.9</v>
      </c>
      <c r="GW35">
        <v>34.2</v>
      </c>
      <c r="GX35">
        <v>19.1629</v>
      </c>
      <c r="GY35">
        <v>62.5474</v>
      </c>
      <c r="GZ35">
        <v>34.8237</v>
      </c>
      <c r="HA35">
        <v>1</v>
      </c>
      <c r="HB35">
        <v>0.100899</v>
      </c>
      <c r="HC35">
        <v>2.13568</v>
      </c>
      <c r="HD35">
        <v>20.3208</v>
      </c>
      <c r="HE35">
        <v>5.21774</v>
      </c>
      <c r="HF35">
        <v>12.0099</v>
      </c>
      <c r="HG35">
        <v>4.9888</v>
      </c>
      <c r="HH35">
        <v>3.2885</v>
      </c>
      <c r="HI35">
        <v>992.3</v>
      </c>
      <c r="HJ35">
        <v>9515.6</v>
      </c>
      <c r="HK35">
        <v>5139.4</v>
      </c>
      <c r="HL35">
        <v>24.8</v>
      </c>
      <c r="HM35">
        <v>1.86751</v>
      </c>
      <c r="HN35">
        <v>1.86646</v>
      </c>
      <c r="HO35">
        <v>1.866</v>
      </c>
      <c r="HP35">
        <v>1.86584</v>
      </c>
      <c r="HQ35">
        <v>1.86768</v>
      </c>
      <c r="HR35">
        <v>1.87023</v>
      </c>
      <c r="HS35">
        <v>1.86889</v>
      </c>
      <c r="HT35">
        <v>1.87024</v>
      </c>
      <c r="HU35">
        <v>0</v>
      </c>
      <c r="HV35">
        <v>0</v>
      </c>
      <c r="HW35">
        <v>0</v>
      </c>
      <c r="HX35">
        <v>0</v>
      </c>
      <c r="HY35" t="s">
        <v>421</v>
      </c>
      <c r="HZ35" t="s">
        <v>422</v>
      </c>
      <c r="IA35" t="s">
        <v>423</v>
      </c>
      <c r="IB35" t="s">
        <v>423</v>
      </c>
      <c r="IC35" t="s">
        <v>423</v>
      </c>
      <c r="ID35" t="s">
        <v>423</v>
      </c>
      <c r="IE35">
        <v>0</v>
      </c>
      <c r="IF35">
        <v>100</v>
      </c>
      <c r="IG35">
        <v>100</v>
      </c>
      <c r="IH35">
        <v>-2.9</v>
      </c>
      <c r="II35">
        <v>0.0209</v>
      </c>
      <c r="IJ35">
        <v>-0.2164499368582429</v>
      </c>
      <c r="IK35">
        <v>-0.002077099775823331</v>
      </c>
      <c r="IL35">
        <v>4.593143279902166E-07</v>
      </c>
      <c r="IM35">
        <v>-1.865383991892071E-10</v>
      </c>
      <c r="IN35">
        <v>-0.06087574426827484</v>
      </c>
      <c r="IO35">
        <v>-0.01129461987421345</v>
      </c>
      <c r="IP35">
        <v>0.00116580895745559</v>
      </c>
      <c r="IQ35">
        <v>-1.679085872906199E-05</v>
      </c>
      <c r="IR35">
        <v>2</v>
      </c>
      <c r="IS35">
        <v>2290</v>
      </c>
      <c r="IT35">
        <v>0</v>
      </c>
      <c r="IU35">
        <v>32</v>
      </c>
      <c r="IV35">
        <v>3.2</v>
      </c>
      <c r="IW35">
        <v>2.9</v>
      </c>
      <c r="IX35">
        <v>2.86865</v>
      </c>
      <c r="IY35">
        <v>2.18384</v>
      </c>
      <c r="IZ35">
        <v>1.39648</v>
      </c>
      <c r="JA35">
        <v>2.35718</v>
      </c>
      <c r="JB35">
        <v>1.49536</v>
      </c>
      <c r="JC35">
        <v>2.35107</v>
      </c>
      <c r="JD35">
        <v>38.379</v>
      </c>
      <c r="JE35">
        <v>24.0437</v>
      </c>
      <c r="JF35">
        <v>18</v>
      </c>
      <c r="JG35">
        <v>512.6900000000001</v>
      </c>
      <c r="JH35">
        <v>428.094</v>
      </c>
      <c r="JI35">
        <v>22.503</v>
      </c>
      <c r="JJ35">
        <v>28.6095</v>
      </c>
      <c r="JK35">
        <v>30.0001</v>
      </c>
      <c r="JL35">
        <v>28.579</v>
      </c>
      <c r="JM35">
        <v>28.5173</v>
      </c>
      <c r="JN35">
        <v>57.2902</v>
      </c>
      <c r="JO35">
        <v>41.2782</v>
      </c>
      <c r="JP35">
        <v>0</v>
      </c>
      <c r="JQ35">
        <v>22.504</v>
      </c>
      <c r="JR35">
        <v>1484.62</v>
      </c>
      <c r="JS35">
        <v>11.0746</v>
      </c>
      <c r="JT35">
        <v>100.318</v>
      </c>
      <c r="JU35">
        <v>100.247</v>
      </c>
    </row>
    <row r="36" spans="1:281">
      <c r="A36">
        <v>20</v>
      </c>
      <c r="B36">
        <v>1651864438.6</v>
      </c>
      <c r="C36">
        <v>218</v>
      </c>
      <c r="D36" t="s">
        <v>460</v>
      </c>
      <c r="E36" t="s">
        <v>461</v>
      </c>
      <c r="F36">
        <v>2</v>
      </c>
      <c r="G36" t="s">
        <v>413</v>
      </c>
      <c r="H36" t="s">
        <v>414</v>
      </c>
      <c r="I36">
        <v>1651864437.225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1525.252121175265</v>
      </c>
      <c r="AK36">
        <v>1507.079575757575</v>
      </c>
      <c r="AL36">
        <v>-3.308055708304745</v>
      </c>
      <c r="AM36">
        <v>66.38192812717227</v>
      </c>
      <c r="AN36">
        <f>(AP36 - AO36 + DI36*1E3/(8.314*(DK36+273.15)) * AR36/DH36 * AQ36) * DH36/(100*CV36) * 1000/(1000 - AP36)</f>
        <v>0</v>
      </c>
      <c r="AO36">
        <v>11.03930409930325</v>
      </c>
      <c r="AP36">
        <v>18.37876147058824</v>
      </c>
      <c r="AQ36">
        <v>-3.37101564514487E-05</v>
      </c>
      <c r="AR36">
        <v>80.47224507511959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417</v>
      </c>
      <c r="AY36" t="s">
        <v>417</v>
      </c>
      <c r="AZ36">
        <v>0</v>
      </c>
      <c r="BA36">
        <v>0</v>
      </c>
      <c r="BB36">
        <f>1-AZ36/BA36</f>
        <v>0</v>
      </c>
      <c r="BC36">
        <v>0</v>
      </c>
      <c r="BD36" t="s">
        <v>417</v>
      </c>
      <c r="BE36" t="s">
        <v>417</v>
      </c>
      <c r="BF36">
        <v>0</v>
      </c>
      <c r="BG36">
        <v>0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417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1248</v>
      </c>
      <c r="CA36">
        <v>300</v>
      </c>
      <c r="CB36">
        <v>300</v>
      </c>
      <c r="CC36">
        <v>300</v>
      </c>
      <c r="CD36">
        <v>10442</v>
      </c>
      <c r="CE36">
        <v>1293.69</v>
      </c>
      <c r="CF36">
        <v>-0.00735246</v>
      </c>
      <c r="CG36">
        <v>0.5</v>
      </c>
      <c r="CH36" t="s">
        <v>417</v>
      </c>
      <c r="CI36" t="s">
        <v>417</v>
      </c>
      <c r="CJ36" t="s">
        <v>417</v>
      </c>
      <c r="CK36" t="s">
        <v>417</v>
      </c>
      <c r="CL36" t="s">
        <v>417</v>
      </c>
      <c r="CM36" t="s">
        <v>417</v>
      </c>
      <c r="CN36" t="s">
        <v>417</v>
      </c>
      <c r="CO36" t="s">
        <v>417</v>
      </c>
      <c r="CP36" t="s">
        <v>417</v>
      </c>
      <c r="CQ36" t="s">
        <v>417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418</v>
      </c>
      <c r="CY36">
        <v>2</v>
      </c>
      <c r="CZ36" t="b">
        <v>1</v>
      </c>
      <c r="DA36">
        <v>1651864437.225</v>
      </c>
      <c r="DB36">
        <v>1482.21</v>
      </c>
      <c r="DC36">
        <v>1503.6425</v>
      </c>
      <c r="DD36">
        <v>18.380725</v>
      </c>
      <c r="DE36">
        <v>11.0369</v>
      </c>
      <c r="DF36">
        <v>1485.11</v>
      </c>
      <c r="DG36">
        <v>18.3599</v>
      </c>
      <c r="DH36">
        <v>500.0505000000001</v>
      </c>
      <c r="DI36">
        <v>89.94234999999999</v>
      </c>
      <c r="DJ36">
        <v>0.100056775</v>
      </c>
      <c r="DK36">
        <v>25.6841</v>
      </c>
      <c r="DL36">
        <v>24.99455</v>
      </c>
      <c r="DM36">
        <v>999.9</v>
      </c>
      <c r="DN36">
        <v>0</v>
      </c>
      <c r="DO36">
        <v>0</v>
      </c>
      <c r="DP36">
        <v>9986.237499999999</v>
      </c>
      <c r="DQ36">
        <v>0</v>
      </c>
      <c r="DR36">
        <v>3.20383</v>
      </c>
      <c r="DS36">
        <v>-21.431725</v>
      </c>
      <c r="DT36">
        <v>1509.965</v>
      </c>
      <c r="DU36">
        <v>1520.425</v>
      </c>
      <c r="DV36">
        <v>7.34381</v>
      </c>
      <c r="DW36">
        <v>1503.6425</v>
      </c>
      <c r="DX36">
        <v>11.0369</v>
      </c>
      <c r="DY36">
        <v>1.653205</v>
      </c>
      <c r="DZ36">
        <v>0.992685</v>
      </c>
      <c r="EA36">
        <v>14.463875</v>
      </c>
      <c r="EB36">
        <v>6.809455</v>
      </c>
      <c r="EC36">
        <v>1500.0575</v>
      </c>
      <c r="ED36">
        <v>0.973002</v>
      </c>
      <c r="EE36">
        <v>0.0269985</v>
      </c>
      <c r="EF36">
        <v>0</v>
      </c>
      <c r="EG36">
        <v>1015.5875</v>
      </c>
      <c r="EH36">
        <v>5.00097</v>
      </c>
      <c r="EI36">
        <v>15063.425</v>
      </c>
      <c r="EJ36">
        <v>12492.075</v>
      </c>
      <c r="EK36">
        <v>37.25</v>
      </c>
      <c r="EL36">
        <v>38.687</v>
      </c>
      <c r="EM36">
        <v>37.625</v>
      </c>
      <c r="EN36">
        <v>38.437</v>
      </c>
      <c r="EO36">
        <v>38.125</v>
      </c>
      <c r="EP36">
        <v>1454.6925</v>
      </c>
      <c r="EQ36">
        <v>40.36499999999999</v>
      </c>
      <c r="ER36">
        <v>0</v>
      </c>
      <c r="ES36">
        <v>217.7999999523163</v>
      </c>
      <c r="ET36">
        <v>0</v>
      </c>
      <c r="EU36">
        <v>1019.7852</v>
      </c>
      <c r="EV36">
        <v>-45.97538470107948</v>
      </c>
      <c r="EW36">
        <v>-672.2846165072875</v>
      </c>
      <c r="EX36">
        <v>15121.952</v>
      </c>
      <c r="EY36">
        <v>15</v>
      </c>
      <c r="EZ36">
        <v>1651864261.1</v>
      </c>
      <c r="FA36" t="s">
        <v>419</v>
      </c>
      <c r="FB36">
        <v>1651864241.6</v>
      </c>
      <c r="FC36">
        <v>1651864261.1</v>
      </c>
      <c r="FD36">
        <v>7</v>
      </c>
      <c r="FE36">
        <v>0.438</v>
      </c>
      <c r="FF36">
        <v>0.002</v>
      </c>
      <c r="FG36">
        <v>-0.988</v>
      </c>
      <c r="FH36">
        <v>-0.066</v>
      </c>
      <c r="FI36">
        <v>400</v>
      </c>
      <c r="FJ36">
        <v>11</v>
      </c>
      <c r="FK36">
        <v>0.05</v>
      </c>
      <c r="FL36">
        <v>0.02</v>
      </c>
      <c r="FM36">
        <v>-22.2500275</v>
      </c>
      <c r="FN36">
        <v>6.557235647279575</v>
      </c>
      <c r="FO36">
        <v>0.6864260888790215</v>
      </c>
      <c r="FP36">
        <v>-1</v>
      </c>
      <c r="FQ36">
        <v>7.35424575</v>
      </c>
      <c r="FR36">
        <v>-0.06176701688557167</v>
      </c>
      <c r="FS36">
        <v>0.006050889557536186</v>
      </c>
      <c r="FT36">
        <v>-1</v>
      </c>
      <c r="FU36">
        <v>0</v>
      </c>
      <c r="FV36">
        <v>0</v>
      </c>
      <c r="FW36">
        <v>0</v>
      </c>
      <c r="FX36">
        <v>-1</v>
      </c>
      <c r="FY36">
        <v>0</v>
      </c>
      <c r="FZ36">
        <v>0</v>
      </c>
      <c r="GA36" t="s">
        <v>420</v>
      </c>
      <c r="GB36">
        <v>2.98044</v>
      </c>
      <c r="GC36">
        <v>2.70613</v>
      </c>
      <c r="GD36">
        <v>0.218379</v>
      </c>
      <c r="GE36">
        <v>0.217787</v>
      </c>
      <c r="GF36">
        <v>0.0877703</v>
      </c>
      <c r="GG36">
        <v>0.0596282</v>
      </c>
      <c r="GH36">
        <v>24669.1</v>
      </c>
      <c r="GI36">
        <v>24742.6</v>
      </c>
      <c r="GJ36">
        <v>29348.2</v>
      </c>
      <c r="GK36">
        <v>29263.5</v>
      </c>
      <c r="GL36">
        <v>35452.5</v>
      </c>
      <c r="GM36">
        <v>36655.3</v>
      </c>
      <c r="GN36">
        <v>41309.3</v>
      </c>
      <c r="GO36">
        <v>41768.4</v>
      </c>
      <c r="GP36">
        <v>1.95845</v>
      </c>
      <c r="GQ36">
        <v>1.8495</v>
      </c>
      <c r="GR36">
        <v>-0.027217</v>
      </c>
      <c r="GS36">
        <v>0</v>
      </c>
      <c r="GT36">
        <v>25.4359</v>
      </c>
      <c r="GU36">
        <v>999.9</v>
      </c>
      <c r="GV36">
        <v>32</v>
      </c>
      <c r="GW36">
        <v>34.2</v>
      </c>
      <c r="GX36">
        <v>19.2228</v>
      </c>
      <c r="GY36">
        <v>62.6174</v>
      </c>
      <c r="GZ36">
        <v>35.2845</v>
      </c>
      <c r="HA36">
        <v>1</v>
      </c>
      <c r="HB36">
        <v>0.100998</v>
      </c>
      <c r="HC36">
        <v>2.13741</v>
      </c>
      <c r="HD36">
        <v>20.3208</v>
      </c>
      <c r="HE36">
        <v>5.21774</v>
      </c>
      <c r="HF36">
        <v>12.0099</v>
      </c>
      <c r="HG36">
        <v>4.98905</v>
      </c>
      <c r="HH36">
        <v>3.2885</v>
      </c>
      <c r="HI36">
        <v>992.5</v>
      </c>
      <c r="HJ36">
        <v>9517</v>
      </c>
      <c r="HK36">
        <v>5139.4</v>
      </c>
      <c r="HL36">
        <v>24.8</v>
      </c>
      <c r="HM36">
        <v>1.86752</v>
      </c>
      <c r="HN36">
        <v>1.86646</v>
      </c>
      <c r="HO36">
        <v>1.866</v>
      </c>
      <c r="HP36">
        <v>1.86585</v>
      </c>
      <c r="HQ36">
        <v>1.86768</v>
      </c>
      <c r="HR36">
        <v>1.87024</v>
      </c>
      <c r="HS36">
        <v>1.86889</v>
      </c>
      <c r="HT36">
        <v>1.87023</v>
      </c>
      <c r="HU36">
        <v>0</v>
      </c>
      <c r="HV36">
        <v>0</v>
      </c>
      <c r="HW36">
        <v>0</v>
      </c>
      <c r="HX36">
        <v>0</v>
      </c>
      <c r="HY36" t="s">
        <v>421</v>
      </c>
      <c r="HZ36" t="s">
        <v>422</v>
      </c>
      <c r="IA36" t="s">
        <v>423</v>
      </c>
      <c r="IB36" t="s">
        <v>423</v>
      </c>
      <c r="IC36" t="s">
        <v>423</v>
      </c>
      <c r="ID36" t="s">
        <v>423</v>
      </c>
      <c r="IE36">
        <v>0</v>
      </c>
      <c r="IF36">
        <v>100</v>
      </c>
      <c r="IG36">
        <v>100</v>
      </c>
      <c r="IH36">
        <v>-2.89</v>
      </c>
      <c r="II36">
        <v>0.0208</v>
      </c>
      <c r="IJ36">
        <v>-0.2164499368582429</v>
      </c>
      <c r="IK36">
        <v>-0.002077099775823331</v>
      </c>
      <c r="IL36">
        <v>4.593143279902166E-07</v>
      </c>
      <c r="IM36">
        <v>-1.865383991892071E-10</v>
      </c>
      <c r="IN36">
        <v>-0.06087574426827484</v>
      </c>
      <c r="IO36">
        <v>-0.01129461987421345</v>
      </c>
      <c r="IP36">
        <v>0.00116580895745559</v>
      </c>
      <c r="IQ36">
        <v>-1.679085872906199E-05</v>
      </c>
      <c r="IR36">
        <v>2</v>
      </c>
      <c r="IS36">
        <v>2290</v>
      </c>
      <c r="IT36">
        <v>0</v>
      </c>
      <c r="IU36">
        <v>32</v>
      </c>
      <c r="IV36">
        <v>3.3</v>
      </c>
      <c r="IW36">
        <v>3</v>
      </c>
      <c r="IX36">
        <v>2.85889</v>
      </c>
      <c r="IY36">
        <v>2.18872</v>
      </c>
      <c r="IZ36">
        <v>1.39648</v>
      </c>
      <c r="JA36">
        <v>2.35718</v>
      </c>
      <c r="JB36">
        <v>1.49536</v>
      </c>
      <c r="JC36">
        <v>2.30591</v>
      </c>
      <c r="JD36">
        <v>38.379</v>
      </c>
      <c r="JE36">
        <v>24.035</v>
      </c>
      <c r="JF36">
        <v>18</v>
      </c>
      <c r="JG36">
        <v>512.543</v>
      </c>
      <c r="JH36">
        <v>428.118</v>
      </c>
      <c r="JI36">
        <v>22.5045</v>
      </c>
      <c r="JJ36">
        <v>28.6095</v>
      </c>
      <c r="JK36">
        <v>30.0002</v>
      </c>
      <c r="JL36">
        <v>28.579</v>
      </c>
      <c r="JM36">
        <v>28.5185</v>
      </c>
      <c r="JN36">
        <v>57.0846</v>
      </c>
      <c r="JO36">
        <v>41.2782</v>
      </c>
      <c r="JP36">
        <v>0</v>
      </c>
      <c r="JQ36">
        <v>22.504</v>
      </c>
      <c r="JR36">
        <v>1477.94</v>
      </c>
      <c r="JS36">
        <v>11.0746</v>
      </c>
      <c r="JT36">
        <v>100.319</v>
      </c>
      <c r="JU36">
        <v>100.247</v>
      </c>
    </row>
    <row r="37" spans="1:281">
      <c r="A37">
        <v>21</v>
      </c>
      <c r="B37">
        <v>1651864440.6</v>
      </c>
      <c r="C37">
        <v>220</v>
      </c>
      <c r="D37" t="s">
        <v>462</v>
      </c>
      <c r="E37" t="s">
        <v>463</v>
      </c>
      <c r="F37">
        <v>2</v>
      </c>
      <c r="G37" t="s">
        <v>413</v>
      </c>
      <c r="H37" t="s">
        <v>414</v>
      </c>
      <c r="I37">
        <v>1651864439.6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1518.264323628156</v>
      </c>
      <c r="AK37">
        <v>1500.423393939393</v>
      </c>
      <c r="AL37">
        <v>-3.318184716854091</v>
      </c>
      <c r="AM37">
        <v>66.38192812717227</v>
      </c>
      <c r="AN37">
        <f>(AP37 - AO37 + DI37*1E3/(8.314*(DK37+273.15)) * AR37/DH37 * AQ37) * DH37/(100*CV37) * 1000/(1000 - AP37)</f>
        <v>0</v>
      </c>
      <c r="AO37">
        <v>11.03768242262718</v>
      </c>
      <c r="AP37">
        <v>18.37240294117646</v>
      </c>
      <c r="AQ37">
        <v>-3.396190951009975E-05</v>
      </c>
      <c r="AR37">
        <v>80.47224507511959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417</v>
      </c>
      <c r="AY37" t="s">
        <v>417</v>
      </c>
      <c r="AZ37">
        <v>0</v>
      </c>
      <c r="BA37">
        <v>0</v>
      </c>
      <c r="BB37">
        <f>1-AZ37/BA37</f>
        <v>0</v>
      </c>
      <c r="BC37">
        <v>0</v>
      </c>
      <c r="BD37" t="s">
        <v>417</v>
      </c>
      <c r="BE37" t="s">
        <v>417</v>
      </c>
      <c r="BF37">
        <v>0</v>
      </c>
      <c r="BG37">
        <v>0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417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1248</v>
      </c>
      <c r="CA37">
        <v>300</v>
      </c>
      <c r="CB37">
        <v>300</v>
      </c>
      <c r="CC37">
        <v>300</v>
      </c>
      <c r="CD37">
        <v>10442</v>
      </c>
      <c r="CE37">
        <v>1293.69</v>
      </c>
      <c r="CF37">
        <v>-0.00735246</v>
      </c>
      <c r="CG37">
        <v>0.5</v>
      </c>
      <c r="CH37" t="s">
        <v>417</v>
      </c>
      <c r="CI37" t="s">
        <v>417</v>
      </c>
      <c r="CJ37" t="s">
        <v>417</v>
      </c>
      <c r="CK37" t="s">
        <v>417</v>
      </c>
      <c r="CL37" t="s">
        <v>417</v>
      </c>
      <c r="CM37" t="s">
        <v>417</v>
      </c>
      <c r="CN37" t="s">
        <v>417</v>
      </c>
      <c r="CO37" t="s">
        <v>417</v>
      </c>
      <c r="CP37" t="s">
        <v>417</v>
      </c>
      <c r="CQ37" t="s">
        <v>417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418</v>
      </c>
      <c r="CY37">
        <v>2</v>
      </c>
      <c r="CZ37" t="b">
        <v>1</v>
      </c>
      <c r="DA37">
        <v>1651864439.6</v>
      </c>
      <c r="DB37">
        <v>1474.493333333333</v>
      </c>
      <c r="DC37">
        <v>1495.476666666667</v>
      </c>
      <c r="DD37">
        <v>18.37393333333333</v>
      </c>
      <c r="DE37">
        <v>11.03623333333333</v>
      </c>
      <c r="DF37">
        <v>1477.38</v>
      </c>
      <c r="DG37">
        <v>18.3532</v>
      </c>
      <c r="DH37">
        <v>500.0203333333334</v>
      </c>
      <c r="DI37">
        <v>89.94133333333333</v>
      </c>
      <c r="DJ37">
        <v>0.09989596666666667</v>
      </c>
      <c r="DK37">
        <v>25.6847</v>
      </c>
      <c r="DL37">
        <v>24.98783333333334</v>
      </c>
      <c r="DM37">
        <v>999.9</v>
      </c>
      <c r="DN37">
        <v>0</v>
      </c>
      <c r="DO37">
        <v>0</v>
      </c>
      <c r="DP37">
        <v>10001.25</v>
      </c>
      <c r="DQ37">
        <v>0</v>
      </c>
      <c r="DR37">
        <v>3.20383</v>
      </c>
      <c r="DS37">
        <v>-20.98493333333333</v>
      </c>
      <c r="DT37">
        <v>1502.093333333333</v>
      </c>
      <c r="DU37">
        <v>1512.17</v>
      </c>
      <c r="DV37">
        <v>7.337696666666666</v>
      </c>
      <c r="DW37">
        <v>1495.476666666667</v>
      </c>
      <c r="DX37">
        <v>11.03623333333333</v>
      </c>
      <c r="DY37">
        <v>1.652573333333333</v>
      </c>
      <c r="DZ37">
        <v>0.9926113333333334</v>
      </c>
      <c r="EA37">
        <v>14.45796666666667</v>
      </c>
      <c r="EB37">
        <v>6.80838</v>
      </c>
      <c r="EC37">
        <v>1500.003333333333</v>
      </c>
      <c r="ED37">
        <v>0.9730036666666667</v>
      </c>
      <c r="EE37">
        <v>0.0269967</v>
      </c>
      <c r="EF37">
        <v>0</v>
      </c>
      <c r="EG37">
        <v>1014.293333333333</v>
      </c>
      <c r="EH37">
        <v>5.00097</v>
      </c>
      <c r="EI37">
        <v>15041.86666666667</v>
      </c>
      <c r="EJ37">
        <v>12491.63333333333</v>
      </c>
      <c r="EK37">
        <v>37.25</v>
      </c>
      <c r="EL37">
        <v>38.687</v>
      </c>
      <c r="EM37">
        <v>37.625</v>
      </c>
      <c r="EN37">
        <v>38.437</v>
      </c>
      <c r="EO37">
        <v>38.125</v>
      </c>
      <c r="EP37">
        <v>1454.643333333333</v>
      </c>
      <c r="EQ37">
        <v>40.36</v>
      </c>
      <c r="ER37">
        <v>0</v>
      </c>
      <c r="ES37">
        <v>219.6000001430511</v>
      </c>
      <c r="ET37">
        <v>0</v>
      </c>
      <c r="EU37">
        <v>1018.650769230769</v>
      </c>
      <c r="EV37">
        <v>-43.99247864107346</v>
      </c>
      <c r="EW37">
        <v>-635.6136751983523</v>
      </c>
      <c r="EX37">
        <v>15105.44230769231</v>
      </c>
      <c r="EY37">
        <v>15</v>
      </c>
      <c r="EZ37">
        <v>1651864261.1</v>
      </c>
      <c r="FA37" t="s">
        <v>419</v>
      </c>
      <c r="FB37">
        <v>1651864241.6</v>
      </c>
      <c r="FC37">
        <v>1651864261.1</v>
      </c>
      <c r="FD37">
        <v>7</v>
      </c>
      <c r="FE37">
        <v>0.438</v>
      </c>
      <c r="FF37">
        <v>0.002</v>
      </c>
      <c r="FG37">
        <v>-0.988</v>
      </c>
      <c r="FH37">
        <v>-0.066</v>
      </c>
      <c r="FI37">
        <v>400</v>
      </c>
      <c r="FJ37">
        <v>11</v>
      </c>
      <c r="FK37">
        <v>0.05</v>
      </c>
      <c r="FL37">
        <v>0.02</v>
      </c>
      <c r="FM37">
        <v>-22.0976525</v>
      </c>
      <c r="FN37">
        <v>5.867814258911861</v>
      </c>
      <c r="FO37">
        <v>0.5953668956985686</v>
      </c>
      <c r="FP37">
        <v>-1</v>
      </c>
      <c r="FQ37">
        <v>7.353157999999999</v>
      </c>
      <c r="FR37">
        <v>-0.06759016885554481</v>
      </c>
      <c r="FS37">
        <v>0.006608152616276388</v>
      </c>
      <c r="FT37">
        <v>-1</v>
      </c>
      <c r="FU37">
        <v>0</v>
      </c>
      <c r="FV37">
        <v>0</v>
      </c>
      <c r="FW37">
        <v>0</v>
      </c>
      <c r="FX37">
        <v>-1</v>
      </c>
      <c r="FY37">
        <v>0</v>
      </c>
      <c r="FZ37">
        <v>0</v>
      </c>
      <c r="GA37" t="s">
        <v>420</v>
      </c>
      <c r="GB37">
        <v>2.98042</v>
      </c>
      <c r="GC37">
        <v>2.70613</v>
      </c>
      <c r="GD37">
        <v>0.217786</v>
      </c>
      <c r="GE37">
        <v>0.217204</v>
      </c>
      <c r="GF37">
        <v>0.08775230000000001</v>
      </c>
      <c r="GG37">
        <v>0.0596244</v>
      </c>
      <c r="GH37">
        <v>24687.6</v>
      </c>
      <c r="GI37">
        <v>24760.8</v>
      </c>
      <c r="GJ37">
        <v>29347.9</v>
      </c>
      <c r="GK37">
        <v>29263.2</v>
      </c>
      <c r="GL37">
        <v>35453</v>
      </c>
      <c r="GM37">
        <v>36655.2</v>
      </c>
      <c r="GN37">
        <v>41309.1</v>
      </c>
      <c r="GO37">
        <v>41768.1</v>
      </c>
      <c r="GP37">
        <v>1.95835</v>
      </c>
      <c r="GQ37">
        <v>1.84948</v>
      </c>
      <c r="GR37">
        <v>-0.0271872</v>
      </c>
      <c r="GS37">
        <v>0</v>
      </c>
      <c r="GT37">
        <v>25.4359</v>
      </c>
      <c r="GU37">
        <v>999.9</v>
      </c>
      <c r="GV37">
        <v>31.9</v>
      </c>
      <c r="GW37">
        <v>34.2</v>
      </c>
      <c r="GX37">
        <v>19.1647</v>
      </c>
      <c r="GY37">
        <v>62.0574</v>
      </c>
      <c r="GZ37">
        <v>34.976</v>
      </c>
      <c r="HA37">
        <v>1</v>
      </c>
      <c r="HB37">
        <v>0.101044</v>
      </c>
      <c r="HC37">
        <v>2.14038</v>
      </c>
      <c r="HD37">
        <v>20.3208</v>
      </c>
      <c r="HE37">
        <v>5.21744</v>
      </c>
      <c r="HF37">
        <v>12.0099</v>
      </c>
      <c r="HG37">
        <v>4.9888</v>
      </c>
      <c r="HH37">
        <v>3.2885</v>
      </c>
      <c r="HI37">
        <v>992.5</v>
      </c>
      <c r="HJ37">
        <v>9517</v>
      </c>
      <c r="HK37">
        <v>5139.4</v>
      </c>
      <c r="HL37">
        <v>24.8</v>
      </c>
      <c r="HM37">
        <v>1.86752</v>
      </c>
      <c r="HN37">
        <v>1.86646</v>
      </c>
      <c r="HO37">
        <v>1.866</v>
      </c>
      <c r="HP37">
        <v>1.86585</v>
      </c>
      <c r="HQ37">
        <v>1.86768</v>
      </c>
      <c r="HR37">
        <v>1.87024</v>
      </c>
      <c r="HS37">
        <v>1.86889</v>
      </c>
      <c r="HT37">
        <v>1.87024</v>
      </c>
      <c r="HU37">
        <v>0</v>
      </c>
      <c r="HV37">
        <v>0</v>
      </c>
      <c r="HW37">
        <v>0</v>
      </c>
      <c r="HX37">
        <v>0</v>
      </c>
      <c r="HY37" t="s">
        <v>421</v>
      </c>
      <c r="HZ37" t="s">
        <v>422</v>
      </c>
      <c r="IA37" t="s">
        <v>423</v>
      </c>
      <c r="IB37" t="s">
        <v>423</v>
      </c>
      <c r="IC37" t="s">
        <v>423</v>
      </c>
      <c r="ID37" t="s">
        <v>423</v>
      </c>
      <c r="IE37">
        <v>0</v>
      </c>
      <c r="IF37">
        <v>100</v>
      </c>
      <c r="IG37">
        <v>100</v>
      </c>
      <c r="IH37">
        <v>-2.88</v>
      </c>
      <c r="II37">
        <v>0.0207</v>
      </c>
      <c r="IJ37">
        <v>-0.2164499368582429</v>
      </c>
      <c r="IK37">
        <v>-0.002077099775823331</v>
      </c>
      <c r="IL37">
        <v>4.593143279902166E-07</v>
      </c>
      <c r="IM37">
        <v>-1.865383991892071E-10</v>
      </c>
      <c r="IN37">
        <v>-0.06087574426827484</v>
      </c>
      <c r="IO37">
        <v>-0.01129461987421345</v>
      </c>
      <c r="IP37">
        <v>0.00116580895745559</v>
      </c>
      <c r="IQ37">
        <v>-1.679085872906199E-05</v>
      </c>
      <c r="IR37">
        <v>2</v>
      </c>
      <c r="IS37">
        <v>2290</v>
      </c>
      <c r="IT37">
        <v>0</v>
      </c>
      <c r="IU37">
        <v>32</v>
      </c>
      <c r="IV37">
        <v>3.3</v>
      </c>
      <c r="IW37">
        <v>3</v>
      </c>
      <c r="IX37">
        <v>2.8479</v>
      </c>
      <c r="IY37">
        <v>2.18262</v>
      </c>
      <c r="IZ37">
        <v>1.39648</v>
      </c>
      <c r="JA37">
        <v>2.35596</v>
      </c>
      <c r="JB37">
        <v>1.49536</v>
      </c>
      <c r="JC37">
        <v>2.37671</v>
      </c>
      <c r="JD37">
        <v>38.379</v>
      </c>
      <c r="JE37">
        <v>24.0437</v>
      </c>
      <c r="JF37">
        <v>18</v>
      </c>
      <c r="JG37">
        <v>512.485</v>
      </c>
      <c r="JH37">
        <v>428.11</v>
      </c>
      <c r="JI37">
        <v>22.5058</v>
      </c>
      <c r="JJ37">
        <v>28.6095</v>
      </c>
      <c r="JK37">
        <v>30.0002</v>
      </c>
      <c r="JL37">
        <v>28.5799</v>
      </c>
      <c r="JM37">
        <v>28.5195</v>
      </c>
      <c r="JN37">
        <v>56.8819</v>
      </c>
      <c r="JO37">
        <v>41.2782</v>
      </c>
      <c r="JP37">
        <v>0</v>
      </c>
      <c r="JQ37">
        <v>22.5068</v>
      </c>
      <c r="JR37">
        <v>1471.26</v>
      </c>
      <c r="JS37">
        <v>11.0746</v>
      </c>
      <c r="JT37">
        <v>100.318</v>
      </c>
      <c r="JU37">
        <v>100.246</v>
      </c>
    </row>
    <row r="38" spans="1:281">
      <c r="A38">
        <v>22</v>
      </c>
      <c r="B38">
        <v>1651864442.6</v>
      </c>
      <c r="C38">
        <v>222</v>
      </c>
      <c r="D38" t="s">
        <v>464</v>
      </c>
      <c r="E38" t="s">
        <v>465</v>
      </c>
      <c r="F38">
        <v>2</v>
      </c>
      <c r="G38" t="s">
        <v>413</v>
      </c>
      <c r="H38" t="s">
        <v>414</v>
      </c>
      <c r="I38">
        <v>1651864441.225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1511.421248089325</v>
      </c>
      <c r="AK38">
        <v>1493.677333333333</v>
      </c>
      <c r="AL38">
        <v>-3.356005222607251</v>
      </c>
      <c r="AM38">
        <v>66.38192812717227</v>
      </c>
      <c r="AN38">
        <f>(AP38 - AO38 + DI38*1E3/(8.314*(DK38+273.15)) * AR38/DH38 * AQ38) * DH38/(100*CV38) * 1000/(1000 - AP38)</f>
        <v>0</v>
      </c>
      <c r="AO38">
        <v>11.03654482313313</v>
      </c>
      <c r="AP38">
        <v>18.3706726470588</v>
      </c>
      <c r="AQ38">
        <v>-6.575277084757162E-05</v>
      </c>
      <c r="AR38">
        <v>80.47224507511959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417</v>
      </c>
      <c r="AY38" t="s">
        <v>417</v>
      </c>
      <c r="AZ38">
        <v>0</v>
      </c>
      <c r="BA38">
        <v>0</v>
      </c>
      <c r="BB38">
        <f>1-AZ38/BA38</f>
        <v>0</v>
      </c>
      <c r="BC38">
        <v>0</v>
      </c>
      <c r="BD38" t="s">
        <v>417</v>
      </c>
      <c r="BE38" t="s">
        <v>417</v>
      </c>
      <c r="BF38">
        <v>0</v>
      </c>
      <c r="BG38">
        <v>0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417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1248</v>
      </c>
      <c r="CA38">
        <v>300</v>
      </c>
      <c r="CB38">
        <v>300</v>
      </c>
      <c r="CC38">
        <v>300</v>
      </c>
      <c r="CD38">
        <v>10442</v>
      </c>
      <c r="CE38">
        <v>1293.69</v>
      </c>
      <c r="CF38">
        <v>-0.00735246</v>
      </c>
      <c r="CG38">
        <v>0.5</v>
      </c>
      <c r="CH38" t="s">
        <v>417</v>
      </c>
      <c r="CI38" t="s">
        <v>417</v>
      </c>
      <c r="CJ38" t="s">
        <v>417</v>
      </c>
      <c r="CK38" t="s">
        <v>417</v>
      </c>
      <c r="CL38" t="s">
        <v>417</v>
      </c>
      <c r="CM38" t="s">
        <v>417</v>
      </c>
      <c r="CN38" t="s">
        <v>417</v>
      </c>
      <c r="CO38" t="s">
        <v>417</v>
      </c>
      <c r="CP38" t="s">
        <v>417</v>
      </c>
      <c r="CQ38" t="s">
        <v>417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418</v>
      </c>
      <c r="CY38">
        <v>2</v>
      </c>
      <c r="CZ38" t="b">
        <v>1</v>
      </c>
      <c r="DA38">
        <v>1651864441.225</v>
      </c>
      <c r="DB38">
        <v>1469.13</v>
      </c>
      <c r="DC38">
        <v>1490.245</v>
      </c>
      <c r="DD38">
        <v>18.372</v>
      </c>
      <c r="DE38">
        <v>11.03555</v>
      </c>
      <c r="DF38">
        <v>1472.005</v>
      </c>
      <c r="DG38">
        <v>18.351325</v>
      </c>
      <c r="DH38">
        <v>500.0095</v>
      </c>
      <c r="DI38">
        <v>89.94075000000001</v>
      </c>
      <c r="DJ38">
        <v>0.09988902500000001</v>
      </c>
      <c r="DK38">
        <v>25.6847</v>
      </c>
      <c r="DL38">
        <v>24.9918</v>
      </c>
      <c r="DM38">
        <v>999.9</v>
      </c>
      <c r="DN38">
        <v>0</v>
      </c>
      <c r="DO38">
        <v>0</v>
      </c>
      <c r="DP38">
        <v>10010.625</v>
      </c>
      <c r="DQ38">
        <v>0</v>
      </c>
      <c r="DR38">
        <v>3.20383</v>
      </c>
      <c r="DS38">
        <v>-21.11445</v>
      </c>
      <c r="DT38">
        <v>1496.625</v>
      </c>
      <c r="DU38">
        <v>1506.875</v>
      </c>
      <c r="DV38">
        <v>7.3364475</v>
      </c>
      <c r="DW38">
        <v>1490.245</v>
      </c>
      <c r="DX38">
        <v>11.03555</v>
      </c>
      <c r="DY38">
        <v>1.6523925</v>
      </c>
      <c r="DZ38">
        <v>0.9925447500000001</v>
      </c>
      <c r="EA38">
        <v>14.456225</v>
      </c>
      <c r="EB38">
        <v>6.807399999999999</v>
      </c>
      <c r="EC38">
        <v>1500.05</v>
      </c>
      <c r="ED38">
        <v>0.9730045</v>
      </c>
      <c r="EE38">
        <v>0.0269958</v>
      </c>
      <c r="EF38">
        <v>0</v>
      </c>
      <c r="EG38">
        <v>1013.3675</v>
      </c>
      <c r="EH38">
        <v>5.00097</v>
      </c>
      <c r="EI38">
        <v>15026.6</v>
      </c>
      <c r="EJ38">
        <v>12492.025</v>
      </c>
      <c r="EK38">
        <v>37.25</v>
      </c>
      <c r="EL38">
        <v>38.687</v>
      </c>
      <c r="EM38">
        <v>37.625</v>
      </c>
      <c r="EN38">
        <v>38.437</v>
      </c>
      <c r="EO38">
        <v>38.125</v>
      </c>
      <c r="EP38">
        <v>1454.69</v>
      </c>
      <c r="EQ38">
        <v>40.36</v>
      </c>
      <c r="ER38">
        <v>0</v>
      </c>
      <c r="ES38">
        <v>222</v>
      </c>
      <c r="ET38">
        <v>0</v>
      </c>
      <c r="EU38">
        <v>1016.932307692308</v>
      </c>
      <c r="EV38">
        <v>-41.24991456909753</v>
      </c>
      <c r="EW38">
        <v>-587.7948722442214</v>
      </c>
      <c r="EX38">
        <v>15079.96923076923</v>
      </c>
      <c r="EY38">
        <v>15</v>
      </c>
      <c r="EZ38">
        <v>1651864261.1</v>
      </c>
      <c r="FA38" t="s">
        <v>419</v>
      </c>
      <c r="FB38">
        <v>1651864241.6</v>
      </c>
      <c r="FC38">
        <v>1651864261.1</v>
      </c>
      <c r="FD38">
        <v>7</v>
      </c>
      <c r="FE38">
        <v>0.438</v>
      </c>
      <c r="FF38">
        <v>0.002</v>
      </c>
      <c r="FG38">
        <v>-0.988</v>
      </c>
      <c r="FH38">
        <v>-0.066</v>
      </c>
      <c r="FI38">
        <v>400</v>
      </c>
      <c r="FJ38">
        <v>11</v>
      </c>
      <c r="FK38">
        <v>0.05</v>
      </c>
      <c r="FL38">
        <v>0.02</v>
      </c>
      <c r="FM38">
        <v>-21.7928875</v>
      </c>
      <c r="FN38">
        <v>4.966337335834873</v>
      </c>
      <c r="FO38">
        <v>0.4981437634797308</v>
      </c>
      <c r="FP38">
        <v>-1</v>
      </c>
      <c r="FQ38">
        <v>7.349300249999999</v>
      </c>
      <c r="FR38">
        <v>-0.07714255159475326</v>
      </c>
      <c r="FS38">
        <v>0.007556398774383207</v>
      </c>
      <c r="FT38">
        <v>-1</v>
      </c>
      <c r="FU38">
        <v>0</v>
      </c>
      <c r="FV38">
        <v>0</v>
      </c>
      <c r="FW38">
        <v>0</v>
      </c>
      <c r="FX38">
        <v>-1</v>
      </c>
      <c r="FY38">
        <v>0</v>
      </c>
      <c r="FZ38">
        <v>0</v>
      </c>
      <c r="GA38" t="s">
        <v>420</v>
      </c>
      <c r="GB38">
        <v>2.98063</v>
      </c>
      <c r="GC38">
        <v>2.7062</v>
      </c>
      <c r="GD38">
        <v>0.217195</v>
      </c>
      <c r="GE38">
        <v>0.21663</v>
      </c>
      <c r="GF38">
        <v>0.08774659999999999</v>
      </c>
      <c r="GG38">
        <v>0.0596205</v>
      </c>
      <c r="GH38">
        <v>24706</v>
      </c>
      <c r="GI38">
        <v>24778.7</v>
      </c>
      <c r="GJ38">
        <v>29347.6</v>
      </c>
      <c r="GK38">
        <v>29262.8</v>
      </c>
      <c r="GL38">
        <v>35453</v>
      </c>
      <c r="GM38">
        <v>36654.9</v>
      </c>
      <c r="GN38">
        <v>41308.8</v>
      </c>
      <c r="GO38">
        <v>41767.6</v>
      </c>
      <c r="GP38">
        <v>1.9584</v>
      </c>
      <c r="GQ38">
        <v>1.84927</v>
      </c>
      <c r="GR38">
        <v>-0.0268668</v>
      </c>
      <c r="GS38">
        <v>0</v>
      </c>
      <c r="GT38">
        <v>25.4357</v>
      </c>
      <c r="GU38">
        <v>999.9</v>
      </c>
      <c r="GV38">
        <v>31.9</v>
      </c>
      <c r="GW38">
        <v>34.2</v>
      </c>
      <c r="GX38">
        <v>19.1613</v>
      </c>
      <c r="GY38">
        <v>62.6374</v>
      </c>
      <c r="GZ38">
        <v>34.992</v>
      </c>
      <c r="HA38">
        <v>1</v>
      </c>
      <c r="HB38">
        <v>0.101037</v>
      </c>
      <c r="HC38">
        <v>2.14053</v>
      </c>
      <c r="HD38">
        <v>20.3208</v>
      </c>
      <c r="HE38">
        <v>5.21714</v>
      </c>
      <c r="HF38">
        <v>12.0099</v>
      </c>
      <c r="HG38">
        <v>4.98845</v>
      </c>
      <c r="HH38">
        <v>3.28848</v>
      </c>
      <c r="HI38">
        <v>992.5</v>
      </c>
      <c r="HJ38">
        <v>9517</v>
      </c>
      <c r="HK38">
        <v>5139.4</v>
      </c>
      <c r="HL38">
        <v>24.8</v>
      </c>
      <c r="HM38">
        <v>1.86752</v>
      </c>
      <c r="HN38">
        <v>1.86646</v>
      </c>
      <c r="HO38">
        <v>1.866</v>
      </c>
      <c r="HP38">
        <v>1.86584</v>
      </c>
      <c r="HQ38">
        <v>1.86769</v>
      </c>
      <c r="HR38">
        <v>1.87024</v>
      </c>
      <c r="HS38">
        <v>1.86889</v>
      </c>
      <c r="HT38">
        <v>1.87025</v>
      </c>
      <c r="HU38">
        <v>0</v>
      </c>
      <c r="HV38">
        <v>0</v>
      </c>
      <c r="HW38">
        <v>0</v>
      </c>
      <c r="HX38">
        <v>0</v>
      </c>
      <c r="HY38" t="s">
        <v>421</v>
      </c>
      <c r="HZ38" t="s">
        <v>422</v>
      </c>
      <c r="IA38" t="s">
        <v>423</v>
      </c>
      <c r="IB38" t="s">
        <v>423</v>
      </c>
      <c r="IC38" t="s">
        <v>423</v>
      </c>
      <c r="ID38" t="s">
        <v>423</v>
      </c>
      <c r="IE38">
        <v>0</v>
      </c>
      <c r="IF38">
        <v>100</v>
      </c>
      <c r="IG38">
        <v>100</v>
      </c>
      <c r="IH38">
        <v>-2.86</v>
      </c>
      <c r="II38">
        <v>0.0206</v>
      </c>
      <c r="IJ38">
        <v>-0.2164499368582429</v>
      </c>
      <c r="IK38">
        <v>-0.002077099775823331</v>
      </c>
      <c r="IL38">
        <v>4.593143279902166E-07</v>
      </c>
      <c r="IM38">
        <v>-1.865383991892071E-10</v>
      </c>
      <c r="IN38">
        <v>-0.06087574426827484</v>
      </c>
      <c r="IO38">
        <v>-0.01129461987421345</v>
      </c>
      <c r="IP38">
        <v>0.00116580895745559</v>
      </c>
      <c r="IQ38">
        <v>-1.679085872906199E-05</v>
      </c>
      <c r="IR38">
        <v>2</v>
      </c>
      <c r="IS38">
        <v>2290</v>
      </c>
      <c r="IT38">
        <v>0</v>
      </c>
      <c r="IU38">
        <v>32</v>
      </c>
      <c r="IV38">
        <v>3.4</v>
      </c>
      <c r="IW38">
        <v>3</v>
      </c>
      <c r="IX38">
        <v>2.83813</v>
      </c>
      <c r="IY38">
        <v>2.1875</v>
      </c>
      <c r="IZ38">
        <v>1.39648</v>
      </c>
      <c r="JA38">
        <v>2.35718</v>
      </c>
      <c r="JB38">
        <v>1.49536</v>
      </c>
      <c r="JC38">
        <v>2.32178</v>
      </c>
      <c r="JD38">
        <v>38.379</v>
      </c>
      <c r="JE38">
        <v>24.035</v>
      </c>
      <c r="JF38">
        <v>18</v>
      </c>
      <c r="JG38">
        <v>512.529</v>
      </c>
      <c r="JH38">
        <v>427.991</v>
      </c>
      <c r="JI38">
        <v>22.507</v>
      </c>
      <c r="JJ38">
        <v>28.6104</v>
      </c>
      <c r="JK38">
        <v>30.0002</v>
      </c>
      <c r="JL38">
        <v>28.5812</v>
      </c>
      <c r="JM38">
        <v>28.5195</v>
      </c>
      <c r="JN38">
        <v>56.673</v>
      </c>
      <c r="JO38">
        <v>41.2782</v>
      </c>
      <c r="JP38">
        <v>0</v>
      </c>
      <c r="JQ38">
        <v>22.5068</v>
      </c>
      <c r="JR38">
        <v>1464.58</v>
      </c>
      <c r="JS38">
        <v>11.0746</v>
      </c>
      <c r="JT38">
        <v>100.317</v>
      </c>
      <c r="JU38">
        <v>100.245</v>
      </c>
    </row>
    <row r="39" spans="1:281">
      <c r="A39">
        <v>23</v>
      </c>
      <c r="B39">
        <v>1651864444.6</v>
      </c>
      <c r="C39">
        <v>224</v>
      </c>
      <c r="D39" t="s">
        <v>466</v>
      </c>
      <c r="E39" t="s">
        <v>467</v>
      </c>
      <c r="F39">
        <v>2</v>
      </c>
      <c r="G39" t="s">
        <v>413</v>
      </c>
      <c r="H39" t="s">
        <v>414</v>
      </c>
      <c r="I39">
        <v>1651864443.6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1504.90281094413</v>
      </c>
      <c r="AK39">
        <v>1487.055333333333</v>
      </c>
      <c r="AL39">
        <v>-3.330661169185559</v>
      </c>
      <c r="AM39">
        <v>66.38192812717227</v>
      </c>
      <c r="AN39">
        <f>(AP39 - AO39 + DI39*1E3/(8.314*(DK39+273.15)) * AR39/DH39 * AQ39) * DH39/(100*CV39) * 1000/(1000 - AP39)</f>
        <v>0</v>
      </c>
      <c r="AO39">
        <v>11.03598706678763</v>
      </c>
      <c r="AP39">
        <v>18.3697438235294</v>
      </c>
      <c r="AQ39">
        <v>-6.402177004889295E-05</v>
      </c>
      <c r="AR39">
        <v>80.47224507511959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417</v>
      </c>
      <c r="AY39" t="s">
        <v>417</v>
      </c>
      <c r="AZ39">
        <v>0</v>
      </c>
      <c r="BA39">
        <v>0</v>
      </c>
      <c r="BB39">
        <f>1-AZ39/BA39</f>
        <v>0</v>
      </c>
      <c r="BC39">
        <v>0</v>
      </c>
      <c r="BD39" t="s">
        <v>417</v>
      </c>
      <c r="BE39" t="s">
        <v>417</v>
      </c>
      <c r="BF39">
        <v>0</v>
      </c>
      <c r="BG39">
        <v>0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417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1248</v>
      </c>
      <c r="CA39">
        <v>300</v>
      </c>
      <c r="CB39">
        <v>300</v>
      </c>
      <c r="CC39">
        <v>300</v>
      </c>
      <c r="CD39">
        <v>10442</v>
      </c>
      <c r="CE39">
        <v>1293.69</v>
      </c>
      <c r="CF39">
        <v>-0.00735246</v>
      </c>
      <c r="CG39">
        <v>0.5</v>
      </c>
      <c r="CH39" t="s">
        <v>417</v>
      </c>
      <c r="CI39" t="s">
        <v>417</v>
      </c>
      <c r="CJ39" t="s">
        <v>417</v>
      </c>
      <c r="CK39" t="s">
        <v>417</v>
      </c>
      <c r="CL39" t="s">
        <v>417</v>
      </c>
      <c r="CM39" t="s">
        <v>417</v>
      </c>
      <c r="CN39" t="s">
        <v>417</v>
      </c>
      <c r="CO39" t="s">
        <v>417</v>
      </c>
      <c r="CP39" t="s">
        <v>417</v>
      </c>
      <c r="CQ39" t="s">
        <v>417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418</v>
      </c>
      <c r="CY39">
        <v>2</v>
      </c>
      <c r="CZ39" t="b">
        <v>1</v>
      </c>
      <c r="DA39">
        <v>1651864443.6</v>
      </c>
      <c r="DB39">
        <v>1461.36</v>
      </c>
      <c r="DC39">
        <v>1482.4</v>
      </c>
      <c r="DD39">
        <v>18.3697</v>
      </c>
      <c r="DE39">
        <v>11.0351</v>
      </c>
      <c r="DF39">
        <v>1464.22</v>
      </c>
      <c r="DG39">
        <v>18.34903333333333</v>
      </c>
      <c r="DH39">
        <v>500.0436666666666</v>
      </c>
      <c r="DI39">
        <v>89.94176666666665</v>
      </c>
      <c r="DJ39">
        <v>0.1000607333333333</v>
      </c>
      <c r="DK39">
        <v>25.6846</v>
      </c>
      <c r="DL39">
        <v>24.9972</v>
      </c>
      <c r="DM39">
        <v>999.9</v>
      </c>
      <c r="DN39">
        <v>0</v>
      </c>
      <c r="DO39">
        <v>0</v>
      </c>
      <c r="DP39">
        <v>10002.51666666667</v>
      </c>
      <c r="DQ39">
        <v>0</v>
      </c>
      <c r="DR39">
        <v>3.20383</v>
      </c>
      <c r="DS39">
        <v>-21.03743333333334</v>
      </c>
      <c r="DT39">
        <v>1488.71</v>
      </c>
      <c r="DU39">
        <v>1498.94</v>
      </c>
      <c r="DV39">
        <v>7.334613333333333</v>
      </c>
      <c r="DW39">
        <v>1482.4</v>
      </c>
      <c r="DX39">
        <v>11.0351</v>
      </c>
      <c r="DY39">
        <v>1.6522</v>
      </c>
      <c r="DZ39">
        <v>0.9925143333333333</v>
      </c>
      <c r="EA39">
        <v>14.4545</v>
      </c>
      <c r="EB39">
        <v>6.806953333333333</v>
      </c>
      <c r="EC39">
        <v>1500.103333333333</v>
      </c>
      <c r="ED39">
        <v>0.9730036666666667</v>
      </c>
      <c r="EE39">
        <v>0.0269967</v>
      </c>
      <c r="EF39">
        <v>0</v>
      </c>
      <c r="EG39">
        <v>1011.406666666667</v>
      </c>
      <c r="EH39">
        <v>5.00097</v>
      </c>
      <c r="EI39">
        <v>15002.5</v>
      </c>
      <c r="EJ39">
        <v>12492.5</v>
      </c>
      <c r="EK39">
        <v>37.25</v>
      </c>
      <c r="EL39">
        <v>38.687</v>
      </c>
      <c r="EM39">
        <v>37.625</v>
      </c>
      <c r="EN39">
        <v>38.437</v>
      </c>
      <c r="EO39">
        <v>38.125</v>
      </c>
      <c r="EP39">
        <v>1454.74</v>
      </c>
      <c r="EQ39">
        <v>40.36333333333333</v>
      </c>
      <c r="ER39">
        <v>0</v>
      </c>
      <c r="ES39">
        <v>223.7999999523163</v>
      </c>
      <c r="ET39">
        <v>0</v>
      </c>
      <c r="EU39">
        <v>1015.488</v>
      </c>
      <c r="EV39">
        <v>-40.44538468778038</v>
      </c>
      <c r="EW39">
        <v>-574.4230777887694</v>
      </c>
      <c r="EX39">
        <v>15059.012</v>
      </c>
      <c r="EY39">
        <v>15</v>
      </c>
      <c r="EZ39">
        <v>1651864261.1</v>
      </c>
      <c r="FA39" t="s">
        <v>419</v>
      </c>
      <c r="FB39">
        <v>1651864241.6</v>
      </c>
      <c r="FC39">
        <v>1651864261.1</v>
      </c>
      <c r="FD39">
        <v>7</v>
      </c>
      <c r="FE39">
        <v>0.438</v>
      </c>
      <c r="FF39">
        <v>0.002</v>
      </c>
      <c r="FG39">
        <v>-0.988</v>
      </c>
      <c r="FH39">
        <v>-0.066</v>
      </c>
      <c r="FI39">
        <v>400</v>
      </c>
      <c r="FJ39">
        <v>11</v>
      </c>
      <c r="FK39">
        <v>0.05</v>
      </c>
      <c r="FL39">
        <v>0.02</v>
      </c>
      <c r="FM39">
        <v>-21.71494</v>
      </c>
      <c r="FN39">
        <v>4.650484052532872</v>
      </c>
      <c r="FO39">
        <v>0.4699032388694505</v>
      </c>
      <c r="FP39">
        <v>-1</v>
      </c>
      <c r="FQ39">
        <v>7.34808475</v>
      </c>
      <c r="FR39">
        <v>-0.07916003752346441</v>
      </c>
      <c r="FS39">
        <v>0.007734359697964665</v>
      </c>
      <c r="FT39">
        <v>-1</v>
      </c>
      <c r="FU39">
        <v>0</v>
      </c>
      <c r="FV39">
        <v>0</v>
      </c>
      <c r="FW39">
        <v>0</v>
      </c>
      <c r="FX39">
        <v>-1</v>
      </c>
      <c r="FY39">
        <v>0</v>
      </c>
      <c r="FZ39">
        <v>0</v>
      </c>
      <c r="GA39" t="s">
        <v>420</v>
      </c>
      <c r="GB39">
        <v>2.98053</v>
      </c>
      <c r="GC39">
        <v>2.70629</v>
      </c>
      <c r="GD39">
        <v>0.216613</v>
      </c>
      <c r="GE39">
        <v>0.216033</v>
      </c>
      <c r="GF39">
        <v>0.08773549999999999</v>
      </c>
      <c r="GG39">
        <v>0.0596214</v>
      </c>
      <c r="GH39">
        <v>24724.3</v>
      </c>
      <c r="GI39">
        <v>24797.5</v>
      </c>
      <c r="GJ39">
        <v>29347.5</v>
      </c>
      <c r="GK39">
        <v>29262.8</v>
      </c>
      <c r="GL39">
        <v>35453.1</v>
      </c>
      <c r="GM39">
        <v>36654.8</v>
      </c>
      <c r="GN39">
        <v>41308.5</v>
      </c>
      <c r="GO39">
        <v>41767.6</v>
      </c>
      <c r="GP39">
        <v>1.95855</v>
      </c>
      <c r="GQ39">
        <v>1.84907</v>
      </c>
      <c r="GR39">
        <v>-0.0267327</v>
      </c>
      <c r="GS39">
        <v>0</v>
      </c>
      <c r="GT39">
        <v>25.4346</v>
      </c>
      <c r="GU39">
        <v>999.9</v>
      </c>
      <c r="GV39">
        <v>31.9</v>
      </c>
      <c r="GW39">
        <v>34.2</v>
      </c>
      <c r="GX39">
        <v>19.1635</v>
      </c>
      <c r="GY39">
        <v>62.5874</v>
      </c>
      <c r="GZ39">
        <v>35.3486</v>
      </c>
      <c r="HA39">
        <v>1</v>
      </c>
      <c r="HB39">
        <v>0.101133</v>
      </c>
      <c r="HC39">
        <v>2.1417</v>
      </c>
      <c r="HD39">
        <v>20.3208</v>
      </c>
      <c r="HE39">
        <v>5.21729</v>
      </c>
      <c r="HF39">
        <v>12.0099</v>
      </c>
      <c r="HG39">
        <v>4.9888</v>
      </c>
      <c r="HH39">
        <v>3.28848</v>
      </c>
      <c r="HI39">
        <v>992.5</v>
      </c>
      <c r="HJ39">
        <v>9517</v>
      </c>
      <c r="HK39">
        <v>5139.4</v>
      </c>
      <c r="HL39">
        <v>24.8</v>
      </c>
      <c r="HM39">
        <v>1.86752</v>
      </c>
      <c r="HN39">
        <v>1.86646</v>
      </c>
      <c r="HO39">
        <v>1.866</v>
      </c>
      <c r="HP39">
        <v>1.86584</v>
      </c>
      <c r="HQ39">
        <v>1.8677</v>
      </c>
      <c r="HR39">
        <v>1.87023</v>
      </c>
      <c r="HS39">
        <v>1.8689</v>
      </c>
      <c r="HT39">
        <v>1.87025</v>
      </c>
      <c r="HU39">
        <v>0</v>
      </c>
      <c r="HV39">
        <v>0</v>
      </c>
      <c r="HW39">
        <v>0</v>
      </c>
      <c r="HX39">
        <v>0</v>
      </c>
      <c r="HY39" t="s">
        <v>421</v>
      </c>
      <c r="HZ39" t="s">
        <v>422</v>
      </c>
      <c r="IA39" t="s">
        <v>423</v>
      </c>
      <c r="IB39" t="s">
        <v>423</v>
      </c>
      <c r="IC39" t="s">
        <v>423</v>
      </c>
      <c r="ID39" t="s">
        <v>423</v>
      </c>
      <c r="IE39">
        <v>0</v>
      </c>
      <c r="IF39">
        <v>100</v>
      </c>
      <c r="IG39">
        <v>100</v>
      </c>
      <c r="IH39">
        <v>-2.85</v>
      </c>
      <c r="II39">
        <v>0.0207</v>
      </c>
      <c r="IJ39">
        <v>-0.2164499368582429</v>
      </c>
      <c r="IK39">
        <v>-0.002077099775823331</v>
      </c>
      <c r="IL39">
        <v>4.593143279902166E-07</v>
      </c>
      <c r="IM39">
        <v>-1.865383991892071E-10</v>
      </c>
      <c r="IN39">
        <v>-0.06087574426827484</v>
      </c>
      <c r="IO39">
        <v>-0.01129461987421345</v>
      </c>
      <c r="IP39">
        <v>0.00116580895745559</v>
      </c>
      <c r="IQ39">
        <v>-1.679085872906199E-05</v>
      </c>
      <c r="IR39">
        <v>2</v>
      </c>
      <c r="IS39">
        <v>2290</v>
      </c>
      <c r="IT39">
        <v>0</v>
      </c>
      <c r="IU39">
        <v>32</v>
      </c>
      <c r="IV39">
        <v>3.4</v>
      </c>
      <c r="IW39">
        <v>3.1</v>
      </c>
      <c r="IX39">
        <v>2.82715</v>
      </c>
      <c r="IY39">
        <v>2.18506</v>
      </c>
      <c r="IZ39">
        <v>1.39648</v>
      </c>
      <c r="JA39">
        <v>2.35718</v>
      </c>
      <c r="JB39">
        <v>1.49536</v>
      </c>
      <c r="JC39">
        <v>2.35352</v>
      </c>
      <c r="JD39">
        <v>38.379</v>
      </c>
      <c r="JE39">
        <v>24.035</v>
      </c>
      <c r="JF39">
        <v>18</v>
      </c>
      <c r="JG39">
        <v>512.63</v>
      </c>
      <c r="JH39">
        <v>427.872</v>
      </c>
      <c r="JI39">
        <v>22.5082</v>
      </c>
      <c r="JJ39">
        <v>28.6117</v>
      </c>
      <c r="JK39">
        <v>30.0003</v>
      </c>
      <c r="JL39">
        <v>28.5814</v>
      </c>
      <c r="JM39">
        <v>28.5197</v>
      </c>
      <c r="JN39">
        <v>56.4762</v>
      </c>
      <c r="JO39">
        <v>41.2782</v>
      </c>
      <c r="JP39">
        <v>0</v>
      </c>
      <c r="JQ39">
        <v>22.5116</v>
      </c>
      <c r="JR39">
        <v>1457.9</v>
      </c>
      <c r="JS39">
        <v>11.0746</v>
      </c>
      <c r="JT39">
        <v>100.317</v>
      </c>
      <c r="JU39">
        <v>100.245</v>
      </c>
    </row>
    <row r="40" spans="1:281">
      <c r="A40">
        <v>24</v>
      </c>
      <c r="B40">
        <v>1651864446.6</v>
      </c>
      <c r="C40">
        <v>226</v>
      </c>
      <c r="D40" t="s">
        <v>468</v>
      </c>
      <c r="E40" t="s">
        <v>469</v>
      </c>
      <c r="F40">
        <v>2</v>
      </c>
      <c r="G40" t="s">
        <v>413</v>
      </c>
      <c r="H40" t="s">
        <v>414</v>
      </c>
      <c r="I40">
        <v>1651864445.225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1498.135927655805</v>
      </c>
      <c r="AK40">
        <v>1480.505515151515</v>
      </c>
      <c r="AL40">
        <v>-3.288539032488003</v>
      </c>
      <c r="AM40">
        <v>66.38192812717227</v>
      </c>
      <c r="AN40">
        <f>(AP40 - AO40 + DI40*1E3/(8.314*(DK40+273.15)) * AR40/DH40 * AQ40) * DH40/(100*CV40) * 1000/(1000 - AP40)</f>
        <v>0</v>
      </c>
      <c r="AO40">
        <v>11.03524415345139</v>
      </c>
      <c r="AP40">
        <v>18.36256558823531</v>
      </c>
      <c r="AQ40">
        <v>-7.727611386854786E-06</v>
      </c>
      <c r="AR40">
        <v>80.47224507511959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417</v>
      </c>
      <c r="AY40" t="s">
        <v>417</v>
      </c>
      <c r="AZ40">
        <v>0</v>
      </c>
      <c r="BA40">
        <v>0</v>
      </c>
      <c r="BB40">
        <f>1-AZ40/BA40</f>
        <v>0</v>
      </c>
      <c r="BC40">
        <v>0</v>
      </c>
      <c r="BD40" t="s">
        <v>417</v>
      </c>
      <c r="BE40" t="s">
        <v>417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417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1248</v>
      </c>
      <c r="CA40">
        <v>300</v>
      </c>
      <c r="CB40">
        <v>300</v>
      </c>
      <c r="CC40">
        <v>300</v>
      </c>
      <c r="CD40">
        <v>10442</v>
      </c>
      <c r="CE40">
        <v>1293.69</v>
      </c>
      <c r="CF40">
        <v>-0.00735246</v>
      </c>
      <c r="CG40">
        <v>0.5</v>
      </c>
      <c r="CH40" t="s">
        <v>417</v>
      </c>
      <c r="CI40" t="s">
        <v>417</v>
      </c>
      <c r="CJ40" t="s">
        <v>417</v>
      </c>
      <c r="CK40" t="s">
        <v>417</v>
      </c>
      <c r="CL40" t="s">
        <v>417</v>
      </c>
      <c r="CM40" t="s">
        <v>417</v>
      </c>
      <c r="CN40" t="s">
        <v>417</v>
      </c>
      <c r="CO40" t="s">
        <v>417</v>
      </c>
      <c r="CP40" t="s">
        <v>417</v>
      </c>
      <c r="CQ40" t="s">
        <v>417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418</v>
      </c>
      <c r="CY40">
        <v>2</v>
      </c>
      <c r="CZ40" t="b">
        <v>1</v>
      </c>
      <c r="DA40">
        <v>1651864445.225</v>
      </c>
      <c r="DB40">
        <v>1456.1225</v>
      </c>
      <c r="DC40">
        <v>1476.9275</v>
      </c>
      <c r="DD40">
        <v>18.36495</v>
      </c>
      <c r="DE40">
        <v>11.03495</v>
      </c>
      <c r="DF40">
        <v>1458.9725</v>
      </c>
      <c r="DG40">
        <v>18.344375</v>
      </c>
      <c r="DH40">
        <v>500.02075</v>
      </c>
      <c r="DI40">
        <v>89.9418</v>
      </c>
      <c r="DJ40">
        <v>0.10013675</v>
      </c>
      <c r="DK40">
        <v>25.684275</v>
      </c>
      <c r="DL40">
        <v>24.9962</v>
      </c>
      <c r="DM40">
        <v>999.9</v>
      </c>
      <c r="DN40">
        <v>0</v>
      </c>
      <c r="DO40">
        <v>0</v>
      </c>
      <c r="DP40">
        <v>9993.75</v>
      </c>
      <c r="DQ40">
        <v>0</v>
      </c>
      <c r="DR40">
        <v>3.20383</v>
      </c>
      <c r="DS40">
        <v>-20.8056</v>
      </c>
      <c r="DT40">
        <v>1483.3675</v>
      </c>
      <c r="DU40">
        <v>1493.4075</v>
      </c>
      <c r="DV40">
        <v>7.3300175</v>
      </c>
      <c r="DW40">
        <v>1476.9275</v>
      </c>
      <c r="DX40">
        <v>11.03495</v>
      </c>
      <c r="DY40">
        <v>1.6517775</v>
      </c>
      <c r="DZ40">
        <v>0.992502</v>
      </c>
      <c r="EA40">
        <v>14.4505</v>
      </c>
      <c r="EB40">
        <v>6.806775</v>
      </c>
      <c r="EC40">
        <v>1500.06</v>
      </c>
      <c r="ED40">
        <v>0.97300325</v>
      </c>
      <c r="EE40">
        <v>0.02699715</v>
      </c>
      <c r="EF40">
        <v>0</v>
      </c>
      <c r="EG40">
        <v>1010.5975</v>
      </c>
      <c r="EH40">
        <v>5.00097</v>
      </c>
      <c r="EI40">
        <v>14986.2</v>
      </c>
      <c r="EJ40">
        <v>12492.125</v>
      </c>
      <c r="EK40">
        <v>37.25</v>
      </c>
      <c r="EL40">
        <v>38.687</v>
      </c>
      <c r="EM40">
        <v>37.625</v>
      </c>
      <c r="EN40">
        <v>38.437</v>
      </c>
      <c r="EO40">
        <v>38.125</v>
      </c>
      <c r="EP40">
        <v>1454.6975</v>
      </c>
      <c r="EQ40">
        <v>40.3625</v>
      </c>
      <c r="ER40">
        <v>0</v>
      </c>
      <c r="ES40">
        <v>225.6000001430511</v>
      </c>
      <c r="ET40">
        <v>0</v>
      </c>
      <c r="EU40">
        <v>1014.476923076923</v>
      </c>
      <c r="EV40">
        <v>-39.13435898209764</v>
      </c>
      <c r="EW40">
        <v>-573.3094017614636</v>
      </c>
      <c r="EX40">
        <v>15044.34230769231</v>
      </c>
      <c r="EY40">
        <v>15</v>
      </c>
      <c r="EZ40">
        <v>1651864261.1</v>
      </c>
      <c r="FA40" t="s">
        <v>419</v>
      </c>
      <c r="FB40">
        <v>1651864241.6</v>
      </c>
      <c r="FC40">
        <v>1651864261.1</v>
      </c>
      <c r="FD40">
        <v>7</v>
      </c>
      <c r="FE40">
        <v>0.438</v>
      </c>
      <c r="FF40">
        <v>0.002</v>
      </c>
      <c r="FG40">
        <v>-0.988</v>
      </c>
      <c r="FH40">
        <v>-0.066</v>
      </c>
      <c r="FI40">
        <v>400</v>
      </c>
      <c r="FJ40">
        <v>11</v>
      </c>
      <c r="FK40">
        <v>0.05</v>
      </c>
      <c r="FL40">
        <v>0.02</v>
      </c>
      <c r="FM40">
        <v>-21.4728325</v>
      </c>
      <c r="FN40">
        <v>4.293956848030069</v>
      </c>
      <c r="FO40">
        <v>0.4330778644698317</v>
      </c>
      <c r="FP40">
        <v>-1</v>
      </c>
      <c r="FQ40">
        <v>7.344134749999999</v>
      </c>
      <c r="FR40">
        <v>-0.08914705440901864</v>
      </c>
      <c r="FS40">
        <v>0.008649679181189336</v>
      </c>
      <c r="FT40">
        <v>-1</v>
      </c>
      <c r="FU40">
        <v>0</v>
      </c>
      <c r="FV40">
        <v>0</v>
      </c>
      <c r="FW40">
        <v>0</v>
      </c>
      <c r="FX40">
        <v>-1</v>
      </c>
      <c r="FY40">
        <v>0</v>
      </c>
      <c r="FZ40">
        <v>0</v>
      </c>
      <c r="GA40" t="s">
        <v>420</v>
      </c>
      <c r="GB40">
        <v>2.98069</v>
      </c>
      <c r="GC40">
        <v>2.70623</v>
      </c>
      <c r="GD40">
        <v>0.216029</v>
      </c>
      <c r="GE40">
        <v>0.215437</v>
      </c>
      <c r="GF40">
        <v>0.087717</v>
      </c>
      <c r="GG40">
        <v>0.0596186</v>
      </c>
      <c r="GH40">
        <v>24743</v>
      </c>
      <c r="GI40">
        <v>24816.5</v>
      </c>
      <c r="GJ40">
        <v>29347.8</v>
      </c>
      <c r="GK40">
        <v>29262.9</v>
      </c>
      <c r="GL40">
        <v>35453.9</v>
      </c>
      <c r="GM40">
        <v>36655.1</v>
      </c>
      <c r="GN40">
        <v>41308.6</v>
      </c>
      <c r="GO40">
        <v>41767.8</v>
      </c>
      <c r="GP40">
        <v>1.95863</v>
      </c>
      <c r="GQ40">
        <v>1.84897</v>
      </c>
      <c r="GR40">
        <v>-0.0267401</v>
      </c>
      <c r="GS40">
        <v>0</v>
      </c>
      <c r="GT40">
        <v>25.4337</v>
      </c>
      <c r="GU40">
        <v>999.9</v>
      </c>
      <c r="GV40">
        <v>31.9</v>
      </c>
      <c r="GW40">
        <v>34.2</v>
      </c>
      <c r="GX40">
        <v>19.1634</v>
      </c>
      <c r="GY40">
        <v>62.5974</v>
      </c>
      <c r="GZ40">
        <v>35.2204</v>
      </c>
      <c r="HA40">
        <v>1</v>
      </c>
      <c r="HB40">
        <v>0.101311</v>
      </c>
      <c r="HC40">
        <v>2.13596</v>
      </c>
      <c r="HD40">
        <v>20.3209</v>
      </c>
      <c r="HE40">
        <v>5.21774</v>
      </c>
      <c r="HF40">
        <v>12.0099</v>
      </c>
      <c r="HG40">
        <v>4.98885</v>
      </c>
      <c r="HH40">
        <v>3.28858</v>
      </c>
      <c r="HI40">
        <v>992.5</v>
      </c>
      <c r="HJ40">
        <v>9517</v>
      </c>
      <c r="HK40">
        <v>5139.4</v>
      </c>
      <c r="HL40">
        <v>24.8</v>
      </c>
      <c r="HM40">
        <v>1.86752</v>
      </c>
      <c r="HN40">
        <v>1.86646</v>
      </c>
      <c r="HO40">
        <v>1.866</v>
      </c>
      <c r="HP40">
        <v>1.86584</v>
      </c>
      <c r="HQ40">
        <v>1.86769</v>
      </c>
      <c r="HR40">
        <v>1.87022</v>
      </c>
      <c r="HS40">
        <v>1.8689</v>
      </c>
      <c r="HT40">
        <v>1.87024</v>
      </c>
      <c r="HU40">
        <v>0</v>
      </c>
      <c r="HV40">
        <v>0</v>
      </c>
      <c r="HW40">
        <v>0</v>
      </c>
      <c r="HX40">
        <v>0</v>
      </c>
      <c r="HY40" t="s">
        <v>421</v>
      </c>
      <c r="HZ40" t="s">
        <v>422</v>
      </c>
      <c r="IA40" t="s">
        <v>423</v>
      </c>
      <c r="IB40" t="s">
        <v>423</v>
      </c>
      <c r="IC40" t="s">
        <v>423</v>
      </c>
      <c r="ID40" t="s">
        <v>423</v>
      </c>
      <c r="IE40">
        <v>0</v>
      </c>
      <c r="IF40">
        <v>100</v>
      </c>
      <c r="IG40">
        <v>100</v>
      </c>
      <c r="IH40">
        <v>-2.84</v>
      </c>
      <c r="II40">
        <v>0.0206</v>
      </c>
      <c r="IJ40">
        <v>-0.2164499368582429</v>
      </c>
      <c r="IK40">
        <v>-0.002077099775823331</v>
      </c>
      <c r="IL40">
        <v>4.593143279902166E-07</v>
      </c>
      <c r="IM40">
        <v>-1.865383991892071E-10</v>
      </c>
      <c r="IN40">
        <v>-0.06087574426827484</v>
      </c>
      <c r="IO40">
        <v>-0.01129461987421345</v>
      </c>
      <c r="IP40">
        <v>0.00116580895745559</v>
      </c>
      <c r="IQ40">
        <v>-1.679085872906199E-05</v>
      </c>
      <c r="IR40">
        <v>2</v>
      </c>
      <c r="IS40">
        <v>2290</v>
      </c>
      <c r="IT40">
        <v>0</v>
      </c>
      <c r="IU40">
        <v>32</v>
      </c>
      <c r="IV40">
        <v>3.4</v>
      </c>
      <c r="IW40">
        <v>3.1</v>
      </c>
      <c r="IX40">
        <v>2.81738</v>
      </c>
      <c r="IY40">
        <v>2.18506</v>
      </c>
      <c r="IZ40">
        <v>1.39648</v>
      </c>
      <c r="JA40">
        <v>2.35718</v>
      </c>
      <c r="JB40">
        <v>1.49536</v>
      </c>
      <c r="JC40">
        <v>2.35596</v>
      </c>
      <c r="JD40">
        <v>38.379</v>
      </c>
      <c r="JE40">
        <v>24.035</v>
      </c>
      <c r="JF40">
        <v>18</v>
      </c>
      <c r="JG40">
        <v>512.679</v>
      </c>
      <c r="JH40">
        <v>427.821</v>
      </c>
      <c r="JI40">
        <v>22.5091</v>
      </c>
      <c r="JJ40">
        <v>28.6119</v>
      </c>
      <c r="JK40">
        <v>30.0003</v>
      </c>
      <c r="JL40">
        <v>28.5814</v>
      </c>
      <c r="JM40">
        <v>28.5209</v>
      </c>
      <c r="JN40">
        <v>56.2651</v>
      </c>
      <c r="JO40">
        <v>41.2782</v>
      </c>
      <c r="JP40">
        <v>0</v>
      </c>
      <c r="JQ40">
        <v>22.5116</v>
      </c>
      <c r="JR40">
        <v>1451.22</v>
      </c>
      <c r="JS40">
        <v>11.0746</v>
      </c>
      <c r="JT40">
        <v>100.317</v>
      </c>
      <c r="JU40">
        <v>100.245</v>
      </c>
    </row>
    <row r="41" spans="1:281">
      <c r="A41">
        <v>25</v>
      </c>
      <c r="B41">
        <v>1651864448.6</v>
      </c>
      <c r="C41">
        <v>228</v>
      </c>
      <c r="D41" t="s">
        <v>470</v>
      </c>
      <c r="E41" t="s">
        <v>471</v>
      </c>
      <c r="F41">
        <v>2</v>
      </c>
      <c r="G41" t="s">
        <v>413</v>
      </c>
      <c r="H41" t="s">
        <v>414</v>
      </c>
      <c r="I41">
        <v>1651864447.6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1491.3341477438</v>
      </c>
      <c r="AK41">
        <v>1473.87303030303</v>
      </c>
      <c r="AL41">
        <v>-3.299095656915807</v>
      </c>
      <c r="AM41">
        <v>66.38192812717227</v>
      </c>
      <c r="AN41">
        <f>(AP41 - AO41 + DI41*1E3/(8.314*(DK41+273.15)) * AR41/DH41 * AQ41) * DH41/(100*CV41) * 1000/(1000 - AP41)</f>
        <v>0</v>
      </c>
      <c r="AO41">
        <v>11.03508325308636</v>
      </c>
      <c r="AP41">
        <v>18.35868617647059</v>
      </c>
      <c r="AQ41">
        <v>-2.986975861594318E-05</v>
      </c>
      <c r="AR41">
        <v>80.47224507511959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417</v>
      </c>
      <c r="AY41" t="s">
        <v>417</v>
      </c>
      <c r="AZ41">
        <v>0</v>
      </c>
      <c r="BA41">
        <v>0</v>
      </c>
      <c r="BB41">
        <f>1-AZ41/BA41</f>
        <v>0</v>
      </c>
      <c r="BC41">
        <v>0</v>
      </c>
      <c r="BD41" t="s">
        <v>417</v>
      </c>
      <c r="BE41" t="s">
        <v>417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417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1248</v>
      </c>
      <c r="CA41">
        <v>300</v>
      </c>
      <c r="CB41">
        <v>300</v>
      </c>
      <c r="CC41">
        <v>300</v>
      </c>
      <c r="CD41">
        <v>10442</v>
      </c>
      <c r="CE41">
        <v>1293.69</v>
      </c>
      <c r="CF41">
        <v>-0.00735246</v>
      </c>
      <c r="CG41">
        <v>0.5</v>
      </c>
      <c r="CH41" t="s">
        <v>417</v>
      </c>
      <c r="CI41" t="s">
        <v>417</v>
      </c>
      <c r="CJ41" t="s">
        <v>417</v>
      </c>
      <c r="CK41" t="s">
        <v>417</v>
      </c>
      <c r="CL41" t="s">
        <v>417</v>
      </c>
      <c r="CM41" t="s">
        <v>417</v>
      </c>
      <c r="CN41" t="s">
        <v>417</v>
      </c>
      <c r="CO41" t="s">
        <v>417</v>
      </c>
      <c r="CP41" t="s">
        <v>417</v>
      </c>
      <c r="CQ41" t="s">
        <v>417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418</v>
      </c>
      <c r="CY41">
        <v>2</v>
      </c>
      <c r="CZ41" t="b">
        <v>1</v>
      </c>
      <c r="DA41">
        <v>1651864447.6</v>
      </c>
      <c r="DB41">
        <v>1448.44</v>
      </c>
      <c r="DC41">
        <v>1469.213333333333</v>
      </c>
      <c r="DD41">
        <v>18.3604</v>
      </c>
      <c r="DE41">
        <v>11.03396666666667</v>
      </c>
      <c r="DF41">
        <v>1451.27</v>
      </c>
      <c r="DG41">
        <v>18.33986666666667</v>
      </c>
      <c r="DH41">
        <v>500.0853333333333</v>
      </c>
      <c r="DI41">
        <v>89.93963333333335</v>
      </c>
      <c r="DJ41">
        <v>0.100031</v>
      </c>
      <c r="DK41">
        <v>25.68333333333333</v>
      </c>
      <c r="DL41">
        <v>24.99493333333334</v>
      </c>
      <c r="DM41">
        <v>999.9</v>
      </c>
      <c r="DN41">
        <v>0</v>
      </c>
      <c r="DO41">
        <v>0</v>
      </c>
      <c r="DP41">
        <v>9999.379999999999</v>
      </c>
      <c r="DQ41">
        <v>0</v>
      </c>
      <c r="DR41">
        <v>3.20383</v>
      </c>
      <c r="DS41">
        <v>-20.77496666666667</v>
      </c>
      <c r="DT41">
        <v>1475.53</v>
      </c>
      <c r="DU41">
        <v>1485.603333333333</v>
      </c>
      <c r="DV41">
        <v>7.326456666666666</v>
      </c>
      <c r="DW41">
        <v>1469.213333333333</v>
      </c>
      <c r="DX41">
        <v>11.03396666666667</v>
      </c>
      <c r="DY41">
        <v>1.65133</v>
      </c>
      <c r="DZ41">
        <v>0.9923893333333332</v>
      </c>
      <c r="EA41">
        <v>14.44633333333333</v>
      </c>
      <c r="EB41">
        <v>6.805116666666667</v>
      </c>
      <c r="EC41">
        <v>1499.906666666667</v>
      </c>
      <c r="ED41">
        <v>0.973002</v>
      </c>
      <c r="EE41">
        <v>0.0269985</v>
      </c>
      <c r="EF41">
        <v>0</v>
      </c>
      <c r="EG41">
        <v>1008.606666666667</v>
      </c>
      <c r="EH41">
        <v>5.00097</v>
      </c>
      <c r="EI41">
        <v>14959.7</v>
      </c>
      <c r="EJ41">
        <v>12490.86666666667</v>
      </c>
      <c r="EK41">
        <v>37.25</v>
      </c>
      <c r="EL41">
        <v>38.687</v>
      </c>
      <c r="EM41">
        <v>37.625</v>
      </c>
      <c r="EN41">
        <v>38.437</v>
      </c>
      <c r="EO41">
        <v>38.125</v>
      </c>
      <c r="EP41">
        <v>1454.546666666666</v>
      </c>
      <c r="EQ41">
        <v>40.36</v>
      </c>
      <c r="ER41">
        <v>0</v>
      </c>
      <c r="ES41">
        <v>228</v>
      </c>
      <c r="ET41">
        <v>0</v>
      </c>
      <c r="EU41">
        <v>1012.832692307692</v>
      </c>
      <c r="EV41">
        <v>-40.5466666996241</v>
      </c>
      <c r="EW41">
        <v>-590.7658123479392</v>
      </c>
      <c r="EX41">
        <v>15020.58076923077</v>
      </c>
      <c r="EY41">
        <v>15</v>
      </c>
      <c r="EZ41">
        <v>1651864261.1</v>
      </c>
      <c r="FA41" t="s">
        <v>419</v>
      </c>
      <c r="FB41">
        <v>1651864241.6</v>
      </c>
      <c r="FC41">
        <v>1651864261.1</v>
      </c>
      <c r="FD41">
        <v>7</v>
      </c>
      <c r="FE41">
        <v>0.438</v>
      </c>
      <c r="FF41">
        <v>0.002</v>
      </c>
      <c r="FG41">
        <v>-0.988</v>
      </c>
      <c r="FH41">
        <v>-0.066</v>
      </c>
      <c r="FI41">
        <v>400</v>
      </c>
      <c r="FJ41">
        <v>11</v>
      </c>
      <c r="FK41">
        <v>0.05</v>
      </c>
      <c r="FL41">
        <v>0.02</v>
      </c>
      <c r="FM41">
        <v>-21.38657804878049</v>
      </c>
      <c r="FN41">
        <v>4.37132613240414</v>
      </c>
      <c r="FO41">
        <v>0.450174585381074</v>
      </c>
      <c r="FP41">
        <v>-1</v>
      </c>
      <c r="FQ41">
        <v>7.342274878048779</v>
      </c>
      <c r="FR41">
        <v>-0.09173226480834577</v>
      </c>
      <c r="FS41">
        <v>0.009108662487006565</v>
      </c>
      <c r="FT41">
        <v>-1</v>
      </c>
      <c r="FU41">
        <v>0</v>
      </c>
      <c r="FV41">
        <v>0</v>
      </c>
      <c r="FW41">
        <v>0</v>
      </c>
      <c r="FX41">
        <v>-1</v>
      </c>
      <c r="FY41">
        <v>0</v>
      </c>
      <c r="FZ41">
        <v>0</v>
      </c>
      <c r="GA41" t="s">
        <v>420</v>
      </c>
      <c r="GB41">
        <v>2.98062</v>
      </c>
      <c r="GC41">
        <v>2.70615</v>
      </c>
      <c r="GD41">
        <v>0.215438</v>
      </c>
      <c r="GE41">
        <v>0.214886</v>
      </c>
      <c r="GF41">
        <v>0.0877034</v>
      </c>
      <c r="GG41">
        <v>0.0596146</v>
      </c>
      <c r="GH41">
        <v>24761.3</v>
      </c>
      <c r="GI41">
        <v>24833.9</v>
      </c>
      <c r="GJ41">
        <v>29347.5</v>
      </c>
      <c r="GK41">
        <v>29262.9</v>
      </c>
      <c r="GL41">
        <v>35454.3</v>
      </c>
      <c r="GM41">
        <v>36655.2</v>
      </c>
      <c r="GN41">
        <v>41308.4</v>
      </c>
      <c r="GO41">
        <v>41767.7</v>
      </c>
      <c r="GP41">
        <v>1.9585</v>
      </c>
      <c r="GQ41">
        <v>1.84895</v>
      </c>
      <c r="GR41">
        <v>-0.0265688</v>
      </c>
      <c r="GS41">
        <v>0</v>
      </c>
      <c r="GT41">
        <v>25.4337</v>
      </c>
      <c r="GU41">
        <v>999.9</v>
      </c>
      <c r="GV41">
        <v>31.9</v>
      </c>
      <c r="GW41">
        <v>34.2</v>
      </c>
      <c r="GX41">
        <v>19.1633</v>
      </c>
      <c r="GY41">
        <v>62.4274</v>
      </c>
      <c r="GZ41">
        <v>34.8357</v>
      </c>
      <c r="HA41">
        <v>1</v>
      </c>
      <c r="HB41">
        <v>0.101397</v>
      </c>
      <c r="HC41">
        <v>2.13447</v>
      </c>
      <c r="HD41">
        <v>20.3209</v>
      </c>
      <c r="HE41">
        <v>5.21819</v>
      </c>
      <c r="HF41">
        <v>12.0099</v>
      </c>
      <c r="HG41">
        <v>4.9887</v>
      </c>
      <c r="HH41">
        <v>3.28865</v>
      </c>
      <c r="HI41">
        <v>992.7</v>
      </c>
      <c r="HJ41">
        <v>9518.4</v>
      </c>
      <c r="HK41">
        <v>5139.4</v>
      </c>
      <c r="HL41">
        <v>24.8</v>
      </c>
      <c r="HM41">
        <v>1.86752</v>
      </c>
      <c r="HN41">
        <v>1.86646</v>
      </c>
      <c r="HO41">
        <v>1.866</v>
      </c>
      <c r="HP41">
        <v>1.86584</v>
      </c>
      <c r="HQ41">
        <v>1.86769</v>
      </c>
      <c r="HR41">
        <v>1.87021</v>
      </c>
      <c r="HS41">
        <v>1.8689</v>
      </c>
      <c r="HT41">
        <v>1.87023</v>
      </c>
      <c r="HU41">
        <v>0</v>
      </c>
      <c r="HV41">
        <v>0</v>
      </c>
      <c r="HW41">
        <v>0</v>
      </c>
      <c r="HX41">
        <v>0</v>
      </c>
      <c r="HY41" t="s">
        <v>421</v>
      </c>
      <c r="HZ41" t="s">
        <v>422</v>
      </c>
      <c r="IA41" t="s">
        <v>423</v>
      </c>
      <c r="IB41" t="s">
        <v>423</v>
      </c>
      <c r="IC41" t="s">
        <v>423</v>
      </c>
      <c r="ID41" t="s">
        <v>423</v>
      </c>
      <c r="IE41">
        <v>0</v>
      </c>
      <c r="IF41">
        <v>100</v>
      </c>
      <c r="IG41">
        <v>100</v>
      </c>
      <c r="IH41">
        <v>-2.82</v>
      </c>
      <c r="II41">
        <v>0.0205</v>
      </c>
      <c r="IJ41">
        <v>-0.2164499368582429</v>
      </c>
      <c r="IK41">
        <v>-0.002077099775823331</v>
      </c>
      <c r="IL41">
        <v>4.593143279902166E-07</v>
      </c>
      <c r="IM41">
        <v>-1.865383991892071E-10</v>
      </c>
      <c r="IN41">
        <v>-0.06087574426827484</v>
      </c>
      <c r="IO41">
        <v>-0.01129461987421345</v>
      </c>
      <c r="IP41">
        <v>0.00116580895745559</v>
      </c>
      <c r="IQ41">
        <v>-1.679085872906199E-05</v>
      </c>
      <c r="IR41">
        <v>2</v>
      </c>
      <c r="IS41">
        <v>2290</v>
      </c>
      <c r="IT41">
        <v>0</v>
      </c>
      <c r="IU41">
        <v>32</v>
      </c>
      <c r="IV41">
        <v>3.5</v>
      </c>
      <c r="IW41">
        <v>3.1</v>
      </c>
      <c r="IX41">
        <v>2.8064</v>
      </c>
      <c r="IY41">
        <v>2.18994</v>
      </c>
      <c r="IZ41">
        <v>1.39648</v>
      </c>
      <c r="JA41">
        <v>2.35718</v>
      </c>
      <c r="JB41">
        <v>1.49536</v>
      </c>
      <c r="JC41">
        <v>2.30957</v>
      </c>
      <c r="JD41">
        <v>38.379</v>
      </c>
      <c r="JE41">
        <v>24.035</v>
      </c>
      <c r="JF41">
        <v>18</v>
      </c>
      <c r="JG41">
        <v>512.597</v>
      </c>
      <c r="JH41">
        <v>427.814</v>
      </c>
      <c r="JI41">
        <v>22.511</v>
      </c>
      <c r="JJ41">
        <v>28.6119</v>
      </c>
      <c r="JK41">
        <v>30.0001</v>
      </c>
      <c r="JL41">
        <v>28.5814</v>
      </c>
      <c r="JM41">
        <v>28.5219</v>
      </c>
      <c r="JN41">
        <v>56.0426</v>
      </c>
      <c r="JO41">
        <v>41.2782</v>
      </c>
      <c r="JP41">
        <v>0</v>
      </c>
      <c r="JQ41">
        <v>22.5116</v>
      </c>
      <c r="JR41">
        <v>1444.54</v>
      </c>
      <c r="JS41">
        <v>11.0801</v>
      </c>
      <c r="JT41">
        <v>100.316</v>
      </c>
      <c r="JU41">
        <v>100.245</v>
      </c>
    </row>
    <row r="42" spans="1:281">
      <c r="A42">
        <v>26</v>
      </c>
      <c r="B42">
        <v>1651864450.6</v>
      </c>
      <c r="C42">
        <v>230</v>
      </c>
      <c r="D42" t="s">
        <v>472</v>
      </c>
      <c r="E42" t="s">
        <v>473</v>
      </c>
      <c r="F42">
        <v>2</v>
      </c>
      <c r="G42" t="s">
        <v>413</v>
      </c>
      <c r="H42" t="s">
        <v>414</v>
      </c>
      <c r="I42">
        <v>1651864449.225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1484.916567720811</v>
      </c>
      <c r="AK42">
        <v>1467.268666666666</v>
      </c>
      <c r="AL42">
        <v>-3.306664742548439</v>
      </c>
      <c r="AM42">
        <v>66.38192812717227</v>
      </c>
      <c r="AN42">
        <f>(AP42 - AO42 + DI42*1E3/(8.314*(DK42+273.15)) * AR42/DH42 * AQ42) * DH42/(100*CV42) * 1000/(1000 - AP42)</f>
        <v>0</v>
      </c>
      <c r="AO42">
        <v>11.03468501208828</v>
      </c>
      <c r="AP42">
        <v>18.35638382352941</v>
      </c>
      <c r="AQ42">
        <v>-5.841324458024568E-05</v>
      </c>
      <c r="AR42">
        <v>80.47224507511959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417</v>
      </c>
      <c r="AY42" t="s">
        <v>417</v>
      </c>
      <c r="AZ42">
        <v>0</v>
      </c>
      <c r="BA42">
        <v>0</v>
      </c>
      <c r="BB42">
        <f>1-AZ42/BA42</f>
        <v>0</v>
      </c>
      <c r="BC42">
        <v>0</v>
      </c>
      <c r="BD42" t="s">
        <v>417</v>
      </c>
      <c r="BE42" t="s">
        <v>417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417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1248</v>
      </c>
      <c r="CA42">
        <v>300</v>
      </c>
      <c r="CB42">
        <v>300</v>
      </c>
      <c r="CC42">
        <v>300</v>
      </c>
      <c r="CD42">
        <v>10442</v>
      </c>
      <c r="CE42">
        <v>1293.69</v>
      </c>
      <c r="CF42">
        <v>-0.00735246</v>
      </c>
      <c r="CG42">
        <v>0.5</v>
      </c>
      <c r="CH42" t="s">
        <v>417</v>
      </c>
      <c r="CI42" t="s">
        <v>417</v>
      </c>
      <c r="CJ42" t="s">
        <v>417</v>
      </c>
      <c r="CK42" t="s">
        <v>417</v>
      </c>
      <c r="CL42" t="s">
        <v>417</v>
      </c>
      <c r="CM42" t="s">
        <v>417</v>
      </c>
      <c r="CN42" t="s">
        <v>417</v>
      </c>
      <c r="CO42" t="s">
        <v>417</v>
      </c>
      <c r="CP42" t="s">
        <v>417</v>
      </c>
      <c r="CQ42" t="s">
        <v>417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418</v>
      </c>
      <c r="CY42">
        <v>2</v>
      </c>
      <c r="CZ42" t="b">
        <v>1</v>
      </c>
      <c r="DA42">
        <v>1651864449.225</v>
      </c>
      <c r="DB42">
        <v>1443.1675</v>
      </c>
      <c r="DC42">
        <v>1463.8625</v>
      </c>
      <c r="DD42">
        <v>18.357575</v>
      </c>
      <c r="DE42">
        <v>11.03335</v>
      </c>
      <c r="DF42">
        <v>1445.99</v>
      </c>
      <c r="DG42">
        <v>18.337075</v>
      </c>
      <c r="DH42">
        <v>500.04825</v>
      </c>
      <c r="DI42">
        <v>89.94065000000001</v>
      </c>
      <c r="DJ42">
        <v>0.099883425</v>
      </c>
      <c r="DK42">
        <v>25.683875</v>
      </c>
      <c r="DL42">
        <v>24.997075</v>
      </c>
      <c r="DM42">
        <v>999.9</v>
      </c>
      <c r="DN42">
        <v>0</v>
      </c>
      <c r="DO42">
        <v>0</v>
      </c>
      <c r="DP42">
        <v>10013.125</v>
      </c>
      <c r="DQ42">
        <v>0</v>
      </c>
      <c r="DR42">
        <v>3.20383</v>
      </c>
      <c r="DS42">
        <v>-20.698</v>
      </c>
      <c r="DT42">
        <v>1470.155</v>
      </c>
      <c r="DU42">
        <v>1480.195</v>
      </c>
      <c r="DV42">
        <v>7.3242225</v>
      </c>
      <c r="DW42">
        <v>1463.8625</v>
      </c>
      <c r="DX42">
        <v>11.03335</v>
      </c>
      <c r="DY42">
        <v>1.6510875</v>
      </c>
      <c r="DZ42">
        <v>0.99234475</v>
      </c>
      <c r="EA42">
        <v>14.444075</v>
      </c>
      <c r="EB42">
        <v>6.804462500000001</v>
      </c>
      <c r="EC42">
        <v>1499.9825</v>
      </c>
      <c r="ED42">
        <v>0.9730032500000001</v>
      </c>
      <c r="EE42">
        <v>0.02699715</v>
      </c>
      <c r="EF42">
        <v>0</v>
      </c>
      <c r="EG42">
        <v>1007.465</v>
      </c>
      <c r="EH42">
        <v>5.00097</v>
      </c>
      <c r="EI42">
        <v>14940.55</v>
      </c>
      <c r="EJ42">
        <v>12491.475</v>
      </c>
      <c r="EK42">
        <v>37.25</v>
      </c>
      <c r="EL42">
        <v>38.687</v>
      </c>
      <c r="EM42">
        <v>37.625</v>
      </c>
      <c r="EN42">
        <v>38.437</v>
      </c>
      <c r="EO42">
        <v>38.125</v>
      </c>
      <c r="EP42">
        <v>1454.6225</v>
      </c>
      <c r="EQ42">
        <v>40.36</v>
      </c>
      <c r="ER42">
        <v>0</v>
      </c>
      <c r="ES42">
        <v>229.7999999523163</v>
      </c>
      <c r="ET42">
        <v>0</v>
      </c>
      <c r="EU42">
        <v>1011.3984</v>
      </c>
      <c r="EV42">
        <v>-40.87461544407937</v>
      </c>
      <c r="EW42">
        <v>-620.9000009185356</v>
      </c>
      <c r="EX42">
        <v>14999.316</v>
      </c>
      <c r="EY42">
        <v>15</v>
      </c>
      <c r="EZ42">
        <v>1651864261.1</v>
      </c>
      <c r="FA42" t="s">
        <v>419</v>
      </c>
      <c r="FB42">
        <v>1651864241.6</v>
      </c>
      <c r="FC42">
        <v>1651864261.1</v>
      </c>
      <c r="FD42">
        <v>7</v>
      </c>
      <c r="FE42">
        <v>0.438</v>
      </c>
      <c r="FF42">
        <v>0.002</v>
      </c>
      <c r="FG42">
        <v>-0.988</v>
      </c>
      <c r="FH42">
        <v>-0.066</v>
      </c>
      <c r="FI42">
        <v>400</v>
      </c>
      <c r="FJ42">
        <v>11</v>
      </c>
      <c r="FK42">
        <v>0.05</v>
      </c>
      <c r="FL42">
        <v>0.02</v>
      </c>
      <c r="FM42">
        <v>-21.2203025</v>
      </c>
      <c r="FN42">
        <v>4.167551594746723</v>
      </c>
      <c r="FO42">
        <v>0.4269640473666955</v>
      </c>
      <c r="FP42">
        <v>-1</v>
      </c>
      <c r="FQ42">
        <v>7.338148250000001</v>
      </c>
      <c r="FR42">
        <v>-0.09533459662287781</v>
      </c>
      <c r="FS42">
        <v>0.009219626317671386</v>
      </c>
      <c r="FT42">
        <v>-1</v>
      </c>
      <c r="FU42">
        <v>0</v>
      </c>
      <c r="FV42">
        <v>0</v>
      </c>
      <c r="FW42">
        <v>0</v>
      </c>
      <c r="FX42">
        <v>-1</v>
      </c>
      <c r="FY42">
        <v>0</v>
      </c>
      <c r="FZ42">
        <v>0</v>
      </c>
      <c r="GA42" t="s">
        <v>420</v>
      </c>
      <c r="GB42">
        <v>2.9805</v>
      </c>
      <c r="GC42">
        <v>2.70615</v>
      </c>
      <c r="GD42">
        <v>0.214855</v>
      </c>
      <c r="GE42">
        <v>0.214293</v>
      </c>
      <c r="GF42">
        <v>0.0876942</v>
      </c>
      <c r="GG42">
        <v>0.0596161</v>
      </c>
      <c r="GH42">
        <v>24779.8</v>
      </c>
      <c r="GI42">
        <v>24852.6</v>
      </c>
      <c r="GJ42">
        <v>29347.5</v>
      </c>
      <c r="GK42">
        <v>29262.8</v>
      </c>
      <c r="GL42">
        <v>35454.8</v>
      </c>
      <c r="GM42">
        <v>36655</v>
      </c>
      <c r="GN42">
        <v>41308.6</v>
      </c>
      <c r="GO42">
        <v>41767.6</v>
      </c>
      <c r="GP42">
        <v>1.95823</v>
      </c>
      <c r="GQ42">
        <v>1.849</v>
      </c>
      <c r="GR42">
        <v>-0.0266209</v>
      </c>
      <c r="GS42">
        <v>0</v>
      </c>
      <c r="GT42">
        <v>25.4335</v>
      </c>
      <c r="GU42">
        <v>999.9</v>
      </c>
      <c r="GV42">
        <v>31.9</v>
      </c>
      <c r="GW42">
        <v>34.2</v>
      </c>
      <c r="GX42">
        <v>19.1633</v>
      </c>
      <c r="GY42">
        <v>62.6474</v>
      </c>
      <c r="GZ42">
        <v>35.02</v>
      </c>
      <c r="HA42">
        <v>1</v>
      </c>
      <c r="HB42">
        <v>0.101321</v>
      </c>
      <c r="HC42">
        <v>2.13739</v>
      </c>
      <c r="HD42">
        <v>20.3207</v>
      </c>
      <c r="HE42">
        <v>5.21789</v>
      </c>
      <c r="HF42">
        <v>12.0099</v>
      </c>
      <c r="HG42">
        <v>4.9887</v>
      </c>
      <c r="HH42">
        <v>3.28865</v>
      </c>
      <c r="HI42">
        <v>992.7</v>
      </c>
      <c r="HJ42">
        <v>9518.4</v>
      </c>
      <c r="HK42">
        <v>5139.4</v>
      </c>
      <c r="HL42">
        <v>24.8</v>
      </c>
      <c r="HM42">
        <v>1.86752</v>
      </c>
      <c r="HN42">
        <v>1.86646</v>
      </c>
      <c r="HO42">
        <v>1.866</v>
      </c>
      <c r="HP42">
        <v>1.86584</v>
      </c>
      <c r="HQ42">
        <v>1.8677</v>
      </c>
      <c r="HR42">
        <v>1.87022</v>
      </c>
      <c r="HS42">
        <v>1.8689</v>
      </c>
      <c r="HT42">
        <v>1.87024</v>
      </c>
      <c r="HU42">
        <v>0</v>
      </c>
      <c r="HV42">
        <v>0</v>
      </c>
      <c r="HW42">
        <v>0</v>
      </c>
      <c r="HX42">
        <v>0</v>
      </c>
      <c r="HY42" t="s">
        <v>421</v>
      </c>
      <c r="HZ42" t="s">
        <v>422</v>
      </c>
      <c r="IA42" t="s">
        <v>423</v>
      </c>
      <c r="IB42" t="s">
        <v>423</v>
      </c>
      <c r="IC42" t="s">
        <v>423</v>
      </c>
      <c r="ID42" t="s">
        <v>423</v>
      </c>
      <c r="IE42">
        <v>0</v>
      </c>
      <c r="IF42">
        <v>100</v>
      </c>
      <c r="IG42">
        <v>100</v>
      </c>
      <c r="IH42">
        <v>-2.81</v>
      </c>
      <c r="II42">
        <v>0.0205</v>
      </c>
      <c r="IJ42">
        <v>-0.2164499368582429</v>
      </c>
      <c r="IK42">
        <v>-0.002077099775823331</v>
      </c>
      <c r="IL42">
        <v>4.593143279902166E-07</v>
      </c>
      <c r="IM42">
        <v>-1.865383991892071E-10</v>
      </c>
      <c r="IN42">
        <v>-0.06087574426827484</v>
      </c>
      <c r="IO42">
        <v>-0.01129461987421345</v>
      </c>
      <c r="IP42">
        <v>0.00116580895745559</v>
      </c>
      <c r="IQ42">
        <v>-1.679085872906199E-05</v>
      </c>
      <c r="IR42">
        <v>2</v>
      </c>
      <c r="IS42">
        <v>2290</v>
      </c>
      <c r="IT42">
        <v>0</v>
      </c>
      <c r="IU42">
        <v>32</v>
      </c>
      <c r="IV42">
        <v>3.5</v>
      </c>
      <c r="IW42">
        <v>3.2</v>
      </c>
      <c r="IX42">
        <v>2.79541</v>
      </c>
      <c r="IY42">
        <v>2.1875</v>
      </c>
      <c r="IZ42">
        <v>1.39648</v>
      </c>
      <c r="JA42">
        <v>2.35718</v>
      </c>
      <c r="JB42">
        <v>1.49536</v>
      </c>
      <c r="JC42">
        <v>2.37183</v>
      </c>
      <c r="JD42">
        <v>38.4034</v>
      </c>
      <c r="JE42">
        <v>24.0437</v>
      </c>
      <c r="JF42">
        <v>18</v>
      </c>
      <c r="JG42">
        <v>512.424</v>
      </c>
      <c r="JH42">
        <v>427.844</v>
      </c>
      <c r="JI42">
        <v>22.5129</v>
      </c>
      <c r="JJ42">
        <v>28.6123</v>
      </c>
      <c r="JK42">
        <v>30</v>
      </c>
      <c r="JL42">
        <v>28.5824</v>
      </c>
      <c r="JM42">
        <v>28.5219</v>
      </c>
      <c r="JN42">
        <v>55.8259</v>
      </c>
      <c r="JO42">
        <v>41.2782</v>
      </c>
      <c r="JP42">
        <v>0</v>
      </c>
      <c r="JQ42">
        <v>22.5144</v>
      </c>
      <c r="JR42">
        <v>1437.86</v>
      </c>
      <c r="JS42">
        <v>11.0797</v>
      </c>
      <c r="JT42">
        <v>100.317</v>
      </c>
      <c r="JU42">
        <v>100.245</v>
      </c>
    </row>
    <row r="43" spans="1:281">
      <c r="A43">
        <v>27</v>
      </c>
      <c r="B43">
        <v>1651864452.6</v>
      </c>
      <c r="C43">
        <v>232</v>
      </c>
      <c r="D43" t="s">
        <v>474</v>
      </c>
      <c r="E43" t="s">
        <v>475</v>
      </c>
      <c r="F43">
        <v>2</v>
      </c>
      <c r="G43" t="s">
        <v>413</v>
      </c>
      <c r="H43" t="s">
        <v>414</v>
      </c>
      <c r="I43">
        <v>1651864451.6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1478.24094581465</v>
      </c>
      <c r="AK43">
        <v>1460.728848484848</v>
      </c>
      <c r="AL43">
        <v>-3.280540681732433</v>
      </c>
      <c r="AM43">
        <v>66.38192812717227</v>
      </c>
      <c r="AN43">
        <f>(AP43 - AO43 + DI43*1E3/(8.314*(DK43+273.15)) * AR43/DH43 * AQ43) * DH43/(100*CV43) * 1000/(1000 - AP43)</f>
        <v>0</v>
      </c>
      <c r="AO43">
        <v>11.03372015449875</v>
      </c>
      <c r="AP43">
        <v>18.35337205882352</v>
      </c>
      <c r="AQ43">
        <v>-3.855324597460065E-05</v>
      </c>
      <c r="AR43">
        <v>80.47224507511959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417</v>
      </c>
      <c r="AY43" t="s">
        <v>417</v>
      </c>
      <c r="AZ43">
        <v>0</v>
      </c>
      <c r="BA43">
        <v>0</v>
      </c>
      <c r="BB43">
        <f>1-AZ43/BA43</f>
        <v>0</v>
      </c>
      <c r="BC43">
        <v>0</v>
      </c>
      <c r="BD43" t="s">
        <v>417</v>
      </c>
      <c r="BE43" t="s">
        <v>417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417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1248</v>
      </c>
      <c r="CA43">
        <v>300</v>
      </c>
      <c r="CB43">
        <v>300</v>
      </c>
      <c r="CC43">
        <v>300</v>
      </c>
      <c r="CD43">
        <v>10442</v>
      </c>
      <c r="CE43">
        <v>1293.69</v>
      </c>
      <c r="CF43">
        <v>-0.00735246</v>
      </c>
      <c r="CG43">
        <v>0.5</v>
      </c>
      <c r="CH43" t="s">
        <v>417</v>
      </c>
      <c r="CI43" t="s">
        <v>417</v>
      </c>
      <c r="CJ43" t="s">
        <v>417</v>
      </c>
      <c r="CK43" t="s">
        <v>417</v>
      </c>
      <c r="CL43" t="s">
        <v>417</v>
      </c>
      <c r="CM43" t="s">
        <v>417</v>
      </c>
      <c r="CN43" t="s">
        <v>417</v>
      </c>
      <c r="CO43" t="s">
        <v>417</v>
      </c>
      <c r="CP43" t="s">
        <v>417</v>
      </c>
      <c r="CQ43" t="s">
        <v>417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418</v>
      </c>
      <c r="CY43">
        <v>2</v>
      </c>
      <c r="CZ43" t="b">
        <v>1</v>
      </c>
      <c r="DA43">
        <v>1651864451.6</v>
      </c>
      <c r="DB43">
        <v>1435.513333333333</v>
      </c>
      <c r="DC43">
        <v>1455.87</v>
      </c>
      <c r="DD43">
        <v>18.35406666666667</v>
      </c>
      <c r="DE43">
        <v>11.03376666666666</v>
      </c>
      <c r="DF43">
        <v>1438.326666666667</v>
      </c>
      <c r="DG43">
        <v>18.33366666666667</v>
      </c>
      <c r="DH43">
        <v>500.0253333333333</v>
      </c>
      <c r="DI43">
        <v>89.94256666666668</v>
      </c>
      <c r="DJ43">
        <v>0.1000058333333333</v>
      </c>
      <c r="DK43">
        <v>25.6857</v>
      </c>
      <c r="DL43">
        <v>24.99759999999999</v>
      </c>
      <c r="DM43">
        <v>999.9</v>
      </c>
      <c r="DN43">
        <v>0</v>
      </c>
      <c r="DO43">
        <v>0</v>
      </c>
      <c r="DP43">
        <v>9999.373333333335</v>
      </c>
      <c r="DQ43">
        <v>0</v>
      </c>
      <c r="DR43">
        <v>3.20383</v>
      </c>
      <c r="DS43">
        <v>-20.35213333333333</v>
      </c>
      <c r="DT43">
        <v>1462.356666666667</v>
      </c>
      <c r="DU43">
        <v>1472.11</v>
      </c>
      <c r="DV43">
        <v>7.320316666666667</v>
      </c>
      <c r="DW43">
        <v>1455.87</v>
      </c>
      <c r="DX43">
        <v>11.03376666666666</v>
      </c>
      <c r="DY43">
        <v>1.650813333333333</v>
      </c>
      <c r="DZ43">
        <v>0.992407</v>
      </c>
      <c r="EA43">
        <v>14.44146666666667</v>
      </c>
      <c r="EB43">
        <v>6.805373333333333</v>
      </c>
      <c r="EC43">
        <v>1500.013333333333</v>
      </c>
      <c r="ED43">
        <v>0.9730036666666667</v>
      </c>
      <c r="EE43">
        <v>0.0269967</v>
      </c>
      <c r="EF43">
        <v>0</v>
      </c>
      <c r="EG43">
        <v>1005.656666666667</v>
      </c>
      <c r="EH43">
        <v>5.00097</v>
      </c>
      <c r="EI43">
        <v>14913.96666666667</v>
      </c>
      <c r="EJ43">
        <v>12491.73333333333</v>
      </c>
      <c r="EK43">
        <v>37.25</v>
      </c>
      <c r="EL43">
        <v>38.687</v>
      </c>
      <c r="EM43">
        <v>37.625</v>
      </c>
      <c r="EN43">
        <v>38.437</v>
      </c>
      <c r="EO43">
        <v>38.125</v>
      </c>
      <c r="EP43">
        <v>1454.653333333333</v>
      </c>
      <c r="EQ43">
        <v>40.36</v>
      </c>
      <c r="ER43">
        <v>0</v>
      </c>
      <c r="ES43">
        <v>231.6000001430511</v>
      </c>
      <c r="ET43">
        <v>0</v>
      </c>
      <c r="EU43">
        <v>1010.320384615385</v>
      </c>
      <c r="EV43">
        <v>-42.48307692471145</v>
      </c>
      <c r="EW43">
        <v>-641.080341935146</v>
      </c>
      <c r="EX43">
        <v>14983.34615384615</v>
      </c>
      <c r="EY43">
        <v>15</v>
      </c>
      <c r="EZ43">
        <v>1651864261.1</v>
      </c>
      <c r="FA43" t="s">
        <v>419</v>
      </c>
      <c r="FB43">
        <v>1651864241.6</v>
      </c>
      <c r="FC43">
        <v>1651864261.1</v>
      </c>
      <c r="FD43">
        <v>7</v>
      </c>
      <c r="FE43">
        <v>0.438</v>
      </c>
      <c r="FF43">
        <v>0.002</v>
      </c>
      <c r="FG43">
        <v>-0.988</v>
      </c>
      <c r="FH43">
        <v>-0.066</v>
      </c>
      <c r="FI43">
        <v>400</v>
      </c>
      <c r="FJ43">
        <v>11</v>
      </c>
      <c r="FK43">
        <v>0.05</v>
      </c>
      <c r="FL43">
        <v>0.02</v>
      </c>
      <c r="FM43">
        <v>-21.14089512195122</v>
      </c>
      <c r="FN43">
        <v>4.046046689895447</v>
      </c>
      <c r="FO43">
        <v>0.4267657465345934</v>
      </c>
      <c r="FP43">
        <v>-1</v>
      </c>
      <c r="FQ43">
        <v>7.336136829268293</v>
      </c>
      <c r="FR43">
        <v>-0.0957453658536517</v>
      </c>
      <c r="FS43">
        <v>0.009487398172987162</v>
      </c>
      <c r="FT43">
        <v>-1</v>
      </c>
      <c r="FU43">
        <v>0</v>
      </c>
      <c r="FV43">
        <v>0</v>
      </c>
      <c r="FW43">
        <v>0</v>
      </c>
      <c r="FX43">
        <v>-1</v>
      </c>
      <c r="FY43">
        <v>0</v>
      </c>
      <c r="FZ43">
        <v>0</v>
      </c>
      <c r="GA43" t="s">
        <v>420</v>
      </c>
      <c r="GB43">
        <v>2.98063</v>
      </c>
      <c r="GC43">
        <v>2.7062</v>
      </c>
      <c r="GD43">
        <v>0.214273</v>
      </c>
      <c r="GE43">
        <v>0.213653</v>
      </c>
      <c r="GF43">
        <v>0.0876866</v>
      </c>
      <c r="GG43">
        <v>0.0596158</v>
      </c>
      <c r="GH43">
        <v>24798.4</v>
      </c>
      <c r="GI43">
        <v>24872.9</v>
      </c>
      <c r="GJ43">
        <v>29347.8</v>
      </c>
      <c r="GK43">
        <v>29262.9</v>
      </c>
      <c r="GL43">
        <v>35455.2</v>
      </c>
      <c r="GM43">
        <v>36655.2</v>
      </c>
      <c r="GN43">
        <v>41308.8</v>
      </c>
      <c r="GO43">
        <v>41767.8</v>
      </c>
      <c r="GP43">
        <v>1.95833</v>
      </c>
      <c r="GQ43">
        <v>1.849</v>
      </c>
      <c r="GR43">
        <v>-0.0266135</v>
      </c>
      <c r="GS43">
        <v>0</v>
      </c>
      <c r="GT43">
        <v>25.4324</v>
      </c>
      <c r="GU43">
        <v>999.9</v>
      </c>
      <c r="GV43">
        <v>31.9</v>
      </c>
      <c r="GW43">
        <v>34.2</v>
      </c>
      <c r="GX43">
        <v>19.163</v>
      </c>
      <c r="GY43">
        <v>62.1774</v>
      </c>
      <c r="GZ43">
        <v>34.8277</v>
      </c>
      <c r="HA43">
        <v>1</v>
      </c>
      <c r="HB43">
        <v>0.101194</v>
      </c>
      <c r="HC43">
        <v>2.13667</v>
      </c>
      <c r="HD43">
        <v>20.3207</v>
      </c>
      <c r="HE43">
        <v>5.21774</v>
      </c>
      <c r="HF43">
        <v>12.0099</v>
      </c>
      <c r="HG43">
        <v>4.98875</v>
      </c>
      <c r="HH43">
        <v>3.28865</v>
      </c>
      <c r="HI43">
        <v>992.7</v>
      </c>
      <c r="HJ43">
        <v>9518.4</v>
      </c>
      <c r="HK43">
        <v>5139.4</v>
      </c>
      <c r="HL43">
        <v>24.8</v>
      </c>
      <c r="HM43">
        <v>1.86752</v>
      </c>
      <c r="HN43">
        <v>1.86646</v>
      </c>
      <c r="HO43">
        <v>1.866</v>
      </c>
      <c r="HP43">
        <v>1.86584</v>
      </c>
      <c r="HQ43">
        <v>1.86769</v>
      </c>
      <c r="HR43">
        <v>1.87021</v>
      </c>
      <c r="HS43">
        <v>1.86888</v>
      </c>
      <c r="HT43">
        <v>1.87025</v>
      </c>
      <c r="HU43">
        <v>0</v>
      </c>
      <c r="HV43">
        <v>0</v>
      </c>
      <c r="HW43">
        <v>0</v>
      </c>
      <c r="HX43">
        <v>0</v>
      </c>
      <c r="HY43" t="s">
        <v>421</v>
      </c>
      <c r="HZ43" t="s">
        <v>422</v>
      </c>
      <c r="IA43" t="s">
        <v>423</v>
      </c>
      <c r="IB43" t="s">
        <v>423</v>
      </c>
      <c r="IC43" t="s">
        <v>423</v>
      </c>
      <c r="ID43" t="s">
        <v>423</v>
      </c>
      <c r="IE43">
        <v>0</v>
      </c>
      <c r="IF43">
        <v>100</v>
      </c>
      <c r="IG43">
        <v>100</v>
      </c>
      <c r="IH43">
        <v>-2.8</v>
      </c>
      <c r="II43">
        <v>0.0204</v>
      </c>
      <c r="IJ43">
        <v>-0.2164499368582429</v>
      </c>
      <c r="IK43">
        <v>-0.002077099775823331</v>
      </c>
      <c r="IL43">
        <v>4.593143279902166E-07</v>
      </c>
      <c r="IM43">
        <v>-1.865383991892071E-10</v>
      </c>
      <c r="IN43">
        <v>-0.06087574426827484</v>
      </c>
      <c r="IO43">
        <v>-0.01129461987421345</v>
      </c>
      <c r="IP43">
        <v>0.00116580895745559</v>
      </c>
      <c r="IQ43">
        <v>-1.679085872906199E-05</v>
      </c>
      <c r="IR43">
        <v>2</v>
      </c>
      <c r="IS43">
        <v>2290</v>
      </c>
      <c r="IT43">
        <v>0</v>
      </c>
      <c r="IU43">
        <v>32</v>
      </c>
      <c r="IV43">
        <v>3.5</v>
      </c>
      <c r="IW43">
        <v>3.2</v>
      </c>
      <c r="IX43">
        <v>2.78564</v>
      </c>
      <c r="IY43">
        <v>2.19116</v>
      </c>
      <c r="IZ43">
        <v>1.39648</v>
      </c>
      <c r="JA43">
        <v>2.35596</v>
      </c>
      <c r="JB43">
        <v>1.49536</v>
      </c>
      <c r="JC43">
        <v>2.31689</v>
      </c>
      <c r="JD43">
        <v>38.4034</v>
      </c>
      <c r="JE43">
        <v>24.035</v>
      </c>
      <c r="JF43">
        <v>18</v>
      </c>
      <c r="JG43">
        <v>512.5</v>
      </c>
      <c r="JH43">
        <v>427.843</v>
      </c>
      <c r="JI43">
        <v>22.5139</v>
      </c>
      <c r="JJ43">
        <v>28.6135</v>
      </c>
      <c r="JK43">
        <v>30.0001</v>
      </c>
      <c r="JL43">
        <v>28.5836</v>
      </c>
      <c r="JM43">
        <v>28.5219</v>
      </c>
      <c r="JN43">
        <v>55.7172</v>
      </c>
      <c r="JO43">
        <v>41.2782</v>
      </c>
      <c r="JP43">
        <v>0</v>
      </c>
      <c r="JQ43">
        <v>22.5144</v>
      </c>
      <c r="JR43">
        <v>1437.86</v>
      </c>
      <c r="JS43">
        <v>11.0869</v>
      </c>
      <c r="JT43">
        <v>100.317</v>
      </c>
      <c r="JU43">
        <v>100.245</v>
      </c>
    </row>
    <row r="44" spans="1:281">
      <c r="A44">
        <v>28</v>
      </c>
      <c r="B44">
        <v>1651864454.6</v>
      </c>
      <c r="C44">
        <v>234</v>
      </c>
      <c r="D44" t="s">
        <v>476</v>
      </c>
      <c r="E44" t="s">
        <v>477</v>
      </c>
      <c r="F44">
        <v>2</v>
      </c>
      <c r="G44" t="s">
        <v>413</v>
      </c>
      <c r="H44" t="s">
        <v>414</v>
      </c>
      <c r="I44">
        <v>1651864453.225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1471.266254755153</v>
      </c>
      <c r="AK44">
        <v>1454.084545454545</v>
      </c>
      <c r="AL44">
        <v>-3.303644859743984</v>
      </c>
      <c r="AM44">
        <v>66.38192812717227</v>
      </c>
      <c r="AN44">
        <f>(AP44 - AO44 + DI44*1E3/(8.314*(DK44+273.15)) * AR44/DH44 * AQ44) * DH44/(100*CV44) * 1000/(1000 - AP44)</f>
        <v>0</v>
      </c>
      <c r="AO44">
        <v>11.03346665143403</v>
      </c>
      <c r="AP44">
        <v>18.34851176470588</v>
      </c>
      <c r="AQ44">
        <v>-2.481410621398021E-05</v>
      </c>
      <c r="AR44">
        <v>80.47224507511959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417</v>
      </c>
      <c r="AY44" t="s">
        <v>417</v>
      </c>
      <c r="AZ44">
        <v>0</v>
      </c>
      <c r="BA44">
        <v>0</v>
      </c>
      <c r="BB44">
        <f>1-AZ44/BA44</f>
        <v>0</v>
      </c>
      <c r="BC44">
        <v>0</v>
      </c>
      <c r="BD44" t="s">
        <v>417</v>
      </c>
      <c r="BE44" t="s">
        <v>417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417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1248</v>
      </c>
      <c r="CA44">
        <v>300</v>
      </c>
      <c r="CB44">
        <v>300</v>
      </c>
      <c r="CC44">
        <v>300</v>
      </c>
      <c r="CD44">
        <v>10442</v>
      </c>
      <c r="CE44">
        <v>1293.69</v>
      </c>
      <c r="CF44">
        <v>-0.00735246</v>
      </c>
      <c r="CG44">
        <v>0.5</v>
      </c>
      <c r="CH44" t="s">
        <v>417</v>
      </c>
      <c r="CI44" t="s">
        <v>417</v>
      </c>
      <c r="CJ44" t="s">
        <v>417</v>
      </c>
      <c r="CK44" t="s">
        <v>417</v>
      </c>
      <c r="CL44" t="s">
        <v>417</v>
      </c>
      <c r="CM44" t="s">
        <v>417</v>
      </c>
      <c r="CN44" t="s">
        <v>417</v>
      </c>
      <c r="CO44" t="s">
        <v>417</v>
      </c>
      <c r="CP44" t="s">
        <v>417</v>
      </c>
      <c r="CQ44" t="s">
        <v>417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418</v>
      </c>
      <c r="CY44">
        <v>2</v>
      </c>
      <c r="CZ44" t="b">
        <v>1</v>
      </c>
      <c r="DA44">
        <v>1651864453.225</v>
      </c>
      <c r="DB44">
        <v>1430.265</v>
      </c>
      <c r="DC44">
        <v>1450.225</v>
      </c>
      <c r="DD44">
        <v>18.350475</v>
      </c>
      <c r="DE44">
        <v>11.033525</v>
      </c>
      <c r="DF44">
        <v>1433.065</v>
      </c>
      <c r="DG44">
        <v>18.3301</v>
      </c>
      <c r="DH44">
        <v>500.03275</v>
      </c>
      <c r="DI44">
        <v>89.94215</v>
      </c>
      <c r="DJ44">
        <v>0.1000575</v>
      </c>
      <c r="DK44">
        <v>25.68525</v>
      </c>
      <c r="DL44">
        <v>24.996725</v>
      </c>
      <c r="DM44">
        <v>999.9</v>
      </c>
      <c r="DN44">
        <v>0</v>
      </c>
      <c r="DO44">
        <v>0</v>
      </c>
      <c r="DP44">
        <v>9989.384999999998</v>
      </c>
      <c r="DQ44">
        <v>0</v>
      </c>
      <c r="DR44">
        <v>3.20383</v>
      </c>
      <c r="DS44">
        <v>-19.960125</v>
      </c>
      <c r="DT44">
        <v>1457.0025</v>
      </c>
      <c r="DU44">
        <v>1466.405</v>
      </c>
      <c r="DV44">
        <v>7.316957499999999</v>
      </c>
      <c r="DW44">
        <v>1450.225</v>
      </c>
      <c r="DX44">
        <v>11.033525</v>
      </c>
      <c r="DY44">
        <v>1.650485</v>
      </c>
      <c r="DZ44">
        <v>0.9923814999999999</v>
      </c>
      <c r="EA44">
        <v>14.4384</v>
      </c>
      <c r="EB44">
        <v>6.8050025</v>
      </c>
      <c r="EC44">
        <v>1499.9875</v>
      </c>
      <c r="ED44">
        <v>0.97300325</v>
      </c>
      <c r="EE44">
        <v>0.02699715</v>
      </c>
      <c r="EF44">
        <v>0</v>
      </c>
      <c r="EG44">
        <v>1004.315</v>
      </c>
      <c r="EH44">
        <v>5.00097</v>
      </c>
      <c r="EI44">
        <v>14893.2</v>
      </c>
      <c r="EJ44">
        <v>12491.525</v>
      </c>
      <c r="EK44">
        <v>37.25</v>
      </c>
      <c r="EL44">
        <v>38.687</v>
      </c>
      <c r="EM44">
        <v>37.625</v>
      </c>
      <c r="EN44">
        <v>38.437</v>
      </c>
      <c r="EO44">
        <v>38.125</v>
      </c>
      <c r="EP44">
        <v>1454.6275</v>
      </c>
      <c r="EQ44">
        <v>40.36</v>
      </c>
      <c r="ER44">
        <v>0</v>
      </c>
      <c r="ES44">
        <v>233.4000000953674</v>
      </c>
      <c r="ET44">
        <v>0</v>
      </c>
      <c r="EU44">
        <v>1008.8224</v>
      </c>
      <c r="EV44">
        <v>-45.0069230675684</v>
      </c>
      <c r="EW44">
        <v>-670.3153845988792</v>
      </c>
      <c r="EX44">
        <v>14960.612</v>
      </c>
      <c r="EY44">
        <v>15</v>
      </c>
      <c r="EZ44">
        <v>1651864261.1</v>
      </c>
      <c r="FA44" t="s">
        <v>419</v>
      </c>
      <c r="FB44">
        <v>1651864241.6</v>
      </c>
      <c r="FC44">
        <v>1651864261.1</v>
      </c>
      <c r="FD44">
        <v>7</v>
      </c>
      <c r="FE44">
        <v>0.438</v>
      </c>
      <c r="FF44">
        <v>0.002</v>
      </c>
      <c r="FG44">
        <v>-0.988</v>
      </c>
      <c r="FH44">
        <v>-0.066</v>
      </c>
      <c r="FI44">
        <v>400</v>
      </c>
      <c r="FJ44">
        <v>11</v>
      </c>
      <c r="FK44">
        <v>0.05</v>
      </c>
      <c r="FL44">
        <v>0.02</v>
      </c>
      <c r="FM44">
        <v>-20.8997025</v>
      </c>
      <c r="FN44">
        <v>4.747608630394002</v>
      </c>
      <c r="FO44">
        <v>0.4944959987135892</v>
      </c>
      <c r="FP44">
        <v>-1</v>
      </c>
      <c r="FQ44">
        <v>7.331741500000001</v>
      </c>
      <c r="FR44">
        <v>-0.09759512195123068</v>
      </c>
      <c r="FS44">
        <v>0.009439165098142889</v>
      </c>
      <c r="FT44">
        <v>-1</v>
      </c>
      <c r="FU44">
        <v>0</v>
      </c>
      <c r="FV44">
        <v>0</v>
      </c>
      <c r="FW44">
        <v>0</v>
      </c>
      <c r="FX44">
        <v>-1</v>
      </c>
      <c r="FY44">
        <v>0</v>
      </c>
      <c r="FZ44">
        <v>0</v>
      </c>
      <c r="GA44" t="s">
        <v>420</v>
      </c>
      <c r="GB44">
        <v>2.98056</v>
      </c>
      <c r="GC44">
        <v>2.70603</v>
      </c>
      <c r="GD44">
        <v>0.21367</v>
      </c>
      <c r="GE44">
        <v>0.213042</v>
      </c>
      <c r="GF44">
        <v>0.0876624</v>
      </c>
      <c r="GG44">
        <v>0.0596109</v>
      </c>
      <c r="GH44">
        <v>24817.2</v>
      </c>
      <c r="GI44">
        <v>24892.2</v>
      </c>
      <c r="GJ44">
        <v>29347.5</v>
      </c>
      <c r="GK44">
        <v>29262.8</v>
      </c>
      <c r="GL44">
        <v>35455.9</v>
      </c>
      <c r="GM44">
        <v>36655.2</v>
      </c>
      <c r="GN44">
        <v>41308.5</v>
      </c>
      <c r="GO44">
        <v>41767.6</v>
      </c>
      <c r="GP44">
        <v>1.95847</v>
      </c>
      <c r="GQ44">
        <v>1.84895</v>
      </c>
      <c r="GR44">
        <v>-0.0264496</v>
      </c>
      <c r="GS44">
        <v>0</v>
      </c>
      <c r="GT44">
        <v>25.4315</v>
      </c>
      <c r="GU44">
        <v>999.9</v>
      </c>
      <c r="GV44">
        <v>31.9</v>
      </c>
      <c r="GW44">
        <v>34.2</v>
      </c>
      <c r="GX44">
        <v>19.1624</v>
      </c>
      <c r="GY44">
        <v>62.6074</v>
      </c>
      <c r="GZ44">
        <v>35.1963</v>
      </c>
      <c r="HA44">
        <v>1</v>
      </c>
      <c r="HB44">
        <v>0.101275</v>
      </c>
      <c r="HC44">
        <v>2.14002</v>
      </c>
      <c r="HD44">
        <v>20.3207</v>
      </c>
      <c r="HE44">
        <v>5.21774</v>
      </c>
      <c r="HF44">
        <v>12.0099</v>
      </c>
      <c r="HG44">
        <v>4.989</v>
      </c>
      <c r="HH44">
        <v>3.28858</v>
      </c>
      <c r="HI44">
        <v>992.7</v>
      </c>
      <c r="HJ44">
        <v>9518.4</v>
      </c>
      <c r="HK44">
        <v>5139.4</v>
      </c>
      <c r="HL44">
        <v>24.8</v>
      </c>
      <c r="HM44">
        <v>1.86751</v>
      </c>
      <c r="HN44">
        <v>1.86646</v>
      </c>
      <c r="HO44">
        <v>1.866</v>
      </c>
      <c r="HP44">
        <v>1.86584</v>
      </c>
      <c r="HQ44">
        <v>1.86769</v>
      </c>
      <c r="HR44">
        <v>1.87021</v>
      </c>
      <c r="HS44">
        <v>1.86887</v>
      </c>
      <c r="HT44">
        <v>1.87024</v>
      </c>
      <c r="HU44">
        <v>0</v>
      </c>
      <c r="HV44">
        <v>0</v>
      </c>
      <c r="HW44">
        <v>0</v>
      </c>
      <c r="HX44">
        <v>0</v>
      </c>
      <c r="HY44" t="s">
        <v>421</v>
      </c>
      <c r="HZ44" t="s">
        <v>422</v>
      </c>
      <c r="IA44" t="s">
        <v>423</v>
      </c>
      <c r="IB44" t="s">
        <v>423</v>
      </c>
      <c r="IC44" t="s">
        <v>423</v>
      </c>
      <c r="ID44" t="s">
        <v>423</v>
      </c>
      <c r="IE44">
        <v>0</v>
      </c>
      <c r="IF44">
        <v>100</v>
      </c>
      <c r="IG44">
        <v>100</v>
      </c>
      <c r="IH44">
        <v>-2.79</v>
      </c>
      <c r="II44">
        <v>0.0204</v>
      </c>
      <c r="IJ44">
        <v>-0.2164499368582429</v>
      </c>
      <c r="IK44">
        <v>-0.002077099775823331</v>
      </c>
      <c r="IL44">
        <v>4.593143279902166E-07</v>
      </c>
      <c r="IM44">
        <v>-1.865383991892071E-10</v>
      </c>
      <c r="IN44">
        <v>-0.06087574426827484</v>
      </c>
      <c r="IO44">
        <v>-0.01129461987421345</v>
      </c>
      <c r="IP44">
        <v>0.00116580895745559</v>
      </c>
      <c r="IQ44">
        <v>-1.679085872906199E-05</v>
      </c>
      <c r="IR44">
        <v>2</v>
      </c>
      <c r="IS44">
        <v>2290</v>
      </c>
      <c r="IT44">
        <v>0</v>
      </c>
      <c r="IU44">
        <v>32</v>
      </c>
      <c r="IV44">
        <v>3.5</v>
      </c>
      <c r="IW44">
        <v>3.2</v>
      </c>
      <c r="IX44">
        <v>2.77588</v>
      </c>
      <c r="IY44">
        <v>2.18506</v>
      </c>
      <c r="IZ44">
        <v>1.39648</v>
      </c>
      <c r="JA44">
        <v>2.35596</v>
      </c>
      <c r="JB44">
        <v>1.49536</v>
      </c>
      <c r="JC44">
        <v>2.34009</v>
      </c>
      <c r="JD44">
        <v>38.4034</v>
      </c>
      <c r="JE44">
        <v>24.035</v>
      </c>
      <c r="JF44">
        <v>18</v>
      </c>
      <c r="JG44">
        <v>512.6</v>
      </c>
      <c r="JH44">
        <v>427.815</v>
      </c>
      <c r="JI44">
        <v>22.5151</v>
      </c>
      <c r="JJ44">
        <v>28.6144</v>
      </c>
      <c r="JK44">
        <v>30.0002</v>
      </c>
      <c r="JL44">
        <v>28.5838</v>
      </c>
      <c r="JM44">
        <v>28.5221</v>
      </c>
      <c r="JN44">
        <v>55.5356</v>
      </c>
      <c r="JO44">
        <v>41.2782</v>
      </c>
      <c r="JP44">
        <v>0</v>
      </c>
      <c r="JQ44">
        <v>22.5166</v>
      </c>
      <c r="JR44">
        <v>1431.16</v>
      </c>
      <c r="JS44">
        <v>11.0918</v>
      </c>
      <c r="JT44">
        <v>100.317</v>
      </c>
      <c r="JU44">
        <v>100.245</v>
      </c>
    </row>
    <row r="45" spans="1:281">
      <c r="A45">
        <v>29</v>
      </c>
      <c r="B45">
        <v>1651864456.6</v>
      </c>
      <c r="C45">
        <v>236</v>
      </c>
      <c r="D45" t="s">
        <v>478</v>
      </c>
      <c r="E45" t="s">
        <v>479</v>
      </c>
      <c r="F45">
        <v>2</v>
      </c>
      <c r="G45" t="s">
        <v>413</v>
      </c>
      <c r="H45" t="s">
        <v>414</v>
      </c>
      <c r="I45">
        <v>1651864455.6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1464.281584552787</v>
      </c>
      <c r="AK45">
        <v>1447.287393939393</v>
      </c>
      <c r="AL45">
        <v>-3.376190214335138</v>
      </c>
      <c r="AM45">
        <v>66.38192812717227</v>
      </c>
      <c r="AN45">
        <f>(AP45 - AO45 + DI45*1E3/(8.314*(DK45+273.15)) * AR45/DH45 * AQ45) * DH45/(100*CV45) * 1000/(1000 - AP45)</f>
        <v>0</v>
      </c>
      <c r="AO45">
        <v>11.03375661594971</v>
      </c>
      <c r="AP45">
        <v>18.33997529411765</v>
      </c>
      <c r="AQ45">
        <v>-1.488343653371995E-05</v>
      </c>
      <c r="AR45">
        <v>80.47224507511959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417</v>
      </c>
      <c r="AY45" t="s">
        <v>417</v>
      </c>
      <c r="AZ45">
        <v>0</v>
      </c>
      <c r="BA45">
        <v>0</v>
      </c>
      <c r="BB45">
        <f>1-AZ45/BA45</f>
        <v>0</v>
      </c>
      <c r="BC45">
        <v>0</v>
      </c>
      <c r="BD45" t="s">
        <v>417</v>
      </c>
      <c r="BE45" t="s">
        <v>417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417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1248</v>
      </c>
      <c r="CA45">
        <v>300</v>
      </c>
      <c r="CB45">
        <v>300</v>
      </c>
      <c r="CC45">
        <v>300</v>
      </c>
      <c r="CD45">
        <v>10442</v>
      </c>
      <c r="CE45">
        <v>1293.69</v>
      </c>
      <c r="CF45">
        <v>-0.00735246</v>
      </c>
      <c r="CG45">
        <v>0.5</v>
      </c>
      <c r="CH45" t="s">
        <v>417</v>
      </c>
      <c r="CI45" t="s">
        <v>417</v>
      </c>
      <c r="CJ45" t="s">
        <v>417</v>
      </c>
      <c r="CK45" t="s">
        <v>417</v>
      </c>
      <c r="CL45" t="s">
        <v>417</v>
      </c>
      <c r="CM45" t="s">
        <v>417</v>
      </c>
      <c r="CN45" t="s">
        <v>417</v>
      </c>
      <c r="CO45" t="s">
        <v>417</v>
      </c>
      <c r="CP45" t="s">
        <v>417</v>
      </c>
      <c r="CQ45" t="s">
        <v>417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418</v>
      </c>
      <c r="CY45">
        <v>2</v>
      </c>
      <c r="CZ45" t="b">
        <v>1</v>
      </c>
      <c r="DA45">
        <v>1651864455.6</v>
      </c>
      <c r="DB45">
        <v>1422.42</v>
      </c>
      <c r="DC45">
        <v>1442.393333333333</v>
      </c>
      <c r="DD45">
        <v>18.34196666666667</v>
      </c>
      <c r="DE45">
        <v>11.0324</v>
      </c>
      <c r="DF45">
        <v>1425.2</v>
      </c>
      <c r="DG45">
        <v>18.32173333333333</v>
      </c>
      <c r="DH45">
        <v>500.0026666666667</v>
      </c>
      <c r="DI45">
        <v>89.94083333333333</v>
      </c>
      <c r="DJ45">
        <v>0.09989203333333334</v>
      </c>
      <c r="DK45">
        <v>25.68443333333333</v>
      </c>
      <c r="DL45">
        <v>24.9957</v>
      </c>
      <c r="DM45">
        <v>999.9</v>
      </c>
      <c r="DN45">
        <v>0</v>
      </c>
      <c r="DO45">
        <v>0</v>
      </c>
      <c r="DP45">
        <v>10000</v>
      </c>
      <c r="DQ45">
        <v>0</v>
      </c>
      <c r="DR45">
        <v>3.20383</v>
      </c>
      <c r="DS45">
        <v>-19.9762</v>
      </c>
      <c r="DT45">
        <v>1448.993333333334</v>
      </c>
      <c r="DU45">
        <v>1458.483333333333</v>
      </c>
      <c r="DV45">
        <v>7.309586666666665</v>
      </c>
      <c r="DW45">
        <v>1442.393333333333</v>
      </c>
      <c r="DX45">
        <v>11.0324</v>
      </c>
      <c r="DY45">
        <v>1.649693333333333</v>
      </c>
      <c r="DZ45">
        <v>0.9922639999999999</v>
      </c>
      <c r="EA45">
        <v>14.431</v>
      </c>
      <c r="EB45">
        <v>6.80328</v>
      </c>
      <c r="EC45">
        <v>1500.003333333333</v>
      </c>
      <c r="ED45">
        <v>0.9730036666666667</v>
      </c>
      <c r="EE45">
        <v>0.0269967</v>
      </c>
      <c r="EF45">
        <v>0</v>
      </c>
      <c r="EG45">
        <v>1002.063333333333</v>
      </c>
      <c r="EH45">
        <v>5.00097</v>
      </c>
      <c r="EI45">
        <v>14861.1</v>
      </c>
      <c r="EJ45">
        <v>12491.63333333333</v>
      </c>
      <c r="EK45">
        <v>37.25</v>
      </c>
      <c r="EL45">
        <v>38.687</v>
      </c>
      <c r="EM45">
        <v>37.625</v>
      </c>
      <c r="EN45">
        <v>38.437</v>
      </c>
      <c r="EO45">
        <v>38.125</v>
      </c>
      <c r="EP45">
        <v>1454.643333333333</v>
      </c>
      <c r="EQ45">
        <v>40.36</v>
      </c>
      <c r="ER45">
        <v>0</v>
      </c>
      <c r="ES45">
        <v>235.2000000476837</v>
      </c>
      <c r="ET45">
        <v>0</v>
      </c>
      <c r="EU45">
        <v>1007.665384615385</v>
      </c>
      <c r="EV45">
        <v>-46.6352136037658</v>
      </c>
      <c r="EW45">
        <v>-691.1521358268451</v>
      </c>
      <c r="EX45">
        <v>14943.5</v>
      </c>
      <c r="EY45">
        <v>15</v>
      </c>
      <c r="EZ45">
        <v>1651864261.1</v>
      </c>
      <c r="FA45" t="s">
        <v>419</v>
      </c>
      <c r="FB45">
        <v>1651864241.6</v>
      </c>
      <c r="FC45">
        <v>1651864261.1</v>
      </c>
      <c r="FD45">
        <v>7</v>
      </c>
      <c r="FE45">
        <v>0.438</v>
      </c>
      <c r="FF45">
        <v>0.002</v>
      </c>
      <c r="FG45">
        <v>-0.988</v>
      </c>
      <c r="FH45">
        <v>-0.066</v>
      </c>
      <c r="FI45">
        <v>400</v>
      </c>
      <c r="FJ45">
        <v>11</v>
      </c>
      <c r="FK45">
        <v>0.05</v>
      </c>
      <c r="FL45">
        <v>0.02</v>
      </c>
      <c r="FM45">
        <v>-20.797245</v>
      </c>
      <c r="FN45">
        <v>4.870957598499171</v>
      </c>
      <c r="FO45">
        <v>0.5084083181607083</v>
      </c>
      <c r="FP45">
        <v>-1</v>
      </c>
      <c r="FQ45">
        <v>7.33000725</v>
      </c>
      <c r="FR45">
        <v>-0.09973272045028944</v>
      </c>
      <c r="FS45">
        <v>0.009655265399640707</v>
      </c>
      <c r="FT45">
        <v>-1</v>
      </c>
      <c r="FU45">
        <v>0</v>
      </c>
      <c r="FV45">
        <v>0</v>
      </c>
      <c r="FW45">
        <v>0</v>
      </c>
      <c r="FX45">
        <v>-1</v>
      </c>
      <c r="FY45">
        <v>0</v>
      </c>
      <c r="FZ45">
        <v>0</v>
      </c>
      <c r="GA45" t="s">
        <v>420</v>
      </c>
      <c r="GB45">
        <v>2.98049</v>
      </c>
      <c r="GC45">
        <v>2.70603</v>
      </c>
      <c r="GD45">
        <v>0.213064</v>
      </c>
      <c r="GE45">
        <v>0.212486</v>
      </c>
      <c r="GF45">
        <v>0.0876382</v>
      </c>
      <c r="GG45">
        <v>0.0596094</v>
      </c>
      <c r="GH45">
        <v>24836.5</v>
      </c>
      <c r="GI45">
        <v>24909.7</v>
      </c>
      <c r="GJ45">
        <v>29347.6</v>
      </c>
      <c r="GK45">
        <v>29262.6</v>
      </c>
      <c r="GL45">
        <v>35456.7</v>
      </c>
      <c r="GM45">
        <v>36655.1</v>
      </c>
      <c r="GN45">
        <v>41308.3</v>
      </c>
      <c r="GO45">
        <v>41767.4</v>
      </c>
      <c r="GP45">
        <v>1.95825</v>
      </c>
      <c r="GQ45">
        <v>1.84888</v>
      </c>
      <c r="GR45">
        <v>-0.0267029</v>
      </c>
      <c r="GS45">
        <v>0</v>
      </c>
      <c r="GT45">
        <v>25.4308</v>
      </c>
      <c r="GU45">
        <v>999.9</v>
      </c>
      <c r="GV45">
        <v>31.9</v>
      </c>
      <c r="GW45">
        <v>34.2</v>
      </c>
      <c r="GX45">
        <v>19.1625</v>
      </c>
      <c r="GY45">
        <v>62.3174</v>
      </c>
      <c r="GZ45">
        <v>34.8638</v>
      </c>
      <c r="HA45">
        <v>1</v>
      </c>
      <c r="HB45">
        <v>0.101443</v>
      </c>
      <c r="HC45">
        <v>2.13987</v>
      </c>
      <c r="HD45">
        <v>20.3208</v>
      </c>
      <c r="HE45">
        <v>5.21729</v>
      </c>
      <c r="HF45">
        <v>12.0099</v>
      </c>
      <c r="HG45">
        <v>4.9891</v>
      </c>
      <c r="HH45">
        <v>3.2885</v>
      </c>
      <c r="HI45">
        <v>992.7</v>
      </c>
      <c r="HJ45">
        <v>9518.4</v>
      </c>
      <c r="HK45">
        <v>5139.4</v>
      </c>
      <c r="HL45">
        <v>24.8</v>
      </c>
      <c r="HM45">
        <v>1.8675</v>
      </c>
      <c r="HN45">
        <v>1.86647</v>
      </c>
      <c r="HO45">
        <v>1.866</v>
      </c>
      <c r="HP45">
        <v>1.86585</v>
      </c>
      <c r="HQ45">
        <v>1.86769</v>
      </c>
      <c r="HR45">
        <v>1.87022</v>
      </c>
      <c r="HS45">
        <v>1.86888</v>
      </c>
      <c r="HT45">
        <v>1.87026</v>
      </c>
      <c r="HU45">
        <v>0</v>
      </c>
      <c r="HV45">
        <v>0</v>
      </c>
      <c r="HW45">
        <v>0</v>
      </c>
      <c r="HX45">
        <v>0</v>
      </c>
      <c r="HY45" t="s">
        <v>421</v>
      </c>
      <c r="HZ45" t="s">
        <v>422</v>
      </c>
      <c r="IA45" t="s">
        <v>423</v>
      </c>
      <c r="IB45" t="s">
        <v>423</v>
      </c>
      <c r="IC45" t="s">
        <v>423</v>
      </c>
      <c r="ID45" t="s">
        <v>423</v>
      </c>
      <c r="IE45">
        <v>0</v>
      </c>
      <c r="IF45">
        <v>100</v>
      </c>
      <c r="IG45">
        <v>100</v>
      </c>
      <c r="IH45">
        <v>-2.78</v>
      </c>
      <c r="II45">
        <v>0.0202</v>
      </c>
      <c r="IJ45">
        <v>-0.2164499368582429</v>
      </c>
      <c r="IK45">
        <v>-0.002077099775823331</v>
      </c>
      <c r="IL45">
        <v>4.593143279902166E-07</v>
      </c>
      <c r="IM45">
        <v>-1.865383991892071E-10</v>
      </c>
      <c r="IN45">
        <v>-0.06087574426827484</v>
      </c>
      <c r="IO45">
        <v>-0.01129461987421345</v>
      </c>
      <c r="IP45">
        <v>0.00116580895745559</v>
      </c>
      <c r="IQ45">
        <v>-1.679085872906199E-05</v>
      </c>
      <c r="IR45">
        <v>2</v>
      </c>
      <c r="IS45">
        <v>2290</v>
      </c>
      <c r="IT45">
        <v>0</v>
      </c>
      <c r="IU45">
        <v>32</v>
      </c>
      <c r="IV45">
        <v>3.6</v>
      </c>
      <c r="IW45">
        <v>3.3</v>
      </c>
      <c r="IX45">
        <v>2.76733</v>
      </c>
      <c r="IY45">
        <v>2.18994</v>
      </c>
      <c r="IZ45">
        <v>1.39648</v>
      </c>
      <c r="JA45">
        <v>2.35596</v>
      </c>
      <c r="JB45">
        <v>1.49536</v>
      </c>
      <c r="JC45">
        <v>2.37305</v>
      </c>
      <c r="JD45">
        <v>38.4034</v>
      </c>
      <c r="JE45">
        <v>24.0437</v>
      </c>
      <c r="JF45">
        <v>18</v>
      </c>
      <c r="JG45">
        <v>512.454</v>
      </c>
      <c r="JH45">
        <v>427.779</v>
      </c>
      <c r="JI45">
        <v>22.516</v>
      </c>
      <c r="JJ45">
        <v>28.6144</v>
      </c>
      <c r="JK45">
        <v>30.0002</v>
      </c>
      <c r="JL45">
        <v>28.5838</v>
      </c>
      <c r="JM45">
        <v>28.5233</v>
      </c>
      <c r="JN45">
        <v>55.3447</v>
      </c>
      <c r="JO45">
        <v>41.2782</v>
      </c>
      <c r="JP45">
        <v>0</v>
      </c>
      <c r="JQ45">
        <v>22.5166</v>
      </c>
      <c r="JR45">
        <v>1424.48</v>
      </c>
      <c r="JS45">
        <v>11.1011</v>
      </c>
      <c r="JT45">
        <v>100.317</v>
      </c>
      <c r="JU45">
        <v>100.244</v>
      </c>
    </row>
    <row r="46" spans="1:281">
      <c r="A46">
        <v>30</v>
      </c>
      <c r="B46">
        <v>1651864458.6</v>
      </c>
      <c r="C46">
        <v>238</v>
      </c>
      <c r="D46" t="s">
        <v>480</v>
      </c>
      <c r="E46" t="s">
        <v>481</v>
      </c>
      <c r="F46">
        <v>2</v>
      </c>
      <c r="G46" t="s">
        <v>413</v>
      </c>
      <c r="H46" t="s">
        <v>414</v>
      </c>
      <c r="I46">
        <v>1651864457.225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1457.753631967687</v>
      </c>
      <c r="AK46">
        <v>1440.572</v>
      </c>
      <c r="AL46">
        <v>-3.371996976385364</v>
      </c>
      <c r="AM46">
        <v>66.38192812717227</v>
      </c>
      <c r="AN46">
        <f>(AP46 - AO46 + DI46*1E3/(8.314*(DK46+273.15)) * AR46/DH46 * AQ46) * DH46/(100*CV46) * 1000/(1000 - AP46)</f>
        <v>0</v>
      </c>
      <c r="AO46">
        <v>11.03317320395684</v>
      </c>
      <c r="AP46">
        <v>18.33367705882353</v>
      </c>
      <c r="AQ46">
        <v>-4.836527249467625E-05</v>
      </c>
      <c r="AR46">
        <v>80.47224507511959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417</v>
      </c>
      <c r="AY46" t="s">
        <v>417</v>
      </c>
      <c r="AZ46">
        <v>0</v>
      </c>
      <c r="BA46">
        <v>0</v>
      </c>
      <c r="BB46">
        <f>1-AZ46/BA46</f>
        <v>0</v>
      </c>
      <c r="BC46">
        <v>0</v>
      </c>
      <c r="BD46" t="s">
        <v>417</v>
      </c>
      <c r="BE46" t="s">
        <v>417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417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1248</v>
      </c>
      <c r="CA46">
        <v>300</v>
      </c>
      <c r="CB46">
        <v>300</v>
      </c>
      <c r="CC46">
        <v>300</v>
      </c>
      <c r="CD46">
        <v>10442</v>
      </c>
      <c r="CE46">
        <v>1293.69</v>
      </c>
      <c r="CF46">
        <v>-0.00735246</v>
      </c>
      <c r="CG46">
        <v>0.5</v>
      </c>
      <c r="CH46" t="s">
        <v>417</v>
      </c>
      <c r="CI46" t="s">
        <v>417</v>
      </c>
      <c r="CJ46" t="s">
        <v>417</v>
      </c>
      <c r="CK46" t="s">
        <v>417</v>
      </c>
      <c r="CL46" t="s">
        <v>417</v>
      </c>
      <c r="CM46" t="s">
        <v>417</v>
      </c>
      <c r="CN46" t="s">
        <v>417</v>
      </c>
      <c r="CO46" t="s">
        <v>417</v>
      </c>
      <c r="CP46" t="s">
        <v>417</v>
      </c>
      <c r="CQ46" t="s">
        <v>417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418</v>
      </c>
      <c r="CY46">
        <v>2</v>
      </c>
      <c r="CZ46" t="b">
        <v>1</v>
      </c>
      <c r="DA46">
        <v>1651864457.225</v>
      </c>
      <c r="DB46">
        <v>1417.045</v>
      </c>
      <c r="DC46">
        <v>1437.5225</v>
      </c>
      <c r="DD46">
        <v>18.3369</v>
      </c>
      <c r="DE46">
        <v>11.031825</v>
      </c>
      <c r="DF46">
        <v>1419.8175</v>
      </c>
      <c r="DG46">
        <v>18.316725</v>
      </c>
      <c r="DH46">
        <v>500.03475</v>
      </c>
      <c r="DI46">
        <v>89.941125</v>
      </c>
      <c r="DJ46">
        <v>0.0999303</v>
      </c>
      <c r="DK46">
        <v>25.6853</v>
      </c>
      <c r="DL46">
        <v>24.9942</v>
      </c>
      <c r="DM46">
        <v>999.9</v>
      </c>
      <c r="DN46">
        <v>0</v>
      </c>
      <c r="DO46">
        <v>0</v>
      </c>
      <c r="DP46">
        <v>9997.799999999999</v>
      </c>
      <c r="DQ46">
        <v>0</v>
      </c>
      <c r="DR46">
        <v>3.20383</v>
      </c>
      <c r="DS46">
        <v>-20.480875</v>
      </c>
      <c r="DT46">
        <v>1443.51</v>
      </c>
      <c r="DU46">
        <v>1453.5575</v>
      </c>
      <c r="DV46">
        <v>7.3050975</v>
      </c>
      <c r="DW46">
        <v>1437.5225</v>
      </c>
      <c r="DX46">
        <v>11.031825</v>
      </c>
      <c r="DY46">
        <v>1.649245</v>
      </c>
      <c r="DZ46">
        <v>0.99221475</v>
      </c>
      <c r="EA46">
        <v>14.426775</v>
      </c>
      <c r="EB46">
        <v>6.802560000000001</v>
      </c>
      <c r="EC46">
        <v>1499.975</v>
      </c>
      <c r="ED46">
        <v>0.9730032500000001</v>
      </c>
      <c r="EE46">
        <v>0.02699715</v>
      </c>
      <c r="EF46">
        <v>0</v>
      </c>
      <c r="EG46">
        <v>1000.655</v>
      </c>
      <c r="EH46">
        <v>5.00097</v>
      </c>
      <c r="EI46">
        <v>14841.275</v>
      </c>
      <c r="EJ46">
        <v>12491.375</v>
      </c>
      <c r="EK46">
        <v>37.25</v>
      </c>
      <c r="EL46">
        <v>38.687</v>
      </c>
      <c r="EM46">
        <v>37.625</v>
      </c>
      <c r="EN46">
        <v>38.437</v>
      </c>
      <c r="EO46">
        <v>38.125</v>
      </c>
      <c r="EP46">
        <v>1454.615</v>
      </c>
      <c r="EQ46">
        <v>40.36</v>
      </c>
      <c r="ER46">
        <v>0</v>
      </c>
      <c r="ES46">
        <v>237.6000001430511</v>
      </c>
      <c r="ET46">
        <v>0</v>
      </c>
      <c r="EU46">
        <v>1005.746807692308</v>
      </c>
      <c r="EV46">
        <v>-49.11162392683883</v>
      </c>
      <c r="EW46">
        <v>-723.733333365451</v>
      </c>
      <c r="EX46">
        <v>14915.3076923077</v>
      </c>
      <c r="EY46">
        <v>15</v>
      </c>
      <c r="EZ46">
        <v>1651864261.1</v>
      </c>
      <c r="FA46" t="s">
        <v>419</v>
      </c>
      <c r="FB46">
        <v>1651864241.6</v>
      </c>
      <c r="FC46">
        <v>1651864261.1</v>
      </c>
      <c r="FD46">
        <v>7</v>
      </c>
      <c r="FE46">
        <v>0.438</v>
      </c>
      <c r="FF46">
        <v>0.002</v>
      </c>
      <c r="FG46">
        <v>-0.988</v>
      </c>
      <c r="FH46">
        <v>-0.066</v>
      </c>
      <c r="FI46">
        <v>400</v>
      </c>
      <c r="FJ46">
        <v>11</v>
      </c>
      <c r="FK46">
        <v>0.05</v>
      </c>
      <c r="FL46">
        <v>0.02</v>
      </c>
      <c r="FM46">
        <v>-20.6246025</v>
      </c>
      <c r="FN46">
        <v>3.580400375234534</v>
      </c>
      <c r="FO46">
        <v>0.4321950604110951</v>
      </c>
      <c r="FP46">
        <v>-1</v>
      </c>
      <c r="FQ46">
        <v>7.324244</v>
      </c>
      <c r="FR46">
        <v>-0.1099139212007711</v>
      </c>
      <c r="FS46">
        <v>0.01072149798302459</v>
      </c>
      <c r="FT46">
        <v>-1</v>
      </c>
      <c r="FU46">
        <v>0</v>
      </c>
      <c r="FV46">
        <v>0</v>
      </c>
      <c r="FW46">
        <v>0</v>
      </c>
      <c r="FX46">
        <v>-1</v>
      </c>
      <c r="FY46">
        <v>0</v>
      </c>
      <c r="FZ46">
        <v>0</v>
      </c>
      <c r="GA46" t="s">
        <v>420</v>
      </c>
      <c r="GB46">
        <v>2.98047</v>
      </c>
      <c r="GC46">
        <v>2.70615</v>
      </c>
      <c r="GD46">
        <v>0.212467</v>
      </c>
      <c r="GE46">
        <v>0.211954</v>
      </c>
      <c r="GF46">
        <v>0.08762250000000001</v>
      </c>
      <c r="GG46">
        <v>0.0596059</v>
      </c>
      <c r="GH46">
        <v>24855.2</v>
      </c>
      <c r="GI46">
        <v>24926.4</v>
      </c>
      <c r="GJ46">
        <v>29347.5</v>
      </c>
      <c r="GK46">
        <v>29262.5</v>
      </c>
      <c r="GL46">
        <v>35457.2</v>
      </c>
      <c r="GM46">
        <v>36655.1</v>
      </c>
      <c r="GN46">
        <v>41308.2</v>
      </c>
      <c r="GO46">
        <v>41767.3</v>
      </c>
      <c r="GP46">
        <v>1.9583</v>
      </c>
      <c r="GQ46">
        <v>1.84897</v>
      </c>
      <c r="GR46">
        <v>-0.026539</v>
      </c>
      <c r="GS46">
        <v>0</v>
      </c>
      <c r="GT46">
        <v>25.4298</v>
      </c>
      <c r="GU46">
        <v>999.9</v>
      </c>
      <c r="GV46">
        <v>31.9</v>
      </c>
      <c r="GW46">
        <v>34.2</v>
      </c>
      <c r="GX46">
        <v>19.1622</v>
      </c>
      <c r="GY46">
        <v>62.4174</v>
      </c>
      <c r="GZ46">
        <v>35.1643</v>
      </c>
      <c r="HA46">
        <v>1</v>
      </c>
      <c r="HB46">
        <v>0.101387</v>
      </c>
      <c r="HC46">
        <v>2.14126</v>
      </c>
      <c r="HD46">
        <v>20.3208</v>
      </c>
      <c r="HE46">
        <v>5.21714</v>
      </c>
      <c r="HF46">
        <v>12.0099</v>
      </c>
      <c r="HG46">
        <v>4.989</v>
      </c>
      <c r="HH46">
        <v>3.2885</v>
      </c>
      <c r="HI46">
        <v>993</v>
      </c>
      <c r="HJ46">
        <v>9519.799999999999</v>
      </c>
      <c r="HK46">
        <v>5139.4</v>
      </c>
      <c r="HL46">
        <v>24.8</v>
      </c>
      <c r="HM46">
        <v>1.86751</v>
      </c>
      <c r="HN46">
        <v>1.86646</v>
      </c>
      <c r="HO46">
        <v>1.866</v>
      </c>
      <c r="HP46">
        <v>1.86585</v>
      </c>
      <c r="HQ46">
        <v>1.86768</v>
      </c>
      <c r="HR46">
        <v>1.87022</v>
      </c>
      <c r="HS46">
        <v>1.86889</v>
      </c>
      <c r="HT46">
        <v>1.87024</v>
      </c>
      <c r="HU46">
        <v>0</v>
      </c>
      <c r="HV46">
        <v>0</v>
      </c>
      <c r="HW46">
        <v>0</v>
      </c>
      <c r="HX46">
        <v>0</v>
      </c>
      <c r="HY46" t="s">
        <v>421</v>
      </c>
      <c r="HZ46" t="s">
        <v>422</v>
      </c>
      <c r="IA46" t="s">
        <v>423</v>
      </c>
      <c r="IB46" t="s">
        <v>423</v>
      </c>
      <c r="IC46" t="s">
        <v>423</v>
      </c>
      <c r="ID46" t="s">
        <v>423</v>
      </c>
      <c r="IE46">
        <v>0</v>
      </c>
      <c r="IF46">
        <v>100</v>
      </c>
      <c r="IG46">
        <v>100</v>
      </c>
      <c r="IH46">
        <v>-2.77</v>
      </c>
      <c r="II46">
        <v>0.0201</v>
      </c>
      <c r="IJ46">
        <v>-0.2164499368582429</v>
      </c>
      <c r="IK46">
        <v>-0.002077099775823331</v>
      </c>
      <c r="IL46">
        <v>4.593143279902166E-07</v>
      </c>
      <c r="IM46">
        <v>-1.865383991892071E-10</v>
      </c>
      <c r="IN46">
        <v>-0.06087574426827484</v>
      </c>
      <c r="IO46">
        <v>-0.01129461987421345</v>
      </c>
      <c r="IP46">
        <v>0.00116580895745559</v>
      </c>
      <c r="IQ46">
        <v>-1.679085872906199E-05</v>
      </c>
      <c r="IR46">
        <v>2</v>
      </c>
      <c r="IS46">
        <v>2290</v>
      </c>
      <c r="IT46">
        <v>0</v>
      </c>
      <c r="IU46">
        <v>32</v>
      </c>
      <c r="IV46">
        <v>3.6</v>
      </c>
      <c r="IW46">
        <v>3.3</v>
      </c>
      <c r="IX46">
        <v>2.75635</v>
      </c>
      <c r="IY46">
        <v>2.18872</v>
      </c>
      <c r="IZ46">
        <v>1.39648</v>
      </c>
      <c r="JA46">
        <v>2.35596</v>
      </c>
      <c r="JB46">
        <v>1.49536</v>
      </c>
      <c r="JC46">
        <v>2.27295</v>
      </c>
      <c r="JD46">
        <v>38.379</v>
      </c>
      <c r="JE46">
        <v>24.035</v>
      </c>
      <c r="JF46">
        <v>18</v>
      </c>
      <c r="JG46">
        <v>512.489</v>
      </c>
      <c r="JH46">
        <v>427.846</v>
      </c>
      <c r="JI46">
        <v>22.517</v>
      </c>
      <c r="JJ46">
        <v>28.6147</v>
      </c>
      <c r="JK46">
        <v>30.0001</v>
      </c>
      <c r="JL46">
        <v>28.5842</v>
      </c>
      <c r="JM46">
        <v>28.5243</v>
      </c>
      <c r="JN46">
        <v>55.1343</v>
      </c>
      <c r="JO46">
        <v>41.2782</v>
      </c>
      <c r="JP46">
        <v>0</v>
      </c>
      <c r="JQ46">
        <v>22.5166</v>
      </c>
      <c r="JR46">
        <v>1417.8</v>
      </c>
      <c r="JS46">
        <v>11.1045</v>
      </c>
      <c r="JT46">
        <v>100.316</v>
      </c>
      <c r="JU46">
        <v>100.244</v>
      </c>
    </row>
    <row r="47" spans="1:281">
      <c r="A47">
        <v>31</v>
      </c>
      <c r="B47">
        <v>1651864460.6</v>
      </c>
      <c r="C47">
        <v>240</v>
      </c>
      <c r="D47" t="s">
        <v>482</v>
      </c>
      <c r="E47" t="s">
        <v>483</v>
      </c>
      <c r="F47">
        <v>2</v>
      </c>
      <c r="G47" t="s">
        <v>413</v>
      </c>
      <c r="H47" t="s">
        <v>414</v>
      </c>
      <c r="I47">
        <v>1651864459.6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1451.707797656469</v>
      </c>
      <c r="AK47">
        <v>1434.167454545455</v>
      </c>
      <c r="AL47">
        <v>-3.261009987338354</v>
      </c>
      <c r="AM47">
        <v>66.38192812717227</v>
      </c>
      <c r="AN47">
        <f>(AP47 - AO47 + DI47*1E3/(8.314*(DK47+273.15)) * AR47/DH47 * AQ47) * DH47/(100*CV47) * 1000/(1000 - AP47)</f>
        <v>0</v>
      </c>
      <c r="AO47">
        <v>11.03228654635414</v>
      </c>
      <c r="AP47">
        <v>18.32943529411764</v>
      </c>
      <c r="AQ47">
        <v>-7.174144128912005E-05</v>
      </c>
      <c r="AR47">
        <v>80.47224507511959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417</v>
      </c>
      <c r="AY47" t="s">
        <v>417</v>
      </c>
      <c r="AZ47">
        <v>0</v>
      </c>
      <c r="BA47">
        <v>0</v>
      </c>
      <c r="BB47">
        <f>1-AZ47/BA47</f>
        <v>0</v>
      </c>
      <c r="BC47">
        <v>0</v>
      </c>
      <c r="BD47" t="s">
        <v>417</v>
      </c>
      <c r="BE47" t="s">
        <v>417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417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1248</v>
      </c>
      <c r="CA47">
        <v>300</v>
      </c>
      <c r="CB47">
        <v>300</v>
      </c>
      <c r="CC47">
        <v>300</v>
      </c>
      <c r="CD47">
        <v>10442</v>
      </c>
      <c r="CE47">
        <v>1293.69</v>
      </c>
      <c r="CF47">
        <v>-0.00735246</v>
      </c>
      <c r="CG47">
        <v>0.5</v>
      </c>
      <c r="CH47" t="s">
        <v>417</v>
      </c>
      <c r="CI47" t="s">
        <v>417</v>
      </c>
      <c r="CJ47" t="s">
        <v>417</v>
      </c>
      <c r="CK47" t="s">
        <v>417</v>
      </c>
      <c r="CL47" t="s">
        <v>417</v>
      </c>
      <c r="CM47" t="s">
        <v>417</v>
      </c>
      <c r="CN47" t="s">
        <v>417</v>
      </c>
      <c r="CO47" t="s">
        <v>417</v>
      </c>
      <c r="CP47" t="s">
        <v>417</v>
      </c>
      <c r="CQ47" t="s">
        <v>417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418</v>
      </c>
      <c r="CY47">
        <v>2</v>
      </c>
      <c r="CZ47" t="b">
        <v>1</v>
      </c>
      <c r="DA47">
        <v>1651864459.6</v>
      </c>
      <c r="DB47">
        <v>1409.44</v>
      </c>
      <c r="DC47">
        <v>1430.286666666667</v>
      </c>
      <c r="DD47">
        <v>18.3305</v>
      </c>
      <c r="DE47">
        <v>11.03036666666667</v>
      </c>
      <c r="DF47">
        <v>1412.2</v>
      </c>
      <c r="DG47">
        <v>18.31036666666667</v>
      </c>
      <c r="DH47">
        <v>500.019</v>
      </c>
      <c r="DI47">
        <v>89.94026666666667</v>
      </c>
      <c r="DJ47">
        <v>0.100066</v>
      </c>
      <c r="DK47">
        <v>25.68543333333333</v>
      </c>
      <c r="DL47">
        <v>24.99643333333333</v>
      </c>
      <c r="DM47">
        <v>999.9</v>
      </c>
      <c r="DN47">
        <v>0</v>
      </c>
      <c r="DO47">
        <v>0</v>
      </c>
      <c r="DP47">
        <v>9988.75</v>
      </c>
      <c r="DQ47">
        <v>0</v>
      </c>
      <c r="DR47">
        <v>3.20383</v>
      </c>
      <c r="DS47">
        <v>-20.8469</v>
      </c>
      <c r="DT47">
        <v>1435.76</v>
      </c>
      <c r="DU47">
        <v>1446.24</v>
      </c>
      <c r="DV47">
        <v>7.300133333333334</v>
      </c>
      <c r="DW47">
        <v>1430.286666666667</v>
      </c>
      <c r="DX47">
        <v>11.03036666666667</v>
      </c>
      <c r="DY47">
        <v>1.64865</v>
      </c>
      <c r="DZ47">
        <v>0.9920736666666666</v>
      </c>
      <c r="EA47">
        <v>14.4212</v>
      </c>
      <c r="EB47">
        <v>6.800486666666667</v>
      </c>
      <c r="EC47">
        <v>1499.893333333333</v>
      </c>
      <c r="ED47">
        <v>0.973002</v>
      </c>
      <c r="EE47">
        <v>0.0269985</v>
      </c>
      <c r="EF47">
        <v>0</v>
      </c>
      <c r="EG47">
        <v>998.7333333333332</v>
      </c>
      <c r="EH47">
        <v>5.00097</v>
      </c>
      <c r="EI47">
        <v>14810.26666666667</v>
      </c>
      <c r="EJ47">
        <v>12490.7</v>
      </c>
      <c r="EK47">
        <v>37.25</v>
      </c>
      <c r="EL47">
        <v>38.687</v>
      </c>
      <c r="EM47">
        <v>37.625</v>
      </c>
      <c r="EN47">
        <v>38.437</v>
      </c>
      <c r="EO47">
        <v>38.125</v>
      </c>
      <c r="EP47">
        <v>1454.533333333334</v>
      </c>
      <c r="EQ47">
        <v>40.36</v>
      </c>
      <c r="ER47">
        <v>0</v>
      </c>
      <c r="ES47">
        <v>239.4000000953674</v>
      </c>
      <c r="ET47">
        <v>0</v>
      </c>
      <c r="EU47">
        <v>1004.02556</v>
      </c>
      <c r="EV47">
        <v>-50.33484614699231</v>
      </c>
      <c r="EW47">
        <v>-749.1846154194561</v>
      </c>
      <c r="EX47">
        <v>14889.692</v>
      </c>
      <c r="EY47">
        <v>15</v>
      </c>
      <c r="EZ47">
        <v>1651864261.1</v>
      </c>
      <c r="FA47" t="s">
        <v>419</v>
      </c>
      <c r="FB47">
        <v>1651864241.6</v>
      </c>
      <c r="FC47">
        <v>1651864261.1</v>
      </c>
      <c r="FD47">
        <v>7</v>
      </c>
      <c r="FE47">
        <v>0.438</v>
      </c>
      <c r="FF47">
        <v>0.002</v>
      </c>
      <c r="FG47">
        <v>-0.988</v>
      </c>
      <c r="FH47">
        <v>-0.066</v>
      </c>
      <c r="FI47">
        <v>400</v>
      </c>
      <c r="FJ47">
        <v>11</v>
      </c>
      <c r="FK47">
        <v>0.05</v>
      </c>
      <c r="FL47">
        <v>0.02</v>
      </c>
      <c r="FM47">
        <v>-20.6179756097561</v>
      </c>
      <c r="FN47">
        <v>2.740737282230015</v>
      </c>
      <c r="FO47">
        <v>0.4198481710358987</v>
      </c>
      <c r="FP47">
        <v>-1</v>
      </c>
      <c r="FQ47">
        <v>7.321817804878048</v>
      </c>
      <c r="FR47">
        <v>-0.1155984668989511</v>
      </c>
      <c r="FS47">
        <v>0.011542031674772</v>
      </c>
      <c r="FT47">
        <v>-1</v>
      </c>
      <c r="FU47">
        <v>0</v>
      </c>
      <c r="FV47">
        <v>0</v>
      </c>
      <c r="FW47">
        <v>0</v>
      </c>
      <c r="FX47">
        <v>-1</v>
      </c>
      <c r="FY47">
        <v>0</v>
      </c>
      <c r="FZ47">
        <v>0</v>
      </c>
      <c r="GA47" t="s">
        <v>420</v>
      </c>
      <c r="GB47">
        <v>2.98047</v>
      </c>
      <c r="GC47">
        <v>2.70612</v>
      </c>
      <c r="GD47">
        <v>0.211884</v>
      </c>
      <c r="GE47">
        <v>0.211399</v>
      </c>
      <c r="GF47">
        <v>0.0876012</v>
      </c>
      <c r="GG47">
        <v>0.0596001</v>
      </c>
      <c r="GH47">
        <v>24873.6</v>
      </c>
      <c r="GI47">
        <v>24944</v>
      </c>
      <c r="GJ47">
        <v>29347.5</v>
      </c>
      <c r="GK47">
        <v>29262.6</v>
      </c>
      <c r="GL47">
        <v>35458.2</v>
      </c>
      <c r="GM47">
        <v>36655.5</v>
      </c>
      <c r="GN47">
        <v>41308.4</v>
      </c>
      <c r="GO47">
        <v>41767.4</v>
      </c>
      <c r="GP47">
        <v>1.9585</v>
      </c>
      <c r="GQ47">
        <v>1.84892</v>
      </c>
      <c r="GR47">
        <v>-0.0261515</v>
      </c>
      <c r="GS47">
        <v>0</v>
      </c>
      <c r="GT47">
        <v>25.4292</v>
      </c>
      <c r="GU47">
        <v>999.9</v>
      </c>
      <c r="GV47">
        <v>31.9</v>
      </c>
      <c r="GW47">
        <v>34.2</v>
      </c>
      <c r="GX47">
        <v>19.1617</v>
      </c>
      <c r="GY47">
        <v>62.2774</v>
      </c>
      <c r="GZ47">
        <v>35.0721</v>
      </c>
      <c r="HA47">
        <v>1</v>
      </c>
      <c r="HB47">
        <v>0.101479</v>
      </c>
      <c r="HC47">
        <v>2.13947</v>
      </c>
      <c r="HD47">
        <v>20.3208</v>
      </c>
      <c r="HE47">
        <v>5.21684</v>
      </c>
      <c r="HF47">
        <v>12.0099</v>
      </c>
      <c r="HG47">
        <v>4.989</v>
      </c>
      <c r="HH47">
        <v>3.2885</v>
      </c>
      <c r="HI47">
        <v>993</v>
      </c>
      <c r="HJ47">
        <v>9519.799999999999</v>
      </c>
      <c r="HK47">
        <v>5139.4</v>
      </c>
      <c r="HL47">
        <v>24.8</v>
      </c>
      <c r="HM47">
        <v>1.86752</v>
      </c>
      <c r="HN47">
        <v>1.86646</v>
      </c>
      <c r="HO47">
        <v>1.866</v>
      </c>
      <c r="HP47">
        <v>1.86585</v>
      </c>
      <c r="HQ47">
        <v>1.86768</v>
      </c>
      <c r="HR47">
        <v>1.87022</v>
      </c>
      <c r="HS47">
        <v>1.86887</v>
      </c>
      <c r="HT47">
        <v>1.8702</v>
      </c>
      <c r="HU47">
        <v>0</v>
      </c>
      <c r="HV47">
        <v>0</v>
      </c>
      <c r="HW47">
        <v>0</v>
      </c>
      <c r="HX47">
        <v>0</v>
      </c>
      <c r="HY47" t="s">
        <v>421</v>
      </c>
      <c r="HZ47" t="s">
        <v>422</v>
      </c>
      <c r="IA47" t="s">
        <v>423</v>
      </c>
      <c r="IB47" t="s">
        <v>423</v>
      </c>
      <c r="IC47" t="s">
        <v>423</v>
      </c>
      <c r="ID47" t="s">
        <v>423</v>
      </c>
      <c r="IE47">
        <v>0</v>
      </c>
      <c r="IF47">
        <v>100</v>
      </c>
      <c r="IG47">
        <v>100</v>
      </c>
      <c r="IH47">
        <v>-2.75</v>
      </c>
      <c r="II47">
        <v>0.0201</v>
      </c>
      <c r="IJ47">
        <v>-0.2164499368582429</v>
      </c>
      <c r="IK47">
        <v>-0.002077099775823331</v>
      </c>
      <c r="IL47">
        <v>4.593143279902166E-07</v>
      </c>
      <c r="IM47">
        <v>-1.865383991892071E-10</v>
      </c>
      <c r="IN47">
        <v>-0.06087574426827484</v>
      </c>
      <c r="IO47">
        <v>-0.01129461987421345</v>
      </c>
      <c r="IP47">
        <v>0.00116580895745559</v>
      </c>
      <c r="IQ47">
        <v>-1.679085872906199E-05</v>
      </c>
      <c r="IR47">
        <v>2</v>
      </c>
      <c r="IS47">
        <v>2290</v>
      </c>
      <c r="IT47">
        <v>0</v>
      </c>
      <c r="IU47">
        <v>32</v>
      </c>
      <c r="IV47">
        <v>3.6</v>
      </c>
      <c r="IW47">
        <v>3.3</v>
      </c>
      <c r="IX47">
        <v>2.74658</v>
      </c>
      <c r="IY47">
        <v>2.18994</v>
      </c>
      <c r="IZ47">
        <v>1.39648</v>
      </c>
      <c r="JA47">
        <v>2.35718</v>
      </c>
      <c r="JB47">
        <v>1.49536</v>
      </c>
      <c r="JC47">
        <v>2.3645</v>
      </c>
      <c r="JD47">
        <v>38.4034</v>
      </c>
      <c r="JE47">
        <v>24.0437</v>
      </c>
      <c r="JF47">
        <v>18</v>
      </c>
      <c r="JG47">
        <v>512.63</v>
      </c>
      <c r="JH47">
        <v>427.816</v>
      </c>
      <c r="JI47">
        <v>22.5177</v>
      </c>
      <c r="JJ47">
        <v>28.616</v>
      </c>
      <c r="JK47">
        <v>30.0002</v>
      </c>
      <c r="JL47">
        <v>28.5854</v>
      </c>
      <c r="JM47">
        <v>28.5243</v>
      </c>
      <c r="JN47">
        <v>54.9239</v>
      </c>
      <c r="JO47">
        <v>41.2782</v>
      </c>
      <c r="JP47">
        <v>0</v>
      </c>
      <c r="JQ47">
        <v>22.5202</v>
      </c>
      <c r="JR47">
        <v>1411.13</v>
      </c>
      <c r="JS47">
        <v>11.1145</v>
      </c>
      <c r="JT47">
        <v>100.316</v>
      </c>
      <c r="JU47">
        <v>100.244</v>
      </c>
    </row>
    <row r="48" spans="1:281">
      <c r="A48">
        <v>32</v>
      </c>
      <c r="B48">
        <v>1651864462.6</v>
      </c>
      <c r="C48">
        <v>242</v>
      </c>
      <c r="D48" t="s">
        <v>484</v>
      </c>
      <c r="E48" t="s">
        <v>485</v>
      </c>
      <c r="F48">
        <v>2</v>
      </c>
      <c r="G48" t="s">
        <v>413</v>
      </c>
      <c r="H48" t="s">
        <v>414</v>
      </c>
      <c r="I48">
        <v>1651864461.225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1445.570020224969</v>
      </c>
      <c r="AK48">
        <v>1427.886848484848</v>
      </c>
      <c r="AL48">
        <v>-3.161198827303061</v>
      </c>
      <c r="AM48">
        <v>66.38192812717227</v>
      </c>
      <c r="AN48">
        <f>(AP48 - AO48 + DI48*1E3/(8.314*(DK48+273.15)) * AR48/DH48 * AQ48) * DH48/(100*CV48) * 1000/(1000 - AP48)</f>
        <v>0</v>
      </c>
      <c r="AO48">
        <v>11.03129251236807</v>
      </c>
      <c r="AP48">
        <v>18.32542529411764</v>
      </c>
      <c r="AQ48">
        <v>-5.879834058645992E-05</v>
      </c>
      <c r="AR48">
        <v>80.47224507511959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417</v>
      </c>
      <c r="AY48" t="s">
        <v>417</v>
      </c>
      <c r="AZ48">
        <v>0</v>
      </c>
      <c r="BA48">
        <v>0</v>
      </c>
      <c r="BB48">
        <f>1-AZ48/BA48</f>
        <v>0</v>
      </c>
      <c r="BC48">
        <v>0</v>
      </c>
      <c r="BD48" t="s">
        <v>417</v>
      </c>
      <c r="BE48" t="s">
        <v>417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417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1248</v>
      </c>
      <c r="CA48">
        <v>300</v>
      </c>
      <c r="CB48">
        <v>300</v>
      </c>
      <c r="CC48">
        <v>300</v>
      </c>
      <c r="CD48">
        <v>10442</v>
      </c>
      <c r="CE48">
        <v>1293.69</v>
      </c>
      <c r="CF48">
        <v>-0.00735246</v>
      </c>
      <c r="CG48">
        <v>0.5</v>
      </c>
      <c r="CH48" t="s">
        <v>417</v>
      </c>
      <c r="CI48" t="s">
        <v>417</v>
      </c>
      <c r="CJ48" t="s">
        <v>417</v>
      </c>
      <c r="CK48" t="s">
        <v>417</v>
      </c>
      <c r="CL48" t="s">
        <v>417</v>
      </c>
      <c r="CM48" t="s">
        <v>417</v>
      </c>
      <c r="CN48" t="s">
        <v>417</v>
      </c>
      <c r="CO48" t="s">
        <v>417</v>
      </c>
      <c r="CP48" t="s">
        <v>417</v>
      </c>
      <c r="CQ48" t="s">
        <v>417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418</v>
      </c>
      <c r="CY48">
        <v>2</v>
      </c>
      <c r="CZ48" t="b">
        <v>1</v>
      </c>
      <c r="DA48">
        <v>1651864461.225</v>
      </c>
      <c r="DB48">
        <v>1404.3975</v>
      </c>
      <c r="DC48">
        <v>1425.2375</v>
      </c>
      <c r="DD48">
        <v>18.327125</v>
      </c>
      <c r="DE48">
        <v>11.0298</v>
      </c>
      <c r="DF48">
        <v>1407.15</v>
      </c>
      <c r="DG48">
        <v>18.3071</v>
      </c>
      <c r="DH48">
        <v>500.053</v>
      </c>
      <c r="DI48">
        <v>89.93792500000001</v>
      </c>
      <c r="DJ48">
        <v>0.0999661</v>
      </c>
      <c r="DK48">
        <v>25.685225</v>
      </c>
      <c r="DL48">
        <v>24.9999</v>
      </c>
      <c r="DM48">
        <v>999.9</v>
      </c>
      <c r="DN48">
        <v>0</v>
      </c>
      <c r="DO48">
        <v>0</v>
      </c>
      <c r="DP48">
        <v>10002.645</v>
      </c>
      <c r="DQ48">
        <v>0</v>
      </c>
      <c r="DR48">
        <v>3.20383</v>
      </c>
      <c r="DS48">
        <v>-20.83985</v>
      </c>
      <c r="DT48">
        <v>1430.6175</v>
      </c>
      <c r="DU48">
        <v>1441.135</v>
      </c>
      <c r="DV48">
        <v>7.297365</v>
      </c>
      <c r="DW48">
        <v>1425.2375</v>
      </c>
      <c r="DX48">
        <v>11.0298</v>
      </c>
      <c r="DY48">
        <v>1.648305</v>
      </c>
      <c r="DZ48">
        <v>0.9919945</v>
      </c>
      <c r="EA48">
        <v>14.41795</v>
      </c>
      <c r="EB48">
        <v>6.7993275</v>
      </c>
      <c r="EC48">
        <v>1499.9725</v>
      </c>
      <c r="ED48">
        <v>0.9730032500000001</v>
      </c>
      <c r="EE48">
        <v>0.02699715</v>
      </c>
      <c r="EF48">
        <v>0</v>
      </c>
      <c r="EG48">
        <v>997.0382499999999</v>
      </c>
      <c r="EH48">
        <v>5.00097</v>
      </c>
      <c r="EI48">
        <v>14788</v>
      </c>
      <c r="EJ48">
        <v>12491.35</v>
      </c>
      <c r="EK48">
        <v>37.25</v>
      </c>
      <c r="EL48">
        <v>38.687</v>
      </c>
      <c r="EM48">
        <v>37.625</v>
      </c>
      <c r="EN48">
        <v>38.437</v>
      </c>
      <c r="EO48">
        <v>38.125</v>
      </c>
      <c r="EP48">
        <v>1454.6125</v>
      </c>
      <c r="EQ48">
        <v>40.36</v>
      </c>
      <c r="ER48">
        <v>0</v>
      </c>
      <c r="ES48">
        <v>241.2000000476837</v>
      </c>
      <c r="ET48">
        <v>0</v>
      </c>
      <c r="EU48">
        <v>1002.727384615385</v>
      </c>
      <c r="EV48">
        <v>-51.53668368687544</v>
      </c>
      <c r="EW48">
        <v>-758.9333323292645</v>
      </c>
      <c r="EX48">
        <v>14870.85384615385</v>
      </c>
      <c r="EY48">
        <v>15</v>
      </c>
      <c r="EZ48">
        <v>1651864261.1</v>
      </c>
      <c r="FA48" t="s">
        <v>419</v>
      </c>
      <c r="FB48">
        <v>1651864241.6</v>
      </c>
      <c r="FC48">
        <v>1651864261.1</v>
      </c>
      <c r="FD48">
        <v>7</v>
      </c>
      <c r="FE48">
        <v>0.438</v>
      </c>
      <c r="FF48">
        <v>0.002</v>
      </c>
      <c r="FG48">
        <v>-0.988</v>
      </c>
      <c r="FH48">
        <v>-0.066</v>
      </c>
      <c r="FI48">
        <v>400</v>
      </c>
      <c r="FJ48">
        <v>11</v>
      </c>
      <c r="FK48">
        <v>0.05</v>
      </c>
      <c r="FL48">
        <v>0.02</v>
      </c>
      <c r="FM48">
        <v>-20.58036</v>
      </c>
      <c r="FN48">
        <v>1.046929080675471</v>
      </c>
      <c r="FO48">
        <v>0.3952315130401421</v>
      </c>
      <c r="FP48">
        <v>-1</v>
      </c>
      <c r="FQ48">
        <v>7.31655475</v>
      </c>
      <c r="FR48">
        <v>-0.1264904690431683</v>
      </c>
      <c r="FS48">
        <v>0.01225014836389748</v>
      </c>
      <c r="FT48">
        <v>-1</v>
      </c>
      <c r="FU48">
        <v>0</v>
      </c>
      <c r="FV48">
        <v>0</v>
      </c>
      <c r="FW48">
        <v>0</v>
      </c>
      <c r="FX48">
        <v>-1</v>
      </c>
      <c r="FY48">
        <v>0</v>
      </c>
      <c r="FZ48">
        <v>0</v>
      </c>
      <c r="GA48" t="s">
        <v>420</v>
      </c>
      <c r="GB48">
        <v>2.9807</v>
      </c>
      <c r="GC48">
        <v>2.70615</v>
      </c>
      <c r="GD48">
        <v>0.211309</v>
      </c>
      <c r="GE48">
        <v>0.210802</v>
      </c>
      <c r="GF48">
        <v>0.0875823</v>
      </c>
      <c r="GG48">
        <v>0.0595964</v>
      </c>
      <c r="GH48">
        <v>24891.8</v>
      </c>
      <c r="GI48">
        <v>24963</v>
      </c>
      <c r="GJ48">
        <v>29347.5</v>
      </c>
      <c r="GK48">
        <v>29262.7</v>
      </c>
      <c r="GL48">
        <v>35459.1</v>
      </c>
      <c r="GM48">
        <v>36655.8</v>
      </c>
      <c r="GN48">
        <v>41308.6</v>
      </c>
      <c r="GO48">
        <v>41767.7</v>
      </c>
      <c r="GP48">
        <v>1.95842</v>
      </c>
      <c r="GQ48">
        <v>1.84872</v>
      </c>
      <c r="GR48">
        <v>-0.0259206</v>
      </c>
      <c r="GS48">
        <v>0</v>
      </c>
      <c r="GT48">
        <v>25.4282</v>
      </c>
      <c r="GU48">
        <v>999.9</v>
      </c>
      <c r="GV48">
        <v>31.9</v>
      </c>
      <c r="GW48">
        <v>34.2</v>
      </c>
      <c r="GX48">
        <v>19.1624</v>
      </c>
      <c r="GY48">
        <v>62.5874</v>
      </c>
      <c r="GZ48">
        <v>34.9199</v>
      </c>
      <c r="HA48">
        <v>1</v>
      </c>
      <c r="HB48">
        <v>0.101514</v>
      </c>
      <c r="HC48">
        <v>2.13445</v>
      </c>
      <c r="HD48">
        <v>20.3209</v>
      </c>
      <c r="HE48">
        <v>5.21624</v>
      </c>
      <c r="HF48">
        <v>12.0099</v>
      </c>
      <c r="HG48">
        <v>4.98895</v>
      </c>
      <c r="HH48">
        <v>3.2885</v>
      </c>
      <c r="HI48">
        <v>993</v>
      </c>
      <c r="HJ48">
        <v>9519.799999999999</v>
      </c>
      <c r="HK48">
        <v>5139.4</v>
      </c>
      <c r="HL48">
        <v>24.8</v>
      </c>
      <c r="HM48">
        <v>1.86752</v>
      </c>
      <c r="HN48">
        <v>1.86646</v>
      </c>
      <c r="HO48">
        <v>1.866</v>
      </c>
      <c r="HP48">
        <v>1.86584</v>
      </c>
      <c r="HQ48">
        <v>1.86768</v>
      </c>
      <c r="HR48">
        <v>1.87022</v>
      </c>
      <c r="HS48">
        <v>1.86885</v>
      </c>
      <c r="HT48">
        <v>1.8702</v>
      </c>
      <c r="HU48">
        <v>0</v>
      </c>
      <c r="HV48">
        <v>0</v>
      </c>
      <c r="HW48">
        <v>0</v>
      </c>
      <c r="HX48">
        <v>0</v>
      </c>
      <c r="HY48" t="s">
        <v>421</v>
      </c>
      <c r="HZ48" t="s">
        <v>422</v>
      </c>
      <c r="IA48" t="s">
        <v>423</v>
      </c>
      <c r="IB48" t="s">
        <v>423</v>
      </c>
      <c r="IC48" t="s">
        <v>423</v>
      </c>
      <c r="ID48" t="s">
        <v>423</v>
      </c>
      <c r="IE48">
        <v>0</v>
      </c>
      <c r="IF48">
        <v>100</v>
      </c>
      <c r="IG48">
        <v>100</v>
      </c>
      <c r="IH48">
        <v>-2.74</v>
      </c>
      <c r="II48">
        <v>0.02</v>
      </c>
      <c r="IJ48">
        <v>-0.2164499368582429</v>
      </c>
      <c r="IK48">
        <v>-0.002077099775823331</v>
      </c>
      <c r="IL48">
        <v>4.593143279902166E-07</v>
      </c>
      <c r="IM48">
        <v>-1.865383991892071E-10</v>
      </c>
      <c r="IN48">
        <v>-0.06087574426827484</v>
      </c>
      <c r="IO48">
        <v>-0.01129461987421345</v>
      </c>
      <c r="IP48">
        <v>0.00116580895745559</v>
      </c>
      <c r="IQ48">
        <v>-1.679085872906199E-05</v>
      </c>
      <c r="IR48">
        <v>2</v>
      </c>
      <c r="IS48">
        <v>2290</v>
      </c>
      <c r="IT48">
        <v>0</v>
      </c>
      <c r="IU48">
        <v>32</v>
      </c>
      <c r="IV48">
        <v>3.7</v>
      </c>
      <c r="IW48">
        <v>3.4</v>
      </c>
      <c r="IX48">
        <v>2.7356</v>
      </c>
      <c r="IY48">
        <v>2.19238</v>
      </c>
      <c r="IZ48">
        <v>1.39648</v>
      </c>
      <c r="JA48">
        <v>2.35718</v>
      </c>
      <c r="JB48">
        <v>1.49536</v>
      </c>
      <c r="JC48">
        <v>2.31445</v>
      </c>
      <c r="JD48">
        <v>38.4034</v>
      </c>
      <c r="JE48">
        <v>24.035</v>
      </c>
      <c r="JF48">
        <v>18</v>
      </c>
      <c r="JG48">
        <v>512.5890000000001</v>
      </c>
      <c r="JH48">
        <v>427.696</v>
      </c>
      <c r="JI48">
        <v>22.5187</v>
      </c>
      <c r="JJ48">
        <v>28.6168</v>
      </c>
      <c r="JK48">
        <v>30.0003</v>
      </c>
      <c r="JL48">
        <v>28.5863</v>
      </c>
      <c r="JM48">
        <v>28.5243</v>
      </c>
      <c r="JN48">
        <v>54.7157</v>
      </c>
      <c r="JO48">
        <v>40.9819</v>
      </c>
      <c r="JP48">
        <v>0</v>
      </c>
      <c r="JQ48">
        <v>22.5202</v>
      </c>
      <c r="JR48">
        <v>1404.45</v>
      </c>
      <c r="JS48">
        <v>11.1246</v>
      </c>
      <c r="JT48">
        <v>100.317</v>
      </c>
      <c r="JU48">
        <v>100.245</v>
      </c>
    </row>
    <row r="49" spans="1:281">
      <c r="A49">
        <v>33</v>
      </c>
      <c r="B49">
        <v>1651864464.6</v>
      </c>
      <c r="C49">
        <v>244</v>
      </c>
      <c r="D49" t="s">
        <v>486</v>
      </c>
      <c r="E49" t="s">
        <v>487</v>
      </c>
      <c r="F49">
        <v>2</v>
      </c>
      <c r="G49" t="s">
        <v>413</v>
      </c>
      <c r="H49" t="s">
        <v>414</v>
      </c>
      <c r="I49">
        <v>1651864463.6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1439.176335181206</v>
      </c>
      <c r="AK49">
        <v>1421.426424242423</v>
      </c>
      <c r="AL49">
        <v>-3.188618929710006</v>
      </c>
      <c r="AM49">
        <v>66.38192812717227</v>
      </c>
      <c r="AN49">
        <f>(AP49 - AO49 + DI49*1E3/(8.314*(DK49+273.15)) * AR49/DH49 * AQ49) * DH49/(100*CV49) * 1000/(1000 - AP49)</f>
        <v>0</v>
      </c>
      <c r="AO49">
        <v>11.03015090656778</v>
      </c>
      <c r="AP49">
        <v>18.32083705882353</v>
      </c>
      <c r="AQ49">
        <v>-4.588615093140016E-05</v>
      </c>
      <c r="AR49">
        <v>80.47224507511959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417</v>
      </c>
      <c r="AY49" t="s">
        <v>417</v>
      </c>
      <c r="AZ49">
        <v>0</v>
      </c>
      <c r="BA49">
        <v>0</v>
      </c>
      <c r="BB49">
        <f>1-AZ49/BA49</f>
        <v>0</v>
      </c>
      <c r="BC49">
        <v>0</v>
      </c>
      <c r="BD49" t="s">
        <v>417</v>
      </c>
      <c r="BE49" t="s">
        <v>417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417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1248</v>
      </c>
      <c r="CA49">
        <v>300</v>
      </c>
      <c r="CB49">
        <v>300</v>
      </c>
      <c r="CC49">
        <v>300</v>
      </c>
      <c r="CD49">
        <v>10442</v>
      </c>
      <c r="CE49">
        <v>1293.69</v>
      </c>
      <c r="CF49">
        <v>-0.00735246</v>
      </c>
      <c r="CG49">
        <v>0.5</v>
      </c>
      <c r="CH49" t="s">
        <v>417</v>
      </c>
      <c r="CI49" t="s">
        <v>417</v>
      </c>
      <c r="CJ49" t="s">
        <v>417</v>
      </c>
      <c r="CK49" t="s">
        <v>417</v>
      </c>
      <c r="CL49" t="s">
        <v>417</v>
      </c>
      <c r="CM49" t="s">
        <v>417</v>
      </c>
      <c r="CN49" t="s">
        <v>417</v>
      </c>
      <c r="CO49" t="s">
        <v>417</v>
      </c>
      <c r="CP49" t="s">
        <v>417</v>
      </c>
      <c r="CQ49" t="s">
        <v>417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418</v>
      </c>
      <c r="CY49">
        <v>2</v>
      </c>
      <c r="CZ49" t="b">
        <v>1</v>
      </c>
      <c r="DA49">
        <v>1651864463.6</v>
      </c>
      <c r="DB49">
        <v>1396.973333333333</v>
      </c>
      <c r="DC49">
        <v>1417.45</v>
      </c>
      <c r="DD49">
        <v>18.32183333333333</v>
      </c>
      <c r="DE49">
        <v>11.0295</v>
      </c>
      <c r="DF49">
        <v>1399.706666666667</v>
      </c>
      <c r="DG49">
        <v>18.30186666666667</v>
      </c>
      <c r="DH49">
        <v>500.0466666666666</v>
      </c>
      <c r="DI49">
        <v>89.93773333333333</v>
      </c>
      <c r="DJ49">
        <v>0.09996726666666667</v>
      </c>
      <c r="DK49">
        <v>25.68603333333333</v>
      </c>
      <c r="DL49">
        <v>25.0007</v>
      </c>
      <c r="DM49">
        <v>999.9</v>
      </c>
      <c r="DN49">
        <v>0</v>
      </c>
      <c r="DO49">
        <v>0</v>
      </c>
      <c r="DP49">
        <v>9999.386666666665</v>
      </c>
      <c r="DQ49">
        <v>0</v>
      </c>
      <c r="DR49">
        <v>3.20383</v>
      </c>
      <c r="DS49">
        <v>-20.4809</v>
      </c>
      <c r="DT49">
        <v>1423.046666666667</v>
      </c>
      <c r="DU49">
        <v>1433.26</v>
      </c>
      <c r="DV49">
        <v>7.292336666666666</v>
      </c>
      <c r="DW49">
        <v>1417.45</v>
      </c>
      <c r="DX49">
        <v>11.0295</v>
      </c>
      <c r="DY49">
        <v>1.647826666666666</v>
      </c>
      <c r="DZ49">
        <v>0.9919683333333333</v>
      </c>
      <c r="EA49">
        <v>14.41346666666667</v>
      </c>
      <c r="EB49">
        <v>6.798940000000001</v>
      </c>
      <c r="EC49">
        <v>1499.993333333334</v>
      </c>
      <c r="ED49">
        <v>0.9730036666666667</v>
      </c>
      <c r="EE49">
        <v>0.0269967</v>
      </c>
      <c r="EF49">
        <v>0</v>
      </c>
      <c r="EG49">
        <v>995.0900000000001</v>
      </c>
      <c r="EH49">
        <v>5.00097</v>
      </c>
      <c r="EI49">
        <v>14759.06666666667</v>
      </c>
      <c r="EJ49">
        <v>12491.56666666667</v>
      </c>
      <c r="EK49">
        <v>37.25</v>
      </c>
      <c r="EL49">
        <v>38.687</v>
      </c>
      <c r="EM49">
        <v>37.625</v>
      </c>
      <c r="EN49">
        <v>38.437</v>
      </c>
      <c r="EO49">
        <v>38.125</v>
      </c>
      <c r="EP49">
        <v>1454.633333333333</v>
      </c>
      <c r="EQ49">
        <v>40.36</v>
      </c>
      <c r="ER49">
        <v>0</v>
      </c>
      <c r="ES49">
        <v>243.6000001430511</v>
      </c>
      <c r="ET49">
        <v>0</v>
      </c>
      <c r="EU49">
        <v>1000.668961538462</v>
      </c>
      <c r="EV49">
        <v>-53.53370940576175</v>
      </c>
      <c r="EW49">
        <v>-772.8410256648933</v>
      </c>
      <c r="EX49">
        <v>14840.4</v>
      </c>
      <c r="EY49">
        <v>15</v>
      </c>
      <c r="EZ49">
        <v>1651864261.1</v>
      </c>
      <c r="FA49" t="s">
        <v>419</v>
      </c>
      <c r="FB49">
        <v>1651864241.6</v>
      </c>
      <c r="FC49">
        <v>1651864261.1</v>
      </c>
      <c r="FD49">
        <v>7</v>
      </c>
      <c r="FE49">
        <v>0.438</v>
      </c>
      <c r="FF49">
        <v>0.002</v>
      </c>
      <c r="FG49">
        <v>-0.988</v>
      </c>
      <c r="FH49">
        <v>-0.066</v>
      </c>
      <c r="FI49">
        <v>400</v>
      </c>
      <c r="FJ49">
        <v>11</v>
      </c>
      <c r="FK49">
        <v>0.05</v>
      </c>
      <c r="FL49">
        <v>0.02</v>
      </c>
      <c r="FM49">
        <v>-20.55083170731707</v>
      </c>
      <c r="FN49">
        <v>0.4913331010452899</v>
      </c>
      <c r="FO49">
        <v>0.3687860754996736</v>
      </c>
      <c r="FP49">
        <v>-1</v>
      </c>
      <c r="FQ49">
        <v>7.313926097560976</v>
      </c>
      <c r="FR49">
        <v>-0.1283416724738549</v>
      </c>
      <c r="FS49">
        <v>0.01272973547481544</v>
      </c>
      <c r="FT49">
        <v>-1</v>
      </c>
      <c r="FU49">
        <v>0</v>
      </c>
      <c r="FV49">
        <v>0</v>
      </c>
      <c r="FW49">
        <v>0</v>
      </c>
      <c r="FX49">
        <v>-1</v>
      </c>
      <c r="FY49">
        <v>0</v>
      </c>
      <c r="FZ49">
        <v>0</v>
      </c>
      <c r="GA49" t="s">
        <v>420</v>
      </c>
      <c r="GB49">
        <v>2.98049</v>
      </c>
      <c r="GC49">
        <v>2.70617</v>
      </c>
      <c r="GD49">
        <v>0.210721</v>
      </c>
      <c r="GE49">
        <v>0.210202</v>
      </c>
      <c r="GF49">
        <v>0.0875755</v>
      </c>
      <c r="GG49">
        <v>0.059606</v>
      </c>
      <c r="GH49">
        <v>24910.4</v>
      </c>
      <c r="GI49">
        <v>24981.9</v>
      </c>
      <c r="GJ49">
        <v>29347.6</v>
      </c>
      <c r="GK49">
        <v>29262.6</v>
      </c>
      <c r="GL49">
        <v>35459.7</v>
      </c>
      <c r="GM49">
        <v>36655.3</v>
      </c>
      <c r="GN49">
        <v>41308.9</v>
      </c>
      <c r="GO49">
        <v>41767.5</v>
      </c>
      <c r="GP49">
        <v>1.95835</v>
      </c>
      <c r="GQ49">
        <v>1.84872</v>
      </c>
      <c r="GR49">
        <v>-0.0261515</v>
      </c>
      <c r="GS49">
        <v>0</v>
      </c>
      <c r="GT49">
        <v>25.4271</v>
      </c>
      <c r="GU49">
        <v>999.9</v>
      </c>
      <c r="GV49">
        <v>31.9</v>
      </c>
      <c r="GW49">
        <v>34.2</v>
      </c>
      <c r="GX49">
        <v>19.1644</v>
      </c>
      <c r="GY49">
        <v>62.5075</v>
      </c>
      <c r="GZ49">
        <v>35.3125</v>
      </c>
      <c r="HA49">
        <v>1</v>
      </c>
      <c r="HB49">
        <v>0.101474</v>
      </c>
      <c r="HC49">
        <v>2.15028</v>
      </c>
      <c r="HD49">
        <v>20.3208</v>
      </c>
      <c r="HE49">
        <v>5.21669</v>
      </c>
      <c r="HF49">
        <v>12.0099</v>
      </c>
      <c r="HG49">
        <v>4.98905</v>
      </c>
      <c r="HH49">
        <v>3.2885</v>
      </c>
      <c r="HI49">
        <v>993</v>
      </c>
      <c r="HJ49">
        <v>9519.799999999999</v>
      </c>
      <c r="HK49">
        <v>5139.4</v>
      </c>
      <c r="HL49">
        <v>24.8</v>
      </c>
      <c r="HM49">
        <v>1.8675</v>
      </c>
      <c r="HN49">
        <v>1.86646</v>
      </c>
      <c r="HO49">
        <v>1.866</v>
      </c>
      <c r="HP49">
        <v>1.86585</v>
      </c>
      <c r="HQ49">
        <v>1.86768</v>
      </c>
      <c r="HR49">
        <v>1.87023</v>
      </c>
      <c r="HS49">
        <v>1.86886</v>
      </c>
      <c r="HT49">
        <v>1.87023</v>
      </c>
      <c r="HU49">
        <v>0</v>
      </c>
      <c r="HV49">
        <v>0</v>
      </c>
      <c r="HW49">
        <v>0</v>
      </c>
      <c r="HX49">
        <v>0</v>
      </c>
      <c r="HY49" t="s">
        <v>421</v>
      </c>
      <c r="HZ49" t="s">
        <v>422</v>
      </c>
      <c r="IA49" t="s">
        <v>423</v>
      </c>
      <c r="IB49" t="s">
        <v>423</v>
      </c>
      <c r="IC49" t="s">
        <v>423</v>
      </c>
      <c r="ID49" t="s">
        <v>423</v>
      </c>
      <c r="IE49">
        <v>0</v>
      </c>
      <c r="IF49">
        <v>100</v>
      </c>
      <c r="IG49">
        <v>100</v>
      </c>
      <c r="IH49">
        <v>-2.73</v>
      </c>
      <c r="II49">
        <v>0.0199</v>
      </c>
      <c r="IJ49">
        <v>-0.2164499368582429</v>
      </c>
      <c r="IK49">
        <v>-0.002077099775823331</v>
      </c>
      <c r="IL49">
        <v>4.593143279902166E-07</v>
      </c>
      <c r="IM49">
        <v>-1.865383991892071E-10</v>
      </c>
      <c r="IN49">
        <v>-0.06087574426827484</v>
      </c>
      <c r="IO49">
        <v>-0.01129461987421345</v>
      </c>
      <c r="IP49">
        <v>0.00116580895745559</v>
      </c>
      <c r="IQ49">
        <v>-1.679085872906199E-05</v>
      </c>
      <c r="IR49">
        <v>2</v>
      </c>
      <c r="IS49">
        <v>2290</v>
      </c>
      <c r="IT49">
        <v>0</v>
      </c>
      <c r="IU49">
        <v>32</v>
      </c>
      <c r="IV49">
        <v>3.7</v>
      </c>
      <c r="IW49">
        <v>3.4</v>
      </c>
      <c r="IX49">
        <v>2.72583</v>
      </c>
      <c r="IY49">
        <v>2.1875</v>
      </c>
      <c r="IZ49">
        <v>1.39648</v>
      </c>
      <c r="JA49">
        <v>2.35596</v>
      </c>
      <c r="JB49">
        <v>1.49536</v>
      </c>
      <c r="JC49">
        <v>2.31689</v>
      </c>
      <c r="JD49">
        <v>38.4034</v>
      </c>
      <c r="JE49">
        <v>24.035</v>
      </c>
      <c r="JF49">
        <v>18</v>
      </c>
      <c r="JG49">
        <v>512.54</v>
      </c>
      <c r="JH49">
        <v>427.698</v>
      </c>
      <c r="JI49">
        <v>22.5202</v>
      </c>
      <c r="JJ49">
        <v>28.6168</v>
      </c>
      <c r="JK49">
        <v>30.0002</v>
      </c>
      <c r="JL49">
        <v>28.5863</v>
      </c>
      <c r="JM49">
        <v>28.5245</v>
      </c>
      <c r="JN49">
        <v>54.5032</v>
      </c>
      <c r="JO49">
        <v>40.9819</v>
      </c>
      <c r="JP49">
        <v>0</v>
      </c>
      <c r="JQ49">
        <v>22.5002</v>
      </c>
      <c r="JR49">
        <v>1397.77</v>
      </c>
      <c r="JS49">
        <v>11.1232</v>
      </c>
      <c r="JT49">
        <v>100.317</v>
      </c>
      <c r="JU49">
        <v>100.244</v>
      </c>
    </row>
    <row r="50" spans="1:281">
      <c r="A50">
        <v>34</v>
      </c>
      <c r="B50">
        <v>1651864466.6</v>
      </c>
      <c r="C50">
        <v>246</v>
      </c>
      <c r="D50" t="s">
        <v>488</v>
      </c>
      <c r="E50" t="s">
        <v>489</v>
      </c>
      <c r="F50">
        <v>2</v>
      </c>
      <c r="G50" t="s">
        <v>413</v>
      </c>
      <c r="H50" t="s">
        <v>414</v>
      </c>
      <c r="I50">
        <v>1651864465.225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1432.499882298752</v>
      </c>
      <c r="AK50">
        <v>1414.881151515152</v>
      </c>
      <c r="AL50">
        <v>-3.258126259808604</v>
      </c>
      <c r="AM50">
        <v>66.38192812717227</v>
      </c>
      <c r="AN50">
        <f>(AP50 - AO50 + DI50*1E3/(8.314*(DK50+273.15)) * AR50/DH50 * AQ50) * DH50/(100*CV50) * 1000/(1000 - AP50)</f>
        <v>0</v>
      </c>
      <c r="AO50">
        <v>11.02877956201927</v>
      </c>
      <c r="AP50">
        <v>18.31821176470588</v>
      </c>
      <c r="AQ50">
        <v>-4.191504774893229E-05</v>
      </c>
      <c r="AR50">
        <v>80.47224507511959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417</v>
      </c>
      <c r="AY50" t="s">
        <v>417</v>
      </c>
      <c r="AZ50">
        <v>0</v>
      </c>
      <c r="BA50">
        <v>0</v>
      </c>
      <c r="BB50">
        <f>1-AZ50/BA50</f>
        <v>0</v>
      </c>
      <c r="BC50">
        <v>0</v>
      </c>
      <c r="BD50" t="s">
        <v>417</v>
      </c>
      <c r="BE50" t="s">
        <v>417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417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1248</v>
      </c>
      <c r="CA50">
        <v>300</v>
      </c>
      <c r="CB50">
        <v>300</v>
      </c>
      <c r="CC50">
        <v>300</v>
      </c>
      <c r="CD50">
        <v>10442</v>
      </c>
      <c r="CE50">
        <v>1293.69</v>
      </c>
      <c r="CF50">
        <v>-0.00735246</v>
      </c>
      <c r="CG50">
        <v>0.5</v>
      </c>
      <c r="CH50" t="s">
        <v>417</v>
      </c>
      <c r="CI50" t="s">
        <v>417</v>
      </c>
      <c r="CJ50" t="s">
        <v>417</v>
      </c>
      <c r="CK50" t="s">
        <v>417</v>
      </c>
      <c r="CL50" t="s">
        <v>417</v>
      </c>
      <c r="CM50" t="s">
        <v>417</v>
      </c>
      <c r="CN50" t="s">
        <v>417</v>
      </c>
      <c r="CO50" t="s">
        <v>417</v>
      </c>
      <c r="CP50" t="s">
        <v>417</v>
      </c>
      <c r="CQ50" t="s">
        <v>417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418</v>
      </c>
      <c r="CY50">
        <v>2</v>
      </c>
      <c r="CZ50" t="b">
        <v>1</v>
      </c>
      <c r="DA50">
        <v>1651864465.225</v>
      </c>
      <c r="DB50">
        <v>1391.7725</v>
      </c>
      <c r="DC50">
        <v>1412.0525</v>
      </c>
      <c r="DD50">
        <v>18.319475</v>
      </c>
      <c r="DE50">
        <v>11.036425</v>
      </c>
      <c r="DF50">
        <v>1394.5</v>
      </c>
      <c r="DG50">
        <v>18.29955</v>
      </c>
      <c r="DH50">
        <v>500.018</v>
      </c>
      <c r="DI50">
        <v>89.938425</v>
      </c>
      <c r="DJ50">
        <v>0.09998785</v>
      </c>
      <c r="DK50">
        <v>25.685825</v>
      </c>
      <c r="DL50">
        <v>24.996475</v>
      </c>
      <c r="DM50">
        <v>999.9</v>
      </c>
      <c r="DN50">
        <v>0</v>
      </c>
      <c r="DO50">
        <v>0</v>
      </c>
      <c r="DP50">
        <v>9997.02</v>
      </c>
      <c r="DQ50">
        <v>0</v>
      </c>
      <c r="DR50">
        <v>3.2083975</v>
      </c>
      <c r="DS50">
        <v>-20.28005</v>
      </c>
      <c r="DT50">
        <v>1417.745</v>
      </c>
      <c r="DU50">
        <v>1427.81</v>
      </c>
      <c r="DV50">
        <v>7.28308</v>
      </c>
      <c r="DW50">
        <v>1412.0525</v>
      </c>
      <c r="DX50">
        <v>11.036425</v>
      </c>
      <c r="DY50">
        <v>1.647625</v>
      </c>
      <c r="DZ50">
        <v>0.9925975</v>
      </c>
      <c r="EA50">
        <v>14.4116</v>
      </c>
      <c r="EB50">
        <v>6.80817</v>
      </c>
      <c r="EC50">
        <v>1499.9675</v>
      </c>
      <c r="ED50">
        <v>0.97300325</v>
      </c>
      <c r="EE50">
        <v>0.02699715</v>
      </c>
      <c r="EF50">
        <v>0</v>
      </c>
      <c r="EG50">
        <v>993.592</v>
      </c>
      <c r="EH50">
        <v>5.00097</v>
      </c>
      <c r="EI50">
        <v>14737.55</v>
      </c>
      <c r="EJ50">
        <v>12491.3</v>
      </c>
      <c r="EK50">
        <v>37.25</v>
      </c>
      <c r="EL50">
        <v>38.687</v>
      </c>
      <c r="EM50">
        <v>37.625</v>
      </c>
      <c r="EN50">
        <v>38.437</v>
      </c>
      <c r="EO50">
        <v>38.125</v>
      </c>
      <c r="EP50">
        <v>1454.6075</v>
      </c>
      <c r="EQ50">
        <v>40.36</v>
      </c>
      <c r="ER50">
        <v>0</v>
      </c>
      <c r="ES50">
        <v>245.4000000953674</v>
      </c>
      <c r="ET50">
        <v>0</v>
      </c>
      <c r="EU50">
        <v>998.79364</v>
      </c>
      <c r="EV50">
        <v>-53.87415384665593</v>
      </c>
      <c r="EW50">
        <v>-778.1461539115707</v>
      </c>
      <c r="EX50">
        <v>14813.488</v>
      </c>
      <c r="EY50">
        <v>15</v>
      </c>
      <c r="EZ50">
        <v>1651864261.1</v>
      </c>
      <c r="FA50" t="s">
        <v>419</v>
      </c>
      <c r="FB50">
        <v>1651864241.6</v>
      </c>
      <c r="FC50">
        <v>1651864261.1</v>
      </c>
      <c r="FD50">
        <v>7</v>
      </c>
      <c r="FE50">
        <v>0.438</v>
      </c>
      <c r="FF50">
        <v>0.002</v>
      </c>
      <c r="FG50">
        <v>-0.988</v>
      </c>
      <c r="FH50">
        <v>-0.066</v>
      </c>
      <c r="FI50">
        <v>400</v>
      </c>
      <c r="FJ50">
        <v>11</v>
      </c>
      <c r="FK50">
        <v>0.05</v>
      </c>
      <c r="FL50">
        <v>0.02</v>
      </c>
      <c r="FM50">
        <v>-20.4742725</v>
      </c>
      <c r="FN50">
        <v>0.07178499061914204</v>
      </c>
      <c r="FO50">
        <v>0.3562930345849467</v>
      </c>
      <c r="FP50">
        <v>-1</v>
      </c>
      <c r="FQ50">
        <v>7.30764025</v>
      </c>
      <c r="FR50">
        <v>-0.1431661913696107</v>
      </c>
      <c r="FS50">
        <v>0.0139403675503015</v>
      </c>
      <c r="FT50">
        <v>-1</v>
      </c>
      <c r="FU50">
        <v>0</v>
      </c>
      <c r="FV50">
        <v>0</v>
      </c>
      <c r="FW50">
        <v>0</v>
      </c>
      <c r="FX50">
        <v>-1</v>
      </c>
      <c r="FY50">
        <v>0</v>
      </c>
      <c r="FZ50">
        <v>0</v>
      </c>
      <c r="GA50" t="s">
        <v>420</v>
      </c>
      <c r="GB50">
        <v>2.98057</v>
      </c>
      <c r="GC50">
        <v>2.70604</v>
      </c>
      <c r="GD50">
        <v>0.210134</v>
      </c>
      <c r="GE50">
        <v>0.209591</v>
      </c>
      <c r="GF50">
        <v>0.0875653</v>
      </c>
      <c r="GG50">
        <v>0.0596648</v>
      </c>
      <c r="GH50">
        <v>24929.1</v>
      </c>
      <c r="GI50">
        <v>25001.3</v>
      </c>
      <c r="GJ50">
        <v>29347.8</v>
      </c>
      <c r="GK50">
        <v>29262.7</v>
      </c>
      <c r="GL50">
        <v>35460.2</v>
      </c>
      <c r="GM50">
        <v>36653</v>
      </c>
      <c r="GN50">
        <v>41309.1</v>
      </c>
      <c r="GO50">
        <v>41767.6</v>
      </c>
      <c r="GP50">
        <v>1.9585</v>
      </c>
      <c r="GQ50">
        <v>1.84868</v>
      </c>
      <c r="GR50">
        <v>-0.0264719</v>
      </c>
      <c r="GS50">
        <v>0</v>
      </c>
      <c r="GT50">
        <v>25.426</v>
      </c>
      <c r="GU50">
        <v>999.9</v>
      </c>
      <c r="GV50">
        <v>31.9</v>
      </c>
      <c r="GW50">
        <v>34.2</v>
      </c>
      <c r="GX50">
        <v>19.1632</v>
      </c>
      <c r="GY50">
        <v>62.3974</v>
      </c>
      <c r="GZ50">
        <v>34.8397</v>
      </c>
      <c r="HA50">
        <v>1</v>
      </c>
      <c r="HB50">
        <v>0.10173</v>
      </c>
      <c r="HC50">
        <v>2.2037</v>
      </c>
      <c r="HD50">
        <v>20.3199</v>
      </c>
      <c r="HE50">
        <v>5.21684</v>
      </c>
      <c r="HF50">
        <v>12.0099</v>
      </c>
      <c r="HG50">
        <v>4.98905</v>
      </c>
      <c r="HH50">
        <v>3.2885</v>
      </c>
      <c r="HI50">
        <v>993</v>
      </c>
      <c r="HJ50">
        <v>9519.799999999999</v>
      </c>
      <c r="HK50">
        <v>5139.4</v>
      </c>
      <c r="HL50">
        <v>24.8</v>
      </c>
      <c r="HM50">
        <v>1.86751</v>
      </c>
      <c r="HN50">
        <v>1.86646</v>
      </c>
      <c r="HO50">
        <v>1.866</v>
      </c>
      <c r="HP50">
        <v>1.86585</v>
      </c>
      <c r="HQ50">
        <v>1.86768</v>
      </c>
      <c r="HR50">
        <v>1.87023</v>
      </c>
      <c r="HS50">
        <v>1.86888</v>
      </c>
      <c r="HT50">
        <v>1.87024</v>
      </c>
      <c r="HU50">
        <v>0</v>
      </c>
      <c r="HV50">
        <v>0</v>
      </c>
      <c r="HW50">
        <v>0</v>
      </c>
      <c r="HX50">
        <v>0</v>
      </c>
      <c r="HY50" t="s">
        <v>421</v>
      </c>
      <c r="HZ50" t="s">
        <v>422</v>
      </c>
      <c r="IA50" t="s">
        <v>423</v>
      </c>
      <c r="IB50" t="s">
        <v>423</v>
      </c>
      <c r="IC50" t="s">
        <v>423</v>
      </c>
      <c r="ID50" t="s">
        <v>423</v>
      </c>
      <c r="IE50">
        <v>0</v>
      </c>
      <c r="IF50">
        <v>100</v>
      </c>
      <c r="IG50">
        <v>100</v>
      </c>
      <c r="IH50">
        <v>-2.71</v>
      </c>
      <c r="II50">
        <v>0.0199</v>
      </c>
      <c r="IJ50">
        <v>-0.2164499368582429</v>
      </c>
      <c r="IK50">
        <v>-0.002077099775823331</v>
      </c>
      <c r="IL50">
        <v>4.593143279902166E-07</v>
      </c>
      <c r="IM50">
        <v>-1.865383991892071E-10</v>
      </c>
      <c r="IN50">
        <v>-0.06087574426827484</v>
      </c>
      <c r="IO50">
        <v>-0.01129461987421345</v>
      </c>
      <c r="IP50">
        <v>0.00116580895745559</v>
      </c>
      <c r="IQ50">
        <v>-1.679085872906199E-05</v>
      </c>
      <c r="IR50">
        <v>2</v>
      </c>
      <c r="IS50">
        <v>2290</v>
      </c>
      <c r="IT50">
        <v>0</v>
      </c>
      <c r="IU50">
        <v>32</v>
      </c>
      <c r="IV50">
        <v>3.8</v>
      </c>
      <c r="IW50">
        <v>3.4</v>
      </c>
      <c r="IX50">
        <v>2.71484</v>
      </c>
      <c r="IY50">
        <v>2.18994</v>
      </c>
      <c r="IZ50">
        <v>1.39648</v>
      </c>
      <c r="JA50">
        <v>2.35718</v>
      </c>
      <c r="JB50">
        <v>1.49536</v>
      </c>
      <c r="JC50">
        <v>2.34619</v>
      </c>
      <c r="JD50">
        <v>38.4034</v>
      </c>
      <c r="JE50">
        <v>24.035</v>
      </c>
      <c r="JF50">
        <v>18</v>
      </c>
      <c r="JG50">
        <v>512.638</v>
      </c>
      <c r="JH50">
        <v>427.677</v>
      </c>
      <c r="JI50">
        <v>22.5185</v>
      </c>
      <c r="JJ50">
        <v>28.6168</v>
      </c>
      <c r="JK50">
        <v>30.0004</v>
      </c>
      <c r="JL50">
        <v>28.5863</v>
      </c>
      <c r="JM50">
        <v>28.5258</v>
      </c>
      <c r="JN50">
        <v>54.3027</v>
      </c>
      <c r="JO50">
        <v>40.9819</v>
      </c>
      <c r="JP50">
        <v>0</v>
      </c>
      <c r="JQ50">
        <v>22.5002</v>
      </c>
      <c r="JR50">
        <v>1391.09</v>
      </c>
      <c r="JS50">
        <v>11.1348</v>
      </c>
      <c r="JT50">
        <v>100.318</v>
      </c>
      <c r="JU50">
        <v>100.244</v>
      </c>
    </row>
    <row r="51" spans="1:281">
      <c r="A51">
        <v>35</v>
      </c>
      <c r="B51">
        <v>1651864468.6</v>
      </c>
      <c r="C51">
        <v>248</v>
      </c>
      <c r="D51" t="s">
        <v>490</v>
      </c>
      <c r="E51" t="s">
        <v>491</v>
      </c>
      <c r="F51">
        <v>2</v>
      </c>
      <c r="G51" t="s">
        <v>413</v>
      </c>
      <c r="H51" t="s">
        <v>414</v>
      </c>
      <c r="I51">
        <v>1651864467.6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1425.788604317262</v>
      </c>
      <c r="AK51">
        <v>1408.49006060606</v>
      </c>
      <c r="AL51">
        <v>-3.224174546513624</v>
      </c>
      <c r="AM51">
        <v>66.38192812717227</v>
      </c>
      <c r="AN51">
        <f>(AP51 - AO51 + DI51*1E3/(8.314*(DK51+273.15)) * AR51/DH51 * AQ51) * DH51/(100*CV51) * 1000/(1000 - AP51)</f>
        <v>0</v>
      </c>
      <c r="AO51">
        <v>11.03080203035205</v>
      </c>
      <c r="AP51">
        <v>18.31656029411764</v>
      </c>
      <c r="AQ51">
        <v>-4.092780094011156E-05</v>
      </c>
      <c r="AR51">
        <v>80.47224507511959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417</v>
      </c>
      <c r="AY51" t="s">
        <v>417</v>
      </c>
      <c r="AZ51">
        <v>0</v>
      </c>
      <c r="BA51">
        <v>0</v>
      </c>
      <c r="BB51">
        <f>1-AZ51/BA51</f>
        <v>0</v>
      </c>
      <c r="BC51">
        <v>0</v>
      </c>
      <c r="BD51" t="s">
        <v>417</v>
      </c>
      <c r="BE51" t="s">
        <v>417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417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1248</v>
      </c>
      <c r="CA51">
        <v>300</v>
      </c>
      <c r="CB51">
        <v>300</v>
      </c>
      <c r="CC51">
        <v>300</v>
      </c>
      <c r="CD51">
        <v>10442</v>
      </c>
      <c r="CE51">
        <v>1293.69</v>
      </c>
      <c r="CF51">
        <v>-0.00735246</v>
      </c>
      <c r="CG51">
        <v>0.5</v>
      </c>
      <c r="CH51" t="s">
        <v>417</v>
      </c>
      <c r="CI51" t="s">
        <v>417</v>
      </c>
      <c r="CJ51" t="s">
        <v>417</v>
      </c>
      <c r="CK51" t="s">
        <v>417</v>
      </c>
      <c r="CL51" t="s">
        <v>417</v>
      </c>
      <c r="CM51" t="s">
        <v>417</v>
      </c>
      <c r="CN51" t="s">
        <v>417</v>
      </c>
      <c r="CO51" t="s">
        <v>417</v>
      </c>
      <c r="CP51" t="s">
        <v>417</v>
      </c>
      <c r="CQ51" t="s">
        <v>417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418</v>
      </c>
      <c r="CY51">
        <v>2</v>
      </c>
      <c r="CZ51" t="b">
        <v>1</v>
      </c>
      <c r="DA51">
        <v>1651864467.6</v>
      </c>
      <c r="DB51">
        <v>1384.26</v>
      </c>
      <c r="DC51">
        <v>1404.073333333333</v>
      </c>
      <c r="DD51">
        <v>18.31676666666667</v>
      </c>
      <c r="DE51">
        <v>11.055</v>
      </c>
      <c r="DF51">
        <v>1386.97</v>
      </c>
      <c r="DG51">
        <v>18.29686666666667</v>
      </c>
      <c r="DH51">
        <v>500.0596666666667</v>
      </c>
      <c r="DI51">
        <v>89.93816666666667</v>
      </c>
      <c r="DJ51">
        <v>0.1000553333333333</v>
      </c>
      <c r="DK51">
        <v>25.68553333333334</v>
      </c>
      <c r="DL51">
        <v>24.99353333333334</v>
      </c>
      <c r="DM51">
        <v>999.9</v>
      </c>
      <c r="DN51">
        <v>0</v>
      </c>
      <c r="DO51">
        <v>0</v>
      </c>
      <c r="DP51">
        <v>9988.75</v>
      </c>
      <c r="DQ51">
        <v>0</v>
      </c>
      <c r="DR51">
        <v>3.22397</v>
      </c>
      <c r="DS51">
        <v>-19.81266666666667</v>
      </c>
      <c r="DT51">
        <v>1410.09</v>
      </c>
      <c r="DU51">
        <v>1419.77</v>
      </c>
      <c r="DV51">
        <v>7.261736666666667</v>
      </c>
      <c r="DW51">
        <v>1404.073333333333</v>
      </c>
      <c r="DX51">
        <v>11.055</v>
      </c>
      <c r="DY51">
        <v>1.647373333333333</v>
      </c>
      <c r="DZ51">
        <v>0.9942679999999999</v>
      </c>
      <c r="EA51">
        <v>14.40923333333333</v>
      </c>
      <c r="EB51">
        <v>6.832656666666666</v>
      </c>
      <c r="EC51">
        <v>1500.08</v>
      </c>
      <c r="ED51">
        <v>0.9730036666666667</v>
      </c>
      <c r="EE51">
        <v>0.0269967</v>
      </c>
      <c r="EF51">
        <v>0</v>
      </c>
      <c r="EG51">
        <v>991.2573333333333</v>
      </c>
      <c r="EH51">
        <v>5.00097</v>
      </c>
      <c r="EI51">
        <v>14706.26666666667</v>
      </c>
      <c r="EJ51">
        <v>12492.26666666667</v>
      </c>
      <c r="EK51">
        <v>37.25</v>
      </c>
      <c r="EL51">
        <v>38.687</v>
      </c>
      <c r="EM51">
        <v>37.625</v>
      </c>
      <c r="EN51">
        <v>38.437</v>
      </c>
      <c r="EO51">
        <v>38.125</v>
      </c>
      <c r="EP51">
        <v>1454.716666666666</v>
      </c>
      <c r="EQ51">
        <v>40.36333333333333</v>
      </c>
      <c r="ER51">
        <v>0</v>
      </c>
      <c r="ES51">
        <v>247.2000000476837</v>
      </c>
      <c r="ET51">
        <v>0</v>
      </c>
      <c r="EU51">
        <v>997.4578076923076</v>
      </c>
      <c r="EV51">
        <v>-54.12509394521648</v>
      </c>
      <c r="EW51">
        <v>-777.114528886582</v>
      </c>
      <c r="EX51">
        <v>14794.34615384615</v>
      </c>
      <c r="EY51">
        <v>15</v>
      </c>
      <c r="EZ51">
        <v>1651864261.1</v>
      </c>
      <c r="FA51" t="s">
        <v>419</v>
      </c>
      <c r="FB51">
        <v>1651864241.6</v>
      </c>
      <c r="FC51">
        <v>1651864261.1</v>
      </c>
      <c r="FD51">
        <v>7</v>
      </c>
      <c r="FE51">
        <v>0.438</v>
      </c>
      <c r="FF51">
        <v>0.002</v>
      </c>
      <c r="FG51">
        <v>-0.988</v>
      </c>
      <c r="FH51">
        <v>-0.066</v>
      </c>
      <c r="FI51">
        <v>400</v>
      </c>
      <c r="FJ51">
        <v>11</v>
      </c>
      <c r="FK51">
        <v>0.05</v>
      </c>
      <c r="FL51">
        <v>0.02</v>
      </c>
      <c r="FM51">
        <v>-20.42619512195122</v>
      </c>
      <c r="FN51">
        <v>0.5723707317072609</v>
      </c>
      <c r="FO51">
        <v>0.377778251482636</v>
      </c>
      <c r="FP51">
        <v>-1</v>
      </c>
      <c r="FQ51">
        <v>7.303657073170732</v>
      </c>
      <c r="FR51">
        <v>-0.1647648083623696</v>
      </c>
      <c r="FS51">
        <v>0.01677246251302245</v>
      </c>
      <c r="FT51">
        <v>-1</v>
      </c>
      <c r="FU51">
        <v>0</v>
      </c>
      <c r="FV51">
        <v>0</v>
      </c>
      <c r="FW51">
        <v>0</v>
      </c>
      <c r="FX51">
        <v>-1</v>
      </c>
      <c r="FY51">
        <v>0</v>
      </c>
      <c r="FZ51">
        <v>0</v>
      </c>
      <c r="GA51" t="s">
        <v>420</v>
      </c>
      <c r="GB51">
        <v>2.98066</v>
      </c>
      <c r="GC51">
        <v>2.70616</v>
      </c>
      <c r="GD51">
        <v>0.209544</v>
      </c>
      <c r="GE51">
        <v>0.208973</v>
      </c>
      <c r="GF51">
        <v>0.08755979999999999</v>
      </c>
      <c r="GG51">
        <v>0.0597239</v>
      </c>
      <c r="GH51">
        <v>24947.6</v>
      </c>
      <c r="GI51">
        <v>25020.9</v>
      </c>
      <c r="GJ51">
        <v>29347.6</v>
      </c>
      <c r="GK51">
        <v>29262.7</v>
      </c>
      <c r="GL51">
        <v>35459.9</v>
      </c>
      <c r="GM51">
        <v>36650.7</v>
      </c>
      <c r="GN51">
        <v>41308.4</v>
      </c>
      <c r="GO51">
        <v>41767.6</v>
      </c>
      <c r="GP51">
        <v>1.95845</v>
      </c>
      <c r="GQ51">
        <v>1.84865</v>
      </c>
      <c r="GR51">
        <v>-0.026308</v>
      </c>
      <c r="GS51">
        <v>0</v>
      </c>
      <c r="GT51">
        <v>25.425</v>
      </c>
      <c r="GU51">
        <v>999.9</v>
      </c>
      <c r="GV51">
        <v>31.9</v>
      </c>
      <c r="GW51">
        <v>34.2</v>
      </c>
      <c r="GX51">
        <v>19.1639</v>
      </c>
      <c r="GY51">
        <v>62.4075</v>
      </c>
      <c r="GZ51">
        <v>35.1843</v>
      </c>
      <c r="HA51">
        <v>1</v>
      </c>
      <c r="HB51">
        <v>0.10189</v>
      </c>
      <c r="HC51">
        <v>2.22691</v>
      </c>
      <c r="HD51">
        <v>20.3196</v>
      </c>
      <c r="HE51">
        <v>5.21609</v>
      </c>
      <c r="HF51">
        <v>12.0099</v>
      </c>
      <c r="HG51">
        <v>4.98875</v>
      </c>
      <c r="HH51">
        <v>3.2885</v>
      </c>
      <c r="HI51">
        <v>993</v>
      </c>
      <c r="HJ51">
        <v>9519.799999999999</v>
      </c>
      <c r="HK51">
        <v>5139.4</v>
      </c>
      <c r="HL51">
        <v>24.8</v>
      </c>
      <c r="HM51">
        <v>1.86751</v>
      </c>
      <c r="HN51">
        <v>1.86646</v>
      </c>
      <c r="HO51">
        <v>1.866</v>
      </c>
      <c r="HP51">
        <v>1.86586</v>
      </c>
      <c r="HQ51">
        <v>1.86769</v>
      </c>
      <c r="HR51">
        <v>1.87021</v>
      </c>
      <c r="HS51">
        <v>1.86889</v>
      </c>
      <c r="HT51">
        <v>1.87023</v>
      </c>
      <c r="HU51">
        <v>0</v>
      </c>
      <c r="HV51">
        <v>0</v>
      </c>
      <c r="HW51">
        <v>0</v>
      </c>
      <c r="HX51">
        <v>0</v>
      </c>
      <c r="HY51" t="s">
        <v>421</v>
      </c>
      <c r="HZ51" t="s">
        <v>422</v>
      </c>
      <c r="IA51" t="s">
        <v>423</v>
      </c>
      <c r="IB51" t="s">
        <v>423</v>
      </c>
      <c r="IC51" t="s">
        <v>423</v>
      </c>
      <c r="ID51" t="s">
        <v>423</v>
      </c>
      <c r="IE51">
        <v>0</v>
      </c>
      <c r="IF51">
        <v>100</v>
      </c>
      <c r="IG51">
        <v>100</v>
      </c>
      <c r="IH51">
        <v>-2.71</v>
      </c>
      <c r="II51">
        <v>0.0199</v>
      </c>
      <c r="IJ51">
        <v>-0.2164499368582429</v>
      </c>
      <c r="IK51">
        <v>-0.002077099775823331</v>
      </c>
      <c r="IL51">
        <v>4.593143279902166E-07</v>
      </c>
      <c r="IM51">
        <v>-1.865383991892071E-10</v>
      </c>
      <c r="IN51">
        <v>-0.06087574426827484</v>
      </c>
      <c r="IO51">
        <v>-0.01129461987421345</v>
      </c>
      <c r="IP51">
        <v>0.00116580895745559</v>
      </c>
      <c r="IQ51">
        <v>-1.679085872906199E-05</v>
      </c>
      <c r="IR51">
        <v>2</v>
      </c>
      <c r="IS51">
        <v>2290</v>
      </c>
      <c r="IT51">
        <v>0</v>
      </c>
      <c r="IU51">
        <v>32</v>
      </c>
      <c r="IV51">
        <v>3.8</v>
      </c>
      <c r="IW51">
        <v>3.5</v>
      </c>
      <c r="IX51">
        <v>2.70508</v>
      </c>
      <c r="IY51">
        <v>2.18994</v>
      </c>
      <c r="IZ51">
        <v>1.39648</v>
      </c>
      <c r="JA51">
        <v>2.35596</v>
      </c>
      <c r="JB51">
        <v>1.49536</v>
      </c>
      <c r="JC51">
        <v>2.29736</v>
      </c>
      <c r="JD51">
        <v>38.4034</v>
      </c>
      <c r="JE51">
        <v>24.035</v>
      </c>
      <c r="JF51">
        <v>18</v>
      </c>
      <c r="JG51">
        <v>512.6130000000001</v>
      </c>
      <c r="JH51">
        <v>427.669</v>
      </c>
      <c r="JI51">
        <v>22.5111</v>
      </c>
      <c r="JJ51">
        <v>28.6178</v>
      </c>
      <c r="JK51">
        <v>30.0004</v>
      </c>
      <c r="JL51">
        <v>28.5872</v>
      </c>
      <c r="JM51">
        <v>28.5267</v>
      </c>
      <c r="JN51">
        <v>54.0889</v>
      </c>
      <c r="JO51">
        <v>40.9819</v>
      </c>
      <c r="JP51">
        <v>0</v>
      </c>
      <c r="JQ51">
        <v>22.5002</v>
      </c>
      <c r="JR51">
        <v>1384.41</v>
      </c>
      <c r="JS51">
        <v>11.1359</v>
      </c>
      <c r="JT51">
        <v>100.317</v>
      </c>
      <c r="JU51">
        <v>100.245</v>
      </c>
    </row>
    <row r="52" spans="1:281">
      <c r="A52">
        <v>36</v>
      </c>
      <c r="B52">
        <v>1651864470.6</v>
      </c>
      <c r="C52">
        <v>250</v>
      </c>
      <c r="D52" t="s">
        <v>492</v>
      </c>
      <c r="E52" t="s">
        <v>493</v>
      </c>
      <c r="F52">
        <v>2</v>
      </c>
      <c r="G52" t="s">
        <v>413</v>
      </c>
      <c r="H52" t="s">
        <v>414</v>
      </c>
      <c r="I52">
        <v>1651864469.225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1418.989302473281</v>
      </c>
      <c r="AK52">
        <v>1401.849636363637</v>
      </c>
      <c r="AL52">
        <v>-3.277591350431608</v>
      </c>
      <c r="AM52">
        <v>66.38192812717227</v>
      </c>
      <c r="AN52">
        <f>(AP52 - AO52 + DI52*1E3/(8.314*(DK52+273.15)) * AR52/DH52 * AQ52) * DH52/(100*CV52) * 1000/(1000 - AP52)</f>
        <v>0</v>
      </c>
      <c r="AO52">
        <v>11.0432293352195</v>
      </c>
      <c r="AP52">
        <v>18.31655529411765</v>
      </c>
      <c r="AQ52">
        <v>-3.168058231754298E-05</v>
      </c>
      <c r="AR52">
        <v>80.47224507511959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417</v>
      </c>
      <c r="AY52" t="s">
        <v>417</v>
      </c>
      <c r="AZ52">
        <v>0</v>
      </c>
      <c r="BA52">
        <v>0</v>
      </c>
      <c r="BB52">
        <f>1-AZ52/BA52</f>
        <v>0</v>
      </c>
      <c r="BC52">
        <v>0</v>
      </c>
      <c r="BD52" t="s">
        <v>417</v>
      </c>
      <c r="BE52" t="s">
        <v>417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417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1248</v>
      </c>
      <c r="CA52">
        <v>300</v>
      </c>
      <c r="CB52">
        <v>300</v>
      </c>
      <c r="CC52">
        <v>300</v>
      </c>
      <c r="CD52">
        <v>10442</v>
      </c>
      <c r="CE52">
        <v>1293.69</v>
      </c>
      <c r="CF52">
        <v>-0.00735246</v>
      </c>
      <c r="CG52">
        <v>0.5</v>
      </c>
      <c r="CH52" t="s">
        <v>417</v>
      </c>
      <c r="CI52" t="s">
        <v>417</v>
      </c>
      <c r="CJ52" t="s">
        <v>417</v>
      </c>
      <c r="CK52" t="s">
        <v>417</v>
      </c>
      <c r="CL52" t="s">
        <v>417</v>
      </c>
      <c r="CM52" t="s">
        <v>417</v>
      </c>
      <c r="CN52" t="s">
        <v>417</v>
      </c>
      <c r="CO52" t="s">
        <v>417</v>
      </c>
      <c r="CP52" t="s">
        <v>417</v>
      </c>
      <c r="CQ52" t="s">
        <v>417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418</v>
      </c>
      <c r="CY52">
        <v>2</v>
      </c>
      <c r="CZ52" t="b">
        <v>1</v>
      </c>
      <c r="DA52">
        <v>1651864469.225</v>
      </c>
      <c r="DB52">
        <v>1379.0275</v>
      </c>
      <c r="DC52">
        <v>1398.5825</v>
      </c>
      <c r="DD52">
        <v>18.316675</v>
      </c>
      <c r="DE52">
        <v>11.06225</v>
      </c>
      <c r="DF52">
        <v>1381.73</v>
      </c>
      <c r="DG52">
        <v>18.296775</v>
      </c>
      <c r="DH52">
        <v>500.04775</v>
      </c>
      <c r="DI52">
        <v>89.93807500000001</v>
      </c>
      <c r="DJ52">
        <v>0.100049475</v>
      </c>
      <c r="DK52">
        <v>25.6872</v>
      </c>
      <c r="DL52">
        <v>24.995275</v>
      </c>
      <c r="DM52">
        <v>999.9</v>
      </c>
      <c r="DN52">
        <v>0</v>
      </c>
      <c r="DO52">
        <v>0</v>
      </c>
      <c r="DP52">
        <v>9988.125</v>
      </c>
      <c r="DQ52">
        <v>0</v>
      </c>
      <c r="DR52">
        <v>3.23158</v>
      </c>
      <c r="DS52">
        <v>-19.55525</v>
      </c>
      <c r="DT52">
        <v>1404.76</v>
      </c>
      <c r="DU52">
        <v>1414.2275</v>
      </c>
      <c r="DV52">
        <v>7.254415</v>
      </c>
      <c r="DW52">
        <v>1398.5825</v>
      </c>
      <c r="DX52">
        <v>11.06225</v>
      </c>
      <c r="DY52">
        <v>1.647365</v>
      </c>
      <c r="DZ52">
        <v>0.9949177499999999</v>
      </c>
      <c r="EA52">
        <v>14.40915</v>
      </c>
      <c r="EB52">
        <v>6.8421625</v>
      </c>
      <c r="EC52">
        <v>1500.0275</v>
      </c>
      <c r="ED52">
        <v>0.97300325</v>
      </c>
      <c r="EE52">
        <v>0.02699715</v>
      </c>
      <c r="EF52">
        <v>0</v>
      </c>
      <c r="EG52">
        <v>990.0097499999999</v>
      </c>
      <c r="EH52">
        <v>5.00097</v>
      </c>
      <c r="EI52">
        <v>14686.425</v>
      </c>
      <c r="EJ52">
        <v>12491.825</v>
      </c>
      <c r="EK52">
        <v>37.25</v>
      </c>
      <c r="EL52">
        <v>38.687</v>
      </c>
      <c r="EM52">
        <v>37.625</v>
      </c>
      <c r="EN52">
        <v>38.437</v>
      </c>
      <c r="EO52">
        <v>38.125</v>
      </c>
      <c r="EP52">
        <v>1454.665</v>
      </c>
      <c r="EQ52">
        <v>40.3625</v>
      </c>
      <c r="ER52">
        <v>0</v>
      </c>
      <c r="ES52">
        <v>249.6000001430511</v>
      </c>
      <c r="ET52">
        <v>0</v>
      </c>
      <c r="EU52">
        <v>995.3110769230769</v>
      </c>
      <c r="EV52">
        <v>-53.5576752151382</v>
      </c>
      <c r="EW52">
        <v>-772.8410256272853</v>
      </c>
      <c r="EX52">
        <v>14763.43846153846</v>
      </c>
      <c r="EY52">
        <v>15</v>
      </c>
      <c r="EZ52">
        <v>1651864261.1</v>
      </c>
      <c r="FA52" t="s">
        <v>419</v>
      </c>
      <c r="FB52">
        <v>1651864241.6</v>
      </c>
      <c r="FC52">
        <v>1651864261.1</v>
      </c>
      <c r="FD52">
        <v>7</v>
      </c>
      <c r="FE52">
        <v>0.438</v>
      </c>
      <c r="FF52">
        <v>0.002</v>
      </c>
      <c r="FG52">
        <v>-0.988</v>
      </c>
      <c r="FH52">
        <v>-0.066</v>
      </c>
      <c r="FI52">
        <v>400</v>
      </c>
      <c r="FJ52">
        <v>11</v>
      </c>
      <c r="FK52">
        <v>0.05</v>
      </c>
      <c r="FL52">
        <v>0.02</v>
      </c>
      <c r="FM52">
        <v>-20.2683225</v>
      </c>
      <c r="FN52">
        <v>1.266449155722375</v>
      </c>
      <c r="FO52">
        <v>0.441301794403501</v>
      </c>
      <c r="FP52">
        <v>-1</v>
      </c>
      <c r="FQ52">
        <v>7.2943775</v>
      </c>
      <c r="FR52">
        <v>-0.208581613508475</v>
      </c>
      <c r="FS52">
        <v>0.02088046955290998</v>
      </c>
      <c r="FT52">
        <v>-1</v>
      </c>
      <c r="FU52">
        <v>0</v>
      </c>
      <c r="FV52">
        <v>0</v>
      </c>
      <c r="FW52">
        <v>0</v>
      </c>
      <c r="FX52">
        <v>-1</v>
      </c>
      <c r="FY52">
        <v>0</v>
      </c>
      <c r="FZ52">
        <v>0</v>
      </c>
      <c r="GA52" t="s">
        <v>420</v>
      </c>
      <c r="GB52">
        <v>2.98055</v>
      </c>
      <c r="GC52">
        <v>2.70613</v>
      </c>
      <c r="GD52">
        <v>0.208932</v>
      </c>
      <c r="GE52">
        <v>0.208347</v>
      </c>
      <c r="GF52">
        <v>0.08755930000000001</v>
      </c>
      <c r="GG52">
        <v>0.0597367</v>
      </c>
      <c r="GH52">
        <v>24966.4</v>
      </c>
      <c r="GI52">
        <v>25040.7</v>
      </c>
      <c r="GJ52">
        <v>29347.1</v>
      </c>
      <c r="GK52">
        <v>29262.7</v>
      </c>
      <c r="GL52">
        <v>35459.3</v>
      </c>
      <c r="GM52">
        <v>36650.2</v>
      </c>
      <c r="GN52">
        <v>41307.8</v>
      </c>
      <c r="GO52">
        <v>41767.6</v>
      </c>
      <c r="GP52">
        <v>1.95837</v>
      </c>
      <c r="GQ52">
        <v>1.84862</v>
      </c>
      <c r="GR52">
        <v>-0.0260025</v>
      </c>
      <c r="GS52">
        <v>0</v>
      </c>
      <c r="GT52">
        <v>25.4239</v>
      </c>
      <c r="GU52">
        <v>999.9</v>
      </c>
      <c r="GV52">
        <v>31.9</v>
      </c>
      <c r="GW52">
        <v>34.2</v>
      </c>
      <c r="GX52">
        <v>19.1626</v>
      </c>
      <c r="GY52">
        <v>62.2375</v>
      </c>
      <c r="GZ52">
        <v>35.02</v>
      </c>
      <c r="HA52">
        <v>1</v>
      </c>
      <c r="HB52">
        <v>0.101979</v>
      </c>
      <c r="HC52">
        <v>2.19697</v>
      </c>
      <c r="HD52">
        <v>20.32</v>
      </c>
      <c r="HE52">
        <v>5.21579</v>
      </c>
      <c r="HF52">
        <v>12.0099</v>
      </c>
      <c r="HG52">
        <v>4.98855</v>
      </c>
      <c r="HH52">
        <v>3.2885</v>
      </c>
      <c r="HI52">
        <v>993.2</v>
      </c>
      <c r="HJ52">
        <v>9521.1</v>
      </c>
      <c r="HK52">
        <v>5139.4</v>
      </c>
      <c r="HL52">
        <v>24.8</v>
      </c>
      <c r="HM52">
        <v>1.86749</v>
      </c>
      <c r="HN52">
        <v>1.86646</v>
      </c>
      <c r="HO52">
        <v>1.866</v>
      </c>
      <c r="HP52">
        <v>1.86587</v>
      </c>
      <c r="HQ52">
        <v>1.8677</v>
      </c>
      <c r="HR52">
        <v>1.8702</v>
      </c>
      <c r="HS52">
        <v>1.86889</v>
      </c>
      <c r="HT52">
        <v>1.87023</v>
      </c>
      <c r="HU52">
        <v>0</v>
      </c>
      <c r="HV52">
        <v>0</v>
      </c>
      <c r="HW52">
        <v>0</v>
      </c>
      <c r="HX52">
        <v>0</v>
      </c>
      <c r="HY52" t="s">
        <v>421</v>
      </c>
      <c r="HZ52" t="s">
        <v>422</v>
      </c>
      <c r="IA52" t="s">
        <v>423</v>
      </c>
      <c r="IB52" t="s">
        <v>423</v>
      </c>
      <c r="IC52" t="s">
        <v>423</v>
      </c>
      <c r="ID52" t="s">
        <v>423</v>
      </c>
      <c r="IE52">
        <v>0</v>
      </c>
      <c r="IF52">
        <v>100</v>
      </c>
      <c r="IG52">
        <v>100</v>
      </c>
      <c r="IH52">
        <v>-2.69</v>
      </c>
      <c r="II52">
        <v>0.0199</v>
      </c>
      <c r="IJ52">
        <v>-0.2164499368582429</v>
      </c>
      <c r="IK52">
        <v>-0.002077099775823331</v>
      </c>
      <c r="IL52">
        <v>4.593143279902166E-07</v>
      </c>
      <c r="IM52">
        <v>-1.865383991892071E-10</v>
      </c>
      <c r="IN52">
        <v>-0.06087574426827484</v>
      </c>
      <c r="IO52">
        <v>-0.01129461987421345</v>
      </c>
      <c r="IP52">
        <v>0.00116580895745559</v>
      </c>
      <c r="IQ52">
        <v>-1.679085872906199E-05</v>
      </c>
      <c r="IR52">
        <v>2</v>
      </c>
      <c r="IS52">
        <v>2290</v>
      </c>
      <c r="IT52">
        <v>0</v>
      </c>
      <c r="IU52">
        <v>32</v>
      </c>
      <c r="IV52">
        <v>3.8</v>
      </c>
      <c r="IW52">
        <v>3.5</v>
      </c>
      <c r="IX52">
        <v>2.69531</v>
      </c>
      <c r="IY52">
        <v>2.18872</v>
      </c>
      <c r="IZ52">
        <v>1.39648</v>
      </c>
      <c r="JA52">
        <v>2.35718</v>
      </c>
      <c r="JB52">
        <v>1.49536</v>
      </c>
      <c r="JC52">
        <v>2.37915</v>
      </c>
      <c r="JD52">
        <v>38.4034</v>
      </c>
      <c r="JE52">
        <v>24.035</v>
      </c>
      <c r="JF52">
        <v>18</v>
      </c>
      <c r="JG52">
        <v>512.574</v>
      </c>
      <c r="JH52">
        <v>427.654</v>
      </c>
      <c r="JI52">
        <v>22.5039</v>
      </c>
      <c r="JJ52">
        <v>28.619</v>
      </c>
      <c r="JK52">
        <v>30.0003</v>
      </c>
      <c r="JL52">
        <v>28.5885</v>
      </c>
      <c r="JM52">
        <v>28.5267</v>
      </c>
      <c r="JN52">
        <v>53.8999</v>
      </c>
      <c r="JO52">
        <v>40.9819</v>
      </c>
      <c r="JP52">
        <v>0</v>
      </c>
      <c r="JQ52">
        <v>22.5045</v>
      </c>
      <c r="JR52">
        <v>1377.73</v>
      </c>
      <c r="JS52">
        <v>11.1465</v>
      </c>
      <c r="JT52">
        <v>100.315</v>
      </c>
      <c r="JU52">
        <v>100.245</v>
      </c>
    </row>
    <row r="53" spans="1:281">
      <c r="A53">
        <v>37</v>
      </c>
      <c r="B53">
        <v>1651864472.6</v>
      </c>
      <c r="C53">
        <v>252</v>
      </c>
      <c r="D53" t="s">
        <v>494</v>
      </c>
      <c r="E53" t="s">
        <v>495</v>
      </c>
      <c r="F53">
        <v>2</v>
      </c>
      <c r="G53" t="s">
        <v>413</v>
      </c>
      <c r="H53" t="s">
        <v>414</v>
      </c>
      <c r="I53">
        <v>1651864471.6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1412.126040955904</v>
      </c>
      <c r="AK53">
        <v>1395.057757575757</v>
      </c>
      <c r="AL53">
        <v>-3.370617005591531</v>
      </c>
      <c r="AM53">
        <v>66.38192812717227</v>
      </c>
      <c r="AN53">
        <f>(AP53 - AO53 + DI53*1E3/(8.314*(DK53+273.15)) * AR53/DH53 * AQ53) * DH53/(100*CV53) * 1000/(1000 - AP53)</f>
        <v>0</v>
      </c>
      <c r="AO53">
        <v>11.05789886128697</v>
      </c>
      <c r="AP53">
        <v>18.31521470588235</v>
      </c>
      <c r="AQ53">
        <v>-1.249015409757901E-05</v>
      </c>
      <c r="AR53">
        <v>80.47224507511959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417</v>
      </c>
      <c r="AY53" t="s">
        <v>417</v>
      </c>
      <c r="AZ53">
        <v>0</v>
      </c>
      <c r="BA53">
        <v>0</v>
      </c>
      <c r="BB53">
        <f>1-AZ53/BA53</f>
        <v>0</v>
      </c>
      <c r="BC53">
        <v>0</v>
      </c>
      <c r="BD53" t="s">
        <v>417</v>
      </c>
      <c r="BE53" t="s">
        <v>417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417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1248</v>
      </c>
      <c r="CA53">
        <v>300</v>
      </c>
      <c r="CB53">
        <v>300</v>
      </c>
      <c r="CC53">
        <v>300</v>
      </c>
      <c r="CD53">
        <v>10442</v>
      </c>
      <c r="CE53">
        <v>1293.69</v>
      </c>
      <c r="CF53">
        <v>-0.00735246</v>
      </c>
      <c r="CG53">
        <v>0.5</v>
      </c>
      <c r="CH53" t="s">
        <v>417</v>
      </c>
      <c r="CI53" t="s">
        <v>417</v>
      </c>
      <c r="CJ53" t="s">
        <v>417</v>
      </c>
      <c r="CK53" t="s">
        <v>417</v>
      </c>
      <c r="CL53" t="s">
        <v>417</v>
      </c>
      <c r="CM53" t="s">
        <v>417</v>
      </c>
      <c r="CN53" t="s">
        <v>417</v>
      </c>
      <c r="CO53" t="s">
        <v>417</v>
      </c>
      <c r="CP53" t="s">
        <v>417</v>
      </c>
      <c r="CQ53" t="s">
        <v>417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418</v>
      </c>
      <c r="CY53">
        <v>2</v>
      </c>
      <c r="CZ53" t="b">
        <v>1</v>
      </c>
      <c r="DA53">
        <v>1651864471.6</v>
      </c>
      <c r="DB53">
        <v>1371.18</v>
      </c>
      <c r="DC53">
        <v>1390.38</v>
      </c>
      <c r="DD53">
        <v>18.3152</v>
      </c>
      <c r="DE53">
        <v>11.064</v>
      </c>
      <c r="DF53">
        <v>1373.866666666667</v>
      </c>
      <c r="DG53">
        <v>18.2953</v>
      </c>
      <c r="DH53">
        <v>500.0873333333333</v>
      </c>
      <c r="DI53">
        <v>89.93853333333334</v>
      </c>
      <c r="DJ53">
        <v>0.1000796666666667</v>
      </c>
      <c r="DK53">
        <v>25.68706666666667</v>
      </c>
      <c r="DL53">
        <v>24.99876666666667</v>
      </c>
      <c r="DM53">
        <v>999.9</v>
      </c>
      <c r="DN53">
        <v>0</v>
      </c>
      <c r="DO53">
        <v>0</v>
      </c>
      <c r="DP53">
        <v>9984.373333333335</v>
      </c>
      <c r="DQ53">
        <v>0</v>
      </c>
      <c r="DR53">
        <v>3.23193</v>
      </c>
      <c r="DS53">
        <v>-19.19856666666667</v>
      </c>
      <c r="DT53">
        <v>1396.766666666666</v>
      </c>
      <c r="DU53">
        <v>1405.936666666666</v>
      </c>
      <c r="DV53">
        <v>7.2512</v>
      </c>
      <c r="DW53">
        <v>1390.38</v>
      </c>
      <c r="DX53">
        <v>11.064</v>
      </c>
      <c r="DY53">
        <v>1.647243333333333</v>
      </c>
      <c r="DZ53">
        <v>0.9950796666666667</v>
      </c>
      <c r="EA53">
        <v>14.40796666666667</v>
      </c>
      <c r="EB53">
        <v>6.844533333333334</v>
      </c>
      <c r="EC53">
        <v>1500.086666666667</v>
      </c>
      <c r="ED53">
        <v>0.9730053333333334</v>
      </c>
      <c r="EE53">
        <v>0.0269949</v>
      </c>
      <c r="EF53">
        <v>0</v>
      </c>
      <c r="EG53">
        <v>988.165</v>
      </c>
      <c r="EH53">
        <v>5.00097</v>
      </c>
      <c r="EI53">
        <v>14659.13333333333</v>
      </c>
      <c r="EJ53">
        <v>12492.33333333333</v>
      </c>
      <c r="EK53">
        <v>37.25</v>
      </c>
      <c r="EL53">
        <v>38.687</v>
      </c>
      <c r="EM53">
        <v>37.625</v>
      </c>
      <c r="EN53">
        <v>38.437</v>
      </c>
      <c r="EO53">
        <v>38.125</v>
      </c>
      <c r="EP53">
        <v>1454.726666666667</v>
      </c>
      <c r="EQ53">
        <v>40.36</v>
      </c>
      <c r="ER53">
        <v>0</v>
      </c>
      <c r="ES53">
        <v>251.4000000953674</v>
      </c>
      <c r="ET53">
        <v>0</v>
      </c>
      <c r="EU53">
        <v>993.4565199999998</v>
      </c>
      <c r="EV53">
        <v>-53.72415385386785</v>
      </c>
      <c r="EW53">
        <v>-765.615384597056</v>
      </c>
      <c r="EX53">
        <v>14736.472</v>
      </c>
      <c r="EY53">
        <v>15</v>
      </c>
      <c r="EZ53">
        <v>1651864261.1</v>
      </c>
      <c r="FA53" t="s">
        <v>419</v>
      </c>
      <c r="FB53">
        <v>1651864241.6</v>
      </c>
      <c r="FC53">
        <v>1651864261.1</v>
      </c>
      <c r="FD53">
        <v>7</v>
      </c>
      <c r="FE53">
        <v>0.438</v>
      </c>
      <c r="FF53">
        <v>0.002</v>
      </c>
      <c r="FG53">
        <v>-0.988</v>
      </c>
      <c r="FH53">
        <v>-0.066</v>
      </c>
      <c r="FI53">
        <v>400</v>
      </c>
      <c r="FJ53">
        <v>11</v>
      </c>
      <c r="FK53">
        <v>0.05</v>
      </c>
      <c r="FL53">
        <v>0.02</v>
      </c>
      <c r="FM53">
        <v>-20.17148780487805</v>
      </c>
      <c r="FN53">
        <v>2.039006968641178</v>
      </c>
      <c r="FO53">
        <v>0.5014458588556436</v>
      </c>
      <c r="FP53">
        <v>-1</v>
      </c>
      <c r="FQ53">
        <v>7.289978780487804</v>
      </c>
      <c r="FR53">
        <v>-0.2202211149825768</v>
      </c>
      <c r="FS53">
        <v>0.02242004669118111</v>
      </c>
      <c r="FT53">
        <v>-1</v>
      </c>
      <c r="FU53">
        <v>0</v>
      </c>
      <c r="FV53">
        <v>0</v>
      </c>
      <c r="FW53">
        <v>0</v>
      </c>
      <c r="FX53">
        <v>-1</v>
      </c>
      <c r="FY53">
        <v>0</v>
      </c>
      <c r="FZ53">
        <v>0</v>
      </c>
      <c r="GA53" t="s">
        <v>420</v>
      </c>
      <c r="GB53">
        <v>2.98062</v>
      </c>
      <c r="GC53">
        <v>2.70601</v>
      </c>
      <c r="GD53">
        <v>0.20831</v>
      </c>
      <c r="GE53">
        <v>0.207721</v>
      </c>
      <c r="GF53">
        <v>0.0875442</v>
      </c>
      <c r="GG53">
        <v>0.059736</v>
      </c>
      <c r="GH53">
        <v>24986</v>
      </c>
      <c r="GI53">
        <v>25060.5</v>
      </c>
      <c r="GJ53">
        <v>29347</v>
      </c>
      <c r="GK53">
        <v>29262.7</v>
      </c>
      <c r="GL53">
        <v>35459.9</v>
      </c>
      <c r="GM53">
        <v>36650.3</v>
      </c>
      <c r="GN53">
        <v>41307.8</v>
      </c>
      <c r="GO53">
        <v>41767.7</v>
      </c>
      <c r="GP53">
        <v>1.95847</v>
      </c>
      <c r="GQ53">
        <v>1.8488</v>
      </c>
      <c r="GR53">
        <v>-0.0256598</v>
      </c>
      <c r="GS53">
        <v>0</v>
      </c>
      <c r="GT53">
        <v>25.4228</v>
      </c>
      <c r="GU53">
        <v>999.9</v>
      </c>
      <c r="GV53">
        <v>31.9</v>
      </c>
      <c r="GW53">
        <v>34.2</v>
      </c>
      <c r="GX53">
        <v>19.1636</v>
      </c>
      <c r="GY53">
        <v>62.4275</v>
      </c>
      <c r="GZ53">
        <v>34.9439</v>
      </c>
      <c r="HA53">
        <v>1</v>
      </c>
      <c r="HB53">
        <v>0.102088</v>
      </c>
      <c r="HC53">
        <v>2.17743</v>
      </c>
      <c r="HD53">
        <v>20.3203</v>
      </c>
      <c r="HE53">
        <v>5.21594</v>
      </c>
      <c r="HF53">
        <v>12.0099</v>
      </c>
      <c r="HG53">
        <v>4.9885</v>
      </c>
      <c r="HH53">
        <v>3.2885</v>
      </c>
      <c r="HI53">
        <v>993.2</v>
      </c>
      <c r="HJ53">
        <v>9521.1</v>
      </c>
      <c r="HK53">
        <v>5139.4</v>
      </c>
      <c r="HL53">
        <v>24.8</v>
      </c>
      <c r="HM53">
        <v>1.8675</v>
      </c>
      <c r="HN53">
        <v>1.86646</v>
      </c>
      <c r="HO53">
        <v>1.866</v>
      </c>
      <c r="HP53">
        <v>1.86585</v>
      </c>
      <c r="HQ53">
        <v>1.86769</v>
      </c>
      <c r="HR53">
        <v>1.8702</v>
      </c>
      <c r="HS53">
        <v>1.86888</v>
      </c>
      <c r="HT53">
        <v>1.87024</v>
      </c>
      <c r="HU53">
        <v>0</v>
      </c>
      <c r="HV53">
        <v>0</v>
      </c>
      <c r="HW53">
        <v>0</v>
      </c>
      <c r="HX53">
        <v>0</v>
      </c>
      <c r="HY53" t="s">
        <v>421</v>
      </c>
      <c r="HZ53" t="s">
        <v>422</v>
      </c>
      <c r="IA53" t="s">
        <v>423</v>
      </c>
      <c r="IB53" t="s">
        <v>423</v>
      </c>
      <c r="IC53" t="s">
        <v>423</v>
      </c>
      <c r="ID53" t="s">
        <v>423</v>
      </c>
      <c r="IE53">
        <v>0</v>
      </c>
      <c r="IF53">
        <v>100</v>
      </c>
      <c r="IG53">
        <v>100</v>
      </c>
      <c r="IH53">
        <v>-2.68</v>
      </c>
      <c r="II53">
        <v>0.0198</v>
      </c>
      <c r="IJ53">
        <v>-0.2164499368582429</v>
      </c>
      <c r="IK53">
        <v>-0.002077099775823331</v>
      </c>
      <c r="IL53">
        <v>4.593143279902166E-07</v>
      </c>
      <c r="IM53">
        <v>-1.865383991892071E-10</v>
      </c>
      <c r="IN53">
        <v>-0.06087574426827484</v>
      </c>
      <c r="IO53">
        <v>-0.01129461987421345</v>
      </c>
      <c r="IP53">
        <v>0.00116580895745559</v>
      </c>
      <c r="IQ53">
        <v>-1.679085872906199E-05</v>
      </c>
      <c r="IR53">
        <v>2</v>
      </c>
      <c r="IS53">
        <v>2290</v>
      </c>
      <c r="IT53">
        <v>0</v>
      </c>
      <c r="IU53">
        <v>32</v>
      </c>
      <c r="IV53">
        <v>3.9</v>
      </c>
      <c r="IW53">
        <v>3.5</v>
      </c>
      <c r="IX53">
        <v>2.68433</v>
      </c>
      <c r="IY53">
        <v>2.19604</v>
      </c>
      <c r="IZ53">
        <v>1.39648</v>
      </c>
      <c r="JA53">
        <v>2.35596</v>
      </c>
      <c r="JB53">
        <v>1.49536</v>
      </c>
      <c r="JC53">
        <v>2.30835</v>
      </c>
      <c r="JD53">
        <v>38.4034</v>
      </c>
      <c r="JE53">
        <v>24.0262</v>
      </c>
      <c r="JF53">
        <v>18</v>
      </c>
      <c r="JG53">
        <v>512.6420000000001</v>
      </c>
      <c r="JH53">
        <v>427.759</v>
      </c>
      <c r="JI53">
        <v>22.5021</v>
      </c>
      <c r="JJ53">
        <v>28.6193</v>
      </c>
      <c r="JK53">
        <v>30.0002</v>
      </c>
      <c r="JL53">
        <v>28.5887</v>
      </c>
      <c r="JM53">
        <v>28.5267</v>
      </c>
      <c r="JN53">
        <v>53.6916</v>
      </c>
      <c r="JO53">
        <v>40.6919</v>
      </c>
      <c r="JP53">
        <v>0</v>
      </c>
      <c r="JQ53">
        <v>22.5045</v>
      </c>
      <c r="JR53">
        <v>1371.05</v>
      </c>
      <c r="JS53">
        <v>11.1588</v>
      </c>
      <c r="JT53">
        <v>100.315</v>
      </c>
      <c r="JU53">
        <v>100.245</v>
      </c>
    </row>
    <row r="54" spans="1:281">
      <c r="A54">
        <v>38</v>
      </c>
      <c r="B54">
        <v>1651864474.6</v>
      </c>
      <c r="C54">
        <v>254</v>
      </c>
      <c r="D54" t="s">
        <v>496</v>
      </c>
      <c r="E54" t="s">
        <v>497</v>
      </c>
      <c r="F54">
        <v>2</v>
      </c>
      <c r="G54" t="s">
        <v>413</v>
      </c>
      <c r="H54" t="s">
        <v>414</v>
      </c>
      <c r="I54">
        <v>1651864473.225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1405.114368627221</v>
      </c>
      <c r="AK54">
        <v>1388.253575757575</v>
      </c>
      <c r="AL54">
        <v>-3.402062030408114</v>
      </c>
      <c r="AM54">
        <v>66.38192812717227</v>
      </c>
      <c r="AN54">
        <f>(AP54 - AO54 + DI54*1E3/(8.314*(DK54+273.15)) * AR54/DH54 * AQ54) * DH54/(100*CV54) * 1000/(1000 - AP54)</f>
        <v>0</v>
      </c>
      <c r="AO54">
        <v>11.06288158976239</v>
      </c>
      <c r="AP54">
        <v>18.30767764705882</v>
      </c>
      <c r="AQ54">
        <v>1.504415801812732E-05</v>
      </c>
      <c r="AR54">
        <v>80.47224507511959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417</v>
      </c>
      <c r="AY54" t="s">
        <v>417</v>
      </c>
      <c r="AZ54">
        <v>0</v>
      </c>
      <c r="BA54">
        <v>0</v>
      </c>
      <c r="BB54">
        <f>1-AZ54/BA54</f>
        <v>0</v>
      </c>
      <c r="BC54">
        <v>0</v>
      </c>
      <c r="BD54" t="s">
        <v>417</v>
      </c>
      <c r="BE54" t="s">
        <v>417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417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1248</v>
      </c>
      <c r="CA54">
        <v>300</v>
      </c>
      <c r="CB54">
        <v>300</v>
      </c>
      <c r="CC54">
        <v>300</v>
      </c>
      <c r="CD54">
        <v>10442</v>
      </c>
      <c r="CE54">
        <v>1293.69</v>
      </c>
      <c r="CF54">
        <v>-0.00735246</v>
      </c>
      <c r="CG54">
        <v>0.5</v>
      </c>
      <c r="CH54" t="s">
        <v>417</v>
      </c>
      <c r="CI54" t="s">
        <v>417</v>
      </c>
      <c r="CJ54" t="s">
        <v>417</v>
      </c>
      <c r="CK54" t="s">
        <v>417</v>
      </c>
      <c r="CL54" t="s">
        <v>417</v>
      </c>
      <c r="CM54" t="s">
        <v>417</v>
      </c>
      <c r="CN54" t="s">
        <v>417</v>
      </c>
      <c r="CO54" t="s">
        <v>417</v>
      </c>
      <c r="CP54" t="s">
        <v>417</v>
      </c>
      <c r="CQ54" t="s">
        <v>417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418</v>
      </c>
      <c r="CY54">
        <v>2</v>
      </c>
      <c r="CZ54" t="b">
        <v>1</v>
      </c>
      <c r="DA54">
        <v>1651864473.225</v>
      </c>
      <c r="DB54">
        <v>1365.76</v>
      </c>
      <c r="DC54">
        <v>1384.9825</v>
      </c>
      <c r="DD54">
        <v>18.310425</v>
      </c>
      <c r="DE54">
        <v>11.0679</v>
      </c>
      <c r="DF54">
        <v>1368.435</v>
      </c>
      <c r="DG54">
        <v>18.2906</v>
      </c>
      <c r="DH54">
        <v>500.07625</v>
      </c>
      <c r="DI54">
        <v>89.9384</v>
      </c>
      <c r="DJ54">
        <v>0.10005025</v>
      </c>
      <c r="DK54">
        <v>25.683325</v>
      </c>
      <c r="DL54">
        <v>25.001075</v>
      </c>
      <c r="DM54">
        <v>999.9</v>
      </c>
      <c r="DN54">
        <v>0</v>
      </c>
      <c r="DO54">
        <v>0</v>
      </c>
      <c r="DP54">
        <v>9978.439999999999</v>
      </c>
      <c r="DQ54">
        <v>0</v>
      </c>
      <c r="DR54">
        <v>3.23193</v>
      </c>
      <c r="DS54">
        <v>-19.2231</v>
      </c>
      <c r="DT54">
        <v>1391.235</v>
      </c>
      <c r="DU54">
        <v>1400.4825</v>
      </c>
      <c r="DV54">
        <v>7.242517499999999</v>
      </c>
      <c r="DW54">
        <v>1384.9825</v>
      </c>
      <c r="DX54">
        <v>11.0679</v>
      </c>
      <c r="DY54">
        <v>1.64681</v>
      </c>
      <c r="DZ54">
        <v>0.9954305</v>
      </c>
      <c r="EA54">
        <v>14.403925</v>
      </c>
      <c r="EB54">
        <v>6.8496675</v>
      </c>
      <c r="EC54">
        <v>1499.955</v>
      </c>
      <c r="ED54">
        <v>0.9730032500000001</v>
      </c>
      <c r="EE54">
        <v>0.02699715</v>
      </c>
      <c r="EF54">
        <v>0</v>
      </c>
      <c r="EG54">
        <v>986.726</v>
      </c>
      <c r="EH54">
        <v>5.00097</v>
      </c>
      <c r="EI54">
        <v>14636.15</v>
      </c>
      <c r="EJ54">
        <v>12491.225</v>
      </c>
      <c r="EK54">
        <v>37.25</v>
      </c>
      <c r="EL54">
        <v>38.70274999999999</v>
      </c>
      <c r="EM54">
        <v>37.625</v>
      </c>
      <c r="EN54">
        <v>38.437</v>
      </c>
      <c r="EO54">
        <v>38.125</v>
      </c>
      <c r="EP54">
        <v>1454.595</v>
      </c>
      <c r="EQ54">
        <v>40.36</v>
      </c>
      <c r="ER54">
        <v>0</v>
      </c>
      <c r="ES54">
        <v>253.2000000476837</v>
      </c>
      <c r="ET54">
        <v>0</v>
      </c>
      <c r="EU54">
        <v>992.1599615384615</v>
      </c>
      <c r="EV54">
        <v>-52.45535036041977</v>
      </c>
      <c r="EW54">
        <v>-758.5504263050154</v>
      </c>
      <c r="EX54">
        <v>14717.39230769231</v>
      </c>
      <c r="EY54">
        <v>15</v>
      </c>
      <c r="EZ54">
        <v>1651864261.1</v>
      </c>
      <c r="FA54" t="s">
        <v>419</v>
      </c>
      <c r="FB54">
        <v>1651864241.6</v>
      </c>
      <c r="FC54">
        <v>1651864261.1</v>
      </c>
      <c r="FD54">
        <v>7</v>
      </c>
      <c r="FE54">
        <v>0.438</v>
      </c>
      <c r="FF54">
        <v>0.002</v>
      </c>
      <c r="FG54">
        <v>-0.988</v>
      </c>
      <c r="FH54">
        <v>-0.066</v>
      </c>
      <c r="FI54">
        <v>400</v>
      </c>
      <c r="FJ54">
        <v>11</v>
      </c>
      <c r="FK54">
        <v>0.05</v>
      </c>
      <c r="FL54">
        <v>0.02</v>
      </c>
      <c r="FM54">
        <v>-20.0728375</v>
      </c>
      <c r="FN54">
        <v>4.514387617260804</v>
      </c>
      <c r="FO54">
        <v>0.5987115927921807</v>
      </c>
      <c r="FP54">
        <v>-1</v>
      </c>
      <c r="FQ54">
        <v>7.280006500000001</v>
      </c>
      <c r="FR54">
        <v>-0.2423759099437151</v>
      </c>
      <c r="FS54">
        <v>0.02391493336285936</v>
      </c>
      <c r="FT54">
        <v>-1</v>
      </c>
      <c r="FU54">
        <v>0</v>
      </c>
      <c r="FV54">
        <v>0</v>
      </c>
      <c r="FW54">
        <v>0</v>
      </c>
      <c r="FX54">
        <v>-1</v>
      </c>
      <c r="FY54">
        <v>0</v>
      </c>
      <c r="FZ54">
        <v>0</v>
      </c>
      <c r="GA54" t="s">
        <v>420</v>
      </c>
      <c r="GB54">
        <v>2.98063</v>
      </c>
      <c r="GC54">
        <v>2.70601</v>
      </c>
      <c r="GD54">
        <v>0.207684</v>
      </c>
      <c r="GE54">
        <v>0.207134</v>
      </c>
      <c r="GF54">
        <v>0.087523</v>
      </c>
      <c r="GG54">
        <v>0.0598072</v>
      </c>
      <c r="GH54">
        <v>25005.7</v>
      </c>
      <c r="GI54">
        <v>25079</v>
      </c>
      <c r="GJ54">
        <v>29346.9</v>
      </c>
      <c r="GK54">
        <v>29262.6</v>
      </c>
      <c r="GL54">
        <v>35460.6</v>
      </c>
      <c r="GM54">
        <v>36647.3</v>
      </c>
      <c r="GN54">
        <v>41307.7</v>
      </c>
      <c r="GO54">
        <v>41767.4</v>
      </c>
      <c r="GP54">
        <v>1.95847</v>
      </c>
      <c r="GQ54">
        <v>1.8488</v>
      </c>
      <c r="GR54">
        <v>-0.0257418</v>
      </c>
      <c r="GS54">
        <v>0</v>
      </c>
      <c r="GT54">
        <v>25.4218</v>
      </c>
      <c r="GU54">
        <v>999.9</v>
      </c>
      <c r="GV54">
        <v>31.9</v>
      </c>
      <c r="GW54">
        <v>34.2</v>
      </c>
      <c r="GX54">
        <v>19.1662</v>
      </c>
      <c r="GY54">
        <v>62.4375</v>
      </c>
      <c r="GZ54">
        <v>35.2324</v>
      </c>
      <c r="HA54">
        <v>1</v>
      </c>
      <c r="HB54">
        <v>0.101997</v>
      </c>
      <c r="HC54">
        <v>2.1726</v>
      </c>
      <c r="HD54">
        <v>20.3203</v>
      </c>
      <c r="HE54">
        <v>5.21564</v>
      </c>
      <c r="HF54">
        <v>12.0099</v>
      </c>
      <c r="HG54">
        <v>4.9885</v>
      </c>
      <c r="HH54">
        <v>3.2885</v>
      </c>
      <c r="HI54">
        <v>993.2</v>
      </c>
      <c r="HJ54">
        <v>9521.1</v>
      </c>
      <c r="HK54">
        <v>5139.4</v>
      </c>
      <c r="HL54">
        <v>24.8</v>
      </c>
      <c r="HM54">
        <v>1.86751</v>
      </c>
      <c r="HN54">
        <v>1.86647</v>
      </c>
      <c r="HO54">
        <v>1.866</v>
      </c>
      <c r="HP54">
        <v>1.86584</v>
      </c>
      <c r="HQ54">
        <v>1.86768</v>
      </c>
      <c r="HR54">
        <v>1.8702</v>
      </c>
      <c r="HS54">
        <v>1.86889</v>
      </c>
      <c r="HT54">
        <v>1.87026</v>
      </c>
      <c r="HU54">
        <v>0</v>
      </c>
      <c r="HV54">
        <v>0</v>
      </c>
      <c r="HW54">
        <v>0</v>
      </c>
      <c r="HX54">
        <v>0</v>
      </c>
      <c r="HY54" t="s">
        <v>421</v>
      </c>
      <c r="HZ54" t="s">
        <v>422</v>
      </c>
      <c r="IA54" t="s">
        <v>423</v>
      </c>
      <c r="IB54" t="s">
        <v>423</v>
      </c>
      <c r="IC54" t="s">
        <v>423</v>
      </c>
      <c r="ID54" t="s">
        <v>423</v>
      </c>
      <c r="IE54">
        <v>0</v>
      </c>
      <c r="IF54">
        <v>100</v>
      </c>
      <c r="IG54">
        <v>100</v>
      </c>
      <c r="IH54">
        <v>-2.67</v>
      </c>
      <c r="II54">
        <v>0.0198</v>
      </c>
      <c r="IJ54">
        <v>-0.2164499368582429</v>
      </c>
      <c r="IK54">
        <v>-0.002077099775823331</v>
      </c>
      <c r="IL54">
        <v>4.593143279902166E-07</v>
      </c>
      <c r="IM54">
        <v>-1.865383991892071E-10</v>
      </c>
      <c r="IN54">
        <v>-0.06087574426827484</v>
      </c>
      <c r="IO54">
        <v>-0.01129461987421345</v>
      </c>
      <c r="IP54">
        <v>0.00116580895745559</v>
      </c>
      <c r="IQ54">
        <v>-1.679085872906199E-05</v>
      </c>
      <c r="IR54">
        <v>2</v>
      </c>
      <c r="IS54">
        <v>2290</v>
      </c>
      <c r="IT54">
        <v>0</v>
      </c>
      <c r="IU54">
        <v>32</v>
      </c>
      <c r="IV54">
        <v>3.9</v>
      </c>
      <c r="IW54">
        <v>3.6</v>
      </c>
      <c r="IX54">
        <v>2.67456</v>
      </c>
      <c r="IY54">
        <v>2.18628</v>
      </c>
      <c r="IZ54">
        <v>1.39648</v>
      </c>
      <c r="JA54">
        <v>2.35718</v>
      </c>
      <c r="JB54">
        <v>1.49536</v>
      </c>
      <c r="JC54">
        <v>2.33643</v>
      </c>
      <c r="JD54">
        <v>38.4034</v>
      </c>
      <c r="JE54">
        <v>24.035</v>
      </c>
      <c r="JF54">
        <v>18</v>
      </c>
      <c r="JG54">
        <v>512.6420000000001</v>
      </c>
      <c r="JH54">
        <v>427.765</v>
      </c>
      <c r="JI54">
        <v>22.5026</v>
      </c>
      <c r="JJ54">
        <v>28.6193</v>
      </c>
      <c r="JK54">
        <v>30.0001</v>
      </c>
      <c r="JL54">
        <v>28.5887</v>
      </c>
      <c r="JM54">
        <v>28.5276</v>
      </c>
      <c r="JN54">
        <v>53.4808</v>
      </c>
      <c r="JO54">
        <v>40.6919</v>
      </c>
      <c r="JP54">
        <v>0</v>
      </c>
      <c r="JQ54">
        <v>22.505</v>
      </c>
      <c r="JR54">
        <v>1364.38</v>
      </c>
      <c r="JS54">
        <v>11.169</v>
      </c>
      <c r="JT54">
        <v>100.315</v>
      </c>
      <c r="JU54">
        <v>100.244</v>
      </c>
    </row>
    <row r="55" spans="1:281">
      <c r="A55">
        <v>39</v>
      </c>
      <c r="B55">
        <v>1651864476.6</v>
      </c>
      <c r="C55">
        <v>256</v>
      </c>
      <c r="D55" t="s">
        <v>498</v>
      </c>
      <c r="E55" t="s">
        <v>499</v>
      </c>
      <c r="F55">
        <v>2</v>
      </c>
      <c r="G55" t="s">
        <v>413</v>
      </c>
      <c r="H55" t="s">
        <v>414</v>
      </c>
      <c r="I55">
        <v>1651864475.6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1398.51105791275</v>
      </c>
      <c r="AK55">
        <v>1381.558606060606</v>
      </c>
      <c r="AL55">
        <v>-3.367142844124461</v>
      </c>
      <c r="AM55">
        <v>66.38192812717227</v>
      </c>
      <c r="AN55">
        <f>(AP55 - AO55 + DI55*1E3/(8.314*(DK55+273.15)) * AR55/DH55 * AQ55) * DH55/(100*CV55) * 1000/(1000 - AP55)</f>
        <v>0</v>
      </c>
      <c r="AO55">
        <v>11.06289800650521</v>
      </c>
      <c r="AP55">
        <v>18.30291441176469</v>
      </c>
      <c r="AQ55">
        <v>-1.800035220896095E-05</v>
      </c>
      <c r="AR55">
        <v>80.47224507511959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417</v>
      </c>
      <c r="AY55" t="s">
        <v>417</v>
      </c>
      <c r="AZ55">
        <v>0</v>
      </c>
      <c r="BA55">
        <v>0</v>
      </c>
      <c r="BB55">
        <f>1-AZ55/BA55</f>
        <v>0</v>
      </c>
      <c r="BC55">
        <v>0</v>
      </c>
      <c r="BD55" t="s">
        <v>417</v>
      </c>
      <c r="BE55" t="s">
        <v>417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417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1248</v>
      </c>
      <c r="CA55">
        <v>300</v>
      </c>
      <c r="CB55">
        <v>300</v>
      </c>
      <c r="CC55">
        <v>300</v>
      </c>
      <c r="CD55">
        <v>10442</v>
      </c>
      <c r="CE55">
        <v>1293.69</v>
      </c>
      <c r="CF55">
        <v>-0.00735246</v>
      </c>
      <c r="CG55">
        <v>0.5</v>
      </c>
      <c r="CH55" t="s">
        <v>417</v>
      </c>
      <c r="CI55" t="s">
        <v>417</v>
      </c>
      <c r="CJ55" t="s">
        <v>417</v>
      </c>
      <c r="CK55" t="s">
        <v>417</v>
      </c>
      <c r="CL55" t="s">
        <v>417</v>
      </c>
      <c r="CM55" t="s">
        <v>417</v>
      </c>
      <c r="CN55" t="s">
        <v>417</v>
      </c>
      <c r="CO55" t="s">
        <v>417</v>
      </c>
      <c r="CP55" t="s">
        <v>417</v>
      </c>
      <c r="CQ55" t="s">
        <v>417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418</v>
      </c>
      <c r="CY55">
        <v>2</v>
      </c>
      <c r="CZ55" t="b">
        <v>1</v>
      </c>
      <c r="DA55">
        <v>1651864475.6</v>
      </c>
      <c r="DB55">
        <v>1357.906666666667</v>
      </c>
      <c r="DC55">
        <v>1377.396666666667</v>
      </c>
      <c r="DD55">
        <v>18.30493333333333</v>
      </c>
      <c r="DE55">
        <v>11.09726666666666</v>
      </c>
      <c r="DF55">
        <v>1360.563333333333</v>
      </c>
      <c r="DG55">
        <v>18.28516666666667</v>
      </c>
      <c r="DH55">
        <v>500.013</v>
      </c>
      <c r="DI55">
        <v>89.93703333333333</v>
      </c>
      <c r="DJ55">
        <v>0.09982426666666666</v>
      </c>
      <c r="DK55">
        <v>25.68326666666667</v>
      </c>
      <c r="DL55">
        <v>24.99976666666667</v>
      </c>
      <c r="DM55">
        <v>999.9</v>
      </c>
      <c r="DN55">
        <v>0</v>
      </c>
      <c r="DO55">
        <v>0</v>
      </c>
      <c r="DP55">
        <v>9997.483333333334</v>
      </c>
      <c r="DQ55">
        <v>0</v>
      </c>
      <c r="DR55">
        <v>3.23193</v>
      </c>
      <c r="DS55">
        <v>-19.49573333333333</v>
      </c>
      <c r="DT55">
        <v>1383.223333333333</v>
      </c>
      <c r="DU55">
        <v>1392.853333333333</v>
      </c>
      <c r="DV55">
        <v>7.207643333333333</v>
      </c>
      <c r="DW55">
        <v>1377.396666666667</v>
      </c>
      <c r="DX55">
        <v>11.09726666666666</v>
      </c>
      <c r="DY55">
        <v>1.64629</v>
      </c>
      <c r="DZ55">
        <v>0.9980553333333333</v>
      </c>
      <c r="EA55">
        <v>14.39903333333333</v>
      </c>
      <c r="EB55">
        <v>6.888016666666666</v>
      </c>
      <c r="EC55">
        <v>1499.97</v>
      </c>
      <c r="ED55">
        <v>0.9730036666666667</v>
      </c>
      <c r="EE55">
        <v>0.0269967</v>
      </c>
      <c r="EF55">
        <v>0</v>
      </c>
      <c r="EG55">
        <v>984.7869999999999</v>
      </c>
      <c r="EH55">
        <v>5.00097</v>
      </c>
      <c r="EI55">
        <v>14609.46666666667</v>
      </c>
      <c r="EJ55">
        <v>12491.33333333333</v>
      </c>
      <c r="EK55">
        <v>37.25</v>
      </c>
      <c r="EL55">
        <v>38.687</v>
      </c>
      <c r="EM55">
        <v>37.625</v>
      </c>
      <c r="EN55">
        <v>38.437</v>
      </c>
      <c r="EO55">
        <v>38.125</v>
      </c>
      <c r="EP55">
        <v>1454.61</v>
      </c>
      <c r="EQ55">
        <v>40.36</v>
      </c>
      <c r="ER55">
        <v>0</v>
      </c>
      <c r="ES55">
        <v>255.6000001430511</v>
      </c>
      <c r="ET55">
        <v>0</v>
      </c>
      <c r="EU55">
        <v>990.0656153846153</v>
      </c>
      <c r="EV55">
        <v>-51.1797606892008</v>
      </c>
      <c r="EW55">
        <v>-748.1675212913573</v>
      </c>
      <c r="EX55">
        <v>14687.24230769231</v>
      </c>
      <c r="EY55">
        <v>15</v>
      </c>
      <c r="EZ55">
        <v>1651864261.1</v>
      </c>
      <c r="FA55" t="s">
        <v>419</v>
      </c>
      <c r="FB55">
        <v>1651864241.6</v>
      </c>
      <c r="FC55">
        <v>1651864261.1</v>
      </c>
      <c r="FD55">
        <v>7</v>
      </c>
      <c r="FE55">
        <v>0.438</v>
      </c>
      <c r="FF55">
        <v>0.002</v>
      </c>
      <c r="FG55">
        <v>-0.988</v>
      </c>
      <c r="FH55">
        <v>-0.066</v>
      </c>
      <c r="FI55">
        <v>400</v>
      </c>
      <c r="FJ55">
        <v>11</v>
      </c>
      <c r="FK55">
        <v>0.05</v>
      </c>
      <c r="FL55">
        <v>0.02</v>
      </c>
      <c r="FM55">
        <v>-20.04575853658536</v>
      </c>
      <c r="FN55">
        <v>5.168372822299673</v>
      </c>
      <c r="FO55">
        <v>0.6073581950227337</v>
      </c>
      <c r="FP55">
        <v>-1</v>
      </c>
      <c r="FQ55">
        <v>7.273745609756097</v>
      </c>
      <c r="FR55">
        <v>-0.2725804181184676</v>
      </c>
      <c r="FS55">
        <v>0.02776428044323569</v>
      </c>
      <c r="FT55">
        <v>-1</v>
      </c>
      <c r="FU55">
        <v>0</v>
      </c>
      <c r="FV55">
        <v>0</v>
      </c>
      <c r="FW55">
        <v>0</v>
      </c>
      <c r="FX55">
        <v>-1</v>
      </c>
      <c r="FY55">
        <v>0</v>
      </c>
      <c r="FZ55">
        <v>0</v>
      </c>
      <c r="GA55" t="s">
        <v>420</v>
      </c>
      <c r="GB55">
        <v>2.98061</v>
      </c>
      <c r="GC55">
        <v>2.70595</v>
      </c>
      <c r="GD55">
        <v>0.207071</v>
      </c>
      <c r="GE55">
        <v>0.206531</v>
      </c>
      <c r="GF55">
        <v>0.08752169999999999</v>
      </c>
      <c r="GG55">
        <v>0.0599358</v>
      </c>
      <c r="GH55">
        <v>25025.1</v>
      </c>
      <c r="GI55">
        <v>25097.9</v>
      </c>
      <c r="GJ55">
        <v>29346.9</v>
      </c>
      <c r="GK55">
        <v>29262.3</v>
      </c>
      <c r="GL55">
        <v>35460.6</v>
      </c>
      <c r="GM55">
        <v>36641.8</v>
      </c>
      <c r="GN55">
        <v>41307.6</v>
      </c>
      <c r="GO55">
        <v>41767</v>
      </c>
      <c r="GP55">
        <v>1.95828</v>
      </c>
      <c r="GQ55">
        <v>1.8487</v>
      </c>
      <c r="GR55">
        <v>-0.0256971</v>
      </c>
      <c r="GS55">
        <v>0</v>
      </c>
      <c r="GT55">
        <v>25.4201</v>
      </c>
      <c r="GU55">
        <v>999.9</v>
      </c>
      <c r="GV55">
        <v>31.9</v>
      </c>
      <c r="GW55">
        <v>34.2</v>
      </c>
      <c r="GX55">
        <v>19.1629</v>
      </c>
      <c r="GY55">
        <v>62.3875</v>
      </c>
      <c r="GZ55">
        <v>34.8357</v>
      </c>
      <c r="HA55">
        <v>1</v>
      </c>
      <c r="HB55">
        <v>0.101956</v>
      </c>
      <c r="HC55">
        <v>2.16923</v>
      </c>
      <c r="HD55">
        <v>20.3202</v>
      </c>
      <c r="HE55">
        <v>5.21534</v>
      </c>
      <c r="HF55">
        <v>12.0099</v>
      </c>
      <c r="HG55">
        <v>4.9887</v>
      </c>
      <c r="HH55">
        <v>3.28848</v>
      </c>
      <c r="HI55">
        <v>993.2</v>
      </c>
      <c r="HJ55">
        <v>9521.1</v>
      </c>
      <c r="HK55">
        <v>5139.4</v>
      </c>
      <c r="HL55">
        <v>24.8</v>
      </c>
      <c r="HM55">
        <v>1.8675</v>
      </c>
      <c r="HN55">
        <v>1.86646</v>
      </c>
      <c r="HO55">
        <v>1.866</v>
      </c>
      <c r="HP55">
        <v>1.86584</v>
      </c>
      <c r="HQ55">
        <v>1.86768</v>
      </c>
      <c r="HR55">
        <v>1.87021</v>
      </c>
      <c r="HS55">
        <v>1.86888</v>
      </c>
      <c r="HT55">
        <v>1.87026</v>
      </c>
      <c r="HU55">
        <v>0</v>
      </c>
      <c r="HV55">
        <v>0</v>
      </c>
      <c r="HW55">
        <v>0</v>
      </c>
      <c r="HX55">
        <v>0</v>
      </c>
      <c r="HY55" t="s">
        <v>421</v>
      </c>
      <c r="HZ55" t="s">
        <v>422</v>
      </c>
      <c r="IA55" t="s">
        <v>423</v>
      </c>
      <c r="IB55" t="s">
        <v>423</v>
      </c>
      <c r="IC55" t="s">
        <v>423</v>
      </c>
      <c r="ID55" t="s">
        <v>423</v>
      </c>
      <c r="IE55">
        <v>0</v>
      </c>
      <c r="IF55">
        <v>100</v>
      </c>
      <c r="IG55">
        <v>100</v>
      </c>
      <c r="IH55">
        <v>-2.65</v>
      </c>
      <c r="II55">
        <v>0.0198</v>
      </c>
      <c r="IJ55">
        <v>-0.2164499368582429</v>
      </c>
      <c r="IK55">
        <v>-0.002077099775823331</v>
      </c>
      <c r="IL55">
        <v>4.593143279902166E-07</v>
      </c>
      <c r="IM55">
        <v>-1.865383991892071E-10</v>
      </c>
      <c r="IN55">
        <v>-0.06087574426827484</v>
      </c>
      <c r="IO55">
        <v>-0.01129461987421345</v>
      </c>
      <c r="IP55">
        <v>0.00116580895745559</v>
      </c>
      <c r="IQ55">
        <v>-1.679085872906199E-05</v>
      </c>
      <c r="IR55">
        <v>2</v>
      </c>
      <c r="IS55">
        <v>2290</v>
      </c>
      <c r="IT55">
        <v>0</v>
      </c>
      <c r="IU55">
        <v>32</v>
      </c>
      <c r="IV55">
        <v>3.9</v>
      </c>
      <c r="IW55">
        <v>3.6</v>
      </c>
      <c r="IX55">
        <v>2.66357</v>
      </c>
      <c r="IY55">
        <v>2.18872</v>
      </c>
      <c r="IZ55">
        <v>1.39648</v>
      </c>
      <c r="JA55">
        <v>2.35718</v>
      </c>
      <c r="JB55">
        <v>1.49536</v>
      </c>
      <c r="JC55">
        <v>2.33765</v>
      </c>
      <c r="JD55">
        <v>38.4034</v>
      </c>
      <c r="JE55">
        <v>24.035</v>
      </c>
      <c r="JF55">
        <v>18</v>
      </c>
      <c r="JG55">
        <v>512.514</v>
      </c>
      <c r="JH55">
        <v>427.713</v>
      </c>
      <c r="JI55">
        <v>22.5029</v>
      </c>
      <c r="JJ55">
        <v>28.6203</v>
      </c>
      <c r="JK55">
        <v>30.0001</v>
      </c>
      <c r="JL55">
        <v>28.5891</v>
      </c>
      <c r="JM55">
        <v>28.5288</v>
      </c>
      <c r="JN55">
        <v>53.2733</v>
      </c>
      <c r="JO55">
        <v>40.6919</v>
      </c>
      <c r="JP55">
        <v>0</v>
      </c>
      <c r="JQ55">
        <v>22.505</v>
      </c>
      <c r="JR55">
        <v>1357.7</v>
      </c>
      <c r="JS55">
        <v>11.1666</v>
      </c>
      <c r="JT55">
        <v>100.314</v>
      </c>
      <c r="JU55">
        <v>100.243</v>
      </c>
    </row>
    <row r="56" spans="1:281">
      <c r="A56">
        <v>40</v>
      </c>
      <c r="B56">
        <v>1651864478.6</v>
      </c>
      <c r="C56">
        <v>258</v>
      </c>
      <c r="D56" t="s">
        <v>500</v>
      </c>
      <c r="E56" t="s">
        <v>501</v>
      </c>
      <c r="F56">
        <v>2</v>
      </c>
      <c r="G56" t="s">
        <v>413</v>
      </c>
      <c r="H56" t="s">
        <v>414</v>
      </c>
      <c r="I56">
        <v>1651864477.225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1392.097933511384</v>
      </c>
      <c r="AK56">
        <v>1374.973636363636</v>
      </c>
      <c r="AL56">
        <v>-3.308904068210452</v>
      </c>
      <c r="AM56">
        <v>66.38192812717227</v>
      </c>
      <c r="AN56">
        <f>(AP56 - AO56 + DI56*1E3/(8.314*(DK56+273.15)) * AR56/DH56 * AQ56) * DH56/(100*CV56) * 1000/(1000 - AP56)</f>
        <v>0</v>
      </c>
      <c r="AO56">
        <v>11.07613581637714</v>
      </c>
      <c r="AP56">
        <v>18.30838823529411</v>
      </c>
      <c r="AQ56">
        <v>-7.102442384500245E-05</v>
      </c>
      <c r="AR56">
        <v>80.47224507511959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417</v>
      </c>
      <c r="AY56" t="s">
        <v>417</v>
      </c>
      <c r="AZ56">
        <v>0</v>
      </c>
      <c r="BA56">
        <v>0</v>
      </c>
      <c r="BB56">
        <f>1-AZ56/BA56</f>
        <v>0</v>
      </c>
      <c r="BC56">
        <v>0</v>
      </c>
      <c r="BD56" t="s">
        <v>417</v>
      </c>
      <c r="BE56" t="s">
        <v>417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417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1248</v>
      </c>
      <c r="CA56">
        <v>300</v>
      </c>
      <c r="CB56">
        <v>300</v>
      </c>
      <c r="CC56">
        <v>300</v>
      </c>
      <c r="CD56">
        <v>10442</v>
      </c>
      <c r="CE56">
        <v>1293.69</v>
      </c>
      <c r="CF56">
        <v>-0.00735246</v>
      </c>
      <c r="CG56">
        <v>0.5</v>
      </c>
      <c r="CH56" t="s">
        <v>417</v>
      </c>
      <c r="CI56" t="s">
        <v>417</v>
      </c>
      <c r="CJ56" t="s">
        <v>417</v>
      </c>
      <c r="CK56" t="s">
        <v>417</v>
      </c>
      <c r="CL56" t="s">
        <v>417</v>
      </c>
      <c r="CM56" t="s">
        <v>417</v>
      </c>
      <c r="CN56" t="s">
        <v>417</v>
      </c>
      <c r="CO56" t="s">
        <v>417</v>
      </c>
      <c r="CP56" t="s">
        <v>417</v>
      </c>
      <c r="CQ56" t="s">
        <v>417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418</v>
      </c>
      <c r="CY56">
        <v>2</v>
      </c>
      <c r="CZ56" t="b">
        <v>1</v>
      </c>
      <c r="DA56">
        <v>1651864477.225</v>
      </c>
      <c r="DB56">
        <v>1352.635</v>
      </c>
      <c r="DC56">
        <v>1372.0825</v>
      </c>
      <c r="DD56">
        <v>18.307025</v>
      </c>
      <c r="DE56">
        <v>11.119525</v>
      </c>
      <c r="DF56">
        <v>1355.2825</v>
      </c>
      <c r="DG56">
        <v>18.287275</v>
      </c>
      <c r="DH56">
        <v>500.0237500000001</v>
      </c>
      <c r="DI56">
        <v>89.93660000000001</v>
      </c>
      <c r="DJ56">
        <v>0.1001107</v>
      </c>
      <c r="DK56">
        <v>25.68705</v>
      </c>
      <c r="DL56">
        <v>24.999425</v>
      </c>
      <c r="DM56">
        <v>999.9</v>
      </c>
      <c r="DN56">
        <v>0</v>
      </c>
      <c r="DO56">
        <v>0</v>
      </c>
      <c r="DP56">
        <v>9970.3125</v>
      </c>
      <c r="DQ56">
        <v>0</v>
      </c>
      <c r="DR56">
        <v>3.23193</v>
      </c>
      <c r="DS56">
        <v>-19.44945</v>
      </c>
      <c r="DT56">
        <v>1377.8575</v>
      </c>
      <c r="DU56">
        <v>1387.5125</v>
      </c>
      <c r="DV56">
        <v>7.1875125</v>
      </c>
      <c r="DW56">
        <v>1372.0825</v>
      </c>
      <c r="DX56">
        <v>11.119525</v>
      </c>
      <c r="DY56">
        <v>1.646475</v>
      </c>
      <c r="DZ56">
        <v>1.00005075</v>
      </c>
      <c r="EA56">
        <v>14.400775</v>
      </c>
      <c r="EB56">
        <v>6.917135</v>
      </c>
      <c r="EC56">
        <v>1499.945</v>
      </c>
      <c r="ED56">
        <v>0.97300325</v>
      </c>
      <c r="EE56">
        <v>0.02699715</v>
      </c>
      <c r="EF56">
        <v>0</v>
      </c>
      <c r="EG56">
        <v>983.3745000000001</v>
      </c>
      <c r="EH56">
        <v>5.00097</v>
      </c>
      <c r="EI56">
        <v>14590.85</v>
      </c>
      <c r="EJ56">
        <v>12491.125</v>
      </c>
      <c r="EK56">
        <v>37.25</v>
      </c>
      <c r="EL56">
        <v>38.7185</v>
      </c>
      <c r="EM56">
        <v>37.625</v>
      </c>
      <c r="EN56">
        <v>38.437</v>
      </c>
      <c r="EO56">
        <v>38.125</v>
      </c>
      <c r="EP56">
        <v>1454.585</v>
      </c>
      <c r="EQ56">
        <v>40.36</v>
      </c>
      <c r="ER56">
        <v>0</v>
      </c>
      <c r="ES56">
        <v>257.4000000953674</v>
      </c>
      <c r="ET56">
        <v>0</v>
      </c>
      <c r="EU56">
        <v>988.2802799999999</v>
      </c>
      <c r="EV56">
        <v>-50.64046154627485</v>
      </c>
      <c r="EW56">
        <v>-733.4692307587891</v>
      </c>
      <c r="EX56">
        <v>14661.42</v>
      </c>
      <c r="EY56">
        <v>15</v>
      </c>
      <c r="EZ56">
        <v>1651864261.1</v>
      </c>
      <c r="FA56" t="s">
        <v>419</v>
      </c>
      <c r="FB56">
        <v>1651864241.6</v>
      </c>
      <c r="FC56">
        <v>1651864261.1</v>
      </c>
      <c r="FD56">
        <v>7</v>
      </c>
      <c r="FE56">
        <v>0.438</v>
      </c>
      <c r="FF56">
        <v>0.002</v>
      </c>
      <c r="FG56">
        <v>-0.988</v>
      </c>
      <c r="FH56">
        <v>-0.066</v>
      </c>
      <c r="FI56">
        <v>400</v>
      </c>
      <c r="FJ56">
        <v>11</v>
      </c>
      <c r="FK56">
        <v>0.05</v>
      </c>
      <c r="FL56">
        <v>0.02</v>
      </c>
      <c r="FM56">
        <v>-19.9243075</v>
      </c>
      <c r="FN56">
        <v>5.843334709193291</v>
      </c>
      <c r="FO56">
        <v>0.6197516229859749</v>
      </c>
      <c r="FP56">
        <v>-1</v>
      </c>
      <c r="FQ56">
        <v>7.25823925</v>
      </c>
      <c r="FR56">
        <v>-0.361669080675446</v>
      </c>
      <c r="FS56">
        <v>0.0361484979209027</v>
      </c>
      <c r="FT56">
        <v>-1</v>
      </c>
      <c r="FU56">
        <v>0</v>
      </c>
      <c r="FV56">
        <v>0</v>
      </c>
      <c r="FW56">
        <v>0</v>
      </c>
      <c r="FX56">
        <v>-1</v>
      </c>
      <c r="FY56">
        <v>0</v>
      </c>
      <c r="FZ56">
        <v>0</v>
      </c>
      <c r="GA56" t="s">
        <v>420</v>
      </c>
      <c r="GB56">
        <v>2.98052</v>
      </c>
      <c r="GC56">
        <v>2.7061</v>
      </c>
      <c r="GD56">
        <v>0.206458</v>
      </c>
      <c r="GE56">
        <v>0.205917</v>
      </c>
      <c r="GF56">
        <v>0.08753610000000001</v>
      </c>
      <c r="GG56">
        <v>0.0599984</v>
      </c>
      <c r="GH56">
        <v>25044.5</v>
      </c>
      <c r="GI56">
        <v>25117.2</v>
      </c>
      <c r="GJ56">
        <v>29347</v>
      </c>
      <c r="GK56">
        <v>29262.3</v>
      </c>
      <c r="GL56">
        <v>35460.1</v>
      </c>
      <c r="GM56">
        <v>36639.2</v>
      </c>
      <c r="GN56">
        <v>41307.6</v>
      </c>
      <c r="GO56">
        <v>41766.8</v>
      </c>
      <c r="GP56">
        <v>1.95805</v>
      </c>
      <c r="GQ56">
        <v>1.8487</v>
      </c>
      <c r="GR56">
        <v>-0.025399</v>
      </c>
      <c r="GS56">
        <v>0</v>
      </c>
      <c r="GT56">
        <v>25.4188</v>
      </c>
      <c r="GU56">
        <v>999.9</v>
      </c>
      <c r="GV56">
        <v>31.9</v>
      </c>
      <c r="GW56">
        <v>34.2</v>
      </c>
      <c r="GX56">
        <v>19.1622</v>
      </c>
      <c r="GY56">
        <v>62.4575</v>
      </c>
      <c r="GZ56">
        <v>35.2003</v>
      </c>
      <c r="HA56">
        <v>1</v>
      </c>
      <c r="HB56">
        <v>0.102017</v>
      </c>
      <c r="HC56">
        <v>2.16498</v>
      </c>
      <c r="HD56">
        <v>20.3203</v>
      </c>
      <c r="HE56">
        <v>5.21549</v>
      </c>
      <c r="HF56">
        <v>12.0099</v>
      </c>
      <c r="HG56">
        <v>4.9887</v>
      </c>
      <c r="HH56">
        <v>3.28848</v>
      </c>
      <c r="HI56">
        <v>993.2</v>
      </c>
      <c r="HJ56">
        <v>9521.1</v>
      </c>
      <c r="HK56">
        <v>5139.4</v>
      </c>
      <c r="HL56">
        <v>24.8</v>
      </c>
      <c r="HM56">
        <v>1.86748</v>
      </c>
      <c r="HN56">
        <v>1.86646</v>
      </c>
      <c r="HO56">
        <v>1.866</v>
      </c>
      <c r="HP56">
        <v>1.86584</v>
      </c>
      <c r="HQ56">
        <v>1.86768</v>
      </c>
      <c r="HR56">
        <v>1.8702</v>
      </c>
      <c r="HS56">
        <v>1.86888</v>
      </c>
      <c r="HT56">
        <v>1.87024</v>
      </c>
      <c r="HU56">
        <v>0</v>
      </c>
      <c r="HV56">
        <v>0</v>
      </c>
      <c r="HW56">
        <v>0</v>
      </c>
      <c r="HX56">
        <v>0</v>
      </c>
      <c r="HY56" t="s">
        <v>421</v>
      </c>
      <c r="HZ56" t="s">
        <v>422</v>
      </c>
      <c r="IA56" t="s">
        <v>423</v>
      </c>
      <c r="IB56" t="s">
        <v>423</v>
      </c>
      <c r="IC56" t="s">
        <v>423</v>
      </c>
      <c r="ID56" t="s">
        <v>423</v>
      </c>
      <c r="IE56">
        <v>0</v>
      </c>
      <c r="IF56">
        <v>100</v>
      </c>
      <c r="IG56">
        <v>100</v>
      </c>
      <c r="IH56">
        <v>-2.64</v>
      </c>
      <c r="II56">
        <v>0.0198</v>
      </c>
      <c r="IJ56">
        <v>-0.2164499368582429</v>
      </c>
      <c r="IK56">
        <v>-0.002077099775823331</v>
      </c>
      <c r="IL56">
        <v>4.593143279902166E-07</v>
      </c>
      <c r="IM56">
        <v>-1.865383991892071E-10</v>
      </c>
      <c r="IN56">
        <v>-0.06087574426827484</v>
      </c>
      <c r="IO56">
        <v>-0.01129461987421345</v>
      </c>
      <c r="IP56">
        <v>0.00116580895745559</v>
      </c>
      <c r="IQ56">
        <v>-1.679085872906199E-05</v>
      </c>
      <c r="IR56">
        <v>2</v>
      </c>
      <c r="IS56">
        <v>2290</v>
      </c>
      <c r="IT56">
        <v>0</v>
      </c>
      <c r="IU56">
        <v>32</v>
      </c>
      <c r="IV56">
        <v>4</v>
      </c>
      <c r="IW56">
        <v>3.6</v>
      </c>
      <c r="IX56">
        <v>2.65259</v>
      </c>
      <c r="IY56">
        <v>2.18994</v>
      </c>
      <c r="IZ56">
        <v>1.39648</v>
      </c>
      <c r="JA56">
        <v>2.35718</v>
      </c>
      <c r="JB56">
        <v>1.49536</v>
      </c>
      <c r="JC56">
        <v>2.30835</v>
      </c>
      <c r="JD56">
        <v>38.4034</v>
      </c>
      <c r="JE56">
        <v>24.035</v>
      </c>
      <c r="JF56">
        <v>18</v>
      </c>
      <c r="JG56">
        <v>512.377</v>
      </c>
      <c r="JH56">
        <v>427.716</v>
      </c>
      <c r="JI56">
        <v>22.503</v>
      </c>
      <c r="JJ56">
        <v>28.6215</v>
      </c>
      <c r="JK56">
        <v>30.0001</v>
      </c>
      <c r="JL56">
        <v>28.5903</v>
      </c>
      <c r="JM56">
        <v>28.5292</v>
      </c>
      <c r="JN56">
        <v>53.0661</v>
      </c>
      <c r="JO56">
        <v>40.6919</v>
      </c>
      <c r="JP56">
        <v>0</v>
      </c>
      <c r="JQ56">
        <v>22.505</v>
      </c>
      <c r="JR56">
        <v>1351.02</v>
      </c>
      <c r="JS56">
        <v>11.1764</v>
      </c>
      <c r="JT56">
        <v>100.315</v>
      </c>
      <c r="JU56">
        <v>100.243</v>
      </c>
    </row>
    <row r="57" spans="1:281">
      <c r="A57">
        <v>41</v>
      </c>
      <c r="B57">
        <v>1651864480.6</v>
      </c>
      <c r="C57">
        <v>260</v>
      </c>
      <c r="D57" t="s">
        <v>502</v>
      </c>
      <c r="E57" t="s">
        <v>503</v>
      </c>
      <c r="F57">
        <v>2</v>
      </c>
      <c r="G57" t="s">
        <v>413</v>
      </c>
      <c r="H57" t="s">
        <v>414</v>
      </c>
      <c r="I57">
        <v>1651864479.6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1385.486673266125</v>
      </c>
      <c r="AK57">
        <v>1368.262606060606</v>
      </c>
      <c r="AL57">
        <v>-3.3344921201535</v>
      </c>
      <c r="AM57">
        <v>66.38192812717227</v>
      </c>
      <c r="AN57">
        <f>(AP57 - AO57 + DI57*1E3/(8.314*(DK57+273.15)) * AR57/DH57 * AQ57) * DH57/(100*CV57) * 1000/(1000 - AP57)</f>
        <v>0</v>
      </c>
      <c r="AO57">
        <v>11.10592520022307</v>
      </c>
      <c r="AP57">
        <v>18.31459911764705</v>
      </c>
      <c r="AQ57">
        <v>-3.977476310375512E-05</v>
      </c>
      <c r="AR57">
        <v>80.47224507511959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417</v>
      </c>
      <c r="AY57" t="s">
        <v>417</v>
      </c>
      <c r="AZ57">
        <v>0</v>
      </c>
      <c r="BA57">
        <v>0</v>
      </c>
      <c r="BB57">
        <f>1-AZ57/BA57</f>
        <v>0</v>
      </c>
      <c r="BC57">
        <v>0</v>
      </c>
      <c r="BD57" t="s">
        <v>417</v>
      </c>
      <c r="BE57" t="s">
        <v>417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417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1248</v>
      </c>
      <c r="CA57">
        <v>300</v>
      </c>
      <c r="CB57">
        <v>300</v>
      </c>
      <c r="CC57">
        <v>300</v>
      </c>
      <c r="CD57">
        <v>10442</v>
      </c>
      <c r="CE57">
        <v>1293.69</v>
      </c>
      <c r="CF57">
        <v>-0.00735246</v>
      </c>
      <c r="CG57">
        <v>0.5</v>
      </c>
      <c r="CH57" t="s">
        <v>417</v>
      </c>
      <c r="CI57" t="s">
        <v>417</v>
      </c>
      <c r="CJ57" t="s">
        <v>417</v>
      </c>
      <c r="CK57" t="s">
        <v>417</v>
      </c>
      <c r="CL57" t="s">
        <v>417</v>
      </c>
      <c r="CM57" t="s">
        <v>417</v>
      </c>
      <c r="CN57" t="s">
        <v>417</v>
      </c>
      <c r="CO57" t="s">
        <v>417</v>
      </c>
      <c r="CP57" t="s">
        <v>417</v>
      </c>
      <c r="CQ57" t="s">
        <v>417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418</v>
      </c>
      <c r="CY57">
        <v>2</v>
      </c>
      <c r="CZ57" t="b">
        <v>1</v>
      </c>
      <c r="DA57">
        <v>1651864479.6</v>
      </c>
      <c r="DB57">
        <v>1344.863333333333</v>
      </c>
      <c r="DC57">
        <v>1364.13</v>
      </c>
      <c r="DD57">
        <v>18.3123</v>
      </c>
      <c r="DE57">
        <v>11.13026666666667</v>
      </c>
      <c r="DF57">
        <v>1347.5</v>
      </c>
      <c r="DG57">
        <v>18.29243333333334</v>
      </c>
      <c r="DH57">
        <v>500.0513333333333</v>
      </c>
      <c r="DI57">
        <v>89.93763333333334</v>
      </c>
      <c r="DJ57">
        <v>0.1002292666666667</v>
      </c>
      <c r="DK57">
        <v>25.68676666666667</v>
      </c>
      <c r="DL57">
        <v>25.00193333333333</v>
      </c>
      <c r="DM57">
        <v>999.9</v>
      </c>
      <c r="DN57">
        <v>0</v>
      </c>
      <c r="DO57">
        <v>0</v>
      </c>
      <c r="DP57">
        <v>9962.5</v>
      </c>
      <c r="DQ57">
        <v>0</v>
      </c>
      <c r="DR57">
        <v>3.23193</v>
      </c>
      <c r="DS57">
        <v>-19.26703333333333</v>
      </c>
      <c r="DT57">
        <v>1369.95</v>
      </c>
      <c r="DU57">
        <v>1379.48</v>
      </c>
      <c r="DV57">
        <v>7.181996666666667</v>
      </c>
      <c r="DW57">
        <v>1364.13</v>
      </c>
      <c r="DX57">
        <v>11.13026666666667</v>
      </c>
      <c r="DY57">
        <v>1.646963333333334</v>
      </c>
      <c r="DZ57">
        <v>1.001033333333333</v>
      </c>
      <c r="EA57">
        <v>14.40536666666667</v>
      </c>
      <c r="EB57">
        <v>6.931406666666667</v>
      </c>
      <c r="EC57">
        <v>1500.066666666667</v>
      </c>
      <c r="ED57">
        <v>0.9730036666666667</v>
      </c>
      <c r="EE57">
        <v>0.0269967</v>
      </c>
      <c r="EF57">
        <v>0</v>
      </c>
      <c r="EG57">
        <v>981.61</v>
      </c>
      <c r="EH57">
        <v>5.00097</v>
      </c>
      <c r="EI57">
        <v>14564.83333333333</v>
      </c>
      <c r="EJ57">
        <v>12492.16666666667</v>
      </c>
      <c r="EK57">
        <v>37.25</v>
      </c>
      <c r="EL57">
        <v>38.687</v>
      </c>
      <c r="EM57">
        <v>37.625</v>
      </c>
      <c r="EN57">
        <v>38.437</v>
      </c>
      <c r="EO57">
        <v>38.125</v>
      </c>
      <c r="EP57">
        <v>1454.703333333333</v>
      </c>
      <c r="EQ57">
        <v>40.36333333333333</v>
      </c>
      <c r="ER57">
        <v>0</v>
      </c>
      <c r="ES57">
        <v>259.2000000476837</v>
      </c>
      <c r="ET57">
        <v>0</v>
      </c>
      <c r="EU57">
        <v>987.0504615384616</v>
      </c>
      <c r="EV57">
        <v>-49.32205121379324</v>
      </c>
      <c r="EW57">
        <v>-718.6222212113745</v>
      </c>
      <c r="EX57">
        <v>14643.76538461538</v>
      </c>
      <c r="EY57">
        <v>15</v>
      </c>
      <c r="EZ57">
        <v>1651864261.1</v>
      </c>
      <c r="FA57" t="s">
        <v>419</v>
      </c>
      <c r="FB57">
        <v>1651864241.6</v>
      </c>
      <c r="FC57">
        <v>1651864261.1</v>
      </c>
      <c r="FD57">
        <v>7</v>
      </c>
      <c r="FE57">
        <v>0.438</v>
      </c>
      <c r="FF57">
        <v>0.002</v>
      </c>
      <c r="FG57">
        <v>-0.988</v>
      </c>
      <c r="FH57">
        <v>-0.066</v>
      </c>
      <c r="FI57">
        <v>400</v>
      </c>
      <c r="FJ57">
        <v>11</v>
      </c>
      <c r="FK57">
        <v>0.05</v>
      </c>
      <c r="FL57">
        <v>0.02</v>
      </c>
      <c r="FM57">
        <v>-19.847275</v>
      </c>
      <c r="FN57">
        <v>5.549871669793641</v>
      </c>
      <c r="FO57">
        <v>0.5991215201234221</v>
      </c>
      <c r="FP57">
        <v>-1</v>
      </c>
      <c r="FQ57">
        <v>7.2522175</v>
      </c>
      <c r="FR57">
        <v>-0.386207729831163</v>
      </c>
      <c r="FS57">
        <v>0.03835247428458829</v>
      </c>
      <c r="FT57">
        <v>-1</v>
      </c>
      <c r="FU57">
        <v>0</v>
      </c>
      <c r="FV57">
        <v>0</v>
      </c>
      <c r="FW57">
        <v>0</v>
      </c>
      <c r="FX57">
        <v>-1</v>
      </c>
      <c r="FY57">
        <v>0</v>
      </c>
      <c r="FZ57">
        <v>0</v>
      </c>
      <c r="GA57" t="s">
        <v>420</v>
      </c>
      <c r="GB57">
        <v>2.98054</v>
      </c>
      <c r="GC57">
        <v>2.70589</v>
      </c>
      <c r="GD57">
        <v>0.205836</v>
      </c>
      <c r="GE57">
        <v>0.205299</v>
      </c>
      <c r="GF57">
        <v>0.08754770000000001</v>
      </c>
      <c r="GG57">
        <v>0.0600076</v>
      </c>
      <c r="GH57">
        <v>25064.1</v>
      </c>
      <c r="GI57">
        <v>25136.9</v>
      </c>
      <c r="GJ57">
        <v>29346.9</v>
      </c>
      <c r="GK57">
        <v>29262.4</v>
      </c>
      <c r="GL57">
        <v>35459.6</v>
      </c>
      <c r="GM57">
        <v>36638.9</v>
      </c>
      <c r="GN57">
        <v>41307.6</v>
      </c>
      <c r="GO57">
        <v>41766.9</v>
      </c>
      <c r="GP57">
        <v>1.95828</v>
      </c>
      <c r="GQ57">
        <v>1.8486</v>
      </c>
      <c r="GR57">
        <v>-0.0252649</v>
      </c>
      <c r="GS57">
        <v>0</v>
      </c>
      <c r="GT57">
        <v>25.4174</v>
      </c>
      <c r="GU57">
        <v>999.9</v>
      </c>
      <c r="GV57">
        <v>31.9</v>
      </c>
      <c r="GW57">
        <v>34.2</v>
      </c>
      <c r="GX57">
        <v>19.163</v>
      </c>
      <c r="GY57">
        <v>62.1075</v>
      </c>
      <c r="GZ57">
        <v>34.9439</v>
      </c>
      <c r="HA57">
        <v>1</v>
      </c>
      <c r="HB57">
        <v>0.102022</v>
      </c>
      <c r="HC57">
        <v>2.16553</v>
      </c>
      <c r="HD57">
        <v>20.3202</v>
      </c>
      <c r="HE57">
        <v>5.21594</v>
      </c>
      <c r="HF57">
        <v>12.0099</v>
      </c>
      <c r="HG57">
        <v>4.9887</v>
      </c>
      <c r="HH57">
        <v>3.28858</v>
      </c>
      <c r="HI57">
        <v>993.4</v>
      </c>
      <c r="HJ57">
        <v>9522.5</v>
      </c>
      <c r="HK57">
        <v>5139.4</v>
      </c>
      <c r="HL57">
        <v>24.8</v>
      </c>
      <c r="HM57">
        <v>1.86749</v>
      </c>
      <c r="HN57">
        <v>1.86646</v>
      </c>
      <c r="HO57">
        <v>1.866</v>
      </c>
      <c r="HP57">
        <v>1.86584</v>
      </c>
      <c r="HQ57">
        <v>1.86769</v>
      </c>
      <c r="HR57">
        <v>1.87021</v>
      </c>
      <c r="HS57">
        <v>1.86889</v>
      </c>
      <c r="HT57">
        <v>1.87024</v>
      </c>
      <c r="HU57">
        <v>0</v>
      </c>
      <c r="HV57">
        <v>0</v>
      </c>
      <c r="HW57">
        <v>0</v>
      </c>
      <c r="HX57">
        <v>0</v>
      </c>
      <c r="HY57" t="s">
        <v>421</v>
      </c>
      <c r="HZ57" t="s">
        <v>422</v>
      </c>
      <c r="IA57" t="s">
        <v>423</v>
      </c>
      <c r="IB57" t="s">
        <v>423</v>
      </c>
      <c r="IC57" t="s">
        <v>423</v>
      </c>
      <c r="ID57" t="s">
        <v>423</v>
      </c>
      <c r="IE57">
        <v>0</v>
      </c>
      <c r="IF57">
        <v>100</v>
      </c>
      <c r="IG57">
        <v>100</v>
      </c>
      <c r="IH57">
        <v>-2.63</v>
      </c>
      <c r="II57">
        <v>0.0198</v>
      </c>
      <c r="IJ57">
        <v>-0.2164499368582429</v>
      </c>
      <c r="IK57">
        <v>-0.002077099775823331</v>
      </c>
      <c r="IL57">
        <v>4.593143279902166E-07</v>
      </c>
      <c r="IM57">
        <v>-1.865383991892071E-10</v>
      </c>
      <c r="IN57">
        <v>-0.06087574426827484</v>
      </c>
      <c r="IO57">
        <v>-0.01129461987421345</v>
      </c>
      <c r="IP57">
        <v>0.00116580895745559</v>
      </c>
      <c r="IQ57">
        <v>-1.679085872906199E-05</v>
      </c>
      <c r="IR57">
        <v>2</v>
      </c>
      <c r="IS57">
        <v>2290</v>
      </c>
      <c r="IT57">
        <v>0</v>
      </c>
      <c r="IU57">
        <v>32</v>
      </c>
      <c r="IV57">
        <v>4</v>
      </c>
      <c r="IW57">
        <v>3.7</v>
      </c>
      <c r="IX57">
        <v>2.64282</v>
      </c>
      <c r="IY57">
        <v>2.18628</v>
      </c>
      <c r="IZ57">
        <v>1.39648</v>
      </c>
      <c r="JA57">
        <v>2.35718</v>
      </c>
      <c r="JB57">
        <v>1.49536</v>
      </c>
      <c r="JC57">
        <v>2.36572</v>
      </c>
      <c r="JD57">
        <v>38.4034</v>
      </c>
      <c r="JE57">
        <v>24.035</v>
      </c>
      <c r="JF57">
        <v>18</v>
      </c>
      <c r="JG57">
        <v>512.532</v>
      </c>
      <c r="JH57">
        <v>427.657</v>
      </c>
      <c r="JI57">
        <v>22.5033</v>
      </c>
      <c r="JJ57">
        <v>28.6217</v>
      </c>
      <c r="JK57">
        <v>30.0001</v>
      </c>
      <c r="JL57">
        <v>28.5911</v>
      </c>
      <c r="JM57">
        <v>28.5292</v>
      </c>
      <c r="JN57">
        <v>52.8565</v>
      </c>
      <c r="JO57">
        <v>40.6919</v>
      </c>
      <c r="JP57">
        <v>0</v>
      </c>
      <c r="JQ57">
        <v>22.5038</v>
      </c>
      <c r="JR57">
        <v>1344.33</v>
      </c>
      <c r="JS57">
        <v>11.1791</v>
      </c>
      <c r="JT57">
        <v>100.315</v>
      </c>
      <c r="JU57">
        <v>100.243</v>
      </c>
    </row>
    <row r="58" spans="1:281">
      <c r="A58">
        <v>42</v>
      </c>
      <c r="B58">
        <v>1651864482.6</v>
      </c>
      <c r="C58">
        <v>262</v>
      </c>
      <c r="D58" t="s">
        <v>504</v>
      </c>
      <c r="E58" t="s">
        <v>505</v>
      </c>
      <c r="F58">
        <v>2</v>
      </c>
      <c r="G58" t="s">
        <v>413</v>
      </c>
      <c r="H58" t="s">
        <v>414</v>
      </c>
      <c r="I58">
        <v>1651864481.225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1378.690499392078</v>
      </c>
      <c r="AK58">
        <v>1361.504121212121</v>
      </c>
      <c r="AL58">
        <v>-3.369698918804049</v>
      </c>
      <c r="AM58">
        <v>66.38192812717227</v>
      </c>
      <c r="AN58">
        <f>(AP58 - AO58 + DI58*1E3/(8.314*(DK58+273.15)) * AR58/DH58 * AQ58) * DH58/(100*CV58) * 1000/(1000 - AP58)</f>
        <v>0</v>
      </c>
      <c r="AO58">
        <v>11.12620784586655</v>
      </c>
      <c r="AP58">
        <v>18.31427411764705</v>
      </c>
      <c r="AQ58">
        <v>3.01401470650195E-05</v>
      </c>
      <c r="AR58">
        <v>80.47224507511959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417</v>
      </c>
      <c r="AY58" t="s">
        <v>417</v>
      </c>
      <c r="AZ58">
        <v>0</v>
      </c>
      <c r="BA58">
        <v>0</v>
      </c>
      <c r="BB58">
        <f>1-AZ58/BA58</f>
        <v>0</v>
      </c>
      <c r="BC58">
        <v>0</v>
      </c>
      <c r="BD58" t="s">
        <v>417</v>
      </c>
      <c r="BE58" t="s">
        <v>417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417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1248</v>
      </c>
      <c r="CA58">
        <v>300</v>
      </c>
      <c r="CB58">
        <v>300</v>
      </c>
      <c r="CC58">
        <v>300</v>
      </c>
      <c r="CD58">
        <v>10442</v>
      </c>
      <c r="CE58">
        <v>1293.69</v>
      </c>
      <c r="CF58">
        <v>-0.00735246</v>
      </c>
      <c r="CG58">
        <v>0.5</v>
      </c>
      <c r="CH58" t="s">
        <v>417</v>
      </c>
      <c r="CI58" t="s">
        <v>417</v>
      </c>
      <c r="CJ58" t="s">
        <v>417</v>
      </c>
      <c r="CK58" t="s">
        <v>417</v>
      </c>
      <c r="CL58" t="s">
        <v>417</v>
      </c>
      <c r="CM58" t="s">
        <v>417</v>
      </c>
      <c r="CN58" t="s">
        <v>417</v>
      </c>
      <c r="CO58" t="s">
        <v>417</v>
      </c>
      <c r="CP58" t="s">
        <v>417</v>
      </c>
      <c r="CQ58" t="s">
        <v>417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418</v>
      </c>
      <c r="CY58">
        <v>2</v>
      </c>
      <c r="CZ58" t="b">
        <v>1</v>
      </c>
      <c r="DA58">
        <v>1651864481.225</v>
      </c>
      <c r="DB58">
        <v>1339.47</v>
      </c>
      <c r="DC58">
        <v>1358.7275</v>
      </c>
      <c r="DD58">
        <v>18.3133</v>
      </c>
      <c r="DE58">
        <v>11.131825</v>
      </c>
      <c r="DF58">
        <v>1342.0975</v>
      </c>
      <c r="DG58">
        <v>18.293425</v>
      </c>
      <c r="DH58">
        <v>500.0437499999999</v>
      </c>
      <c r="DI58">
        <v>89.938625</v>
      </c>
      <c r="DJ58">
        <v>0.0999408</v>
      </c>
      <c r="DK58">
        <v>25.684175</v>
      </c>
      <c r="DL58">
        <v>25.002775</v>
      </c>
      <c r="DM58">
        <v>999.9</v>
      </c>
      <c r="DN58">
        <v>0</v>
      </c>
      <c r="DO58">
        <v>0</v>
      </c>
      <c r="DP58">
        <v>9978.4375</v>
      </c>
      <c r="DQ58">
        <v>0</v>
      </c>
      <c r="DR58">
        <v>3.23193</v>
      </c>
      <c r="DS58">
        <v>-19.25885</v>
      </c>
      <c r="DT58">
        <v>1364.4575</v>
      </c>
      <c r="DU58">
        <v>1374.0225</v>
      </c>
      <c r="DV58">
        <v>7.1814825</v>
      </c>
      <c r="DW58">
        <v>1358.7275</v>
      </c>
      <c r="DX58">
        <v>11.131825</v>
      </c>
      <c r="DY58">
        <v>1.6470725</v>
      </c>
      <c r="DZ58">
        <v>1.00118</v>
      </c>
      <c r="EA58">
        <v>14.406375</v>
      </c>
      <c r="EB58">
        <v>6.9335625</v>
      </c>
      <c r="EC58">
        <v>1499.9375</v>
      </c>
      <c r="ED58">
        <v>0.9730032500000001</v>
      </c>
      <c r="EE58">
        <v>0.02699715</v>
      </c>
      <c r="EF58">
        <v>0</v>
      </c>
      <c r="EG58">
        <v>980.5559999999999</v>
      </c>
      <c r="EH58">
        <v>5.00097</v>
      </c>
      <c r="EI58">
        <v>14547.525</v>
      </c>
      <c r="EJ58">
        <v>12491.1</v>
      </c>
      <c r="EK58">
        <v>37.25</v>
      </c>
      <c r="EL58">
        <v>38.687</v>
      </c>
      <c r="EM58">
        <v>37.625</v>
      </c>
      <c r="EN58">
        <v>38.437</v>
      </c>
      <c r="EO58">
        <v>38.125</v>
      </c>
      <c r="EP58">
        <v>1454.5775</v>
      </c>
      <c r="EQ58">
        <v>40.36</v>
      </c>
      <c r="ER58">
        <v>0</v>
      </c>
      <c r="ES58">
        <v>261.6000001430511</v>
      </c>
      <c r="ET58">
        <v>0</v>
      </c>
      <c r="EU58">
        <v>985.1456153846156</v>
      </c>
      <c r="EV58">
        <v>-47.37223931611198</v>
      </c>
      <c r="EW58">
        <v>-691.852991333799</v>
      </c>
      <c r="EX58">
        <v>14615.63461538462</v>
      </c>
      <c r="EY58">
        <v>15</v>
      </c>
      <c r="EZ58">
        <v>1651864261.1</v>
      </c>
      <c r="FA58" t="s">
        <v>419</v>
      </c>
      <c r="FB58">
        <v>1651864241.6</v>
      </c>
      <c r="FC58">
        <v>1651864261.1</v>
      </c>
      <c r="FD58">
        <v>7</v>
      </c>
      <c r="FE58">
        <v>0.438</v>
      </c>
      <c r="FF58">
        <v>0.002</v>
      </c>
      <c r="FG58">
        <v>-0.988</v>
      </c>
      <c r="FH58">
        <v>-0.066</v>
      </c>
      <c r="FI58">
        <v>400</v>
      </c>
      <c r="FJ58">
        <v>11</v>
      </c>
      <c r="FK58">
        <v>0.05</v>
      </c>
      <c r="FL58">
        <v>0.02</v>
      </c>
      <c r="FM58">
        <v>-19.6081075</v>
      </c>
      <c r="FN58">
        <v>3.750352345215832</v>
      </c>
      <c r="FO58">
        <v>0.4456416252929589</v>
      </c>
      <c r="FP58">
        <v>-1</v>
      </c>
      <c r="FQ58">
        <v>7.234772749999999</v>
      </c>
      <c r="FR58">
        <v>-0.4058608255159742</v>
      </c>
      <c r="FS58">
        <v>0.03998836480699734</v>
      </c>
      <c r="FT58">
        <v>-1</v>
      </c>
      <c r="FU58">
        <v>0</v>
      </c>
      <c r="FV58">
        <v>0</v>
      </c>
      <c r="FW58">
        <v>0</v>
      </c>
      <c r="FX58">
        <v>-1</v>
      </c>
      <c r="FY58">
        <v>0</v>
      </c>
      <c r="FZ58">
        <v>0</v>
      </c>
      <c r="GA58" t="s">
        <v>420</v>
      </c>
      <c r="GB58">
        <v>2.98053</v>
      </c>
      <c r="GC58">
        <v>2.70581</v>
      </c>
      <c r="GD58">
        <v>0.205216</v>
      </c>
      <c r="GE58">
        <v>0.204694</v>
      </c>
      <c r="GF58">
        <v>0.0875495</v>
      </c>
      <c r="GG58">
        <v>0.0600154</v>
      </c>
      <c r="GH58">
        <v>25083.5</v>
      </c>
      <c r="GI58">
        <v>25155.9</v>
      </c>
      <c r="GJ58">
        <v>29346.7</v>
      </c>
      <c r="GK58">
        <v>29262.3</v>
      </c>
      <c r="GL58">
        <v>35459.3</v>
      </c>
      <c r="GM58">
        <v>36638.4</v>
      </c>
      <c r="GN58">
        <v>41307.4</v>
      </c>
      <c r="GO58">
        <v>41766.7</v>
      </c>
      <c r="GP58">
        <v>1.9585</v>
      </c>
      <c r="GQ58">
        <v>1.84855</v>
      </c>
      <c r="GR58">
        <v>-0.0251681</v>
      </c>
      <c r="GS58">
        <v>0</v>
      </c>
      <c r="GT58">
        <v>25.4158</v>
      </c>
      <c r="GU58">
        <v>999.9</v>
      </c>
      <c r="GV58">
        <v>31.9</v>
      </c>
      <c r="GW58">
        <v>34.2</v>
      </c>
      <c r="GX58">
        <v>19.1613</v>
      </c>
      <c r="GY58">
        <v>62.3875</v>
      </c>
      <c r="GZ58">
        <v>35.1042</v>
      </c>
      <c r="HA58">
        <v>1</v>
      </c>
      <c r="HB58">
        <v>0.102002</v>
      </c>
      <c r="HC58">
        <v>2.1672</v>
      </c>
      <c r="HD58">
        <v>20.3202</v>
      </c>
      <c r="HE58">
        <v>5.21624</v>
      </c>
      <c r="HF58">
        <v>12.0099</v>
      </c>
      <c r="HG58">
        <v>4.989</v>
      </c>
      <c r="HH58">
        <v>3.28858</v>
      </c>
      <c r="HI58">
        <v>993.4</v>
      </c>
      <c r="HJ58">
        <v>9522.5</v>
      </c>
      <c r="HK58">
        <v>5139.4</v>
      </c>
      <c r="HL58">
        <v>24.8</v>
      </c>
      <c r="HM58">
        <v>1.8675</v>
      </c>
      <c r="HN58">
        <v>1.86646</v>
      </c>
      <c r="HO58">
        <v>1.866</v>
      </c>
      <c r="HP58">
        <v>1.86584</v>
      </c>
      <c r="HQ58">
        <v>1.86768</v>
      </c>
      <c r="HR58">
        <v>1.87024</v>
      </c>
      <c r="HS58">
        <v>1.86888</v>
      </c>
      <c r="HT58">
        <v>1.87026</v>
      </c>
      <c r="HU58">
        <v>0</v>
      </c>
      <c r="HV58">
        <v>0</v>
      </c>
      <c r="HW58">
        <v>0</v>
      </c>
      <c r="HX58">
        <v>0</v>
      </c>
      <c r="HY58" t="s">
        <v>421</v>
      </c>
      <c r="HZ58" t="s">
        <v>422</v>
      </c>
      <c r="IA58" t="s">
        <v>423</v>
      </c>
      <c r="IB58" t="s">
        <v>423</v>
      </c>
      <c r="IC58" t="s">
        <v>423</v>
      </c>
      <c r="ID58" t="s">
        <v>423</v>
      </c>
      <c r="IE58">
        <v>0</v>
      </c>
      <c r="IF58">
        <v>100</v>
      </c>
      <c r="IG58">
        <v>100</v>
      </c>
      <c r="IH58">
        <v>-2.62</v>
      </c>
      <c r="II58">
        <v>0.0199</v>
      </c>
      <c r="IJ58">
        <v>-0.2164499368582429</v>
      </c>
      <c r="IK58">
        <v>-0.002077099775823331</v>
      </c>
      <c r="IL58">
        <v>4.593143279902166E-07</v>
      </c>
      <c r="IM58">
        <v>-1.865383991892071E-10</v>
      </c>
      <c r="IN58">
        <v>-0.06087574426827484</v>
      </c>
      <c r="IO58">
        <v>-0.01129461987421345</v>
      </c>
      <c r="IP58">
        <v>0.00116580895745559</v>
      </c>
      <c r="IQ58">
        <v>-1.679085872906199E-05</v>
      </c>
      <c r="IR58">
        <v>2</v>
      </c>
      <c r="IS58">
        <v>2290</v>
      </c>
      <c r="IT58">
        <v>0</v>
      </c>
      <c r="IU58">
        <v>32</v>
      </c>
      <c r="IV58">
        <v>4</v>
      </c>
      <c r="IW58">
        <v>3.7</v>
      </c>
      <c r="IX58">
        <v>2.63184</v>
      </c>
      <c r="IY58">
        <v>2.19604</v>
      </c>
      <c r="IZ58">
        <v>1.39648</v>
      </c>
      <c r="JA58">
        <v>2.35718</v>
      </c>
      <c r="JB58">
        <v>1.49536</v>
      </c>
      <c r="JC58">
        <v>2.27539</v>
      </c>
      <c r="JD58">
        <v>38.4034</v>
      </c>
      <c r="JE58">
        <v>24.035</v>
      </c>
      <c r="JF58">
        <v>18</v>
      </c>
      <c r="JG58">
        <v>512.679</v>
      </c>
      <c r="JH58">
        <v>427.627</v>
      </c>
      <c r="JI58">
        <v>22.5034</v>
      </c>
      <c r="JJ58">
        <v>28.6217</v>
      </c>
      <c r="JK58">
        <v>30.0001</v>
      </c>
      <c r="JL58">
        <v>28.5911</v>
      </c>
      <c r="JM58">
        <v>28.5292</v>
      </c>
      <c r="JN58">
        <v>52.623</v>
      </c>
      <c r="JO58">
        <v>40.6919</v>
      </c>
      <c r="JP58">
        <v>0</v>
      </c>
      <c r="JQ58">
        <v>22.5038</v>
      </c>
      <c r="JR58">
        <v>1337.02</v>
      </c>
      <c r="JS58">
        <v>11.1885</v>
      </c>
      <c r="JT58">
        <v>100.314</v>
      </c>
      <c r="JU58">
        <v>100.243</v>
      </c>
    </row>
    <row r="59" spans="1:281">
      <c r="A59">
        <v>43</v>
      </c>
      <c r="B59">
        <v>1651864484.6</v>
      </c>
      <c r="C59">
        <v>264</v>
      </c>
      <c r="D59" t="s">
        <v>506</v>
      </c>
      <c r="E59" t="s">
        <v>507</v>
      </c>
      <c r="F59">
        <v>2</v>
      </c>
      <c r="G59" t="s">
        <v>413</v>
      </c>
      <c r="H59" t="s">
        <v>414</v>
      </c>
      <c r="I59">
        <v>1651864483.6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1372.028437149983</v>
      </c>
      <c r="AK59">
        <v>1354.857333333333</v>
      </c>
      <c r="AL59">
        <v>-3.340663368178061</v>
      </c>
      <c r="AM59">
        <v>66.38192812717227</v>
      </c>
      <c r="AN59">
        <f>(AP59 - AO59 + DI59*1E3/(8.314*(DK59+273.15)) * AR59/DH59 * AQ59) * DH59/(100*CV59) * 1000/(1000 - AP59)</f>
        <v>0</v>
      </c>
      <c r="AO59">
        <v>11.13081477264258</v>
      </c>
      <c r="AP59">
        <v>18.31138588235294</v>
      </c>
      <c r="AQ59">
        <v>4.155390101652251E-05</v>
      </c>
      <c r="AR59">
        <v>80.47224507511959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417</v>
      </c>
      <c r="AY59" t="s">
        <v>417</v>
      </c>
      <c r="AZ59">
        <v>0</v>
      </c>
      <c r="BA59">
        <v>0</v>
      </c>
      <c r="BB59">
        <f>1-AZ59/BA59</f>
        <v>0</v>
      </c>
      <c r="BC59">
        <v>0</v>
      </c>
      <c r="BD59" t="s">
        <v>417</v>
      </c>
      <c r="BE59" t="s">
        <v>417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417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1248</v>
      </c>
      <c r="CA59">
        <v>300</v>
      </c>
      <c r="CB59">
        <v>300</v>
      </c>
      <c r="CC59">
        <v>300</v>
      </c>
      <c r="CD59">
        <v>10442</v>
      </c>
      <c r="CE59">
        <v>1293.69</v>
      </c>
      <c r="CF59">
        <v>-0.00735246</v>
      </c>
      <c r="CG59">
        <v>0.5</v>
      </c>
      <c r="CH59" t="s">
        <v>417</v>
      </c>
      <c r="CI59" t="s">
        <v>417</v>
      </c>
      <c r="CJ59" t="s">
        <v>417</v>
      </c>
      <c r="CK59" t="s">
        <v>417</v>
      </c>
      <c r="CL59" t="s">
        <v>417</v>
      </c>
      <c r="CM59" t="s">
        <v>417</v>
      </c>
      <c r="CN59" t="s">
        <v>417</v>
      </c>
      <c r="CO59" t="s">
        <v>417</v>
      </c>
      <c r="CP59" t="s">
        <v>417</v>
      </c>
      <c r="CQ59" t="s">
        <v>417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418</v>
      </c>
      <c r="CY59">
        <v>2</v>
      </c>
      <c r="CZ59" t="b">
        <v>1</v>
      </c>
      <c r="DA59">
        <v>1651864483.6</v>
      </c>
      <c r="DB59">
        <v>1331.68</v>
      </c>
      <c r="DC59">
        <v>1350.823333333333</v>
      </c>
      <c r="DD59">
        <v>18.312</v>
      </c>
      <c r="DE59">
        <v>11.133</v>
      </c>
      <c r="DF59">
        <v>1334.29</v>
      </c>
      <c r="DG59">
        <v>18.2922</v>
      </c>
      <c r="DH59">
        <v>500.007</v>
      </c>
      <c r="DI59">
        <v>89.93836666666668</v>
      </c>
      <c r="DJ59">
        <v>0.09994013333333333</v>
      </c>
      <c r="DK59">
        <v>25.683</v>
      </c>
      <c r="DL59">
        <v>25.00473333333333</v>
      </c>
      <c r="DM59">
        <v>999.9</v>
      </c>
      <c r="DN59">
        <v>0</v>
      </c>
      <c r="DO59">
        <v>0</v>
      </c>
      <c r="DP59">
        <v>9977.5</v>
      </c>
      <c r="DQ59">
        <v>0</v>
      </c>
      <c r="DR59">
        <v>3.23193</v>
      </c>
      <c r="DS59">
        <v>-19.14346666666667</v>
      </c>
      <c r="DT59">
        <v>1356.52</v>
      </c>
      <c r="DU59">
        <v>1366.026666666667</v>
      </c>
      <c r="DV59">
        <v>7.179013333333334</v>
      </c>
      <c r="DW59">
        <v>1350.823333333333</v>
      </c>
      <c r="DX59">
        <v>11.133</v>
      </c>
      <c r="DY59">
        <v>1.646956666666667</v>
      </c>
      <c r="DZ59">
        <v>1.001283333333333</v>
      </c>
      <c r="EA59">
        <v>14.4053</v>
      </c>
      <c r="EB59">
        <v>6.935093333333334</v>
      </c>
      <c r="EC59">
        <v>1499.963333333333</v>
      </c>
      <c r="ED59">
        <v>0.973002</v>
      </c>
      <c r="EE59">
        <v>0.0269985</v>
      </c>
      <c r="EF59">
        <v>0</v>
      </c>
      <c r="EG59">
        <v>979.355</v>
      </c>
      <c r="EH59">
        <v>5.00097</v>
      </c>
      <c r="EI59">
        <v>14523.16666666667</v>
      </c>
      <c r="EJ59">
        <v>12491.3</v>
      </c>
      <c r="EK59">
        <v>37.25</v>
      </c>
      <c r="EL59">
        <v>38.687</v>
      </c>
      <c r="EM59">
        <v>37.625</v>
      </c>
      <c r="EN59">
        <v>38.437</v>
      </c>
      <c r="EO59">
        <v>38.125</v>
      </c>
      <c r="EP59">
        <v>1454.6</v>
      </c>
      <c r="EQ59">
        <v>40.36333333333334</v>
      </c>
      <c r="ER59">
        <v>0</v>
      </c>
      <c r="ES59">
        <v>263.4000000953674</v>
      </c>
      <c r="ET59">
        <v>0</v>
      </c>
      <c r="EU59">
        <v>983.55268</v>
      </c>
      <c r="EV59">
        <v>-45.02015385426134</v>
      </c>
      <c r="EW59">
        <v>-668.1999999865682</v>
      </c>
      <c r="EX59">
        <v>14591.644</v>
      </c>
      <c r="EY59">
        <v>15</v>
      </c>
      <c r="EZ59">
        <v>1651864261.1</v>
      </c>
      <c r="FA59" t="s">
        <v>419</v>
      </c>
      <c r="FB59">
        <v>1651864241.6</v>
      </c>
      <c r="FC59">
        <v>1651864261.1</v>
      </c>
      <c r="FD59">
        <v>7</v>
      </c>
      <c r="FE59">
        <v>0.438</v>
      </c>
      <c r="FF59">
        <v>0.002</v>
      </c>
      <c r="FG59">
        <v>-0.988</v>
      </c>
      <c r="FH59">
        <v>-0.066</v>
      </c>
      <c r="FI59">
        <v>400</v>
      </c>
      <c r="FJ59">
        <v>11</v>
      </c>
      <c r="FK59">
        <v>0.05</v>
      </c>
      <c r="FL59">
        <v>0.02</v>
      </c>
      <c r="FM59">
        <v>-19.54247</v>
      </c>
      <c r="FN59">
        <v>3.120884803001895</v>
      </c>
      <c r="FO59">
        <v>0.390678712115211</v>
      </c>
      <c r="FP59">
        <v>-1</v>
      </c>
      <c r="FQ59">
        <v>7.229097499999999</v>
      </c>
      <c r="FR59">
        <v>-0.3969532457786206</v>
      </c>
      <c r="FS59">
        <v>0.03927948871548616</v>
      </c>
      <c r="FT59">
        <v>-1</v>
      </c>
      <c r="FU59">
        <v>0</v>
      </c>
      <c r="FV59">
        <v>0</v>
      </c>
      <c r="FW59">
        <v>0</v>
      </c>
      <c r="FX59">
        <v>-1</v>
      </c>
      <c r="FY59">
        <v>0</v>
      </c>
      <c r="FZ59">
        <v>0</v>
      </c>
      <c r="GA59" t="s">
        <v>420</v>
      </c>
      <c r="GB59">
        <v>2.98049</v>
      </c>
      <c r="GC59">
        <v>2.70601</v>
      </c>
      <c r="GD59">
        <v>0.204592</v>
      </c>
      <c r="GE59">
        <v>0.204062</v>
      </c>
      <c r="GF59">
        <v>0.087536</v>
      </c>
      <c r="GG59">
        <v>0.0600181</v>
      </c>
      <c r="GH59">
        <v>25103</v>
      </c>
      <c r="GI59">
        <v>25175.7</v>
      </c>
      <c r="GJ59">
        <v>29346.5</v>
      </c>
      <c r="GK59">
        <v>29262</v>
      </c>
      <c r="GL59">
        <v>35459.5</v>
      </c>
      <c r="GM59">
        <v>36638</v>
      </c>
      <c r="GN59">
        <v>41307.1</v>
      </c>
      <c r="GO59">
        <v>41766.3</v>
      </c>
      <c r="GP59">
        <v>1.95837</v>
      </c>
      <c r="GQ59">
        <v>1.8486</v>
      </c>
      <c r="GR59">
        <v>-0.0249818</v>
      </c>
      <c r="GS59">
        <v>0</v>
      </c>
      <c r="GT59">
        <v>25.4146</v>
      </c>
      <c r="GU59">
        <v>999.9</v>
      </c>
      <c r="GV59">
        <v>31.9</v>
      </c>
      <c r="GW59">
        <v>34.2</v>
      </c>
      <c r="GX59">
        <v>19.1637</v>
      </c>
      <c r="GY59">
        <v>62.3675</v>
      </c>
      <c r="GZ59">
        <v>35.1442</v>
      </c>
      <c r="HA59">
        <v>1</v>
      </c>
      <c r="HB59">
        <v>0.102063</v>
      </c>
      <c r="HC59">
        <v>2.16771</v>
      </c>
      <c r="HD59">
        <v>20.3204</v>
      </c>
      <c r="HE59">
        <v>5.21609</v>
      </c>
      <c r="HF59">
        <v>12.0099</v>
      </c>
      <c r="HG59">
        <v>4.98885</v>
      </c>
      <c r="HH59">
        <v>3.28858</v>
      </c>
      <c r="HI59">
        <v>993.4</v>
      </c>
      <c r="HJ59">
        <v>9522.5</v>
      </c>
      <c r="HK59">
        <v>5139.4</v>
      </c>
      <c r="HL59">
        <v>24.8</v>
      </c>
      <c r="HM59">
        <v>1.86749</v>
      </c>
      <c r="HN59">
        <v>1.86646</v>
      </c>
      <c r="HO59">
        <v>1.866</v>
      </c>
      <c r="HP59">
        <v>1.86584</v>
      </c>
      <c r="HQ59">
        <v>1.86769</v>
      </c>
      <c r="HR59">
        <v>1.87022</v>
      </c>
      <c r="HS59">
        <v>1.86887</v>
      </c>
      <c r="HT59">
        <v>1.87026</v>
      </c>
      <c r="HU59">
        <v>0</v>
      </c>
      <c r="HV59">
        <v>0</v>
      </c>
      <c r="HW59">
        <v>0</v>
      </c>
      <c r="HX59">
        <v>0</v>
      </c>
      <c r="HY59" t="s">
        <v>421</v>
      </c>
      <c r="HZ59" t="s">
        <v>422</v>
      </c>
      <c r="IA59" t="s">
        <v>423</v>
      </c>
      <c r="IB59" t="s">
        <v>423</v>
      </c>
      <c r="IC59" t="s">
        <v>423</v>
      </c>
      <c r="ID59" t="s">
        <v>423</v>
      </c>
      <c r="IE59">
        <v>0</v>
      </c>
      <c r="IF59">
        <v>100</v>
      </c>
      <c r="IG59">
        <v>100</v>
      </c>
      <c r="IH59">
        <v>-2.61</v>
      </c>
      <c r="II59">
        <v>0.0198</v>
      </c>
      <c r="IJ59">
        <v>-0.2164499368582429</v>
      </c>
      <c r="IK59">
        <v>-0.002077099775823331</v>
      </c>
      <c r="IL59">
        <v>4.593143279902166E-07</v>
      </c>
      <c r="IM59">
        <v>-1.865383991892071E-10</v>
      </c>
      <c r="IN59">
        <v>-0.06087574426827484</v>
      </c>
      <c r="IO59">
        <v>-0.01129461987421345</v>
      </c>
      <c r="IP59">
        <v>0.00116580895745559</v>
      </c>
      <c r="IQ59">
        <v>-1.679085872906199E-05</v>
      </c>
      <c r="IR59">
        <v>2</v>
      </c>
      <c r="IS59">
        <v>2290</v>
      </c>
      <c r="IT59">
        <v>0</v>
      </c>
      <c r="IU59">
        <v>32</v>
      </c>
      <c r="IV59">
        <v>4</v>
      </c>
      <c r="IW59">
        <v>3.7</v>
      </c>
      <c r="IX59">
        <v>2.62085</v>
      </c>
      <c r="IY59">
        <v>2.18994</v>
      </c>
      <c r="IZ59">
        <v>1.39648</v>
      </c>
      <c r="JA59">
        <v>2.35596</v>
      </c>
      <c r="JB59">
        <v>1.49536</v>
      </c>
      <c r="JC59">
        <v>2.3584</v>
      </c>
      <c r="JD59">
        <v>38.4034</v>
      </c>
      <c r="JE59">
        <v>24.035</v>
      </c>
      <c r="JF59">
        <v>18</v>
      </c>
      <c r="JG59">
        <v>512.598</v>
      </c>
      <c r="JH59">
        <v>427.663</v>
      </c>
      <c r="JI59">
        <v>22.5031</v>
      </c>
      <c r="JJ59">
        <v>28.6227</v>
      </c>
      <c r="JK59">
        <v>30.0002</v>
      </c>
      <c r="JL59">
        <v>28.5911</v>
      </c>
      <c r="JM59">
        <v>28.53</v>
      </c>
      <c r="JN59">
        <v>52.4077</v>
      </c>
      <c r="JO59">
        <v>40.6919</v>
      </c>
      <c r="JP59">
        <v>0</v>
      </c>
      <c r="JQ59">
        <v>22.5005</v>
      </c>
      <c r="JR59">
        <v>1330.35</v>
      </c>
      <c r="JS59">
        <v>11.201</v>
      </c>
      <c r="JT59">
        <v>100.313</v>
      </c>
      <c r="JU59">
        <v>100.242</v>
      </c>
    </row>
    <row r="60" spans="1:281">
      <c r="A60">
        <v>44</v>
      </c>
      <c r="B60">
        <v>1651864486.6</v>
      </c>
      <c r="C60">
        <v>266</v>
      </c>
      <c r="D60" t="s">
        <v>508</v>
      </c>
      <c r="E60" t="s">
        <v>509</v>
      </c>
      <c r="F60">
        <v>2</v>
      </c>
      <c r="G60" t="s">
        <v>413</v>
      </c>
      <c r="H60" t="s">
        <v>414</v>
      </c>
      <c r="I60">
        <v>1651864485.225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1365.256690816977</v>
      </c>
      <c r="AK60">
        <v>1348.160363636363</v>
      </c>
      <c r="AL60">
        <v>-3.343092358427018</v>
      </c>
      <c r="AM60">
        <v>66.38192812717227</v>
      </c>
      <c r="AN60">
        <f>(AP60 - AO60 + DI60*1E3/(8.314*(DK60+273.15)) * AR60/DH60 * AQ60) * DH60/(100*CV60) * 1000/(1000 - AP60)</f>
        <v>0</v>
      </c>
      <c r="AO60">
        <v>11.13255194036511</v>
      </c>
      <c r="AP60">
        <v>18.30632588235293</v>
      </c>
      <c r="AQ60">
        <v>1.889876571421685E-05</v>
      </c>
      <c r="AR60">
        <v>80.47224507511959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417</v>
      </c>
      <c r="AY60" t="s">
        <v>417</v>
      </c>
      <c r="AZ60">
        <v>0</v>
      </c>
      <c r="BA60">
        <v>0</v>
      </c>
      <c r="BB60">
        <f>1-AZ60/BA60</f>
        <v>0</v>
      </c>
      <c r="BC60">
        <v>0</v>
      </c>
      <c r="BD60" t="s">
        <v>417</v>
      </c>
      <c r="BE60" t="s">
        <v>417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417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1248</v>
      </c>
      <c r="CA60">
        <v>300</v>
      </c>
      <c r="CB60">
        <v>300</v>
      </c>
      <c r="CC60">
        <v>300</v>
      </c>
      <c r="CD60">
        <v>10442</v>
      </c>
      <c r="CE60">
        <v>1293.69</v>
      </c>
      <c r="CF60">
        <v>-0.00735246</v>
      </c>
      <c r="CG60">
        <v>0.5</v>
      </c>
      <c r="CH60" t="s">
        <v>417</v>
      </c>
      <c r="CI60" t="s">
        <v>417</v>
      </c>
      <c r="CJ60" t="s">
        <v>417</v>
      </c>
      <c r="CK60" t="s">
        <v>417</v>
      </c>
      <c r="CL60" t="s">
        <v>417</v>
      </c>
      <c r="CM60" t="s">
        <v>417</v>
      </c>
      <c r="CN60" t="s">
        <v>417</v>
      </c>
      <c r="CO60" t="s">
        <v>417</v>
      </c>
      <c r="CP60" t="s">
        <v>417</v>
      </c>
      <c r="CQ60" t="s">
        <v>417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418</v>
      </c>
      <c r="CY60">
        <v>2</v>
      </c>
      <c r="CZ60" t="b">
        <v>1</v>
      </c>
      <c r="DA60">
        <v>1651864485.225</v>
      </c>
      <c r="DB60">
        <v>1326.3525</v>
      </c>
      <c r="DC60">
        <v>1345.185</v>
      </c>
      <c r="DD60">
        <v>18.308675</v>
      </c>
      <c r="DE60">
        <v>11.133025</v>
      </c>
      <c r="DF60">
        <v>1328.955</v>
      </c>
      <c r="DG60">
        <v>18.288875</v>
      </c>
      <c r="DH60">
        <v>500.03775</v>
      </c>
      <c r="DI60">
        <v>89.93772499999999</v>
      </c>
      <c r="DJ60">
        <v>0.099932825</v>
      </c>
      <c r="DK60">
        <v>25.683475</v>
      </c>
      <c r="DL60">
        <v>25.004225</v>
      </c>
      <c r="DM60">
        <v>999.9</v>
      </c>
      <c r="DN60">
        <v>0</v>
      </c>
      <c r="DO60">
        <v>0</v>
      </c>
      <c r="DP60">
        <v>9992.8125</v>
      </c>
      <c r="DQ60">
        <v>0</v>
      </c>
      <c r="DR60">
        <v>3.23193</v>
      </c>
      <c r="DS60">
        <v>-18.828575</v>
      </c>
      <c r="DT60">
        <v>1351.0875</v>
      </c>
      <c r="DU60">
        <v>1360.3275</v>
      </c>
      <c r="DV60">
        <v>7.1756125</v>
      </c>
      <c r="DW60">
        <v>1345.185</v>
      </c>
      <c r="DX60">
        <v>11.133025</v>
      </c>
      <c r="DY60">
        <v>1.64664</v>
      </c>
      <c r="DZ60">
        <v>1.0012825</v>
      </c>
      <c r="EA60">
        <v>14.40235</v>
      </c>
      <c r="EB60">
        <v>6.935039999999999</v>
      </c>
      <c r="EC60">
        <v>1500.0025</v>
      </c>
      <c r="ED60">
        <v>0.9730032500000001</v>
      </c>
      <c r="EE60">
        <v>0.02699715</v>
      </c>
      <c r="EF60">
        <v>0</v>
      </c>
      <c r="EG60">
        <v>977.8995</v>
      </c>
      <c r="EH60">
        <v>5.00097</v>
      </c>
      <c r="EI60">
        <v>14506.75</v>
      </c>
      <c r="EJ60">
        <v>12491.625</v>
      </c>
      <c r="EK60">
        <v>37.25</v>
      </c>
      <c r="EL60">
        <v>38.687</v>
      </c>
      <c r="EM60">
        <v>37.625</v>
      </c>
      <c r="EN60">
        <v>38.437</v>
      </c>
      <c r="EO60">
        <v>38.125</v>
      </c>
      <c r="EP60">
        <v>1454.64</v>
      </c>
      <c r="EQ60">
        <v>40.3625</v>
      </c>
      <c r="ER60">
        <v>0</v>
      </c>
      <c r="ES60">
        <v>265.2000000476837</v>
      </c>
      <c r="ET60">
        <v>0</v>
      </c>
      <c r="EU60">
        <v>982.4393076923078</v>
      </c>
      <c r="EV60">
        <v>-43.7563076395658</v>
      </c>
      <c r="EW60">
        <v>-652.3897426382476</v>
      </c>
      <c r="EX60">
        <v>14575.11538461538</v>
      </c>
      <c r="EY60">
        <v>15</v>
      </c>
      <c r="EZ60">
        <v>1651864261.1</v>
      </c>
      <c r="FA60" t="s">
        <v>419</v>
      </c>
      <c r="FB60">
        <v>1651864241.6</v>
      </c>
      <c r="FC60">
        <v>1651864261.1</v>
      </c>
      <c r="FD60">
        <v>7</v>
      </c>
      <c r="FE60">
        <v>0.438</v>
      </c>
      <c r="FF60">
        <v>0.002</v>
      </c>
      <c r="FG60">
        <v>-0.988</v>
      </c>
      <c r="FH60">
        <v>-0.066</v>
      </c>
      <c r="FI60">
        <v>400</v>
      </c>
      <c r="FJ60">
        <v>11</v>
      </c>
      <c r="FK60">
        <v>0.05</v>
      </c>
      <c r="FL60">
        <v>0.02</v>
      </c>
      <c r="FM60">
        <v>-19.32912</v>
      </c>
      <c r="FN60">
        <v>2.114809756097603</v>
      </c>
      <c r="FO60">
        <v>0.2739022455183604</v>
      </c>
      <c r="FP60">
        <v>-1</v>
      </c>
      <c r="FQ60">
        <v>7.212693249999999</v>
      </c>
      <c r="FR60">
        <v>-0.3414784615384701</v>
      </c>
      <c r="FS60">
        <v>0.03473752555864479</v>
      </c>
      <c r="FT60">
        <v>-1</v>
      </c>
      <c r="FU60">
        <v>0</v>
      </c>
      <c r="FV60">
        <v>0</v>
      </c>
      <c r="FW60">
        <v>0</v>
      </c>
      <c r="FX60">
        <v>-1</v>
      </c>
      <c r="FY60">
        <v>0</v>
      </c>
      <c r="FZ60">
        <v>0</v>
      </c>
      <c r="GA60" t="s">
        <v>420</v>
      </c>
      <c r="GB60">
        <v>2.98065</v>
      </c>
      <c r="GC60">
        <v>2.70598</v>
      </c>
      <c r="GD60">
        <v>0.203965</v>
      </c>
      <c r="GE60">
        <v>0.203409</v>
      </c>
      <c r="GF60">
        <v>0.087521</v>
      </c>
      <c r="GG60">
        <v>0.0600158</v>
      </c>
      <c r="GH60">
        <v>25122.8</v>
      </c>
      <c r="GI60">
        <v>25196.2</v>
      </c>
      <c r="GJ60">
        <v>29346.5</v>
      </c>
      <c r="GK60">
        <v>29261.8</v>
      </c>
      <c r="GL60">
        <v>35460.1</v>
      </c>
      <c r="GM60">
        <v>36637.9</v>
      </c>
      <c r="GN60">
        <v>41307.1</v>
      </c>
      <c r="GO60">
        <v>41766.2</v>
      </c>
      <c r="GP60">
        <v>1.95828</v>
      </c>
      <c r="GQ60">
        <v>1.84855</v>
      </c>
      <c r="GR60">
        <v>-0.0250414</v>
      </c>
      <c r="GS60">
        <v>0</v>
      </c>
      <c r="GT60">
        <v>25.413</v>
      </c>
      <c r="GU60">
        <v>999.9</v>
      </c>
      <c r="GV60">
        <v>31.9</v>
      </c>
      <c r="GW60">
        <v>34.2</v>
      </c>
      <c r="GX60">
        <v>19.1643</v>
      </c>
      <c r="GY60">
        <v>62.5574</v>
      </c>
      <c r="GZ60">
        <v>34.8598</v>
      </c>
      <c r="HA60">
        <v>1</v>
      </c>
      <c r="HB60">
        <v>0.102111</v>
      </c>
      <c r="HC60">
        <v>2.17511</v>
      </c>
      <c r="HD60">
        <v>20.3204</v>
      </c>
      <c r="HE60">
        <v>5.21579</v>
      </c>
      <c r="HF60">
        <v>12.0099</v>
      </c>
      <c r="HG60">
        <v>4.98855</v>
      </c>
      <c r="HH60">
        <v>3.28858</v>
      </c>
      <c r="HI60">
        <v>993.4</v>
      </c>
      <c r="HJ60">
        <v>9522.5</v>
      </c>
      <c r="HK60">
        <v>5139.4</v>
      </c>
      <c r="HL60">
        <v>24.8</v>
      </c>
      <c r="HM60">
        <v>1.86749</v>
      </c>
      <c r="HN60">
        <v>1.86646</v>
      </c>
      <c r="HO60">
        <v>1.866</v>
      </c>
      <c r="HP60">
        <v>1.86584</v>
      </c>
      <c r="HQ60">
        <v>1.86769</v>
      </c>
      <c r="HR60">
        <v>1.87021</v>
      </c>
      <c r="HS60">
        <v>1.86888</v>
      </c>
      <c r="HT60">
        <v>1.87025</v>
      </c>
      <c r="HU60">
        <v>0</v>
      </c>
      <c r="HV60">
        <v>0</v>
      </c>
      <c r="HW60">
        <v>0</v>
      </c>
      <c r="HX60">
        <v>0</v>
      </c>
      <c r="HY60" t="s">
        <v>421</v>
      </c>
      <c r="HZ60" t="s">
        <v>422</v>
      </c>
      <c r="IA60" t="s">
        <v>423</v>
      </c>
      <c r="IB60" t="s">
        <v>423</v>
      </c>
      <c r="IC60" t="s">
        <v>423</v>
      </c>
      <c r="ID60" t="s">
        <v>423</v>
      </c>
      <c r="IE60">
        <v>0</v>
      </c>
      <c r="IF60">
        <v>100</v>
      </c>
      <c r="IG60">
        <v>100</v>
      </c>
      <c r="IH60">
        <v>-2.6</v>
      </c>
      <c r="II60">
        <v>0.0197</v>
      </c>
      <c r="IJ60">
        <v>-0.2164499368582429</v>
      </c>
      <c r="IK60">
        <v>-0.002077099775823331</v>
      </c>
      <c r="IL60">
        <v>4.593143279902166E-07</v>
      </c>
      <c r="IM60">
        <v>-1.865383991892071E-10</v>
      </c>
      <c r="IN60">
        <v>-0.06087574426827484</v>
      </c>
      <c r="IO60">
        <v>-0.01129461987421345</v>
      </c>
      <c r="IP60">
        <v>0.00116580895745559</v>
      </c>
      <c r="IQ60">
        <v>-1.679085872906199E-05</v>
      </c>
      <c r="IR60">
        <v>2</v>
      </c>
      <c r="IS60">
        <v>2290</v>
      </c>
      <c r="IT60">
        <v>0</v>
      </c>
      <c r="IU60">
        <v>32</v>
      </c>
      <c r="IV60">
        <v>4.1</v>
      </c>
      <c r="IW60">
        <v>3.8</v>
      </c>
      <c r="IX60">
        <v>2.60986</v>
      </c>
      <c r="IY60">
        <v>2.1936</v>
      </c>
      <c r="IZ60">
        <v>1.39648</v>
      </c>
      <c r="JA60">
        <v>2.35596</v>
      </c>
      <c r="JB60">
        <v>1.49536</v>
      </c>
      <c r="JC60">
        <v>2.33521</v>
      </c>
      <c r="JD60">
        <v>38.4034</v>
      </c>
      <c r="JE60">
        <v>24.035</v>
      </c>
      <c r="JF60">
        <v>18</v>
      </c>
      <c r="JG60">
        <v>512.54</v>
      </c>
      <c r="JH60">
        <v>427.641</v>
      </c>
      <c r="JI60">
        <v>22.5028</v>
      </c>
      <c r="JJ60">
        <v>28.6239</v>
      </c>
      <c r="JK60">
        <v>30.0002</v>
      </c>
      <c r="JL60">
        <v>28.5921</v>
      </c>
      <c r="JM60">
        <v>28.5312</v>
      </c>
      <c r="JN60">
        <v>52.1878</v>
      </c>
      <c r="JO60">
        <v>40.6919</v>
      </c>
      <c r="JP60">
        <v>0</v>
      </c>
      <c r="JQ60">
        <v>22.5005</v>
      </c>
      <c r="JR60">
        <v>1323.62</v>
      </c>
      <c r="JS60">
        <v>11.209</v>
      </c>
      <c r="JT60">
        <v>100.313</v>
      </c>
      <c r="JU60">
        <v>100.241</v>
      </c>
    </row>
    <row r="61" spans="1:281">
      <c r="A61">
        <v>45</v>
      </c>
      <c r="B61">
        <v>1651864488.1</v>
      </c>
      <c r="C61">
        <v>267.5</v>
      </c>
      <c r="D61" t="s">
        <v>510</v>
      </c>
      <c r="E61" t="s">
        <v>511</v>
      </c>
      <c r="F61">
        <v>2</v>
      </c>
      <c r="G61" t="s">
        <v>413</v>
      </c>
      <c r="H61" t="s">
        <v>414</v>
      </c>
      <c r="I61">
        <v>1651864486.6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1359.985767121806</v>
      </c>
      <c r="AK61">
        <v>1343.020181818182</v>
      </c>
      <c r="AL61">
        <v>-3.38522274134647</v>
      </c>
      <c r="AM61">
        <v>66.38192812717227</v>
      </c>
      <c r="AN61">
        <f>(AP61 - AO61 + DI61*1E3/(8.314*(DK61+273.15)) * AR61/DH61 * AQ61) * DH61/(100*CV61) * 1000/(1000 - AP61)</f>
        <v>0</v>
      </c>
      <c r="AO61">
        <v>11.13305605139886</v>
      </c>
      <c r="AP61">
        <v>18.3025344117647</v>
      </c>
      <c r="AQ61">
        <v>-5.842881480064843E-07</v>
      </c>
      <c r="AR61">
        <v>80.47224507511959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417</v>
      </c>
      <c r="AY61" t="s">
        <v>417</v>
      </c>
      <c r="AZ61">
        <v>0</v>
      </c>
      <c r="BA61">
        <v>0</v>
      </c>
      <c r="BB61">
        <f>1-AZ61/BA61</f>
        <v>0</v>
      </c>
      <c r="BC61">
        <v>0</v>
      </c>
      <c r="BD61" t="s">
        <v>417</v>
      </c>
      <c r="BE61" t="s">
        <v>417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417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1248</v>
      </c>
      <c r="CA61">
        <v>300</v>
      </c>
      <c r="CB61">
        <v>300</v>
      </c>
      <c r="CC61">
        <v>300</v>
      </c>
      <c r="CD61">
        <v>10442</v>
      </c>
      <c r="CE61">
        <v>1293.69</v>
      </c>
      <c r="CF61">
        <v>-0.00735246</v>
      </c>
      <c r="CG61">
        <v>0.5</v>
      </c>
      <c r="CH61" t="s">
        <v>417</v>
      </c>
      <c r="CI61" t="s">
        <v>417</v>
      </c>
      <c r="CJ61" t="s">
        <v>417</v>
      </c>
      <c r="CK61" t="s">
        <v>417</v>
      </c>
      <c r="CL61" t="s">
        <v>417</v>
      </c>
      <c r="CM61" t="s">
        <v>417</v>
      </c>
      <c r="CN61" t="s">
        <v>417</v>
      </c>
      <c r="CO61" t="s">
        <v>417</v>
      </c>
      <c r="CP61" t="s">
        <v>417</v>
      </c>
      <c r="CQ61" t="s">
        <v>417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418</v>
      </c>
      <c r="CY61">
        <v>2</v>
      </c>
      <c r="CZ61" t="b">
        <v>1</v>
      </c>
      <c r="DA61">
        <v>1651864486.6</v>
      </c>
      <c r="DB61">
        <v>1321.7925</v>
      </c>
      <c r="DC61">
        <v>1340.455</v>
      </c>
      <c r="DD61">
        <v>18.30545</v>
      </c>
      <c r="DE61">
        <v>11.132925</v>
      </c>
      <c r="DF61">
        <v>1324.3875</v>
      </c>
      <c r="DG61">
        <v>18.285675</v>
      </c>
      <c r="DH61">
        <v>500.0455000000001</v>
      </c>
      <c r="DI61">
        <v>89.93785000000001</v>
      </c>
      <c r="DJ61">
        <v>0.099757525</v>
      </c>
      <c r="DK61">
        <v>25.684725</v>
      </c>
      <c r="DL61">
        <v>25.0018</v>
      </c>
      <c r="DM61">
        <v>999.9</v>
      </c>
      <c r="DN61">
        <v>0</v>
      </c>
      <c r="DO61">
        <v>0</v>
      </c>
      <c r="DP61">
        <v>10010.625</v>
      </c>
      <c r="DQ61">
        <v>0</v>
      </c>
      <c r="DR61">
        <v>3.23193</v>
      </c>
      <c r="DS61">
        <v>-18.6626</v>
      </c>
      <c r="DT61">
        <v>1346.4375</v>
      </c>
      <c r="DU61">
        <v>1355.545</v>
      </c>
      <c r="DV61">
        <v>7.1724975</v>
      </c>
      <c r="DW61">
        <v>1340.455</v>
      </c>
      <c r="DX61">
        <v>11.132925</v>
      </c>
      <c r="DY61">
        <v>1.64635</v>
      </c>
      <c r="DZ61">
        <v>1.001275</v>
      </c>
      <c r="EA61">
        <v>14.399625</v>
      </c>
      <c r="EB61">
        <v>6.9349025</v>
      </c>
      <c r="EC61">
        <v>1500.0025</v>
      </c>
      <c r="ED61">
        <v>0.9730045</v>
      </c>
      <c r="EE61">
        <v>0.0269958</v>
      </c>
      <c r="EF61">
        <v>0</v>
      </c>
      <c r="EG61">
        <v>976.902</v>
      </c>
      <c r="EH61">
        <v>5.00097</v>
      </c>
      <c r="EI61">
        <v>14493.725</v>
      </c>
      <c r="EJ61">
        <v>12491.65</v>
      </c>
      <c r="EK61">
        <v>37.25</v>
      </c>
      <c r="EL61">
        <v>38.687</v>
      </c>
      <c r="EM61">
        <v>37.625</v>
      </c>
      <c r="EN61">
        <v>38.437</v>
      </c>
      <c r="EO61">
        <v>38.125</v>
      </c>
      <c r="EP61">
        <v>1454.6425</v>
      </c>
      <c r="EQ61">
        <v>40.36</v>
      </c>
      <c r="ER61">
        <v>0</v>
      </c>
      <c r="ES61">
        <v>267</v>
      </c>
      <c r="ET61">
        <v>0</v>
      </c>
      <c r="EU61">
        <v>980.89444</v>
      </c>
      <c r="EV61">
        <v>-42.25230775333782</v>
      </c>
      <c r="EW61">
        <v>-632.453847010496</v>
      </c>
      <c r="EX61">
        <v>14552.404</v>
      </c>
      <c r="EY61">
        <v>15</v>
      </c>
      <c r="EZ61">
        <v>1651864261.1</v>
      </c>
      <c r="FA61" t="s">
        <v>419</v>
      </c>
      <c r="FB61">
        <v>1651864241.6</v>
      </c>
      <c r="FC61">
        <v>1651864261.1</v>
      </c>
      <c r="FD61">
        <v>7</v>
      </c>
      <c r="FE61">
        <v>0.438</v>
      </c>
      <c r="FF61">
        <v>0.002</v>
      </c>
      <c r="FG61">
        <v>-0.988</v>
      </c>
      <c r="FH61">
        <v>-0.066</v>
      </c>
      <c r="FI61">
        <v>400</v>
      </c>
      <c r="FJ61">
        <v>11</v>
      </c>
      <c r="FK61">
        <v>0.05</v>
      </c>
      <c r="FL61">
        <v>0.02</v>
      </c>
      <c r="FM61">
        <v>-19.2629225</v>
      </c>
      <c r="FN61">
        <v>2.043348968105106</v>
      </c>
      <c r="FO61">
        <v>0.2641353161615276</v>
      </c>
      <c r="FP61">
        <v>-1</v>
      </c>
      <c r="FQ61">
        <v>7.207843250000001</v>
      </c>
      <c r="FR61">
        <v>-0.323347654784259</v>
      </c>
      <c r="FS61">
        <v>0.03330058853740425</v>
      </c>
      <c r="FT61">
        <v>-1</v>
      </c>
      <c r="FU61">
        <v>0</v>
      </c>
      <c r="FV61">
        <v>0</v>
      </c>
      <c r="FW61">
        <v>0</v>
      </c>
      <c r="FX61">
        <v>-1</v>
      </c>
      <c r="FY61">
        <v>0</v>
      </c>
      <c r="FZ61">
        <v>0</v>
      </c>
      <c r="GA61" t="s">
        <v>420</v>
      </c>
      <c r="GB61">
        <v>2.98043</v>
      </c>
      <c r="GC61">
        <v>2.70604</v>
      </c>
      <c r="GD61">
        <v>0.203485</v>
      </c>
      <c r="GE61">
        <v>0.202933</v>
      </c>
      <c r="GF61">
        <v>0.0875084</v>
      </c>
      <c r="GG61">
        <v>0.0600154</v>
      </c>
      <c r="GH61">
        <v>25137.8</v>
      </c>
      <c r="GI61">
        <v>25211.2</v>
      </c>
      <c r="GJ61">
        <v>29346.3</v>
      </c>
      <c r="GK61">
        <v>29261.7</v>
      </c>
      <c r="GL61">
        <v>35460.5</v>
      </c>
      <c r="GM61">
        <v>36637.8</v>
      </c>
      <c r="GN61">
        <v>41307</v>
      </c>
      <c r="GO61">
        <v>41766</v>
      </c>
      <c r="GP61">
        <v>1.958</v>
      </c>
      <c r="GQ61">
        <v>1.8486</v>
      </c>
      <c r="GR61">
        <v>-0.0252835</v>
      </c>
      <c r="GS61">
        <v>0</v>
      </c>
      <c r="GT61">
        <v>25.4113</v>
      </c>
      <c r="GU61">
        <v>999.9</v>
      </c>
      <c r="GV61">
        <v>31.9</v>
      </c>
      <c r="GW61">
        <v>34.2</v>
      </c>
      <c r="GX61">
        <v>19.1645</v>
      </c>
      <c r="GY61">
        <v>62.5074</v>
      </c>
      <c r="GZ61">
        <v>35.3245</v>
      </c>
      <c r="HA61">
        <v>1</v>
      </c>
      <c r="HB61">
        <v>0.102193</v>
      </c>
      <c r="HC61">
        <v>2.17934</v>
      </c>
      <c r="HD61">
        <v>20.3203</v>
      </c>
      <c r="HE61">
        <v>5.21564</v>
      </c>
      <c r="HF61">
        <v>12.0099</v>
      </c>
      <c r="HG61">
        <v>4.98865</v>
      </c>
      <c r="HH61">
        <v>3.2885</v>
      </c>
      <c r="HI61">
        <v>993.4</v>
      </c>
      <c r="HJ61">
        <v>9522.5</v>
      </c>
      <c r="HK61">
        <v>5139.4</v>
      </c>
      <c r="HL61">
        <v>24.8</v>
      </c>
      <c r="HM61">
        <v>1.86749</v>
      </c>
      <c r="HN61">
        <v>1.86646</v>
      </c>
      <c r="HO61">
        <v>1.866</v>
      </c>
      <c r="HP61">
        <v>1.86584</v>
      </c>
      <c r="HQ61">
        <v>1.86769</v>
      </c>
      <c r="HR61">
        <v>1.87021</v>
      </c>
      <c r="HS61">
        <v>1.86887</v>
      </c>
      <c r="HT61">
        <v>1.87024</v>
      </c>
      <c r="HU61">
        <v>0</v>
      </c>
      <c r="HV61">
        <v>0</v>
      </c>
      <c r="HW61">
        <v>0</v>
      </c>
      <c r="HX61">
        <v>0</v>
      </c>
      <c r="HY61" t="s">
        <v>421</v>
      </c>
      <c r="HZ61" t="s">
        <v>422</v>
      </c>
      <c r="IA61" t="s">
        <v>423</v>
      </c>
      <c r="IB61" t="s">
        <v>423</v>
      </c>
      <c r="IC61" t="s">
        <v>423</v>
      </c>
      <c r="ID61" t="s">
        <v>423</v>
      </c>
      <c r="IE61">
        <v>0</v>
      </c>
      <c r="IF61">
        <v>100</v>
      </c>
      <c r="IG61">
        <v>100</v>
      </c>
      <c r="IH61">
        <v>-2.59</v>
      </c>
      <c r="II61">
        <v>0.0197</v>
      </c>
      <c r="IJ61">
        <v>-0.2164499368582429</v>
      </c>
      <c r="IK61">
        <v>-0.002077099775823331</v>
      </c>
      <c r="IL61">
        <v>4.593143279902166E-07</v>
      </c>
      <c r="IM61">
        <v>-1.865383991892071E-10</v>
      </c>
      <c r="IN61">
        <v>-0.06087574426827484</v>
      </c>
      <c r="IO61">
        <v>-0.01129461987421345</v>
      </c>
      <c r="IP61">
        <v>0.00116580895745559</v>
      </c>
      <c r="IQ61">
        <v>-1.679085872906199E-05</v>
      </c>
      <c r="IR61">
        <v>2</v>
      </c>
      <c r="IS61">
        <v>2290</v>
      </c>
      <c r="IT61">
        <v>0</v>
      </c>
      <c r="IU61">
        <v>32</v>
      </c>
      <c r="IV61">
        <v>4.1</v>
      </c>
      <c r="IW61">
        <v>3.8</v>
      </c>
      <c r="IX61">
        <v>2.60132</v>
      </c>
      <c r="IY61">
        <v>2.19482</v>
      </c>
      <c r="IZ61">
        <v>1.39648</v>
      </c>
      <c r="JA61">
        <v>2.35718</v>
      </c>
      <c r="JB61">
        <v>1.49536</v>
      </c>
      <c r="JC61">
        <v>2.30835</v>
      </c>
      <c r="JD61">
        <v>38.4034</v>
      </c>
      <c r="JE61">
        <v>24.035</v>
      </c>
      <c r="JF61">
        <v>18</v>
      </c>
      <c r="JG61">
        <v>512.367</v>
      </c>
      <c r="JH61">
        <v>427.674</v>
      </c>
      <c r="JI61">
        <v>22.5019</v>
      </c>
      <c r="JJ61">
        <v>28.6242</v>
      </c>
      <c r="JK61">
        <v>30.0003</v>
      </c>
      <c r="JL61">
        <v>28.593</v>
      </c>
      <c r="JM61">
        <v>28.5315</v>
      </c>
      <c r="JN61">
        <v>52.013</v>
      </c>
      <c r="JO61">
        <v>40.6919</v>
      </c>
      <c r="JP61">
        <v>0</v>
      </c>
      <c r="JQ61">
        <v>22.5005</v>
      </c>
      <c r="JR61">
        <v>1316.94</v>
      </c>
      <c r="JS61">
        <v>11.2153</v>
      </c>
      <c r="JT61">
        <v>100.313</v>
      </c>
      <c r="JU61">
        <v>100.241</v>
      </c>
    </row>
    <row r="62" spans="1:281">
      <c r="A62">
        <v>46</v>
      </c>
      <c r="B62">
        <v>1651864490.6</v>
      </c>
      <c r="C62">
        <v>270</v>
      </c>
      <c r="D62" t="s">
        <v>512</v>
      </c>
      <c r="E62" t="s">
        <v>513</v>
      </c>
      <c r="F62">
        <v>2</v>
      </c>
      <c r="G62" t="s">
        <v>413</v>
      </c>
      <c r="H62" t="s">
        <v>414</v>
      </c>
      <c r="I62">
        <v>1651864489.35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1351.366008703462</v>
      </c>
      <c r="AK62">
        <v>1334.501696969696</v>
      </c>
      <c r="AL62">
        <v>-3.413757375849295</v>
      </c>
      <c r="AM62">
        <v>66.38192812717227</v>
      </c>
      <c r="AN62">
        <f>(AP62 - AO62 + DI62*1E3/(8.314*(DK62+273.15)) * AR62/DH62 * AQ62) * DH62/(100*CV62) * 1000/(1000 - AP62)</f>
        <v>0</v>
      </c>
      <c r="AO62">
        <v>11.13302533286082</v>
      </c>
      <c r="AP62">
        <v>18.29755617647059</v>
      </c>
      <c r="AQ62">
        <v>-2.902802063665649E-05</v>
      </c>
      <c r="AR62">
        <v>80.47224507511959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417</v>
      </c>
      <c r="AY62" t="s">
        <v>417</v>
      </c>
      <c r="AZ62">
        <v>0</v>
      </c>
      <c r="BA62">
        <v>0</v>
      </c>
      <c r="BB62">
        <f>1-AZ62/BA62</f>
        <v>0</v>
      </c>
      <c r="BC62">
        <v>0</v>
      </c>
      <c r="BD62" t="s">
        <v>417</v>
      </c>
      <c r="BE62" t="s">
        <v>417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417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1248</v>
      </c>
      <c r="CA62">
        <v>300</v>
      </c>
      <c r="CB62">
        <v>300</v>
      </c>
      <c r="CC62">
        <v>300</v>
      </c>
      <c r="CD62">
        <v>10442</v>
      </c>
      <c r="CE62">
        <v>1293.69</v>
      </c>
      <c r="CF62">
        <v>-0.00735246</v>
      </c>
      <c r="CG62">
        <v>0.5</v>
      </c>
      <c r="CH62" t="s">
        <v>417</v>
      </c>
      <c r="CI62" t="s">
        <v>417</v>
      </c>
      <c r="CJ62" t="s">
        <v>417</v>
      </c>
      <c r="CK62" t="s">
        <v>417</v>
      </c>
      <c r="CL62" t="s">
        <v>417</v>
      </c>
      <c r="CM62" t="s">
        <v>417</v>
      </c>
      <c r="CN62" t="s">
        <v>417</v>
      </c>
      <c r="CO62" t="s">
        <v>417</v>
      </c>
      <c r="CP62" t="s">
        <v>417</v>
      </c>
      <c r="CQ62" t="s">
        <v>417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418</v>
      </c>
      <c r="CY62">
        <v>2</v>
      </c>
      <c r="CZ62" t="b">
        <v>1</v>
      </c>
      <c r="DA62">
        <v>1651864489.35</v>
      </c>
      <c r="DB62">
        <v>1312.6</v>
      </c>
      <c r="DC62">
        <v>1331.165</v>
      </c>
      <c r="DD62">
        <v>18.299575</v>
      </c>
      <c r="DE62">
        <v>11.13295</v>
      </c>
      <c r="DF62">
        <v>1315.175</v>
      </c>
      <c r="DG62">
        <v>18.279925</v>
      </c>
      <c r="DH62">
        <v>499.9927499999999</v>
      </c>
      <c r="DI62">
        <v>89.93792499999999</v>
      </c>
      <c r="DJ62">
        <v>0.09982877500000001</v>
      </c>
      <c r="DK62">
        <v>25.68745</v>
      </c>
      <c r="DL62">
        <v>24.99415</v>
      </c>
      <c r="DM62">
        <v>999.9</v>
      </c>
      <c r="DN62">
        <v>0</v>
      </c>
      <c r="DO62">
        <v>0</v>
      </c>
      <c r="DP62">
        <v>10013.275</v>
      </c>
      <c r="DQ62">
        <v>0</v>
      </c>
      <c r="DR62">
        <v>3.23193</v>
      </c>
      <c r="DS62">
        <v>-18.565525</v>
      </c>
      <c r="DT62">
        <v>1337.0675</v>
      </c>
      <c r="DU62">
        <v>1346.15</v>
      </c>
      <c r="DV62">
        <v>7.1666325</v>
      </c>
      <c r="DW62">
        <v>1331.165</v>
      </c>
      <c r="DX62">
        <v>11.13295</v>
      </c>
      <c r="DY62">
        <v>1.64583</v>
      </c>
      <c r="DZ62">
        <v>1.001275</v>
      </c>
      <c r="EA62">
        <v>14.3947</v>
      </c>
      <c r="EB62">
        <v>6.9349425</v>
      </c>
      <c r="EC62">
        <v>1500.0675</v>
      </c>
      <c r="ED62">
        <v>0.9730045</v>
      </c>
      <c r="EE62">
        <v>0.0269958</v>
      </c>
      <c r="EF62">
        <v>0</v>
      </c>
      <c r="EG62">
        <v>975.02075</v>
      </c>
      <c r="EH62">
        <v>5.00097</v>
      </c>
      <c r="EI62">
        <v>14468.85</v>
      </c>
      <c r="EJ62">
        <v>12492.2</v>
      </c>
      <c r="EK62">
        <v>37.25</v>
      </c>
      <c r="EL62">
        <v>38.687</v>
      </c>
      <c r="EM62">
        <v>37.625</v>
      </c>
      <c r="EN62">
        <v>38.437</v>
      </c>
      <c r="EO62">
        <v>38.125</v>
      </c>
      <c r="EP62">
        <v>1454.705</v>
      </c>
      <c r="EQ62">
        <v>40.3625</v>
      </c>
      <c r="ER62">
        <v>0</v>
      </c>
      <c r="ES62">
        <v>269.4000000953674</v>
      </c>
      <c r="ET62">
        <v>0</v>
      </c>
      <c r="EU62">
        <v>979.1871599999999</v>
      </c>
      <c r="EV62">
        <v>-41.02769230826953</v>
      </c>
      <c r="EW62">
        <v>-606.1384614461396</v>
      </c>
      <c r="EX62">
        <v>14527.664</v>
      </c>
      <c r="EY62">
        <v>15</v>
      </c>
      <c r="EZ62">
        <v>1651864261.1</v>
      </c>
      <c r="FA62" t="s">
        <v>419</v>
      </c>
      <c r="FB62">
        <v>1651864241.6</v>
      </c>
      <c r="FC62">
        <v>1651864261.1</v>
      </c>
      <c r="FD62">
        <v>7</v>
      </c>
      <c r="FE62">
        <v>0.438</v>
      </c>
      <c r="FF62">
        <v>0.002</v>
      </c>
      <c r="FG62">
        <v>-0.988</v>
      </c>
      <c r="FH62">
        <v>-0.066</v>
      </c>
      <c r="FI62">
        <v>400</v>
      </c>
      <c r="FJ62">
        <v>11</v>
      </c>
      <c r="FK62">
        <v>0.05</v>
      </c>
      <c r="FL62">
        <v>0.02</v>
      </c>
      <c r="FM62">
        <v>-19.14352195121951</v>
      </c>
      <c r="FN62">
        <v>2.389120557491251</v>
      </c>
      <c r="FO62">
        <v>0.3018415636027353</v>
      </c>
      <c r="FP62">
        <v>-1</v>
      </c>
      <c r="FQ62">
        <v>7.198200000000001</v>
      </c>
      <c r="FR62">
        <v>-0.2818438327526254</v>
      </c>
      <c r="FS62">
        <v>0.03069199116954156</v>
      </c>
      <c r="FT62">
        <v>-1</v>
      </c>
      <c r="FU62">
        <v>0</v>
      </c>
      <c r="FV62">
        <v>0</v>
      </c>
      <c r="FW62">
        <v>0</v>
      </c>
      <c r="FX62">
        <v>-1</v>
      </c>
      <c r="FY62">
        <v>0</v>
      </c>
      <c r="FZ62">
        <v>0</v>
      </c>
      <c r="GA62" t="s">
        <v>420</v>
      </c>
      <c r="GB62">
        <v>2.98049</v>
      </c>
      <c r="GC62">
        <v>2.70615</v>
      </c>
      <c r="GD62">
        <v>0.202679</v>
      </c>
      <c r="GE62">
        <v>0.202117</v>
      </c>
      <c r="GF62">
        <v>0.0874852</v>
      </c>
      <c r="GG62">
        <v>0.0600126</v>
      </c>
      <c r="GH62">
        <v>25163.2</v>
      </c>
      <c r="GI62">
        <v>25237</v>
      </c>
      <c r="GJ62">
        <v>29346.3</v>
      </c>
      <c r="GK62">
        <v>29261.8</v>
      </c>
      <c r="GL62">
        <v>35461.7</v>
      </c>
      <c r="GM62">
        <v>36637.8</v>
      </c>
      <c r="GN62">
        <v>41307.3</v>
      </c>
      <c r="GO62">
        <v>41765.9</v>
      </c>
      <c r="GP62">
        <v>1.95802</v>
      </c>
      <c r="GQ62">
        <v>1.84875</v>
      </c>
      <c r="GR62">
        <v>-0.0252277</v>
      </c>
      <c r="GS62">
        <v>0</v>
      </c>
      <c r="GT62">
        <v>25.4099</v>
      </c>
      <c r="GU62">
        <v>999.9</v>
      </c>
      <c r="GV62">
        <v>31.9</v>
      </c>
      <c r="GW62">
        <v>34.2</v>
      </c>
      <c r="GX62">
        <v>19.1652</v>
      </c>
      <c r="GY62">
        <v>62.2474</v>
      </c>
      <c r="GZ62">
        <v>34.9559</v>
      </c>
      <c r="HA62">
        <v>1</v>
      </c>
      <c r="HB62">
        <v>0.102271</v>
      </c>
      <c r="HC62">
        <v>2.17428</v>
      </c>
      <c r="HD62">
        <v>20.3203</v>
      </c>
      <c r="HE62">
        <v>5.21624</v>
      </c>
      <c r="HF62">
        <v>12.0099</v>
      </c>
      <c r="HG62">
        <v>4.9889</v>
      </c>
      <c r="HH62">
        <v>3.28858</v>
      </c>
      <c r="HI62">
        <v>993.6</v>
      </c>
      <c r="HJ62">
        <v>9523.9</v>
      </c>
      <c r="HK62">
        <v>5139.4</v>
      </c>
      <c r="HL62">
        <v>24.8</v>
      </c>
      <c r="HM62">
        <v>1.86749</v>
      </c>
      <c r="HN62">
        <v>1.86646</v>
      </c>
      <c r="HO62">
        <v>1.866</v>
      </c>
      <c r="HP62">
        <v>1.86584</v>
      </c>
      <c r="HQ62">
        <v>1.86769</v>
      </c>
      <c r="HR62">
        <v>1.87019</v>
      </c>
      <c r="HS62">
        <v>1.86888</v>
      </c>
      <c r="HT62">
        <v>1.87023</v>
      </c>
      <c r="HU62">
        <v>0</v>
      </c>
      <c r="HV62">
        <v>0</v>
      </c>
      <c r="HW62">
        <v>0</v>
      </c>
      <c r="HX62">
        <v>0</v>
      </c>
      <c r="HY62" t="s">
        <v>421</v>
      </c>
      <c r="HZ62" t="s">
        <v>422</v>
      </c>
      <c r="IA62" t="s">
        <v>423</v>
      </c>
      <c r="IB62" t="s">
        <v>423</v>
      </c>
      <c r="IC62" t="s">
        <v>423</v>
      </c>
      <c r="ID62" t="s">
        <v>423</v>
      </c>
      <c r="IE62">
        <v>0</v>
      </c>
      <c r="IF62">
        <v>100</v>
      </c>
      <c r="IG62">
        <v>100</v>
      </c>
      <c r="IH62">
        <v>-2.57</v>
      </c>
      <c r="II62">
        <v>0.0196</v>
      </c>
      <c r="IJ62">
        <v>-0.2164499368582429</v>
      </c>
      <c r="IK62">
        <v>-0.002077099775823331</v>
      </c>
      <c r="IL62">
        <v>4.593143279902166E-07</v>
      </c>
      <c r="IM62">
        <v>-1.865383991892071E-10</v>
      </c>
      <c r="IN62">
        <v>-0.06087574426827484</v>
      </c>
      <c r="IO62">
        <v>-0.01129461987421345</v>
      </c>
      <c r="IP62">
        <v>0.00116580895745559</v>
      </c>
      <c r="IQ62">
        <v>-1.679085872906199E-05</v>
      </c>
      <c r="IR62">
        <v>2</v>
      </c>
      <c r="IS62">
        <v>2290</v>
      </c>
      <c r="IT62">
        <v>0</v>
      </c>
      <c r="IU62">
        <v>32</v>
      </c>
      <c r="IV62">
        <v>4.2</v>
      </c>
      <c r="IW62">
        <v>3.8</v>
      </c>
      <c r="IX62">
        <v>2.58911</v>
      </c>
      <c r="IY62">
        <v>2.1936</v>
      </c>
      <c r="IZ62">
        <v>1.39648</v>
      </c>
      <c r="JA62">
        <v>2.35596</v>
      </c>
      <c r="JB62">
        <v>1.49536</v>
      </c>
      <c r="JC62">
        <v>2.36938</v>
      </c>
      <c r="JD62">
        <v>38.4034</v>
      </c>
      <c r="JE62">
        <v>24.035</v>
      </c>
      <c r="JF62">
        <v>18</v>
      </c>
      <c r="JG62">
        <v>512.389</v>
      </c>
      <c r="JH62">
        <v>427.764</v>
      </c>
      <c r="JI62">
        <v>22.5004</v>
      </c>
      <c r="JJ62">
        <v>28.6245</v>
      </c>
      <c r="JK62">
        <v>30.0003</v>
      </c>
      <c r="JL62">
        <v>28.5935</v>
      </c>
      <c r="JM62">
        <v>28.5315</v>
      </c>
      <c r="JN62">
        <v>51.7753</v>
      </c>
      <c r="JO62">
        <v>40.3983</v>
      </c>
      <c r="JP62">
        <v>0</v>
      </c>
      <c r="JQ62">
        <v>22.5002</v>
      </c>
      <c r="JR62">
        <v>1310.24</v>
      </c>
      <c r="JS62">
        <v>11.235</v>
      </c>
      <c r="JT62">
        <v>100.313</v>
      </c>
      <c r="JU62">
        <v>100.241</v>
      </c>
    </row>
    <row r="63" spans="1:281">
      <c r="A63">
        <v>47</v>
      </c>
      <c r="B63">
        <v>1651864492.1</v>
      </c>
      <c r="C63">
        <v>271.5</v>
      </c>
      <c r="D63" t="s">
        <v>514</v>
      </c>
      <c r="E63" t="s">
        <v>515</v>
      </c>
      <c r="F63">
        <v>2</v>
      </c>
      <c r="G63" t="s">
        <v>413</v>
      </c>
      <c r="H63" t="s">
        <v>414</v>
      </c>
      <c r="I63">
        <v>1651864490.6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1346.193359150208</v>
      </c>
      <c r="AK63">
        <v>1329.348181818182</v>
      </c>
      <c r="AL63">
        <v>-3.422548927954235</v>
      </c>
      <c r="AM63">
        <v>66.38192812717227</v>
      </c>
      <c r="AN63">
        <f>(AP63 - AO63 + DI63*1E3/(8.314*(DK63+273.15)) * AR63/DH63 * AQ63) * DH63/(100*CV63) * 1000/(1000 - AP63)</f>
        <v>0</v>
      </c>
      <c r="AO63">
        <v>11.13298386210345</v>
      </c>
      <c r="AP63">
        <v>18.29244617647058</v>
      </c>
      <c r="AQ63">
        <v>-2.556293219374307E-05</v>
      </c>
      <c r="AR63">
        <v>80.47224507511959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417</v>
      </c>
      <c r="AY63" t="s">
        <v>417</v>
      </c>
      <c r="AZ63">
        <v>0</v>
      </c>
      <c r="BA63">
        <v>0</v>
      </c>
      <c r="BB63">
        <f>1-AZ63/BA63</f>
        <v>0</v>
      </c>
      <c r="BC63">
        <v>0</v>
      </c>
      <c r="BD63" t="s">
        <v>417</v>
      </c>
      <c r="BE63" t="s">
        <v>417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417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1248</v>
      </c>
      <c r="CA63">
        <v>300</v>
      </c>
      <c r="CB63">
        <v>300</v>
      </c>
      <c r="CC63">
        <v>300</v>
      </c>
      <c r="CD63">
        <v>10442</v>
      </c>
      <c r="CE63">
        <v>1293.69</v>
      </c>
      <c r="CF63">
        <v>-0.00735246</v>
      </c>
      <c r="CG63">
        <v>0.5</v>
      </c>
      <c r="CH63" t="s">
        <v>417</v>
      </c>
      <c r="CI63" t="s">
        <v>417</v>
      </c>
      <c r="CJ63" t="s">
        <v>417</v>
      </c>
      <c r="CK63" t="s">
        <v>417</v>
      </c>
      <c r="CL63" t="s">
        <v>417</v>
      </c>
      <c r="CM63" t="s">
        <v>417</v>
      </c>
      <c r="CN63" t="s">
        <v>417</v>
      </c>
      <c r="CO63" t="s">
        <v>417</v>
      </c>
      <c r="CP63" t="s">
        <v>417</v>
      </c>
      <c r="CQ63" t="s">
        <v>417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418</v>
      </c>
      <c r="CY63">
        <v>2</v>
      </c>
      <c r="CZ63" t="b">
        <v>1</v>
      </c>
      <c r="DA63">
        <v>1651864490.6</v>
      </c>
      <c r="DB63">
        <v>1308.3975</v>
      </c>
      <c r="DC63">
        <v>1326.8625</v>
      </c>
      <c r="DD63">
        <v>18.29555</v>
      </c>
      <c r="DE63">
        <v>11.132925</v>
      </c>
      <c r="DF63">
        <v>1310.9675</v>
      </c>
      <c r="DG63">
        <v>18.27595</v>
      </c>
      <c r="DH63">
        <v>500.02925</v>
      </c>
      <c r="DI63">
        <v>89.937375</v>
      </c>
      <c r="DJ63">
        <v>0.1000128</v>
      </c>
      <c r="DK63">
        <v>25.687375</v>
      </c>
      <c r="DL63">
        <v>24.996225</v>
      </c>
      <c r="DM63">
        <v>999.9</v>
      </c>
      <c r="DN63">
        <v>0</v>
      </c>
      <c r="DO63">
        <v>0</v>
      </c>
      <c r="DP63">
        <v>9993.725</v>
      </c>
      <c r="DQ63">
        <v>0</v>
      </c>
      <c r="DR63">
        <v>3.23193</v>
      </c>
      <c r="DS63">
        <v>-18.4668</v>
      </c>
      <c r="DT63">
        <v>1332.78</v>
      </c>
      <c r="DU63">
        <v>1341.8</v>
      </c>
      <c r="DV63">
        <v>7.1626275</v>
      </c>
      <c r="DW63">
        <v>1326.8625</v>
      </c>
      <c r="DX63">
        <v>11.132925</v>
      </c>
      <c r="DY63">
        <v>1.645455</v>
      </c>
      <c r="DZ63">
        <v>1.0012675</v>
      </c>
      <c r="EA63">
        <v>14.391175</v>
      </c>
      <c r="EB63">
        <v>6.934805</v>
      </c>
      <c r="EC63">
        <v>1499.9175</v>
      </c>
      <c r="ED63">
        <v>0.9730032500000001</v>
      </c>
      <c r="EE63">
        <v>0.02699715</v>
      </c>
      <c r="EF63">
        <v>0</v>
      </c>
      <c r="EG63">
        <v>974.3355</v>
      </c>
      <c r="EH63">
        <v>5.00097</v>
      </c>
      <c r="EI63">
        <v>14456.325</v>
      </c>
      <c r="EJ63">
        <v>12490.95</v>
      </c>
      <c r="EK63">
        <v>37.25</v>
      </c>
      <c r="EL63">
        <v>38.687</v>
      </c>
      <c r="EM63">
        <v>37.625</v>
      </c>
      <c r="EN63">
        <v>38.437</v>
      </c>
      <c r="EO63">
        <v>38.125</v>
      </c>
      <c r="EP63">
        <v>1454.5575</v>
      </c>
      <c r="EQ63">
        <v>40.36</v>
      </c>
      <c r="ER63">
        <v>0</v>
      </c>
      <c r="ES63">
        <v>271.2000000476837</v>
      </c>
      <c r="ET63">
        <v>0</v>
      </c>
      <c r="EU63">
        <v>978.1805384615386</v>
      </c>
      <c r="EV63">
        <v>-40.35999994285714</v>
      </c>
      <c r="EW63">
        <v>-597.2341871363388</v>
      </c>
      <c r="EX63">
        <v>14512.79615384615</v>
      </c>
      <c r="EY63">
        <v>15</v>
      </c>
      <c r="EZ63">
        <v>1651864261.1</v>
      </c>
      <c r="FA63" t="s">
        <v>419</v>
      </c>
      <c r="FB63">
        <v>1651864241.6</v>
      </c>
      <c r="FC63">
        <v>1651864261.1</v>
      </c>
      <c r="FD63">
        <v>7</v>
      </c>
      <c r="FE63">
        <v>0.438</v>
      </c>
      <c r="FF63">
        <v>0.002</v>
      </c>
      <c r="FG63">
        <v>-0.988</v>
      </c>
      <c r="FH63">
        <v>-0.066</v>
      </c>
      <c r="FI63">
        <v>400</v>
      </c>
      <c r="FJ63">
        <v>11</v>
      </c>
      <c r="FK63">
        <v>0.05</v>
      </c>
      <c r="FL63">
        <v>0.02</v>
      </c>
      <c r="FM63">
        <v>-19.0925512195122</v>
      </c>
      <c r="FN63">
        <v>2.663188850174238</v>
      </c>
      <c r="FO63">
        <v>0.3276523076275137</v>
      </c>
      <c r="FP63">
        <v>-1</v>
      </c>
      <c r="FQ63">
        <v>7.193836341463415</v>
      </c>
      <c r="FR63">
        <v>-0.2609422996515558</v>
      </c>
      <c r="FS63">
        <v>0.02890591911332071</v>
      </c>
      <c r="FT63">
        <v>-1</v>
      </c>
      <c r="FU63">
        <v>0</v>
      </c>
      <c r="FV63">
        <v>0</v>
      </c>
      <c r="FW63">
        <v>0</v>
      </c>
      <c r="FX63">
        <v>-1</v>
      </c>
      <c r="FY63">
        <v>0</v>
      </c>
      <c r="FZ63">
        <v>0</v>
      </c>
      <c r="GA63" t="s">
        <v>420</v>
      </c>
      <c r="GB63">
        <v>2.98074</v>
      </c>
      <c r="GC63">
        <v>2.70615</v>
      </c>
      <c r="GD63">
        <v>0.202198</v>
      </c>
      <c r="GE63">
        <v>0.201644</v>
      </c>
      <c r="GF63">
        <v>0.0874655</v>
      </c>
      <c r="GG63">
        <v>0.0600235</v>
      </c>
      <c r="GH63">
        <v>25178.6</v>
      </c>
      <c r="GI63">
        <v>25252.2</v>
      </c>
      <c r="GJ63">
        <v>29346.5</v>
      </c>
      <c r="GK63">
        <v>29262.1</v>
      </c>
      <c r="GL63">
        <v>35462.5</v>
      </c>
      <c r="GM63">
        <v>36637.8</v>
      </c>
      <c r="GN63">
        <v>41307.3</v>
      </c>
      <c r="GO63">
        <v>41766.4</v>
      </c>
      <c r="GP63">
        <v>1.95817</v>
      </c>
      <c r="GQ63">
        <v>1.8486</v>
      </c>
      <c r="GR63">
        <v>-0.0249371</v>
      </c>
      <c r="GS63">
        <v>0</v>
      </c>
      <c r="GT63">
        <v>25.4091</v>
      </c>
      <c r="GU63">
        <v>999.9</v>
      </c>
      <c r="GV63">
        <v>31.9</v>
      </c>
      <c r="GW63">
        <v>34.2</v>
      </c>
      <c r="GX63">
        <v>19.1649</v>
      </c>
      <c r="GY63">
        <v>62.6774</v>
      </c>
      <c r="GZ63">
        <v>34.9279</v>
      </c>
      <c r="HA63">
        <v>1</v>
      </c>
      <c r="HB63">
        <v>0.102241</v>
      </c>
      <c r="HC63">
        <v>2.17316</v>
      </c>
      <c r="HD63">
        <v>20.3204</v>
      </c>
      <c r="HE63">
        <v>5.21624</v>
      </c>
      <c r="HF63">
        <v>12.0099</v>
      </c>
      <c r="HG63">
        <v>4.98895</v>
      </c>
      <c r="HH63">
        <v>3.28858</v>
      </c>
      <c r="HI63">
        <v>993.6</v>
      </c>
      <c r="HJ63">
        <v>9523.9</v>
      </c>
      <c r="HK63">
        <v>5139.4</v>
      </c>
      <c r="HL63">
        <v>24.8</v>
      </c>
      <c r="HM63">
        <v>1.86749</v>
      </c>
      <c r="HN63">
        <v>1.86646</v>
      </c>
      <c r="HO63">
        <v>1.866</v>
      </c>
      <c r="HP63">
        <v>1.86584</v>
      </c>
      <c r="HQ63">
        <v>1.86768</v>
      </c>
      <c r="HR63">
        <v>1.87021</v>
      </c>
      <c r="HS63">
        <v>1.86888</v>
      </c>
      <c r="HT63">
        <v>1.87022</v>
      </c>
      <c r="HU63">
        <v>0</v>
      </c>
      <c r="HV63">
        <v>0</v>
      </c>
      <c r="HW63">
        <v>0</v>
      </c>
      <c r="HX63">
        <v>0</v>
      </c>
      <c r="HY63" t="s">
        <v>421</v>
      </c>
      <c r="HZ63" t="s">
        <v>422</v>
      </c>
      <c r="IA63" t="s">
        <v>423</v>
      </c>
      <c r="IB63" t="s">
        <v>423</v>
      </c>
      <c r="IC63" t="s">
        <v>423</v>
      </c>
      <c r="ID63" t="s">
        <v>423</v>
      </c>
      <c r="IE63">
        <v>0</v>
      </c>
      <c r="IF63">
        <v>100</v>
      </c>
      <c r="IG63">
        <v>100</v>
      </c>
      <c r="IH63">
        <v>-2.56</v>
      </c>
      <c r="II63">
        <v>0.0196</v>
      </c>
      <c r="IJ63">
        <v>-0.2164499368582429</v>
      </c>
      <c r="IK63">
        <v>-0.002077099775823331</v>
      </c>
      <c r="IL63">
        <v>4.593143279902166E-07</v>
      </c>
      <c r="IM63">
        <v>-1.865383991892071E-10</v>
      </c>
      <c r="IN63">
        <v>-0.06087574426827484</v>
      </c>
      <c r="IO63">
        <v>-0.01129461987421345</v>
      </c>
      <c r="IP63">
        <v>0.00116580895745559</v>
      </c>
      <c r="IQ63">
        <v>-1.679085872906199E-05</v>
      </c>
      <c r="IR63">
        <v>2</v>
      </c>
      <c r="IS63">
        <v>2290</v>
      </c>
      <c r="IT63">
        <v>0</v>
      </c>
      <c r="IU63">
        <v>32</v>
      </c>
      <c r="IV63">
        <v>4.2</v>
      </c>
      <c r="IW63">
        <v>3.9</v>
      </c>
      <c r="IX63">
        <v>2.57935</v>
      </c>
      <c r="IY63">
        <v>2.1936</v>
      </c>
      <c r="IZ63">
        <v>1.39648</v>
      </c>
      <c r="JA63">
        <v>2.35596</v>
      </c>
      <c r="JB63">
        <v>1.49536</v>
      </c>
      <c r="JC63">
        <v>2.323</v>
      </c>
      <c r="JD63">
        <v>38.4034</v>
      </c>
      <c r="JE63">
        <v>24.035</v>
      </c>
      <c r="JF63">
        <v>18</v>
      </c>
      <c r="JG63">
        <v>512.487</v>
      </c>
      <c r="JH63">
        <v>427.674</v>
      </c>
      <c r="JI63">
        <v>22.5001</v>
      </c>
      <c r="JJ63">
        <v>28.6255</v>
      </c>
      <c r="JK63">
        <v>30.0002</v>
      </c>
      <c r="JL63">
        <v>28.5935</v>
      </c>
      <c r="JM63">
        <v>28.5315</v>
      </c>
      <c r="JN63">
        <v>51.594</v>
      </c>
      <c r="JO63">
        <v>40.3983</v>
      </c>
      <c r="JP63">
        <v>0</v>
      </c>
      <c r="JQ63">
        <v>22.5002</v>
      </c>
      <c r="JR63">
        <v>1303.55</v>
      </c>
      <c r="JS63">
        <v>11.2443</v>
      </c>
      <c r="JT63">
        <v>100.314</v>
      </c>
      <c r="JU63">
        <v>100.242</v>
      </c>
    </row>
    <row r="64" spans="1:281">
      <c r="A64">
        <v>48</v>
      </c>
      <c r="B64">
        <v>1651864494.1</v>
      </c>
      <c r="C64">
        <v>273.5</v>
      </c>
      <c r="D64" t="s">
        <v>516</v>
      </c>
      <c r="E64" t="s">
        <v>517</v>
      </c>
      <c r="F64">
        <v>2</v>
      </c>
      <c r="G64" t="s">
        <v>413</v>
      </c>
      <c r="H64" t="s">
        <v>414</v>
      </c>
      <c r="I64">
        <v>1651864493.1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1339.246316172432</v>
      </c>
      <c r="AK64">
        <v>1322.520363636363</v>
      </c>
      <c r="AL64">
        <v>-3.420424867138189</v>
      </c>
      <c r="AM64">
        <v>66.38192812717227</v>
      </c>
      <c r="AN64">
        <f>(AP64 - AO64 + DI64*1E3/(8.314*(DK64+273.15)) * AR64/DH64 * AQ64) * DH64/(100*CV64) * 1000/(1000 - AP64)</f>
        <v>0</v>
      </c>
      <c r="AO64">
        <v>11.13205118907119</v>
      </c>
      <c r="AP64">
        <v>18.2821094117647</v>
      </c>
      <c r="AQ64">
        <v>-2.009821123167192E-05</v>
      </c>
      <c r="AR64">
        <v>80.47224507511959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417</v>
      </c>
      <c r="AY64" t="s">
        <v>417</v>
      </c>
      <c r="AZ64">
        <v>0</v>
      </c>
      <c r="BA64">
        <v>0</v>
      </c>
      <c r="BB64">
        <f>1-AZ64/BA64</f>
        <v>0</v>
      </c>
      <c r="BC64">
        <v>0</v>
      </c>
      <c r="BD64" t="s">
        <v>417</v>
      </c>
      <c r="BE64" t="s">
        <v>417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417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1248</v>
      </c>
      <c r="CA64">
        <v>300</v>
      </c>
      <c r="CB64">
        <v>300</v>
      </c>
      <c r="CC64">
        <v>300</v>
      </c>
      <c r="CD64">
        <v>10442</v>
      </c>
      <c r="CE64">
        <v>1293.69</v>
      </c>
      <c r="CF64">
        <v>-0.00735246</v>
      </c>
      <c r="CG64">
        <v>0.5</v>
      </c>
      <c r="CH64" t="s">
        <v>417</v>
      </c>
      <c r="CI64" t="s">
        <v>417</v>
      </c>
      <c r="CJ64" t="s">
        <v>417</v>
      </c>
      <c r="CK64" t="s">
        <v>417</v>
      </c>
      <c r="CL64" t="s">
        <v>417</v>
      </c>
      <c r="CM64" t="s">
        <v>417</v>
      </c>
      <c r="CN64" t="s">
        <v>417</v>
      </c>
      <c r="CO64" t="s">
        <v>417</v>
      </c>
      <c r="CP64" t="s">
        <v>417</v>
      </c>
      <c r="CQ64" t="s">
        <v>417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418</v>
      </c>
      <c r="CY64">
        <v>2</v>
      </c>
      <c r="CZ64" t="b">
        <v>1</v>
      </c>
      <c r="DA64">
        <v>1651864493.1</v>
      </c>
      <c r="DB64">
        <v>1300.016666666667</v>
      </c>
      <c r="DC64">
        <v>1318.253333333333</v>
      </c>
      <c r="DD64">
        <v>18.28446666666666</v>
      </c>
      <c r="DE64">
        <v>11.14156666666667</v>
      </c>
      <c r="DF64">
        <v>1302.57</v>
      </c>
      <c r="DG64">
        <v>18.265</v>
      </c>
      <c r="DH64">
        <v>500.0596666666667</v>
      </c>
      <c r="DI64">
        <v>89.93686666666667</v>
      </c>
      <c r="DJ64">
        <v>0.09999486666666667</v>
      </c>
      <c r="DK64">
        <v>25.68743333333333</v>
      </c>
      <c r="DL64">
        <v>25.00113333333333</v>
      </c>
      <c r="DM64">
        <v>999.9</v>
      </c>
      <c r="DN64">
        <v>0</v>
      </c>
      <c r="DO64">
        <v>0</v>
      </c>
      <c r="DP64">
        <v>9985.416666666666</v>
      </c>
      <c r="DQ64">
        <v>0</v>
      </c>
      <c r="DR64">
        <v>3.23193</v>
      </c>
      <c r="DS64">
        <v>-18.23793333333333</v>
      </c>
      <c r="DT64">
        <v>1324.226666666667</v>
      </c>
      <c r="DU64">
        <v>1333.106666666667</v>
      </c>
      <c r="DV64">
        <v>7.142853333333334</v>
      </c>
      <c r="DW64">
        <v>1318.253333333333</v>
      </c>
      <c r="DX64">
        <v>11.14156666666667</v>
      </c>
      <c r="DY64">
        <v>1.644443333333333</v>
      </c>
      <c r="DZ64">
        <v>1.002043333333333</v>
      </c>
      <c r="EA64">
        <v>14.38173333333333</v>
      </c>
      <c r="EB64">
        <v>6.946073333333334</v>
      </c>
      <c r="EC64">
        <v>1500.043333333333</v>
      </c>
      <c r="ED64">
        <v>0.9730036666666667</v>
      </c>
      <c r="EE64">
        <v>0.0269967</v>
      </c>
      <c r="EF64">
        <v>0</v>
      </c>
      <c r="EG64">
        <v>972.7959999999999</v>
      </c>
      <c r="EH64">
        <v>5.00097</v>
      </c>
      <c r="EI64">
        <v>14436</v>
      </c>
      <c r="EJ64">
        <v>12491.96666666667</v>
      </c>
      <c r="EK64">
        <v>37.25</v>
      </c>
      <c r="EL64">
        <v>38.687</v>
      </c>
      <c r="EM64">
        <v>37.625</v>
      </c>
      <c r="EN64">
        <v>38.437</v>
      </c>
      <c r="EO64">
        <v>38.125</v>
      </c>
      <c r="EP64">
        <v>1454.68</v>
      </c>
      <c r="EQ64">
        <v>40.36333333333334</v>
      </c>
      <c r="ER64">
        <v>0</v>
      </c>
      <c r="ES64">
        <v>273</v>
      </c>
      <c r="ET64">
        <v>0</v>
      </c>
      <c r="EU64">
        <v>976.7708799999999</v>
      </c>
      <c r="EV64">
        <v>-40.71400005683407</v>
      </c>
      <c r="EW64">
        <v>-576.7615391790898</v>
      </c>
      <c r="EX64">
        <v>14492.156</v>
      </c>
      <c r="EY64">
        <v>15</v>
      </c>
      <c r="EZ64">
        <v>1651864261.1</v>
      </c>
      <c r="FA64" t="s">
        <v>419</v>
      </c>
      <c r="FB64">
        <v>1651864241.6</v>
      </c>
      <c r="FC64">
        <v>1651864261.1</v>
      </c>
      <c r="FD64">
        <v>7</v>
      </c>
      <c r="FE64">
        <v>0.438</v>
      </c>
      <c r="FF64">
        <v>0.002</v>
      </c>
      <c r="FG64">
        <v>-0.988</v>
      </c>
      <c r="FH64">
        <v>-0.066</v>
      </c>
      <c r="FI64">
        <v>400</v>
      </c>
      <c r="FJ64">
        <v>11</v>
      </c>
      <c r="FK64">
        <v>0.05</v>
      </c>
      <c r="FL64">
        <v>0.02</v>
      </c>
      <c r="FM64">
        <v>-18.96410243902439</v>
      </c>
      <c r="FN64">
        <v>4.074934494773494</v>
      </c>
      <c r="FO64">
        <v>0.4220713045109939</v>
      </c>
      <c r="FP64">
        <v>-1</v>
      </c>
      <c r="FQ64">
        <v>7.179284878048779</v>
      </c>
      <c r="FR64">
        <v>-0.1916993728222858</v>
      </c>
      <c r="FS64">
        <v>0.02112589442435581</v>
      </c>
      <c r="FT64">
        <v>-1</v>
      </c>
      <c r="FU64">
        <v>0</v>
      </c>
      <c r="FV64">
        <v>0</v>
      </c>
      <c r="FW64">
        <v>0</v>
      </c>
      <c r="FX64">
        <v>-1</v>
      </c>
      <c r="FY64">
        <v>0</v>
      </c>
      <c r="FZ64">
        <v>0</v>
      </c>
      <c r="GA64" t="s">
        <v>420</v>
      </c>
      <c r="GB64">
        <v>2.98043</v>
      </c>
      <c r="GC64">
        <v>2.70614</v>
      </c>
      <c r="GD64">
        <v>0.201549</v>
      </c>
      <c r="GE64">
        <v>0.201004</v>
      </c>
      <c r="GF64">
        <v>0.0874352</v>
      </c>
      <c r="GG64">
        <v>0.0600811</v>
      </c>
      <c r="GH64">
        <v>25199.2</v>
      </c>
      <c r="GI64">
        <v>25272.8</v>
      </c>
      <c r="GJ64">
        <v>29346.6</v>
      </c>
      <c r="GK64">
        <v>29262.4</v>
      </c>
      <c r="GL64">
        <v>35463.6</v>
      </c>
      <c r="GM64">
        <v>36635.9</v>
      </c>
      <c r="GN64">
        <v>41307.3</v>
      </c>
      <c r="GO64">
        <v>41766.9</v>
      </c>
      <c r="GP64">
        <v>1.95812</v>
      </c>
      <c r="GQ64">
        <v>1.84835</v>
      </c>
      <c r="GR64">
        <v>-0.0251159</v>
      </c>
      <c r="GS64">
        <v>0</v>
      </c>
      <c r="GT64">
        <v>25.4076</v>
      </c>
      <c r="GU64">
        <v>999.9</v>
      </c>
      <c r="GV64">
        <v>31.9</v>
      </c>
      <c r="GW64">
        <v>34.2</v>
      </c>
      <c r="GX64">
        <v>19.1632</v>
      </c>
      <c r="GY64">
        <v>62.4474</v>
      </c>
      <c r="GZ64">
        <v>35.3726</v>
      </c>
      <c r="HA64">
        <v>1</v>
      </c>
      <c r="HB64">
        <v>0.102271</v>
      </c>
      <c r="HC64">
        <v>2.17216</v>
      </c>
      <c r="HD64">
        <v>20.3204</v>
      </c>
      <c r="HE64">
        <v>5.21609</v>
      </c>
      <c r="HF64">
        <v>12.0099</v>
      </c>
      <c r="HG64">
        <v>4.98905</v>
      </c>
      <c r="HH64">
        <v>3.28858</v>
      </c>
      <c r="HI64">
        <v>993.6</v>
      </c>
      <c r="HJ64">
        <v>9523.9</v>
      </c>
      <c r="HK64">
        <v>5139.4</v>
      </c>
      <c r="HL64">
        <v>24.8</v>
      </c>
      <c r="HM64">
        <v>1.8675</v>
      </c>
      <c r="HN64">
        <v>1.86646</v>
      </c>
      <c r="HO64">
        <v>1.866</v>
      </c>
      <c r="HP64">
        <v>1.86584</v>
      </c>
      <c r="HQ64">
        <v>1.86768</v>
      </c>
      <c r="HR64">
        <v>1.8702</v>
      </c>
      <c r="HS64">
        <v>1.86887</v>
      </c>
      <c r="HT64">
        <v>1.87024</v>
      </c>
      <c r="HU64">
        <v>0</v>
      </c>
      <c r="HV64">
        <v>0</v>
      </c>
      <c r="HW64">
        <v>0</v>
      </c>
      <c r="HX64">
        <v>0</v>
      </c>
      <c r="HY64" t="s">
        <v>421</v>
      </c>
      <c r="HZ64" t="s">
        <v>422</v>
      </c>
      <c r="IA64" t="s">
        <v>423</v>
      </c>
      <c r="IB64" t="s">
        <v>423</v>
      </c>
      <c r="IC64" t="s">
        <v>423</v>
      </c>
      <c r="ID64" t="s">
        <v>423</v>
      </c>
      <c r="IE64">
        <v>0</v>
      </c>
      <c r="IF64">
        <v>100</v>
      </c>
      <c r="IG64">
        <v>100</v>
      </c>
      <c r="IH64">
        <v>-2.55</v>
      </c>
      <c r="II64">
        <v>0.0194</v>
      </c>
      <c r="IJ64">
        <v>-0.2164499368582429</v>
      </c>
      <c r="IK64">
        <v>-0.002077099775823331</v>
      </c>
      <c r="IL64">
        <v>4.593143279902166E-07</v>
      </c>
      <c r="IM64">
        <v>-1.865383991892071E-10</v>
      </c>
      <c r="IN64">
        <v>-0.06087574426827484</v>
      </c>
      <c r="IO64">
        <v>-0.01129461987421345</v>
      </c>
      <c r="IP64">
        <v>0.00116580895745559</v>
      </c>
      <c r="IQ64">
        <v>-1.679085872906199E-05</v>
      </c>
      <c r="IR64">
        <v>2</v>
      </c>
      <c r="IS64">
        <v>2290</v>
      </c>
      <c r="IT64">
        <v>0</v>
      </c>
      <c r="IU64">
        <v>32</v>
      </c>
      <c r="IV64">
        <v>4.2</v>
      </c>
      <c r="IW64">
        <v>3.9</v>
      </c>
      <c r="IX64">
        <v>2.56958</v>
      </c>
      <c r="IY64">
        <v>2.19116</v>
      </c>
      <c r="IZ64">
        <v>1.39648</v>
      </c>
      <c r="JA64">
        <v>2.35596</v>
      </c>
      <c r="JB64">
        <v>1.49536</v>
      </c>
      <c r="JC64">
        <v>2.31323</v>
      </c>
      <c r="JD64">
        <v>38.4034</v>
      </c>
      <c r="JE64">
        <v>24.035</v>
      </c>
      <c r="JF64">
        <v>18</v>
      </c>
      <c r="JG64">
        <v>512.454</v>
      </c>
      <c r="JH64">
        <v>427.532</v>
      </c>
      <c r="JI64">
        <v>22.4999</v>
      </c>
      <c r="JJ64">
        <v>28.6266</v>
      </c>
      <c r="JK64">
        <v>30.0003</v>
      </c>
      <c r="JL64">
        <v>28.5935</v>
      </c>
      <c r="JM64">
        <v>28.5327</v>
      </c>
      <c r="JN64">
        <v>51.3813</v>
      </c>
      <c r="JO64">
        <v>40.3983</v>
      </c>
      <c r="JP64">
        <v>0</v>
      </c>
      <c r="JQ64">
        <v>22.5019</v>
      </c>
      <c r="JR64">
        <v>1296.8</v>
      </c>
      <c r="JS64">
        <v>11.2639</v>
      </c>
      <c r="JT64">
        <v>100.314</v>
      </c>
      <c r="JU64">
        <v>100.243</v>
      </c>
    </row>
    <row r="65" spans="1:281">
      <c r="A65">
        <v>49</v>
      </c>
      <c r="B65">
        <v>1651864496.1</v>
      </c>
      <c r="C65">
        <v>275.5</v>
      </c>
      <c r="D65" t="s">
        <v>518</v>
      </c>
      <c r="E65" t="s">
        <v>519</v>
      </c>
      <c r="F65">
        <v>2</v>
      </c>
      <c r="G65" t="s">
        <v>413</v>
      </c>
      <c r="H65" t="s">
        <v>414</v>
      </c>
      <c r="I65">
        <v>1651864494.725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1332.352077516432</v>
      </c>
      <c r="AK65">
        <v>1315.640969696969</v>
      </c>
      <c r="AL65">
        <v>-3.434907916447218</v>
      </c>
      <c r="AM65">
        <v>66.38192812717227</v>
      </c>
      <c r="AN65">
        <f>(AP65 - AO65 + DI65*1E3/(8.314*(DK65+273.15)) * AR65/DH65 * AQ65) * DH65/(100*CV65) * 1000/(1000 - AP65)</f>
        <v>0</v>
      </c>
      <c r="AO65">
        <v>11.13404873865785</v>
      </c>
      <c r="AP65">
        <v>18.27472941176471</v>
      </c>
      <c r="AQ65">
        <v>-5.01998911800282E-05</v>
      </c>
      <c r="AR65">
        <v>80.47224507511959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417</v>
      </c>
      <c r="AY65" t="s">
        <v>417</v>
      </c>
      <c r="AZ65">
        <v>0</v>
      </c>
      <c r="BA65">
        <v>0</v>
      </c>
      <c r="BB65">
        <f>1-AZ65/BA65</f>
        <v>0</v>
      </c>
      <c r="BC65">
        <v>0</v>
      </c>
      <c r="BD65" t="s">
        <v>417</v>
      </c>
      <c r="BE65" t="s">
        <v>417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417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1248</v>
      </c>
      <c r="CA65">
        <v>300</v>
      </c>
      <c r="CB65">
        <v>300</v>
      </c>
      <c r="CC65">
        <v>300</v>
      </c>
      <c r="CD65">
        <v>10442</v>
      </c>
      <c r="CE65">
        <v>1293.69</v>
      </c>
      <c r="CF65">
        <v>-0.00735246</v>
      </c>
      <c r="CG65">
        <v>0.5</v>
      </c>
      <c r="CH65" t="s">
        <v>417</v>
      </c>
      <c r="CI65" t="s">
        <v>417</v>
      </c>
      <c r="CJ65" t="s">
        <v>417</v>
      </c>
      <c r="CK65" t="s">
        <v>417</v>
      </c>
      <c r="CL65" t="s">
        <v>417</v>
      </c>
      <c r="CM65" t="s">
        <v>417</v>
      </c>
      <c r="CN65" t="s">
        <v>417</v>
      </c>
      <c r="CO65" t="s">
        <v>417</v>
      </c>
      <c r="CP65" t="s">
        <v>417</v>
      </c>
      <c r="CQ65" t="s">
        <v>417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418</v>
      </c>
      <c r="CY65">
        <v>2</v>
      </c>
      <c r="CZ65" t="b">
        <v>1</v>
      </c>
      <c r="DA65">
        <v>1651864494.725</v>
      </c>
      <c r="DB65">
        <v>1294.545</v>
      </c>
      <c r="DC65">
        <v>1312.8325</v>
      </c>
      <c r="DD65">
        <v>18.278425</v>
      </c>
      <c r="DE65">
        <v>11.15475</v>
      </c>
      <c r="DF65">
        <v>1297.09</v>
      </c>
      <c r="DG65">
        <v>18.25905</v>
      </c>
      <c r="DH65">
        <v>499.99925</v>
      </c>
      <c r="DI65">
        <v>89.93702500000001</v>
      </c>
      <c r="DJ65">
        <v>0.099747525</v>
      </c>
      <c r="DK65">
        <v>25.688525</v>
      </c>
      <c r="DL65">
        <v>24.992075</v>
      </c>
      <c r="DM65">
        <v>999.9</v>
      </c>
      <c r="DN65">
        <v>0</v>
      </c>
      <c r="DO65">
        <v>0</v>
      </c>
      <c r="DP65">
        <v>10008.9</v>
      </c>
      <c r="DQ65">
        <v>0</v>
      </c>
      <c r="DR65">
        <v>3.23193</v>
      </c>
      <c r="DS65">
        <v>-18.28865</v>
      </c>
      <c r="DT65">
        <v>1318.6475</v>
      </c>
      <c r="DU65">
        <v>1327.6425</v>
      </c>
      <c r="DV65">
        <v>7.123637500000001</v>
      </c>
      <c r="DW65">
        <v>1312.8325</v>
      </c>
      <c r="DX65">
        <v>11.15475</v>
      </c>
      <c r="DY65">
        <v>1.6439025</v>
      </c>
      <c r="DZ65">
        <v>1.0032275</v>
      </c>
      <c r="EA65">
        <v>14.376625</v>
      </c>
      <c r="EB65">
        <v>6.96331</v>
      </c>
      <c r="EC65">
        <v>1500.065</v>
      </c>
      <c r="ED65">
        <v>0.9730045</v>
      </c>
      <c r="EE65">
        <v>0.0269958</v>
      </c>
      <c r="EF65">
        <v>0</v>
      </c>
      <c r="EG65">
        <v>971.79675</v>
      </c>
      <c r="EH65">
        <v>5.00097</v>
      </c>
      <c r="EI65">
        <v>14420.525</v>
      </c>
      <c r="EJ65">
        <v>12492.175</v>
      </c>
      <c r="EK65">
        <v>37.25</v>
      </c>
      <c r="EL65">
        <v>38.687</v>
      </c>
      <c r="EM65">
        <v>37.625</v>
      </c>
      <c r="EN65">
        <v>38.437</v>
      </c>
      <c r="EO65">
        <v>38.125</v>
      </c>
      <c r="EP65">
        <v>1454.7025</v>
      </c>
      <c r="EQ65">
        <v>40.3625</v>
      </c>
      <c r="ER65">
        <v>0</v>
      </c>
      <c r="ES65">
        <v>274.7999999523163</v>
      </c>
      <c r="ET65">
        <v>0</v>
      </c>
      <c r="EU65">
        <v>975.7903846153847</v>
      </c>
      <c r="EV65">
        <v>-40.0339145293612</v>
      </c>
      <c r="EW65">
        <v>-565.1897435076933</v>
      </c>
      <c r="EX65">
        <v>14477.85384615385</v>
      </c>
      <c r="EY65">
        <v>15</v>
      </c>
      <c r="EZ65">
        <v>1651864261.1</v>
      </c>
      <c r="FA65" t="s">
        <v>419</v>
      </c>
      <c r="FB65">
        <v>1651864241.6</v>
      </c>
      <c r="FC65">
        <v>1651864261.1</v>
      </c>
      <c r="FD65">
        <v>7</v>
      </c>
      <c r="FE65">
        <v>0.438</v>
      </c>
      <c r="FF65">
        <v>0.002</v>
      </c>
      <c r="FG65">
        <v>-0.988</v>
      </c>
      <c r="FH65">
        <v>-0.066</v>
      </c>
      <c r="FI65">
        <v>400</v>
      </c>
      <c r="FJ65">
        <v>11</v>
      </c>
      <c r="FK65">
        <v>0.05</v>
      </c>
      <c r="FL65">
        <v>0.02</v>
      </c>
      <c r="FM65">
        <v>-18.8741325</v>
      </c>
      <c r="FN65">
        <v>4.398435647279562</v>
      </c>
      <c r="FO65">
        <v>0.4336968655567505</v>
      </c>
      <c r="FP65">
        <v>-1</v>
      </c>
      <c r="FQ65">
        <v>7.170261749999999</v>
      </c>
      <c r="FR65">
        <v>-0.1760254784240187</v>
      </c>
      <c r="FS65">
        <v>0.01865585442796706</v>
      </c>
      <c r="FT65">
        <v>-1</v>
      </c>
      <c r="FU65">
        <v>0</v>
      </c>
      <c r="FV65">
        <v>0</v>
      </c>
      <c r="FW65">
        <v>0</v>
      </c>
      <c r="FX65">
        <v>-1</v>
      </c>
      <c r="FY65">
        <v>0</v>
      </c>
      <c r="FZ65">
        <v>0</v>
      </c>
      <c r="GA65" t="s">
        <v>420</v>
      </c>
      <c r="GB65">
        <v>2.98047</v>
      </c>
      <c r="GC65">
        <v>2.7061</v>
      </c>
      <c r="GD65">
        <v>0.200899</v>
      </c>
      <c r="GE65">
        <v>0.200378</v>
      </c>
      <c r="GF65">
        <v>0.0874159</v>
      </c>
      <c r="GG65">
        <v>0.0601427</v>
      </c>
      <c r="GH65">
        <v>25219.7</v>
      </c>
      <c r="GI65">
        <v>25292.5</v>
      </c>
      <c r="GJ65">
        <v>29346.6</v>
      </c>
      <c r="GK65">
        <v>29262.3</v>
      </c>
      <c r="GL65">
        <v>35464.5</v>
      </c>
      <c r="GM65">
        <v>36633.4</v>
      </c>
      <c r="GN65">
        <v>41307.4</v>
      </c>
      <c r="GO65">
        <v>41766.8</v>
      </c>
      <c r="GP65">
        <v>1.95795</v>
      </c>
      <c r="GQ65">
        <v>1.84845</v>
      </c>
      <c r="GR65">
        <v>-0.0254996</v>
      </c>
      <c r="GS65">
        <v>0</v>
      </c>
      <c r="GT65">
        <v>25.4065</v>
      </c>
      <c r="GU65">
        <v>999.9</v>
      </c>
      <c r="GV65">
        <v>31.9</v>
      </c>
      <c r="GW65">
        <v>34.2</v>
      </c>
      <c r="GX65">
        <v>19.1644</v>
      </c>
      <c r="GY65">
        <v>62.5474</v>
      </c>
      <c r="GZ65">
        <v>34.9319</v>
      </c>
      <c r="HA65">
        <v>1</v>
      </c>
      <c r="HB65">
        <v>0.102487</v>
      </c>
      <c r="HC65">
        <v>2.16635</v>
      </c>
      <c r="HD65">
        <v>20.3205</v>
      </c>
      <c r="HE65">
        <v>5.21639</v>
      </c>
      <c r="HF65">
        <v>12.0099</v>
      </c>
      <c r="HG65">
        <v>4.98825</v>
      </c>
      <c r="HH65">
        <v>3.28865</v>
      </c>
      <c r="HI65">
        <v>993.6</v>
      </c>
      <c r="HJ65">
        <v>9523.9</v>
      </c>
      <c r="HK65">
        <v>5139.4</v>
      </c>
      <c r="HL65">
        <v>24.8</v>
      </c>
      <c r="HM65">
        <v>1.86751</v>
      </c>
      <c r="HN65">
        <v>1.86646</v>
      </c>
      <c r="HO65">
        <v>1.866</v>
      </c>
      <c r="HP65">
        <v>1.86584</v>
      </c>
      <c r="HQ65">
        <v>1.86768</v>
      </c>
      <c r="HR65">
        <v>1.87018</v>
      </c>
      <c r="HS65">
        <v>1.86887</v>
      </c>
      <c r="HT65">
        <v>1.87026</v>
      </c>
      <c r="HU65">
        <v>0</v>
      </c>
      <c r="HV65">
        <v>0</v>
      </c>
      <c r="HW65">
        <v>0</v>
      </c>
      <c r="HX65">
        <v>0</v>
      </c>
      <c r="HY65" t="s">
        <v>421</v>
      </c>
      <c r="HZ65" t="s">
        <v>422</v>
      </c>
      <c r="IA65" t="s">
        <v>423</v>
      </c>
      <c r="IB65" t="s">
        <v>423</v>
      </c>
      <c r="IC65" t="s">
        <v>423</v>
      </c>
      <c r="ID65" t="s">
        <v>423</v>
      </c>
      <c r="IE65">
        <v>0</v>
      </c>
      <c r="IF65">
        <v>100</v>
      </c>
      <c r="IG65">
        <v>100</v>
      </c>
      <c r="IH65">
        <v>-2.53</v>
      </c>
      <c r="II65">
        <v>0.0193</v>
      </c>
      <c r="IJ65">
        <v>-0.2164499368582429</v>
      </c>
      <c r="IK65">
        <v>-0.002077099775823331</v>
      </c>
      <c r="IL65">
        <v>4.593143279902166E-07</v>
      </c>
      <c r="IM65">
        <v>-1.865383991892071E-10</v>
      </c>
      <c r="IN65">
        <v>-0.06087574426827484</v>
      </c>
      <c r="IO65">
        <v>-0.01129461987421345</v>
      </c>
      <c r="IP65">
        <v>0.00116580895745559</v>
      </c>
      <c r="IQ65">
        <v>-1.679085872906199E-05</v>
      </c>
      <c r="IR65">
        <v>2</v>
      </c>
      <c r="IS65">
        <v>2290</v>
      </c>
      <c r="IT65">
        <v>0</v>
      </c>
      <c r="IU65">
        <v>32</v>
      </c>
      <c r="IV65">
        <v>4.2</v>
      </c>
      <c r="IW65">
        <v>3.9</v>
      </c>
      <c r="IX65">
        <v>2.55859</v>
      </c>
      <c r="IY65">
        <v>2.19116</v>
      </c>
      <c r="IZ65">
        <v>1.39648</v>
      </c>
      <c r="JA65">
        <v>2.35596</v>
      </c>
      <c r="JB65">
        <v>1.49536</v>
      </c>
      <c r="JC65">
        <v>2.36084</v>
      </c>
      <c r="JD65">
        <v>38.4034</v>
      </c>
      <c r="JE65">
        <v>24.035</v>
      </c>
      <c r="JF65">
        <v>18</v>
      </c>
      <c r="JG65">
        <v>512.345</v>
      </c>
      <c r="JH65">
        <v>427.601</v>
      </c>
      <c r="JI65">
        <v>22.4998</v>
      </c>
      <c r="JJ65">
        <v>28.6266</v>
      </c>
      <c r="JK65">
        <v>30.0003</v>
      </c>
      <c r="JL65">
        <v>28.5942</v>
      </c>
      <c r="JM65">
        <v>28.5339</v>
      </c>
      <c r="JN65">
        <v>51.1639</v>
      </c>
      <c r="JO65">
        <v>40.0958</v>
      </c>
      <c r="JP65">
        <v>0</v>
      </c>
      <c r="JQ65">
        <v>22.5019</v>
      </c>
      <c r="JR65">
        <v>1290.12</v>
      </c>
      <c r="JS65">
        <v>11.2733</v>
      </c>
      <c r="JT65">
        <v>100.314</v>
      </c>
      <c r="JU65">
        <v>100.243</v>
      </c>
    </row>
    <row r="66" spans="1:281">
      <c r="A66">
        <v>50</v>
      </c>
      <c r="B66">
        <v>1651864498.1</v>
      </c>
      <c r="C66">
        <v>277.5</v>
      </c>
      <c r="D66" t="s">
        <v>520</v>
      </c>
      <c r="E66" t="s">
        <v>521</v>
      </c>
      <c r="F66">
        <v>2</v>
      </c>
      <c r="G66" t="s">
        <v>413</v>
      </c>
      <c r="H66" t="s">
        <v>414</v>
      </c>
      <c r="I66">
        <v>1651864497.1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1325.646757752844</v>
      </c>
      <c r="AK66">
        <v>1308.724303030303</v>
      </c>
      <c r="AL66">
        <v>-3.447576782106506</v>
      </c>
      <c r="AM66">
        <v>66.38192812717227</v>
      </c>
      <c r="AN66">
        <f>(AP66 - AO66 + DI66*1E3/(8.314*(DK66+273.15)) * AR66/DH66 * AQ66) * DH66/(100*CV66) * 1000/(1000 - AP66)</f>
        <v>0</v>
      </c>
      <c r="AO66">
        <v>11.14588361439773</v>
      </c>
      <c r="AP66">
        <v>18.27176588235293</v>
      </c>
      <c r="AQ66">
        <v>-0.005223563085506065</v>
      </c>
      <c r="AR66">
        <v>80.47224507511959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417</v>
      </c>
      <c r="AY66" t="s">
        <v>417</v>
      </c>
      <c r="AZ66">
        <v>0</v>
      </c>
      <c r="BA66">
        <v>0</v>
      </c>
      <c r="BB66">
        <f>1-AZ66/BA66</f>
        <v>0</v>
      </c>
      <c r="BC66">
        <v>0</v>
      </c>
      <c r="BD66" t="s">
        <v>417</v>
      </c>
      <c r="BE66" t="s">
        <v>417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417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1248</v>
      </c>
      <c r="CA66">
        <v>300</v>
      </c>
      <c r="CB66">
        <v>300</v>
      </c>
      <c r="CC66">
        <v>300</v>
      </c>
      <c r="CD66">
        <v>10442</v>
      </c>
      <c r="CE66">
        <v>1293.69</v>
      </c>
      <c r="CF66">
        <v>-0.00735246</v>
      </c>
      <c r="CG66">
        <v>0.5</v>
      </c>
      <c r="CH66" t="s">
        <v>417</v>
      </c>
      <c r="CI66" t="s">
        <v>417</v>
      </c>
      <c r="CJ66" t="s">
        <v>417</v>
      </c>
      <c r="CK66" t="s">
        <v>417</v>
      </c>
      <c r="CL66" t="s">
        <v>417</v>
      </c>
      <c r="CM66" t="s">
        <v>417</v>
      </c>
      <c r="CN66" t="s">
        <v>417</v>
      </c>
      <c r="CO66" t="s">
        <v>417</v>
      </c>
      <c r="CP66" t="s">
        <v>417</v>
      </c>
      <c r="CQ66" t="s">
        <v>417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418</v>
      </c>
      <c r="CY66">
        <v>2</v>
      </c>
      <c r="CZ66" t="b">
        <v>1</v>
      </c>
      <c r="DA66">
        <v>1651864497.1</v>
      </c>
      <c r="DB66">
        <v>1286.5</v>
      </c>
      <c r="DC66">
        <v>1305.106666666667</v>
      </c>
      <c r="DD66">
        <v>18.2728</v>
      </c>
      <c r="DE66">
        <v>11.16893333333333</v>
      </c>
      <c r="DF66">
        <v>1289.033333333333</v>
      </c>
      <c r="DG66">
        <v>18.25353333333333</v>
      </c>
      <c r="DH66">
        <v>500.0383333333334</v>
      </c>
      <c r="DI66">
        <v>89.93756666666667</v>
      </c>
      <c r="DJ66">
        <v>0.1000162</v>
      </c>
      <c r="DK66">
        <v>25.6891</v>
      </c>
      <c r="DL66">
        <v>24.9911</v>
      </c>
      <c r="DM66">
        <v>999.9</v>
      </c>
      <c r="DN66">
        <v>0</v>
      </c>
      <c r="DO66">
        <v>0</v>
      </c>
      <c r="DP66">
        <v>10003.53333333333</v>
      </c>
      <c r="DQ66">
        <v>0</v>
      </c>
      <c r="DR66">
        <v>3.23193</v>
      </c>
      <c r="DS66">
        <v>-18.60403333333333</v>
      </c>
      <c r="DT66">
        <v>1310.45</v>
      </c>
      <c r="DU66">
        <v>1319.85</v>
      </c>
      <c r="DV66">
        <v>7.103873333333333</v>
      </c>
      <c r="DW66">
        <v>1305.106666666667</v>
      </c>
      <c r="DX66">
        <v>11.16893333333333</v>
      </c>
      <c r="DY66">
        <v>1.64341</v>
      </c>
      <c r="DZ66">
        <v>1.004506666666667</v>
      </c>
      <c r="EA66">
        <v>14.372</v>
      </c>
      <c r="EB66">
        <v>6.981906666666667</v>
      </c>
      <c r="EC66">
        <v>1499.936666666667</v>
      </c>
      <c r="ED66">
        <v>0.9730036666666667</v>
      </c>
      <c r="EE66">
        <v>0.0269967</v>
      </c>
      <c r="EF66">
        <v>0</v>
      </c>
      <c r="EG66">
        <v>970.163</v>
      </c>
      <c r="EH66">
        <v>5.00097</v>
      </c>
      <c r="EI66">
        <v>14398.96666666667</v>
      </c>
      <c r="EJ66">
        <v>12491.1</v>
      </c>
      <c r="EK66">
        <v>37.25</v>
      </c>
      <c r="EL66">
        <v>38.687</v>
      </c>
      <c r="EM66">
        <v>37.625</v>
      </c>
      <c r="EN66">
        <v>38.437</v>
      </c>
      <c r="EO66">
        <v>38.125</v>
      </c>
      <c r="EP66">
        <v>1454.576666666667</v>
      </c>
      <c r="EQ66">
        <v>40.36</v>
      </c>
      <c r="ER66">
        <v>0</v>
      </c>
      <c r="ES66">
        <v>277.2000000476837</v>
      </c>
      <c r="ET66">
        <v>0</v>
      </c>
      <c r="EU66">
        <v>974.2195769230768</v>
      </c>
      <c r="EV66">
        <v>-39.57329909568102</v>
      </c>
      <c r="EW66">
        <v>-544.8649564431076</v>
      </c>
      <c r="EX66">
        <v>14455.53461538461</v>
      </c>
      <c r="EY66">
        <v>15</v>
      </c>
      <c r="EZ66">
        <v>1651864261.1</v>
      </c>
      <c r="FA66" t="s">
        <v>419</v>
      </c>
      <c r="FB66">
        <v>1651864241.6</v>
      </c>
      <c r="FC66">
        <v>1651864261.1</v>
      </c>
      <c r="FD66">
        <v>7</v>
      </c>
      <c r="FE66">
        <v>0.438</v>
      </c>
      <c r="FF66">
        <v>0.002</v>
      </c>
      <c r="FG66">
        <v>-0.988</v>
      </c>
      <c r="FH66">
        <v>-0.066</v>
      </c>
      <c r="FI66">
        <v>400</v>
      </c>
      <c r="FJ66">
        <v>11</v>
      </c>
      <c r="FK66">
        <v>0.05</v>
      </c>
      <c r="FL66">
        <v>0.02</v>
      </c>
      <c r="FM66">
        <v>-18.77343170731707</v>
      </c>
      <c r="FN66">
        <v>3.615587456445963</v>
      </c>
      <c r="FO66">
        <v>0.3947463115192603</v>
      </c>
      <c r="FP66">
        <v>-1</v>
      </c>
      <c r="FQ66">
        <v>7.160023658536585</v>
      </c>
      <c r="FR66">
        <v>-0.2327581881533167</v>
      </c>
      <c r="FS66">
        <v>0.02547830035646283</v>
      </c>
      <c r="FT66">
        <v>-1</v>
      </c>
      <c r="FU66">
        <v>0</v>
      </c>
      <c r="FV66">
        <v>0</v>
      </c>
      <c r="FW66">
        <v>0</v>
      </c>
      <c r="FX66">
        <v>-1</v>
      </c>
      <c r="FY66">
        <v>0</v>
      </c>
      <c r="FZ66">
        <v>0</v>
      </c>
      <c r="GA66" t="s">
        <v>420</v>
      </c>
      <c r="GB66">
        <v>2.98072</v>
      </c>
      <c r="GC66">
        <v>2.70619</v>
      </c>
      <c r="GD66">
        <v>0.20025</v>
      </c>
      <c r="GE66">
        <v>0.199748</v>
      </c>
      <c r="GF66">
        <v>0.0874037</v>
      </c>
      <c r="GG66">
        <v>0.060197</v>
      </c>
      <c r="GH66">
        <v>25240.2</v>
      </c>
      <c r="GI66">
        <v>25312.3</v>
      </c>
      <c r="GJ66">
        <v>29346.6</v>
      </c>
      <c r="GK66">
        <v>29262.1</v>
      </c>
      <c r="GL66">
        <v>35465.1</v>
      </c>
      <c r="GM66">
        <v>36631</v>
      </c>
      <c r="GN66">
        <v>41307.6</v>
      </c>
      <c r="GO66">
        <v>41766.5</v>
      </c>
      <c r="GP66">
        <v>1.95812</v>
      </c>
      <c r="GQ66">
        <v>1.84855</v>
      </c>
      <c r="GR66">
        <v>-0.0249371</v>
      </c>
      <c r="GS66">
        <v>0</v>
      </c>
      <c r="GT66">
        <v>25.4054</v>
      </c>
      <c r="GU66">
        <v>999.9</v>
      </c>
      <c r="GV66">
        <v>31.9</v>
      </c>
      <c r="GW66">
        <v>34.2</v>
      </c>
      <c r="GX66">
        <v>19.164</v>
      </c>
      <c r="GY66">
        <v>62.4074</v>
      </c>
      <c r="GZ66">
        <v>35.0962</v>
      </c>
      <c r="HA66">
        <v>1</v>
      </c>
      <c r="HB66">
        <v>0.102536</v>
      </c>
      <c r="HC66">
        <v>2.16214</v>
      </c>
      <c r="HD66">
        <v>20.3205</v>
      </c>
      <c r="HE66">
        <v>5.21609</v>
      </c>
      <c r="HF66">
        <v>12.0099</v>
      </c>
      <c r="HG66">
        <v>4.9881</v>
      </c>
      <c r="HH66">
        <v>3.28865</v>
      </c>
      <c r="HI66">
        <v>993.6</v>
      </c>
      <c r="HJ66">
        <v>9523.9</v>
      </c>
      <c r="HK66">
        <v>5139.4</v>
      </c>
      <c r="HL66">
        <v>24.8</v>
      </c>
      <c r="HM66">
        <v>1.86751</v>
      </c>
      <c r="HN66">
        <v>1.86646</v>
      </c>
      <c r="HO66">
        <v>1.866</v>
      </c>
      <c r="HP66">
        <v>1.86584</v>
      </c>
      <c r="HQ66">
        <v>1.86768</v>
      </c>
      <c r="HR66">
        <v>1.87017</v>
      </c>
      <c r="HS66">
        <v>1.86888</v>
      </c>
      <c r="HT66">
        <v>1.87026</v>
      </c>
      <c r="HU66">
        <v>0</v>
      </c>
      <c r="HV66">
        <v>0</v>
      </c>
      <c r="HW66">
        <v>0</v>
      </c>
      <c r="HX66">
        <v>0</v>
      </c>
      <c r="HY66" t="s">
        <v>421</v>
      </c>
      <c r="HZ66" t="s">
        <v>422</v>
      </c>
      <c r="IA66" t="s">
        <v>423</v>
      </c>
      <c r="IB66" t="s">
        <v>423</v>
      </c>
      <c r="IC66" t="s">
        <v>423</v>
      </c>
      <c r="ID66" t="s">
        <v>423</v>
      </c>
      <c r="IE66">
        <v>0</v>
      </c>
      <c r="IF66">
        <v>100</v>
      </c>
      <c r="IG66">
        <v>100</v>
      </c>
      <c r="IH66">
        <v>-2.53</v>
      </c>
      <c r="II66">
        <v>0.0192</v>
      </c>
      <c r="IJ66">
        <v>-0.2164499368582429</v>
      </c>
      <c r="IK66">
        <v>-0.002077099775823331</v>
      </c>
      <c r="IL66">
        <v>4.593143279902166E-07</v>
      </c>
      <c r="IM66">
        <v>-1.865383991892071E-10</v>
      </c>
      <c r="IN66">
        <v>-0.06087574426827484</v>
      </c>
      <c r="IO66">
        <v>-0.01129461987421345</v>
      </c>
      <c r="IP66">
        <v>0.00116580895745559</v>
      </c>
      <c r="IQ66">
        <v>-1.679085872906199E-05</v>
      </c>
      <c r="IR66">
        <v>2</v>
      </c>
      <c r="IS66">
        <v>2290</v>
      </c>
      <c r="IT66">
        <v>0</v>
      </c>
      <c r="IU66">
        <v>32</v>
      </c>
      <c r="IV66">
        <v>4.3</v>
      </c>
      <c r="IW66">
        <v>4</v>
      </c>
      <c r="IX66">
        <v>2.54883</v>
      </c>
      <c r="IY66">
        <v>2.19727</v>
      </c>
      <c r="IZ66">
        <v>1.39648</v>
      </c>
      <c r="JA66">
        <v>2.35596</v>
      </c>
      <c r="JB66">
        <v>1.49536</v>
      </c>
      <c r="JC66">
        <v>2.28027</v>
      </c>
      <c r="JD66">
        <v>38.4279</v>
      </c>
      <c r="JE66">
        <v>24.035</v>
      </c>
      <c r="JF66">
        <v>18</v>
      </c>
      <c r="JG66">
        <v>512.47</v>
      </c>
      <c r="JH66">
        <v>427.662</v>
      </c>
      <c r="JI66">
        <v>22.5003</v>
      </c>
      <c r="JJ66">
        <v>28.6266</v>
      </c>
      <c r="JK66">
        <v>30.0001</v>
      </c>
      <c r="JL66">
        <v>28.5954</v>
      </c>
      <c r="JM66">
        <v>28.5339</v>
      </c>
      <c r="JN66">
        <v>50.9611</v>
      </c>
      <c r="JO66">
        <v>40.0958</v>
      </c>
      <c r="JP66">
        <v>0</v>
      </c>
      <c r="JQ66">
        <v>22.5019</v>
      </c>
      <c r="JR66">
        <v>1283.43</v>
      </c>
      <c r="JS66">
        <v>11.2898</v>
      </c>
      <c r="JT66">
        <v>100.314</v>
      </c>
      <c r="JU66">
        <v>100.242</v>
      </c>
    </row>
    <row r="67" spans="1:281">
      <c r="A67">
        <v>51</v>
      </c>
      <c r="B67">
        <v>1651864500.1</v>
      </c>
      <c r="C67">
        <v>279.5</v>
      </c>
      <c r="D67" t="s">
        <v>522</v>
      </c>
      <c r="E67" t="s">
        <v>523</v>
      </c>
      <c r="F67">
        <v>2</v>
      </c>
      <c r="G67" t="s">
        <v>413</v>
      </c>
      <c r="H67" t="s">
        <v>414</v>
      </c>
      <c r="I67">
        <v>1651864498.725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1319.051415946522</v>
      </c>
      <c r="AK67">
        <v>1301.935878787879</v>
      </c>
      <c r="AL67">
        <v>-3.414963349877864</v>
      </c>
      <c r="AM67">
        <v>66.38192812717227</v>
      </c>
      <c r="AN67">
        <f>(AP67 - AO67 + DI67*1E3/(8.314*(DK67+273.15)) * AR67/DH67 * AQ67) * DH67/(100*CV67) * 1000/(1000 - AP67)</f>
        <v>0</v>
      </c>
      <c r="AO67">
        <v>11.15932717114895</v>
      </c>
      <c r="AP67">
        <v>18.26991617647058</v>
      </c>
      <c r="AQ67">
        <v>-0.002701279692509245</v>
      </c>
      <c r="AR67">
        <v>80.47224507511959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417</v>
      </c>
      <c r="AY67" t="s">
        <v>417</v>
      </c>
      <c r="AZ67">
        <v>0</v>
      </c>
      <c r="BA67">
        <v>0</v>
      </c>
      <c r="BB67">
        <f>1-AZ67/BA67</f>
        <v>0</v>
      </c>
      <c r="BC67">
        <v>0</v>
      </c>
      <c r="BD67" t="s">
        <v>417</v>
      </c>
      <c r="BE67" t="s">
        <v>417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417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1248</v>
      </c>
      <c r="CA67">
        <v>300</v>
      </c>
      <c r="CB67">
        <v>300</v>
      </c>
      <c r="CC67">
        <v>300</v>
      </c>
      <c r="CD67">
        <v>10442</v>
      </c>
      <c r="CE67">
        <v>1293.69</v>
      </c>
      <c r="CF67">
        <v>-0.00735246</v>
      </c>
      <c r="CG67">
        <v>0.5</v>
      </c>
      <c r="CH67" t="s">
        <v>417</v>
      </c>
      <c r="CI67" t="s">
        <v>417</v>
      </c>
      <c r="CJ67" t="s">
        <v>417</v>
      </c>
      <c r="CK67" t="s">
        <v>417</v>
      </c>
      <c r="CL67" t="s">
        <v>417</v>
      </c>
      <c r="CM67" t="s">
        <v>417</v>
      </c>
      <c r="CN67" t="s">
        <v>417</v>
      </c>
      <c r="CO67" t="s">
        <v>417</v>
      </c>
      <c r="CP67" t="s">
        <v>417</v>
      </c>
      <c r="CQ67" t="s">
        <v>417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418</v>
      </c>
      <c r="CY67">
        <v>2</v>
      </c>
      <c r="CZ67" t="b">
        <v>1</v>
      </c>
      <c r="DA67">
        <v>1651864498.725</v>
      </c>
      <c r="DB67">
        <v>1281.06</v>
      </c>
      <c r="DC67">
        <v>1299.6375</v>
      </c>
      <c r="DD67">
        <v>18.270575</v>
      </c>
      <c r="DE67">
        <v>11.188375</v>
      </c>
      <c r="DF67">
        <v>1283.58</v>
      </c>
      <c r="DG67">
        <v>18.25135</v>
      </c>
      <c r="DH67">
        <v>500.063</v>
      </c>
      <c r="DI67">
        <v>89.93875</v>
      </c>
      <c r="DJ67">
        <v>0.10011675</v>
      </c>
      <c r="DK67">
        <v>25.689125</v>
      </c>
      <c r="DL67">
        <v>25.0008</v>
      </c>
      <c r="DM67">
        <v>999.9</v>
      </c>
      <c r="DN67">
        <v>0</v>
      </c>
      <c r="DO67">
        <v>0</v>
      </c>
      <c r="DP67">
        <v>10005</v>
      </c>
      <c r="DQ67">
        <v>0</v>
      </c>
      <c r="DR67">
        <v>3.23193</v>
      </c>
      <c r="DS67">
        <v>-18.5786</v>
      </c>
      <c r="DT67">
        <v>1304.9025</v>
      </c>
      <c r="DU67">
        <v>1314.345</v>
      </c>
      <c r="DV67">
        <v>7.0822075</v>
      </c>
      <c r="DW67">
        <v>1299.6375</v>
      </c>
      <c r="DX67">
        <v>11.188375</v>
      </c>
      <c r="DY67">
        <v>1.6432325</v>
      </c>
      <c r="DZ67">
        <v>1.0062675</v>
      </c>
      <c r="EA67">
        <v>14.370325</v>
      </c>
      <c r="EB67">
        <v>7.00744</v>
      </c>
      <c r="EC67">
        <v>1499.985</v>
      </c>
      <c r="ED67">
        <v>0.9730032500000001</v>
      </c>
      <c r="EE67">
        <v>0.02699715</v>
      </c>
      <c r="EF67">
        <v>0</v>
      </c>
      <c r="EG67">
        <v>969.1935</v>
      </c>
      <c r="EH67">
        <v>5.00097</v>
      </c>
      <c r="EI67">
        <v>14386.575</v>
      </c>
      <c r="EJ67">
        <v>12491.5</v>
      </c>
      <c r="EK67">
        <v>37.25</v>
      </c>
      <c r="EL67">
        <v>38.687</v>
      </c>
      <c r="EM67">
        <v>37.625</v>
      </c>
      <c r="EN67">
        <v>38.437</v>
      </c>
      <c r="EO67">
        <v>38.125</v>
      </c>
      <c r="EP67">
        <v>1454.6225</v>
      </c>
      <c r="EQ67">
        <v>40.3625</v>
      </c>
      <c r="ER67">
        <v>0</v>
      </c>
      <c r="ES67">
        <v>279</v>
      </c>
      <c r="ET67">
        <v>0</v>
      </c>
      <c r="EU67">
        <v>972.86364</v>
      </c>
      <c r="EV67">
        <v>-37.25492313283973</v>
      </c>
      <c r="EW67">
        <v>-531.9538469093578</v>
      </c>
      <c r="EX67">
        <v>14436.588</v>
      </c>
      <c r="EY67">
        <v>15</v>
      </c>
      <c r="EZ67">
        <v>1651864261.1</v>
      </c>
      <c r="FA67" t="s">
        <v>419</v>
      </c>
      <c r="FB67">
        <v>1651864241.6</v>
      </c>
      <c r="FC67">
        <v>1651864261.1</v>
      </c>
      <c r="FD67">
        <v>7</v>
      </c>
      <c r="FE67">
        <v>0.438</v>
      </c>
      <c r="FF67">
        <v>0.002</v>
      </c>
      <c r="FG67">
        <v>-0.988</v>
      </c>
      <c r="FH67">
        <v>-0.066</v>
      </c>
      <c r="FI67">
        <v>400</v>
      </c>
      <c r="FJ67">
        <v>11</v>
      </c>
      <c r="FK67">
        <v>0.05</v>
      </c>
      <c r="FL67">
        <v>0.02</v>
      </c>
      <c r="FM67">
        <v>-18.698535</v>
      </c>
      <c r="FN67">
        <v>2.979064165103262</v>
      </c>
      <c r="FO67">
        <v>0.349276996487029</v>
      </c>
      <c r="FP67">
        <v>-1</v>
      </c>
      <c r="FQ67">
        <v>7.15223325</v>
      </c>
      <c r="FR67">
        <v>-0.3016607504690794</v>
      </c>
      <c r="FS67">
        <v>0.0313413131814463</v>
      </c>
      <c r="FT67">
        <v>-1</v>
      </c>
      <c r="FU67">
        <v>0</v>
      </c>
      <c r="FV67">
        <v>0</v>
      </c>
      <c r="FW67">
        <v>0</v>
      </c>
      <c r="FX67">
        <v>-1</v>
      </c>
      <c r="FY67">
        <v>0</v>
      </c>
      <c r="FZ67">
        <v>0</v>
      </c>
      <c r="GA67" t="s">
        <v>420</v>
      </c>
      <c r="GB67">
        <v>2.98056</v>
      </c>
      <c r="GC67">
        <v>2.70629</v>
      </c>
      <c r="GD67">
        <v>0.199605</v>
      </c>
      <c r="GE67">
        <v>0.199102</v>
      </c>
      <c r="GF67">
        <v>0.0873951</v>
      </c>
      <c r="GG67">
        <v>0.0603269</v>
      </c>
      <c r="GH67">
        <v>25260.7</v>
      </c>
      <c r="GI67">
        <v>25332.5</v>
      </c>
      <c r="GJ67">
        <v>29346.8</v>
      </c>
      <c r="GK67">
        <v>29261.8</v>
      </c>
      <c r="GL67">
        <v>35465.4</v>
      </c>
      <c r="GM67">
        <v>36625.6</v>
      </c>
      <c r="GN67">
        <v>41307.6</v>
      </c>
      <c r="GO67">
        <v>41766.1</v>
      </c>
      <c r="GP67">
        <v>1.95817</v>
      </c>
      <c r="GQ67">
        <v>1.84848</v>
      </c>
      <c r="GR67">
        <v>-0.0244305</v>
      </c>
      <c r="GS67">
        <v>0</v>
      </c>
      <c r="GT67">
        <v>25.4043</v>
      </c>
      <c r="GU67">
        <v>999.9</v>
      </c>
      <c r="GV67">
        <v>31.9</v>
      </c>
      <c r="GW67">
        <v>34.2</v>
      </c>
      <c r="GX67">
        <v>19.1641</v>
      </c>
      <c r="GY67">
        <v>62.3874</v>
      </c>
      <c r="GZ67">
        <v>35.1803</v>
      </c>
      <c r="HA67">
        <v>1</v>
      </c>
      <c r="HB67">
        <v>0.102213</v>
      </c>
      <c r="HC67">
        <v>2.15841</v>
      </c>
      <c r="HD67">
        <v>20.3205</v>
      </c>
      <c r="HE67">
        <v>5.21579</v>
      </c>
      <c r="HF67">
        <v>12.0099</v>
      </c>
      <c r="HG67">
        <v>4.98885</v>
      </c>
      <c r="HH67">
        <v>3.28858</v>
      </c>
      <c r="HI67">
        <v>993.6</v>
      </c>
      <c r="HJ67">
        <v>9523.9</v>
      </c>
      <c r="HK67">
        <v>5139.4</v>
      </c>
      <c r="HL67">
        <v>24.8</v>
      </c>
      <c r="HM67">
        <v>1.8675</v>
      </c>
      <c r="HN67">
        <v>1.86646</v>
      </c>
      <c r="HO67">
        <v>1.866</v>
      </c>
      <c r="HP67">
        <v>1.86584</v>
      </c>
      <c r="HQ67">
        <v>1.86768</v>
      </c>
      <c r="HR67">
        <v>1.87018</v>
      </c>
      <c r="HS67">
        <v>1.8689</v>
      </c>
      <c r="HT67">
        <v>1.87026</v>
      </c>
      <c r="HU67">
        <v>0</v>
      </c>
      <c r="HV67">
        <v>0</v>
      </c>
      <c r="HW67">
        <v>0</v>
      </c>
      <c r="HX67">
        <v>0</v>
      </c>
      <c r="HY67" t="s">
        <v>421</v>
      </c>
      <c r="HZ67" t="s">
        <v>422</v>
      </c>
      <c r="IA67" t="s">
        <v>423</v>
      </c>
      <c r="IB67" t="s">
        <v>423</v>
      </c>
      <c r="IC67" t="s">
        <v>423</v>
      </c>
      <c r="ID67" t="s">
        <v>423</v>
      </c>
      <c r="IE67">
        <v>0</v>
      </c>
      <c r="IF67">
        <v>100</v>
      </c>
      <c r="IG67">
        <v>100</v>
      </c>
      <c r="IH67">
        <v>-2.52</v>
      </c>
      <c r="II67">
        <v>0.0192</v>
      </c>
      <c r="IJ67">
        <v>-0.2164499368582429</v>
      </c>
      <c r="IK67">
        <v>-0.002077099775823331</v>
      </c>
      <c r="IL67">
        <v>4.593143279902166E-07</v>
      </c>
      <c r="IM67">
        <v>-1.865383991892071E-10</v>
      </c>
      <c r="IN67">
        <v>-0.06087574426827484</v>
      </c>
      <c r="IO67">
        <v>-0.01129461987421345</v>
      </c>
      <c r="IP67">
        <v>0.00116580895745559</v>
      </c>
      <c r="IQ67">
        <v>-1.679085872906199E-05</v>
      </c>
      <c r="IR67">
        <v>2</v>
      </c>
      <c r="IS67">
        <v>2290</v>
      </c>
      <c r="IT67">
        <v>0</v>
      </c>
      <c r="IU67">
        <v>32</v>
      </c>
      <c r="IV67">
        <v>4.3</v>
      </c>
      <c r="IW67">
        <v>4</v>
      </c>
      <c r="IX67">
        <v>2.53784</v>
      </c>
      <c r="IY67">
        <v>2.1936</v>
      </c>
      <c r="IZ67">
        <v>1.39648</v>
      </c>
      <c r="JA67">
        <v>2.35596</v>
      </c>
      <c r="JB67">
        <v>1.49536</v>
      </c>
      <c r="JC67">
        <v>2.36694</v>
      </c>
      <c r="JD67">
        <v>38.4279</v>
      </c>
      <c r="JE67">
        <v>24.0437</v>
      </c>
      <c r="JF67">
        <v>18</v>
      </c>
      <c r="JG67">
        <v>512.508</v>
      </c>
      <c r="JH67">
        <v>427.617</v>
      </c>
      <c r="JI67">
        <v>22.5011</v>
      </c>
      <c r="JJ67">
        <v>28.6273</v>
      </c>
      <c r="JK67">
        <v>30</v>
      </c>
      <c r="JL67">
        <v>28.596</v>
      </c>
      <c r="JM67">
        <v>28.5339</v>
      </c>
      <c r="JN67">
        <v>50.753</v>
      </c>
      <c r="JO67">
        <v>40.0958</v>
      </c>
      <c r="JP67">
        <v>0</v>
      </c>
      <c r="JQ67">
        <v>22.5066</v>
      </c>
      <c r="JR67">
        <v>1276.72</v>
      </c>
      <c r="JS67">
        <v>11.303</v>
      </c>
      <c r="JT67">
        <v>100.314</v>
      </c>
      <c r="JU67">
        <v>100.241</v>
      </c>
    </row>
    <row r="68" spans="1:281">
      <c r="A68">
        <v>52</v>
      </c>
      <c r="B68">
        <v>1651864502.1</v>
      </c>
      <c r="C68">
        <v>281.5</v>
      </c>
      <c r="D68" t="s">
        <v>524</v>
      </c>
      <c r="E68" t="s">
        <v>525</v>
      </c>
      <c r="F68">
        <v>2</v>
      </c>
      <c r="G68" t="s">
        <v>413</v>
      </c>
      <c r="H68" t="s">
        <v>414</v>
      </c>
      <c r="I68">
        <v>1651864501.1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1312.248343075159</v>
      </c>
      <c r="AK68">
        <v>1295.176303030302</v>
      </c>
      <c r="AL68">
        <v>-3.384905992328906</v>
      </c>
      <c r="AM68">
        <v>66.38192812717227</v>
      </c>
      <c r="AN68">
        <f>(AP68 - AO68 + DI68*1E3/(8.314*(DK68+273.15)) * AR68/DH68 * AQ68) * DH68/(100*CV68) * 1000/(1000 - AP68)</f>
        <v>0</v>
      </c>
      <c r="AO68">
        <v>11.17398899997314</v>
      </c>
      <c r="AP68">
        <v>18.26672529411763</v>
      </c>
      <c r="AQ68">
        <v>-0.0008665072482073237</v>
      </c>
      <c r="AR68">
        <v>80.47224507511959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417</v>
      </c>
      <c r="AY68" t="s">
        <v>417</v>
      </c>
      <c r="AZ68">
        <v>0</v>
      </c>
      <c r="BA68">
        <v>0</v>
      </c>
      <c r="BB68">
        <f>1-AZ68/BA68</f>
        <v>0</v>
      </c>
      <c r="BC68">
        <v>0</v>
      </c>
      <c r="BD68" t="s">
        <v>417</v>
      </c>
      <c r="BE68" t="s">
        <v>417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417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1248</v>
      </c>
      <c r="CA68">
        <v>300</v>
      </c>
      <c r="CB68">
        <v>300</v>
      </c>
      <c r="CC68">
        <v>300</v>
      </c>
      <c r="CD68">
        <v>10442</v>
      </c>
      <c r="CE68">
        <v>1293.69</v>
      </c>
      <c r="CF68">
        <v>-0.00735246</v>
      </c>
      <c r="CG68">
        <v>0.5</v>
      </c>
      <c r="CH68" t="s">
        <v>417</v>
      </c>
      <c r="CI68" t="s">
        <v>417</v>
      </c>
      <c r="CJ68" t="s">
        <v>417</v>
      </c>
      <c r="CK68" t="s">
        <v>417</v>
      </c>
      <c r="CL68" t="s">
        <v>417</v>
      </c>
      <c r="CM68" t="s">
        <v>417</v>
      </c>
      <c r="CN68" t="s">
        <v>417</v>
      </c>
      <c r="CO68" t="s">
        <v>417</v>
      </c>
      <c r="CP68" t="s">
        <v>417</v>
      </c>
      <c r="CQ68" t="s">
        <v>417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418</v>
      </c>
      <c r="CY68">
        <v>2</v>
      </c>
      <c r="CZ68" t="b">
        <v>1</v>
      </c>
      <c r="DA68">
        <v>1651864501.1</v>
      </c>
      <c r="DB68">
        <v>1273.173333333333</v>
      </c>
      <c r="DC68">
        <v>1291.463333333333</v>
      </c>
      <c r="DD68">
        <v>18.2671</v>
      </c>
      <c r="DE68">
        <v>11.2258</v>
      </c>
      <c r="DF68">
        <v>1275.683333333333</v>
      </c>
      <c r="DG68">
        <v>18.2479</v>
      </c>
      <c r="DH68">
        <v>500.0586666666667</v>
      </c>
      <c r="DI68">
        <v>89.93920000000001</v>
      </c>
      <c r="DJ68">
        <v>0.1000483333333333</v>
      </c>
      <c r="DK68">
        <v>25.689</v>
      </c>
      <c r="DL68">
        <v>25.00383333333334</v>
      </c>
      <c r="DM68">
        <v>999.9</v>
      </c>
      <c r="DN68">
        <v>0</v>
      </c>
      <c r="DO68">
        <v>0</v>
      </c>
      <c r="DP68">
        <v>10005.2</v>
      </c>
      <c r="DQ68">
        <v>0</v>
      </c>
      <c r="DR68">
        <v>3.23193</v>
      </c>
      <c r="DS68">
        <v>-18.28573333333333</v>
      </c>
      <c r="DT68">
        <v>1296.863333333333</v>
      </c>
      <c r="DU68">
        <v>1306.123333333333</v>
      </c>
      <c r="DV68">
        <v>7.041283333333332</v>
      </c>
      <c r="DW68">
        <v>1291.463333333333</v>
      </c>
      <c r="DX68">
        <v>11.2258</v>
      </c>
      <c r="DY68">
        <v>1.64293</v>
      </c>
      <c r="DZ68">
        <v>1.009643333333333</v>
      </c>
      <c r="EA68">
        <v>14.36746666666667</v>
      </c>
      <c r="EB68">
        <v>7.056273333333333</v>
      </c>
      <c r="EC68">
        <v>1499.846666666666</v>
      </c>
      <c r="ED68">
        <v>0.973002</v>
      </c>
      <c r="EE68">
        <v>0.0269985</v>
      </c>
      <c r="EF68">
        <v>0</v>
      </c>
      <c r="EG68">
        <v>968.0700000000001</v>
      </c>
      <c r="EH68">
        <v>5.00097</v>
      </c>
      <c r="EI68">
        <v>14363.76666666667</v>
      </c>
      <c r="EJ68">
        <v>12490.3</v>
      </c>
      <c r="EK68">
        <v>37.25</v>
      </c>
      <c r="EL68">
        <v>38.687</v>
      </c>
      <c r="EM68">
        <v>37.625</v>
      </c>
      <c r="EN68">
        <v>38.437</v>
      </c>
      <c r="EO68">
        <v>38.125</v>
      </c>
      <c r="EP68">
        <v>1454.486666666667</v>
      </c>
      <c r="EQ68">
        <v>40.36</v>
      </c>
      <c r="ER68">
        <v>0</v>
      </c>
      <c r="ES68">
        <v>280.7999999523163</v>
      </c>
      <c r="ET68">
        <v>0</v>
      </c>
      <c r="EU68">
        <v>971.9516153846154</v>
      </c>
      <c r="EV68">
        <v>-36.46947009521942</v>
      </c>
      <c r="EW68">
        <v>-524.9743590051055</v>
      </c>
      <c r="EX68">
        <v>14423.27307692308</v>
      </c>
      <c r="EY68">
        <v>15</v>
      </c>
      <c r="EZ68">
        <v>1651864261.1</v>
      </c>
      <c r="FA68" t="s">
        <v>419</v>
      </c>
      <c r="FB68">
        <v>1651864241.6</v>
      </c>
      <c r="FC68">
        <v>1651864261.1</v>
      </c>
      <c r="FD68">
        <v>7</v>
      </c>
      <c r="FE68">
        <v>0.438</v>
      </c>
      <c r="FF68">
        <v>0.002</v>
      </c>
      <c r="FG68">
        <v>-0.988</v>
      </c>
      <c r="FH68">
        <v>-0.066</v>
      </c>
      <c r="FI68">
        <v>400</v>
      </c>
      <c r="FJ68">
        <v>11</v>
      </c>
      <c r="FK68">
        <v>0.05</v>
      </c>
      <c r="FL68">
        <v>0.02</v>
      </c>
      <c r="FM68">
        <v>-18.60207073170731</v>
      </c>
      <c r="FN68">
        <v>2.34588501742162</v>
      </c>
      <c r="FO68">
        <v>0.3055921051878193</v>
      </c>
      <c r="FP68">
        <v>-1</v>
      </c>
      <c r="FQ68">
        <v>7.136850487804877</v>
      </c>
      <c r="FR68">
        <v>-0.4185062717769879</v>
      </c>
      <c r="FS68">
        <v>0.04393449991395001</v>
      </c>
      <c r="FT68">
        <v>-1</v>
      </c>
      <c r="FU68">
        <v>0</v>
      </c>
      <c r="FV68">
        <v>0</v>
      </c>
      <c r="FW68">
        <v>0</v>
      </c>
      <c r="FX68">
        <v>-1</v>
      </c>
      <c r="FY68">
        <v>0</v>
      </c>
      <c r="FZ68">
        <v>0</v>
      </c>
      <c r="GA68" t="s">
        <v>420</v>
      </c>
      <c r="GB68">
        <v>2.98059</v>
      </c>
      <c r="GC68">
        <v>2.70621</v>
      </c>
      <c r="GD68">
        <v>0.198962</v>
      </c>
      <c r="GE68">
        <v>0.198463</v>
      </c>
      <c r="GF68">
        <v>0.08738990000000001</v>
      </c>
      <c r="GG68">
        <v>0.060432</v>
      </c>
      <c r="GH68">
        <v>25281.3</v>
      </c>
      <c r="GI68">
        <v>25352.7</v>
      </c>
      <c r="GJ68">
        <v>29347.2</v>
      </c>
      <c r="GK68">
        <v>29261.8</v>
      </c>
      <c r="GL68">
        <v>35465.9</v>
      </c>
      <c r="GM68">
        <v>36621.6</v>
      </c>
      <c r="GN68">
        <v>41307.9</v>
      </c>
      <c r="GO68">
        <v>41766.2</v>
      </c>
      <c r="GP68">
        <v>1.95815</v>
      </c>
      <c r="GQ68">
        <v>1.84857</v>
      </c>
      <c r="GR68">
        <v>-0.0244714</v>
      </c>
      <c r="GS68">
        <v>0</v>
      </c>
      <c r="GT68">
        <v>25.4033</v>
      </c>
      <c r="GU68">
        <v>999.9</v>
      </c>
      <c r="GV68">
        <v>31.9</v>
      </c>
      <c r="GW68">
        <v>34.2</v>
      </c>
      <c r="GX68">
        <v>19.1627</v>
      </c>
      <c r="GY68">
        <v>62.2774</v>
      </c>
      <c r="GZ68">
        <v>34.8758</v>
      </c>
      <c r="HA68">
        <v>1</v>
      </c>
      <c r="HB68">
        <v>0.102309</v>
      </c>
      <c r="HC68">
        <v>2.1481</v>
      </c>
      <c r="HD68">
        <v>20.3206</v>
      </c>
      <c r="HE68">
        <v>5.21579</v>
      </c>
      <c r="HF68">
        <v>12.0099</v>
      </c>
      <c r="HG68">
        <v>4.9887</v>
      </c>
      <c r="HH68">
        <v>3.2885</v>
      </c>
      <c r="HI68">
        <v>993.8</v>
      </c>
      <c r="HJ68">
        <v>9525.200000000001</v>
      </c>
      <c r="HK68">
        <v>5139.4</v>
      </c>
      <c r="HL68">
        <v>24.8</v>
      </c>
      <c r="HM68">
        <v>1.86749</v>
      </c>
      <c r="HN68">
        <v>1.86646</v>
      </c>
      <c r="HO68">
        <v>1.866</v>
      </c>
      <c r="HP68">
        <v>1.86584</v>
      </c>
      <c r="HQ68">
        <v>1.86768</v>
      </c>
      <c r="HR68">
        <v>1.87019</v>
      </c>
      <c r="HS68">
        <v>1.86888</v>
      </c>
      <c r="HT68">
        <v>1.87024</v>
      </c>
      <c r="HU68">
        <v>0</v>
      </c>
      <c r="HV68">
        <v>0</v>
      </c>
      <c r="HW68">
        <v>0</v>
      </c>
      <c r="HX68">
        <v>0</v>
      </c>
      <c r="HY68" t="s">
        <v>421</v>
      </c>
      <c r="HZ68" t="s">
        <v>422</v>
      </c>
      <c r="IA68" t="s">
        <v>423</v>
      </c>
      <c r="IB68" t="s">
        <v>423</v>
      </c>
      <c r="IC68" t="s">
        <v>423</v>
      </c>
      <c r="ID68" t="s">
        <v>423</v>
      </c>
      <c r="IE68">
        <v>0</v>
      </c>
      <c r="IF68">
        <v>100</v>
      </c>
      <c r="IG68">
        <v>100</v>
      </c>
      <c r="IH68">
        <v>-2.5</v>
      </c>
      <c r="II68">
        <v>0.0192</v>
      </c>
      <c r="IJ68">
        <v>-0.2164499368582429</v>
      </c>
      <c r="IK68">
        <v>-0.002077099775823331</v>
      </c>
      <c r="IL68">
        <v>4.593143279902166E-07</v>
      </c>
      <c r="IM68">
        <v>-1.865383991892071E-10</v>
      </c>
      <c r="IN68">
        <v>-0.06087574426827484</v>
      </c>
      <c r="IO68">
        <v>-0.01129461987421345</v>
      </c>
      <c r="IP68">
        <v>0.00116580895745559</v>
      </c>
      <c r="IQ68">
        <v>-1.679085872906199E-05</v>
      </c>
      <c r="IR68">
        <v>2</v>
      </c>
      <c r="IS68">
        <v>2290</v>
      </c>
      <c r="IT68">
        <v>0</v>
      </c>
      <c r="IU68">
        <v>32</v>
      </c>
      <c r="IV68">
        <v>4.3</v>
      </c>
      <c r="IW68">
        <v>4</v>
      </c>
      <c r="IX68">
        <v>2.52686</v>
      </c>
      <c r="IY68">
        <v>2.19604</v>
      </c>
      <c r="IZ68">
        <v>1.39648</v>
      </c>
      <c r="JA68">
        <v>2.35596</v>
      </c>
      <c r="JB68">
        <v>1.49536</v>
      </c>
      <c r="JC68">
        <v>2.32422</v>
      </c>
      <c r="JD68">
        <v>38.4034</v>
      </c>
      <c r="JE68">
        <v>24.035</v>
      </c>
      <c r="JF68">
        <v>18</v>
      </c>
      <c r="JG68">
        <v>512.491</v>
      </c>
      <c r="JH68">
        <v>427.685</v>
      </c>
      <c r="JI68">
        <v>22.5023</v>
      </c>
      <c r="JJ68">
        <v>28.6285</v>
      </c>
      <c r="JK68">
        <v>30.0001</v>
      </c>
      <c r="JL68">
        <v>28.596</v>
      </c>
      <c r="JM68">
        <v>28.5351</v>
      </c>
      <c r="JN68">
        <v>50.538</v>
      </c>
      <c r="JO68">
        <v>40.0958</v>
      </c>
      <c r="JP68">
        <v>0</v>
      </c>
      <c r="JQ68">
        <v>22.5066</v>
      </c>
      <c r="JR68">
        <v>1270.02</v>
      </c>
      <c r="JS68">
        <v>11.3146</v>
      </c>
      <c r="JT68">
        <v>100.315</v>
      </c>
      <c r="JU68">
        <v>100.241</v>
      </c>
    </row>
    <row r="69" spans="1:281">
      <c r="A69">
        <v>53</v>
      </c>
      <c r="B69">
        <v>1651864504.1</v>
      </c>
      <c r="C69">
        <v>283.5</v>
      </c>
      <c r="D69" t="s">
        <v>526</v>
      </c>
      <c r="E69" t="s">
        <v>527</v>
      </c>
      <c r="F69">
        <v>2</v>
      </c>
      <c r="G69" t="s">
        <v>413</v>
      </c>
      <c r="H69" t="s">
        <v>414</v>
      </c>
      <c r="I69">
        <v>1651864502.725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1305.364689271489</v>
      </c>
      <c r="AK69">
        <v>1288.334606060606</v>
      </c>
      <c r="AL69">
        <v>-3.403824353990535</v>
      </c>
      <c r="AM69">
        <v>66.38192812717227</v>
      </c>
      <c r="AN69">
        <f>(AP69 - AO69 + DI69*1E3/(8.314*(DK69+273.15)) * AR69/DH69 * AQ69) * DH69/(100*CV69) * 1000/(1000 - AP69)</f>
        <v>0</v>
      </c>
      <c r="AO69">
        <v>11.2032743066437</v>
      </c>
      <c r="AP69">
        <v>18.26680411764704</v>
      </c>
      <c r="AQ69">
        <v>-0.000569286927881734</v>
      </c>
      <c r="AR69">
        <v>80.47224507511959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417</v>
      </c>
      <c r="AY69" t="s">
        <v>417</v>
      </c>
      <c r="AZ69">
        <v>0</v>
      </c>
      <c r="BA69">
        <v>0</v>
      </c>
      <c r="BB69">
        <f>1-AZ69/BA69</f>
        <v>0</v>
      </c>
      <c r="BC69">
        <v>0</v>
      </c>
      <c r="BD69" t="s">
        <v>417</v>
      </c>
      <c r="BE69" t="s">
        <v>417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417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1248</v>
      </c>
      <c r="CA69">
        <v>300</v>
      </c>
      <c r="CB69">
        <v>300</v>
      </c>
      <c r="CC69">
        <v>300</v>
      </c>
      <c r="CD69">
        <v>10442</v>
      </c>
      <c r="CE69">
        <v>1293.69</v>
      </c>
      <c r="CF69">
        <v>-0.00735246</v>
      </c>
      <c r="CG69">
        <v>0.5</v>
      </c>
      <c r="CH69" t="s">
        <v>417</v>
      </c>
      <c r="CI69" t="s">
        <v>417</v>
      </c>
      <c r="CJ69" t="s">
        <v>417</v>
      </c>
      <c r="CK69" t="s">
        <v>417</v>
      </c>
      <c r="CL69" t="s">
        <v>417</v>
      </c>
      <c r="CM69" t="s">
        <v>417</v>
      </c>
      <c r="CN69" t="s">
        <v>417</v>
      </c>
      <c r="CO69" t="s">
        <v>417</v>
      </c>
      <c r="CP69" t="s">
        <v>417</v>
      </c>
      <c r="CQ69" t="s">
        <v>417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418</v>
      </c>
      <c r="CY69">
        <v>2</v>
      </c>
      <c r="CZ69" t="b">
        <v>1</v>
      </c>
      <c r="DA69">
        <v>1651864502.725</v>
      </c>
      <c r="DB69">
        <v>1267.7425</v>
      </c>
      <c r="DC69">
        <v>1286.105</v>
      </c>
      <c r="DD69">
        <v>18.26695</v>
      </c>
      <c r="DE69">
        <v>11.237325</v>
      </c>
      <c r="DF69">
        <v>1270.24</v>
      </c>
      <c r="DG69">
        <v>18.24775</v>
      </c>
      <c r="DH69">
        <v>500.09125</v>
      </c>
      <c r="DI69">
        <v>89.93872500000001</v>
      </c>
      <c r="DJ69">
        <v>0.100203</v>
      </c>
      <c r="DK69">
        <v>25.689225</v>
      </c>
      <c r="DL69">
        <v>24.998325</v>
      </c>
      <c r="DM69">
        <v>999.9</v>
      </c>
      <c r="DN69">
        <v>0</v>
      </c>
      <c r="DO69">
        <v>0</v>
      </c>
      <c r="DP69">
        <v>9975.4575</v>
      </c>
      <c r="DQ69">
        <v>0</v>
      </c>
      <c r="DR69">
        <v>3.23193</v>
      </c>
      <c r="DS69">
        <v>-18.360375</v>
      </c>
      <c r="DT69">
        <v>1291.33</v>
      </c>
      <c r="DU69">
        <v>1300.72</v>
      </c>
      <c r="DV69">
        <v>7.0295875</v>
      </c>
      <c r="DW69">
        <v>1286.105</v>
      </c>
      <c r="DX69">
        <v>11.237325</v>
      </c>
      <c r="DY69">
        <v>1.6429075</v>
      </c>
      <c r="DZ69">
        <v>1.0106775</v>
      </c>
      <c r="EA69">
        <v>14.36725</v>
      </c>
      <c r="EB69">
        <v>7.0711625</v>
      </c>
      <c r="EC69">
        <v>1499.995</v>
      </c>
      <c r="ED69">
        <v>0.97300325</v>
      </c>
      <c r="EE69">
        <v>0.02699715</v>
      </c>
      <c r="EF69">
        <v>0</v>
      </c>
      <c r="EG69">
        <v>967.3674999999999</v>
      </c>
      <c r="EH69">
        <v>5.00097</v>
      </c>
      <c r="EI69">
        <v>14352.55</v>
      </c>
      <c r="EJ69">
        <v>12491.525</v>
      </c>
      <c r="EK69">
        <v>37.25</v>
      </c>
      <c r="EL69">
        <v>38.687</v>
      </c>
      <c r="EM69">
        <v>37.625</v>
      </c>
      <c r="EN69">
        <v>38.437</v>
      </c>
      <c r="EO69">
        <v>38.125</v>
      </c>
      <c r="EP69">
        <v>1454.6325</v>
      </c>
      <c r="EQ69">
        <v>40.3625</v>
      </c>
      <c r="ER69">
        <v>0</v>
      </c>
      <c r="ES69">
        <v>283.2000000476837</v>
      </c>
      <c r="ET69">
        <v>0</v>
      </c>
      <c r="EU69">
        <v>970.5282307692306</v>
      </c>
      <c r="EV69">
        <v>-34.74967517616255</v>
      </c>
      <c r="EW69">
        <v>-515.6410250061768</v>
      </c>
      <c r="EX69">
        <v>14402.38846153846</v>
      </c>
      <c r="EY69">
        <v>15</v>
      </c>
      <c r="EZ69">
        <v>1651864261.1</v>
      </c>
      <c r="FA69" t="s">
        <v>419</v>
      </c>
      <c r="FB69">
        <v>1651864241.6</v>
      </c>
      <c r="FC69">
        <v>1651864261.1</v>
      </c>
      <c r="FD69">
        <v>7</v>
      </c>
      <c r="FE69">
        <v>0.438</v>
      </c>
      <c r="FF69">
        <v>0.002</v>
      </c>
      <c r="FG69">
        <v>-0.988</v>
      </c>
      <c r="FH69">
        <v>-0.066</v>
      </c>
      <c r="FI69">
        <v>400</v>
      </c>
      <c r="FJ69">
        <v>11</v>
      </c>
      <c r="FK69">
        <v>0.05</v>
      </c>
      <c r="FL69">
        <v>0.02</v>
      </c>
      <c r="FM69">
        <v>-18.51792</v>
      </c>
      <c r="FN69">
        <v>1.526539587242073</v>
      </c>
      <c r="FO69">
        <v>0.2231971048199327</v>
      </c>
      <c r="FP69">
        <v>-1</v>
      </c>
      <c r="FQ69">
        <v>7.12439125</v>
      </c>
      <c r="FR69">
        <v>-0.4986847654784369</v>
      </c>
      <c r="FS69">
        <v>0.05002971293079238</v>
      </c>
      <c r="FT69">
        <v>-1</v>
      </c>
      <c r="FU69">
        <v>0</v>
      </c>
      <c r="FV69">
        <v>0</v>
      </c>
      <c r="FW69">
        <v>0</v>
      </c>
      <c r="FX69">
        <v>-1</v>
      </c>
      <c r="FY69">
        <v>0</v>
      </c>
      <c r="FZ69">
        <v>0</v>
      </c>
      <c r="GA69" t="s">
        <v>420</v>
      </c>
      <c r="GB69">
        <v>2.98056</v>
      </c>
      <c r="GC69">
        <v>2.70605</v>
      </c>
      <c r="GD69">
        <v>0.198303</v>
      </c>
      <c r="GE69">
        <v>0.197838</v>
      </c>
      <c r="GF69">
        <v>0.0873927</v>
      </c>
      <c r="GG69">
        <v>0.0604497</v>
      </c>
      <c r="GH69">
        <v>25301.9</v>
      </c>
      <c r="GI69">
        <v>25372.5</v>
      </c>
      <c r="GJ69">
        <v>29346.9</v>
      </c>
      <c r="GK69">
        <v>29261.9</v>
      </c>
      <c r="GL69">
        <v>35465.6</v>
      </c>
      <c r="GM69">
        <v>36620.9</v>
      </c>
      <c r="GN69">
        <v>41307.7</v>
      </c>
      <c r="GO69">
        <v>41766.2</v>
      </c>
      <c r="GP69">
        <v>1.95805</v>
      </c>
      <c r="GQ69">
        <v>1.84865</v>
      </c>
      <c r="GR69">
        <v>-0.0249334</v>
      </c>
      <c r="GS69">
        <v>0</v>
      </c>
      <c r="GT69">
        <v>25.4022</v>
      </c>
      <c r="GU69">
        <v>999.9</v>
      </c>
      <c r="GV69">
        <v>31.9</v>
      </c>
      <c r="GW69">
        <v>34.2</v>
      </c>
      <c r="GX69">
        <v>19.1628</v>
      </c>
      <c r="GY69">
        <v>62.3174</v>
      </c>
      <c r="GZ69">
        <v>35.2845</v>
      </c>
      <c r="HA69">
        <v>1</v>
      </c>
      <c r="HB69">
        <v>0.102642</v>
      </c>
      <c r="HC69">
        <v>2.14606</v>
      </c>
      <c r="HD69">
        <v>20.3206</v>
      </c>
      <c r="HE69">
        <v>5.21534</v>
      </c>
      <c r="HF69">
        <v>12.0099</v>
      </c>
      <c r="HG69">
        <v>4.9885</v>
      </c>
      <c r="HH69">
        <v>3.2885</v>
      </c>
      <c r="HI69">
        <v>993.8</v>
      </c>
      <c r="HJ69">
        <v>9525.200000000001</v>
      </c>
      <c r="HK69">
        <v>5139.4</v>
      </c>
      <c r="HL69">
        <v>24.8</v>
      </c>
      <c r="HM69">
        <v>1.86749</v>
      </c>
      <c r="HN69">
        <v>1.86646</v>
      </c>
      <c r="HO69">
        <v>1.866</v>
      </c>
      <c r="HP69">
        <v>1.86584</v>
      </c>
      <c r="HQ69">
        <v>1.86768</v>
      </c>
      <c r="HR69">
        <v>1.87021</v>
      </c>
      <c r="HS69">
        <v>1.86887</v>
      </c>
      <c r="HT69">
        <v>1.87024</v>
      </c>
      <c r="HU69">
        <v>0</v>
      </c>
      <c r="HV69">
        <v>0</v>
      </c>
      <c r="HW69">
        <v>0</v>
      </c>
      <c r="HX69">
        <v>0</v>
      </c>
      <c r="HY69" t="s">
        <v>421</v>
      </c>
      <c r="HZ69" t="s">
        <v>422</v>
      </c>
      <c r="IA69" t="s">
        <v>423</v>
      </c>
      <c r="IB69" t="s">
        <v>423</v>
      </c>
      <c r="IC69" t="s">
        <v>423</v>
      </c>
      <c r="ID69" t="s">
        <v>423</v>
      </c>
      <c r="IE69">
        <v>0</v>
      </c>
      <c r="IF69">
        <v>100</v>
      </c>
      <c r="IG69">
        <v>100</v>
      </c>
      <c r="IH69">
        <v>-2.49</v>
      </c>
      <c r="II69">
        <v>0.0192</v>
      </c>
      <c r="IJ69">
        <v>-0.2164499368582429</v>
      </c>
      <c r="IK69">
        <v>-0.002077099775823331</v>
      </c>
      <c r="IL69">
        <v>4.593143279902166E-07</v>
      </c>
      <c r="IM69">
        <v>-1.865383991892071E-10</v>
      </c>
      <c r="IN69">
        <v>-0.06087574426827484</v>
      </c>
      <c r="IO69">
        <v>-0.01129461987421345</v>
      </c>
      <c r="IP69">
        <v>0.00116580895745559</v>
      </c>
      <c r="IQ69">
        <v>-1.679085872906199E-05</v>
      </c>
      <c r="IR69">
        <v>2</v>
      </c>
      <c r="IS69">
        <v>2290</v>
      </c>
      <c r="IT69">
        <v>0</v>
      </c>
      <c r="IU69">
        <v>32</v>
      </c>
      <c r="IV69">
        <v>4.4</v>
      </c>
      <c r="IW69">
        <v>4</v>
      </c>
      <c r="IX69">
        <v>2.51587</v>
      </c>
      <c r="IY69">
        <v>2.1936</v>
      </c>
      <c r="IZ69">
        <v>1.39648</v>
      </c>
      <c r="JA69">
        <v>2.35718</v>
      </c>
      <c r="JB69">
        <v>1.49536</v>
      </c>
      <c r="JC69">
        <v>2.32544</v>
      </c>
      <c r="JD69">
        <v>38.4034</v>
      </c>
      <c r="JE69">
        <v>24.035</v>
      </c>
      <c r="JF69">
        <v>18</v>
      </c>
      <c r="JG69">
        <v>512.426</v>
      </c>
      <c r="JH69">
        <v>427.738</v>
      </c>
      <c r="JI69">
        <v>22.5043</v>
      </c>
      <c r="JJ69">
        <v>28.6291</v>
      </c>
      <c r="JK69">
        <v>30.0002</v>
      </c>
      <c r="JL69">
        <v>28.596</v>
      </c>
      <c r="JM69">
        <v>28.5363</v>
      </c>
      <c r="JN69">
        <v>50.3184</v>
      </c>
      <c r="JO69">
        <v>40.0958</v>
      </c>
      <c r="JP69">
        <v>0</v>
      </c>
      <c r="JQ69">
        <v>22.5031</v>
      </c>
      <c r="JR69">
        <v>1263.34</v>
      </c>
      <c r="JS69">
        <v>11.3234</v>
      </c>
      <c r="JT69">
        <v>100.315</v>
      </c>
      <c r="JU69">
        <v>100.241</v>
      </c>
    </row>
    <row r="70" spans="1:281">
      <c r="A70">
        <v>54</v>
      </c>
      <c r="B70">
        <v>1651864506.1</v>
      </c>
      <c r="C70">
        <v>285.5</v>
      </c>
      <c r="D70" t="s">
        <v>528</v>
      </c>
      <c r="E70" t="s">
        <v>529</v>
      </c>
      <c r="F70">
        <v>2</v>
      </c>
      <c r="G70" t="s">
        <v>413</v>
      </c>
      <c r="H70" t="s">
        <v>414</v>
      </c>
      <c r="I70">
        <v>1651864505.1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1298.740296426682</v>
      </c>
      <c r="AK70">
        <v>1281.49606060606</v>
      </c>
      <c r="AL70">
        <v>-3.420846435787563</v>
      </c>
      <c r="AM70">
        <v>66.38192812717227</v>
      </c>
      <c r="AN70">
        <f>(AP70 - AO70 + DI70*1E3/(8.314*(DK70+273.15)) * AR70/DH70 * AQ70) * DH70/(100*CV70) * 1000/(1000 - AP70)</f>
        <v>0</v>
      </c>
      <c r="AO70">
        <v>11.23035159714733</v>
      </c>
      <c r="AP70">
        <v>18.2688838235294</v>
      </c>
      <c r="AQ70">
        <v>-0.0003946376532921873</v>
      </c>
      <c r="AR70">
        <v>80.47224507511959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417</v>
      </c>
      <c r="AY70" t="s">
        <v>417</v>
      </c>
      <c r="AZ70">
        <v>0</v>
      </c>
      <c r="BA70">
        <v>0</v>
      </c>
      <c r="BB70">
        <f>1-AZ70/BA70</f>
        <v>0</v>
      </c>
      <c r="BC70">
        <v>0</v>
      </c>
      <c r="BD70" t="s">
        <v>417</v>
      </c>
      <c r="BE70" t="s">
        <v>417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417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1248</v>
      </c>
      <c r="CA70">
        <v>300</v>
      </c>
      <c r="CB70">
        <v>300</v>
      </c>
      <c r="CC70">
        <v>300</v>
      </c>
      <c r="CD70">
        <v>10442</v>
      </c>
      <c r="CE70">
        <v>1293.69</v>
      </c>
      <c r="CF70">
        <v>-0.00735246</v>
      </c>
      <c r="CG70">
        <v>0.5</v>
      </c>
      <c r="CH70" t="s">
        <v>417</v>
      </c>
      <c r="CI70" t="s">
        <v>417</v>
      </c>
      <c r="CJ70" t="s">
        <v>417</v>
      </c>
      <c r="CK70" t="s">
        <v>417</v>
      </c>
      <c r="CL70" t="s">
        <v>417</v>
      </c>
      <c r="CM70" t="s">
        <v>417</v>
      </c>
      <c r="CN70" t="s">
        <v>417</v>
      </c>
      <c r="CO70" t="s">
        <v>417</v>
      </c>
      <c r="CP70" t="s">
        <v>417</v>
      </c>
      <c r="CQ70" t="s">
        <v>417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418</v>
      </c>
      <c r="CY70">
        <v>2</v>
      </c>
      <c r="CZ70" t="b">
        <v>1</v>
      </c>
      <c r="DA70">
        <v>1651864505.1</v>
      </c>
      <c r="DB70">
        <v>1259.76</v>
      </c>
      <c r="DC70">
        <v>1278.4</v>
      </c>
      <c r="DD70">
        <v>18.26813333333333</v>
      </c>
      <c r="DE70">
        <v>11.24116666666667</v>
      </c>
      <c r="DF70">
        <v>1262.24</v>
      </c>
      <c r="DG70">
        <v>18.2489</v>
      </c>
      <c r="DH70">
        <v>500.0426666666667</v>
      </c>
      <c r="DI70">
        <v>89.93886666666667</v>
      </c>
      <c r="DJ70">
        <v>0.1000756666666667</v>
      </c>
      <c r="DK70">
        <v>25.69103333333333</v>
      </c>
      <c r="DL70">
        <v>24.99103333333333</v>
      </c>
      <c r="DM70">
        <v>999.9</v>
      </c>
      <c r="DN70">
        <v>0</v>
      </c>
      <c r="DO70">
        <v>0</v>
      </c>
      <c r="DP70">
        <v>9963.123333333335</v>
      </c>
      <c r="DQ70">
        <v>0</v>
      </c>
      <c r="DR70">
        <v>3.23193</v>
      </c>
      <c r="DS70">
        <v>-18.64033333333333</v>
      </c>
      <c r="DT70">
        <v>1283.2</v>
      </c>
      <c r="DU70">
        <v>1292.933333333333</v>
      </c>
      <c r="DV70">
        <v>7.026986666666667</v>
      </c>
      <c r="DW70">
        <v>1278.4</v>
      </c>
      <c r="DX70">
        <v>11.24116666666667</v>
      </c>
      <c r="DY70">
        <v>1.643013333333333</v>
      </c>
      <c r="DZ70">
        <v>1.011016666666667</v>
      </c>
      <c r="EA70">
        <v>14.36826666666667</v>
      </c>
      <c r="EB70">
        <v>7.076103333333333</v>
      </c>
      <c r="EC70">
        <v>1499.94</v>
      </c>
      <c r="ED70">
        <v>0.9730036666666667</v>
      </c>
      <c r="EE70">
        <v>0.0269967</v>
      </c>
      <c r="EF70">
        <v>0</v>
      </c>
      <c r="EG70">
        <v>965.6559999999999</v>
      </c>
      <c r="EH70">
        <v>5.00097</v>
      </c>
      <c r="EI70">
        <v>14333.4</v>
      </c>
      <c r="EJ70">
        <v>12491.1</v>
      </c>
      <c r="EK70">
        <v>37.25</v>
      </c>
      <c r="EL70">
        <v>38.687</v>
      </c>
      <c r="EM70">
        <v>37.625</v>
      </c>
      <c r="EN70">
        <v>38.437</v>
      </c>
      <c r="EO70">
        <v>38.125</v>
      </c>
      <c r="EP70">
        <v>1454.58</v>
      </c>
      <c r="EQ70">
        <v>40.36</v>
      </c>
      <c r="ER70">
        <v>0</v>
      </c>
      <c r="ES70">
        <v>285</v>
      </c>
      <c r="ET70">
        <v>0</v>
      </c>
      <c r="EU70">
        <v>969.2769999999999</v>
      </c>
      <c r="EV70">
        <v>-34.46615390718262</v>
      </c>
      <c r="EW70">
        <v>-509.4384624476286</v>
      </c>
      <c r="EX70">
        <v>14384.368</v>
      </c>
      <c r="EY70">
        <v>15</v>
      </c>
      <c r="EZ70">
        <v>1651864261.1</v>
      </c>
      <c r="FA70" t="s">
        <v>419</v>
      </c>
      <c r="FB70">
        <v>1651864241.6</v>
      </c>
      <c r="FC70">
        <v>1651864261.1</v>
      </c>
      <c r="FD70">
        <v>7</v>
      </c>
      <c r="FE70">
        <v>0.438</v>
      </c>
      <c r="FF70">
        <v>0.002</v>
      </c>
      <c r="FG70">
        <v>-0.988</v>
      </c>
      <c r="FH70">
        <v>-0.066</v>
      </c>
      <c r="FI70">
        <v>400</v>
      </c>
      <c r="FJ70">
        <v>11</v>
      </c>
      <c r="FK70">
        <v>0.05</v>
      </c>
      <c r="FL70">
        <v>0.02</v>
      </c>
      <c r="FM70">
        <v>-18.47560975609756</v>
      </c>
      <c r="FN70">
        <v>0.3214912891985857</v>
      </c>
      <c r="FO70">
        <v>0.1484631872000567</v>
      </c>
      <c r="FP70">
        <v>-1</v>
      </c>
      <c r="FQ70">
        <v>7.107365365853658</v>
      </c>
      <c r="FR70">
        <v>-0.5463639721254423</v>
      </c>
      <c r="FS70">
        <v>0.05506528657731437</v>
      </c>
      <c r="FT70">
        <v>-1</v>
      </c>
      <c r="FU70">
        <v>0</v>
      </c>
      <c r="FV70">
        <v>0</v>
      </c>
      <c r="FW70">
        <v>0</v>
      </c>
      <c r="FX70">
        <v>-1</v>
      </c>
      <c r="FY70">
        <v>0</v>
      </c>
      <c r="FZ70">
        <v>0</v>
      </c>
      <c r="GA70" t="s">
        <v>420</v>
      </c>
      <c r="GB70">
        <v>2.98047</v>
      </c>
      <c r="GC70">
        <v>2.70589</v>
      </c>
      <c r="GD70">
        <v>0.197651</v>
      </c>
      <c r="GE70">
        <v>0.197199</v>
      </c>
      <c r="GF70">
        <v>0.08739379999999999</v>
      </c>
      <c r="GG70">
        <v>0.0604536</v>
      </c>
      <c r="GH70">
        <v>25322.3</v>
      </c>
      <c r="GI70">
        <v>25392.8</v>
      </c>
      <c r="GJ70">
        <v>29346.7</v>
      </c>
      <c r="GK70">
        <v>29261.9</v>
      </c>
      <c r="GL70">
        <v>35465.2</v>
      </c>
      <c r="GM70">
        <v>36620.7</v>
      </c>
      <c r="GN70">
        <v>41307.4</v>
      </c>
      <c r="GO70">
        <v>41766.2</v>
      </c>
      <c r="GP70">
        <v>1.9581</v>
      </c>
      <c r="GQ70">
        <v>1.84865</v>
      </c>
      <c r="GR70">
        <v>-0.0251271</v>
      </c>
      <c r="GS70">
        <v>0</v>
      </c>
      <c r="GT70">
        <v>25.4016</v>
      </c>
      <c r="GU70">
        <v>999.9</v>
      </c>
      <c r="GV70">
        <v>31.9</v>
      </c>
      <c r="GW70">
        <v>34.2</v>
      </c>
      <c r="GX70">
        <v>19.1622</v>
      </c>
      <c r="GY70">
        <v>62.5974</v>
      </c>
      <c r="GZ70">
        <v>34.9159</v>
      </c>
      <c r="HA70">
        <v>1</v>
      </c>
      <c r="HB70">
        <v>0.102607</v>
      </c>
      <c r="HC70">
        <v>2.16098</v>
      </c>
      <c r="HD70">
        <v>20.3203</v>
      </c>
      <c r="HE70">
        <v>5.21534</v>
      </c>
      <c r="HF70">
        <v>12.0099</v>
      </c>
      <c r="HG70">
        <v>4.98875</v>
      </c>
      <c r="HH70">
        <v>3.2885</v>
      </c>
      <c r="HI70">
        <v>993.8</v>
      </c>
      <c r="HJ70">
        <v>9525.200000000001</v>
      </c>
      <c r="HK70">
        <v>5139.4</v>
      </c>
      <c r="HL70">
        <v>24.8</v>
      </c>
      <c r="HM70">
        <v>1.86751</v>
      </c>
      <c r="HN70">
        <v>1.86646</v>
      </c>
      <c r="HO70">
        <v>1.866</v>
      </c>
      <c r="HP70">
        <v>1.86585</v>
      </c>
      <c r="HQ70">
        <v>1.86769</v>
      </c>
      <c r="HR70">
        <v>1.87021</v>
      </c>
      <c r="HS70">
        <v>1.86889</v>
      </c>
      <c r="HT70">
        <v>1.87026</v>
      </c>
      <c r="HU70">
        <v>0</v>
      </c>
      <c r="HV70">
        <v>0</v>
      </c>
      <c r="HW70">
        <v>0</v>
      </c>
      <c r="HX70">
        <v>0</v>
      </c>
      <c r="HY70" t="s">
        <v>421</v>
      </c>
      <c r="HZ70" t="s">
        <v>422</v>
      </c>
      <c r="IA70" t="s">
        <v>423</v>
      </c>
      <c r="IB70" t="s">
        <v>423</v>
      </c>
      <c r="IC70" t="s">
        <v>423</v>
      </c>
      <c r="ID70" t="s">
        <v>423</v>
      </c>
      <c r="IE70">
        <v>0</v>
      </c>
      <c r="IF70">
        <v>100</v>
      </c>
      <c r="IG70">
        <v>100</v>
      </c>
      <c r="IH70">
        <v>-2.48</v>
      </c>
      <c r="II70">
        <v>0.0192</v>
      </c>
      <c r="IJ70">
        <v>-0.2164499368582429</v>
      </c>
      <c r="IK70">
        <v>-0.002077099775823331</v>
      </c>
      <c r="IL70">
        <v>4.593143279902166E-07</v>
      </c>
      <c r="IM70">
        <v>-1.865383991892071E-10</v>
      </c>
      <c r="IN70">
        <v>-0.06087574426827484</v>
      </c>
      <c r="IO70">
        <v>-0.01129461987421345</v>
      </c>
      <c r="IP70">
        <v>0.00116580895745559</v>
      </c>
      <c r="IQ70">
        <v>-1.679085872906199E-05</v>
      </c>
      <c r="IR70">
        <v>2</v>
      </c>
      <c r="IS70">
        <v>2290</v>
      </c>
      <c r="IT70">
        <v>0</v>
      </c>
      <c r="IU70">
        <v>32</v>
      </c>
      <c r="IV70">
        <v>4.4</v>
      </c>
      <c r="IW70">
        <v>4.1</v>
      </c>
      <c r="IX70">
        <v>2.5061</v>
      </c>
      <c r="IY70">
        <v>2.19238</v>
      </c>
      <c r="IZ70">
        <v>1.39648</v>
      </c>
      <c r="JA70">
        <v>2.35596</v>
      </c>
      <c r="JB70">
        <v>1.49536</v>
      </c>
      <c r="JC70">
        <v>2.35596</v>
      </c>
      <c r="JD70">
        <v>38.4279</v>
      </c>
      <c r="JE70">
        <v>24.035</v>
      </c>
      <c r="JF70">
        <v>18</v>
      </c>
      <c r="JG70">
        <v>512.4690000000001</v>
      </c>
      <c r="JH70">
        <v>427.739</v>
      </c>
      <c r="JI70">
        <v>22.5059</v>
      </c>
      <c r="JJ70">
        <v>28.6291</v>
      </c>
      <c r="JK70">
        <v>30.0001</v>
      </c>
      <c r="JL70">
        <v>28.5973</v>
      </c>
      <c r="JM70">
        <v>28.5364</v>
      </c>
      <c r="JN70">
        <v>50.1138</v>
      </c>
      <c r="JO70">
        <v>39.8036</v>
      </c>
      <c r="JP70">
        <v>0</v>
      </c>
      <c r="JQ70">
        <v>22.5031</v>
      </c>
      <c r="JR70">
        <v>1256.67</v>
      </c>
      <c r="JS70">
        <v>11.3406</v>
      </c>
      <c r="JT70">
        <v>100.314</v>
      </c>
      <c r="JU70">
        <v>100.241</v>
      </c>
    </row>
    <row r="71" spans="1:281">
      <c r="A71">
        <v>55</v>
      </c>
      <c r="B71">
        <v>1651864508.1</v>
      </c>
      <c r="C71">
        <v>287.5</v>
      </c>
      <c r="D71" t="s">
        <v>530</v>
      </c>
      <c r="E71" t="s">
        <v>531</v>
      </c>
      <c r="F71">
        <v>2</v>
      </c>
      <c r="G71" t="s">
        <v>413</v>
      </c>
      <c r="H71" t="s">
        <v>414</v>
      </c>
      <c r="I71">
        <v>1651864506.725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1292.150631193506</v>
      </c>
      <c r="AK71">
        <v>1274.818242424242</v>
      </c>
      <c r="AL71">
        <v>-3.366052134942028</v>
      </c>
      <c r="AM71">
        <v>66.38192812717227</v>
      </c>
      <c r="AN71">
        <f>(AP71 - AO71 + DI71*1E3/(8.314*(DK71+273.15)) * AR71/DH71 * AQ71) * DH71/(100*CV71) * 1000/(1000 - AP71)</f>
        <v>0</v>
      </c>
      <c r="AO71">
        <v>11.23927491759981</v>
      </c>
      <c r="AP71">
        <v>18.26531617647058</v>
      </c>
      <c r="AQ71">
        <v>0.0001511147570880214</v>
      </c>
      <c r="AR71">
        <v>80.47224507511959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417</v>
      </c>
      <c r="AY71" t="s">
        <v>417</v>
      </c>
      <c r="AZ71">
        <v>0</v>
      </c>
      <c r="BA71">
        <v>0</v>
      </c>
      <c r="BB71">
        <f>1-AZ71/BA71</f>
        <v>0</v>
      </c>
      <c r="BC71">
        <v>0</v>
      </c>
      <c r="BD71" t="s">
        <v>417</v>
      </c>
      <c r="BE71" t="s">
        <v>417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417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1248</v>
      </c>
      <c r="CA71">
        <v>300</v>
      </c>
      <c r="CB71">
        <v>300</v>
      </c>
      <c r="CC71">
        <v>300</v>
      </c>
      <c r="CD71">
        <v>10442</v>
      </c>
      <c r="CE71">
        <v>1293.69</v>
      </c>
      <c r="CF71">
        <v>-0.00735246</v>
      </c>
      <c r="CG71">
        <v>0.5</v>
      </c>
      <c r="CH71" t="s">
        <v>417</v>
      </c>
      <c r="CI71" t="s">
        <v>417</v>
      </c>
      <c r="CJ71" t="s">
        <v>417</v>
      </c>
      <c r="CK71" t="s">
        <v>417</v>
      </c>
      <c r="CL71" t="s">
        <v>417</v>
      </c>
      <c r="CM71" t="s">
        <v>417</v>
      </c>
      <c r="CN71" t="s">
        <v>417</v>
      </c>
      <c r="CO71" t="s">
        <v>417</v>
      </c>
      <c r="CP71" t="s">
        <v>417</v>
      </c>
      <c r="CQ71" t="s">
        <v>417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418</v>
      </c>
      <c r="CY71">
        <v>2</v>
      </c>
      <c r="CZ71" t="b">
        <v>1</v>
      </c>
      <c r="DA71">
        <v>1651864506.725</v>
      </c>
      <c r="DB71">
        <v>1254.4075</v>
      </c>
      <c r="DC71">
        <v>1272.91</v>
      </c>
      <c r="DD71">
        <v>18.26625</v>
      </c>
      <c r="DE71">
        <v>11.2441</v>
      </c>
      <c r="DF71">
        <v>1256.88</v>
      </c>
      <c r="DG71">
        <v>18.24705</v>
      </c>
      <c r="DH71">
        <v>500.042</v>
      </c>
      <c r="DI71">
        <v>89.93819999999999</v>
      </c>
      <c r="DJ71">
        <v>0.09994877499999999</v>
      </c>
      <c r="DK71">
        <v>25.69095</v>
      </c>
      <c r="DL71">
        <v>24.991875</v>
      </c>
      <c r="DM71">
        <v>999.9</v>
      </c>
      <c r="DN71">
        <v>0</v>
      </c>
      <c r="DO71">
        <v>0</v>
      </c>
      <c r="DP71">
        <v>9977.342500000001</v>
      </c>
      <c r="DQ71">
        <v>0</v>
      </c>
      <c r="DR71">
        <v>3.23193</v>
      </c>
      <c r="DS71">
        <v>-18.50565</v>
      </c>
      <c r="DT71">
        <v>1277.745</v>
      </c>
      <c r="DU71">
        <v>1287.3875</v>
      </c>
      <c r="DV71">
        <v>7.0221125</v>
      </c>
      <c r="DW71">
        <v>1272.91</v>
      </c>
      <c r="DX71">
        <v>11.2441</v>
      </c>
      <c r="DY71">
        <v>1.6428325</v>
      </c>
      <c r="DZ71">
        <v>1.011275</v>
      </c>
      <c r="EA71">
        <v>14.366525</v>
      </c>
      <c r="EB71">
        <v>7.079857499999999</v>
      </c>
      <c r="EC71">
        <v>1500.0575</v>
      </c>
      <c r="ED71">
        <v>0.97300575</v>
      </c>
      <c r="EE71">
        <v>0.02699445</v>
      </c>
      <c r="EF71">
        <v>0</v>
      </c>
      <c r="EG71">
        <v>964.62225</v>
      </c>
      <c r="EH71">
        <v>5.00097</v>
      </c>
      <c r="EI71">
        <v>14320.825</v>
      </c>
      <c r="EJ71">
        <v>12492.1</v>
      </c>
      <c r="EK71">
        <v>37.25</v>
      </c>
      <c r="EL71">
        <v>38.687</v>
      </c>
      <c r="EM71">
        <v>37.625</v>
      </c>
      <c r="EN71">
        <v>38.437</v>
      </c>
      <c r="EO71">
        <v>38.125</v>
      </c>
      <c r="EP71">
        <v>1454.6975</v>
      </c>
      <c r="EQ71">
        <v>40.36</v>
      </c>
      <c r="ER71">
        <v>0</v>
      </c>
      <c r="ES71">
        <v>286.7999999523163</v>
      </c>
      <c r="ET71">
        <v>0</v>
      </c>
      <c r="EU71">
        <v>968.4021153846154</v>
      </c>
      <c r="EV71">
        <v>-34.01801710012692</v>
      </c>
      <c r="EW71">
        <v>-501.9213676030648</v>
      </c>
      <c r="EX71">
        <v>14371.88461538462</v>
      </c>
      <c r="EY71">
        <v>15</v>
      </c>
      <c r="EZ71">
        <v>1651864261.1</v>
      </c>
      <c r="FA71" t="s">
        <v>419</v>
      </c>
      <c r="FB71">
        <v>1651864241.6</v>
      </c>
      <c r="FC71">
        <v>1651864261.1</v>
      </c>
      <c r="FD71">
        <v>7</v>
      </c>
      <c r="FE71">
        <v>0.438</v>
      </c>
      <c r="FF71">
        <v>0.002</v>
      </c>
      <c r="FG71">
        <v>-0.988</v>
      </c>
      <c r="FH71">
        <v>-0.066</v>
      </c>
      <c r="FI71">
        <v>400</v>
      </c>
      <c r="FJ71">
        <v>11</v>
      </c>
      <c r="FK71">
        <v>0.05</v>
      </c>
      <c r="FL71">
        <v>0.02</v>
      </c>
      <c r="FM71">
        <v>-18.4586275</v>
      </c>
      <c r="FN71">
        <v>-0.1080326454033804</v>
      </c>
      <c r="FO71">
        <v>0.1356361640336015</v>
      </c>
      <c r="FP71">
        <v>-1</v>
      </c>
      <c r="FQ71">
        <v>7.094557249999999</v>
      </c>
      <c r="FR71">
        <v>-0.5622194746716735</v>
      </c>
      <c r="FS71">
        <v>0.05506363727486133</v>
      </c>
      <c r="FT71">
        <v>-1</v>
      </c>
      <c r="FU71">
        <v>0</v>
      </c>
      <c r="FV71">
        <v>0</v>
      </c>
      <c r="FW71">
        <v>0</v>
      </c>
      <c r="FX71">
        <v>-1</v>
      </c>
      <c r="FY71">
        <v>0</v>
      </c>
      <c r="FZ71">
        <v>0</v>
      </c>
      <c r="GA71" t="s">
        <v>420</v>
      </c>
      <c r="GB71">
        <v>2.98059</v>
      </c>
      <c r="GC71">
        <v>2.7059</v>
      </c>
      <c r="GD71">
        <v>0.197009</v>
      </c>
      <c r="GE71">
        <v>0.196537</v>
      </c>
      <c r="GF71">
        <v>0.0873753</v>
      </c>
      <c r="GG71">
        <v>0.0604966</v>
      </c>
      <c r="GH71">
        <v>25342.5</v>
      </c>
      <c r="GI71">
        <v>25413.9</v>
      </c>
      <c r="GJ71">
        <v>29346.6</v>
      </c>
      <c r="GK71">
        <v>29262</v>
      </c>
      <c r="GL71">
        <v>35465.8</v>
      </c>
      <c r="GM71">
        <v>36619.2</v>
      </c>
      <c r="GN71">
        <v>41307.1</v>
      </c>
      <c r="GO71">
        <v>41766.5</v>
      </c>
      <c r="GP71">
        <v>1.95817</v>
      </c>
      <c r="GQ71">
        <v>1.8486</v>
      </c>
      <c r="GR71">
        <v>-0.0247322</v>
      </c>
      <c r="GS71">
        <v>0</v>
      </c>
      <c r="GT71">
        <v>25.4016</v>
      </c>
      <c r="GU71">
        <v>999.9</v>
      </c>
      <c r="GV71">
        <v>31.9</v>
      </c>
      <c r="GW71">
        <v>34.2</v>
      </c>
      <c r="GX71">
        <v>19.1653</v>
      </c>
      <c r="GY71">
        <v>62.2474</v>
      </c>
      <c r="GZ71">
        <v>35.2123</v>
      </c>
      <c r="HA71">
        <v>1</v>
      </c>
      <c r="HB71">
        <v>0.102561</v>
      </c>
      <c r="HC71">
        <v>2.17104</v>
      </c>
      <c r="HD71">
        <v>20.3201</v>
      </c>
      <c r="HE71">
        <v>5.21549</v>
      </c>
      <c r="HF71">
        <v>12.0099</v>
      </c>
      <c r="HG71">
        <v>4.9888</v>
      </c>
      <c r="HH71">
        <v>3.2885</v>
      </c>
      <c r="HI71">
        <v>993.8</v>
      </c>
      <c r="HJ71">
        <v>9525.200000000001</v>
      </c>
      <c r="HK71">
        <v>5139.4</v>
      </c>
      <c r="HL71">
        <v>24.8</v>
      </c>
      <c r="HM71">
        <v>1.86751</v>
      </c>
      <c r="HN71">
        <v>1.86646</v>
      </c>
      <c r="HO71">
        <v>1.866</v>
      </c>
      <c r="HP71">
        <v>1.86584</v>
      </c>
      <c r="HQ71">
        <v>1.86769</v>
      </c>
      <c r="HR71">
        <v>1.87017</v>
      </c>
      <c r="HS71">
        <v>1.86889</v>
      </c>
      <c r="HT71">
        <v>1.87025</v>
      </c>
      <c r="HU71">
        <v>0</v>
      </c>
      <c r="HV71">
        <v>0</v>
      </c>
      <c r="HW71">
        <v>0</v>
      </c>
      <c r="HX71">
        <v>0</v>
      </c>
      <c r="HY71" t="s">
        <v>421</v>
      </c>
      <c r="HZ71" t="s">
        <v>422</v>
      </c>
      <c r="IA71" t="s">
        <v>423</v>
      </c>
      <c r="IB71" t="s">
        <v>423</v>
      </c>
      <c r="IC71" t="s">
        <v>423</v>
      </c>
      <c r="ID71" t="s">
        <v>423</v>
      </c>
      <c r="IE71">
        <v>0</v>
      </c>
      <c r="IF71">
        <v>100</v>
      </c>
      <c r="IG71">
        <v>100</v>
      </c>
      <c r="IH71">
        <v>-2.47</v>
      </c>
      <c r="II71">
        <v>0.0191</v>
      </c>
      <c r="IJ71">
        <v>-0.2164499368582429</v>
      </c>
      <c r="IK71">
        <v>-0.002077099775823331</v>
      </c>
      <c r="IL71">
        <v>4.593143279902166E-07</v>
      </c>
      <c r="IM71">
        <v>-1.865383991892071E-10</v>
      </c>
      <c r="IN71">
        <v>-0.06087574426827484</v>
      </c>
      <c r="IO71">
        <v>-0.01129461987421345</v>
      </c>
      <c r="IP71">
        <v>0.00116580895745559</v>
      </c>
      <c r="IQ71">
        <v>-1.679085872906199E-05</v>
      </c>
      <c r="IR71">
        <v>2</v>
      </c>
      <c r="IS71">
        <v>2290</v>
      </c>
      <c r="IT71">
        <v>0</v>
      </c>
      <c r="IU71">
        <v>32</v>
      </c>
      <c r="IV71">
        <v>4.4</v>
      </c>
      <c r="IW71">
        <v>4.1</v>
      </c>
      <c r="IX71">
        <v>2.49512</v>
      </c>
      <c r="IY71">
        <v>2.19849</v>
      </c>
      <c r="IZ71">
        <v>1.39648</v>
      </c>
      <c r="JA71">
        <v>2.35596</v>
      </c>
      <c r="JB71">
        <v>1.49536</v>
      </c>
      <c r="JC71">
        <v>2.29492</v>
      </c>
      <c r="JD71">
        <v>38.4279</v>
      </c>
      <c r="JE71">
        <v>24.035</v>
      </c>
      <c r="JF71">
        <v>18</v>
      </c>
      <c r="JG71">
        <v>512.529</v>
      </c>
      <c r="JH71">
        <v>427.709</v>
      </c>
      <c r="JI71">
        <v>22.5055</v>
      </c>
      <c r="JJ71">
        <v>28.6297</v>
      </c>
      <c r="JK71">
        <v>30.0001</v>
      </c>
      <c r="JL71">
        <v>28.5984</v>
      </c>
      <c r="JM71">
        <v>28.5364</v>
      </c>
      <c r="JN71">
        <v>49.9046</v>
      </c>
      <c r="JO71">
        <v>39.8036</v>
      </c>
      <c r="JP71">
        <v>0</v>
      </c>
      <c r="JQ71">
        <v>22.5031</v>
      </c>
      <c r="JR71">
        <v>1249.99</v>
      </c>
      <c r="JS71">
        <v>11.3531</v>
      </c>
      <c r="JT71">
        <v>100.313</v>
      </c>
      <c r="JU71">
        <v>100.242</v>
      </c>
    </row>
    <row r="72" spans="1:281">
      <c r="A72">
        <v>56</v>
      </c>
      <c r="B72">
        <v>1651864510.1</v>
      </c>
      <c r="C72">
        <v>289.5</v>
      </c>
      <c r="D72" t="s">
        <v>532</v>
      </c>
      <c r="E72" t="s">
        <v>533</v>
      </c>
      <c r="F72">
        <v>2</v>
      </c>
      <c r="G72" t="s">
        <v>413</v>
      </c>
      <c r="H72" t="s">
        <v>414</v>
      </c>
      <c r="I72">
        <v>1651864509.1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1285.273094509881</v>
      </c>
      <c r="AK72">
        <v>1268.085454545454</v>
      </c>
      <c r="AL72">
        <v>-3.359035000878077</v>
      </c>
      <c r="AM72">
        <v>66.38192812717227</v>
      </c>
      <c r="AN72">
        <f>(AP72 - AO72 + DI72*1E3/(8.314*(DK72+273.15)) * AR72/DH72 * AQ72) * DH72/(100*CV72) * 1000/(1000 - AP72)</f>
        <v>0</v>
      </c>
      <c r="AO72">
        <v>11.24079649300467</v>
      </c>
      <c r="AP72">
        <v>18.26129352941176</v>
      </c>
      <c r="AQ72">
        <v>0.0001064175547565885</v>
      </c>
      <c r="AR72">
        <v>80.47224507511959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417</v>
      </c>
      <c r="AY72" t="s">
        <v>417</v>
      </c>
      <c r="AZ72">
        <v>0</v>
      </c>
      <c r="BA72">
        <v>0</v>
      </c>
      <c r="BB72">
        <f>1-AZ72/BA72</f>
        <v>0</v>
      </c>
      <c r="BC72">
        <v>0</v>
      </c>
      <c r="BD72" t="s">
        <v>417</v>
      </c>
      <c r="BE72" t="s">
        <v>417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417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1248</v>
      </c>
      <c r="CA72">
        <v>300</v>
      </c>
      <c r="CB72">
        <v>300</v>
      </c>
      <c r="CC72">
        <v>300</v>
      </c>
      <c r="CD72">
        <v>10442</v>
      </c>
      <c r="CE72">
        <v>1293.69</v>
      </c>
      <c r="CF72">
        <v>-0.00735246</v>
      </c>
      <c r="CG72">
        <v>0.5</v>
      </c>
      <c r="CH72" t="s">
        <v>417</v>
      </c>
      <c r="CI72" t="s">
        <v>417</v>
      </c>
      <c r="CJ72" t="s">
        <v>417</v>
      </c>
      <c r="CK72" t="s">
        <v>417</v>
      </c>
      <c r="CL72" t="s">
        <v>417</v>
      </c>
      <c r="CM72" t="s">
        <v>417</v>
      </c>
      <c r="CN72" t="s">
        <v>417</v>
      </c>
      <c r="CO72" t="s">
        <v>417</v>
      </c>
      <c r="CP72" t="s">
        <v>417</v>
      </c>
      <c r="CQ72" t="s">
        <v>417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418</v>
      </c>
      <c r="CY72">
        <v>2</v>
      </c>
      <c r="CZ72" t="b">
        <v>1</v>
      </c>
      <c r="DA72">
        <v>1651864509.1</v>
      </c>
      <c r="DB72">
        <v>1246.583333333333</v>
      </c>
      <c r="DC72">
        <v>1264.793333333333</v>
      </c>
      <c r="DD72">
        <v>18.26293333333333</v>
      </c>
      <c r="DE72">
        <v>11.2609</v>
      </c>
      <c r="DF72">
        <v>1249.04</v>
      </c>
      <c r="DG72">
        <v>18.24376666666667</v>
      </c>
      <c r="DH72">
        <v>500.0113333333334</v>
      </c>
      <c r="DI72">
        <v>89.93783333333333</v>
      </c>
      <c r="DJ72">
        <v>0.09976676666666666</v>
      </c>
      <c r="DK72">
        <v>25.69063333333333</v>
      </c>
      <c r="DL72">
        <v>24.99766666666666</v>
      </c>
      <c r="DM72">
        <v>999.9</v>
      </c>
      <c r="DN72">
        <v>0</v>
      </c>
      <c r="DO72">
        <v>0</v>
      </c>
      <c r="DP72">
        <v>10004.96666666667</v>
      </c>
      <c r="DQ72">
        <v>0</v>
      </c>
      <c r="DR72">
        <v>3.23193</v>
      </c>
      <c r="DS72">
        <v>-18.2096</v>
      </c>
      <c r="DT72">
        <v>1269.773333333333</v>
      </c>
      <c r="DU72">
        <v>1279.2</v>
      </c>
      <c r="DV72">
        <v>7.00199</v>
      </c>
      <c r="DW72">
        <v>1264.793333333333</v>
      </c>
      <c r="DX72">
        <v>11.2609</v>
      </c>
      <c r="DY72">
        <v>1.64253</v>
      </c>
      <c r="DZ72">
        <v>1.012783333333333</v>
      </c>
      <c r="EA72">
        <v>14.36363333333333</v>
      </c>
      <c r="EB72">
        <v>7.101576666666666</v>
      </c>
      <c r="EC72">
        <v>1499.923333333333</v>
      </c>
      <c r="ED72">
        <v>0.9730036666666667</v>
      </c>
      <c r="EE72">
        <v>0.0269967</v>
      </c>
      <c r="EF72">
        <v>0</v>
      </c>
      <c r="EG72">
        <v>963.494</v>
      </c>
      <c r="EH72">
        <v>5.00097</v>
      </c>
      <c r="EI72">
        <v>14299.96666666667</v>
      </c>
      <c r="EJ72">
        <v>12490.96666666667</v>
      </c>
      <c r="EK72">
        <v>37.25</v>
      </c>
      <c r="EL72">
        <v>38.687</v>
      </c>
      <c r="EM72">
        <v>37.625</v>
      </c>
      <c r="EN72">
        <v>38.437</v>
      </c>
      <c r="EO72">
        <v>38.125</v>
      </c>
      <c r="EP72">
        <v>1454.563333333334</v>
      </c>
      <c r="EQ72">
        <v>40.36</v>
      </c>
      <c r="ER72">
        <v>0</v>
      </c>
      <c r="ES72">
        <v>289.2000000476837</v>
      </c>
      <c r="ET72">
        <v>0</v>
      </c>
      <c r="EU72">
        <v>967.064846153846</v>
      </c>
      <c r="EV72">
        <v>-33.80129910845935</v>
      </c>
      <c r="EW72">
        <v>-494.9606831896582</v>
      </c>
      <c r="EX72">
        <v>14351.93846153846</v>
      </c>
      <c r="EY72">
        <v>15</v>
      </c>
      <c r="EZ72">
        <v>1651864261.1</v>
      </c>
      <c r="FA72" t="s">
        <v>419</v>
      </c>
      <c r="FB72">
        <v>1651864241.6</v>
      </c>
      <c r="FC72">
        <v>1651864261.1</v>
      </c>
      <c r="FD72">
        <v>7</v>
      </c>
      <c r="FE72">
        <v>0.438</v>
      </c>
      <c r="FF72">
        <v>0.002</v>
      </c>
      <c r="FG72">
        <v>-0.988</v>
      </c>
      <c r="FH72">
        <v>-0.066</v>
      </c>
      <c r="FI72">
        <v>400</v>
      </c>
      <c r="FJ72">
        <v>11</v>
      </c>
      <c r="FK72">
        <v>0.05</v>
      </c>
      <c r="FL72">
        <v>0.02</v>
      </c>
      <c r="FM72">
        <v>-18.41878536585366</v>
      </c>
      <c r="FN72">
        <v>-0.001488501742199337</v>
      </c>
      <c r="FO72">
        <v>0.1410585997602755</v>
      </c>
      <c r="FP72">
        <v>-1</v>
      </c>
      <c r="FQ72">
        <v>7.076575121951219</v>
      </c>
      <c r="FR72">
        <v>-0.5488787456445876</v>
      </c>
      <c r="FS72">
        <v>0.05520108036773933</v>
      </c>
      <c r="FT72">
        <v>-1</v>
      </c>
      <c r="FU72">
        <v>0</v>
      </c>
      <c r="FV72">
        <v>0</v>
      </c>
      <c r="FW72">
        <v>0</v>
      </c>
      <c r="FX72">
        <v>-1</v>
      </c>
      <c r="FY72">
        <v>0</v>
      </c>
      <c r="FZ72">
        <v>0</v>
      </c>
      <c r="GA72" t="s">
        <v>420</v>
      </c>
      <c r="GB72">
        <v>2.98052</v>
      </c>
      <c r="GC72">
        <v>2.70602</v>
      </c>
      <c r="GD72">
        <v>0.196354</v>
      </c>
      <c r="GE72">
        <v>0.195899</v>
      </c>
      <c r="GF72">
        <v>0.0873703</v>
      </c>
      <c r="GG72">
        <v>0.06057</v>
      </c>
      <c r="GH72">
        <v>25362.9</v>
      </c>
      <c r="GI72">
        <v>25434.1</v>
      </c>
      <c r="GJ72">
        <v>29346.3</v>
      </c>
      <c r="GK72">
        <v>29262.1</v>
      </c>
      <c r="GL72">
        <v>35465.8</v>
      </c>
      <c r="GM72">
        <v>36616.3</v>
      </c>
      <c r="GN72">
        <v>41306.9</v>
      </c>
      <c r="GO72">
        <v>41766.5</v>
      </c>
      <c r="GP72">
        <v>1.95788</v>
      </c>
      <c r="GQ72">
        <v>1.84842</v>
      </c>
      <c r="GR72">
        <v>-0.0243299</v>
      </c>
      <c r="GS72">
        <v>0</v>
      </c>
      <c r="GT72">
        <v>25.4016</v>
      </c>
      <c r="GU72">
        <v>999.9</v>
      </c>
      <c r="GV72">
        <v>31.9</v>
      </c>
      <c r="GW72">
        <v>34.2</v>
      </c>
      <c r="GX72">
        <v>19.1639</v>
      </c>
      <c r="GY72">
        <v>62.5574</v>
      </c>
      <c r="GZ72">
        <v>35.1042</v>
      </c>
      <c r="HA72">
        <v>1</v>
      </c>
      <c r="HB72">
        <v>0.102612</v>
      </c>
      <c r="HC72">
        <v>2.16897</v>
      </c>
      <c r="HD72">
        <v>20.32</v>
      </c>
      <c r="HE72">
        <v>5.21534</v>
      </c>
      <c r="HF72">
        <v>12.0099</v>
      </c>
      <c r="HG72">
        <v>4.9886</v>
      </c>
      <c r="HH72">
        <v>3.28848</v>
      </c>
      <c r="HI72">
        <v>993.8</v>
      </c>
      <c r="HJ72">
        <v>9525.200000000001</v>
      </c>
      <c r="HK72">
        <v>5139.4</v>
      </c>
      <c r="HL72">
        <v>24.8</v>
      </c>
      <c r="HM72">
        <v>1.86749</v>
      </c>
      <c r="HN72">
        <v>1.86646</v>
      </c>
      <c r="HO72">
        <v>1.866</v>
      </c>
      <c r="HP72">
        <v>1.86584</v>
      </c>
      <c r="HQ72">
        <v>1.86768</v>
      </c>
      <c r="HR72">
        <v>1.87016</v>
      </c>
      <c r="HS72">
        <v>1.86889</v>
      </c>
      <c r="HT72">
        <v>1.87024</v>
      </c>
      <c r="HU72">
        <v>0</v>
      </c>
      <c r="HV72">
        <v>0</v>
      </c>
      <c r="HW72">
        <v>0</v>
      </c>
      <c r="HX72">
        <v>0</v>
      </c>
      <c r="HY72" t="s">
        <v>421</v>
      </c>
      <c r="HZ72" t="s">
        <v>422</v>
      </c>
      <c r="IA72" t="s">
        <v>423</v>
      </c>
      <c r="IB72" t="s">
        <v>423</v>
      </c>
      <c r="IC72" t="s">
        <v>423</v>
      </c>
      <c r="ID72" t="s">
        <v>423</v>
      </c>
      <c r="IE72">
        <v>0</v>
      </c>
      <c r="IF72">
        <v>100</v>
      </c>
      <c r="IG72">
        <v>100</v>
      </c>
      <c r="IH72">
        <v>-2.45</v>
      </c>
      <c r="II72">
        <v>0.0192</v>
      </c>
      <c r="IJ72">
        <v>-0.2164499368582429</v>
      </c>
      <c r="IK72">
        <v>-0.002077099775823331</v>
      </c>
      <c r="IL72">
        <v>4.593143279902166E-07</v>
      </c>
      <c r="IM72">
        <v>-1.865383991892071E-10</v>
      </c>
      <c r="IN72">
        <v>-0.06087574426827484</v>
      </c>
      <c r="IO72">
        <v>-0.01129461987421345</v>
      </c>
      <c r="IP72">
        <v>0.00116580895745559</v>
      </c>
      <c r="IQ72">
        <v>-1.679085872906199E-05</v>
      </c>
      <c r="IR72">
        <v>2</v>
      </c>
      <c r="IS72">
        <v>2290</v>
      </c>
      <c r="IT72">
        <v>0</v>
      </c>
      <c r="IU72">
        <v>32</v>
      </c>
      <c r="IV72">
        <v>4.5</v>
      </c>
      <c r="IW72">
        <v>4.2</v>
      </c>
      <c r="IX72">
        <v>2.48413</v>
      </c>
      <c r="IY72">
        <v>2.19116</v>
      </c>
      <c r="IZ72">
        <v>1.39648</v>
      </c>
      <c r="JA72">
        <v>2.35718</v>
      </c>
      <c r="JB72">
        <v>1.49536</v>
      </c>
      <c r="JC72">
        <v>2.3645</v>
      </c>
      <c r="JD72">
        <v>38.4034</v>
      </c>
      <c r="JE72">
        <v>24.035</v>
      </c>
      <c r="JF72">
        <v>18</v>
      </c>
      <c r="JG72">
        <v>512.332</v>
      </c>
      <c r="JH72">
        <v>427.608</v>
      </c>
      <c r="JI72">
        <v>22.5045</v>
      </c>
      <c r="JJ72">
        <v>28.631</v>
      </c>
      <c r="JK72">
        <v>30.0001</v>
      </c>
      <c r="JL72">
        <v>28.5984</v>
      </c>
      <c r="JM72">
        <v>28.5369</v>
      </c>
      <c r="JN72">
        <v>49.6877</v>
      </c>
      <c r="JO72">
        <v>39.8036</v>
      </c>
      <c r="JP72">
        <v>0</v>
      </c>
      <c r="JQ72">
        <v>22.504</v>
      </c>
      <c r="JR72">
        <v>1243.31</v>
      </c>
      <c r="JS72">
        <v>11.3677</v>
      </c>
      <c r="JT72">
        <v>100.313</v>
      </c>
      <c r="JU72">
        <v>100.242</v>
      </c>
    </row>
    <row r="73" spans="1:281">
      <c r="A73">
        <v>57</v>
      </c>
      <c r="B73">
        <v>1651864512.1</v>
      </c>
      <c r="C73">
        <v>291.5</v>
      </c>
      <c r="D73" t="s">
        <v>534</v>
      </c>
      <c r="E73" t="s">
        <v>535</v>
      </c>
      <c r="F73">
        <v>2</v>
      </c>
      <c r="G73" t="s">
        <v>413</v>
      </c>
      <c r="H73" t="s">
        <v>414</v>
      </c>
      <c r="I73">
        <v>1651864510.725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1278.444945047291</v>
      </c>
      <c r="AK73">
        <v>1261.247575757575</v>
      </c>
      <c r="AL73">
        <v>-3.402732270437617</v>
      </c>
      <c r="AM73">
        <v>66.38192812717227</v>
      </c>
      <c r="AN73">
        <f>(AP73 - AO73 + DI73*1E3/(8.314*(DK73+273.15)) * AR73/DH73 * AQ73) * DH73/(100*CV73) * 1000/(1000 - AP73)</f>
        <v>0</v>
      </c>
      <c r="AO73">
        <v>11.24883136224975</v>
      </c>
      <c r="AP73">
        <v>18.26178970588235</v>
      </c>
      <c r="AQ73">
        <v>-0.0002411246282539535</v>
      </c>
      <c r="AR73">
        <v>80.47224507511959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417</v>
      </c>
      <c r="AY73" t="s">
        <v>417</v>
      </c>
      <c r="AZ73">
        <v>0</v>
      </c>
      <c r="BA73">
        <v>0</v>
      </c>
      <c r="BB73">
        <f>1-AZ73/BA73</f>
        <v>0</v>
      </c>
      <c r="BC73">
        <v>0</v>
      </c>
      <c r="BD73" t="s">
        <v>417</v>
      </c>
      <c r="BE73" t="s">
        <v>417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417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1248</v>
      </c>
      <c r="CA73">
        <v>300</v>
      </c>
      <c r="CB73">
        <v>300</v>
      </c>
      <c r="CC73">
        <v>300</v>
      </c>
      <c r="CD73">
        <v>10442</v>
      </c>
      <c r="CE73">
        <v>1293.69</v>
      </c>
      <c r="CF73">
        <v>-0.00735246</v>
      </c>
      <c r="CG73">
        <v>0.5</v>
      </c>
      <c r="CH73" t="s">
        <v>417</v>
      </c>
      <c r="CI73" t="s">
        <v>417</v>
      </c>
      <c r="CJ73" t="s">
        <v>417</v>
      </c>
      <c r="CK73" t="s">
        <v>417</v>
      </c>
      <c r="CL73" t="s">
        <v>417</v>
      </c>
      <c r="CM73" t="s">
        <v>417</v>
      </c>
      <c r="CN73" t="s">
        <v>417</v>
      </c>
      <c r="CO73" t="s">
        <v>417</v>
      </c>
      <c r="CP73" t="s">
        <v>417</v>
      </c>
      <c r="CQ73" t="s">
        <v>417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418</v>
      </c>
      <c r="CY73">
        <v>2</v>
      </c>
      <c r="CZ73" t="b">
        <v>1</v>
      </c>
      <c r="DA73">
        <v>1651864510.725</v>
      </c>
      <c r="DB73">
        <v>1241.1475</v>
      </c>
      <c r="DC73">
        <v>1259.495</v>
      </c>
      <c r="DD73">
        <v>18.26215</v>
      </c>
      <c r="DE73">
        <v>11.274225</v>
      </c>
      <c r="DF73">
        <v>1243.595</v>
      </c>
      <c r="DG73">
        <v>18.243025</v>
      </c>
      <c r="DH73">
        <v>500.01175</v>
      </c>
      <c r="DI73">
        <v>89.939575</v>
      </c>
      <c r="DJ73">
        <v>0.09990067499999999</v>
      </c>
      <c r="DK73">
        <v>25.692375</v>
      </c>
      <c r="DL73">
        <v>25.001175</v>
      </c>
      <c r="DM73">
        <v>999.9</v>
      </c>
      <c r="DN73">
        <v>0</v>
      </c>
      <c r="DO73">
        <v>0</v>
      </c>
      <c r="DP73">
        <v>10006.1125</v>
      </c>
      <c r="DQ73">
        <v>0</v>
      </c>
      <c r="DR73">
        <v>3.23193</v>
      </c>
      <c r="DS73">
        <v>-18.3442</v>
      </c>
      <c r="DT73">
        <v>1264.2375</v>
      </c>
      <c r="DU73">
        <v>1273.8525</v>
      </c>
      <c r="DV73">
        <v>6.9879025</v>
      </c>
      <c r="DW73">
        <v>1259.495</v>
      </c>
      <c r="DX73">
        <v>11.274225</v>
      </c>
      <c r="DY73">
        <v>1.6424925</v>
      </c>
      <c r="DZ73">
        <v>1.0140025</v>
      </c>
      <c r="EA73">
        <v>14.363325</v>
      </c>
      <c r="EB73">
        <v>7.1191125</v>
      </c>
      <c r="EC73">
        <v>1500.045</v>
      </c>
      <c r="ED73">
        <v>0.9730045</v>
      </c>
      <c r="EE73">
        <v>0.0269958</v>
      </c>
      <c r="EF73">
        <v>0</v>
      </c>
      <c r="EG73">
        <v>962.6397499999999</v>
      </c>
      <c r="EH73">
        <v>5.00097</v>
      </c>
      <c r="EI73">
        <v>14288.125</v>
      </c>
      <c r="EJ73">
        <v>12491.975</v>
      </c>
      <c r="EK73">
        <v>37.25</v>
      </c>
      <c r="EL73">
        <v>38.687</v>
      </c>
      <c r="EM73">
        <v>37.625</v>
      </c>
      <c r="EN73">
        <v>38.437</v>
      </c>
      <c r="EO73">
        <v>38.125</v>
      </c>
      <c r="EP73">
        <v>1454.6825</v>
      </c>
      <c r="EQ73">
        <v>40.3625</v>
      </c>
      <c r="ER73">
        <v>0</v>
      </c>
      <c r="ES73">
        <v>291</v>
      </c>
      <c r="ET73">
        <v>0</v>
      </c>
      <c r="EU73">
        <v>965.8494000000001</v>
      </c>
      <c r="EV73">
        <v>-32.91038467627288</v>
      </c>
      <c r="EW73">
        <v>-487.0923085508753</v>
      </c>
      <c r="EX73">
        <v>14334.756</v>
      </c>
      <c r="EY73">
        <v>15</v>
      </c>
      <c r="EZ73">
        <v>1651864261.1</v>
      </c>
      <c r="FA73" t="s">
        <v>419</v>
      </c>
      <c r="FB73">
        <v>1651864241.6</v>
      </c>
      <c r="FC73">
        <v>1651864261.1</v>
      </c>
      <c r="FD73">
        <v>7</v>
      </c>
      <c r="FE73">
        <v>0.438</v>
      </c>
      <c r="FF73">
        <v>0.002</v>
      </c>
      <c r="FG73">
        <v>-0.988</v>
      </c>
      <c r="FH73">
        <v>-0.066</v>
      </c>
      <c r="FI73">
        <v>400</v>
      </c>
      <c r="FJ73">
        <v>11</v>
      </c>
      <c r="FK73">
        <v>0.05</v>
      </c>
      <c r="FL73">
        <v>0.02</v>
      </c>
      <c r="FM73">
        <v>-18.4102025</v>
      </c>
      <c r="FN73">
        <v>0.02679287054412656</v>
      </c>
      <c r="FO73">
        <v>0.1415493067582813</v>
      </c>
      <c r="FP73">
        <v>-1</v>
      </c>
      <c r="FQ73">
        <v>7.06119775</v>
      </c>
      <c r="FR73">
        <v>-0.5294293058161484</v>
      </c>
      <c r="FS73">
        <v>0.05214871879957837</v>
      </c>
      <c r="FT73">
        <v>-1</v>
      </c>
      <c r="FU73">
        <v>0</v>
      </c>
      <c r="FV73">
        <v>0</v>
      </c>
      <c r="FW73">
        <v>0</v>
      </c>
      <c r="FX73">
        <v>-1</v>
      </c>
      <c r="FY73">
        <v>0</v>
      </c>
      <c r="FZ73">
        <v>0</v>
      </c>
      <c r="GA73" t="s">
        <v>420</v>
      </c>
      <c r="GB73">
        <v>2.98053</v>
      </c>
      <c r="GC73">
        <v>2.70615</v>
      </c>
      <c r="GD73">
        <v>0.195699</v>
      </c>
      <c r="GE73">
        <v>0.195273</v>
      </c>
      <c r="GF73">
        <v>0.0873717</v>
      </c>
      <c r="GG73">
        <v>0.0606121</v>
      </c>
      <c r="GH73">
        <v>25383.6</v>
      </c>
      <c r="GI73">
        <v>25453.9</v>
      </c>
      <c r="GJ73">
        <v>29346.3</v>
      </c>
      <c r="GK73">
        <v>29262.1</v>
      </c>
      <c r="GL73">
        <v>35465.6</v>
      </c>
      <c r="GM73">
        <v>36614.6</v>
      </c>
      <c r="GN73">
        <v>41306.8</v>
      </c>
      <c r="GO73">
        <v>41766.3</v>
      </c>
      <c r="GP73">
        <v>1.95788</v>
      </c>
      <c r="GQ73">
        <v>1.8484</v>
      </c>
      <c r="GR73">
        <v>-0.0245385</v>
      </c>
      <c r="GS73">
        <v>0</v>
      </c>
      <c r="GT73">
        <v>25.4016</v>
      </c>
      <c r="GU73">
        <v>999.9</v>
      </c>
      <c r="GV73">
        <v>31.9</v>
      </c>
      <c r="GW73">
        <v>34.2</v>
      </c>
      <c r="GX73">
        <v>19.1639</v>
      </c>
      <c r="GY73">
        <v>62.4474</v>
      </c>
      <c r="GZ73">
        <v>35.0721</v>
      </c>
      <c r="HA73">
        <v>1</v>
      </c>
      <c r="HB73">
        <v>0.102703</v>
      </c>
      <c r="HC73">
        <v>2.16673</v>
      </c>
      <c r="HD73">
        <v>20.32</v>
      </c>
      <c r="HE73">
        <v>5.21579</v>
      </c>
      <c r="HF73">
        <v>12.0099</v>
      </c>
      <c r="HG73">
        <v>4.98855</v>
      </c>
      <c r="HH73">
        <v>3.28845</v>
      </c>
      <c r="HI73">
        <v>994</v>
      </c>
      <c r="HJ73">
        <v>9526.6</v>
      </c>
      <c r="HK73">
        <v>5139.4</v>
      </c>
      <c r="HL73">
        <v>24.8</v>
      </c>
      <c r="HM73">
        <v>1.86747</v>
      </c>
      <c r="HN73">
        <v>1.86646</v>
      </c>
      <c r="HO73">
        <v>1.866</v>
      </c>
      <c r="HP73">
        <v>1.86584</v>
      </c>
      <c r="HQ73">
        <v>1.86768</v>
      </c>
      <c r="HR73">
        <v>1.87018</v>
      </c>
      <c r="HS73">
        <v>1.86889</v>
      </c>
      <c r="HT73">
        <v>1.87024</v>
      </c>
      <c r="HU73">
        <v>0</v>
      </c>
      <c r="HV73">
        <v>0</v>
      </c>
      <c r="HW73">
        <v>0</v>
      </c>
      <c r="HX73">
        <v>0</v>
      </c>
      <c r="HY73" t="s">
        <v>421</v>
      </c>
      <c r="HZ73" t="s">
        <v>422</v>
      </c>
      <c r="IA73" t="s">
        <v>423</v>
      </c>
      <c r="IB73" t="s">
        <v>423</v>
      </c>
      <c r="IC73" t="s">
        <v>423</v>
      </c>
      <c r="ID73" t="s">
        <v>423</v>
      </c>
      <c r="IE73">
        <v>0</v>
      </c>
      <c r="IF73">
        <v>100</v>
      </c>
      <c r="IG73">
        <v>100</v>
      </c>
      <c r="IH73">
        <v>-2.44</v>
      </c>
      <c r="II73">
        <v>0.0191</v>
      </c>
      <c r="IJ73">
        <v>-0.2164499368582429</v>
      </c>
      <c r="IK73">
        <v>-0.002077099775823331</v>
      </c>
      <c r="IL73">
        <v>4.593143279902166E-07</v>
      </c>
      <c r="IM73">
        <v>-1.865383991892071E-10</v>
      </c>
      <c r="IN73">
        <v>-0.06087574426827484</v>
      </c>
      <c r="IO73">
        <v>-0.01129461987421345</v>
      </c>
      <c r="IP73">
        <v>0.00116580895745559</v>
      </c>
      <c r="IQ73">
        <v>-1.679085872906199E-05</v>
      </c>
      <c r="IR73">
        <v>2</v>
      </c>
      <c r="IS73">
        <v>2290</v>
      </c>
      <c r="IT73">
        <v>0</v>
      </c>
      <c r="IU73">
        <v>32</v>
      </c>
      <c r="IV73">
        <v>4.5</v>
      </c>
      <c r="IW73">
        <v>4.2</v>
      </c>
      <c r="IX73">
        <v>2.47437</v>
      </c>
      <c r="IY73">
        <v>2.19849</v>
      </c>
      <c r="IZ73">
        <v>1.39648</v>
      </c>
      <c r="JA73">
        <v>2.35718</v>
      </c>
      <c r="JB73">
        <v>1.49536</v>
      </c>
      <c r="JC73">
        <v>2.2937</v>
      </c>
      <c r="JD73">
        <v>38.4034</v>
      </c>
      <c r="JE73">
        <v>24.035</v>
      </c>
      <c r="JF73">
        <v>18</v>
      </c>
      <c r="JG73">
        <v>512.332</v>
      </c>
      <c r="JH73">
        <v>427.602</v>
      </c>
      <c r="JI73">
        <v>22.5041</v>
      </c>
      <c r="JJ73">
        <v>28.6315</v>
      </c>
      <c r="JK73">
        <v>30.0002</v>
      </c>
      <c r="JL73">
        <v>28.5984</v>
      </c>
      <c r="JM73">
        <v>28.5381</v>
      </c>
      <c r="JN73">
        <v>49.4722</v>
      </c>
      <c r="JO73">
        <v>39.5293</v>
      </c>
      <c r="JP73">
        <v>0</v>
      </c>
      <c r="JQ73">
        <v>22.504</v>
      </c>
      <c r="JR73">
        <v>1236.63</v>
      </c>
      <c r="JS73">
        <v>11.3855</v>
      </c>
      <c r="JT73">
        <v>100.312</v>
      </c>
      <c r="JU73">
        <v>100.242</v>
      </c>
    </row>
    <row r="74" spans="1:281">
      <c r="A74">
        <v>58</v>
      </c>
      <c r="B74">
        <v>1651864514.1</v>
      </c>
      <c r="C74">
        <v>293.5</v>
      </c>
      <c r="D74" t="s">
        <v>536</v>
      </c>
      <c r="E74" t="s">
        <v>537</v>
      </c>
      <c r="F74">
        <v>2</v>
      </c>
      <c r="G74" t="s">
        <v>413</v>
      </c>
      <c r="H74" t="s">
        <v>414</v>
      </c>
      <c r="I74">
        <v>1651864513.1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1271.872056749829</v>
      </c>
      <c r="AK74">
        <v>1254.536363636363</v>
      </c>
      <c r="AL74">
        <v>-3.377083012708944</v>
      </c>
      <c r="AM74">
        <v>66.38192812717227</v>
      </c>
      <c r="AN74">
        <f>(AP74 - AO74 + DI74*1E3/(8.314*(DK74+273.15)) * AR74/DH74 * AQ74) * DH74/(100*CV74) * 1000/(1000 - AP74)</f>
        <v>0</v>
      </c>
      <c r="AO74">
        <v>11.26572796257008</v>
      </c>
      <c r="AP74">
        <v>18.25784705882352</v>
      </c>
      <c r="AQ74">
        <v>-8.55954614524747E-05</v>
      </c>
      <c r="AR74">
        <v>80.47224507511959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417</v>
      </c>
      <c r="AY74" t="s">
        <v>417</v>
      </c>
      <c r="AZ74">
        <v>0</v>
      </c>
      <c r="BA74">
        <v>0</v>
      </c>
      <c r="BB74">
        <f>1-AZ74/BA74</f>
        <v>0</v>
      </c>
      <c r="BC74">
        <v>0</v>
      </c>
      <c r="BD74" t="s">
        <v>417</v>
      </c>
      <c r="BE74" t="s">
        <v>417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417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1248</v>
      </c>
      <c r="CA74">
        <v>300</v>
      </c>
      <c r="CB74">
        <v>300</v>
      </c>
      <c r="CC74">
        <v>300</v>
      </c>
      <c r="CD74">
        <v>10442</v>
      </c>
      <c r="CE74">
        <v>1293.69</v>
      </c>
      <c r="CF74">
        <v>-0.00735246</v>
      </c>
      <c r="CG74">
        <v>0.5</v>
      </c>
      <c r="CH74" t="s">
        <v>417</v>
      </c>
      <c r="CI74" t="s">
        <v>417</v>
      </c>
      <c r="CJ74" t="s">
        <v>417</v>
      </c>
      <c r="CK74" t="s">
        <v>417</v>
      </c>
      <c r="CL74" t="s">
        <v>417</v>
      </c>
      <c r="CM74" t="s">
        <v>417</v>
      </c>
      <c r="CN74" t="s">
        <v>417</v>
      </c>
      <c r="CO74" t="s">
        <v>417</v>
      </c>
      <c r="CP74" t="s">
        <v>417</v>
      </c>
      <c r="CQ74" t="s">
        <v>417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418</v>
      </c>
      <c r="CY74">
        <v>2</v>
      </c>
      <c r="CZ74" t="b">
        <v>1</v>
      </c>
      <c r="DA74">
        <v>1651864513.1</v>
      </c>
      <c r="DB74">
        <v>1233.276666666667</v>
      </c>
      <c r="DC74">
        <v>1251.7</v>
      </c>
      <c r="DD74">
        <v>18.25803333333333</v>
      </c>
      <c r="DE74">
        <v>11.28386666666667</v>
      </c>
      <c r="DF74">
        <v>1235.71</v>
      </c>
      <c r="DG74">
        <v>18.239</v>
      </c>
      <c r="DH74">
        <v>500.039</v>
      </c>
      <c r="DI74">
        <v>89.94060000000002</v>
      </c>
      <c r="DJ74">
        <v>0.09995056666666667</v>
      </c>
      <c r="DK74">
        <v>25.6943</v>
      </c>
      <c r="DL74">
        <v>24.99996666666667</v>
      </c>
      <c r="DM74">
        <v>999.9</v>
      </c>
      <c r="DN74">
        <v>0</v>
      </c>
      <c r="DO74">
        <v>0</v>
      </c>
      <c r="DP74">
        <v>10009.56666666667</v>
      </c>
      <c r="DQ74">
        <v>0</v>
      </c>
      <c r="DR74">
        <v>3.23193</v>
      </c>
      <c r="DS74">
        <v>-18.42183333333334</v>
      </c>
      <c r="DT74">
        <v>1256.21</v>
      </c>
      <c r="DU74">
        <v>1265.983333333333</v>
      </c>
      <c r="DV74">
        <v>6.974176666666668</v>
      </c>
      <c r="DW74">
        <v>1251.7</v>
      </c>
      <c r="DX74">
        <v>11.28386666666667</v>
      </c>
      <c r="DY74">
        <v>1.64214</v>
      </c>
      <c r="DZ74">
        <v>1.01488</v>
      </c>
      <c r="EA74">
        <v>14.36</v>
      </c>
      <c r="EB74">
        <v>7.131753333333333</v>
      </c>
      <c r="EC74">
        <v>1500.12</v>
      </c>
      <c r="ED74">
        <v>0.9730053333333334</v>
      </c>
      <c r="EE74">
        <v>0.0269949</v>
      </c>
      <c r="EF74">
        <v>0</v>
      </c>
      <c r="EG74">
        <v>961.3593333333333</v>
      </c>
      <c r="EH74">
        <v>5.00097</v>
      </c>
      <c r="EI74">
        <v>14271</v>
      </c>
      <c r="EJ74">
        <v>12492.66666666667</v>
      </c>
      <c r="EK74">
        <v>37.25</v>
      </c>
      <c r="EL74">
        <v>38.687</v>
      </c>
      <c r="EM74">
        <v>37.625</v>
      </c>
      <c r="EN74">
        <v>38.437</v>
      </c>
      <c r="EO74">
        <v>38.125</v>
      </c>
      <c r="EP74">
        <v>1454.756666666667</v>
      </c>
      <c r="EQ74">
        <v>40.36333333333333</v>
      </c>
      <c r="ER74">
        <v>0</v>
      </c>
      <c r="ES74">
        <v>292.7999999523163</v>
      </c>
      <c r="ET74">
        <v>0</v>
      </c>
      <c r="EU74">
        <v>965.0496923076923</v>
      </c>
      <c r="EV74">
        <v>-33.8001367488026</v>
      </c>
      <c r="EW74">
        <v>-480.5743590509147</v>
      </c>
      <c r="EX74">
        <v>14322.70769230769</v>
      </c>
      <c r="EY74">
        <v>15</v>
      </c>
      <c r="EZ74">
        <v>1651864261.1</v>
      </c>
      <c r="FA74" t="s">
        <v>419</v>
      </c>
      <c r="FB74">
        <v>1651864241.6</v>
      </c>
      <c r="FC74">
        <v>1651864261.1</v>
      </c>
      <c r="FD74">
        <v>7</v>
      </c>
      <c r="FE74">
        <v>0.438</v>
      </c>
      <c r="FF74">
        <v>0.002</v>
      </c>
      <c r="FG74">
        <v>-0.988</v>
      </c>
      <c r="FH74">
        <v>-0.066</v>
      </c>
      <c r="FI74">
        <v>400</v>
      </c>
      <c r="FJ74">
        <v>11</v>
      </c>
      <c r="FK74">
        <v>0.05</v>
      </c>
      <c r="FL74">
        <v>0.02</v>
      </c>
      <c r="FM74">
        <v>-18.41226097560976</v>
      </c>
      <c r="FN74">
        <v>-0.009528919860660462</v>
      </c>
      <c r="FO74">
        <v>0.1399637494497193</v>
      </c>
      <c r="FP74">
        <v>-1</v>
      </c>
      <c r="FQ74">
        <v>7.050665609756098</v>
      </c>
      <c r="FR74">
        <v>-0.5018920557491127</v>
      </c>
      <c r="FS74">
        <v>0.05072615585713973</v>
      </c>
      <c r="FT74">
        <v>-1</v>
      </c>
      <c r="FU74">
        <v>0</v>
      </c>
      <c r="FV74">
        <v>0</v>
      </c>
      <c r="FW74">
        <v>0</v>
      </c>
      <c r="FX74">
        <v>-1</v>
      </c>
      <c r="FY74">
        <v>0</v>
      </c>
      <c r="FZ74">
        <v>0</v>
      </c>
      <c r="GA74" t="s">
        <v>420</v>
      </c>
      <c r="GB74">
        <v>2.98048</v>
      </c>
      <c r="GC74">
        <v>2.70612</v>
      </c>
      <c r="GD74">
        <v>0.195051</v>
      </c>
      <c r="GE74">
        <v>0.194614</v>
      </c>
      <c r="GF74">
        <v>0.0873493</v>
      </c>
      <c r="GG74">
        <v>0.0606591</v>
      </c>
      <c r="GH74">
        <v>25404</v>
      </c>
      <c r="GI74">
        <v>25474.6</v>
      </c>
      <c r="GJ74">
        <v>29346.2</v>
      </c>
      <c r="GK74">
        <v>29261.9</v>
      </c>
      <c r="GL74">
        <v>35466.3</v>
      </c>
      <c r="GM74">
        <v>36612.5</v>
      </c>
      <c r="GN74">
        <v>41306.5</v>
      </c>
      <c r="GO74">
        <v>41766.1</v>
      </c>
      <c r="GP74">
        <v>1.95798</v>
      </c>
      <c r="GQ74">
        <v>1.84857</v>
      </c>
      <c r="GR74">
        <v>-0.0246279</v>
      </c>
      <c r="GS74">
        <v>0</v>
      </c>
      <c r="GT74">
        <v>25.4016</v>
      </c>
      <c r="GU74">
        <v>999.9</v>
      </c>
      <c r="GV74">
        <v>31.9</v>
      </c>
      <c r="GW74">
        <v>34.2</v>
      </c>
      <c r="GX74">
        <v>19.163</v>
      </c>
      <c r="GY74">
        <v>62.2474</v>
      </c>
      <c r="GZ74">
        <v>35.2925</v>
      </c>
      <c r="HA74">
        <v>1</v>
      </c>
      <c r="HB74">
        <v>0.102708</v>
      </c>
      <c r="HC74">
        <v>2.16581</v>
      </c>
      <c r="HD74">
        <v>20.3201</v>
      </c>
      <c r="HE74">
        <v>5.21579</v>
      </c>
      <c r="HF74">
        <v>12.0099</v>
      </c>
      <c r="HG74">
        <v>4.9885</v>
      </c>
      <c r="HH74">
        <v>3.28848</v>
      </c>
      <c r="HI74">
        <v>994</v>
      </c>
      <c r="HJ74">
        <v>9526.6</v>
      </c>
      <c r="HK74">
        <v>5139.4</v>
      </c>
      <c r="HL74">
        <v>24.8</v>
      </c>
      <c r="HM74">
        <v>1.86749</v>
      </c>
      <c r="HN74">
        <v>1.86646</v>
      </c>
      <c r="HO74">
        <v>1.866</v>
      </c>
      <c r="HP74">
        <v>1.86584</v>
      </c>
      <c r="HQ74">
        <v>1.86769</v>
      </c>
      <c r="HR74">
        <v>1.87019</v>
      </c>
      <c r="HS74">
        <v>1.86889</v>
      </c>
      <c r="HT74">
        <v>1.87023</v>
      </c>
      <c r="HU74">
        <v>0</v>
      </c>
      <c r="HV74">
        <v>0</v>
      </c>
      <c r="HW74">
        <v>0</v>
      </c>
      <c r="HX74">
        <v>0</v>
      </c>
      <c r="HY74" t="s">
        <v>421</v>
      </c>
      <c r="HZ74" t="s">
        <v>422</v>
      </c>
      <c r="IA74" t="s">
        <v>423</v>
      </c>
      <c r="IB74" t="s">
        <v>423</v>
      </c>
      <c r="IC74" t="s">
        <v>423</v>
      </c>
      <c r="ID74" t="s">
        <v>423</v>
      </c>
      <c r="IE74">
        <v>0</v>
      </c>
      <c r="IF74">
        <v>100</v>
      </c>
      <c r="IG74">
        <v>100</v>
      </c>
      <c r="IH74">
        <v>-2.43</v>
      </c>
      <c r="II74">
        <v>0.019</v>
      </c>
      <c r="IJ74">
        <v>-0.2164499368582429</v>
      </c>
      <c r="IK74">
        <v>-0.002077099775823331</v>
      </c>
      <c r="IL74">
        <v>4.593143279902166E-07</v>
      </c>
      <c r="IM74">
        <v>-1.865383991892071E-10</v>
      </c>
      <c r="IN74">
        <v>-0.06087574426827484</v>
      </c>
      <c r="IO74">
        <v>-0.01129461987421345</v>
      </c>
      <c r="IP74">
        <v>0.00116580895745559</v>
      </c>
      <c r="IQ74">
        <v>-1.679085872906199E-05</v>
      </c>
      <c r="IR74">
        <v>2</v>
      </c>
      <c r="IS74">
        <v>2290</v>
      </c>
      <c r="IT74">
        <v>0</v>
      </c>
      <c r="IU74">
        <v>32</v>
      </c>
      <c r="IV74">
        <v>4.5</v>
      </c>
      <c r="IW74">
        <v>4.2</v>
      </c>
      <c r="IX74">
        <v>2.46338</v>
      </c>
      <c r="IY74">
        <v>2.19238</v>
      </c>
      <c r="IZ74">
        <v>1.39648</v>
      </c>
      <c r="JA74">
        <v>2.35718</v>
      </c>
      <c r="JB74">
        <v>1.49536</v>
      </c>
      <c r="JC74">
        <v>2.37549</v>
      </c>
      <c r="JD74">
        <v>38.4034</v>
      </c>
      <c r="JE74">
        <v>24.035</v>
      </c>
      <c r="JF74">
        <v>18</v>
      </c>
      <c r="JG74">
        <v>512.403</v>
      </c>
      <c r="JH74">
        <v>427.712</v>
      </c>
      <c r="JI74">
        <v>22.5041</v>
      </c>
      <c r="JJ74">
        <v>28.6315</v>
      </c>
      <c r="JK74">
        <v>30.0002</v>
      </c>
      <c r="JL74">
        <v>28.5991</v>
      </c>
      <c r="JM74">
        <v>28.5388</v>
      </c>
      <c r="JN74">
        <v>49.2674</v>
      </c>
      <c r="JO74">
        <v>39.5293</v>
      </c>
      <c r="JP74">
        <v>0</v>
      </c>
      <c r="JQ74">
        <v>22.5041</v>
      </c>
      <c r="JR74">
        <v>1229.95</v>
      </c>
      <c r="JS74">
        <v>11.4046</v>
      </c>
      <c r="JT74">
        <v>100.312</v>
      </c>
      <c r="JU74">
        <v>100.241</v>
      </c>
    </row>
    <row r="75" spans="1:281">
      <c r="A75">
        <v>59</v>
      </c>
      <c r="B75">
        <v>1651864516.1</v>
      </c>
      <c r="C75">
        <v>295.5</v>
      </c>
      <c r="D75" t="s">
        <v>538</v>
      </c>
      <c r="E75" t="s">
        <v>539</v>
      </c>
      <c r="F75">
        <v>2</v>
      </c>
      <c r="G75" t="s">
        <v>413</v>
      </c>
      <c r="H75" t="s">
        <v>414</v>
      </c>
      <c r="I75">
        <v>1651864514.725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1265.187236404965</v>
      </c>
      <c r="AK75">
        <v>1247.860424242424</v>
      </c>
      <c r="AL75">
        <v>-3.34393769471794</v>
      </c>
      <c r="AM75">
        <v>66.38192812717227</v>
      </c>
      <c r="AN75">
        <f>(AP75 - AO75 + DI75*1E3/(8.314*(DK75+273.15)) * AR75/DH75 * AQ75) * DH75/(100*CV75) * 1000/(1000 - AP75)</f>
        <v>0</v>
      </c>
      <c r="AO75">
        <v>11.2772715395544</v>
      </c>
      <c r="AP75">
        <v>18.25081323529411</v>
      </c>
      <c r="AQ75">
        <v>-9.183010684327014E-06</v>
      </c>
      <c r="AR75">
        <v>80.47224507511959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417</v>
      </c>
      <c r="AY75" t="s">
        <v>417</v>
      </c>
      <c r="AZ75">
        <v>0</v>
      </c>
      <c r="BA75">
        <v>0</v>
      </c>
      <c r="BB75">
        <f>1-AZ75/BA75</f>
        <v>0</v>
      </c>
      <c r="BC75">
        <v>0</v>
      </c>
      <c r="BD75" t="s">
        <v>417</v>
      </c>
      <c r="BE75" t="s">
        <v>417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417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1248</v>
      </c>
      <c r="CA75">
        <v>300</v>
      </c>
      <c r="CB75">
        <v>300</v>
      </c>
      <c r="CC75">
        <v>300</v>
      </c>
      <c r="CD75">
        <v>10442</v>
      </c>
      <c r="CE75">
        <v>1293.69</v>
      </c>
      <c r="CF75">
        <v>-0.00735246</v>
      </c>
      <c r="CG75">
        <v>0.5</v>
      </c>
      <c r="CH75" t="s">
        <v>417</v>
      </c>
      <c r="CI75" t="s">
        <v>417</v>
      </c>
      <c r="CJ75" t="s">
        <v>417</v>
      </c>
      <c r="CK75" t="s">
        <v>417</v>
      </c>
      <c r="CL75" t="s">
        <v>417</v>
      </c>
      <c r="CM75" t="s">
        <v>417</v>
      </c>
      <c r="CN75" t="s">
        <v>417</v>
      </c>
      <c r="CO75" t="s">
        <v>417</v>
      </c>
      <c r="CP75" t="s">
        <v>417</v>
      </c>
      <c r="CQ75" t="s">
        <v>417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418</v>
      </c>
      <c r="CY75">
        <v>2</v>
      </c>
      <c r="CZ75" t="b">
        <v>1</v>
      </c>
      <c r="DA75">
        <v>1651864514.725</v>
      </c>
      <c r="DB75">
        <v>1227.9525</v>
      </c>
      <c r="DC75">
        <v>1246.1825</v>
      </c>
      <c r="DD75">
        <v>18.253625</v>
      </c>
      <c r="DE75">
        <v>11.301775</v>
      </c>
      <c r="DF75">
        <v>1230.375</v>
      </c>
      <c r="DG75">
        <v>18.234625</v>
      </c>
      <c r="DH75">
        <v>500.043</v>
      </c>
      <c r="DI75">
        <v>89.939125</v>
      </c>
      <c r="DJ75">
        <v>0.100074325</v>
      </c>
      <c r="DK75">
        <v>25.69305</v>
      </c>
      <c r="DL75">
        <v>24.99775</v>
      </c>
      <c r="DM75">
        <v>999.9</v>
      </c>
      <c r="DN75">
        <v>0</v>
      </c>
      <c r="DO75">
        <v>0</v>
      </c>
      <c r="DP75">
        <v>9988.280000000001</v>
      </c>
      <c r="DQ75">
        <v>0</v>
      </c>
      <c r="DR75">
        <v>3.23193</v>
      </c>
      <c r="DS75">
        <v>-18.228325</v>
      </c>
      <c r="DT75">
        <v>1250.7825</v>
      </c>
      <c r="DU75">
        <v>1260.425</v>
      </c>
      <c r="DV75">
        <v>6.9518325</v>
      </c>
      <c r="DW75">
        <v>1246.1825</v>
      </c>
      <c r="DX75">
        <v>11.301775</v>
      </c>
      <c r="DY75">
        <v>1.6417125</v>
      </c>
      <c r="DZ75">
        <v>1.0164725</v>
      </c>
      <c r="EA75">
        <v>14.356</v>
      </c>
      <c r="EB75">
        <v>7.154655</v>
      </c>
      <c r="EC75">
        <v>1499.975</v>
      </c>
      <c r="ED75">
        <v>0.9730045</v>
      </c>
      <c r="EE75">
        <v>0.0269958</v>
      </c>
      <c r="EF75">
        <v>0</v>
      </c>
      <c r="EG75">
        <v>960.5632499999999</v>
      </c>
      <c r="EH75">
        <v>5.00097</v>
      </c>
      <c r="EI75">
        <v>14257.975</v>
      </c>
      <c r="EJ75">
        <v>12491.4</v>
      </c>
      <c r="EK75">
        <v>37.25</v>
      </c>
      <c r="EL75">
        <v>38.687</v>
      </c>
      <c r="EM75">
        <v>37.625</v>
      </c>
      <c r="EN75">
        <v>38.437</v>
      </c>
      <c r="EO75">
        <v>38.125</v>
      </c>
      <c r="EP75">
        <v>1454.615</v>
      </c>
      <c r="EQ75">
        <v>40.36</v>
      </c>
      <c r="ER75">
        <v>0</v>
      </c>
      <c r="ES75">
        <v>295.2000000476837</v>
      </c>
      <c r="ET75">
        <v>0</v>
      </c>
      <c r="EU75">
        <v>963.7477307692308</v>
      </c>
      <c r="EV75">
        <v>-33.47825635967488</v>
      </c>
      <c r="EW75">
        <v>-472.2119651799079</v>
      </c>
      <c r="EX75">
        <v>14303.62307692308</v>
      </c>
      <c r="EY75">
        <v>15</v>
      </c>
      <c r="EZ75">
        <v>1651864261.1</v>
      </c>
      <c r="FA75" t="s">
        <v>419</v>
      </c>
      <c r="FB75">
        <v>1651864241.6</v>
      </c>
      <c r="FC75">
        <v>1651864261.1</v>
      </c>
      <c r="FD75">
        <v>7</v>
      </c>
      <c r="FE75">
        <v>0.438</v>
      </c>
      <c r="FF75">
        <v>0.002</v>
      </c>
      <c r="FG75">
        <v>-0.988</v>
      </c>
      <c r="FH75">
        <v>-0.066</v>
      </c>
      <c r="FI75">
        <v>400</v>
      </c>
      <c r="FJ75">
        <v>11</v>
      </c>
      <c r="FK75">
        <v>0.05</v>
      </c>
      <c r="FL75">
        <v>0.02</v>
      </c>
      <c r="FM75">
        <v>-18.41136097560976</v>
      </c>
      <c r="FN75">
        <v>0.7349121951219195</v>
      </c>
      <c r="FO75">
        <v>0.1463445581380093</v>
      </c>
      <c r="FP75">
        <v>-1</v>
      </c>
      <c r="FQ75">
        <v>7.024843170731708</v>
      </c>
      <c r="FR75">
        <v>-0.4620710801393623</v>
      </c>
      <c r="FS75">
        <v>0.0466562920985528</v>
      </c>
      <c r="FT75">
        <v>-1</v>
      </c>
      <c r="FU75">
        <v>0</v>
      </c>
      <c r="FV75">
        <v>0</v>
      </c>
      <c r="FW75">
        <v>0</v>
      </c>
      <c r="FX75">
        <v>-1</v>
      </c>
      <c r="FY75">
        <v>0</v>
      </c>
      <c r="FZ75">
        <v>0</v>
      </c>
      <c r="GA75" t="s">
        <v>420</v>
      </c>
      <c r="GB75">
        <v>2.98062</v>
      </c>
      <c r="GC75">
        <v>2.70614</v>
      </c>
      <c r="GD75">
        <v>0.194397</v>
      </c>
      <c r="GE75">
        <v>0.193949</v>
      </c>
      <c r="GF75">
        <v>0.08733249999999999</v>
      </c>
      <c r="GG75">
        <v>0.0607824</v>
      </c>
      <c r="GH75">
        <v>25424.4</v>
      </c>
      <c r="GI75">
        <v>25495.6</v>
      </c>
      <c r="GJ75">
        <v>29345.9</v>
      </c>
      <c r="GK75">
        <v>29261.8</v>
      </c>
      <c r="GL75">
        <v>35466.6</v>
      </c>
      <c r="GM75">
        <v>36607.7</v>
      </c>
      <c r="GN75">
        <v>41306.2</v>
      </c>
      <c r="GO75">
        <v>41766.2</v>
      </c>
      <c r="GP75">
        <v>1.95798</v>
      </c>
      <c r="GQ75">
        <v>1.84865</v>
      </c>
      <c r="GR75">
        <v>-0.0246093</v>
      </c>
      <c r="GS75">
        <v>0</v>
      </c>
      <c r="GT75">
        <v>25.4016</v>
      </c>
      <c r="GU75">
        <v>999.9</v>
      </c>
      <c r="GV75">
        <v>31.9</v>
      </c>
      <c r="GW75">
        <v>34.2</v>
      </c>
      <c r="GX75">
        <v>19.1655</v>
      </c>
      <c r="GY75">
        <v>62.5874</v>
      </c>
      <c r="GZ75">
        <v>34.8518</v>
      </c>
      <c r="HA75">
        <v>1</v>
      </c>
      <c r="HB75">
        <v>0.102708</v>
      </c>
      <c r="HC75">
        <v>2.16634</v>
      </c>
      <c r="HD75">
        <v>20.3202</v>
      </c>
      <c r="HE75">
        <v>5.21564</v>
      </c>
      <c r="HF75">
        <v>12.0099</v>
      </c>
      <c r="HG75">
        <v>4.98865</v>
      </c>
      <c r="HH75">
        <v>3.28848</v>
      </c>
      <c r="HI75">
        <v>994</v>
      </c>
      <c r="HJ75">
        <v>9526.6</v>
      </c>
      <c r="HK75">
        <v>5139.4</v>
      </c>
      <c r="HL75">
        <v>24.8</v>
      </c>
      <c r="HM75">
        <v>1.8675</v>
      </c>
      <c r="HN75">
        <v>1.86646</v>
      </c>
      <c r="HO75">
        <v>1.866</v>
      </c>
      <c r="HP75">
        <v>1.86584</v>
      </c>
      <c r="HQ75">
        <v>1.86769</v>
      </c>
      <c r="HR75">
        <v>1.8702</v>
      </c>
      <c r="HS75">
        <v>1.86888</v>
      </c>
      <c r="HT75">
        <v>1.87024</v>
      </c>
      <c r="HU75">
        <v>0</v>
      </c>
      <c r="HV75">
        <v>0</v>
      </c>
      <c r="HW75">
        <v>0</v>
      </c>
      <c r="HX75">
        <v>0</v>
      </c>
      <c r="HY75" t="s">
        <v>421</v>
      </c>
      <c r="HZ75" t="s">
        <v>422</v>
      </c>
      <c r="IA75" t="s">
        <v>423</v>
      </c>
      <c r="IB75" t="s">
        <v>423</v>
      </c>
      <c r="IC75" t="s">
        <v>423</v>
      </c>
      <c r="ID75" t="s">
        <v>423</v>
      </c>
      <c r="IE75">
        <v>0</v>
      </c>
      <c r="IF75">
        <v>100</v>
      </c>
      <c r="IG75">
        <v>100</v>
      </c>
      <c r="IH75">
        <v>-2.42</v>
      </c>
      <c r="II75">
        <v>0.019</v>
      </c>
      <c r="IJ75">
        <v>-0.2164499368582429</v>
      </c>
      <c r="IK75">
        <v>-0.002077099775823331</v>
      </c>
      <c r="IL75">
        <v>4.593143279902166E-07</v>
      </c>
      <c r="IM75">
        <v>-1.865383991892071E-10</v>
      </c>
      <c r="IN75">
        <v>-0.06087574426827484</v>
      </c>
      <c r="IO75">
        <v>-0.01129461987421345</v>
      </c>
      <c r="IP75">
        <v>0.00116580895745559</v>
      </c>
      <c r="IQ75">
        <v>-1.679085872906199E-05</v>
      </c>
      <c r="IR75">
        <v>2</v>
      </c>
      <c r="IS75">
        <v>2290</v>
      </c>
      <c r="IT75">
        <v>0</v>
      </c>
      <c r="IU75">
        <v>32</v>
      </c>
      <c r="IV75">
        <v>4.6</v>
      </c>
      <c r="IW75">
        <v>4.2</v>
      </c>
      <c r="IX75">
        <v>2.45239</v>
      </c>
      <c r="IY75">
        <v>2.19604</v>
      </c>
      <c r="IZ75">
        <v>1.39648</v>
      </c>
      <c r="JA75">
        <v>2.35596</v>
      </c>
      <c r="JB75">
        <v>1.49536</v>
      </c>
      <c r="JC75">
        <v>2.34253</v>
      </c>
      <c r="JD75">
        <v>38.4034</v>
      </c>
      <c r="JE75">
        <v>24.035</v>
      </c>
      <c r="JF75">
        <v>18</v>
      </c>
      <c r="JG75">
        <v>512.413</v>
      </c>
      <c r="JH75">
        <v>427.757</v>
      </c>
      <c r="JI75">
        <v>22.5042</v>
      </c>
      <c r="JJ75">
        <v>28.6322</v>
      </c>
      <c r="JK75">
        <v>30.0002</v>
      </c>
      <c r="JL75">
        <v>28.6003</v>
      </c>
      <c r="JM75">
        <v>28.5388</v>
      </c>
      <c r="JN75">
        <v>49.0549</v>
      </c>
      <c r="JO75">
        <v>39.5293</v>
      </c>
      <c r="JP75">
        <v>0</v>
      </c>
      <c r="JQ75">
        <v>22.5041</v>
      </c>
      <c r="JR75">
        <v>1223.27</v>
      </c>
      <c r="JS75">
        <v>11.4184</v>
      </c>
      <c r="JT75">
        <v>100.311</v>
      </c>
      <c r="JU75">
        <v>100.241</v>
      </c>
    </row>
    <row r="76" spans="1:281">
      <c r="A76">
        <v>60</v>
      </c>
      <c r="B76">
        <v>1651864518.1</v>
      </c>
      <c r="C76">
        <v>297.5</v>
      </c>
      <c r="D76" t="s">
        <v>540</v>
      </c>
      <c r="E76" t="s">
        <v>541</v>
      </c>
      <c r="F76">
        <v>2</v>
      </c>
      <c r="G76" t="s">
        <v>413</v>
      </c>
      <c r="H76" t="s">
        <v>414</v>
      </c>
      <c r="I76">
        <v>1651864517.1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1258.327306296023</v>
      </c>
      <c r="AK76">
        <v>1241.166606060606</v>
      </c>
      <c r="AL76">
        <v>-3.345819956005368</v>
      </c>
      <c r="AM76">
        <v>66.38192812717227</v>
      </c>
      <c r="AN76">
        <f>(AP76 - AO76 + DI76*1E3/(8.314*(DK76+273.15)) * AR76/DH76 * AQ76) * DH76/(100*CV76) * 1000/(1000 - AP76)</f>
        <v>0</v>
      </c>
      <c r="AO76">
        <v>11.28829673286461</v>
      </c>
      <c r="AP76">
        <v>18.24940882352941</v>
      </c>
      <c r="AQ76">
        <v>-0.0002614545129573974</v>
      </c>
      <c r="AR76">
        <v>80.47224507511959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417</v>
      </c>
      <c r="AY76" t="s">
        <v>417</v>
      </c>
      <c r="AZ76">
        <v>0</v>
      </c>
      <c r="BA76">
        <v>0</v>
      </c>
      <c r="BB76">
        <f>1-AZ76/BA76</f>
        <v>0</v>
      </c>
      <c r="BC76">
        <v>0</v>
      </c>
      <c r="BD76" t="s">
        <v>417</v>
      </c>
      <c r="BE76" t="s">
        <v>417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417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1248</v>
      </c>
      <c r="CA76">
        <v>300</v>
      </c>
      <c r="CB76">
        <v>300</v>
      </c>
      <c r="CC76">
        <v>300</v>
      </c>
      <c r="CD76">
        <v>10442</v>
      </c>
      <c r="CE76">
        <v>1293.69</v>
      </c>
      <c r="CF76">
        <v>-0.00735246</v>
      </c>
      <c r="CG76">
        <v>0.5</v>
      </c>
      <c r="CH76" t="s">
        <v>417</v>
      </c>
      <c r="CI76" t="s">
        <v>417</v>
      </c>
      <c r="CJ76" t="s">
        <v>417</v>
      </c>
      <c r="CK76" t="s">
        <v>417</v>
      </c>
      <c r="CL76" t="s">
        <v>417</v>
      </c>
      <c r="CM76" t="s">
        <v>417</v>
      </c>
      <c r="CN76" t="s">
        <v>417</v>
      </c>
      <c r="CO76" t="s">
        <v>417</v>
      </c>
      <c r="CP76" t="s">
        <v>417</v>
      </c>
      <c r="CQ76" t="s">
        <v>417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418</v>
      </c>
      <c r="CY76">
        <v>2</v>
      </c>
      <c r="CZ76" t="b">
        <v>1</v>
      </c>
      <c r="DA76">
        <v>1651864517.1</v>
      </c>
      <c r="DB76">
        <v>1220.156666666667</v>
      </c>
      <c r="DC76">
        <v>1238.206666666667</v>
      </c>
      <c r="DD76">
        <v>18.25053333333333</v>
      </c>
      <c r="DE76">
        <v>11.33943333333333</v>
      </c>
      <c r="DF76">
        <v>1222.566666666667</v>
      </c>
      <c r="DG76">
        <v>18.2316</v>
      </c>
      <c r="DH76">
        <v>500.0386666666666</v>
      </c>
      <c r="DI76">
        <v>89.9372</v>
      </c>
      <c r="DJ76">
        <v>0.100182</v>
      </c>
      <c r="DK76">
        <v>25.6919</v>
      </c>
      <c r="DL76">
        <v>24.99986666666666</v>
      </c>
      <c r="DM76">
        <v>999.9</v>
      </c>
      <c r="DN76">
        <v>0</v>
      </c>
      <c r="DO76">
        <v>0</v>
      </c>
      <c r="DP76">
        <v>9974.166666666666</v>
      </c>
      <c r="DQ76">
        <v>0</v>
      </c>
      <c r="DR76">
        <v>3.23193</v>
      </c>
      <c r="DS76">
        <v>-18.04516666666667</v>
      </c>
      <c r="DT76">
        <v>1242.843333333333</v>
      </c>
      <c r="DU76">
        <v>1252.406666666667</v>
      </c>
      <c r="DV76">
        <v>6.91113</v>
      </c>
      <c r="DW76">
        <v>1238.206666666667</v>
      </c>
      <c r="DX76">
        <v>11.33943333333333</v>
      </c>
      <c r="DY76">
        <v>1.641403333333334</v>
      </c>
      <c r="DZ76">
        <v>1.019836666666667</v>
      </c>
      <c r="EA76">
        <v>14.35306666666667</v>
      </c>
      <c r="EB76">
        <v>7.202876666666666</v>
      </c>
      <c r="EC76">
        <v>1499.923333333333</v>
      </c>
      <c r="ED76">
        <v>0.9730036666666667</v>
      </c>
      <c r="EE76">
        <v>0.0269967</v>
      </c>
      <c r="EF76">
        <v>0</v>
      </c>
      <c r="EG76">
        <v>959.4093333333334</v>
      </c>
      <c r="EH76">
        <v>5.00097</v>
      </c>
      <c r="EI76">
        <v>14238.73333333333</v>
      </c>
      <c r="EJ76">
        <v>12491</v>
      </c>
      <c r="EK76">
        <v>37.25</v>
      </c>
      <c r="EL76">
        <v>38.687</v>
      </c>
      <c r="EM76">
        <v>37.625</v>
      </c>
      <c r="EN76">
        <v>38.437</v>
      </c>
      <c r="EO76">
        <v>38.125</v>
      </c>
      <c r="EP76">
        <v>1454.563333333334</v>
      </c>
      <c r="EQ76">
        <v>40.36</v>
      </c>
      <c r="ER76">
        <v>0</v>
      </c>
      <c r="ES76">
        <v>297</v>
      </c>
      <c r="ET76">
        <v>0</v>
      </c>
      <c r="EU76">
        <v>962.5923199999999</v>
      </c>
      <c r="EV76">
        <v>-31.86900004280415</v>
      </c>
      <c r="EW76">
        <v>-467.784616085767</v>
      </c>
      <c r="EX76">
        <v>14287.044</v>
      </c>
      <c r="EY76">
        <v>15</v>
      </c>
      <c r="EZ76">
        <v>1651864261.1</v>
      </c>
      <c r="FA76" t="s">
        <v>419</v>
      </c>
      <c r="FB76">
        <v>1651864241.6</v>
      </c>
      <c r="FC76">
        <v>1651864261.1</v>
      </c>
      <c r="FD76">
        <v>7</v>
      </c>
      <c r="FE76">
        <v>0.438</v>
      </c>
      <c r="FF76">
        <v>0.002</v>
      </c>
      <c r="FG76">
        <v>-0.988</v>
      </c>
      <c r="FH76">
        <v>-0.066</v>
      </c>
      <c r="FI76">
        <v>400</v>
      </c>
      <c r="FJ76">
        <v>11</v>
      </c>
      <c r="FK76">
        <v>0.05</v>
      </c>
      <c r="FL76">
        <v>0.02</v>
      </c>
      <c r="FM76">
        <v>-18.37316</v>
      </c>
      <c r="FN76">
        <v>1.130541838649167</v>
      </c>
      <c r="FO76">
        <v>0.1741793785153684</v>
      </c>
      <c r="FP76">
        <v>-1</v>
      </c>
      <c r="FQ76">
        <v>7.008464749999999</v>
      </c>
      <c r="FR76">
        <v>-0.4630792120075248</v>
      </c>
      <c r="FS76">
        <v>0.04579639461723491</v>
      </c>
      <c r="FT76">
        <v>-1</v>
      </c>
      <c r="FU76">
        <v>0</v>
      </c>
      <c r="FV76">
        <v>0</v>
      </c>
      <c r="FW76">
        <v>0</v>
      </c>
      <c r="FX76">
        <v>-1</v>
      </c>
      <c r="FY76">
        <v>0</v>
      </c>
      <c r="FZ76">
        <v>0</v>
      </c>
      <c r="GA76" t="s">
        <v>420</v>
      </c>
      <c r="GB76">
        <v>2.98063</v>
      </c>
      <c r="GC76">
        <v>2.70615</v>
      </c>
      <c r="GD76">
        <v>0.193741</v>
      </c>
      <c r="GE76">
        <v>0.193318</v>
      </c>
      <c r="GF76">
        <v>0.0873317</v>
      </c>
      <c r="GG76">
        <v>0.0608883</v>
      </c>
      <c r="GH76">
        <v>25445.2</v>
      </c>
      <c r="GI76">
        <v>25515.9</v>
      </c>
      <c r="GJ76">
        <v>29346</v>
      </c>
      <c r="GK76">
        <v>29262.2</v>
      </c>
      <c r="GL76">
        <v>35466.6</v>
      </c>
      <c r="GM76">
        <v>36604.1</v>
      </c>
      <c r="GN76">
        <v>41306.2</v>
      </c>
      <c r="GO76">
        <v>41766.8</v>
      </c>
      <c r="GP76">
        <v>1.95785</v>
      </c>
      <c r="GQ76">
        <v>1.84845</v>
      </c>
      <c r="GR76">
        <v>-0.024464</v>
      </c>
      <c r="GS76">
        <v>0</v>
      </c>
      <c r="GT76">
        <v>25.4016</v>
      </c>
      <c r="GU76">
        <v>999.9</v>
      </c>
      <c r="GV76">
        <v>31.9</v>
      </c>
      <c r="GW76">
        <v>34.2</v>
      </c>
      <c r="GX76">
        <v>19.1644</v>
      </c>
      <c r="GY76">
        <v>62.3274</v>
      </c>
      <c r="GZ76">
        <v>35.2885</v>
      </c>
      <c r="HA76">
        <v>1</v>
      </c>
      <c r="HB76">
        <v>0.10283</v>
      </c>
      <c r="HC76">
        <v>2.1667</v>
      </c>
      <c r="HD76">
        <v>20.3202</v>
      </c>
      <c r="HE76">
        <v>5.21579</v>
      </c>
      <c r="HF76">
        <v>12.0099</v>
      </c>
      <c r="HG76">
        <v>4.98885</v>
      </c>
      <c r="HH76">
        <v>3.28845</v>
      </c>
      <c r="HI76">
        <v>994</v>
      </c>
      <c r="HJ76">
        <v>9526.6</v>
      </c>
      <c r="HK76">
        <v>5139.4</v>
      </c>
      <c r="HL76">
        <v>24.8</v>
      </c>
      <c r="HM76">
        <v>1.86751</v>
      </c>
      <c r="HN76">
        <v>1.86646</v>
      </c>
      <c r="HO76">
        <v>1.866</v>
      </c>
      <c r="HP76">
        <v>1.86584</v>
      </c>
      <c r="HQ76">
        <v>1.86768</v>
      </c>
      <c r="HR76">
        <v>1.87021</v>
      </c>
      <c r="HS76">
        <v>1.86889</v>
      </c>
      <c r="HT76">
        <v>1.87026</v>
      </c>
      <c r="HU76">
        <v>0</v>
      </c>
      <c r="HV76">
        <v>0</v>
      </c>
      <c r="HW76">
        <v>0</v>
      </c>
      <c r="HX76">
        <v>0</v>
      </c>
      <c r="HY76" t="s">
        <v>421</v>
      </c>
      <c r="HZ76" t="s">
        <v>422</v>
      </c>
      <c r="IA76" t="s">
        <v>423</v>
      </c>
      <c r="IB76" t="s">
        <v>423</v>
      </c>
      <c r="IC76" t="s">
        <v>423</v>
      </c>
      <c r="ID76" t="s">
        <v>423</v>
      </c>
      <c r="IE76">
        <v>0</v>
      </c>
      <c r="IF76">
        <v>100</v>
      </c>
      <c r="IG76">
        <v>100</v>
      </c>
      <c r="IH76">
        <v>-2.4</v>
      </c>
      <c r="II76">
        <v>0.019</v>
      </c>
      <c r="IJ76">
        <v>-0.2164499368582429</v>
      </c>
      <c r="IK76">
        <v>-0.002077099775823331</v>
      </c>
      <c r="IL76">
        <v>4.593143279902166E-07</v>
      </c>
      <c r="IM76">
        <v>-1.865383991892071E-10</v>
      </c>
      <c r="IN76">
        <v>-0.06087574426827484</v>
      </c>
      <c r="IO76">
        <v>-0.01129461987421345</v>
      </c>
      <c r="IP76">
        <v>0.00116580895745559</v>
      </c>
      <c r="IQ76">
        <v>-1.679085872906199E-05</v>
      </c>
      <c r="IR76">
        <v>2</v>
      </c>
      <c r="IS76">
        <v>2290</v>
      </c>
      <c r="IT76">
        <v>0</v>
      </c>
      <c r="IU76">
        <v>32</v>
      </c>
      <c r="IV76">
        <v>4.6</v>
      </c>
      <c r="IW76">
        <v>4.3</v>
      </c>
      <c r="IX76">
        <v>2.44263</v>
      </c>
      <c r="IY76">
        <v>2.19482</v>
      </c>
      <c r="IZ76">
        <v>1.39648</v>
      </c>
      <c r="JA76">
        <v>2.35596</v>
      </c>
      <c r="JB76">
        <v>1.49536</v>
      </c>
      <c r="JC76">
        <v>2.31934</v>
      </c>
      <c r="JD76">
        <v>38.4034</v>
      </c>
      <c r="JE76">
        <v>24.035</v>
      </c>
      <c r="JF76">
        <v>18</v>
      </c>
      <c r="JG76">
        <v>512.336</v>
      </c>
      <c r="JH76">
        <v>427.637</v>
      </c>
      <c r="JI76">
        <v>22.5042</v>
      </c>
      <c r="JJ76">
        <v>28.6334</v>
      </c>
      <c r="JK76">
        <v>30.0003</v>
      </c>
      <c r="JL76">
        <v>28.6009</v>
      </c>
      <c r="JM76">
        <v>28.5388</v>
      </c>
      <c r="JN76">
        <v>48.8332</v>
      </c>
      <c r="JO76">
        <v>39.5293</v>
      </c>
      <c r="JP76">
        <v>0</v>
      </c>
      <c r="JQ76">
        <v>22.5041</v>
      </c>
      <c r="JR76">
        <v>1216.59</v>
      </c>
      <c r="JS76">
        <v>11.4312</v>
      </c>
      <c r="JT76">
        <v>100.311</v>
      </c>
      <c r="JU76">
        <v>100.243</v>
      </c>
    </row>
    <row r="77" spans="1:281">
      <c r="A77">
        <v>61</v>
      </c>
      <c r="B77">
        <v>1651864520.1</v>
      </c>
      <c r="C77">
        <v>299.5</v>
      </c>
      <c r="D77" t="s">
        <v>542</v>
      </c>
      <c r="E77" t="s">
        <v>543</v>
      </c>
      <c r="F77">
        <v>2</v>
      </c>
      <c r="G77" t="s">
        <v>413</v>
      </c>
      <c r="H77" t="s">
        <v>414</v>
      </c>
      <c r="I77">
        <v>1651864518.725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1251.644043679671</v>
      </c>
      <c r="AK77">
        <v>1234.474363636364</v>
      </c>
      <c r="AL77">
        <v>-3.347757650723326</v>
      </c>
      <c r="AM77">
        <v>66.38192812717227</v>
      </c>
      <c r="AN77">
        <f>(AP77 - AO77 + DI77*1E3/(8.314*(DK77+273.15)) * AR77/DH77 * AQ77) * DH77/(100*CV77) * 1000/(1000 - AP77)</f>
        <v>0</v>
      </c>
      <c r="AO77">
        <v>11.31632301475378</v>
      </c>
      <c r="AP77">
        <v>18.24929705882352</v>
      </c>
      <c r="AQ77">
        <v>-0.0002487385681591795</v>
      </c>
      <c r="AR77">
        <v>80.47224507511959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417</v>
      </c>
      <c r="AY77" t="s">
        <v>417</v>
      </c>
      <c r="AZ77">
        <v>0</v>
      </c>
      <c r="BA77">
        <v>0</v>
      </c>
      <c r="BB77">
        <f>1-AZ77/BA77</f>
        <v>0</v>
      </c>
      <c r="BC77">
        <v>0</v>
      </c>
      <c r="BD77" t="s">
        <v>417</v>
      </c>
      <c r="BE77" t="s">
        <v>417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417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1248</v>
      </c>
      <c r="CA77">
        <v>300</v>
      </c>
      <c r="CB77">
        <v>300</v>
      </c>
      <c r="CC77">
        <v>300</v>
      </c>
      <c r="CD77">
        <v>10442</v>
      </c>
      <c r="CE77">
        <v>1293.69</v>
      </c>
      <c r="CF77">
        <v>-0.00735246</v>
      </c>
      <c r="CG77">
        <v>0.5</v>
      </c>
      <c r="CH77" t="s">
        <v>417</v>
      </c>
      <c r="CI77" t="s">
        <v>417</v>
      </c>
      <c r="CJ77" t="s">
        <v>417</v>
      </c>
      <c r="CK77" t="s">
        <v>417</v>
      </c>
      <c r="CL77" t="s">
        <v>417</v>
      </c>
      <c r="CM77" t="s">
        <v>417</v>
      </c>
      <c r="CN77" t="s">
        <v>417</v>
      </c>
      <c r="CO77" t="s">
        <v>417</v>
      </c>
      <c r="CP77" t="s">
        <v>417</v>
      </c>
      <c r="CQ77" t="s">
        <v>417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418</v>
      </c>
      <c r="CY77">
        <v>2</v>
      </c>
      <c r="CZ77" t="b">
        <v>1</v>
      </c>
      <c r="DA77">
        <v>1651864518.725</v>
      </c>
      <c r="DB77">
        <v>1214.8175</v>
      </c>
      <c r="DC77">
        <v>1232.9425</v>
      </c>
      <c r="DD77">
        <v>18.2493</v>
      </c>
      <c r="DE77">
        <v>11.351875</v>
      </c>
      <c r="DF77">
        <v>1217.22</v>
      </c>
      <c r="DG77">
        <v>18.230375</v>
      </c>
      <c r="DH77">
        <v>500.04425</v>
      </c>
      <c r="DI77">
        <v>89.937425</v>
      </c>
      <c r="DJ77">
        <v>0.1000282</v>
      </c>
      <c r="DK77">
        <v>25.692675</v>
      </c>
      <c r="DL77">
        <v>25.0023</v>
      </c>
      <c r="DM77">
        <v>999.9</v>
      </c>
      <c r="DN77">
        <v>0</v>
      </c>
      <c r="DO77">
        <v>0</v>
      </c>
      <c r="DP77">
        <v>9989.217500000001</v>
      </c>
      <c r="DQ77">
        <v>0</v>
      </c>
      <c r="DR77">
        <v>3.23193</v>
      </c>
      <c r="DS77">
        <v>-18.1236</v>
      </c>
      <c r="DT77">
        <v>1237.4</v>
      </c>
      <c r="DU77">
        <v>1247.1</v>
      </c>
      <c r="DV77">
        <v>6.89744</v>
      </c>
      <c r="DW77">
        <v>1232.9425</v>
      </c>
      <c r="DX77">
        <v>11.351875</v>
      </c>
      <c r="DY77">
        <v>1.6412925</v>
      </c>
      <c r="DZ77">
        <v>1.0209575</v>
      </c>
      <c r="EA77">
        <v>14.352075</v>
      </c>
      <c r="EB77">
        <v>7.2189325</v>
      </c>
      <c r="EC77">
        <v>1500.0475</v>
      </c>
      <c r="ED77">
        <v>0.97300575</v>
      </c>
      <c r="EE77">
        <v>0.02699445</v>
      </c>
      <c r="EF77">
        <v>0</v>
      </c>
      <c r="EG77">
        <v>958.6242500000001</v>
      </c>
      <c r="EH77">
        <v>5.00097</v>
      </c>
      <c r="EI77">
        <v>14228.6</v>
      </c>
      <c r="EJ77">
        <v>12492</v>
      </c>
      <c r="EK77">
        <v>37.25</v>
      </c>
      <c r="EL77">
        <v>38.687</v>
      </c>
      <c r="EM77">
        <v>37.625</v>
      </c>
      <c r="EN77">
        <v>38.437</v>
      </c>
      <c r="EO77">
        <v>38.125</v>
      </c>
      <c r="EP77">
        <v>1454.6875</v>
      </c>
      <c r="EQ77">
        <v>40.36</v>
      </c>
      <c r="ER77">
        <v>0</v>
      </c>
      <c r="ES77">
        <v>298.7999999523163</v>
      </c>
      <c r="ET77">
        <v>0</v>
      </c>
      <c r="EU77">
        <v>961.7944615384615</v>
      </c>
      <c r="EV77">
        <v>-30.99904273116564</v>
      </c>
      <c r="EW77">
        <v>-462.1264957049376</v>
      </c>
      <c r="EX77">
        <v>14275.58461538462</v>
      </c>
      <c r="EY77">
        <v>15</v>
      </c>
      <c r="EZ77">
        <v>1651864261.1</v>
      </c>
      <c r="FA77" t="s">
        <v>419</v>
      </c>
      <c r="FB77">
        <v>1651864241.6</v>
      </c>
      <c r="FC77">
        <v>1651864261.1</v>
      </c>
      <c r="FD77">
        <v>7</v>
      </c>
      <c r="FE77">
        <v>0.438</v>
      </c>
      <c r="FF77">
        <v>0.002</v>
      </c>
      <c r="FG77">
        <v>-0.988</v>
      </c>
      <c r="FH77">
        <v>-0.066</v>
      </c>
      <c r="FI77">
        <v>400</v>
      </c>
      <c r="FJ77">
        <v>11</v>
      </c>
      <c r="FK77">
        <v>0.05</v>
      </c>
      <c r="FL77">
        <v>0.02</v>
      </c>
      <c r="FM77">
        <v>-18.32288048780488</v>
      </c>
      <c r="FN77">
        <v>1.128834146341481</v>
      </c>
      <c r="FO77">
        <v>0.1749589014033005</v>
      </c>
      <c r="FP77">
        <v>-1</v>
      </c>
      <c r="FQ77">
        <v>6.987178292682927</v>
      </c>
      <c r="FR77">
        <v>-0.4863127526132431</v>
      </c>
      <c r="FS77">
        <v>0.04942958672117882</v>
      </c>
      <c r="FT77">
        <v>-1</v>
      </c>
      <c r="FU77">
        <v>0</v>
      </c>
      <c r="FV77">
        <v>0</v>
      </c>
      <c r="FW77">
        <v>0</v>
      </c>
      <c r="FX77">
        <v>-1</v>
      </c>
      <c r="FY77">
        <v>0</v>
      </c>
      <c r="FZ77">
        <v>0</v>
      </c>
      <c r="GA77" t="s">
        <v>420</v>
      </c>
      <c r="GB77">
        <v>2.98054</v>
      </c>
      <c r="GC77">
        <v>2.70609</v>
      </c>
      <c r="GD77">
        <v>0.193087</v>
      </c>
      <c r="GE77">
        <v>0.192686</v>
      </c>
      <c r="GF77">
        <v>0.0873211</v>
      </c>
      <c r="GG77">
        <v>0.0609124</v>
      </c>
      <c r="GH77">
        <v>25466</v>
      </c>
      <c r="GI77">
        <v>25535.9</v>
      </c>
      <c r="GJ77">
        <v>29346.2</v>
      </c>
      <c r="GK77">
        <v>29262.3</v>
      </c>
      <c r="GL77">
        <v>35467.2</v>
      </c>
      <c r="GM77">
        <v>36603.2</v>
      </c>
      <c r="GN77">
        <v>41306.4</v>
      </c>
      <c r="GO77">
        <v>41766.9</v>
      </c>
      <c r="GP77">
        <v>1.95767</v>
      </c>
      <c r="GQ77">
        <v>1.84827</v>
      </c>
      <c r="GR77">
        <v>-0.0240132</v>
      </c>
      <c r="GS77">
        <v>0</v>
      </c>
      <c r="GT77">
        <v>25.4016</v>
      </c>
      <c r="GU77">
        <v>999.9</v>
      </c>
      <c r="GV77">
        <v>31.9</v>
      </c>
      <c r="GW77">
        <v>34.2</v>
      </c>
      <c r="GX77">
        <v>19.1627</v>
      </c>
      <c r="GY77">
        <v>62.3674</v>
      </c>
      <c r="GZ77">
        <v>34.9519</v>
      </c>
      <c r="HA77">
        <v>1</v>
      </c>
      <c r="HB77">
        <v>0.102879</v>
      </c>
      <c r="HC77">
        <v>2.16686</v>
      </c>
      <c r="HD77">
        <v>20.3202</v>
      </c>
      <c r="HE77">
        <v>5.21564</v>
      </c>
      <c r="HF77">
        <v>12.0099</v>
      </c>
      <c r="HG77">
        <v>4.98865</v>
      </c>
      <c r="HH77">
        <v>3.28848</v>
      </c>
      <c r="HI77">
        <v>994</v>
      </c>
      <c r="HJ77">
        <v>9526.6</v>
      </c>
      <c r="HK77">
        <v>5139.4</v>
      </c>
      <c r="HL77">
        <v>24.8</v>
      </c>
      <c r="HM77">
        <v>1.8675</v>
      </c>
      <c r="HN77">
        <v>1.86646</v>
      </c>
      <c r="HO77">
        <v>1.866</v>
      </c>
      <c r="HP77">
        <v>1.86584</v>
      </c>
      <c r="HQ77">
        <v>1.86769</v>
      </c>
      <c r="HR77">
        <v>1.87018</v>
      </c>
      <c r="HS77">
        <v>1.86889</v>
      </c>
      <c r="HT77">
        <v>1.87025</v>
      </c>
      <c r="HU77">
        <v>0</v>
      </c>
      <c r="HV77">
        <v>0</v>
      </c>
      <c r="HW77">
        <v>0</v>
      </c>
      <c r="HX77">
        <v>0</v>
      </c>
      <c r="HY77" t="s">
        <v>421</v>
      </c>
      <c r="HZ77" t="s">
        <v>422</v>
      </c>
      <c r="IA77" t="s">
        <v>423</v>
      </c>
      <c r="IB77" t="s">
        <v>423</v>
      </c>
      <c r="IC77" t="s">
        <v>423</v>
      </c>
      <c r="ID77" t="s">
        <v>423</v>
      </c>
      <c r="IE77">
        <v>0</v>
      </c>
      <c r="IF77">
        <v>100</v>
      </c>
      <c r="IG77">
        <v>100</v>
      </c>
      <c r="IH77">
        <v>-2.39</v>
      </c>
      <c r="II77">
        <v>0.0189</v>
      </c>
      <c r="IJ77">
        <v>-0.2164499368582429</v>
      </c>
      <c r="IK77">
        <v>-0.002077099775823331</v>
      </c>
      <c r="IL77">
        <v>4.593143279902166E-07</v>
      </c>
      <c r="IM77">
        <v>-1.865383991892071E-10</v>
      </c>
      <c r="IN77">
        <v>-0.06087574426827484</v>
      </c>
      <c r="IO77">
        <v>-0.01129461987421345</v>
      </c>
      <c r="IP77">
        <v>0.00116580895745559</v>
      </c>
      <c r="IQ77">
        <v>-1.679085872906199E-05</v>
      </c>
      <c r="IR77">
        <v>2</v>
      </c>
      <c r="IS77">
        <v>2290</v>
      </c>
      <c r="IT77">
        <v>0</v>
      </c>
      <c r="IU77">
        <v>32</v>
      </c>
      <c r="IV77">
        <v>4.6</v>
      </c>
      <c r="IW77">
        <v>4.3</v>
      </c>
      <c r="IX77">
        <v>2.43164</v>
      </c>
      <c r="IY77">
        <v>2.19482</v>
      </c>
      <c r="IZ77">
        <v>1.39648</v>
      </c>
      <c r="JA77">
        <v>2.35718</v>
      </c>
      <c r="JB77">
        <v>1.49536</v>
      </c>
      <c r="JC77">
        <v>2.3645</v>
      </c>
      <c r="JD77">
        <v>38.4279</v>
      </c>
      <c r="JE77">
        <v>24.035</v>
      </c>
      <c r="JF77">
        <v>18</v>
      </c>
      <c r="JG77">
        <v>512.222</v>
      </c>
      <c r="JH77">
        <v>427.536</v>
      </c>
      <c r="JI77">
        <v>22.5042</v>
      </c>
      <c r="JJ77">
        <v>28.6339</v>
      </c>
      <c r="JK77">
        <v>30.0003</v>
      </c>
      <c r="JL77">
        <v>28.6009</v>
      </c>
      <c r="JM77">
        <v>28.5393</v>
      </c>
      <c r="JN77">
        <v>48.6177</v>
      </c>
      <c r="JO77">
        <v>39.2358</v>
      </c>
      <c r="JP77">
        <v>0</v>
      </c>
      <c r="JQ77">
        <v>22.5042</v>
      </c>
      <c r="JR77">
        <v>1209.92</v>
      </c>
      <c r="JS77">
        <v>11.4536</v>
      </c>
      <c r="JT77">
        <v>100.312</v>
      </c>
      <c r="JU77">
        <v>100.243</v>
      </c>
    </row>
    <row r="78" spans="1:281">
      <c r="A78">
        <v>62</v>
      </c>
      <c r="B78">
        <v>1651864522.1</v>
      </c>
      <c r="C78">
        <v>301.5</v>
      </c>
      <c r="D78" t="s">
        <v>544</v>
      </c>
      <c r="E78" t="s">
        <v>545</v>
      </c>
      <c r="F78">
        <v>2</v>
      </c>
      <c r="G78" t="s">
        <v>413</v>
      </c>
      <c r="H78" t="s">
        <v>414</v>
      </c>
      <c r="I78">
        <v>1651864521.1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1245.144126723815</v>
      </c>
      <c r="AK78">
        <v>1227.721696969697</v>
      </c>
      <c r="AL78">
        <v>-3.36509593178965</v>
      </c>
      <c r="AM78">
        <v>66.38192812717227</v>
      </c>
      <c r="AN78">
        <f>(AP78 - AO78 + DI78*1E3/(8.314*(DK78+273.15)) * AR78/DH78 * AQ78) * DH78/(100*CV78) * 1000/(1000 - AP78)</f>
        <v>0</v>
      </c>
      <c r="AO78">
        <v>11.34415103116275</v>
      </c>
      <c r="AP78">
        <v>18.24468794117646</v>
      </c>
      <c r="AQ78">
        <v>-4.588745279387522E-05</v>
      </c>
      <c r="AR78">
        <v>80.47224507511959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417</v>
      </c>
      <c r="AY78" t="s">
        <v>417</v>
      </c>
      <c r="AZ78">
        <v>0</v>
      </c>
      <c r="BA78">
        <v>0</v>
      </c>
      <c r="BB78">
        <f>1-AZ78/BA78</f>
        <v>0</v>
      </c>
      <c r="BC78">
        <v>0</v>
      </c>
      <c r="BD78" t="s">
        <v>417</v>
      </c>
      <c r="BE78" t="s">
        <v>417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417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1248</v>
      </c>
      <c r="CA78">
        <v>300</v>
      </c>
      <c r="CB78">
        <v>300</v>
      </c>
      <c r="CC78">
        <v>300</v>
      </c>
      <c r="CD78">
        <v>10442</v>
      </c>
      <c r="CE78">
        <v>1293.69</v>
      </c>
      <c r="CF78">
        <v>-0.00735246</v>
      </c>
      <c r="CG78">
        <v>0.5</v>
      </c>
      <c r="CH78" t="s">
        <v>417</v>
      </c>
      <c r="CI78" t="s">
        <v>417</v>
      </c>
      <c r="CJ78" t="s">
        <v>417</v>
      </c>
      <c r="CK78" t="s">
        <v>417</v>
      </c>
      <c r="CL78" t="s">
        <v>417</v>
      </c>
      <c r="CM78" t="s">
        <v>417</v>
      </c>
      <c r="CN78" t="s">
        <v>417</v>
      </c>
      <c r="CO78" t="s">
        <v>417</v>
      </c>
      <c r="CP78" t="s">
        <v>417</v>
      </c>
      <c r="CQ78" t="s">
        <v>417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418</v>
      </c>
      <c r="CY78">
        <v>2</v>
      </c>
      <c r="CZ78" t="b">
        <v>1</v>
      </c>
      <c r="DA78">
        <v>1651864521.1</v>
      </c>
      <c r="DB78">
        <v>1206.983333333333</v>
      </c>
      <c r="DC78">
        <v>1225.17</v>
      </c>
      <c r="DD78">
        <v>18.24536666666667</v>
      </c>
      <c r="DE78">
        <v>11.3569</v>
      </c>
      <c r="DF78">
        <v>1209.37</v>
      </c>
      <c r="DG78">
        <v>18.2265</v>
      </c>
      <c r="DH78">
        <v>500.0556666666666</v>
      </c>
      <c r="DI78">
        <v>89.93996666666668</v>
      </c>
      <c r="DJ78">
        <v>0.09987486666666667</v>
      </c>
      <c r="DK78">
        <v>25.69279999999999</v>
      </c>
      <c r="DL78">
        <v>25.00623333333333</v>
      </c>
      <c r="DM78">
        <v>999.9</v>
      </c>
      <c r="DN78">
        <v>0</v>
      </c>
      <c r="DO78">
        <v>0</v>
      </c>
      <c r="DP78">
        <v>9991.25</v>
      </c>
      <c r="DQ78">
        <v>0</v>
      </c>
      <c r="DR78">
        <v>3.23193</v>
      </c>
      <c r="DS78">
        <v>-18.1854</v>
      </c>
      <c r="DT78">
        <v>1229.416666666667</v>
      </c>
      <c r="DU78">
        <v>1239.246666666667</v>
      </c>
      <c r="DV78">
        <v>6.88849</v>
      </c>
      <c r="DW78">
        <v>1225.17</v>
      </c>
      <c r="DX78">
        <v>11.3569</v>
      </c>
      <c r="DY78">
        <v>1.640986666666667</v>
      </c>
      <c r="DZ78">
        <v>1.021436666666667</v>
      </c>
      <c r="EA78">
        <v>14.34916666666667</v>
      </c>
      <c r="EB78">
        <v>7.22579</v>
      </c>
      <c r="EC78">
        <v>1499.913333333333</v>
      </c>
      <c r="ED78">
        <v>0.9730036666666667</v>
      </c>
      <c r="EE78">
        <v>0.0269967</v>
      </c>
      <c r="EF78">
        <v>0</v>
      </c>
      <c r="EG78">
        <v>957.2596666666667</v>
      </c>
      <c r="EH78">
        <v>5.00097</v>
      </c>
      <c r="EI78">
        <v>14208.73333333333</v>
      </c>
      <c r="EJ78">
        <v>12490.9</v>
      </c>
      <c r="EK78">
        <v>37.25</v>
      </c>
      <c r="EL78">
        <v>38.687</v>
      </c>
      <c r="EM78">
        <v>37.625</v>
      </c>
      <c r="EN78">
        <v>38.437</v>
      </c>
      <c r="EO78">
        <v>38.125</v>
      </c>
      <c r="EP78">
        <v>1454.553333333333</v>
      </c>
      <c r="EQ78">
        <v>40.36</v>
      </c>
      <c r="ER78">
        <v>0</v>
      </c>
      <c r="ES78">
        <v>301.2000000476837</v>
      </c>
      <c r="ET78">
        <v>0</v>
      </c>
      <c r="EU78">
        <v>960.5307307692309</v>
      </c>
      <c r="EV78">
        <v>-30.66314525007962</v>
      </c>
      <c r="EW78">
        <v>-457.3982899890742</v>
      </c>
      <c r="EX78">
        <v>14257.15</v>
      </c>
      <c r="EY78">
        <v>15</v>
      </c>
      <c r="EZ78">
        <v>1651864261.1</v>
      </c>
      <c r="FA78" t="s">
        <v>419</v>
      </c>
      <c r="FB78">
        <v>1651864241.6</v>
      </c>
      <c r="FC78">
        <v>1651864261.1</v>
      </c>
      <c r="FD78">
        <v>7</v>
      </c>
      <c r="FE78">
        <v>0.438</v>
      </c>
      <c r="FF78">
        <v>0.002</v>
      </c>
      <c r="FG78">
        <v>-0.988</v>
      </c>
      <c r="FH78">
        <v>-0.066</v>
      </c>
      <c r="FI78">
        <v>400</v>
      </c>
      <c r="FJ78">
        <v>11</v>
      </c>
      <c r="FK78">
        <v>0.05</v>
      </c>
      <c r="FL78">
        <v>0.02</v>
      </c>
      <c r="FM78">
        <v>-18.30857</v>
      </c>
      <c r="FN78">
        <v>1.232273921200794</v>
      </c>
      <c r="FO78">
        <v>0.1750622892001586</v>
      </c>
      <c r="FP78">
        <v>-1</v>
      </c>
      <c r="FQ78">
        <v>6.97325175</v>
      </c>
      <c r="FR78">
        <v>-0.5122220262664359</v>
      </c>
      <c r="FS78">
        <v>0.05063483336041998</v>
      </c>
      <c r="FT78">
        <v>-1</v>
      </c>
      <c r="FU78">
        <v>0</v>
      </c>
      <c r="FV78">
        <v>0</v>
      </c>
      <c r="FW78">
        <v>0</v>
      </c>
      <c r="FX78">
        <v>-1</v>
      </c>
      <c r="FY78">
        <v>0</v>
      </c>
      <c r="FZ78">
        <v>0</v>
      </c>
      <c r="GA78" t="s">
        <v>420</v>
      </c>
      <c r="GB78">
        <v>2.98047</v>
      </c>
      <c r="GC78">
        <v>2.70598</v>
      </c>
      <c r="GD78">
        <v>0.19243</v>
      </c>
      <c r="GE78">
        <v>0.192026</v>
      </c>
      <c r="GF78">
        <v>0.0873067</v>
      </c>
      <c r="GG78">
        <v>0.060934</v>
      </c>
      <c r="GH78">
        <v>25486.8</v>
      </c>
      <c r="GI78">
        <v>25556.6</v>
      </c>
      <c r="GJ78">
        <v>29346.2</v>
      </c>
      <c r="GK78">
        <v>29262</v>
      </c>
      <c r="GL78">
        <v>35467.7</v>
      </c>
      <c r="GM78">
        <v>36602</v>
      </c>
      <c r="GN78">
        <v>41306.3</v>
      </c>
      <c r="GO78">
        <v>41766.5</v>
      </c>
      <c r="GP78">
        <v>1.9576</v>
      </c>
      <c r="GQ78">
        <v>1.84837</v>
      </c>
      <c r="GR78">
        <v>-0.0238679</v>
      </c>
      <c r="GS78">
        <v>0</v>
      </c>
      <c r="GT78">
        <v>25.4021</v>
      </c>
      <c r="GU78">
        <v>999.9</v>
      </c>
      <c r="GV78">
        <v>31.9</v>
      </c>
      <c r="GW78">
        <v>34.2</v>
      </c>
      <c r="GX78">
        <v>19.162</v>
      </c>
      <c r="GY78">
        <v>62.3474</v>
      </c>
      <c r="GZ78">
        <v>35.1362</v>
      </c>
      <c r="HA78">
        <v>1</v>
      </c>
      <c r="HB78">
        <v>0.102835</v>
      </c>
      <c r="HC78">
        <v>2.16695</v>
      </c>
      <c r="HD78">
        <v>20.3203</v>
      </c>
      <c r="HE78">
        <v>5.21564</v>
      </c>
      <c r="HF78">
        <v>12.0099</v>
      </c>
      <c r="HG78">
        <v>4.9888</v>
      </c>
      <c r="HH78">
        <v>3.28858</v>
      </c>
      <c r="HI78">
        <v>994.2</v>
      </c>
      <c r="HJ78">
        <v>9527.9</v>
      </c>
      <c r="HK78">
        <v>5139.4</v>
      </c>
      <c r="HL78">
        <v>24.8</v>
      </c>
      <c r="HM78">
        <v>1.86749</v>
      </c>
      <c r="HN78">
        <v>1.86646</v>
      </c>
      <c r="HO78">
        <v>1.866</v>
      </c>
      <c r="HP78">
        <v>1.86584</v>
      </c>
      <c r="HQ78">
        <v>1.86768</v>
      </c>
      <c r="HR78">
        <v>1.87017</v>
      </c>
      <c r="HS78">
        <v>1.86889</v>
      </c>
      <c r="HT78">
        <v>1.87024</v>
      </c>
      <c r="HU78">
        <v>0</v>
      </c>
      <c r="HV78">
        <v>0</v>
      </c>
      <c r="HW78">
        <v>0</v>
      </c>
      <c r="HX78">
        <v>0</v>
      </c>
      <c r="HY78" t="s">
        <v>421</v>
      </c>
      <c r="HZ78" t="s">
        <v>422</v>
      </c>
      <c r="IA78" t="s">
        <v>423</v>
      </c>
      <c r="IB78" t="s">
        <v>423</v>
      </c>
      <c r="IC78" t="s">
        <v>423</v>
      </c>
      <c r="ID78" t="s">
        <v>423</v>
      </c>
      <c r="IE78">
        <v>0</v>
      </c>
      <c r="IF78">
        <v>100</v>
      </c>
      <c r="IG78">
        <v>100</v>
      </c>
      <c r="IH78">
        <v>-2.38</v>
      </c>
      <c r="II78">
        <v>0.0188</v>
      </c>
      <c r="IJ78">
        <v>-0.2164499368582429</v>
      </c>
      <c r="IK78">
        <v>-0.002077099775823331</v>
      </c>
      <c r="IL78">
        <v>4.593143279902166E-07</v>
      </c>
      <c r="IM78">
        <v>-1.865383991892071E-10</v>
      </c>
      <c r="IN78">
        <v>-0.06087574426827484</v>
      </c>
      <c r="IO78">
        <v>-0.01129461987421345</v>
      </c>
      <c r="IP78">
        <v>0.00116580895745559</v>
      </c>
      <c r="IQ78">
        <v>-1.679085872906199E-05</v>
      </c>
      <c r="IR78">
        <v>2</v>
      </c>
      <c r="IS78">
        <v>2290</v>
      </c>
      <c r="IT78">
        <v>0</v>
      </c>
      <c r="IU78">
        <v>32</v>
      </c>
      <c r="IV78">
        <v>4.7</v>
      </c>
      <c r="IW78">
        <v>4.3</v>
      </c>
      <c r="IX78">
        <v>2.42065</v>
      </c>
      <c r="IY78">
        <v>2.20093</v>
      </c>
      <c r="IZ78">
        <v>1.39648</v>
      </c>
      <c r="JA78">
        <v>2.35596</v>
      </c>
      <c r="JB78">
        <v>1.49536</v>
      </c>
      <c r="JC78">
        <v>2.28149</v>
      </c>
      <c r="JD78">
        <v>38.4279</v>
      </c>
      <c r="JE78">
        <v>24.035</v>
      </c>
      <c r="JF78">
        <v>18</v>
      </c>
      <c r="JG78">
        <v>512.173</v>
      </c>
      <c r="JH78">
        <v>427.604</v>
      </c>
      <c r="JI78">
        <v>22.5043</v>
      </c>
      <c r="JJ78">
        <v>28.6339</v>
      </c>
      <c r="JK78">
        <v>30.0002</v>
      </c>
      <c r="JL78">
        <v>28.6009</v>
      </c>
      <c r="JM78">
        <v>28.5405</v>
      </c>
      <c r="JN78">
        <v>48.4039</v>
      </c>
      <c r="JO78">
        <v>39.2358</v>
      </c>
      <c r="JP78">
        <v>0</v>
      </c>
      <c r="JQ78">
        <v>22.5042</v>
      </c>
      <c r="JR78">
        <v>1203.24</v>
      </c>
      <c r="JS78">
        <v>11.4743</v>
      </c>
      <c r="JT78">
        <v>100.312</v>
      </c>
      <c r="JU78">
        <v>100.242</v>
      </c>
    </row>
    <row r="79" spans="1:281">
      <c r="A79">
        <v>63</v>
      </c>
      <c r="B79">
        <v>1651864524.1</v>
      </c>
      <c r="C79">
        <v>303.5</v>
      </c>
      <c r="D79" t="s">
        <v>546</v>
      </c>
      <c r="E79" t="s">
        <v>547</v>
      </c>
      <c r="F79">
        <v>2</v>
      </c>
      <c r="G79" t="s">
        <v>413</v>
      </c>
      <c r="H79" t="s">
        <v>414</v>
      </c>
      <c r="I79">
        <v>1651864522.725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1238.459757899972</v>
      </c>
      <c r="AK79">
        <v>1220.994181818181</v>
      </c>
      <c r="AL79">
        <v>-3.370544255095065</v>
      </c>
      <c r="AM79">
        <v>66.38192812717227</v>
      </c>
      <c r="AN79">
        <f>(AP79 - AO79 + DI79*1E3/(8.314*(DK79+273.15)) * AR79/DH79 * AQ79) * DH79/(100*CV79) * 1000/(1000 - AP79)</f>
        <v>0</v>
      </c>
      <c r="AO79">
        <v>11.35372424378136</v>
      </c>
      <c r="AP79">
        <v>18.23998</v>
      </c>
      <c r="AQ79">
        <v>-5.794519178449143E-05</v>
      </c>
      <c r="AR79">
        <v>80.47224507511959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417</v>
      </c>
      <c r="AY79" t="s">
        <v>417</v>
      </c>
      <c r="AZ79">
        <v>0</v>
      </c>
      <c r="BA79">
        <v>0</v>
      </c>
      <c r="BB79">
        <f>1-AZ79/BA79</f>
        <v>0</v>
      </c>
      <c r="BC79">
        <v>0</v>
      </c>
      <c r="BD79" t="s">
        <v>417</v>
      </c>
      <c r="BE79" t="s">
        <v>417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417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1248</v>
      </c>
      <c r="CA79">
        <v>300</v>
      </c>
      <c r="CB79">
        <v>300</v>
      </c>
      <c r="CC79">
        <v>300</v>
      </c>
      <c r="CD79">
        <v>10442</v>
      </c>
      <c r="CE79">
        <v>1293.69</v>
      </c>
      <c r="CF79">
        <v>-0.00735246</v>
      </c>
      <c r="CG79">
        <v>0.5</v>
      </c>
      <c r="CH79" t="s">
        <v>417</v>
      </c>
      <c r="CI79" t="s">
        <v>417</v>
      </c>
      <c r="CJ79" t="s">
        <v>417</v>
      </c>
      <c r="CK79" t="s">
        <v>417</v>
      </c>
      <c r="CL79" t="s">
        <v>417</v>
      </c>
      <c r="CM79" t="s">
        <v>417</v>
      </c>
      <c r="CN79" t="s">
        <v>417</v>
      </c>
      <c r="CO79" t="s">
        <v>417</v>
      </c>
      <c r="CP79" t="s">
        <v>417</v>
      </c>
      <c r="CQ79" t="s">
        <v>417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418</v>
      </c>
      <c r="CY79">
        <v>2</v>
      </c>
      <c r="CZ79" t="b">
        <v>1</v>
      </c>
      <c r="DA79">
        <v>1651864522.725</v>
      </c>
      <c r="DB79">
        <v>1201.615</v>
      </c>
      <c r="DC79">
        <v>1219.6225</v>
      </c>
      <c r="DD79">
        <v>18.2422</v>
      </c>
      <c r="DE79">
        <v>11.365775</v>
      </c>
      <c r="DF79">
        <v>1203.9925</v>
      </c>
      <c r="DG79">
        <v>18.223375</v>
      </c>
      <c r="DH79">
        <v>500.01675</v>
      </c>
      <c r="DI79">
        <v>89.94135</v>
      </c>
      <c r="DJ79">
        <v>0.09975009999999999</v>
      </c>
      <c r="DK79">
        <v>25.693625</v>
      </c>
      <c r="DL79">
        <v>25.0084</v>
      </c>
      <c r="DM79">
        <v>999.9</v>
      </c>
      <c r="DN79">
        <v>0</v>
      </c>
      <c r="DO79">
        <v>0</v>
      </c>
      <c r="DP79">
        <v>10010.1625</v>
      </c>
      <c r="DQ79">
        <v>0</v>
      </c>
      <c r="DR79">
        <v>3.23193</v>
      </c>
      <c r="DS79">
        <v>-18.00605</v>
      </c>
      <c r="DT79">
        <v>1223.94</v>
      </c>
      <c r="DU79">
        <v>1233.645</v>
      </c>
      <c r="DV79">
        <v>6.876425</v>
      </c>
      <c r="DW79">
        <v>1219.6225</v>
      </c>
      <c r="DX79">
        <v>11.365775</v>
      </c>
      <c r="DY79">
        <v>1.6407275</v>
      </c>
      <c r="DZ79">
        <v>1.0222525</v>
      </c>
      <c r="EA79">
        <v>14.346725</v>
      </c>
      <c r="EB79">
        <v>7.237475</v>
      </c>
      <c r="EC79">
        <v>1500.0325</v>
      </c>
      <c r="ED79">
        <v>0.9730045</v>
      </c>
      <c r="EE79">
        <v>0.0269958</v>
      </c>
      <c r="EF79">
        <v>0</v>
      </c>
      <c r="EG79">
        <v>956.78025</v>
      </c>
      <c r="EH79">
        <v>5.00097</v>
      </c>
      <c r="EI79">
        <v>14198.1</v>
      </c>
      <c r="EJ79">
        <v>12491.875</v>
      </c>
      <c r="EK79">
        <v>37.25</v>
      </c>
      <c r="EL79">
        <v>38.7185</v>
      </c>
      <c r="EM79">
        <v>37.625</v>
      </c>
      <c r="EN79">
        <v>38.437</v>
      </c>
      <c r="EO79">
        <v>38.125</v>
      </c>
      <c r="EP79">
        <v>1454.67</v>
      </c>
      <c r="EQ79">
        <v>40.3625</v>
      </c>
      <c r="ER79">
        <v>0</v>
      </c>
      <c r="ES79">
        <v>303</v>
      </c>
      <c r="ET79">
        <v>0</v>
      </c>
      <c r="EU79">
        <v>959.4970799999999</v>
      </c>
      <c r="EV79">
        <v>-30.14730772677457</v>
      </c>
      <c r="EW79">
        <v>-450.5846160839457</v>
      </c>
      <c r="EX79">
        <v>14241.276</v>
      </c>
      <c r="EY79">
        <v>15</v>
      </c>
      <c r="EZ79">
        <v>1651864261.1</v>
      </c>
      <c r="FA79" t="s">
        <v>419</v>
      </c>
      <c r="FB79">
        <v>1651864241.6</v>
      </c>
      <c r="FC79">
        <v>1651864261.1</v>
      </c>
      <c r="FD79">
        <v>7</v>
      </c>
      <c r="FE79">
        <v>0.438</v>
      </c>
      <c r="FF79">
        <v>0.002</v>
      </c>
      <c r="FG79">
        <v>-0.988</v>
      </c>
      <c r="FH79">
        <v>-0.066</v>
      </c>
      <c r="FI79">
        <v>400</v>
      </c>
      <c r="FJ79">
        <v>11</v>
      </c>
      <c r="FK79">
        <v>0.05</v>
      </c>
      <c r="FL79">
        <v>0.02</v>
      </c>
      <c r="FM79">
        <v>-18.27997</v>
      </c>
      <c r="FN79">
        <v>1.594552345215816</v>
      </c>
      <c r="FO79">
        <v>0.1915358428597635</v>
      </c>
      <c r="FP79">
        <v>-1</v>
      </c>
      <c r="FQ79">
        <v>6.958186500000001</v>
      </c>
      <c r="FR79">
        <v>-0.5506212382739255</v>
      </c>
      <c r="FS79">
        <v>0.05371066405054031</v>
      </c>
      <c r="FT79">
        <v>-1</v>
      </c>
      <c r="FU79">
        <v>0</v>
      </c>
      <c r="FV79">
        <v>0</v>
      </c>
      <c r="FW79">
        <v>0</v>
      </c>
      <c r="FX79">
        <v>-1</v>
      </c>
      <c r="FY79">
        <v>0</v>
      </c>
      <c r="FZ79">
        <v>0</v>
      </c>
      <c r="GA79" t="s">
        <v>420</v>
      </c>
      <c r="GB79">
        <v>2.9803</v>
      </c>
      <c r="GC79">
        <v>2.70611</v>
      </c>
      <c r="GD79">
        <v>0.191771</v>
      </c>
      <c r="GE79">
        <v>0.191365</v>
      </c>
      <c r="GF79">
        <v>0.08730400000000001</v>
      </c>
      <c r="GG79">
        <v>0.0610056</v>
      </c>
      <c r="GH79">
        <v>25507.5</v>
      </c>
      <c r="GI79">
        <v>25577.4</v>
      </c>
      <c r="GJ79">
        <v>29346.1</v>
      </c>
      <c r="GK79">
        <v>29261.8</v>
      </c>
      <c r="GL79">
        <v>35467.6</v>
      </c>
      <c r="GM79">
        <v>36598.9</v>
      </c>
      <c r="GN79">
        <v>41306.2</v>
      </c>
      <c r="GO79">
        <v>41766.1</v>
      </c>
      <c r="GP79">
        <v>1.95763</v>
      </c>
      <c r="GQ79">
        <v>1.8484</v>
      </c>
      <c r="GR79">
        <v>-0.0239201</v>
      </c>
      <c r="GS79">
        <v>0</v>
      </c>
      <c r="GT79">
        <v>25.4027</v>
      </c>
      <c r="GU79">
        <v>999.9</v>
      </c>
      <c r="GV79">
        <v>31.9</v>
      </c>
      <c r="GW79">
        <v>34.2</v>
      </c>
      <c r="GX79">
        <v>19.1624</v>
      </c>
      <c r="GY79">
        <v>62.2374</v>
      </c>
      <c r="GZ79">
        <v>35.3045</v>
      </c>
      <c r="HA79">
        <v>1</v>
      </c>
      <c r="HB79">
        <v>0.102873</v>
      </c>
      <c r="HC79">
        <v>2.16716</v>
      </c>
      <c r="HD79">
        <v>20.3203</v>
      </c>
      <c r="HE79">
        <v>5.21624</v>
      </c>
      <c r="HF79">
        <v>12.0099</v>
      </c>
      <c r="HG79">
        <v>4.989</v>
      </c>
      <c r="HH79">
        <v>3.28865</v>
      </c>
      <c r="HI79">
        <v>994.2</v>
      </c>
      <c r="HJ79">
        <v>9527.9</v>
      </c>
      <c r="HK79">
        <v>5139.4</v>
      </c>
      <c r="HL79">
        <v>24.8</v>
      </c>
      <c r="HM79">
        <v>1.86749</v>
      </c>
      <c r="HN79">
        <v>1.86646</v>
      </c>
      <c r="HO79">
        <v>1.866</v>
      </c>
      <c r="HP79">
        <v>1.86584</v>
      </c>
      <c r="HQ79">
        <v>1.86768</v>
      </c>
      <c r="HR79">
        <v>1.87016</v>
      </c>
      <c r="HS79">
        <v>1.86889</v>
      </c>
      <c r="HT79">
        <v>1.87024</v>
      </c>
      <c r="HU79">
        <v>0</v>
      </c>
      <c r="HV79">
        <v>0</v>
      </c>
      <c r="HW79">
        <v>0</v>
      </c>
      <c r="HX79">
        <v>0</v>
      </c>
      <c r="HY79" t="s">
        <v>421</v>
      </c>
      <c r="HZ79" t="s">
        <v>422</v>
      </c>
      <c r="IA79" t="s">
        <v>423</v>
      </c>
      <c r="IB79" t="s">
        <v>423</v>
      </c>
      <c r="IC79" t="s">
        <v>423</v>
      </c>
      <c r="ID79" t="s">
        <v>423</v>
      </c>
      <c r="IE79">
        <v>0</v>
      </c>
      <c r="IF79">
        <v>100</v>
      </c>
      <c r="IG79">
        <v>100</v>
      </c>
      <c r="IH79">
        <v>-2.37</v>
      </c>
      <c r="II79">
        <v>0.0188</v>
      </c>
      <c r="IJ79">
        <v>-0.2164499368582429</v>
      </c>
      <c r="IK79">
        <v>-0.002077099775823331</v>
      </c>
      <c r="IL79">
        <v>4.593143279902166E-07</v>
      </c>
      <c r="IM79">
        <v>-1.865383991892071E-10</v>
      </c>
      <c r="IN79">
        <v>-0.06087574426827484</v>
      </c>
      <c r="IO79">
        <v>-0.01129461987421345</v>
      </c>
      <c r="IP79">
        <v>0.00116580895745559</v>
      </c>
      <c r="IQ79">
        <v>-1.679085872906199E-05</v>
      </c>
      <c r="IR79">
        <v>2</v>
      </c>
      <c r="IS79">
        <v>2290</v>
      </c>
      <c r="IT79">
        <v>0</v>
      </c>
      <c r="IU79">
        <v>32</v>
      </c>
      <c r="IV79">
        <v>4.7</v>
      </c>
      <c r="IW79">
        <v>4.4</v>
      </c>
      <c r="IX79">
        <v>2.40967</v>
      </c>
      <c r="IY79">
        <v>2.18994</v>
      </c>
      <c r="IZ79">
        <v>1.39648</v>
      </c>
      <c r="JA79">
        <v>2.35596</v>
      </c>
      <c r="JB79">
        <v>1.49536</v>
      </c>
      <c r="JC79">
        <v>2.34985</v>
      </c>
      <c r="JD79">
        <v>38.4279</v>
      </c>
      <c r="JE79">
        <v>24.035</v>
      </c>
      <c r="JF79">
        <v>18</v>
      </c>
      <c r="JG79">
        <v>512.1950000000001</v>
      </c>
      <c r="JH79">
        <v>427.625</v>
      </c>
      <c r="JI79">
        <v>22.5042</v>
      </c>
      <c r="JJ79">
        <v>28.6346</v>
      </c>
      <c r="JK79">
        <v>30.0002</v>
      </c>
      <c r="JL79">
        <v>28.6015</v>
      </c>
      <c r="JM79">
        <v>28.5412</v>
      </c>
      <c r="JN79">
        <v>48.1854</v>
      </c>
      <c r="JO79">
        <v>39.2358</v>
      </c>
      <c r="JP79">
        <v>0</v>
      </c>
      <c r="JQ79">
        <v>22.5042</v>
      </c>
      <c r="JR79">
        <v>1196.56</v>
      </c>
      <c r="JS79">
        <v>11.4862</v>
      </c>
      <c r="JT79">
        <v>100.311</v>
      </c>
      <c r="JU79">
        <v>100.241</v>
      </c>
    </row>
    <row r="80" spans="1:281">
      <c r="A80">
        <v>64</v>
      </c>
      <c r="B80">
        <v>1651864526.1</v>
      </c>
      <c r="C80">
        <v>305.5</v>
      </c>
      <c r="D80" t="s">
        <v>548</v>
      </c>
      <c r="E80" t="s">
        <v>549</v>
      </c>
      <c r="F80">
        <v>2</v>
      </c>
      <c r="G80" t="s">
        <v>413</v>
      </c>
      <c r="H80" t="s">
        <v>414</v>
      </c>
      <c r="I80">
        <v>1651864525.1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1231.567959588981</v>
      </c>
      <c r="AK80">
        <v>1214.300606060606</v>
      </c>
      <c r="AL80">
        <v>-3.352480025694604</v>
      </c>
      <c r="AM80">
        <v>66.38192812717227</v>
      </c>
      <c r="AN80">
        <f>(AP80 - AO80 + DI80*1E3/(8.314*(DK80+273.15)) * AR80/DH80 * AQ80) * DH80/(100*CV80) * 1000/(1000 - AP80)</f>
        <v>0</v>
      </c>
      <c r="AO80">
        <v>11.35884342310303</v>
      </c>
      <c r="AP80">
        <v>18.23709500000001</v>
      </c>
      <c r="AQ80">
        <v>-0.0001268636483255454</v>
      </c>
      <c r="AR80">
        <v>80.47224507511959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417</v>
      </c>
      <c r="AY80" t="s">
        <v>417</v>
      </c>
      <c r="AZ80">
        <v>0</v>
      </c>
      <c r="BA80">
        <v>0</v>
      </c>
      <c r="BB80">
        <f>1-AZ80/BA80</f>
        <v>0</v>
      </c>
      <c r="BC80">
        <v>0</v>
      </c>
      <c r="BD80" t="s">
        <v>417</v>
      </c>
      <c r="BE80" t="s">
        <v>417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417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1248</v>
      </c>
      <c r="CA80">
        <v>300</v>
      </c>
      <c r="CB80">
        <v>300</v>
      </c>
      <c r="CC80">
        <v>300</v>
      </c>
      <c r="CD80">
        <v>10442</v>
      </c>
      <c r="CE80">
        <v>1293.69</v>
      </c>
      <c r="CF80">
        <v>-0.00735246</v>
      </c>
      <c r="CG80">
        <v>0.5</v>
      </c>
      <c r="CH80" t="s">
        <v>417</v>
      </c>
      <c r="CI80" t="s">
        <v>417</v>
      </c>
      <c r="CJ80" t="s">
        <v>417</v>
      </c>
      <c r="CK80" t="s">
        <v>417</v>
      </c>
      <c r="CL80" t="s">
        <v>417</v>
      </c>
      <c r="CM80" t="s">
        <v>417</v>
      </c>
      <c r="CN80" t="s">
        <v>417</v>
      </c>
      <c r="CO80" t="s">
        <v>417</v>
      </c>
      <c r="CP80" t="s">
        <v>417</v>
      </c>
      <c r="CQ80" t="s">
        <v>417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418</v>
      </c>
      <c r="CY80">
        <v>2</v>
      </c>
      <c r="CZ80" t="b">
        <v>1</v>
      </c>
      <c r="DA80">
        <v>1651864525.1</v>
      </c>
      <c r="DB80">
        <v>1193.786666666667</v>
      </c>
      <c r="DC80">
        <v>1211.7</v>
      </c>
      <c r="DD80">
        <v>18.23796666666667</v>
      </c>
      <c r="DE80">
        <v>11.3872</v>
      </c>
      <c r="DF80">
        <v>1196.15</v>
      </c>
      <c r="DG80">
        <v>18.2192</v>
      </c>
      <c r="DH80">
        <v>500.0156666666667</v>
      </c>
      <c r="DI80">
        <v>89.94246666666668</v>
      </c>
      <c r="DJ80">
        <v>0.1000182333333333</v>
      </c>
      <c r="DK80">
        <v>25.69596666666666</v>
      </c>
      <c r="DL80">
        <v>25.0093</v>
      </c>
      <c r="DM80">
        <v>999.9</v>
      </c>
      <c r="DN80">
        <v>0</v>
      </c>
      <c r="DO80">
        <v>0</v>
      </c>
      <c r="DP80">
        <v>10016.86666666667</v>
      </c>
      <c r="DQ80">
        <v>0</v>
      </c>
      <c r="DR80">
        <v>3.23193</v>
      </c>
      <c r="DS80">
        <v>-17.91283333333334</v>
      </c>
      <c r="DT80">
        <v>1215.963333333333</v>
      </c>
      <c r="DU80">
        <v>1225.656666666667</v>
      </c>
      <c r="DV80">
        <v>6.8508</v>
      </c>
      <c r="DW80">
        <v>1211.7</v>
      </c>
      <c r="DX80">
        <v>11.3872</v>
      </c>
      <c r="DY80">
        <v>1.64037</v>
      </c>
      <c r="DZ80">
        <v>1.024193333333334</v>
      </c>
      <c r="EA80">
        <v>14.34336666666667</v>
      </c>
      <c r="EB80">
        <v>7.265143333333334</v>
      </c>
      <c r="EC80">
        <v>1500.106666666667</v>
      </c>
      <c r="ED80">
        <v>0.9730053333333334</v>
      </c>
      <c r="EE80">
        <v>0.0269949</v>
      </c>
      <c r="EF80">
        <v>0</v>
      </c>
      <c r="EG80">
        <v>955.7196666666667</v>
      </c>
      <c r="EH80">
        <v>5.00097</v>
      </c>
      <c r="EI80">
        <v>14182.56666666667</v>
      </c>
      <c r="EJ80">
        <v>12492.46666666667</v>
      </c>
      <c r="EK80">
        <v>37.25</v>
      </c>
      <c r="EL80">
        <v>38.729</v>
      </c>
      <c r="EM80">
        <v>37.625</v>
      </c>
      <c r="EN80">
        <v>38.437</v>
      </c>
      <c r="EO80">
        <v>38.125</v>
      </c>
      <c r="EP80">
        <v>1454.743333333333</v>
      </c>
      <c r="EQ80">
        <v>40.36333333333333</v>
      </c>
      <c r="ER80">
        <v>0</v>
      </c>
      <c r="ES80">
        <v>304.7999999523163</v>
      </c>
      <c r="ET80">
        <v>0</v>
      </c>
      <c r="EU80">
        <v>958.7463076923078</v>
      </c>
      <c r="EV80">
        <v>-29.30735041417929</v>
      </c>
      <c r="EW80">
        <v>-443.7880341847802</v>
      </c>
      <c r="EX80">
        <v>14230.35384615385</v>
      </c>
      <c r="EY80">
        <v>15</v>
      </c>
      <c r="EZ80">
        <v>1651864261.1</v>
      </c>
      <c r="FA80" t="s">
        <v>419</v>
      </c>
      <c r="FB80">
        <v>1651864241.6</v>
      </c>
      <c r="FC80">
        <v>1651864261.1</v>
      </c>
      <c r="FD80">
        <v>7</v>
      </c>
      <c r="FE80">
        <v>0.438</v>
      </c>
      <c r="FF80">
        <v>0.002</v>
      </c>
      <c r="FG80">
        <v>-0.988</v>
      </c>
      <c r="FH80">
        <v>-0.066</v>
      </c>
      <c r="FI80">
        <v>400</v>
      </c>
      <c r="FJ80">
        <v>11</v>
      </c>
      <c r="FK80">
        <v>0.05</v>
      </c>
      <c r="FL80">
        <v>0.02</v>
      </c>
      <c r="FM80">
        <v>-18.2073243902439</v>
      </c>
      <c r="FN80">
        <v>1.633300348432061</v>
      </c>
      <c r="FO80">
        <v>0.194416979310297</v>
      </c>
      <c r="FP80">
        <v>-1</v>
      </c>
      <c r="FQ80">
        <v>6.939080975609757</v>
      </c>
      <c r="FR80">
        <v>-0.5736505923344921</v>
      </c>
      <c r="FS80">
        <v>0.05700488750140809</v>
      </c>
      <c r="FT80">
        <v>-1</v>
      </c>
      <c r="FU80">
        <v>0</v>
      </c>
      <c r="FV80">
        <v>0</v>
      </c>
      <c r="FW80">
        <v>0</v>
      </c>
      <c r="FX80">
        <v>-1</v>
      </c>
      <c r="FY80">
        <v>0</v>
      </c>
      <c r="FZ80">
        <v>0</v>
      </c>
      <c r="GA80" t="s">
        <v>420</v>
      </c>
      <c r="GB80">
        <v>2.98068</v>
      </c>
      <c r="GC80">
        <v>2.70641</v>
      </c>
      <c r="GD80">
        <v>0.191113</v>
      </c>
      <c r="GE80">
        <v>0.190716</v>
      </c>
      <c r="GF80">
        <v>0.0872829</v>
      </c>
      <c r="GG80">
        <v>0.0610696</v>
      </c>
      <c r="GH80">
        <v>25528.4</v>
      </c>
      <c r="GI80">
        <v>25597.9</v>
      </c>
      <c r="GJ80">
        <v>29346.3</v>
      </c>
      <c r="GK80">
        <v>29261.8</v>
      </c>
      <c r="GL80">
        <v>35468.6</v>
      </c>
      <c r="GM80">
        <v>36596.4</v>
      </c>
      <c r="GN80">
        <v>41306.4</v>
      </c>
      <c r="GO80">
        <v>41766.1</v>
      </c>
      <c r="GP80">
        <v>1.95788</v>
      </c>
      <c r="GQ80">
        <v>1.84827</v>
      </c>
      <c r="GR80">
        <v>-0.0242293</v>
      </c>
      <c r="GS80">
        <v>0</v>
      </c>
      <c r="GT80">
        <v>25.4032</v>
      </c>
      <c r="GU80">
        <v>999.9</v>
      </c>
      <c r="GV80">
        <v>31.9</v>
      </c>
      <c r="GW80">
        <v>34.2</v>
      </c>
      <c r="GX80">
        <v>19.1615</v>
      </c>
      <c r="GY80">
        <v>62.3374</v>
      </c>
      <c r="GZ80">
        <v>34.8918</v>
      </c>
      <c r="HA80">
        <v>1</v>
      </c>
      <c r="HB80">
        <v>0.103089</v>
      </c>
      <c r="HC80">
        <v>2.16713</v>
      </c>
      <c r="HD80">
        <v>20.3203</v>
      </c>
      <c r="HE80">
        <v>5.21639</v>
      </c>
      <c r="HF80">
        <v>12.0099</v>
      </c>
      <c r="HG80">
        <v>4.98885</v>
      </c>
      <c r="HH80">
        <v>3.28865</v>
      </c>
      <c r="HI80">
        <v>994.2</v>
      </c>
      <c r="HJ80">
        <v>9527.9</v>
      </c>
      <c r="HK80">
        <v>5139.4</v>
      </c>
      <c r="HL80">
        <v>24.8</v>
      </c>
      <c r="HM80">
        <v>1.8675</v>
      </c>
      <c r="HN80">
        <v>1.86646</v>
      </c>
      <c r="HO80">
        <v>1.866</v>
      </c>
      <c r="HP80">
        <v>1.86584</v>
      </c>
      <c r="HQ80">
        <v>1.86768</v>
      </c>
      <c r="HR80">
        <v>1.87017</v>
      </c>
      <c r="HS80">
        <v>1.86888</v>
      </c>
      <c r="HT80">
        <v>1.87025</v>
      </c>
      <c r="HU80">
        <v>0</v>
      </c>
      <c r="HV80">
        <v>0</v>
      </c>
      <c r="HW80">
        <v>0</v>
      </c>
      <c r="HX80">
        <v>0</v>
      </c>
      <c r="HY80" t="s">
        <v>421</v>
      </c>
      <c r="HZ80" t="s">
        <v>422</v>
      </c>
      <c r="IA80" t="s">
        <v>423</v>
      </c>
      <c r="IB80" t="s">
        <v>423</v>
      </c>
      <c r="IC80" t="s">
        <v>423</v>
      </c>
      <c r="ID80" t="s">
        <v>423</v>
      </c>
      <c r="IE80">
        <v>0</v>
      </c>
      <c r="IF80">
        <v>100</v>
      </c>
      <c r="IG80">
        <v>100</v>
      </c>
      <c r="IH80">
        <v>-2.36</v>
      </c>
      <c r="II80">
        <v>0.0187</v>
      </c>
      <c r="IJ80">
        <v>-0.2164499368582429</v>
      </c>
      <c r="IK80">
        <v>-0.002077099775823331</v>
      </c>
      <c r="IL80">
        <v>4.593143279902166E-07</v>
      </c>
      <c r="IM80">
        <v>-1.865383991892071E-10</v>
      </c>
      <c r="IN80">
        <v>-0.06087574426827484</v>
      </c>
      <c r="IO80">
        <v>-0.01129461987421345</v>
      </c>
      <c r="IP80">
        <v>0.00116580895745559</v>
      </c>
      <c r="IQ80">
        <v>-1.679085872906199E-05</v>
      </c>
      <c r="IR80">
        <v>2</v>
      </c>
      <c r="IS80">
        <v>2290</v>
      </c>
      <c r="IT80">
        <v>0</v>
      </c>
      <c r="IU80">
        <v>32</v>
      </c>
      <c r="IV80">
        <v>4.7</v>
      </c>
      <c r="IW80">
        <v>4.4</v>
      </c>
      <c r="IX80">
        <v>2.39868</v>
      </c>
      <c r="IY80">
        <v>2.19971</v>
      </c>
      <c r="IZ80">
        <v>1.39648</v>
      </c>
      <c r="JA80">
        <v>2.35596</v>
      </c>
      <c r="JB80">
        <v>1.49536</v>
      </c>
      <c r="JC80">
        <v>2.33398</v>
      </c>
      <c r="JD80">
        <v>38.4034</v>
      </c>
      <c r="JE80">
        <v>24.0262</v>
      </c>
      <c r="JF80">
        <v>18</v>
      </c>
      <c r="JG80">
        <v>512.3680000000001</v>
      </c>
      <c r="JH80">
        <v>427.55</v>
      </c>
      <c r="JI80">
        <v>22.5042</v>
      </c>
      <c r="JJ80">
        <v>28.6358</v>
      </c>
      <c r="JK80">
        <v>30.0003</v>
      </c>
      <c r="JL80">
        <v>28.6027</v>
      </c>
      <c r="JM80">
        <v>28.5412</v>
      </c>
      <c r="JN80">
        <v>47.9694</v>
      </c>
      <c r="JO80">
        <v>38.9418</v>
      </c>
      <c r="JP80">
        <v>0</v>
      </c>
      <c r="JQ80">
        <v>22.5042</v>
      </c>
      <c r="JR80">
        <v>1189.88</v>
      </c>
      <c r="JS80">
        <v>11.516</v>
      </c>
      <c r="JT80">
        <v>100.312</v>
      </c>
      <c r="JU80">
        <v>100.241</v>
      </c>
    </row>
    <row r="81" spans="1:281">
      <c r="A81">
        <v>65</v>
      </c>
      <c r="B81">
        <v>1651864528.1</v>
      </c>
      <c r="C81">
        <v>307.5</v>
      </c>
      <c r="D81" t="s">
        <v>550</v>
      </c>
      <c r="E81" t="s">
        <v>551</v>
      </c>
      <c r="F81">
        <v>2</v>
      </c>
      <c r="G81" t="s">
        <v>413</v>
      </c>
      <c r="H81" t="s">
        <v>414</v>
      </c>
      <c r="I81">
        <v>1651864526.725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1224.906927083368</v>
      </c>
      <c r="AK81">
        <v>1207.582363636363</v>
      </c>
      <c r="AL81">
        <v>-3.34975984971581</v>
      </c>
      <c r="AM81">
        <v>66.38192812717227</v>
      </c>
      <c r="AN81">
        <f>(AP81 - AO81 + DI81*1E3/(8.314*(DK81+273.15)) * AR81/DH81 * AQ81) * DH81/(100*CV81) * 1000/(1000 - AP81)</f>
        <v>0</v>
      </c>
      <c r="AO81">
        <v>11.37367115365815</v>
      </c>
      <c r="AP81">
        <v>18.23076999999999</v>
      </c>
      <c r="AQ81">
        <v>-8.629014680842501E-05</v>
      </c>
      <c r="AR81">
        <v>80.47224507511959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417</v>
      </c>
      <c r="AY81" t="s">
        <v>417</v>
      </c>
      <c r="AZ81">
        <v>0</v>
      </c>
      <c r="BA81">
        <v>0</v>
      </c>
      <c r="BB81">
        <f>1-AZ81/BA81</f>
        <v>0</v>
      </c>
      <c r="BC81">
        <v>0</v>
      </c>
      <c r="BD81" t="s">
        <v>417</v>
      </c>
      <c r="BE81" t="s">
        <v>417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417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1248</v>
      </c>
      <c r="CA81">
        <v>300</v>
      </c>
      <c r="CB81">
        <v>300</v>
      </c>
      <c r="CC81">
        <v>300</v>
      </c>
      <c r="CD81">
        <v>10442</v>
      </c>
      <c r="CE81">
        <v>1293.69</v>
      </c>
      <c r="CF81">
        <v>-0.00735246</v>
      </c>
      <c r="CG81">
        <v>0.5</v>
      </c>
      <c r="CH81" t="s">
        <v>417</v>
      </c>
      <c r="CI81" t="s">
        <v>417</v>
      </c>
      <c r="CJ81" t="s">
        <v>417</v>
      </c>
      <c r="CK81" t="s">
        <v>417</v>
      </c>
      <c r="CL81" t="s">
        <v>417</v>
      </c>
      <c r="CM81" t="s">
        <v>417</v>
      </c>
      <c r="CN81" t="s">
        <v>417</v>
      </c>
      <c r="CO81" t="s">
        <v>417</v>
      </c>
      <c r="CP81" t="s">
        <v>417</v>
      </c>
      <c r="CQ81" t="s">
        <v>417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418</v>
      </c>
      <c r="CY81">
        <v>2</v>
      </c>
      <c r="CZ81" t="b">
        <v>1</v>
      </c>
      <c r="DA81">
        <v>1651864526.725</v>
      </c>
      <c r="DB81">
        <v>1188.4475</v>
      </c>
      <c r="DC81">
        <v>1206.3475</v>
      </c>
      <c r="DD81">
        <v>18.2332</v>
      </c>
      <c r="DE81">
        <v>11.39605</v>
      </c>
      <c r="DF81">
        <v>1190.8025</v>
      </c>
      <c r="DG81">
        <v>18.214475</v>
      </c>
      <c r="DH81">
        <v>500.082</v>
      </c>
      <c r="DI81">
        <v>89.94277499999998</v>
      </c>
      <c r="DJ81">
        <v>0.1001755</v>
      </c>
      <c r="DK81">
        <v>25.69755</v>
      </c>
      <c r="DL81">
        <v>25.00705</v>
      </c>
      <c r="DM81">
        <v>999.9</v>
      </c>
      <c r="DN81">
        <v>0</v>
      </c>
      <c r="DO81">
        <v>0</v>
      </c>
      <c r="DP81">
        <v>10004.85</v>
      </c>
      <c r="DQ81">
        <v>0</v>
      </c>
      <c r="DR81">
        <v>3.23193</v>
      </c>
      <c r="DS81">
        <v>-17.898775</v>
      </c>
      <c r="DT81">
        <v>1210.5225</v>
      </c>
      <c r="DU81">
        <v>1220.255</v>
      </c>
      <c r="DV81">
        <v>6.837157499999999</v>
      </c>
      <c r="DW81">
        <v>1206.3475</v>
      </c>
      <c r="DX81">
        <v>11.39605</v>
      </c>
      <c r="DY81">
        <v>1.639945</v>
      </c>
      <c r="DZ81">
        <v>1.0249875</v>
      </c>
      <c r="EA81">
        <v>14.33935</v>
      </c>
      <c r="EB81">
        <v>7.2765375</v>
      </c>
      <c r="EC81">
        <v>1500.03</v>
      </c>
      <c r="ED81">
        <v>0.9730045</v>
      </c>
      <c r="EE81">
        <v>0.0269958</v>
      </c>
      <c r="EF81">
        <v>0</v>
      </c>
      <c r="EG81">
        <v>954.636</v>
      </c>
      <c r="EH81">
        <v>5.00097</v>
      </c>
      <c r="EI81">
        <v>14170.575</v>
      </c>
      <c r="EJ81">
        <v>12491.875</v>
      </c>
      <c r="EK81">
        <v>37.25</v>
      </c>
      <c r="EL81">
        <v>38.70274999999999</v>
      </c>
      <c r="EM81">
        <v>37.625</v>
      </c>
      <c r="EN81">
        <v>38.437</v>
      </c>
      <c r="EO81">
        <v>38.125</v>
      </c>
      <c r="EP81">
        <v>1454.6675</v>
      </c>
      <c r="EQ81">
        <v>40.3625</v>
      </c>
      <c r="ER81">
        <v>0</v>
      </c>
      <c r="ES81">
        <v>307.2000000476837</v>
      </c>
      <c r="ET81">
        <v>0</v>
      </c>
      <c r="EU81">
        <v>957.538</v>
      </c>
      <c r="EV81">
        <v>-29.32020507820328</v>
      </c>
      <c r="EW81">
        <v>-435.035896849945</v>
      </c>
      <c r="EX81">
        <v>14212.67692307692</v>
      </c>
      <c r="EY81">
        <v>15</v>
      </c>
      <c r="EZ81">
        <v>1651864261.1</v>
      </c>
      <c r="FA81" t="s">
        <v>419</v>
      </c>
      <c r="FB81">
        <v>1651864241.6</v>
      </c>
      <c r="FC81">
        <v>1651864261.1</v>
      </c>
      <c r="FD81">
        <v>7</v>
      </c>
      <c r="FE81">
        <v>0.438</v>
      </c>
      <c r="FF81">
        <v>0.002</v>
      </c>
      <c r="FG81">
        <v>-0.988</v>
      </c>
      <c r="FH81">
        <v>-0.066</v>
      </c>
      <c r="FI81">
        <v>400</v>
      </c>
      <c r="FJ81">
        <v>11</v>
      </c>
      <c r="FK81">
        <v>0.05</v>
      </c>
      <c r="FL81">
        <v>0.02</v>
      </c>
      <c r="FM81">
        <v>-18.152</v>
      </c>
      <c r="FN81">
        <v>1.443079924953153</v>
      </c>
      <c r="FO81">
        <v>0.1737401939678902</v>
      </c>
      <c r="FP81">
        <v>-1</v>
      </c>
      <c r="FQ81">
        <v>6.922935750000001</v>
      </c>
      <c r="FR81">
        <v>-0.5737863039399592</v>
      </c>
      <c r="FS81">
        <v>0.05565567935473886</v>
      </c>
      <c r="FT81">
        <v>-1</v>
      </c>
      <c r="FU81">
        <v>0</v>
      </c>
      <c r="FV81">
        <v>0</v>
      </c>
      <c r="FW81">
        <v>0</v>
      </c>
      <c r="FX81">
        <v>-1</v>
      </c>
      <c r="FY81">
        <v>0</v>
      </c>
      <c r="FZ81">
        <v>0</v>
      </c>
      <c r="GA81" t="s">
        <v>420</v>
      </c>
      <c r="GB81">
        <v>2.98061</v>
      </c>
      <c r="GC81">
        <v>2.7063</v>
      </c>
      <c r="GD81">
        <v>0.190448</v>
      </c>
      <c r="GE81">
        <v>0.190053</v>
      </c>
      <c r="GF81">
        <v>0.0872585</v>
      </c>
      <c r="GG81">
        <v>0.0611205</v>
      </c>
      <c r="GH81">
        <v>25549.4</v>
      </c>
      <c r="GI81">
        <v>25618.7</v>
      </c>
      <c r="GJ81">
        <v>29346.2</v>
      </c>
      <c r="GK81">
        <v>29261.6</v>
      </c>
      <c r="GL81">
        <v>35469.7</v>
      </c>
      <c r="GM81">
        <v>36594.1</v>
      </c>
      <c r="GN81">
        <v>41306.5</v>
      </c>
      <c r="GO81">
        <v>41765.8</v>
      </c>
      <c r="GP81">
        <v>1.95795</v>
      </c>
      <c r="GQ81">
        <v>1.84845</v>
      </c>
      <c r="GR81">
        <v>-0.0245348</v>
      </c>
      <c r="GS81">
        <v>0</v>
      </c>
      <c r="GT81">
        <v>25.4032</v>
      </c>
      <c r="GU81">
        <v>999.9</v>
      </c>
      <c r="GV81">
        <v>31.9</v>
      </c>
      <c r="GW81">
        <v>34.2</v>
      </c>
      <c r="GX81">
        <v>19.1623</v>
      </c>
      <c r="GY81">
        <v>62.6474</v>
      </c>
      <c r="GZ81">
        <v>35.3566</v>
      </c>
      <c r="HA81">
        <v>1</v>
      </c>
      <c r="HB81">
        <v>0.103222</v>
      </c>
      <c r="HC81">
        <v>2.16691</v>
      </c>
      <c r="HD81">
        <v>20.3202</v>
      </c>
      <c r="HE81">
        <v>5.21624</v>
      </c>
      <c r="HF81">
        <v>12.0099</v>
      </c>
      <c r="HG81">
        <v>4.98885</v>
      </c>
      <c r="HH81">
        <v>3.28865</v>
      </c>
      <c r="HI81">
        <v>994.2</v>
      </c>
      <c r="HJ81">
        <v>9527.9</v>
      </c>
      <c r="HK81">
        <v>5139.4</v>
      </c>
      <c r="HL81">
        <v>24.8</v>
      </c>
      <c r="HM81">
        <v>1.86751</v>
      </c>
      <c r="HN81">
        <v>1.86646</v>
      </c>
      <c r="HO81">
        <v>1.866</v>
      </c>
      <c r="HP81">
        <v>1.86584</v>
      </c>
      <c r="HQ81">
        <v>1.86768</v>
      </c>
      <c r="HR81">
        <v>1.8702</v>
      </c>
      <c r="HS81">
        <v>1.86888</v>
      </c>
      <c r="HT81">
        <v>1.87026</v>
      </c>
      <c r="HU81">
        <v>0</v>
      </c>
      <c r="HV81">
        <v>0</v>
      </c>
      <c r="HW81">
        <v>0</v>
      </c>
      <c r="HX81">
        <v>0</v>
      </c>
      <c r="HY81" t="s">
        <v>421</v>
      </c>
      <c r="HZ81" t="s">
        <v>422</v>
      </c>
      <c r="IA81" t="s">
        <v>423</v>
      </c>
      <c r="IB81" t="s">
        <v>423</v>
      </c>
      <c r="IC81" t="s">
        <v>423</v>
      </c>
      <c r="ID81" t="s">
        <v>423</v>
      </c>
      <c r="IE81">
        <v>0</v>
      </c>
      <c r="IF81">
        <v>100</v>
      </c>
      <c r="IG81">
        <v>100</v>
      </c>
      <c r="IH81">
        <v>-2.35</v>
      </c>
      <c r="II81">
        <v>0.0186</v>
      </c>
      <c r="IJ81">
        <v>-0.2164499368582429</v>
      </c>
      <c r="IK81">
        <v>-0.002077099775823331</v>
      </c>
      <c r="IL81">
        <v>4.593143279902166E-07</v>
      </c>
      <c r="IM81">
        <v>-1.865383991892071E-10</v>
      </c>
      <c r="IN81">
        <v>-0.06087574426827484</v>
      </c>
      <c r="IO81">
        <v>-0.01129461987421345</v>
      </c>
      <c r="IP81">
        <v>0.00116580895745559</v>
      </c>
      <c r="IQ81">
        <v>-1.679085872906199E-05</v>
      </c>
      <c r="IR81">
        <v>2</v>
      </c>
      <c r="IS81">
        <v>2290</v>
      </c>
      <c r="IT81">
        <v>0</v>
      </c>
      <c r="IU81">
        <v>32</v>
      </c>
      <c r="IV81">
        <v>4.8</v>
      </c>
      <c r="IW81">
        <v>4.5</v>
      </c>
      <c r="IX81">
        <v>2.38892</v>
      </c>
      <c r="IY81">
        <v>2.1936</v>
      </c>
      <c r="IZ81">
        <v>1.39648</v>
      </c>
      <c r="JA81">
        <v>2.35596</v>
      </c>
      <c r="JB81">
        <v>1.49536</v>
      </c>
      <c r="JC81">
        <v>2.29736</v>
      </c>
      <c r="JD81">
        <v>38.4279</v>
      </c>
      <c r="JE81">
        <v>24.035</v>
      </c>
      <c r="JF81">
        <v>18</v>
      </c>
      <c r="JG81">
        <v>512.422</v>
      </c>
      <c r="JH81">
        <v>427.654</v>
      </c>
      <c r="JI81">
        <v>22.5043</v>
      </c>
      <c r="JJ81">
        <v>28.6364</v>
      </c>
      <c r="JK81">
        <v>30.0002</v>
      </c>
      <c r="JL81">
        <v>28.6033</v>
      </c>
      <c r="JM81">
        <v>28.5412</v>
      </c>
      <c r="JN81">
        <v>47.7521</v>
      </c>
      <c r="JO81">
        <v>38.9418</v>
      </c>
      <c r="JP81">
        <v>0</v>
      </c>
      <c r="JQ81">
        <v>22.5042</v>
      </c>
      <c r="JR81">
        <v>1183.2</v>
      </c>
      <c r="JS81">
        <v>11.5345</v>
      </c>
      <c r="JT81">
        <v>100.312</v>
      </c>
      <c r="JU81">
        <v>100.241</v>
      </c>
    </row>
    <row r="82" spans="1:281">
      <c r="A82">
        <v>66</v>
      </c>
      <c r="B82">
        <v>1651864530.1</v>
      </c>
      <c r="C82">
        <v>309.5</v>
      </c>
      <c r="D82" t="s">
        <v>552</v>
      </c>
      <c r="E82" t="s">
        <v>553</v>
      </c>
      <c r="F82">
        <v>2</v>
      </c>
      <c r="G82" t="s">
        <v>413</v>
      </c>
      <c r="H82" t="s">
        <v>414</v>
      </c>
      <c r="I82">
        <v>1651864529.1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1218.232069080582</v>
      </c>
      <c r="AK82">
        <v>1200.838363636364</v>
      </c>
      <c r="AL82">
        <v>-3.368426516382594</v>
      </c>
      <c r="AM82">
        <v>66.38192812717227</v>
      </c>
      <c r="AN82">
        <f>(AP82 - AO82 + DI82*1E3/(8.314*(DK82+273.15)) * AR82/DH82 * AQ82) * DH82/(100*CV82) * 1000/(1000 - AP82)</f>
        <v>0</v>
      </c>
      <c r="AO82">
        <v>11.38844928090737</v>
      </c>
      <c r="AP82">
        <v>18.22318323529412</v>
      </c>
      <c r="AQ82">
        <v>-0.0001029671224585337</v>
      </c>
      <c r="AR82">
        <v>80.47224507511959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417</v>
      </c>
      <c r="AY82" t="s">
        <v>417</v>
      </c>
      <c r="AZ82">
        <v>0</v>
      </c>
      <c r="BA82">
        <v>0</v>
      </c>
      <c r="BB82">
        <f>1-AZ82/BA82</f>
        <v>0</v>
      </c>
      <c r="BC82">
        <v>0</v>
      </c>
      <c r="BD82" t="s">
        <v>417</v>
      </c>
      <c r="BE82" t="s">
        <v>417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417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1248</v>
      </c>
      <c r="CA82">
        <v>300</v>
      </c>
      <c r="CB82">
        <v>300</v>
      </c>
      <c r="CC82">
        <v>300</v>
      </c>
      <c r="CD82">
        <v>10442</v>
      </c>
      <c r="CE82">
        <v>1293.69</v>
      </c>
      <c r="CF82">
        <v>-0.00735246</v>
      </c>
      <c r="CG82">
        <v>0.5</v>
      </c>
      <c r="CH82" t="s">
        <v>417</v>
      </c>
      <c r="CI82" t="s">
        <v>417</v>
      </c>
      <c r="CJ82" t="s">
        <v>417</v>
      </c>
      <c r="CK82" t="s">
        <v>417</v>
      </c>
      <c r="CL82" t="s">
        <v>417</v>
      </c>
      <c r="CM82" t="s">
        <v>417</v>
      </c>
      <c r="CN82" t="s">
        <v>417</v>
      </c>
      <c r="CO82" t="s">
        <v>417</v>
      </c>
      <c r="CP82" t="s">
        <v>417</v>
      </c>
      <c r="CQ82" t="s">
        <v>417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418</v>
      </c>
      <c r="CY82">
        <v>2</v>
      </c>
      <c r="CZ82" t="b">
        <v>1</v>
      </c>
      <c r="DA82">
        <v>1651864529.1</v>
      </c>
      <c r="DB82">
        <v>1180.613333333333</v>
      </c>
      <c r="DC82">
        <v>1198.3</v>
      </c>
      <c r="DD82">
        <v>18.22523333333333</v>
      </c>
      <c r="DE82">
        <v>11.4232</v>
      </c>
      <c r="DF82">
        <v>1182.95</v>
      </c>
      <c r="DG82">
        <v>18.20663333333333</v>
      </c>
      <c r="DH82">
        <v>500.044</v>
      </c>
      <c r="DI82">
        <v>89.94203333333333</v>
      </c>
      <c r="DJ82">
        <v>0.09990683333333333</v>
      </c>
      <c r="DK82">
        <v>25.69873333333333</v>
      </c>
      <c r="DL82">
        <v>25.00223333333333</v>
      </c>
      <c r="DM82">
        <v>999.9</v>
      </c>
      <c r="DN82">
        <v>0</v>
      </c>
      <c r="DO82">
        <v>0</v>
      </c>
      <c r="DP82">
        <v>10016.46666666667</v>
      </c>
      <c r="DQ82">
        <v>0</v>
      </c>
      <c r="DR82">
        <v>3.23193</v>
      </c>
      <c r="DS82">
        <v>-17.68633333333333</v>
      </c>
      <c r="DT82">
        <v>1202.526666666667</v>
      </c>
      <c r="DU82">
        <v>1212.14</v>
      </c>
      <c r="DV82">
        <v>6.802053333333333</v>
      </c>
      <c r="DW82">
        <v>1198.3</v>
      </c>
      <c r="DX82">
        <v>11.4232</v>
      </c>
      <c r="DY82">
        <v>1.639216666666667</v>
      </c>
      <c r="DZ82">
        <v>1.027423333333333</v>
      </c>
      <c r="EA82">
        <v>14.3325</v>
      </c>
      <c r="EB82">
        <v>7.311203333333334</v>
      </c>
      <c r="EC82">
        <v>1500.1</v>
      </c>
      <c r="ED82">
        <v>0.9730036666666667</v>
      </c>
      <c r="EE82">
        <v>0.0269967</v>
      </c>
      <c r="EF82">
        <v>0</v>
      </c>
      <c r="EG82">
        <v>953.4553333333333</v>
      </c>
      <c r="EH82">
        <v>5.00097</v>
      </c>
      <c r="EI82">
        <v>14154.1</v>
      </c>
      <c r="EJ82">
        <v>12492.43333333333</v>
      </c>
      <c r="EK82">
        <v>37.25</v>
      </c>
      <c r="EL82">
        <v>38.687</v>
      </c>
      <c r="EM82">
        <v>37.625</v>
      </c>
      <c r="EN82">
        <v>38.437</v>
      </c>
      <c r="EO82">
        <v>38.125</v>
      </c>
      <c r="EP82">
        <v>1454.733333333334</v>
      </c>
      <c r="EQ82">
        <v>40.36666666666667</v>
      </c>
      <c r="ER82">
        <v>0</v>
      </c>
      <c r="ES82">
        <v>309</v>
      </c>
      <c r="ET82">
        <v>0</v>
      </c>
      <c r="EU82">
        <v>956.46884</v>
      </c>
      <c r="EV82">
        <v>-30.36961541452241</v>
      </c>
      <c r="EW82">
        <v>-428.4769237453606</v>
      </c>
      <c r="EX82">
        <v>14197.42</v>
      </c>
      <c r="EY82">
        <v>15</v>
      </c>
      <c r="EZ82">
        <v>1651864261.1</v>
      </c>
      <c r="FA82" t="s">
        <v>419</v>
      </c>
      <c r="FB82">
        <v>1651864241.6</v>
      </c>
      <c r="FC82">
        <v>1651864261.1</v>
      </c>
      <c r="FD82">
        <v>7</v>
      </c>
      <c r="FE82">
        <v>0.438</v>
      </c>
      <c r="FF82">
        <v>0.002</v>
      </c>
      <c r="FG82">
        <v>-0.988</v>
      </c>
      <c r="FH82">
        <v>-0.066</v>
      </c>
      <c r="FI82">
        <v>400</v>
      </c>
      <c r="FJ82">
        <v>11</v>
      </c>
      <c r="FK82">
        <v>0.05</v>
      </c>
      <c r="FL82">
        <v>0.02</v>
      </c>
      <c r="FM82">
        <v>-18.09147073170732</v>
      </c>
      <c r="FN82">
        <v>1.921319163763054</v>
      </c>
      <c r="FO82">
        <v>0.2130151903937584</v>
      </c>
      <c r="FP82">
        <v>-1</v>
      </c>
      <c r="FQ82">
        <v>6.900940731707318</v>
      </c>
      <c r="FR82">
        <v>-0.5820714982578284</v>
      </c>
      <c r="FS82">
        <v>0.05787882907905251</v>
      </c>
      <c r="FT82">
        <v>-1</v>
      </c>
      <c r="FU82">
        <v>0</v>
      </c>
      <c r="FV82">
        <v>0</v>
      </c>
      <c r="FW82">
        <v>0</v>
      </c>
      <c r="FX82">
        <v>-1</v>
      </c>
      <c r="FY82">
        <v>0</v>
      </c>
      <c r="FZ82">
        <v>0</v>
      </c>
      <c r="GA82" t="s">
        <v>420</v>
      </c>
      <c r="GB82">
        <v>2.98052</v>
      </c>
      <c r="GC82">
        <v>2.70616</v>
      </c>
      <c r="GD82">
        <v>0.189772</v>
      </c>
      <c r="GE82">
        <v>0.18937</v>
      </c>
      <c r="GF82">
        <v>0.08724750000000001</v>
      </c>
      <c r="GG82">
        <v>0.0612576</v>
      </c>
      <c r="GH82">
        <v>25570.5</v>
      </c>
      <c r="GI82">
        <v>25640.1</v>
      </c>
      <c r="GJ82">
        <v>29346</v>
      </c>
      <c r="GK82">
        <v>29261.3</v>
      </c>
      <c r="GL82">
        <v>35470</v>
      </c>
      <c r="GM82">
        <v>36588.4</v>
      </c>
      <c r="GN82">
        <v>41306.3</v>
      </c>
      <c r="GO82">
        <v>41765.5</v>
      </c>
      <c r="GP82">
        <v>1.95793</v>
      </c>
      <c r="GQ82">
        <v>1.8485</v>
      </c>
      <c r="GR82">
        <v>-0.0244826</v>
      </c>
      <c r="GS82">
        <v>0</v>
      </c>
      <c r="GT82">
        <v>25.4027</v>
      </c>
      <c r="GU82">
        <v>999.9</v>
      </c>
      <c r="GV82">
        <v>31.9</v>
      </c>
      <c r="GW82">
        <v>34.2</v>
      </c>
      <c r="GX82">
        <v>19.1643</v>
      </c>
      <c r="GY82">
        <v>62.5374</v>
      </c>
      <c r="GZ82">
        <v>34.972</v>
      </c>
      <c r="HA82">
        <v>1</v>
      </c>
      <c r="HB82">
        <v>0.103158</v>
      </c>
      <c r="HC82">
        <v>2.1733</v>
      </c>
      <c r="HD82">
        <v>20.3201</v>
      </c>
      <c r="HE82">
        <v>5.21639</v>
      </c>
      <c r="HF82">
        <v>12.0099</v>
      </c>
      <c r="HG82">
        <v>4.98885</v>
      </c>
      <c r="HH82">
        <v>3.28865</v>
      </c>
      <c r="HI82">
        <v>994.2</v>
      </c>
      <c r="HJ82">
        <v>9527.9</v>
      </c>
      <c r="HK82">
        <v>5139.4</v>
      </c>
      <c r="HL82">
        <v>24.8</v>
      </c>
      <c r="HM82">
        <v>1.86752</v>
      </c>
      <c r="HN82">
        <v>1.86646</v>
      </c>
      <c r="HO82">
        <v>1.866</v>
      </c>
      <c r="HP82">
        <v>1.86584</v>
      </c>
      <c r="HQ82">
        <v>1.86768</v>
      </c>
      <c r="HR82">
        <v>1.8702</v>
      </c>
      <c r="HS82">
        <v>1.86889</v>
      </c>
      <c r="HT82">
        <v>1.87026</v>
      </c>
      <c r="HU82">
        <v>0</v>
      </c>
      <c r="HV82">
        <v>0</v>
      </c>
      <c r="HW82">
        <v>0</v>
      </c>
      <c r="HX82">
        <v>0</v>
      </c>
      <c r="HY82" t="s">
        <v>421</v>
      </c>
      <c r="HZ82" t="s">
        <v>422</v>
      </c>
      <c r="IA82" t="s">
        <v>423</v>
      </c>
      <c r="IB82" t="s">
        <v>423</v>
      </c>
      <c r="IC82" t="s">
        <v>423</v>
      </c>
      <c r="ID82" t="s">
        <v>423</v>
      </c>
      <c r="IE82">
        <v>0</v>
      </c>
      <c r="IF82">
        <v>100</v>
      </c>
      <c r="IG82">
        <v>100</v>
      </c>
      <c r="IH82">
        <v>-2.33</v>
      </c>
      <c r="II82">
        <v>0.0186</v>
      </c>
      <c r="IJ82">
        <v>-0.2164499368582429</v>
      </c>
      <c r="IK82">
        <v>-0.002077099775823331</v>
      </c>
      <c r="IL82">
        <v>4.593143279902166E-07</v>
      </c>
      <c r="IM82">
        <v>-1.865383991892071E-10</v>
      </c>
      <c r="IN82">
        <v>-0.06087574426827484</v>
      </c>
      <c r="IO82">
        <v>-0.01129461987421345</v>
      </c>
      <c r="IP82">
        <v>0.00116580895745559</v>
      </c>
      <c r="IQ82">
        <v>-1.679085872906199E-05</v>
      </c>
      <c r="IR82">
        <v>2</v>
      </c>
      <c r="IS82">
        <v>2290</v>
      </c>
      <c r="IT82">
        <v>0</v>
      </c>
      <c r="IU82">
        <v>32</v>
      </c>
      <c r="IV82">
        <v>4.8</v>
      </c>
      <c r="IW82">
        <v>4.5</v>
      </c>
      <c r="IX82">
        <v>2.37793</v>
      </c>
      <c r="IY82">
        <v>2.19482</v>
      </c>
      <c r="IZ82">
        <v>1.39648</v>
      </c>
      <c r="JA82">
        <v>2.35596</v>
      </c>
      <c r="JB82">
        <v>1.49536</v>
      </c>
      <c r="JC82">
        <v>2.37061</v>
      </c>
      <c r="JD82">
        <v>38.4279</v>
      </c>
      <c r="JE82">
        <v>24.035</v>
      </c>
      <c r="JF82">
        <v>18</v>
      </c>
      <c r="JG82">
        <v>512.4059999999999</v>
      </c>
      <c r="JH82">
        <v>427.684</v>
      </c>
      <c r="JI82">
        <v>22.5043</v>
      </c>
      <c r="JJ82">
        <v>28.6364</v>
      </c>
      <c r="JK82">
        <v>30.0001</v>
      </c>
      <c r="JL82">
        <v>28.6033</v>
      </c>
      <c r="JM82">
        <v>28.5412</v>
      </c>
      <c r="JN82">
        <v>47.5438</v>
      </c>
      <c r="JO82">
        <v>38.9418</v>
      </c>
      <c r="JP82">
        <v>0</v>
      </c>
      <c r="JQ82">
        <v>22.4982</v>
      </c>
      <c r="JR82">
        <v>1176.52</v>
      </c>
      <c r="JS82">
        <v>11.5476</v>
      </c>
      <c r="JT82">
        <v>100.311</v>
      </c>
      <c r="JU82">
        <v>100.24</v>
      </c>
    </row>
    <row r="83" spans="1:281">
      <c r="A83">
        <v>67</v>
      </c>
      <c r="B83">
        <v>1651864532.1</v>
      </c>
      <c r="C83">
        <v>311.5</v>
      </c>
      <c r="D83" t="s">
        <v>554</v>
      </c>
      <c r="E83" t="s">
        <v>555</v>
      </c>
      <c r="F83">
        <v>2</v>
      </c>
      <c r="G83" t="s">
        <v>413</v>
      </c>
      <c r="H83" t="s">
        <v>414</v>
      </c>
      <c r="I83">
        <v>1651864530.725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1211.329601001864</v>
      </c>
      <c r="AK83">
        <v>1194.042484848484</v>
      </c>
      <c r="AL83">
        <v>-3.390122961319811</v>
      </c>
      <c r="AM83">
        <v>66.38192812717227</v>
      </c>
      <c r="AN83">
        <f>(AP83 - AO83 + DI83*1E3/(8.314*(DK83+273.15)) * AR83/DH83 * AQ83) * DH83/(100*CV83) * 1000/(1000 - AP83)</f>
        <v>0</v>
      </c>
      <c r="AO83">
        <v>11.40255603635061</v>
      </c>
      <c r="AP83">
        <v>18.22273029411764</v>
      </c>
      <c r="AQ83">
        <v>-0.0002304054596954654</v>
      </c>
      <c r="AR83">
        <v>80.47224507511959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417</v>
      </c>
      <c r="AY83" t="s">
        <v>417</v>
      </c>
      <c r="AZ83">
        <v>0</v>
      </c>
      <c r="BA83">
        <v>0</v>
      </c>
      <c r="BB83">
        <f>1-AZ83/BA83</f>
        <v>0</v>
      </c>
      <c r="BC83">
        <v>0</v>
      </c>
      <c r="BD83" t="s">
        <v>417</v>
      </c>
      <c r="BE83" t="s">
        <v>417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417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1248</v>
      </c>
      <c r="CA83">
        <v>300</v>
      </c>
      <c r="CB83">
        <v>300</v>
      </c>
      <c r="CC83">
        <v>300</v>
      </c>
      <c r="CD83">
        <v>10442</v>
      </c>
      <c r="CE83">
        <v>1293.69</v>
      </c>
      <c r="CF83">
        <v>-0.00735246</v>
      </c>
      <c r="CG83">
        <v>0.5</v>
      </c>
      <c r="CH83" t="s">
        <v>417</v>
      </c>
      <c r="CI83" t="s">
        <v>417</v>
      </c>
      <c r="CJ83" t="s">
        <v>417</v>
      </c>
      <c r="CK83" t="s">
        <v>417</v>
      </c>
      <c r="CL83" t="s">
        <v>417</v>
      </c>
      <c r="CM83" t="s">
        <v>417</v>
      </c>
      <c r="CN83" t="s">
        <v>417</v>
      </c>
      <c r="CO83" t="s">
        <v>417</v>
      </c>
      <c r="CP83" t="s">
        <v>417</v>
      </c>
      <c r="CQ83" t="s">
        <v>417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418</v>
      </c>
      <c r="CY83">
        <v>2</v>
      </c>
      <c r="CZ83" t="b">
        <v>1</v>
      </c>
      <c r="DA83">
        <v>1651864530.725</v>
      </c>
      <c r="DB83">
        <v>1175.2</v>
      </c>
      <c r="DC83">
        <v>1192.8675</v>
      </c>
      <c r="DD83">
        <v>18.2236</v>
      </c>
      <c r="DE83">
        <v>11.45225</v>
      </c>
      <c r="DF83">
        <v>1177.53</v>
      </c>
      <c r="DG83">
        <v>18.205025</v>
      </c>
      <c r="DH83">
        <v>500.03575</v>
      </c>
      <c r="DI83">
        <v>89.94119999999999</v>
      </c>
      <c r="DJ83">
        <v>0.0998372</v>
      </c>
      <c r="DK83">
        <v>25.699075</v>
      </c>
      <c r="DL83">
        <v>25.0045</v>
      </c>
      <c r="DM83">
        <v>999.9</v>
      </c>
      <c r="DN83">
        <v>0</v>
      </c>
      <c r="DO83">
        <v>0</v>
      </c>
      <c r="DP83">
        <v>10025.15</v>
      </c>
      <c r="DQ83">
        <v>0</v>
      </c>
      <c r="DR83">
        <v>3.23193</v>
      </c>
      <c r="DS83">
        <v>-17.66655</v>
      </c>
      <c r="DT83">
        <v>1197.015</v>
      </c>
      <c r="DU83">
        <v>1206.6825</v>
      </c>
      <c r="DV83">
        <v>6.77134</v>
      </c>
      <c r="DW83">
        <v>1192.8675</v>
      </c>
      <c r="DX83">
        <v>11.45225</v>
      </c>
      <c r="DY83">
        <v>1.639055</v>
      </c>
      <c r="DZ83">
        <v>1.03003</v>
      </c>
      <c r="EA83">
        <v>14.33095</v>
      </c>
      <c r="EB83">
        <v>7.348222499999999</v>
      </c>
      <c r="EC83">
        <v>1500.0325</v>
      </c>
      <c r="ED83">
        <v>0.9730045</v>
      </c>
      <c r="EE83">
        <v>0.0269958</v>
      </c>
      <c r="EF83">
        <v>0</v>
      </c>
      <c r="EG83">
        <v>952.6895</v>
      </c>
      <c r="EH83">
        <v>5.00097</v>
      </c>
      <c r="EI83">
        <v>14142</v>
      </c>
      <c r="EJ83">
        <v>12491.85</v>
      </c>
      <c r="EK83">
        <v>37.25</v>
      </c>
      <c r="EL83">
        <v>38.687</v>
      </c>
      <c r="EM83">
        <v>37.625</v>
      </c>
      <c r="EN83">
        <v>38.437</v>
      </c>
      <c r="EO83">
        <v>38.125</v>
      </c>
      <c r="EP83">
        <v>1454.67</v>
      </c>
      <c r="EQ83">
        <v>40.3625</v>
      </c>
      <c r="ER83">
        <v>0</v>
      </c>
      <c r="ES83">
        <v>310.7999999523163</v>
      </c>
      <c r="ET83">
        <v>0</v>
      </c>
      <c r="EU83">
        <v>955.7330000000001</v>
      </c>
      <c r="EV83">
        <v>-30.41798288956636</v>
      </c>
      <c r="EW83">
        <v>-425.9076923629324</v>
      </c>
      <c r="EX83">
        <v>14186.66923076923</v>
      </c>
      <c r="EY83">
        <v>15</v>
      </c>
      <c r="EZ83">
        <v>1651864261.1</v>
      </c>
      <c r="FA83" t="s">
        <v>419</v>
      </c>
      <c r="FB83">
        <v>1651864241.6</v>
      </c>
      <c r="FC83">
        <v>1651864261.1</v>
      </c>
      <c r="FD83">
        <v>7</v>
      </c>
      <c r="FE83">
        <v>0.438</v>
      </c>
      <c r="FF83">
        <v>0.002</v>
      </c>
      <c r="FG83">
        <v>-0.988</v>
      </c>
      <c r="FH83">
        <v>-0.066</v>
      </c>
      <c r="FI83">
        <v>400</v>
      </c>
      <c r="FJ83">
        <v>11</v>
      </c>
      <c r="FK83">
        <v>0.05</v>
      </c>
      <c r="FL83">
        <v>0.02</v>
      </c>
      <c r="FM83">
        <v>-18.033895</v>
      </c>
      <c r="FN83">
        <v>2.202740712945619</v>
      </c>
      <c r="FO83">
        <v>0.2324977332685206</v>
      </c>
      <c r="FP83">
        <v>-1</v>
      </c>
      <c r="FQ83">
        <v>6.8824685</v>
      </c>
      <c r="FR83">
        <v>-0.6101097185741263</v>
      </c>
      <c r="FS83">
        <v>0.05938601702210716</v>
      </c>
      <c r="FT83">
        <v>-1</v>
      </c>
      <c r="FU83">
        <v>0</v>
      </c>
      <c r="FV83">
        <v>0</v>
      </c>
      <c r="FW83">
        <v>0</v>
      </c>
      <c r="FX83">
        <v>-1</v>
      </c>
      <c r="FY83">
        <v>0</v>
      </c>
      <c r="FZ83">
        <v>0</v>
      </c>
      <c r="GA83" t="s">
        <v>420</v>
      </c>
      <c r="GB83">
        <v>2.98063</v>
      </c>
      <c r="GC83">
        <v>2.70626</v>
      </c>
      <c r="GD83">
        <v>0.189096</v>
      </c>
      <c r="GE83">
        <v>0.188721</v>
      </c>
      <c r="GF83">
        <v>0.0872448</v>
      </c>
      <c r="GG83">
        <v>0.0613733</v>
      </c>
      <c r="GH83">
        <v>25591.7</v>
      </c>
      <c r="GI83">
        <v>25660.6</v>
      </c>
      <c r="GJ83">
        <v>29345.8</v>
      </c>
      <c r="GK83">
        <v>29261.3</v>
      </c>
      <c r="GL83">
        <v>35469.9</v>
      </c>
      <c r="GM83">
        <v>36583.7</v>
      </c>
      <c r="GN83">
        <v>41306.1</v>
      </c>
      <c r="GO83">
        <v>41765.4</v>
      </c>
      <c r="GP83">
        <v>1.9579</v>
      </c>
      <c r="GQ83">
        <v>1.8484</v>
      </c>
      <c r="GR83">
        <v>-0.0240467</v>
      </c>
      <c r="GS83">
        <v>0</v>
      </c>
      <c r="GT83">
        <v>25.4032</v>
      </c>
      <c r="GU83">
        <v>999.9</v>
      </c>
      <c r="GV83">
        <v>31.9</v>
      </c>
      <c r="GW83">
        <v>34.2</v>
      </c>
      <c r="GX83">
        <v>19.162</v>
      </c>
      <c r="GY83">
        <v>62.5174</v>
      </c>
      <c r="GZ83">
        <v>35.1242</v>
      </c>
      <c r="HA83">
        <v>1</v>
      </c>
      <c r="HB83">
        <v>0.103199</v>
      </c>
      <c r="HC83">
        <v>2.18812</v>
      </c>
      <c r="HD83">
        <v>20.3199</v>
      </c>
      <c r="HE83">
        <v>5.21609</v>
      </c>
      <c r="HF83">
        <v>12.0099</v>
      </c>
      <c r="HG83">
        <v>4.9886</v>
      </c>
      <c r="HH83">
        <v>3.28865</v>
      </c>
      <c r="HI83">
        <v>994.5</v>
      </c>
      <c r="HJ83">
        <v>9529.200000000001</v>
      </c>
      <c r="HK83">
        <v>5139.4</v>
      </c>
      <c r="HL83">
        <v>24.8</v>
      </c>
      <c r="HM83">
        <v>1.86751</v>
      </c>
      <c r="HN83">
        <v>1.86646</v>
      </c>
      <c r="HO83">
        <v>1.866</v>
      </c>
      <c r="HP83">
        <v>1.86584</v>
      </c>
      <c r="HQ83">
        <v>1.86768</v>
      </c>
      <c r="HR83">
        <v>1.87021</v>
      </c>
      <c r="HS83">
        <v>1.8689</v>
      </c>
      <c r="HT83">
        <v>1.87027</v>
      </c>
      <c r="HU83">
        <v>0</v>
      </c>
      <c r="HV83">
        <v>0</v>
      </c>
      <c r="HW83">
        <v>0</v>
      </c>
      <c r="HX83">
        <v>0</v>
      </c>
      <c r="HY83" t="s">
        <v>421</v>
      </c>
      <c r="HZ83" t="s">
        <v>422</v>
      </c>
      <c r="IA83" t="s">
        <v>423</v>
      </c>
      <c r="IB83" t="s">
        <v>423</v>
      </c>
      <c r="IC83" t="s">
        <v>423</v>
      </c>
      <c r="ID83" t="s">
        <v>423</v>
      </c>
      <c r="IE83">
        <v>0</v>
      </c>
      <c r="IF83">
        <v>100</v>
      </c>
      <c r="IG83">
        <v>100</v>
      </c>
      <c r="IH83">
        <v>-2.32</v>
      </c>
      <c r="II83">
        <v>0.0186</v>
      </c>
      <c r="IJ83">
        <v>-0.2164499368582429</v>
      </c>
      <c r="IK83">
        <v>-0.002077099775823331</v>
      </c>
      <c r="IL83">
        <v>4.593143279902166E-07</v>
      </c>
      <c r="IM83">
        <v>-1.865383991892071E-10</v>
      </c>
      <c r="IN83">
        <v>-0.06087574426827484</v>
      </c>
      <c r="IO83">
        <v>-0.01129461987421345</v>
      </c>
      <c r="IP83">
        <v>0.00116580895745559</v>
      </c>
      <c r="IQ83">
        <v>-1.679085872906199E-05</v>
      </c>
      <c r="IR83">
        <v>2</v>
      </c>
      <c r="IS83">
        <v>2290</v>
      </c>
      <c r="IT83">
        <v>0</v>
      </c>
      <c r="IU83">
        <v>32</v>
      </c>
      <c r="IV83">
        <v>4.8</v>
      </c>
      <c r="IW83">
        <v>4.5</v>
      </c>
      <c r="IX83">
        <v>2.36572</v>
      </c>
      <c r="IY83">
        <v>2.20093</v>
      </c>
      <c r="IZ83">
        <v>1.39648</v>
      </c>
      <c r="JA83">
        <v>2.35596</v>
      </c>
      <c r="JB83">
        <v>1.49536</v>
      </c>
      <c r="JC83">
        <v>2.27173</v>
      </c>
      <c r="JD83">
        <v>38.4279</v>
      </c>
      <c r="JE83">
        <v>24.0262</v>
      </c>
      <c r="JF83">
        <v>18</v>
      </c>
      <c r="JG83">
        <v>512.39</v>
      </c>
      <c r="JH83">
        <v>427.632</v>
      </c>
      <c r="JI83">
        <v>22.5033</v>
      </c>
      <c r="JJ83">
        <v>28.6364</v>
      </c>
      <c r="JK83">
        <v>30.0001</v>
      </c>
      <c r="JL83">
        <v>28.6033</v>
      </c>
      <c r="JM83">
        <v>28.5424</v>
      </c>
      <c r="JN83">
        <v>47.3217</v>
      </c>
      <c r="JO83">
        <v>38.6482</v>
      </c>
      <c r="JP83">
        <v>0</v>
      </c>
      <c r="JQ83">
        <v>22.4982</v>
      </c>
      <c r="JR83">
        <v>1169.83</v>
      </c>
      <c r="JS83">
        <v>11.5674</v>
      </c>
      <c r="JT83">
        <v>100.311</v>
      </c>
      <c r="JU83">
        <v>100.239</v>
      </c>
    </row>
    <row r="84" spans="1:281">
      <c r="A84">
        <v>68</v>
      </c>
      <c r="B84">
        <v>1651864534.1</v>
      </c>
      <c r="C84">
        <v>313.5</v>
      </c>
      <c r="D84" t="s">
        <v>556</v>
      </c>
      <c r="E84" t="s">
        <v>557</v>
      </c>
      <c r="F84">
        <v>2</v>
      </c>
      <c r="G84" t="s">
        <v>413</v>
      </c>
      <c r="H84" t="s">
        <v>414</v>
      </c>
      <c r="I84">
        <v>1651864533.1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1204.693932251503</v>
      </c>
      <c r="AK84">
        <v>1187.321454545454</v>
      </c>
      <c r="AL84">
        <v>-3.373025655159994</v>
      </c>
      <c r="AM84">
        <v>66.38192812717227</v>
      </c>
      <c r="AN84">
        <f>(AP84 - AO84 + DI84*1E3/(8.314*(DK84+273.15)) * AR84/DH84 * AQ84) * DH84/(100*CV84) * 1000/(1000 - AP84)</f>
        <v>0</v>
      </c>
      <c r="AO84">
        <v>11.4336913697015</v>
      </c>
      <c r="AP84">
        <v>18.22595205882352</v>
      </c>
      <c r="AQ84">
        <v>-0.00021592185549528</v>
      </c>
      <c r="AR84">
        <v>80.47224507511959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417</v>
      </c>
      <c r="AY84" t="s">
        <v>417</v>
      </c>
      <c r="AZ84">
        <v>0</v>
      </c>
      <c r="BA84">
        <v>0</v>
      </c>
      <c r="BB84">
        <f>1-AZ84/BA84</f>
        <v>0</v>
      </c>
      <c r="BC84">
        <v>0</v>
      </c>
      <c r="BD84" t="s">
        <v>417</v>
      </c>
      <c r="BE84" t="s">
        <v>417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417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1248</v>
      </c>
      <c r="CA84">
        <v>300</v>
      </c>
      <c r="CB84">
        <v>300</v>
      </c>
      <c r="CC84">
        <v>300</v>
      </c>
      <c r="CD84">
        <v>10442</v>
      </c>
      <c r="CE84">
        <v>1293.69</v>
      </c>
      <c r="CF84">
        <v>-0.00735246</v>
      </c>
      <c r="CG84">
        <v>0.5</v>
      </c>
      <c r="CH84" t="s">
        <v>417</v>
      </c>
      <c r="CI84" t="s">
        <v>417</v>
      </c>
      <c r="CJ84" t="s">
        <v>417</v>
      </c>
      <c r="CK84" t="s">
        <v>417</v>
      </c>
      <c r="CL84" t="s">
        <v>417</v>
      </c>
      <c r="CM84" t="s">
        <v>417</v>
      </c>
      <c r="CN84" t="s">
        <v>417</v>
      </c>
      <c r="CO84" t="s">
        <v>417</v>
      </c>
      <c r="CP84" t="s">
        <v>417</v>
      </c>
      <c r="CQ84" t="s">
        <v>417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418</v>
      </c>
      <c r="CY84">
        <v>2</v>
      </c>
      <c r="CZ84" t="b">
        <v>1</v>
      </c>
      <c r="DA84">
        <v>1651864533.1</v>
      </c>
      <c r="DB84">
        <v>1167.333333333333</v>
      </c>
      <c r="DC84">
        <v>1185.06</v>
      </c>
      <c r="DD84">
        <v>18.225</v>
      </c>
      <c r="DE84">
        <v>11.47416666666667</v>
      </c>
      <c r="DF84">
        <v>1169.653333333333</v>
      </c>
      <c r="DG84">
        <v>18.2064</v>
      </c>
      <c r="DH84">
        <v>500.0126666666667</v>
      </c>
      <c r="DI84">
        <v>89.94066666666667</v>
      </c>
      <c r="DJ84">
        <v>0.09997153333333335</v>
      </c>
      <c r="DK84">
        <v>25.7003</v>
      </c>
      <c r="DL84">
        <v>25.01306666666666</v>
      </c>
      <c r="DM84">
        <v>999.9</v>
      </c>
      <c r="DN84">
        <v>0</v>
      </c>
      <c r="DO84">
        <v>0</v>
      </c>
      <c r="DP84">
        <v>10015</v>
      </c>
      <c r="DQ84">
        <v>0</v>
      </c>
      <c r="DR84">
        <v>3.23193</v>
      </c>
      <c r="DS84">
        <v>-17.72336666666667</v>
      </c>
      <c r="DT84">
        <v>1189.003333333333</v>
      </c>
      <c r="DU84">
        <v>1198.816666666667</v>
      </c>
      <c r="DV84">
        <v>6.75085</v>
      </c>
      <c r="DW84">
        <v>1185.06</v>
      </c>
      <c r="DX84">
        <v>11.47416666666667</v>
      </c>
      <c r="DY84">
        <v>1.639166666666666</v>
      </c>
      <c r="DZ84">
        <v>1.031993333333334</v>
      </c>
      <c r="EA84">
        <v>14.33203333333333</v>
      </c>
      <c r="EB84">
        <v>7.37606</v>
      </c>
      <c r="EC84">
        <v>1500.006666666666</v>
      </c>
      <c r="ED84">
        <v>0.9730053333333334</v>
      </c>
      <c r="EE84">
        <v>0.0269949</v>
      </c>
      <c r="EF84">
        <v>0</v>
      </c>
      <c r="EG84">
        <v>951.739</v>
      </c>
      <c r="EH84">
        <v>5.00097</v>
      </c>
      <c r="EI84">
        <v>14125.3</v>
      </c>
      <c r="EJ84">
        <v>12491.63333333333</v>
      </c>
      <c r="EK84">
        <v>37.25</v>
      </c>
      <c r="EL84">
        <v>38.75</v>
      </c>
      <c r="EM84">
        <v>37.625</v>
      </c>
      <c r="EN84">
        <v>38.437</v>
      </c>
      <c r="EO84">
        <v>38.125</v>
      </c>
      <c r="EP84">
        <v>1454.646666666667</v>
      </c>
      <c r="EQ84">
        <v>40.36</v>
      </c>
      <c r="ER84">
        <v>0</v>
      </c>
      <c r="ES84">
        <v>313.2000000476837</v>
      </c>
      <c r="ET84">
        <v>0</v>
      </c>
      <c r="EU84">
        <v>954.5638076923078</v>
      </c>
      <c r="EV84">
        <v>-29.21384609691141</v>
      </c>
      <c r="EW84">
        <v>-420.8923071431823</v>
      </c>
      <c r="EX84">
        <v>14169.67307692308</v>
      </c>
      <c r="EY84">
        <v>15</v>
      </c>
      <c r="EZ84">
        <v>1651864261.1</v>
      </c>
      <c r="FA84" t="s">
        <v>419</v>
      </c>
      <c r="FB84">
        <v>1651864241.6</v>
      </c>
      <c r="FC84">
        <v>1651864261.1</v>
      </c>
      <c r="FD84">
        <v>7</v>
      </c>
      <c r="FE84">
        <v>0.438</v>
      </c>
      <c r="FF84">
        <v>0.002</v>
      </c>
      <c r="FG84">
        <v>-0.988</v>
      </c>
      <c r="FH84">
        <v>-0.066</v>
      </c>
      <c r="FI84">
        <v>400</v>
      </c>
      <c r="FJ84">
        <v>11</v>
      </c>
      <c r="FK84">
        <v>0.05</v>
      </c>
      <c r="FL84">
        <v>0.02</v>
      </c>
      <c r="FM84">
        <v>-17.99324390243902</v>
      </c>
      <c r="FN84">
        <v>2.023770731707345</v>
      </c>
      <c r="FO84">
        <v>0.2214186411708414</v>
      </c>
      <c r="FP84">
        <v>-1</v>
      </c>
      <c r="FQ84">
        <v>6.868240731707317</v>
      </c>
      <c r="FR84">
        <v>-0.6299529616724646</v>
      </c>
      <c r="FS84">
        <v>0.06291317580370991</v>
      </c>
      <c r="FT84">
        <v>-1</v>
      </c>
      <c r="FU84">
        <v>0</v>
      </c>
      <c r="FV84">
        <v>0</v>
      </c>
      <c r="FW84">
        <v>0</v>
      </c>
      <c r="FX84">
        <v>-1</v>
      </c>
      <c r="FY84">
        <v>0</v>
      </c>
      <c r="FZ84">
        <v>0</v>
      </c>
      <c r="GA84" t="s">
        <v>420</v>
      </c>
      <c r="GB84">
        <v>2.98047</v>
      </c>
      <c r="GC84">
        <v>2.7063</v>
      </c>
      <c r="GD84">
        <v>0.188427</v>
      </c>
      <c r="GE84">
        <v>0.188059</v>
      </c>
      <c r="GF84">
        <v>0.08724460000000001</v>
      </c>
      <c r="GG84">
        <v>0.0614002</v>
      </c>
      <c r="GH84">
        <v>25612.9</v>
      </c>
      <c r="GI84">
        <v>25681.4</v>
      </c>
      <c r="GJ84">
        <v>29345.9</v>
      </c>
      <c r="GK84">
        <v>29261.2</v>
      </c>
      <c r="GL84">
        <v>35470</v>
      </c>
      <c r="GM84">
        <v>36582.5</v>
      </c>
      <c r="GN84">
        <v>41306.2</v>
      </c>
      <c r="GO84">
        <v>41765.2</v>
      </c>
      <c r="GP84">
        <v>1.95765</v>
      </c>
      <c r="GQ84">
        <v>1.84837</v>
      </c>
      <c r="GR84">
        <v>-0.0233538</v>
      </c>
      <c r="GS84">
        <v>0</v>
      </c>
      <c r="GT84">
        <v>25.4037</v>
      </c>
      <c r="GU84">
        <v>999.9</v>
      </c>
      <c r="GV84">
        <v>31.9</v>
      </c>
      <c r="GW84">
        <v>34.2</v>
      </c>
      <c r="GX84">
        <v>19.1628</v>
      </c>
      <c r="GY84">
        <v>62.4974</v>
      </c>
      <c r="GZ84">
        <v>35.2484</v>
      </c>
      <c r="HA84">
        <v>1</v>
      </c>
      <c r="HB84">
        <v>0.103257</v>
      </c>
      <c r="HC84">
        <v>2.19123</v>
      </c>
      <c r="HD84">
        <v>20.3198</v>
      </c>
      <c r="HE84">
        <v>5.21594</v>
      </c>
      <c r="HF84">
        <v>12.0099</v>
      </c>
      <c r="HG84">
        <v>4.9886</v>
      </c>
      <c r="HH84">
        <v>3.28865</v>
      </c>
      <c r="HI84">
        <v>994.5</v>
      </c>
      <c r="HJ84">
        <v>9529.200000000001</v>
      </c>
      <c r="HK84">
        <v>5139.4</v>
      </c>
      <c r="HL84">
        <v>24.8</v>
      </c>
      <c r="HM84">
        <v>1.86751</v>
      </c>
      <c r="HN84">
        <v>1.86646</v>
      </c>
      <c r="HO84">
        <v>1.866</v>
      </c>
      <c r="HP84">
        <v>1.86584</v>
      </c>
      <c r="HQ84">
        <v>1.86768</v>
      </c>
      <c r="HR84">
        <v>1.87023</v>
      </c>
      <c r="HS84">
        <v>1.86889</v>
      </c>
      <c r="HT84">
        <v>1.87026</v>
      </c>
      <c r="HU84">
        <v>0</v>
      </c>
      <c r="HV84">
        <v>0</v>
      </c>
      <c r="HW84">
        <v>0</v>
      </c>
      <c r="HX84">
        <v>0</v>
      </c>
      <c r="HY84" t="s">
        <v>421</v>
      </c>
      <c r="HZ84" t="s">
        <v>422</v>
      </c>
      <c r="IA84" t="s">
        <v>423</v>
      </c>
      <c r="IB84" t="s">
        <v>423</v>
      </c>
      <c r="IC84" t="s">
        <v>423</v>
      </c>
      <c r="ID84" t="s">
        <v>423</v>
      </c>
      <c r="IE84">
        <v>0</v>
      </c>
      <c r="IF84">
        <v>100</v>
      </c>
      <c r="IG84">
        <v>100</v>
      </c>
      <c r="IH84">
        <v>-2.31</v>
      </c>
      <c r="II84">
        <v>0.0186</v>
      </c>
      <c r="IJ84">
        <v>-0.2164499368582429</v>
      </c>
      <c r="IK84">
        <v>-0.002077099775823331</v>
      </c>
      <c r="IL84">
        <v>4.593143279902166E-07</v>
      </c>
      <c r="IM84">
        <v>-1.865383991892071E-10</v>
      </c>
      <c r="IN84">
        <v>-0.06087574426827484</v>
      </c>
      <c r="IO84">
        <v>-0.01129461987421345</v>
      </c>
      <c r="IP84">
        <v>0.00116580895745559</v>
      </c>
      <c r="IQ84">
        <v>-1.679085872906199E-05</v>
      </c>
      <c r="IR84">
        <v>2</v>
      </c>
      <c r="IS84">
        <v>2290</v>
      </c>
      <c r="IT84">
        <v>0</v>
      </c>
      <c r="IU84">
        <v>32</v>
      </c>
      <c r="IV84">
        <v>4.9</v>
      </c>
      <c r="IW84">
        <v>4.5</v>
      </c>
      <c r="IX84">
        <v>2.35596</v>
      </c>
      <c r="IY84">
        <v>2.18872</v>
      </c>
      <c r="IZ84">
        <v>1.39648</v>
      </c>
      <c r="JA84">
        <v>2.35596</v>
      </c>
      <c r="JB84">
        <v>1.49536</v>
      </c>
      <c r="JC84">
        <v>2.36084</v>
      </c>
      <c r="JD84">
        <v>38.4279</v>
      </c>
      <c r="JE84">
        <v>24.035</v>
      </c>
      <c r="JF84">
        <v>18</v>
      </c>
      <c r="JG84">
        <v>512.226</v>
      </c>
      <c r="JH84">
        <v>427.626</v>
      </c>
      <c r="JI84">
        <v>22.5007</v>
      </c>
      <c r="JJ84">
        <v>28.6377</v>
      </c>
      <c r="JK84">
        <v>30.0002</v>
      </c>
      <c r="JL84">
        <v>28.6033</v>
      </c>
      <c r="JM84">
        <v>28.5436</v>
      </c>
      <c r="JN84">
        <v>47.1075</v>
      </c>
      <c r="JO84">
        <v>38.6482</v>
      </c>
      <c r="JP84">
        <v>0</v>
      </c>
      <c r="JQ84">
        <v>22.4894</v>
      </c>
      <c r="JR84">
        <v>1163.15</v>
      </c>
      <c r="JS84">
        <v>11.591</v>
      </c>
      <c r="JT84">
        <v>100.311</v>
      </c>
      <c r="JU84">
        <v>100.239</v>
      </c>
    </row>
    <row r="85" spans="1:281">
      <c r="A85">
        <v>69</v>
      </c>
      <c r="B85">
        <v>1651864536.1</v>
      </c>
      <c r="C85">
        <v>315.5</v>
      </c>
      <c r="D85" t="s">
        <v>558</v>
      </c>
      <c r="E85" t="s">
        <v>559</v>
      </c>
      <c r="F85">
        <v>2</v>
      </c>
      <c r="G85" t="s">
        <v>413</v>
      </c>
      <c r="H85" t="s">
        <v>414</v>
      </c>
      <c r="I85">
        <v>1651864534.725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1198.04711224453</v>
      </c>
      <c r="AK85">
        <v>1180.629393939394</v>
      </c>
      <c r="AL85">
        <v>-3.350846435787273</v>
      </c>
      <c r="AM85">
        <v>66.38192812717227</v>
      </c>
      <c r="AN85">
        <f>(AP85 - AO85 + DI85*1E3/(8.314*(DK85+273.15)) * AR85/DH85 * AQ85) * DH85/(100*CV85) * 1000/(1000 - AP85)</f>
        <v>0</v>
      </c>
      <c r="AO85">
        <v>11.46329499688525</v>
      </c>
      <c r="AP85">
        <v>18.22207088235293</v>
      </c>
      <c r="AQ85">
        <v>-6.842185363291071E-07</v>
      </c>
      <c r="AR85">
        <v>80.47224507511959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417</v>
      </c>
      <c r="AY85" t="s">
        <v>417</v>
      </c>
      <c r="AZ85">
        <v>0</v>
      </c>
      <c r="BA85">
        <v>0</v>
      </c>
      <c r="BB85">
        <f>1-AZ85/BA85</f>
        <v>0</v>
      </c>
      <c r="BC85">
        <v>0</v>
      </c>
      <c r="BD85" t="s">
        <v>417</v>
      </c>
      <c r="BE85" t="s">
        <v>417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417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1248</v>
      </c>
      <c r="CA85">
        <v>300</v>
      </c>
      <c r="CB85">
        <v>300</v>
      </c>
      <c r="CC85">
        <v>300</v>
      </c>
      <c r="CD85">
        <v>10442</v>
      </c>
      <c r="CE85">
        <v>1293.69</v>
      </c>
      <c r="CF85">
        <v>-0.00735246</v>
      </c>
      <c r="CG85">
        <v>0.5</v>
      </c>
      <c r="CH85" t="s">
        <v>417</v>
      </c>
      <c r="CI85" t="s">
        <v>417</v>
      </c>
      <c r="CJ85" t="s">
        <v>417</v>
      </c>
      <c r="CK85" t="s">
        <v>417</v>
      </c>
      <c r="CL85" t="s">
        <v>417</v>
      </c>
      <c r="CM85" t="s">
        <v>417</v>
      </c>
      <c r="CN85" t="s">
        <v>417</v>
      </c>
      <c r="CO85" t="s">
        <v>417</v>
      </c>
      <c r="CP85" t="s">
        <v>417</v>
      </c>
      <c r="CQ85" t="s">
        <v>417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418</v>
      </c>
      <c r="CY85">
        <v>2</v>
      </c>
      <c r="CZ85" t="b">
        <v>1</v>
      </c>
      <c r="DA85">
        <v>1651864534.725</v>
      </c>
      <c r="DB85">
        <v>1161.9875</v>
      </c>
      <c r="DC85">
        <v>1179.595</v>
      </c>
      <c r="DD85">
        <v>18.22285</v>
      </c>
      <c r="DE85">
        <v>11.481875</v>
      </c>
      <c r="DF85">
        <v>1164.2925</v>
      </c>
      <c r="DG85">
        <v>18.204275</v>
      </c>
      <c r="DH85">
        <v>500.02275</v>
      </c>
      <c r="DI85">
        <v>89.93975</v>
      </c>
      <c r="DJ85">
        <v>0.1000695</v>
      </c>
      <c r="DK85">
        <v>25.700625</v>
      </c>
      <c r="DL85">
        <v>25.0168</v>
      </c>
      <c r="DM85">
        <v>999.9</v>
      </c>
      <c r="DN85">
        <v>0</v>
      </c>
      <c r="DO85">
        <v>0</v>
      </c>
      <c r="DP85">
        <v>10005.95</v>
      </c>
      <c r="DQ85">
        <v>0</v>
      </c>
      <c r="DR85">
        <v>3.23193</v>
      </c>
      <c r="DS85">
        <v>-17.6052</v>
      </c>
      <c r="DT85">
        <v>1183.5525</v>
      </c>
      <c r="DU85">
        <v>1193.2925</v>
      </c>
      <c r="DV85">
        <v>6.740977500000001</v>
      </c>
      <c r="DW85">
        <v>1179.595</v>
      </c>
      <c r="DX85">
        <v>11.481875</v>
      </c>
      <c r="DY85">
        <v>1.6389575</v>
      </c>
      <c r="DZ85">
        <v>1.0326775</v>
      </c>
      <c r="EA85">
        <v>14.330025</v>
      </c>
      <c r="EB85">
        <v>7.3857475</v>
      </c>
      <c r="EC85">
        <v>1499.9525</v>
      </c>
      <c r="ED85">
        <v>0.9730045</v>
      </c>
      <c r="EE85">
        <v>0.0269958</v>
      </c>
      <c r="EF85">
        <v>0</v>
      </c>
      <c r="EG85">
        <v>950.9060000000001</v>
      </c>
      <c r="EH85">
        <v>5.00097</v>
      </c>
      <c r="EI85">
        <v>14113.8</v>
      </c>
      <c r="EJ85">
        <v>12491.2</v>
      </c>
      <c r="EK85">
        <v>37.25</v>
      </c>
      <c r="EL85">
        <v>38.70274999999999</v>
      </c>
      <c r="EM85">
        <v>37.625</v>
      </c>
      <c r="EN85">
        <v>38.437</v>
      </c>
      <c r="EO85">
        <v>38.125</v>
      </c>
      <c r="EP85">
        <v>1454.5925</v>
      </c>
      <c r="EQ85">
        <v>40.36</v>
      </c>
      <c r="ER85">
        <v>0</v>
      </c>
      <c r="ES85">
        <v>315</v>
      </c>
      <c r="ET85">
        <v>0</v>
      </c>
      <c r="EU85">
        <v>953.57856</v>
      </c>
      <c r="EV85">
        <v>-29.45546156574724</v>
      </c>
      <c r="EW85">
        <v>-416.5384622382529</v>
      </c>
      <c r="EX85">
        <v>14155.004</v>
      </c>
      <c r="EY85">
        <v>15</v>
      </c>
      <c r="EZ85">
        <v>1651864261.1</v>
      </c>
      <c r="FA85" t="s">
        <v>419</v>
      </c>
      <c r="FB85">
        <v>1651864241.6</v>
      </c>
      <c r="FC85">
        <v>1651864261.1</v>
      </c>
      <c r="FD85">
        <v>7</v>
      </c>
      <c r="FE85">
        <v>0.438</v>
      </c>
      <c r="FF85">
        <v>0.002</v>
      </c>
      <c r="FG85">
        <v>-0.988</v>
      </c>
      <c r="FH85">
        <v>-0.066</v>
      </c>
      <c r="FI85">
        <v>400</v>
      </c>
      <c r="FJ85">
        <v>11</v>
      </c>
      <c r="FK85">
        <v>0.05</v>
      </c>
      <c r="FL85">
        <v>0.02</v>
      </c>
      <c r="FM85">
        <v>-17.90321</v>
      </c>
      <c r="FN85">
        <v>1.77988818011256</v>
      </c>
      <c r="FO85">
        <v>0.1945686560060486</v>
      </c>
      <c r="FP85">
        <v>-1</v>
      </c>
      <c r="FQ85">
        <v>6.838551749999999</v>
      </c>
      <c r="FR85">
        <v>-0.6188160225140635</v>
      </c>
      <c r="FS85">
        <v>0.06034894924054181</v>
      </c>
      <c r="FT85">
        <v>-1</v>
      </c>
      <c r="FU85">
        <v>0</v>
      </c>
      <c r="FV85">
        <v>0</v>
      </c>
      <c r="FW85">
        <v>0</v>
      </c>
      <c r="FX85">
        <v>-1</v>
      </c>
      <c r="FY85">
        <v>0</v>
      </c>
      <c r="FZ85">
        <v>0</v>
      </c>
      <c r="GA85" t="s">
        <v>420</v>
      </c>
      <c r="GB85">
        <v>2.98063</v>
      </c>
      <c r="GC85">
        <v>2.70623</v>
      </c>
      <c r="GD85">
        <v>0.187752</v>
      </c>
      <c r="GE85">
        <v>0.18738</v>
      </c>
      <c r="GF85">
        <v>0.087224</v>
      </c>
      <c r="GG85">
        <v>0.0614669</v>
      </c>
      <c r="GH85">
        <v>25634.2</v>
      </c>
      <c r="GI85">
        <v>25702.9</v>
      </c>
      <c r="GJ85">
        <v>29346</v>
      </c>
      <c r="GK85">
        <v>29261.2</v>
      </c>
      <c r="GL85">
        <v>35470.8</v>
      </c>
      <c r="GM85">
        <v>36580</v>
      </c>
      <c r="GN85">
        <v>41306.2</v>
      </c>
      <c r="GO85">
        <v>41765.3</v>
      </c>
      <c r="GP85">
        <v>1.95765</v>
      </c>
      <c r="GQ85">
        <v>1.8483</v>
      </c>
      <c r="GR85">
        <v>-0.0236519</v>
      </c>
      <c r="GS85">
        <v>0</v>
      </c>
      <c r="GT85">
        <v>25.4037</v>
      </c>
      <c r="GU85">
        <v>999.9</v>
      </c>
      <c r="GV85">
        <v>31.9</v>
      </c>
      <c r="GW85">
        <v>34.2</v>
      </c>
      <c r="GX85">
        <v>19.1645</v>
      </c>
      <c r="GY85">
        <v>62.2374</v>
      </c>
      <c r="GZ85">
        <v>34.8798</v>
      </c>
      <c r="HA85">
        <v>1</v>
      </c>
      <c r="HB85">
        <v>0.103283</v>
      </c>
      <c r="HC85">
        <v>2.20585</v>
      </c>
      <c r="HD85">
        <v>20.3197</v>
      </c>
      <c r="HE85">
        <v>5.21639</v>
      </c>
      <c r="HF85">
        <v>12.0099</v>
      </c>
      <c r="HG85">
        <v>4.98885</v>
      </c>
      <c r="HH85">
        <v>3.28865</v>
      </c>
      <c r="HI85">
        <v>994.5</v>
      </c>
      <c r="HJ85">
        <v>9529.200000000001</v>
      </c>
      <c r="HK85">
        <v>5139.4</v>
      </c>
      <c r="HL85">
        <v>24.8</v>
      </c>
      <c r="HM85">
        <v>1.86752</v>
      </c>
      <c r="HN85">
        <v>1.86646</v>
      </c>
      <c r="HO85">
        <v>1.866</v>
      </c>
      <c r="HP85">
        <v>1.86584</v>
      </c>
      <c r="HQ85">
        <v>1.86769</v>
      </c>
      <c r="HR85">
        <v>1.87021</v>
      </c>
      <c r="HS85">
        <v>1.86889</v>
      </c>
      <c r="HT85">
        <v>1.87026</v>
      </c>
      <c r="HU85">
        <v>0</v>
      </c>
      <c r="HV85">
        <v>0</v>
      </c>
      <c r="HW85">
        <v>0</v>
      </c>
      <c r="HX85">
        <v>0</v>
      </c>
      <c r="HY85" t="s">
        <v>421</v>
      </c>
      <c r="HZ85" t="s">
        <v>422</v>
      </c>
      <c r="IA85" t="s">
        <v>423</v>
      </c>
      <c r="IB85" t="s">
        <v>423</v>
      </c>
      <c r="IC85" t="s">
        <v>423</v>
      </c>
      <c r="ID85" t="s">
        <v>423</v>
      </c>
      <c r="IE85">
        <v>0</v>
      </c>
      <c r="IF85">
        <v>100</v>
      </c>
      <c r="IG85">
        <v>100</v>
      </c>
      <c r="IH85">
        <v>-2.29</v>
      </c>
      <c r="II85">
        <v>0.0185</v>
      </c>
      <c r="IJ85">
        <v>-0.2164499368582429</v>
      </c>
      <c r="IK85">
        <v>-0.002077099775823331</v>
      </c>
      <c r="IL85">
        <v>4.593143279902166E-07</v>
      </c>
      <c r="IM85">
        <v>-1.865383991892071E-10</v>
      </c>
      <c r="IN85">
        <v>-0.06087574426827484</v>
      </c>
      <c r="IO85">
        <v>-0.01129461987421345</v>
      </c>
      <c r="IP85">
        <v>0.00116580895745559</v>
      </c>
      <c r="IQ85">
        <v>-1.679085872906199E-05</v>
      </c>
      <c r="IR85">
        <v>2</v>
      </c>
      <c r="IS85">
        <v>2290</v>
      </c>
      <c r="IT85">
        <v>0</v>
      </c>
      <c r="IU85">
        <v>32</v>
      </c>
      <c r="IV85">
        <v>4.9</v>
      </c>
      <c r="IW85">
        <v>4.6</v>
      </c>
      <c r="IX85">
        <v>2.34497</v>
      </c>
      <c r="IY85">
        <v>2.19849</v>
      </c>
      <c r="IZ85">
        <v>1.39648</v>
      </c>
      <c r="JA85">
        <v>2.35718</v>
      </c>
      <c r="JB85">
        <v>1.49536</v>
      </c>
      <c r="JC85">
        <v>2.32666</v>
      </c>
      <c r="JD85">
        <v>38.4279</v>
      </c>
      <c r="JE85">
        <v>24.035</v>
      </c>
      <c r="JF85">
        <v>18</v>
      </c>
      <c r="JG85">
        <v>512.236</v>
      </c>
      <c r="JH85">
        <v>427.582</v>
      </c>
      <c r="JI85">
        <v>22.4981</v>
      </c>
      <c r="JJ85">
        <v>28.6389</v>
      </c>
      <c r="JK85">
        <v>30.0002</v>
      </c>
      <c r="JL85">
        <v>28.6046</v>
      </c>
      <c r="JM85">
        <v>28.5436</v>
      </c>
      <c r="JN85">
        <v>46.8869</v>
      </c>
      <c r="JO85">
        <v>38.6482</v>
      </c>
      <c r="JP85">
        <v>0</v>
      </c>
      <c r="JQ85">
        <v>22.4894</v>
      </c>
      <c r="JR85">
        <v>1156.47</v>
      </c>
      <c r="JS85">
        <v>11.6151</v>
      </c>
      <c r="JT85">
        <v>100.311</v>
      </c>
      <c r="JU85">
        <v>100.239</v>
      </c>
    </row>
    <row r="86" spans="1:281">
      <c r="A86">
        <v>70</v>
      </c>
      <c r="B86">
        <v>1651864538.1</v>
      </c>
      <c r="C86">
        <v>317.5</v>
      </c>
      <c r="D86" t="s">
        <v>560</v>
      </c>
      <c r="E86" t="s">
        <v>561</v>
      </c>
      <c r="F86">
        <v>2</v>
      </c>
      <c r="G86" t="s">
        <v>413</v>
      </c>
      <c r="H86" t="s">
        <v>414</v>
      </c>
      <c r="I86">
        <v>1651864537.1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1191.228683231746</v>
      </c>
      <c r="AK86">
        <v>1173.842727272727</v>
      </c>
      <c r="AL86">
        <v>-3.374186640972257</v>
      </c>
      <c r="AM86">
        <v>66.38192812717227</v>
      </c>
      <c r="AN86">
        <f>(AP86 - AO86 + DI86*1E3/(8.314*(DK86+273.15)) * AR86/DH86 * AQ86) * DH86/(100*CV86) * 1000/(1000 - AP86)</f>
        <v>0</v>
      </c>
      <c r="AO86">
        <v>11.47543341510048</v>
      </c>
      <c r="AP86">
        <v>18.21420970588236</v>
      </c>
      <c r="AQ86">
        <v>6.050265246965796E-05</v>
      </c>
      <c r="AR86">
        <v>80.47224507511959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417</v>
      </c>
      <c r="AY86" t="s">
        <v>417</v>
      </c>
      <c r="AZ86">
        <v>0</v>
      </c>
      <c r="BA86">
        <v>0</v>
      </c>
      <c r="BB86">
        <f>1-AZ86/BA86</f>
        <v>0</v>
      </c>
      <c r="BC86">
        <v>0</v>
      </c>
      <c r="BD86" t="s">
        <v>417</v>
      </c>
      <c r="BE86" t="s">
        <v>417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417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1248</v>
      </c>
      <c r="CA86">
        <v>300</v>
      </c>
      <c r="CB86">
        <v>300</v>
      </c>
      <c r="CC86">
        <v>300</v>
      </c>
      <c r="CD86">
        <v>10442</v>
      </c>
      <c r="CE86">
        <v>1293.69</v>
      </c>
      <c r="CF86">
        <v>-0.00735246</v>
      </c>
      <c r="CG86">
        <v>0.5</v>
      </c>
      <c r="CH86" t="s">
        <v>417</v>
      </c>
      <c r="CI86" t="s">
        <v>417</v>
      </c>
      <c r="CJ86" t="s">
        <v>417</v>
      </c>
      <c r="CK86" t="s">
        <v>417</v>
      </c>
      <c r="CL86" t="s">
        <v>417</v>
      </c>
      <c r="CM86" t="s">
        <v>417</v>
      </c>
      <c r="CN86" t="s">
        <v>417</v>
      </c>
      <c r="CO86" t="s">
        <v>417</v>
      </c>
      <c r="CP86" t="s">
        <v>417</v>
      </c>
      <c r="CQ86" t="s">
        <v>417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418</v>
      </c>
      <c r="CY86">
        <v>2</v>
      </c>
      <c r="CZ86" t="b">
        <v>1</v>
      </c>
      <c r="DA86">
        <v>1651864537.1</v>
      </c>
      <c r="DB86">
        <v>1154.12</v>
      </c>
      <c r="DC86">
        <v>1171.656666666667</v>
      </c>
      <c r="DD86">
        <v>18.21616666666667</v>
      </c>
      <c r="DE86">
        <v>11.50316666666667</v>
      </c>
      <c r="DF86">
        <v>1156.413333333333</v>
      </c>
      <c r="DG86">
        <v>18.1977</v>
      </c>
      <c r="DH86">
        <v>500.1023333333333</v>
      </c>
      <c r="DI86">
        <v>89.93953333333332</v>
      </c>
      <c r="DJ86">
        <v>0.1000254</v>
      </c>
      <c r="DK86">
        <v>25.70206666666667</v>
      </c>
      <c r="DL86">
        <v>25.01063333333333</v>
      </c>
      <c r="DM86">
        <v>999.9</v>
      </c>
      <c r="DN86">
        <v>0</v>
      </c>
      <c r="DO86">
        <v>0</v>
      </c>
      <c r="DP86">
        <v>9993.75</v>
      </c>
      <c r="DQ86">
        <v>0</v>
      </c>
      <c r="DR86">
        <v>3.23193</v>
      </c>
      <c r="DS86">
        <v>-17.5371</v>
      </c>
      <c r="DT86">
        <v>1175.533333333333</v>
      </c>
      <c r="DU86">
        <v>1185.29</v>
      </c>
      <c r="DV86">
        <v>6.71299</v>
      </c>
      <c r="DW86">
        <v>1171.656666666667</v>
      </c>
      <c r="DX86">
        <v>11.50316666666667</v>
      </c>
      <c r="DY86">
        <v>1.638353333333334</v>
      </c>
      <c r="DZ86">
        <v>1.03459</v>
      </c>
      <c r="EA86">
        <v>14.32433333333333</v>
      </c>
      <c r="EB86">
        <v>7.412806666666666</v>
      </c>
      <c r="EC86">
        <v>1500.11</v>
      </c>
      <c r="ED86">
        <v>0.973007</v>
      </c>
      <c r="EE86">
        <v>0.0269931</v>
      </c>
      <c r="EF86">
        <v>0</v>
      </c>
      <c r="EG86">
        <v>949.5770000000001</v>
      </c>
      <c r="EH86">
        <v>5.00097</v>
      </c>
      <c r="EI86">
        <v>14099.96666666667</v>
      </c>
      <c r="EJ86">
        <v>12492.5</v>
      </c>
      <c r="EK86">
        <v>37.25</v>
      </c>
      <c r="EL86">
        <v>38.687</v>
      </c>
      <c r="EM86">
        <v>37.625</v>
      </c>
      <c r="EN86">
        <v>38.437</v>
      </c>
      <c r="EO86">
        <v>38.125</v>
      </c>
      <c r="EP86">
        <v>1454.75</v>
      </c>
      <c r="EQ86">
        <v>40.36</v>
      </c>
      <c r="ER86">
        <v>0</v>
      </c>
      <c r="ES86">
        <v>316.7999999523163</v>
      </c>
      <c r="ET86">
        <v>0</v>
      </c>
      <c r="EU86">
        <v>952.8625769230769</v>
      </c>
      <c r="EV86">
        <v>-28.9576410113117</v>
      </c>
      <c r="EW86">
        <v>-415.6000000021772</v>
      </c>
      <c r="EX86">
        <v>14144.70384615385</v>
      </c>
      <c r="EY86">
        <v>15</v>
      </c>
      <c r="EZ86">
        <v>1651864261.1</v>
      </c>
      <c r="FA86" t="s">
        <v>419</v>
      </c>
      <c r="FB86">
        <v>1651864241.6</v>
      </c>
      <c r="FC86">
        <v>1651864261.1</v>
      </c>
      <c r="FD86">
        <v>7</v>
      </c>
      <c r="FE86">
        <v>0.438</v>
      </c>
      <c r="FF86">
        <v>0.002</v>
      </c>
      <c r="FG86">
        <v>-0.988</v>
      </c>
      <c r="FH86">
        <v>-0.066</v>
      </c>
      <c r="FI86">
        <v>400</v>
      </c>
      <c r="FJ86">
        <v>11</v>
      </c>
      <c r="FK86">
        <v>0.05</v>
      </c>
      <c r="FL86">
        <v>0.02</v>
      </c>
      <c r="FM86">
        <v>-17.86805609756097</v>
      </c>
      <c r="FN86">
        <v>1.970997909407652</v>
      </c>
      <c r="FO86">
        <v>0.2122721550949946</v>
      </c>
      <c r="FP86">
        <v>-1</v>
      </c>
      <c r="FQ86">
        <v>6.825693658536585</v>
      </c>
      <c r="FR86">
        <v>-0.6257502439024301</v>
      </c>
      <c r="FS86">
        <v>0.06246484547936898</v>
      </c>
      <c r="FT86">
        <v>-1</v>
      </c>
      <c r="FU86">
        <v>0</v>
      </c>
      <c r="FV86">
        <v>0</v>
      </c>
      <c r="FW86">
        <v>0</v>
      </c>
      <c r="FX86">
        <v>-1</v>
      </c>
      <c r="FY86">
        <v>0</v>
      </c>
      <c r="FZ86">
        <v>0</v>
      </c>
      <c r="GA86" t="s">
        <v>420</v>
      </c>
      <c r="GB86">
        <v>2.98053</v>
      </c>
      <c r="GC86">
        <v>2.70609</v>
      </c>
      <c r="GD86">
        <v>0.187073</v>
      </c>
      <c r="GE86">
        <v>0.186717</v>
      </c>
      <c r="GF86">
        <v>0.08721180000000001</v>
      </c>
      <c r="GG86">
        <v>0.0615454</v>
      </c>
      <c r="GH86">
        <v>25655.5</v>
      </c>
      <c r="GI86">
        <v>25723.9</v>
      </c>
      <c r="GJ86">
        <v>29345.7</v>
      </c>
      <c r="GK86">
        <v>29261.2</v>
      </c>
      <c r="GL86">
        <v>35470.9</v>
      </c>
      <c r="GM86">
        <v>36576.8</v>
      </c>
      <c r="GN86">
        <v>41305.9</v>
      </c>
      <c r="GO86">
        <v>41765.2</v>
      </c>
      <c r="GP86">
        <v>1.95758</v>
      </c>
      <c r="GQ86">
        <v>1.84837</v>
      </c>
      <c r="GR86">
        <v>-0.024274</v>
      </c>
      <c r="GS86">
        <v>0</v>
      </c>
      <c r="GT86">
        <v>25.4037</v>
      </c>
      <c r="GU86">
        <v>999.9</v>
      </c>
      <c r="GV86">
        <v>31.9</v>
      </c>
      <c r="GW86">
        <v>34.2</v>
      </c>
      <c r="GX86">
        <v>19.162</v>
      </c>
      <c r="GY86">
        <v>62.6674</v>
      </c>
      <c r="GZ86">
        <v>35.3125</v>
      </c>
      <c r="HA86">
        <v>1</v>
      </c>
      <c r="HB86">
        <v>0.103364</v>
      </c>
      <c r="HC86">
        <v>2.21831</v>
      </c>
      <c r="HD86">
        <v>20.3196</v>
      </c>
      <c r="HE86">
        <v>5.21639</v>
      </c>
      <c r="HF86">
        <v>12.0099</v>
      </c>
      <c r="HG86">
        <v>4.98875</v>
      </c>
      <c r="HH86">
        <v>3.28865</v>
      </c>
      <c r="HI86">
        <v>994.5</v>
      </c>
      <c r="HJ86">
        <v>9529.200000000001</v>
      </c>
      <c r="HK86">
        <v>5139.4</v>
      </c>
      <c r="HL86">
        <v>24.8</v>
      </c>
      <c r="HM86">
        <v>1.86752</v>
      </c>
      <c r="HN86">
        <v>1.86646</v>
      </c>
      <c r="HO86">
        <v>1.866</v>
      </c>
      <c r="HP86">
        <v>1.86584</v>
      </c>
      <c r="HQ86">
        <v>1.8677</v>
      </c>
      <c r="HR86">
        <v>1.87019</v>
      </c>
      <c r="HS86">
        <v>1.8689</v>
      </c>
      <c r="HT86">
        <v>1.87027</v>
      </c>
      <c r="HU86">
        <v>0</v>
      </c>
      <c r="HV86">
        <v>0</v>
      </c>
      <c r="HW86">
        <v>0</v>
      </c>
      <c r="HX86">
        <v>0</v>
      </c>
      <c r="HY86" t="s">
        <v>421</v>
      </c>
      <c r="HZ86" t="s">
        <v>422</v>
      </c>
      <c r="IA86" t="s">
        <v>423</v>
      </c>
      <c r="IB86" t="s">
        <v>423</v>
      </c>
      <c r="IC86" t="s">
        <v>423</v>
      </c>
      <c r="ID86" t="s">
        <v>423</v>
      </c>
      <c r="IE86">
        <v>0</v>
      </c>
      <c r="IF86">
        <v>100</v>
      </c>
      <c r="IG86">
        <v>100</v>
      </c>
      <c r="IH86">
        <v>-2.28</v>
      </c>
      <c r="II86">
        <v>0.0184</v>
      </c>
      <c r="IJ86">
        <v>-0.2164499368582429</v>
      </c>
      <c r="IK86">
        <v>-0.002077099775823331</v>
      </c>
      <c r="IL86">
        <v>4.593143279902166E-07</v>
      </c>
      <c r="IM86">
        <v>-1.865383991892071E-10</v>
      </c>
      <c r="IN86">
        <v>-0.06087574426827484</v>
      </c>
      <c r="IO86">
        <v>-0.01129461987421345</v>
      </c>
      <c r="IP86">
        <v>0.00116580895745559</v>
      </c>
      <c r="IQ86">
        <v>-1.679085872906199E-05</v>
      </c>
      <c r="IR86">
        <v>2</v>
      </c>
      <c r="IS86">
        <v>2290</v>
      </c>
      <c r="IT86">
        <v>0</v>
      </c>
      <c r="IU86">
        <v>32</v>
      </c>
      <c r="IV86">
        <v>4.9</v>
      </c>
      <c r="IW86">
        <v>4.6</v>
      </c>
      <c r="IX86">
        <v>2.33398</v>
      </c>
      <c r="IY86">
        <v>2.1936</v>
      </c>
      <c r="IZ86">
        <v>1.39648</v>
      </c>
      <c r="JA86">
        <v>2.35718</v>
      </c>
      <c r="JB86">
        <v>1.49536</v>
      </c>
      <c r="JC86">
        <v>2.32422</v>
      </c>
      <c r="JD86">
        <v>38.4279</v>
      </c>
      <c r="JE86">
        <v>24.035</v>
      </c>
      <c r="JF86">
        <v>18</v>
      </c>
      <c r="JG86">
        <v>512.197</v>
      </c>
      <c r="JH86">
        <v>427.627</v>
      </c>
      <c r="JI86">
        <v>22.4944</v>
      </c>
      <c r="JJ86">
        <v>28.6389</v>
      </c>
      <c r="JK86">
        <v>30.0003</v>
      </c>
      <c r="JL86">
        <v>28.6057</v>
      </c>
      <c r="JM86">
        <v>28.5436</v>
      </c>
      <c r="JN86">
        <v>46.6725</v>
      </c>
      <c r="JO86">
        <v>38.3591</v>
      </c>
      <c r="JP86">
        <v>0</v>
      </c>
      <c r="JQ86">
        <v>22.4894</v>
      </c>
      <c r="JR86">
        <v>1149.79</v>
      </c>
      <c r="JS86">
        <v>11.6309</v>
      </c>
      <c r="JT86">
        <v>100.31</v>
      </c>
      <c r="JU86">
        <v>100.239</v>
      </c>
    </row>
    <row r="87" spans="1:281">
      <c r="A87">
        <v>71</v>
      </c>
      <c r="B87">
        <v>1651864540.1</v>
      </c>
      <c r="C87">
        <v>319.5</v>
      </c>
      <c r="D87" t="s">
        <v>562</v>
      </c>
      <c r="E87" t="s">
        <v>563</v>
      </c>
      <c r="F87">
        <v>2</v>
      </c>
      <c r="G87" t="s">
        <v>413</v>
      </c>
      <c r="H87" t="s">
        <v>414</v>
      </c>
      <c r="I87">
        <v>1651864538.725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1184.546567038752</v>
      </c>
      <c r="AK87">
        <v>1167.174363636364</v>
      </c>
      <c r="AL87">
        <v>-3.354417445538342</v>
      </c>
      <c r="AM87">
        <v>66.38192812717227</v>
      </c>
      <c r="AN87">
        <f>(AP87 - AO87 + DI87*1E3/(8.314*(DK87+273.15)) * AR87/DH87 * AQ87) * DH87/(100*CV87) * 1000/(1000 - AP87)</f>
        <v>0</v>
      </c>
      <c r="AO87">
        <v>11.48905540742739</v>
      </c>
      <c r="AP87">
        <v>18.21197441176471</v>
      </c>
      <c r="AQ87">
        <v>-9.186949429738759E-05</v>
      </c>
      <c r="AR87">
        <v>80.47224507511959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417</v>
      </c>
      <c r="AY87" t="s">
        <v>417</v>
      </c>
      <c r="AZ87">
        <v>0</v>
      </c>
      <c r="BA87">
        <v>0</v>
      </c>
      <c r="BB87">
        <f>1-AZ87/BA87</f>
        <v>0</v>
      </c>
      <c r="BC87">
        <v>0</v>
      </c>
      <c r="BD87" t="s">
        <v>417</v>
      </c>
      <c r="BE87" t="s">
        <v>417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417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1248</v>
      </c>
      <c r="CA87">
        <v>300</v>
      </c>
      <c r="CB87">
        <v>300</v>
      </c>
      <c r="CC87">
        <v>300</v>
      </c>
      <c r="CD87">
        <v>10442</v>
      </c>
      <c r="CE87">
        <v>1293.69</v>
      </c>
      <c r="CF87">
        <v>-0.00735246</v>
      </c>
      <c r="CG87">
        <v>0.5</v>
      </c>
      <c r="CH87" t="s">
        <v>417</v>
      </c>
      <c r="CI87" t="s">
        <v>417</v>
      </c>
      <c r="CJ87" t="s">
        <v>417</v>
      </c>
      <c r="CK87" t="s">
        <v>417</v>
      </c>
      <c r="CL87" t="s">
        <v>417</v>
      </c>
      <c r="CM87" t="s">
        <v>417</v>
      </c>
      <c r="CN87" t="s">
        <v>417</v>
      </c>
      <c r="CO87" t="s">
        <v>417</v>
      </c>
      <c r="CP87" t="s">
        <v>417</v>
      </c>
      <c r="CQ87" t="s">
        <v>417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418</v>
      </c>
      <c r="CY87">
        <v>2</v>
      </c>
      <c r="CZ87" t="b">
        <v>1</v>
      </c>
      <c r="DA87">
        <v>1651864538.725</v>
      </c>
      <c r="DB87">
        <v>1148.785</v>
      </c>
      <c r="DC87">
        <v>1166.26</v>
      </c>
      <c r="DD87">
        <v>18.213925</v>
      </c>
      <c r="DE87">
        <v>11.516325</v>
      </c>
      <c r="DF87">
        <v>1151.0675</v>
      </c>
      <c r="DG87">
        <v>18.1955</v>
      </c>
      <c r="DH87">
        <v>500.0465</v>
      </c>
      <c r="DI87">
        <v>89.94029999999999</v>
      </c>
      <c r="DJ87">
        <v>0.10009855</v>
      </c>
      <c r="DK87">
        <v>25.703425</v>
      </c>
      <c r="DL87">
        <v>25.004275</v>
      </c>
      <c r="DM87">
        <v>999.9</v>
      </c>
      <c r="DN87">
        <v>0</v>
      </c>
      <c r="DO87">
        <v>0</v>
      </c>
      <c r="DP87">
        <v>9975.9375</v>
      </c>
      <c r="DQ87">
        <v>0</v>
      </c>
      <c r="DR87">
        <v>3.23193</v>
      </c>
      <c r="DS87">
        <v>-17.478575</v>
      </c>
      <c r="DT87">
        <v>1170.095</v>
      </c>
      <c r="DU87">
        <v>1179.85</v>
      </c>
      <c r="DV87">
        <v>6.697559999999999</v>
      </c>
      <c r="DW87">
        <v>1166.26</v>
      </c>
      <c r="DX87">
        <v>11.516325</v>
      </c>
      <c r="DY87">
        <v>1.638165</v>
      </c>
      <c r="DZ87">
        <v>1.035785</v>
      </c>
      <c r="EA87">
        <v>14.322575</v>
      </c>
      <c r="EB87">
        <v>7.4297125</v>
      </c>
      <c r="EC87">
        <v>1500.1025</v>
      </c>
      <c r="ED87">
        <v>0.973007</v>
      </c>
      <c r="EE87">
        <v>0.0269931</v>
      </c>
      <c r="EF87">
        <v>0</v>
      </c>
      <c r="EG87">
        <v>948.818</v>
      </c>
      <c r="EH87">
        <v>5.00097</v>
      </c>
      <c r="EI87">
        <v>14089.825</v>
      </c>
      <c r="EJ87">
        <v>12492.45</v>
      </c>
      <c r="EK87">
        <v>37.25</v>
      </c>
      <c r="EL87">
        <v>38.687</v>
      </c>
      <c r="EM87">
        <v>37.625</v>
      </c>
      <c r="EN87">
        <v>38.437</v>
      </c>
      <c r="EO87">
        <v>38.125</v>
      </c>
      <c r="EP87">
        <v>1454.7425</v>
      </c>
      <c r="EQ87">
        <v>40.36</v>
      </c>
      <c r="ER87">
        <v>0</v>
      </c>
      <c r="ES87">
        <v>319.2000000476837</v>
      </c>
      <c r="ET87">
        <v>0</v>
      </c>
      <c r="EU87">
        <v>951.6758461538461</v>
      </c>
      <c r="EV87">
        <v>-28.10509397225154</v>
      </c>
      <c r="EW87">
        <v>-408.926495166406</v>
      </c>
      <c r="EX87">
        <v>14128.28846153846</v>
      </c>
      <c r="EY87">
        <v>15</v>
      </c>
      <c r="EZ87">
        <v>1651864261.1</v>
      </c>
      <c r="FA87" t="s">
        <v>419</v>
      </c>
      <c r="FB87">
        <v>1651864241.6</v>
      </c>
      <c r="FC87">
        <v>1651864261.1</v>
      </c>
      <c r="FD87">
        <v>7</v>
      </c>
      <c r="FE87">
        <v>0.438</v>
      </c>
      <c r="FF87">
        <v>0.002</v>
      </c>
      <c r="FG87">
        <v>-0.988</v>
      </c>
      <c r="FH87">
        <v>-0.066</v>
      </c>
      <c r="FI87">
        <v>400</v>
      </c>
      <c r="FJ87">
        <v>11</v>
      </c>
      <c r="FK87">
        <v>0.05</v>
      </c>
      <c r="FL87">
        <v>0.02</v>
      </c>
      <c r="FM87">
        <v>-17.79365</v>
      </c>
      <c r="FN87">
        <v>2.159707317073158</v>
      </c>
      <c r="FO87">
        <v>0.2206413605831869</v>
      </c>
      <c r="FP87">
        <v>-1</v>
      </c>
      <c r="FQ87">
        <v>6.79854675</v>
      </c>
      <c r="FR87">
        <v>-0.6700004127580013</v>
      </c>
      <c r="FS87">
        <v>0.06486880627032911</v>
      </c>
      <c r="FT87">
        <v>-1</v>
      </c>
      <c r="FU87">
        <v>0</v>
      </c>
      <c r="FV87">
        <v>0</v>
      </c>
      <c r="FW87">
        <v>0</v>
      </c>
      <c r="FX87">
        <v>-1</v>
      </c>
      <c r="FY87">
        <v>0</v>
      </c>
      <c r="FZ87">
        <v>0</v>
      </c>
      <c r="GA87" t="s">
        <v>420</v>
      </c>
      <c r="GB87">
        <v>2.98049</v>
      </c>
      <c r="GC87">
        <v>2.70607</v>
      </c>
      <c r="GD87">
        <v>0.186399</v>
      </c>
      <c r="GE87">
        <v>0.186031</v>
      </c>
      <c r="GF87">
        <v>0.08720070000000001</v>
      </c>
      <c r="GG87">
        <v>0.0616103</v>
      </c>
      <c r="GH87">
        <v>25676.8</v>
      </c>
      <c r="GI87">
        <v>25745.6</v>
      </c>
      <c r="GJ87">
        <v>29345.8</v>
      </c>
      <c r="GK87">
        <v>29261.2</v>
      </c>
      <c r="GL87">
        <v>35471.4</v>
      </c>
      <c r="GM87">
        <v>36574.2</v>
      </c>
      <c r="GN87">
        <v>41305.9</v>
      </c>
      <c r="GO87">
        <v>41765.1</v>
      </c>
      <c r="GP87">
        <v>1.95747</v>
      </c>
      <c r="GQ87">
        <v>1.84843</v>
      </c>
      <c r="GR87">
        <v>-0.024382</v>
      </c>
      <c r="GS87">
        <v>0</v>
      </c>
      <c r="GT87">
        <v>25.4037</v>
      </c>
      <c r="GU87">
        <v>999.9</v>
      </c>
      <c r="GV87">
        <v>31.9</v>
      </c>
      <c r="GW87">
        <v>34.3</v>
      </c>
      <c r="GX87">
        <v>19.2709</v>
      </c>
      <c r="GY87">
        <v>62.4074</v>
      </c>
      <c r="GZ87">
        <v>34.9359</v>
      </c>
      <c r="HA87">
        <v>1</v>
      </c>
      <c r="HB87">
        <v>0.10344</v>
      </c>
      <c r="HC87">
        <v>2.21589</v>
      </c>
      <c r="HD87">
        <v>20.3197</v>
      </c>
      <c r="HE87">
        <v>5.21624</v>
      </c>
      <c r="HF87">
        <v>12.0099</v>
      </c>
      <c r="HG87">
        <v>4.98875</v>
      </c>
      <c r="HH87">
        <v>3.28865</v>
      </c>
      <c r="HI87">
        <v>994.5</v>
      </c>
      <c r="HJ87">
        <v>9529.200000000001</v>
      </c>
      <c r="HK87">
        <v>5139.4</v>
      </c>
      <c r="HL87">
        <v>24.8</v>
      </c>
      <c r="HM87">
        <v>1.86752</v>
      </c>
      <c r="HN87">
        <v>1.86646</v>
      </c>
      <c r="HO87">
        <v>1.866</v>
      </c>
      <c r="HP87">
        <v>1.86584</v>
      </c>
      <c r="HQ87">
        <v>1.86771</v>
      </c>
      <c r="HR87">
        <v>1.87019</v>
      </c>
      <c r="HS87">
        <v>1.8689</v>
      </c>
      <c r="HT87">
        <v>1.87026</v>
      </c>
      <c r="HU87">
        <v>0</v>
      </c>
      <c r="HV87">
        <v>0</v>
      </c>
      <c r="HW87">
        <v>0</v>
      </c>
      <c r="HX87">
        <v>0</v>
      </c>
      <c r="HY87" t="s">
        <v>421</v>
      </c>
      <c r="HZ87" t="s">
        <v>422</v>
      </c>
      <c r="IA87" t="s">
        <v>423</v>
      </c>
      <c r="IB87" t="s">
        <v>423</v>
      </c>
      <c r="IC87" t="s">
        <v>423</v>
      </c>
      <c r="ID87" t="s">
        <v>423</v>
      </c>
      <c r="IE87">
        <v>0</v>
      </c>
      <c r="IF87">
        <v>100</v>
      </c>
      <c r="IG87">
        <v>100</v>
      </c>
      <c r="IH87">
        <v>-2.28</v>
      </c>
      <c r="II87">
        <v>0.0184</v>
      </c>
      <c r="IJ87">
        <v>-0.2164499368582429</v>
      </c>
      <c r="IK87">
        <v>-0.002077099775823331</v>
      </c>
      <c r="IL87">
        <v>4.593143279902166E-07</v>
      </c>
      <c r="IM87">
        <v>-1.865383991892071E-10</v>
      </c>
      <c r="IN87">
        <v>-0.06087574426827484</v>
      </c>
      <c r="IO87">
        <v>-0.01129461987421345</v>
      </c>
      <c r="IP87">
        <v>0.00116580895745559</v>
      </c>
      <c r="IQ87">
        <v>-1.679085872906199E-05</v>
      </c>
      <c r="IR87">
        <v>2</v>
      </c>
      <c r="IS87">
        <v>2290</v>
      </c>
      <c r="IT87">
        <v>0</v>
      </c>
      <c r="IU87">
        <v>32</v>
      </c>
      <c r="IV87">
        <v>5</v>
      </c>
      <c r="IW87">
        <v>4.7</v>
      </c>
      <c r="IX87">
        <v>2.323</v>
      </c>
      <c r="IY87">
        <v>2.1936</v>
      </c>
      <c r="IZ87">
        <v>1.39648</v>
      </c>
      <c r="JA87">
        <v>2.35596</v>
      </c>
      <c r="JB87">
        <v>1.49536</v>
      </c>
      <c r="JC87">
        <v>2.36206</v>
      </c>
      <c r="JD87">
        <v>38.4279</v>
      </c>
      <c r="JE87">
        <v>24.035</v>
      </c>
      <c r="JF87">
        <v>18</v>
      </c>
      <c r="JG87">
        <v>512.1319999999999</v>
      </c>
      <c r="JH87">
        <v>427.657</v>
      </c>
      <c r="JI87">
        <v>22.4904</v>
      </c>
      <c r="JJ87">
        <v>28.6389</v>
      </c>
      <c r="JK87">
        <v>30.0003</v>
      </c>
      <c r="JL87">
        <v>28.6057</v>
      </c>
      <c r="JM87">
        <v>28.5436</v>
      </c>
      <c r="JN87">
        <v>46.4589</v>
      </c>
      <c r="JO87">
        <v>38.3591</v>
      </c>
      <c r="JP87">
        <v>0</v>
      </c>
      <c r="JQ87">
        <v>22.4785</v>
      </c>
      <c r="JR87">
        <v>1143.11</v>
      </c>
      <c r="JS87">
        <v>11.6578</v>
      </c>
      <c r="JT87">
        <v>100.31</v>
      </c>
      <c r="JU87">
        <v>100.239</v>
      </c>
    </row>
    <row r="88" spans="1:281">
      <c r="A88">
        <v>72</v>
      </c>
      <c r="B88">
        <v>1651864542.1</v>
      </c>
      <c r="C88">
        <v>321.5</v>
      </c>
      <c r="D88" t="s">
        <v>564</v>
      </c>
      <c r="E88" t="s">
        <v>565</v>
      </c>
      <c r="F88">
        <v>2</v>
      </c>
      <c r="G88" t="s">
        <v>413</v>
      </c>
      <c r="H88" t="s">
        <v>414</v>
      </c>
      <c r="I88">
        <v>1651864541.1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1177.782664539865</v>
      </c>
      <c r="AK88">
        <v>1160.452969696969</v>
      </c>
      <c r="AL88">
        <v>-3.352245372891566</v>
      </c>
      <c r="AM88">
        <v>66.38192812717227</v>
      </c>
      <c r="AN88">
        <f>(AP88 - AO88 + DI88*1E3/(8.314*(DK88+273.15)) * AR88/DH88 * AQ88) * DH88/(100*CV88) * 1000/(1000 - AP88)</f>
        <v>0</v>
      </c>
      <c r="AO88">
        <v>11.50606923027778</v>
      </c>
      <c r="AP88">
        <v>18.20683294117646</v>
      </c>
      <c r="AQ88">
        <v>-9.28149122390275E-05</v>
      </c>
      <c r="AR88">
        <v>80.47224507511959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417</v>
      </c>
      <c r="AY88" t="s">
        <v>417</v>
      </c>
      <c r="AZ88">
        <v>0</v>
      </c>
      <c r="BA88">
        <v>0</v>
      </c>
      <c r="BB88">
        <f>1-AZ88/BA88</f>
        <v>0</v>
      </c>
      <c r="BC88">
        <v>0</v>
      </c>
      <c r="BD88" t="s">
        <v>417</v>
      </c>
      <c r="BE88" t="s">
        <v>417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417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1248</v>
      </c>
      <c r="CA88">
        <v>300</v>
      </c>
      <c r="CB88">
        <v>300</v>
      </c>
      <c r="CC88">
        <v>300</v>
      </c>
      <c r="CD88">
        <v>10442</v>
      </c>
      <c r="CE88">
        <v>1293.69</v>
      </c>
      <c r="CF88">
        <v>-0.00735246</v>
      </c>
      <c r="CG88">
        <v>0.5</v>
      </c>
      <c r="CH88" t="s">
        <v>417</v>
      </c>
      <c r="CI88" t="s">
        <v>417</v>
      </c>
      <c r="CJ88" t="s">
        <v>417</v>
      </c>
      <c r="CK88" t="s">
        <v>417</v>
      </c>
      <c r="CL88" t="s">
        <v>417</v>
      </c>
      <c r="CM88" t="s">
        <v>417</v>
      </c>
      <c r="CN88" t="s">
        <v>417</v>
      </c>
      <c r="CO88" t="s">
        <v>417</v>
      </c>
      <c r="CP88" t="s">
        <v>417</v>
      </c>
      <c r="CQ88" t="s">
        <v>417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418</v>
      </c>
      <c r="CY88">
        <v>2</v>
      </c>
      <c r="CZ88" t="b">
        <v>1</v>
      </c>
      <c r="DA88">
        <v>1651864541.1</v>
      </c>
      <c r="DB88">
        <v>1140.986666666667</v>
      </c>
      <c r="DC88">
        <v>1158.133333333333</v>
      </c>
      <c r="DD88">
        <v>18.20756666666666</v>
      </c>
      <c r="DE88">
        <v>11.5471</v>
      </c>
      <c r="DF88">
        <v>1143.253333333333</v>
      </c>
      <c r="DG88">
        <v>18.18926666666666</v>
      </c>
      <c r="DH88">
        <v>500.0366666666666</v>
      </c>
      <c r="DI88">
        <v>89.94096666666667</v>
      </c>
      <c r="DJ88">
        <v>0.09995433333333333</v>
      </c>
      <c r="DK88">
        <v>25.70186666666667</v>
      </c>
      <c r="DL88">
        <v>25.00656666666667</v>
      </c>
      <c r="DM88">
        <v>999.9</v>
      </c>
      <c r="DN88">
        <v>0</v>
      </c>
      <c r="DO88">
        <v>0</v>
      </c>
      <c r="DP88">
        <v>9997.090000000002</v>
      </c>
      <c r="DQ88">
        <v>0</v>
      </c>
      <c r="DR88">
        <v>3.23193</v>
      </c>
      <c r="DS88">
        <v>-17.147</v>
      </c>
      <c r="DT88">
        <v>1162.143333333333</v>
      </c>
      <c r="DU88">
        <v>1171.66</v>
      </c>
      <c r="DV88">
        <v>6.660516666666666</v>
      </c>
      <c r="DW88">
        <v>1158.133333333333</v>
      </c>
      <c r="DX88">
        <v>11.5471</v>
      </c>
      <c r="DY88">
        <v>1.63761</v>
      </c>
      <c r="DZ88">
        <v>1.038556666666667</v>
      </c>
      <c r="EA88">
        <v>14.3173</v>
      </c>
      <c r="EB88">
        <v>7.468786666666666</v>
      </c>
      <c r="EC88">
        <v>1499.993333333333</v>
      </c>
      <c r="ED88">
        <v>0.9730053333333334</v>
      </c>
      <c r="EE88">
        <v>0.0269949</v>
      </c>
      <c r="EF88">
        <v>0</v>
      </c>
      <c r="EG88">
        <v>947.6906666666667</v>
      </c>
      <c r="EH88">
        <v>5.00097</v>
      </c>
      <c r="EI88">
        <v>14072.73333333333</v>
      </c>
      <c r="EJ88">
        <v>12491.5</v>
      </c>
      <c r="EK88">
        <v>37.25</v>
      </c>
      <c r="EL88">
        <v>38.687</v>
      </c>
      <c r="EM88">
        <v>37.625</v>
      </c>
      <c r="EN88">
        <v>38.437</v>
      </c>
      <c r="EO88">
        <v>38.125</v>
      </c>
      <c r="EP88">
        <v>1454.633333333333</v>
      </c>
      <c r="EQ88">
        <v>40.36</v>
      </c>
      <c r="ER88">
        <v>0</v>
      </c>
      <c r="ES88">
        <v>321</v>
      </c>
      <c r="ET88">
        <v>0</v>
      </c>
      <c r="EU88">
        <v>950.6676</v>
      </c>
      <c r="EV88">
        <v>-27.73815388394325</v>
      </c>
      <c r="EW88">
        <v>-401.3230775024105</v>
      </c>
      <c r="EX88">
        <v>14114.16</v>
      </c>
      <c r="EY88">
        <v>15</v>
      </c>
      <c r="EZ88">
        <v>1651864261.1</v>
      </c>
      <c r="FA88" t="s">
        <v>419</v>
      </c>
      <c r="FB88">
        <v>1651864241.6</v>
      </c>
      <c r="FC88">
        <v>1651864261.1</v>
      </c>
      <c r="FD88">
        <v>7</v>
      </c>
      <c r="FE88">
        <v>0.438</v>
      </c>
      <c r="FF88">
        <v>0.002</v>
      </c>
      <c r="FG88">
        <v>-0.988</v>
      </c>
      <c r="FH88">
        <v>-0.066</v>
      </c>
      <c r="FI88">
        <v>400</v>
      </c>
      <c r="FJ88">
        <v>11</v>
      </c>
      <c r="FK88">
        <v>0.05</v>
      </c>
      <c r="FL88">
        <v>0.02</v>
      </c>
      <c r="FM88">
        <v>-17.6841487804878</v>
      </c>
      <c r="FN88">
        <v>2.303448083623679</v>
      </c>
      <c r="FO88">
        <v>0.2429819346109774</v>
      </c>
      <c r="FP88">
        <v>-1</v>
      </c>
      <c r="FQ88">
        <v>6.773950487804878</v>
      </c>
      <c r="FR88">
        <v>-0.6908002787456382</v>
      </c>
      <c r="FS88">
        <v>0.06844940124989664</v>
      </c>
      <c r="FT88">
        <v>-1</v>
      </c>
      <c r="FU88">
        <v>0</v>
      </c>
      <c r="FV88">
        <v>0</v>
      </c>
      <c r="FW88">
        <v>0</v>
      </c>
      <c r="FX88">
        <v>-1</v>
      </c>
      <c r="FY88">
        <v>0</v>
      </c>
      <c r="FZ88">
        <v>0</v>
      </c>
      <c r="GA88" t="s">
        <v>420</v>
      </c>
      <c r="GB88">
        <v>2.98049</v>
      </c>
      <c r="GC88">
        <v>2.70616</v>
      </c>
      <c r="GD88">
        <v>0.18572</v>
      </c>
      <c r="GE88">
        <v>0.185344</v>
      </c>
      <c r="GF88">
        <v>0.087176</v>
      </c>
      <c r="GG88">
        <v>0.0617564</v>
      </c>
      <c r="GH88">
        <v>25698.1</v>
      </c>
      <c r="GI88">
        <v>25767.3</v>
      </c>
      <c r="GJ88">
        <v>29345.6</v>
      </c>
      <c r="GK88">
        <v>29261.2</v>
      </c>
      <c r="GL88">
        <v>35472</v>
      </c>
      <c r="GM88">
        <v>36568.5</v>
      </c>
      <c r="GN88">
        <v>41305.5</v>
      </c>
      <c r="GO88">
        <v>41765.2</v>
      </c>
      <c r="GP88">
        <v>1.9576</v>
      </c>
      <c r="GQ88">
        <v>1.84837</v>
      </c>
      <c r="GR88">
        <v>-0.0240542</v>
      </c>
      <c r="GS88">
        <v>0</v>
      </c>
      <c r="GT88">
        <v>25.4037</v>
      </c>
      <c r="GU88">
        <v>999.9</v>
      </c>
      <c r="GV88">
        <v>31.8</v>
      </c>
      <c r="GW88">
        <v>34.2</v>
      </c>
      <c r="GX88">
        <v>19.1033</v>
      </c>
      <c r="GY88">
        <v>62.4174</v>
      </c>
      <c r="GZ88">
        <v>35.2484</v>
      </c>
      <c r="HA88">
        <v>1</v>
      </c>
      <c r="HB88">
        <v>0.103552</v>
      </c>
      <c r="HC88">
        <v>2.23222</v>
      </c>
      <c r="HD88">
        <v>20.3194</v>
      </c>
      <c r="HE88">
        <v>5.21639</v>
      </c>
      <c r="HF88">
        <v>12.0099</v>
      </c>
      <c r="HG88">
        <v>4.98875</v>
      </c>
      <c r="HH88">
        <v>3.28863</v>
      </c>
      <c r="HI88">
        <v>994.5</v>
      </c>
      <c r="HJ88">
        <v>9529.200000000001</v>
      </c>
      <c r="HK88">
        <v>5139.4</v>
      </c>
      <c r="HL88">
        <v>24.8</v>
      </c>
      <c r="HM88">
        <v>1.86752</v>
      </c>
      <c r="HN88">
        <v>1.86646</v>
      </c>
      <c r="HO88">
        <v>1.866</v>
      </c>
      <c r="HP88">
        <v>1.86584</v>
      </c>
      <c r="HQ88">
        <v>1.8677</v>
      </c>
      <c r="HR88">
        <v>1.8702</v>
      </c>
      <c r="HS88">
        <v>1.86889</v>
      </c>
      <c r="HT88">
        <v>1.87025</v>
      </c>
      <c r="HU88">
        <v>0</v>
      </c>
      <c r="HV88">
        <v>0</v>
      </c>
      <c r="HW88">
        <v>0</v>
      </c>
      <c r="HX88">
        <v>0</v>
      </c>
      <c r="HY88" t="s">
        <v>421</v>
      </c>
      <c r="HZ88" t="s">
        <v>422</v>
      </c>
      <c r="IA88" t="s">
        <v>423</v>
      </c>
      <c r="IB88" t="s">
        <v>423</v>
      </c>
      <c r="IC88" t="s">
        <v>423</v>
      </c>
      <c r="ID88" t="s">
        <v>423</v>
      </c>
      <c r="IE88">
        <v>0</v>
      </c>
      <c r="IF88">
        <v>100</v>
      </c>
      <c r="IG88">
        <v>100</v>
      </c>
      <c r="IH88">
        <v>-2.26</v>
      </c>
      <c r="II88">
        <v>0.0183</v>
      </c>
      <c r="IJ88">
        <v>-0.2164499368582429</v>
      </c>
      <c r="IK88">
        <v>-0.002077099775823331</v>
      </c>
      <c r="IL88">
        <v>4.593143279902166E-07</v>
      </c>
      <c r="IM88">
        <v>-1.865383991892071E-10</v>
      </c>
      <c r="IN88">
        <v>-0.06087574426827484</v>
      </c>
      <c r="IO88">
        <v>-0.01129461987421345</v>
      </c>
      <c r="IP88">
        <v>0.00116580895745559</v>
      </c>
      <c r="IQ88">
        <v>-1.679085872906199E-05</v>
      </c>
      <c r="IR88">
        <v>2</v>
      </c>
      <c r="IS88">
        <v>2290</v>
      </c>
      <c r="IT88">
        <v>0</v>
      </c>
      <c r="IU88">
        <v>32</v>
      </c>
      <c r="IV88">
        <v>5</v>
      </c>
      <c r="IW88">
        <v>4.7</v>
      </c>
      <c r="IX88">
        <v>2.31323</v>
      </c>
      <c r="IY88">
        <v>2.20093</v>
      </c>
      <c r="IZ88">
        <v>1.39648</v>
      </c>
      <c r="JA88">
        <v>2.35596</v>
      </c>
      <c r="JB88">
        <v>1.49536</v>
      </c>
      <c r="JC88">
        <v>2.28394</v>
      </c>
      <c r="JD88">
        <v>38.4279</v>
      </c>
      <c r="JE88">
        <v>24.0262</v>
      </c>
      <c r="JF88">
        <v>18</v>
      </c>
      <c r="JG88">
        <v>512.2140000000001</v>
      </c>
      <c r="JH88">
        <v>427.635</v>
      </c>
      <c r="JI88">
        <v>22.4867</v>
      </c>
      <c r="JJ88">
        <v>28.6389</v>
      </c>
      <c r="JK88">
        <v>30.0003</v>
      </c>
      <c r="JL88">
        <v>28.6057</v>
      </c>
      <c r="JM88">
        <v>28.5448</v>
      </c>
      <c r="JN88">
        <v>46.2443</v>
      </c>
      <c r="JO88">
        <v>38.3591</v>
      </c>
      <c r="JP88">
        <v>0</v>
      </c>
      <c r="JQ88">
        <v>22.4785</v>
      </c>
      <c r="JR88">
        <v>1136.43</v>
      </c>
      <c r="JS88">
        <v>11.6794</v>
      </c>
      <c r="JT88">
        <v>100.31</v>
      </c>
      <c r="JU88">
        <v>100.239</v>
      </c>
    </row>
    <row r="89" spans="1:281">
      <c r="A89">
        <v>73</v>
      </c>
      <c r="B89">
        <v>1651864544.1</v>
      </c>
      <c r="C89">
        <v>323.5</v>
      </c>
      <c r="D89" t="s">
        <v>566</v>
      </c>
      <c r="E89" t="s">
        <v>567</v>
      </c>
      <c r="F89">
        <v>2</v>
      </c>
      <c r="G89" t="s">
        <v>413</v>
      </c>
      <c r="H89" t="s">
        <v>414</v>
      </c>
      <c r="I89">
        <v>1651864542.725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1170.870302987692</v>
      </c>
      <c r="AK89">
        <v>1153.623333333333</v>
      </c>
      <c r="AL89">
        <v>-3.394674638014486</v>
      </c>
      <c r="AM89">
        <v>66.38192812717227</v>
      </c>
      <c r="AN89">
        <f>(AP89 - AO89 + DI89*1E3/(8.314*(DK89+273.15)) * AR89/DH89 * AQ89) * DH89/(100*CV89) * 1000/(1000 - AP89)</f>
        <v>0</v>
      </c>
      <c r="AO89">
        <v>11.52467945615522</v>
      </c>
      <c r="AP89">
        <v>18.20204735294118</v>
      </c>
      <c r="AQ89">
        <v>-7.940748935722624E-05</v>
      </c>
      <c r="AR89">
        <v>80.47224507511959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417</v>
      </c>
      <c r="AY89" t="s">
        <v>417</v>
      </c>
      <c r="AZ89">
        <v>0</v>
      </c>
      <c r="BA89">
        <v>0</v>
      </c>
      <c r="BB89">
        <f>1-AZ89/BA89</f>
        <v>0</v>
      </c>
      <c r="BC89">
        <v>0</v>
      </c>
      <c r="BD89" t="s">
        <v>417</v>
      </c>
      <c r="BE89" t="s">
        <v>417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417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1248</v>
      </c>
      <c r="CA89">
        <v>300</v>
      </c>
      <c r="CB89">
        <v>300</v>
      </c>
      <c r="CC89">
        <v>300</v>
      </c>
      <c r="CD89">
        <v>10442</v>
      </c>
      <c r="CE89">
        <v>1293.69</v>
      </c>
      <c r="CF89">
        <v>-0.00735246</v>
      </c>
      <c r="CG89">
        <v>0.5</v>
      </c>
      <c r="CH89" t="s">
        <v>417</v>
      </c>
      <c r="CI89" t="s">
        <v>417</v>
      </c>
      <c r="CJ89" t="s">
        <v>417</v>
      </c>
      <c r="CK89" t="s">
        <v>417</v>
      </c>
      <c r="CL89" t="s">
        <v>417</v>
      </c>
      <c r="CM89" t="s">
        <v>417</v>
      </c>
      <c r="CN89" t="s">
        <v>417</v>
      </c>
      <c r="CO89" t="s">
        <v>417</v>
      </c>
      <c r="CP89" t="s">
        <v>417</v>
      </c>
      <c r="CQ89" t="s">
        <v>417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418</v>
      </c>
      <c r="CY89">
        <v>2</v>
      </c>
      <c r="CZ89" t="b">
        <v>1</v>
      </c>
      <c r="DA89">
        <v>1651864542.725</v>
      </c>
      <c r="DB89">
        <v>1135.555</v>
      </c>
      <c r="DC89">
        <v>1152.7425</v>
      </c>
      <c r="DD89">
        <v>18.2042</v>
      </c>
      <c r="DE89">
        <v>11.576975</v>
      </c>
      <c r="DF89">
        <v>1137.8125</v>
      </c>
      <c r="DG89">
        <v>18.1859</v>
      </c>
      <c r="DH89">
        <v>500.0455000000001</v>
      </c>
      <c r="DI89">
        <v>89.941075</v>
      </c>
      <c r="DJ89">
        <v>0.099860275</v>
      </c>
      <c r="DK89">
        <v>25.700475</v>
      </c>
      <c r="DL89">
        <v>25.013425</v>
      </c>
      <c r="DM89">
        <v>999.9</v>
      </c>
      <c r="DN89">
        <v>0</v>
      </c>
      <c r="DO89">
        <v>0</v>
      </c>
      <c r="DP89">
        <v>10013.75</v>
      </c>
      <c r="DQ89">
        <v>0</v>
      </c>
      <c r="DR89">
        <v>3.23193</v>
      </c>
      <c r="DS89">
        <v>-17.186525</v>
      </c>
      <c r="DT89">
        <v>1156.61</v>
      </c>
      <c r="DU89">
        <v>1166.245</v>
      </c>
      <c r="DV89">
        <v>6.6272275</v>
      </c>
      <c r="DW89">
        <v>1152.7425</v>
      </c>
      <c r="DX89">
        <v>11.576975</v>
      </c>
      <c r="DY89">
        <v>1.637305</v>
      </c>
      <c r="DZ89">
        <v>1.041245</v>
      </c>
      <c r="EA89">
        <v>14.31445</v>
      </c>
      <c r="EB89">
        <v>7.506640000000001</v>
      </c>
      <c r="EC89">
        <v>1500.0075</v>
      </c>
      <c r="ED89">
        <v>0.97300575</v>
      </c>
      <c r="EE89">
        <v>0.02699445</v>
      </c>
      <c r="EF89">
        <v>0</v>
      </c>
      <c r="EG89">
        <v>947.0337500000001</v>
      </c>
      <c r="EH89">
        <v>5.00097</v>
      </c>
      <c r="EI89">
        <v>14062.7</v>
      </c>
      <c r="EJ89">
        <v>12491.675</v>
      </c>
      <c r="EK89">
        <v>37.25</v>
      </c>
      <c r="EL89">
        <v>38.7185</v>
      </c>
      <c r="EM89">
        <v>37.625</v>
      </c>
      <c r="EN89">
        <v>38.437</v>
      </c>
      <c r="EO89">
        <v>38.125</v>
      </c>
      <c r="EP89">
        <v>1454.6475</v>
      </c>
      <c r="EQ89">
        <v>40.36</v>
      </c>
      <c r="ER89">
        <v>0</v>
      </c>
      <c r="ES89">
        <v>322.7999999523163</v>
      </c>
      <c r="ET89">
        <v>0</v>
      </c>
      <c r="EU89">
        <v>949.9657692307693</v>
      </c>
      <c r="EV89">
        <v>-27.70591452022123</v>
      </c>
      <c r="EW89">
        <v>-396.5435897794645</v>
      </c>
      <c r="EX89">
        <v>14104.05</v>
      </c>
      <c r="EY89">
        <v>15</v>
      </c>
      <c r="EZ89">
        <v>1651864261.1</v>
      </c>
      <c r="FA89" t="s">
        <v>419</v>
      </c>
      <c r="FB89">
        <v>1651864241.6</v>
      </c>
      <c r="FC89">
        <v>1651864261.1</v>
      </c>
      <c r="FD89">
        <v>7</v>
      </c>
      <c r="FE89">
        <v>0.438</v>
      </c>
      <c r="FF89">
        <v>0.002</v>
      </c>
      <c r="FG89">
        <v>-0.988</v>
      </c>
      <c r="FH89">
        <v>-0.066</v>
      </c>
      <c r="FI89">
        <v>400</v>
      </c>
      <c r="FJ89">
        <v>11</v>
      </c>
      <c r="FK89">
        <v>0.05</v>
      </c>
      <c r="FL89">
        <v>0.02</v>
      </c>
      <c r="FM89">
        <v>-17.607545</v>
      </c>
      <c r="FN89">
        <v>2.399094934333958</v>
      </c>
      <c r="FO89">
        <v>0.2477187891036932</v>
      </c>
      <c r="FP89">
        <v>-1</v>
      </c>
      <c r="FQ89">
        <v>6.752449</v>
      </c>
      <c r="FR89">
        <v>-0.7160170356472887</v>
      </c>
      <c r="FS89">
        <v>0.06935894912698715</v>
      </c>
      <c r="FT89">
        <v>-1</v>
      </c>
      <c r="FU89">
        <v>0</v>
      </c>
      <c r="FV89">
        <v>0</v>
      </c>
      <c r="FW89">
        <v>0</v>
      </c>
      <c r="FX89">
        <v>-1</v>
      </c>
      <c r="FY89">
        <v>0</v>
      </c>
      <c r="FZ89">
        <v>0</v>
      </c>
      <c r="GA89" t="s">
        <v>420</v>
      </c>
      <c r="GB89">
        <v>2.98055</v>
      </c>
      <c r="GC89">
        <v>2.70615</v>
      </c>
      <c r="GD89">
        <v>0.185031</v>
      </c>
      <c r="GE89">
        <v>0.184692</v>
      </c>
      <c r="GF89">
        <v>0.0871748</v>
      </c>
      <c r="GG89">
        <v>0.0618735</v>
      </c>
      <c r="GH89">
        <v>25719.9</v>
      </c>
      <c r="GI89">
        <v>25788</v>
      </c>
      <c r="GJ89">
        <v>29345.7</v>
      </c>
      <c r="GK89">
        <v>29261.2</v>
      </c>
      <c r="GL89">
        <v>35472</v>
      </c>
      <c r="GM89">
        <v>36563.9</v>
      </c>
      <c r="GN89">
        <v>41305.4</v>
      </c>
      <c r="GO89">
        <v>41765.1</v>
      </c>
      <c r="GP89">
        <v>1.9576</v>
      </c>
      <c r="GQ89">
        <v>1.84835</v>
      </c>
      <c r="GR89">
        <v>-0.0236034</v>
      </c>
      <c r="GS89">
        <v>0</v>
      </c>
      <c r="GT89">
        <v>25.4037</v>
      </c>
      <c r="GU89">
        <v>999.9</v>
      </c>
      <c r="GV89">
        <v>31.8</v>
      </c>
      <c r="GW89">
        <v>34.2</v>
      </c>
      <c r="GX89">
        <v>19.1033</v>
      </c>
      <c r="GY89">
        <v>62.6074</v>
      </c>
      <c r="GZ89">
        <v>35.1562</v>
      </c>
      <c r="HA89">
        <v>1</v>
      </c>
      <c r="HB89">
        <v>0.103605</v>
      </c>
      <c r="HC89">
        <v>2.23313</v>
      </c>
      <c r="HD89">
        <v>20.3193</v>
      </c>
      <c r="HE89">
        <v>5.21684</v>
      </c>
      <c r="HF89">
        <v>12.0099</v>
      </c>
      <c r="HG89">
        <v>4.98855</v>
      </c>
      <c r="HH89">
        <v>3.28863</v>
      </c>
      <c r="HI89">
        <v>994.7</v>
      </c>
      <c r="HJ89">
        <v>9530.5</v>
      </c>
      <c r="HK89">
        <v>5139.4</v>
      </c>
      <c r="HL89">
        <v>24.8</v>
      </c>
      <c r="HM89">
        <v>1.86752</v>
      </c>
      <c r="HN89">
        <v>1.86646</v>
      </c>
      <c r="HO89">
        <v>1.866</v>
      </c>
      <c r="HP89">
        <v>1.86584</v>
      </c>
      <c r="HQ89">
        <v>1.86768</v>
      </c>
      <c r="HR89">
        <v>1.87021</v>
      </c>
      <c r="HS89">
        <v>1.8689</v>
      </c>
      <c r="HT89">
        <v>1.87026</v>
      </c>
      <c r="HU89">
        <v>0</v>
      </c>
      <c r="HV89">
        <v>0</v>
      </c>
      <c r="HW89">
        <v>0</v>
      </c>
      <c r="HX89">
        <v>0</v>
      </c>
      <c r="HY89" t="s">
        <v>421</v>
      </c>
      <c r="HZ89" t="s">
        <v>422</v>
      </c>
      <c r="IA89" t="s">
        <v>423</v>
      </c>
      <c r="IB89" t="s">
        <v>423</v>
      </c>
      <c r="IC89" t="s">
        <v>423</v>
      </c>
      <c r="ID89" t="s">
        <v>423</v>
      </c>
      <c r="IE89">
        <v>0</v>
      </c>
      <c r="IF89">
        <v>100</v>
      </c>
      <c r="IG89">
        <v>100</v>
      </c>
      <c r="IH89">
        <v>-2.25</v>
      </c>
      <c r="II89">
        <v>0.0183</v>
      </c>
      <c r="IJ89">
        <v>-0.2164499368582429</v>
      </c>
      <c r="IK89">
        <v>-0.002077099775823331</v>
      </c>
      <c r="IL89">
        <v>4.593143279902166E-07</v>
      </c>
      <c r="IM89">
        <v>-1.865383991892071E-10</v>
      </c>
      <c r="IN89">
        <v>-0.06087574426827484</v>
      </c>
      <c r="IO89">
        <v>-0.01129461987421345</v>
      </c>
      <c r="IP89">
        <v>0.00116580895745559</v>
      </c>
      <c r="IQ89">
        <v>-1.679085872906199E-05</v>
      </c>
      <c r="IR89">
        <v>2</v>
      </c>
      <c r="IS89">
        <v>2290</v>
      </c>
      <c r="IT89">
        <v>0</v>
      </c>
      <c r="IU89">
        <v>32</v>
      </c>
      <c r="IV89">
        <v>5</v>
      </c>
      <c r="IW89">
        <v>4.7</v>
      </c>
      <c r="IX89">
        <v>2.30103</v>
      </c>
      <c r="IY89">
        <v>2.19482</v>
      </c>
      <c r="IZ89">
        <v>1.39648</v>
      </c>
      <c r="JA89">
        <v>2.35718</v>
      </c>
      <c r="JB89">
        <v>1.49536</v>
      </c>
      <c r="JC89">
        <v>2.37549</v>
      </c>
      <c r="JD89">
        <v>38.4279</v>
      </c>
      <c r="JE89">
        <v>24.035</v>
      </c>
      <c r="JF89">
        <v>18</v>
      </c>
      <c r="JG89">
        <v>512.2140000000001</v>
      </c>
      <c r="JH89">
        <v>427.629</v>
      </c>
      <c r="JI89">
        <v>22.4816</v>
      </c>
      <c r="JJ89">
        <v>28.6401</v>
      </c>
      <c r="JK89">
        <v>30.0003</v>
      </c>
      <c r="JL89">
        <v>28.6058</v>
      </c>
      <c r="JM89">
        <v>28.546</v>
      </c>
      <c r="JN89">
        <v>46.0212</v>
      </c>
      <c r="JO89">
        <v>38.0701</v>
      </c>
      <c r="JP89">
        <v>0</v>
      </c>
      <c r="JQ89">
        <v>22.4686</v>
      </c>
      <c r="JR89">
        <v>1129.75</v>
      </c>
      <c r="JS89">
        <v>11.6996</v>
      </c>
      <c r="JT89">
        <v>100.31</v>
      </c>
      <c r="JU89">
        <v>100.239</v>
      </c>
    </row>
    <row r="90" spans="1:281">
      <c r="A90">
        <v>74</v>
      </c>
      <c r="B90">
        <v>1651864546.1</v>
      </c>
      <c r="C90">
        <v>325.5</v>
      </c>
      <c r="D90" t="s">
        <v>568</v>
      </c>
      <c r="E90" t="s">
        <v>569</v>
      </c>
      <c r="F90">
        <v>2</v>
      </c>
      <c r="G90" t="s">
        <v>413</v>
      </c>
      <c r="H90" t="s">
        <v>414</v>
      </c>
      <c r="I90">
        <v>1651864545.1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1164.276709499417</v>
      </c>
      <c r="AK90">
        <v>1146.867696969697</v>
      </c>
      <c r="AL90">
        <v>-3.389752428116308</v>
      </c>
      <c r="AM90">
        <v>66.38192812717227</v>
      </c>
      <c r="AN90">
        <f>(AP90 - AO90 + DI90*1E3/(8.314*(DK90+273.15)) * AR90/DH90 * AQ90) * DH90/(100*CV90) * 1000/(1000 - AP90)</f>
        <v>0</v>
      </c>
      <c r="AO90">
        <v>11.55797949840671</v>
      </c>
      <c r="AP90">
        <v>18.20461058823529</v>
      </c>
      <c r="AQ90">
        <v>-0.000163618976264823</v>
      </c>
      <c r="AR90">
        <v>80.47224507511959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417</v>
      </c>
      <c r="AY90" t="s">
        <v>417</v>
      </c>
      <c r="AZ90">
        <v>0</v>
      </c>
      <c r="BA90">
        <v>0</v>
      </c>
      <c r="BB90">
        <f>1-AZ90/BA90</f>
        <v>0</v>
      </c>
      <c r="BC90">
        <v>0</v>
      </c>
      <c r="BD90" t="s">
        <v>417</v>
      </c>
      <c r="BE90" t="s">
        <v>417</v>
      </c>
      <c r="BF90">
        <v>0</v>
      </c>
      <c r="BG90">
        <v>0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417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1248</v>
      </c>
      <c r="CA90">
        <v>300</v>
      </c>
      <c r="CB90">
        <v>300</v>
      </c>
      <c r="CC90">
        <v>300</v>
      </c>
      <c r="CD90">
        <v>10442</v>
      </c>
      <c r="CE90">
        <v>1293.69</v>
      </c>
      <c r="CF90">
        <v>-0.00735246</v>
      </c>
      <c r="CG90">
        <v>0.5</v>
      </c>
      <c r="CH90" t="s">
        <v>417</v>
      </c>
      <c r="CI90" t="s">
        <v>417</v>
      </c>
      <c r="CJ90" t="s">
        <v>417</v>
      </c>
      <c r="CK90" t="s">
        <v>417</v>
      </c>
      <c r="CL90" t="s">
        <v>417</v>
      </c>
      <c r="CM90" t="s">
        <v>417</v>
      </c>
      <c r="CN90" t="s">
        <v>417</v>
      </c>
      <c r="CO90" t="s">
        <v>417</v>
      </c>
      <c r="CP90" t="s">
        <v>417</v>
      </c>
      <c r="CQ90" t="s">
        <v>417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418</v>
      </c>
      <c r="CY90">
        <v>2</v>
      </c>
      <c r="CZ90" t="b">
        <v>1</v>
      </c>
      <c r="DA90">
        <v>1651864545.1</v>
      </c>
      <c r="DB90">
        <v>1127.63</v>
      </c>
      <c r="DC90">
        <v>1145.053333333334</v>
      </c>
      <c r="DD90">
        <v>18.20436666666667</v>
      </c>
      <c r="DE90">
        <v>11.5991</v>
      </c>
      <c r="DF90">
        <v>1129.873333333333</v>
      </c>
      <c r="DG90">
        <v>18.18606666666667</v>
      </c>
      <c r="DH90">
        <v>500.0263333333333</v>
      </c>
      <c r="DI90">
        <v>89.94193333333334</v>
      </c>
      <c r="DJ90">
        <v>0.1000195</v>
      </c>
      <c r="DK90">
        <v>25.70126666666667</v>
      </c>
      <c r="DL90">
        <v>25.01786666666667</v>
      </c>
      <c r="DM90">
        <v>999.9</v>
      </c>
      <c r="DN90">
        <v>0</v>
      </c>
      <c r="DO90">
        <v>0</v>
      </c>
      <c r="DP90">
        <v>10013.73333333333</v>
      </c>
      <c r="DQ90">
        <v>0</v>
      </c>
      <c r="DR90">
        <v>3.23193</v>
      </c>
      <c r="DS90">
        <v>-17.4244</v>
      </c>
      <c r="DT90">
        <v>1148.54</v>
      </c>
      <c r="DU90">
        <v>1158.493333333333</v>
      </c>
      <c r="DV90">
        <v>6.605286666666667</v>
      </c>
      <c r="DW90">
        <v>1145.053333333334</v>
      </c>
      <c r="DX90">
        <v>11.5991</v>
      </c>
      <c r="DY90">
        <v>1.637333333333333</v>
      </c>
      <c r="DZ90">
        <v>1.043243333333334</v>
      </c>
      <c r="EA90">
        <v>14.31476666666667</v>
      </c>
      <c r="EB90">
        <v>7.534743333333334</v>
      </c>
      <c r="EC90">
        <v>1499.98</v>
      </c>
      <c r="ED90">
        <v>0.9730053333333334</v>
      </c>
      <c r="EE90">
        <v>0.0269949</v>
      </c>
      <c r="EF90">
        <v>0</v>
      </c>
      <c r="EG90">
        <v>946.2036666666667</v>
      </c>
      <c r="EH90">
        <v>5.00097</v>
      </c>
      <c r="EI90">
        <v>14047.43333333333</v>
      </c>
      <c r="EJ90">
        <v>12491.43333333333</v>
      </c>
      <c r="EK90">
        <v>37.25</v>
      </c>
      <c r="EL90">
        <v>38.687</v>
      </c>
      <c r="EM90">
        <v>37.625</v>
      </c>
      <c r="EN90">
        <v>38.437</v>
      </c>
      <c r="EO90">
        <v>38.125</v>
      </c>
      <c r="EP90">
        <v>1454.62</v>
      </c>
      <c r="EQ90">
        <v>40.36</v>
      </c>
      <c r="ER90">
        <v>0</v>
      </c>
      <c r="ES90">
        <v>325.2000000476837</v>
      </c>
      <c r="ET90">
        <v>0</v>
      </c>
      <c r="EU90">
        <v>948.9455384615384</v>
      </c>
      <c r="EV90">
        <v>-27.43145295330177</v>
      </c>
      <c r="EW90">
        <v>-392.5811960823661</v>
      </c>
      <c r="EX90">
        <v>14088.38461538462</v>
      </c>
      <c r="EY90">
        <v>15</v>
      </c>
      <c r="EZ90">
        <v>1651864261.1</v>
      </c>
      <c r="FA90" t="s">
        <v>419</v>
      </c>
      <c r="FB90">
        <v>1651864241.6</v>
      </c>
      <c r="FC90">
        <v>1651864261.1</v>
      </c>
      <c r="FD90">
        <v>7</v>
      </c>
      <c r="FE90">
        <v>0.438</v>
      </c>
      <c r="FF90">
        <v>0.002</v>
      </c>
      <c r="FG90">
        <v>-0.988</v>
      </c>
      <c r="FH90">
        <v>-0.066</v>
      </c>
      <c r="FI90">
        <v>400</v>
      </c>
      <c r="FJ90">
        <v>11</v>
      </c>
      <c r="FK90">
        <v>0.05</v>
      </c>
      <c r="FL90">
        <v>0.02</v>
      </c>
      <c r="FM90">
        <v>-17.54921219512195</v>
      </c>
      <c r="FN90">
        <v>2.058556097560994</v>
      </c>
      <c r="FO90">
        <v>0.2313622344070346</v>
      </c>
      <c r="FP90">
        <v>-1</v>
      </c>
      <c r="FQ90">
        <v>6.724299268292683</v>
      </c>
      <c r="FR90">
        <v>-0.7359114982578431</v>
      </c>
      <c r="FS90">
        <v>0.07309325318003172</v>
      </c>
      <c r="FT90">
        <v>-1</v>
      </c>
      <c r="FU90">
        <v>0</v>
      </c>
      <c r="FV90">
        <v>0</v>
      </c>
      <c r="FW90">
        <v>0</v>
      </c>
      <c r="FX90">
        <v>-1</v>
      </c>
      <c r="FY90">
        <v>0</v>
      </c>
      <c r="FZ90">
        <v>0</v>
      </c>
      <c r="GA90" t="s">
        <v>420</v>
      </c>
      <c r="GB90">
        <v>2.98067</v>
      </c>
      <c r="GC90">
        <v>2.70625</v>
      </c>
      <c r="GD90">
        <v>0.184349</v>
      </c>
      <c r="GE90">
        <v>0.184022</v>
      </c>
      <c r="GF90">
        <v>0.08717419999999999</v>
      </c>
      <c r="GG90">
        <v>0.0619086</v>
      </c>
      <c r="GH90">
        <v>25741.7</v>
      </c>
      <c r="GI90">
        <v>25809.2</v>
      </c>
      <c r="GJ90">
        <v>29346</v>
      </c>
      <c r="GK90">
        <v>29261.2</v>
      </c>
      <c r="GL90">
        <v>35472.5</v>
      </c>
      <c r="GM90">
        <v>36562.5</v>
      </c>
      <c r="GN90">
        <v>41306</v>
      </c>
      <c r="GO90">
        <v>41765.1</v>
      </c>
      <c r="GP90">
        <v>1.95765</v>
      </c>
      <c r="GQ90">
        <v>1.84848</v>
      </c>
      <c r="GR90">
        <v>-0.023663</v>
      </c>
      <c r="GS90">
        <v>0</v>
      </c>
      <c r="GT90">
        <v>25.4037</v>
      </c>
      <c r="GU90">
        <v>999.9</v>
      </c>
      <c r="GV90">
        <v>31.8</v>
      </c>
      <c r="GW90">
        <v>34.2</v>
      </c>
      <c r="GX90">
        <v>19.1034</v>
      </c>
      <c r="GY90">
        <v>62.5274</v>
      </c>
      <c r="GZ90">
        <v>34.988</v>
      </c>
      <c r="HA90">
        <v>1</v>
      </c>
      <c r="HB90">
        <v>0.103732</v>
      </c>
      <c r="HC90">
        <v>2.24165</v>
      </c>
      <c r="HD90">
        <v>20.3193</v>
      </c>
      <c r="HE90">
        <v>5.21759</v>
      </c>
      <c r="HF90">
        <v>12.0099</v>
      </c>
      <c r="HG90">
        <v>4.9887</v>
      </c>
      <c r="HH90">
        <v>3.28865</v>
      </c>
      <c r="HI90">
        <v>994.7</v>
      </c>
      <c r="HJ90">
        <v>9530.5</v>
      </c>
      <c r="HK90">
        <v>5139.4</v>
      </c>
      <c r="HL90">
        <v>24.8</v>
      </c>
      <c r="HM90">
        <v>1.8675</v>
      </c>
      <c r="HN90">
        <v>1.86646</v>
      </c>
      <c r="HO90">
        <v>1.866</v>
      </c>
      <c r="HP90">
        <v>1.86585</v>
      </c>
      <c r="HQ90">
        <v>1.86768</v>
      </c>
      <c r="HR90">
        <v>1.87021</v>
      </c>
      <c r="HS90">
        <v>1.8689</v>
      </c>
      <c r="HT90">
        <v>1.87026</v>
      </c>
      <c r="HU90">
        <v>0</v>
      </c>
      <c r="HV90">
        <v>0</v>
      </c>
      <c r="HW90">
        <v>0</v>
      </c>
      <c r="HX90">
        <v>0</v>
      </c>
      <c r="HY90" t="s">
        <v>421</v>
      </c>
      <c r="HZ90" t="s">
        <v>422</v>
      </c>
      <c r="IA90" t="s">
        <v>423</v>
      </c>
      <c r="IB90" t="s">
        <v>423</v>
      </c>
      <c r="IC90" t="s">
        <v>423</v>
      </c>
      <c r="ID90" t="s">
        <v>423</v>
      </c>
      <c r="IE90">
        <v>0</v>
      </c>
      <c r="IF90">
        <v>100</v>
      </c>
      <c r="IG90">
        <v>100</v>
      </c>
      <c r="IH90">
        <v>-2.25</v>
      </c>
      <c r="II90">
        <v>0.0183</v>
      </c>
      <c r="IJ90">
        <v>-0.2164499368582429</v>
      </c>
      <c r="IK90">
        <v>-0.002077099775823331</v>
      </c>
      <c r="IL90">
        <v>4.593143279902166E-07</v>
      </c>
      <c r="IM90">
        <v>-1.865383991892071E-10</v>
      </c>
      <c r="IN90">
        <v>-0.06087574426827484</v>
      </c>
      <c r="IO90">
        <v>-0.01129461987421345</v>
      </c>
      <c r="IP90">
        <v>0.00116580895745559</v>
      </c>
      <c r="IQ90">
        <v>-1.679085872906199E-05</v>
      </c>
      <c r="IR90">
        <v>2</v>
      </c>
      <c r="IS90">
        <v>2290</v>
      </c>
      <c r="IT90">
        <v>0</v>
      </c>
      <c r="IU90">
        <v>32</v>
      </c>
      <c r="IV90">
        <v>5.1</v>
      </c>
      <c r="IW90">
        <v>4.8</v>
      </c>
      <c r="IX90">
        <v>2.29126</v>
      </c>
      <c r="IY90">
        <v>2.20215</v>
      </c>
      <c r="IZ90">
        <v>1.39648</v>
      </c>
      <c r="JA90">
        <v>2.35718</v>
      </c>
      <c r="JB90">
        <v>1.49536</v>
      </c>
      <c r="JC90">
        <v>2.32178</v>
      </c>
      <c r="JD90">
        <v>38.4279</v>
      </c>
      <c r="JE90">
        <v>24.035</v>
      </c>
      <c r="JF90">
        <v>18</v>
      </c>
      <c r="JG90">
        <v>512.2569999999999</v>
      </c>
      <c r="JH90">
        <v>427.704</v>
      </c>
      <c r="JI90">
        <v>22.4772</v>
      </c>
      <c r="JJ90">
        <v>28.6413</v>
      </c>
      <c r="JK90">
        <v>30.0003</v>
      </c>
      <c r="JL90">
        <v>28.607</v>
      </c>
      <c r="JM90">
        <v>28.546</v>
      </c>
      <c r="JN90">
        <v>45.8091</v>
      </c>
      <c r="JO90">
        <v>38.0701</v>
      </c>
      <c r="JP90">
        <v>0</v>
      </c>
      <c r="JQ90">
        <v>22.4686</v>
      </c>
      <c r="JR90">
        <v>1123.07</v>
      </c>
      <c r="JS90">
        <v>11.7255</v>
      </c>
      <c r="JT90">
        <v>100.311</v>
      </c>
      <c r="JU90">
        <v>100.239</v>
      </c>
    </row>
    <row r="91" spans="1:281">
      <c r="A91">
        <v>75</v>
      </c>
      <c r="B91">
        <v>1651864548.1</v>
      </c>
      <c r="C91">
        <v>327.5</v>
      </c>
      <c r="D91" t="s">
        <v>570</v>
      </c>
      <c r="E91" t="s">
        <v>571</v>
      </c>
      <c r="F91">
        <v>2</v>
      </c>
      <c r="G91" t="s">
        <v>413</v>
      </c>
      <c r="H91" t="s">
        <v>414</v>
      </c>
      <c r="I91">
        <v>1651864546.725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1157.729637713209</v>
      </c>
      <c r="AK91">
        <v>1140.168121212121</v>
      </c>
      <c r="AL91">
        <v>-3.359026479782119</v>
      </c>
      <c r="AM91">
        <v>66.38192812717227</v>
      </c>
      <c r="AN91">
        <f>(AP91 - AO91 + DI91*1E3/(8.314*(DK91+273.15)) * AR91/DH91 * AQ91) * DH91/(100*CV91) * 1000/(1000 - AP91)</f>
        <v>0</v>
      </c>
      <c r="AO91">
        <v>11.5879717745617</v>
      </c>
      <c r="AP91">
        <v>18.20160088235293</v>
      </c>
      <c r="AQ91">
        <v>-4.69955781728949E-05</v>
      </c>
      <c r="AR91">
        <v>80.47224507511959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417</v>
      </c>
      <c r="AY91" t="s">
        <v>417</v>
      </c>
      <c r="AZ91">
        <v>0</v>
      </c>
      <c r="BA91">
        <v>0</v>
      </c>
      <c r="BB91">
        <f>1-AZ91/BA91</f>
        <v>0</v>
      </c>
      <c r="BC91">
        <v>0</v>
      </c>
      <c r="BD91" t="s">
        <v>417</v>
      </c>
      <c r="BE91" t="s">
        <v>417</v>
      </c>
      <c r="BF91">
        <v>0</v>
      </c>
      <c r="BG91">
        <v>0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417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1248</v>
      </c>
      <c r="CA91">
        <v>300</v>
      </c>
      <c r="CB91">
        <v>300</v>
      </c>
      <c r="CC91">
        <v>300</v>
      </c>
      <c r="CD91">
        <v>10442</v>
      </c>
      <c r="CE91">
        <v>1293.69</v>
      </c>
      <c r="CF91">
        <v>-0.00735246</v>
      </c>
      <c r="CG91">
        <v>0.5</v>
      </c>
      <c r="CH91" t="s">
        <v>417</v>
      </c>
      <c r="CI91" t="s">
        <v>417</v>
      </c>
      <c r="CJ91" t="s">
        <v>417</v>
      </c>
      <c r="CK91" t="s">
        <v>417</v>
      </c>
      <c r="CL91" t="s">
        <v>417</v>
      </c>
      <c r="CM91" t="s">
        <v>417</v>
      </c>
      <c r="CN91" t="s">
        <v>417</v>
      </c>
      <c r="CO91" t="s">
        <v>417</v>
      </c>
      <c r="CP91" t="s">
        <v>417</v>
      </c>
      <c r="CQ91" t="s">
        <v>417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418</v>
      </c>
      <c r="CY91">
        <v>2</v>
      </c>
      <c r="CZ91" t="b">
        <v>1</v>
      </c>
      <c r="DA91">
        <v>1651864546.725</v>
      </c>
      <c r="DB91">
        <v>1122.2975</v>
      </c>
      <c r="DC91">
        <v>1139.6225</v>
      </c>
      <c r="DD91">
        <v>18.201975</v>
      </c>
      <c r="DE91">
        <v>11.609925</v>
      </c>
      <c r="DF91">
        <v>1124.535</v>
      </c>
      <c r="DG91">
        <v>18.183725</v>
      </c>
      <c r="DH91">
        <v>500.059</v>
      </c>
      <c r="DI91">
        <v>89.942275</v>
      </c>
      <c r="DJ91">
        <v>0.100071375</v>
      </c>
      <c r="DK91">
        <v>25.7014</v>
      </c>
      <c r="DL91">
        <v>25.015175</v>
      </c>
      <c r="DM91">
        <v>999.9</v>
      </c>
      <c r="DN91">
        <v>0</v>
      </c>
      <c r="DO91">
        <v>0</v>
      </c>
      <c r="DP91">
        <v>10005.95</v>
      </c>
      <c r="DQ91">
        <v>0</v>
      </c>
      <c r="DR91">
        <v>3.23193</v>
      </c>
      <c r="DS91">
        <v>-17.322775</v>
      </c>
      <c r="DT91">
        <v>1143.1025</v>
      </c>
      <c r="DU91">
        <v>1153.0075</v>
      </c>
      <c r="DV91">
        <v>6.592065</v>
      </c>
      <c r="DW91">
        <v>1139.6225</v>
      </c>
      <c r="DX91">
        <v>11.609925</v>
      </c>
      <c r="DY91">
        <v>1.6371275</v>
      </c>
      <c r="DZ91">
        <v>1.044225</v>
      </c>
      <c r="EA91">
        <v>14.3128</v>
      </c>
      <c r="EB91">
        <v>7.5484675</v>
      </c>
      <c r="EC91">
        <v>1499.9975</v>
      </c>
      <c r="ED91">
        <v>0.9730045</v>
      </c>
      <c r="EE91">
        <v>0.0269958</v>
      </c>
      <c r="EF91">
        <v>0</v>
      </c>
      <c r="EG91">
        <v>945.5104999999999</v>
      </c>
      <c r="EH91">
        <v>5.00097</v>
      </c>
      <c r="EI91">
        <v>14037.425</v>
      </c>
      <c r="EJ91">
        <v>12491.575</v>
      </c>
      <c r="EK91">
        <v>37.25</v>
      </c>
      <c r="EL91">
        <v>38.687</v>
      </c>
      <c r="EM91">
        <v>37.625</v>
      </c>
      <c r="EN91">
        <v>38.437</v>
      </c>
      <c r="EO91">
        <v>38.125</v>
      </c>
      <c r="EP91">
        <v>1454.6375</v>
      </c>
      <c r="EQ91">
        <v>40.36</v>
      </c>
      <c r="ER91">
        <v>0</v>
      </c>
      <c r="ES91">
        <v>327</v>
      </c>
      <c r="ET91">
        <v>0</v>
      </c>
      <c r="EU91">
        <v>948.0233599999999</v>
      </c>
      <c r="EV91">
        <v>-25.97600004686069</v>
      </c>
      <c r="EW91">
        <v>-385.4000006455604</v>
      </c>
      <c r="EX91">
        <v>14074.856</v>
      </c>
      <c r="EY91">
        <v>15</v>
      </c>
      <c r="EZ91">
        <v>1651864261.1</v>
      </c>
      <c r="FA91" t="s">
        <v>419</v>
      </c>
      <c r="FB91">
        <v>1651864241.6</v>
      </c>
      <c r="FC91">
        <v>1651864261.1</v>
      </c>
      <c r="FD91">
        <v>7</v>
      </c>
      <c r="FE91">
        <v>0.438</v>
      </c>
      <c r="FF91">
        <v>0.002</v>
      </c>
      <c r="FG91">
        <v>-0.988</v>
      </c>
      <c r="FH91">
        <v>-0.066</v>
      </c>
      <c r="FI91">
        <v>400</v>
      </c>
      <c r="FJ91">
        <v>11</v>
      </c>
      <c r="FK91">
        <v>0.05</v>
      </c>
      <c r="FL91">
        <v>0.02</v>
      </c>
      <c r="FM91">
        <v>-17.497485</v>
      </c>
      <c r="FN91">
        <v>1.753947467167009</v>
      </c>
      <c r="FO91">
        <v>0.2051263081006434</v>
      </c>
      <c r="FP91">
        <v>-1</v>
      </c>
      <c r="FQ91">
        <v>6.702975</v>
      </c>
      <c r="FR91">
        <v>-0.7262127579737647</v>
      </c>
      <c r="FS91">
        <v>0.0704167930255277</v>
      </c>
      <c r="FT91">
        <v>-1</v>
      </c>
      <c r="FU91">
        <v>0</v>
      </c>
      <c r="FV91">
        <v>0</v>
      </c>
      <c r="FW91">
        <v>0</v>
      </c>
      <c r="FX91">
        <v>-1</v>
      </c>
      <c r="FY91">
        <v>0</v>
      </c>
      <c r="FZ91">
        <v>0</v>
      </c>
      <c r="GA91" t="s">
        <v>420</v>
      </c>
      <c r="GB91">
        <v>2.98049</v>
      </c>
      <c r="GC91">
        <v>2.70624</v>
      </c>
      <c r="GD91">
        <v>0.183663</v>
      </c>
      <c r="GE91">
        <v>0.183326</v>
      </c>
      <c r="GF91">
        <v>0.0871586</v>
      </c>
      <c r="GG91">
        <v>0.0619836</v>
      </c>
      <c r="GH91">
        <v>25763.3</v>
      </c>
      <c r="GI91">
        <v>25831.2</v>
      </c>
      <c r="GJ91">
        <v>29345.9</v>
      </c>
      <c r="GK91">
        <v>29261.2</v>
      </c>
      <c r="GL91">
        <v>35473.3</v>
      </c>
      <c r="GM91">
        <v>36559.5</v>
      </c>
      <c r="GN91">
        <v>41306.2</v>
      </c>
      <c r="GO91">
        <v>41765.1</v>
      </c>
      <c r="GP91">
        <v>1.95753</v>
      </c>
      <c r="GQ91">
        <v>1.84857</v>
      </c>
      <c r="GR91">
        <v>-0.023786</v>
      </c>
      <c r="GS91">
        <v>0</v>
      </c>
      <c r="GT91">
        <v>25.4037</v>
      </c>
      <c r="GU91">
        <v>999.9</v>
      </c>
      <c r="GV91">
        <v>31.8</v>
      </c>
      <c r="GW91">
        <v>34.2</v>
      </c>
      <c r="GX91">
        <v>19.1039</v>
      </c>
      <c r="GY91">
        <v>62.4474</v>
      </c>
      <c r="GZ91">
        <v>35.3365</v>
      </c>
      <c r="HA91">
        <v>1</v>
      </c>
      <c r="HB91">
        <v>0.103877</v>
      </c>
      <c r="HC91">
        <v>2.25345</v>
      </c>
      <c r="HD91">
        <v>20.3193</v>
      </c>
      <c r="HE91">
        <v>5.21849</v>
      </c>
      <c r="HF91">
        <v>12.0099</v>
      </c>
      <c r="HG91">
        <v>4.9889</v>
      </c>
      <c r="HH91">
        <v>3.28865</v>
      </c>
      <c r="HI91">
        <v>994.7</v>
      </c>
      <c r="HJ91">
        <v>9530.5</v>
      </c>
      <c r="HK91">
        <v>5139.4</v>
      </c>
      <c r="HL91">
        <v>24.8</v>
      </c>
      <c r="HM91">
        <v>1.8675</v>
      </c>
      <c r="HN91">
        <v>1.86646</v>
      </c>
      <c r="HO91">
        <v>1.866</v>
      </c>
      <c r="HP91">
        <v>1.86584</v>
      </c>
      <c r="HQ91">
        <v>1.86768</v>
      </c>
      <c r="HR91">
        <v>1.87022</v>
      </c>
      <c r="HS91">
        <v>1.8689</v>
      </c>
      <c r="HT91">
        <v>1.87027</v>
      </c>
      <c r="HU91">
        <v>0</v>
      </c>
      <c r="HV91">
        <v>0</v>
      </c>
      <c r="HW91">
        <v>0</v>
      </c>
      <c r="HX91">
        <v>0</v>
      </c>
      <c r="HY91" t="s">
        <v>421</v>
      </c>
      <c r="HZ91" t="s">
        <v>422</v>
      </c>
      <c r="IA91" t="s">
        <v>423</v>
      </c>
      <c r="IB91" t="s">
        <v>423</v>
      </c>
      <c r="IC91" t="s">
        <v>423</v>
      </c>
      <c r="ID91" t="s">
        <v>423</v>
      </c>
      <c r="IE91">
        <v>0</v>
      </c>
      <c r="IF91">
        <v>100</v>
      </c>
      <c r="IG91">
        <v>100</v>
      </c>
      <c r="IH91">
        <v>-2.23</v>
      </c>
      <c r="II91">
        <v>0.0182</v>
      </c>
      <c r="IJ91">
        <v>-0.2164499368582429</v>
      </c>
      <c r="IK91">
        <v>-0.002077099775823331</v>
      </c>
      <c r="IL91">
        <v>4.593143279902166E-07</v>
      </c>
      <c r="IM91">
        <v>-1.865383991892071E-10</v>
      </c>
      <c r="IN91">
        <v>-0.06087574426827484</v>
      </c>
      <c r="IO91">
        <v>-0.01129461987421345</v>
      </c>
      <c r="IP91">
        <v>0.00116580895745559</v>
      </c>
      <c r="IQ91">
        <v>-1.679085872906199E-05</v>
      </c>
      <c r="IR91">
        <v>2</v>
      </c>
      <c r="IS91">
        <v>2290</v>
      </c>
      <c r="IT91">
        <v>0</v>
      </c>
      <c r="IU91">
        <v>32</v>
      </c>
      <c r="IV91">
        <v>5.1</v>
      </c>
      <c r="IW91">
        <v>4.8</v>
      </c>
      <c r="IX91">
        <v>2.27905</v>
      </c>
      <c r="IY91">
        <v>2.19482</v>
      </c>
      <c r="IZ91">
        <v>1.39648</v>
      </c>
      <c r="JA91">
        <v>2.35596</v>
      </c>
      <c r="JB91">
        <v>1.49536</v>
      </c>
      <c r="JC91">
        <v>2.33154</v>
      </c>
      <c r="JD91">
        <v>38.4279</v>
      </c>
      <c r="JE91">
        <v>24.035</v>
      </c>
      <c r="JF91">
        <v>18</v>
      </c>
      <c r="JG91">
        <v>512.1849999999999</v>
      </c>
      <c r="JH91">
        <v>427.764</v>
      </c>
      <c r="JI91">
        <v>22.4731</v>
      </c>
      <c r="JJ91">
        <v>28.6413</v>
      </c>
      <c r="JK91">
        <v>30.0002</v>
      </c>
      <c r="JL91">
        <v>28.6081</v>
      </c>
      <c r="JM91">
        <v>28.546</v>
      </c>
      <c r="JN91">
        <v>45.5942</v>
      </c>
      <c r="JO91">
        <v>37.7916</v>
      </c>
      <c r="JP91">
        <v>0</v>
      </c>
      <c r="JQ91">
        <v>22.4686</v>
      </c>
      <c r="JR91">
        <v>1116.4</v>
      </c>
      <c r="JS91">
        <v>11.7478</v>
      </c>
      <c r="JT91">
        <v>100.311</v>
      </c>
      <c r="JU91">
        <v>100.239</v>
      </c>
    </row>
    <row r="92" spans="1:281">
      <c r="A92">
        <v>76</v>
      </c>
      <c r="B92">
        <v>1651864550.1</v>
      </c>
      <c r="C92">
        <v>329.5</v>
      </c>
      <c r="D92" t="s">
        <v>572</v>
      </c>
      <c r="E92" t="s">
        <v>573</v>
      </c>
      <c r="F92">
        <v>2</v>
      </c>
      <c r="G92" t="s">
        <v>413</v>
      </c>
      <c r="H92" t="s">
        <v>414</v>
      </c>
      <c r="I92">
        <v>1651864549.1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1150.936354239725</v>
      </c>
      <c r="AK92">
        <v>1133.468848484848</v>
      </c>
      <c r="AL92">
        <v>-3.353878138176608</v>
      </c>
      <c r="AM92">
        <v>66.38192812717227</v>
      </c>
      <c r="AN92">
        <f>(AP92 - AO92 + DI92*1E3/(8.314*(DK92+273.15)) * AR92/DH92 * AQ92) * DH92/(100*CV92) * 1000/(1000 - AP92)</f>
        <v>0</v>
      </c>
      <c r="AO92">
        <v>11.60160397872427</v>
      </c>
      <c r="AP92">
        <v>18.19645588235294</v>
      </c>
      <c r="AQ92">
        <v>1.555338960374909E-05</v>
      </c>
      <c r="AR92">
        <v>80.47224507511959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417</v>
      </c>
      <c r="AY92" t="s">
        <v>417</v>
      </c>
      <c r="AZ92">
        <v>0</v>
      </c>
      <c r="BA92">
        <v>0</v>
      </c>
      <c r="BB92">
        <f>1-AZ92/BA92</f>
        <v>0</v>
      </c>
      <c r="BC92">
        <v>0</v>
      </c>
      <c r="BD92" t="s">
        <v>417</v>
      </c>
      <c r="BE92" t="s">
        <v>417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417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1248</v>
      </c>
      <c r="CA92">
        <v>300</v>
      </c>
      <c r="CB92">
        <v>300</v>
      </c>
      <c r="CC92">
        <v>300</v>
      </c>
      <c r="CD92">
        <v>10442</v>
      </c>
      <c r="CE92">
        <v>1293.69</v>
      </c>
      <c r="CF92">
        <v>-0.00735246</v>
      </c>
      <c r="CG92">
        <v>0.5</v>
      </c>
      <c r="CH92" t="s">
        <v>417</v>
      </c>
      <c r="CI92" t="s">
        <v>417</v>
      </c>
      <c r="CJ92" t="s">
        <v>417</v>
      </c>
      <c r="CK92" t="s">
        <v>417</v>
      </c>
      <c r="CL92" t="s">
        <v>417</v>
      </c>
      <c r="CM92" t="s">
        <v>417</v>
      </c>
      <c r="CN92" t="s">
        <v>417</v>
      </c>
      <c r="CO92" t="s">
        <v>417</v>
      </c>
      <c r="CP92" t="s">
        <v>417</v>
      </c>
      <c r="CQ92" t="s">
        <v>417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418</v>
      </c>
      <c r="CY92">
        <v>2</v>
      </c>
      <c r="CZ92" t="b">
        <v>1</v>
      </c>
      <c r="DA92">
        <v>1651864549.1</v>
      </c>
      <c r="DB92">
        <v>1114.493333333333</v>
      </c>
      <c r="DC92">
        <v>1131.443333333333</v>
      </c>
      <c r="DD92">
        <v>18.19796666666667</v>
      </c>
      <c r="DE92">
        <v>11.6333</v>
      </c>
      <c r="DF92">
        <v>1116.72</v>
      </c>
      <c r="DG92">
        <v>18.17976666666667</v>
      </c>
      <c r="DH92">
        <v>500.073</v>
      </c>
      <c r="DI92">
        <v>89.94106666666669</v>
      </c>
      <c r="DJ92">
        <v>0.09974430000000001</v>
      </c>
      <c r="DK92">
        <v>25.7006</v>
      </c>
      <c r="DL92">
        <v>25.01053333333333</v>
      </c>
      <c r="DM92">
        <v>999.9</v>
      </c>
      <c r="DN92">
        <v>0</v>
      </c>
      <c r="DO92">
        <v>0</v>
      </c>
      <c r="DP92">
        <v>10020</v>
      </c>
      <c r="DQ92">
        <v>0</v>
      </c>
      <c r="DR92">
        <v>3.23193</v>
      </c>
      <c r="DS92">
        <v>-16.94773333333333</v>
      </c>
      <c r="DT92">
        <v>1135.153333333333</v>
      </c>
      <c r="DU92">
        <v>1144.763333333333</v>
      </c>
      <c r="DV92">
        <v>6.564676666666667</v>
      </c>
      <c r="DW92">
        <v>1131.443333333333</v>
      </c>
      <c r="DX92">
        <v>11.6333</v>
      </c>
      <c r="DY92">
        <v>1.636746666666667</v>
      </c>
      <c r="DZ92">
        <v>1.04631</v>
      </c>
      <c r="EA92">
        <v>14.30916666666667</v>
      </c>
      <c r="EB92">
        <v>7.577723333333334</v>
      </c>
      <c r="EC92">
        <v>1499.783333333333</v>
      </c>
      <c r="ED92">
        <v>0.973002</v>
      </c>
      <c r="EE92">
        <v>0.0269985</v>
      </c>
      <c r="EF92">
        <v>0</v>
      </c>
      <c r="EG92">
        <v>944.4946666666666</v>
      </c>
      <c r="EH92">
        <v>5.00097</v>
      </c>
      <c r="EI92">
        <v>14020.93333333333</v>
      </c>
      <c r="EJ92">
        <v>12489.73333333333</v>
      </c>
      <c r="EK92">
        <v>37.25</v>
      </c>
      <c r="EL92">
        <v>38.687</v>
      </c>
      <c r="EM92">
        <v>37.625</v>
      </c>
      <c r="EN92">
        <v>38.437</v>
      </c>
      <c r="EO92">
        <v>38.125</v>
      </c>
      <c r="EP92">
        <v>1454.423333333333</v>
      </c>
      <c r="EQ92">
        <v>40.36</v>
      </c>
      <c r="ER92">
        <v>0</v>
      </c>
      <c r="ES92">
        <v>328.7999999523163</v>
      </c>
      <c r="ET92">
        <v>0</v>
      </c>
      <c r="EU92">
        <v>947.3528461538461</v>
      </c>
      <c r="EV92">
        <v>-25.74967522193435</v>
      </c>
      <c r="EW92">
        <v>-383.0290599359703</v>
      </c>
      <c r="EX92">
        <v>14065.11538461539</v>
      </c>
      <c r="EY92">
        <v>15</v>
      </c>
      <c r="EZ92">
        <v>1651864261.1</v>
      </c>
      <c r="FA92" t="s">
        <v>419</v>
      </c>
      <c r="FB92">
        <v>1651864241.6</v>
      </c>
      <c r="FC92">
        <v>1651864261.1</v>
      </c>
      <c r="FD92">
        <v>7</v>
      </c>
      <c r="FE92">
        <v>0.438</v>
      </c>
      <c r="FF92">
        <v>0.002</v>
      </c>
      <c r="FG92">
        <v>-0.988</v>
      </c>
      <c r="FH92">
        <v>-0.066</v>
      </c>
      <c r="FI92">
        <v>400</v>
      </c>
      <c r="FJ92">
        <v>11</v>
      </c>
      <c r="FK92">
        <v>0.05</v>
      </c>
      <c r="FL92">
        <v>0.02</v>
      </c>
      <c r="FM92">
        <v>-17.45451463414634</v>
      </c>
      <c r="FN92">
        <v>1.785000000000014</v>
      </c>
      <c r="FO92">
        <v>0.2113593594100627</v>
      </c>
      <c r="FP92">
        <v>-1</v>
      </c>
      <c r="FQ92">
        <v>6.68772268292683</v>
      </c>
      <c r="FR92">
        <v>-0.7153154006968618</v>
      </c>
      <c r="FS92">
        <v>0.071048272597885</v>
      </c>
      <c r="FT92">
        <v>-1</v>
      </c>
      <c r="FU92">
        <v>0</v>
      </c>
      <c r="FV92">
        <v>0</v>
      </c>
      <c r="FW92">
        <v>0</v>
      </c>
      <c r="FX92">
        <v>-1</v>
      </c>
      <c r="FY92">
        <v>0</v>
      </c>
      <c r="FZ92">
        <v>0</v>
      </c>
      <c r="GA92" t="s">
        <v>420</v>
      </c>
      <c r="GB92">
        <v>2.98056</v>
      </c>
      <c r="GC92">
        <v>2.70599</v>
      </c>
      <c r="GD92">
        <v>0.182972</v>
      </c>
      <c r="GE92">
        <v>0.182616</v>
      </c>
      <c r="GF92">
        <v>0.0871489</v>
      </c>
      <c r="GG92">
        <v>0.0620613</v>
      </c>
      <c r="GH92">
        <v>25784.9</v>
      </c>
      <c r="GI92">
        <v>25853.6</v>
      </c>
      <c r="GJ92">
        <v>29345.6</v>
      </c>
      <c r="GK92">
        <v>29261.1</v>
      </c>
      <c r="GL92">
        <v>35473.2</v>
      </c>
      <c r="GM92">
        <v>36556.4</v>
      </c>
      <c r="GN92">
        <v>41305.7</v>
      </c>
      <c r="GO92">
        <v>41765.1</v>
      </c>
      <c r="GP92">
        <v>1.95737</v>
      </c>
      <c r="GQ92">
        <v>1.8486</v>
      </c>
      <c r="GR92">
        <v>-0.0240579</v>
      </c>
      <c r="GS92">
        <v>0</v>
      </c>
      <c r="GT92">
        <v>25.4032</v>
      </c>
      <c r="GU92">
        <v>999.9</v>
      </c>
      <c r="GV92">
        <v>31.8</v>
      </c>
      <c r="GW92">
        <v>34.2</v>
      </c>
      <c r="GX92">
        <v>19.101</v>
      </c>
      <c r="GY92">
        <v>62.4274</v>
      </c>
      <c r="GZ92">
        <v>34.8998</v>
      </c>
      <c r="HA92">
        <v>1</v>
      </c>
      <c r="HB92">
        <v>0.103836</v>
      </c>
      <c r="HC92">
        <v>2.25271</v>
      </c>
      <c r="HD92">
        <v>20.3193</v>
      </c>
      <c r="HE92">
        <v>5.21894</v>
      </c>
      <c r="HF92">
        <v>12.0099</v>
      </c>
      <c r="HG92">
        <v>4.98895</v>
      </c>
      <c r="HH92">
        <v>3.28858</v>
      </c>
      <c r="HI92">
        <v>994.7</v>
      </c>
      <c r="HJ92">
        <v>9530.5</v>
      </c>
      <c r="HK92">
        <v>5139.4</v>
      </c>
      <c r="HL92">
        <v>24.8</v>
      </c>
      <c r="HM92">
        <v>1.8675</v>
      </c>
      <c r="HN92">
        <v>1.86646</v>
      </c>
      <c r="HO92">
        <v>1.866</v>
      </c>
      <c r="HP92">
        <v>1.86584</v>
      </c>
      <c r="HQ92">
        <v>1.86768</v>
      </c>
      <c r="HR92">
        <v>1.87022</v>
      </c>
      <c r="HS92">
        <v>1.8689</v>
      </c>
      <c r="HT92">
        <v>1.87026</v>
      </c>
      <c r="HU92">
        <v>0</v>
      </c>
      <c r="HV92">
        <v>0</v>
      </c>
      <c r="HW92">
        <v>0</v>
      </c>
      <c r="HX92">
        <v>0</v>
      </c>
      <c r="HY92" t="s">
        <v>421</v>
      </c>
      <c r="HZ92" t="s">
        <v>422</v>
      </c>
      <c r="IA92" t="s">
        <v>423</v>
      </c>
      <c r="IB92" t="s">
        <v>423</v>
      </c>
      <c r="IC92" t="s">
        <v>423</v>
      </c>
      <c r="ID92" t="s">
        <v>423</v>
      </c>
      <c r="IE92">
        <v>0</v>
      </c>
      <c r="IF92">
        <v>100</v>
      </c>
      <c r="IG92">
        <v>100</v>
      </c>
      <c r="IH92">
        <v>-2.22</v>
      </c>
      <c r="II92">
        <v>0.0182</v>
      </c>
      <c r="IJ92">
        <v>-0.2164499368582429</v>
      </c>
      <c r="IK92">
        <v>-0.002077099775823331</v>
      </c>
      <c r="IL92">
        <v>4.593143279902166E-07</v>
      </c>
      <c r="IM92">
        <v>-1.865383991892071E-10</v>
      </c>
      <c r="IN92">
        <v>-0.06087574426827484</v>
      </c>
      <c r="IO92">
        <v>-0.01129461987421345</v>
      </c>
      <c r="IP92">
        <v>0.00116580895745559</v>
      </c>
      <c r="IQ92">
        <v>-1.679085872906199E-05</v>
      </c>
      <c r="IR92">
        <v>2</v>
      </c>
      <c r="IS92">
        <v>2290</v>
      </c>
      <c r="IT92">
        <v>0</v>
      </c>
      <c r="IU92">
        <v>32</v>
      </c>
      <c r="IV92">
        <v>5.1</v>
      </c>
      <c r="IW92">
        <v>4.8</v>
      </c>
      <c r="IX92">
        <v>2.26929</v>
      </c>
      <c r="IY92">
        <v>2.19727</v>
      </c>
      <c r="IZ92">
        <v>1.39648</v>
      </c>
      <c r="JA92">
        <v>2.35596</v>
      </c>
      <c r="JB92">
        <v>1.49536</v>
      </c>
      <c r="JC92">
        <v>2.36328</v>
      </c>
      <c r="JD92">
        <v>38.4524</v>
      </c>
      <c r="JE92">
        <v>24.035</v>
      </c>
      <c r="JF92">
        <v>18</v>
      </c>
      <c r="JG92">
        <v>512.087</v>
      </c>
      <c r="JH92">
        <v>427.779</v>
      </c>
      <c r="JI92">
        <v>22.469</v>
      </c>
      <c r="JJ92">
        <v>28.6413</v>
      </c>
      <c r="JK92">
        <v>30.0001</v>
      </c>
      <c r="JL92">
        <v>28.6081</v>
      </c>
      <c r="JM92">
        <v>28.546</v>
      </c>
      <c r="JN92">
        <v>45.3899</v>
      </c>
      <c r="JO92">
        <v>37.7916</v>
      </c>
      <c r="JP92">
        <v>0</v>
      </c>
      <c r="JQ92">
        <v>22.4537</v>
      </c>
      <c r="JR92">
        <v>1109.72</v>
      </c>
      <c r="JS92">
        <v>11.7738</v>
      </c>
      <c r="JT92">
        <v>100.31</v>
      </c>
      <c r="JU92">
        <v>100.239</v>
      </c>
    </row>
    <row r="93" spans="1:281">
      <c r="A93">
        <v>77</v>
      </c>
      <c r="B93">
        <v>1651864552.1</v>
      </c>
      <c r="C93">
        <v>331.5</v>
      </c>
      <c r="D93" t="s">
        <v>574</v>
      </c>
      <c r="E93" t="s">
        <v>575</v>
      </c>
      <c r="F93">
        <v>2</v>
      </c>
      <c r="G93" t="s">
        <v>413</v>
      </c>
      <c r="H93" t="s">
        <v>414</v>
      </c>
      <c r="I93">
        <v>1651864550.725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1143.94387005768</v>
      </c>
      <c r="AK93">
        <v>1126.555757575757</v>
      </c>
      <c r="AL93">
        <v>-3.419285871250719</v>
      </c>
      <c r="AM93">
        <v>66.38192812717227</v>
      </c>
      <c r="AN93">
        <f>(AP93 - AO93 + DI93*1E3/(8.314*(DK93+273.15)) * AR93/DH93 * AQ93) * DH93/(100*CV93) * 1000/(1000 - AP93)</f>
        <v>0</v>
      </c>
      <c r="AO93">
        <v>11.61720053469773</v>
      </c>
      <c r="AP93">
        <v>18.19240558823528</v>
      </c>
      <c r="AQ93">
        <v>-4.472412953064352E-05</v>
      </c>
      <c r="AR93">
        <v>80.47224507511959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417</v>
      </c>
      <c r="AY93" t="s">
        <v>417</v>
      </c>
      <c r="AZ93">
        <v>0</v>
      </c>
      <c r="BA93">
        <v>0</v>
      </c>
      <c r="BB93">
        <f>1-AZ93/BA93</f>
        <v>0</v>
      </c>
      <c r="BC93">
        <v>0</v>
      </c>
      <c r="BD93" t="s">
        <v>417</v>
      </c>
      <c r="BE93" t="s">
        <v>417</v>
      </c>
      <c r="BF93">
        <v>0</v>
      </c>
      <c r="BG93">
        <v>0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417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1248</v>
      </c>
      <c r="CA93">
        <v>300</v>
      </c>
      <c r="CB93">
        <v>300</v>
      </c>
      <c r="CC93">
        <v>300</v>
      </c>
      <c r="CD93">
        <v>10442</v>
      </c>
      <c r="CE93">
        <v>1293.69</v>
      </c>
      <c r="CF93">
        <v>-0.00735246</v>
      </c>
      <c r="CG93">
        <v>0.5</v>
      </c>
      <c r="CH93" t="s">
        <v>417</v>
      </c>
      <c r="CI93" t="s">
        <v>417</v>
      </c>
      <c r="CJ93" t="s">
        <v>417</v>
      </c>
      <c r="CK93" t="s">
        <v>417</v>
      </c>
      <c r="CL93" t="s">
        <v>417</v>
      </c>
      <c r="CM93" t="s">
        <v>417</v>
      </c>
      <c r="CN93" t="s">
        <v>417</v>
      </c>
      <c r="CO93" t="s">
        <v>417</v>
      </c>
      <c r="CP93" t="s">
        <v>417</v>
      </c>
      <c r="CQ93" t="s">
        <v>417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418</v>
      </c>
      <c r="CY93">
        <v>2</v>
      </c>
      <c r="CZ93" t="b">
        <v>1</v>
      </c>
      <c r="DA93">
        <v>1651864550.725</v>
      </c>
      <c r="DB93">
        <v>1109.0225</v>
      </c>
      <c r="DC93">
        <v>1125.9375</v>
      </c>
      <c r="DD93">
        <v>18.19445</v>
      </c>
      <c r="DE93">
        <v>11.652425</v>
      </c>
      <c r="DF93">
        <v>1111.2375</v>
      </c>
      <c r="DG93">
        <v>18.176275</v>
      </c>
      <c r="DH93">
        <v>500.02175</v>
      </c>
      <c r="DI93">
        <v>89.9414</v>
      </c>
      <c r="DJ93">
        <v>0.099706025</v>
      </c>
      <c r="DK93">
        <v>25.7017</v>
      </c>
      <c r="DL93">
        <v>25.009375</v>
      </c>
      <c r="DM93">
        <v>999.9</v>
      </c>
      <c r="DN93">
        <v>0</v>
      </c>
      <c r="DO93">
        <v>0</v>
      </c>
      <c r="DP93">
        <v>10019.375</v>
      </c>
      <c r="DQ93">
        <v>0</v>
      </c>
      <c r="DR93">
        <v>3.23193</v>
      </c>
      <c r="DS93">
        <v>-16.91265</v>
      </c>
      <c r="DT93">
        <v>1129.5775</v>
      </c>
      <c r="DU93">
        <v>1139.2125</v>
      </c>
      <c r="DV93">
        <v>6.542035</v>
      </c>
      <c r="DW93">
        <v>1125.9375</v>
      </c>
      <c r="DX93">
        <v>11.652425</v>
      </c>
      <c r="DY93">
        <v>1.636435</v>
      </c>
      <c r="DZ93">
        <v>1.0480325</v>
      </c>
      <c r="EA93">
        <v>14.306225</v>
      </c>
      <c r="EB93">
        <v>7.601825</v>
      </c>
      <c r="EC93">
        <v>1499.995</v>
      </c>
      <c r="ED93">
        <v>0.97300575</v>
      </c>
      <c r="EE93">
        <v>0.02699445</v>
      </c>
      <c r="EF93">
        <v>0</v>
      </c>
      <c r="EG93">
        <v>943.7457499999999</v>
      </c>
      <c r="EH93">
        <v>5.00097</v>
      </c>
      <c r="EI93">
        <v>14013.875</v>
      </c>
      <c r="EJ93">
        <v>12491.6</v>
      </c>
      <c r="EK93">
        <v>37.25</v>
      </c>
      <c r="EL93">
        <v>38.687</v>
      </c>
      <c r="EM93">
        <v>37.625</v>
      </c>
      <c r="EN93">
        <v>38.437</v>
      </c>
      <c r="EO93">
        <v>38.125</v>
      </c>
      <c r="EP93">
        <v>1454.635</v>
      </c>
      <c r="EQ93">
        <v>40.36</v>
      </c>
      <c r="ER93">
        <v>0</v>
      </c>
      <c r="ES93">
        <v>331.2000000476837</v>
      </c>
      <c r="ET93">
        <v>0</v>
      </c>
      <c r="EU93">
        <v>946.2762692307691</v>
      </c>
      <c r="EV93">
        <v>-25.35798288715274</v>
      </c>
      <c r="EW93">
        <v>-376.2803414328513</v>
      </c>
      <c r="EX93">
        <v>14049.93846153846</v>
      </c>
      <c r="EY93">
        <v>15</v>
      </c>
      <c r="EZ93">
        <v>1651864261.1</v>
      </c>
      <c r="FA93" t="s">
        <v>419</v>
      </c>
      <c r="FB93">
        <v>1651864241.6</v>
      </c>
      <c r="FC93">
        <v>1651864261.1</v>
      </c>
      <c r="FD93">
        <v>7</v>
      </c>
      <c r="FE93">
        <v>0.438</v>
      </c>
      <c r="FF93">
        <v>0.002</v>
      </c>
      <c r="FG93">
        <v>-0.988</v>
      </c>
      <c r="FH93">
        <v>-0.066</v>
      </c>
      <c r="FI93">
        <v>400</v>
      </c>
      <c r="FJ93">
        <v>11</v>
      </c>
      <c r="FK93">
        <v>0.05</v>
      </c>
      <c r="FL93">
        <v>0.02</v>
      </c>
      <c r="FM93">
        <v>-17.34331463414634</v>
      </c>
      <c r="FN93">
        <v>2.403631358884983</v>
      </c>
      <c r="FO93">
        <v>0.2678341364798195</v>
      </c>
      <c r="FP93">
        <v>-1</v>
      </c>
      <c r="FQ93">
        <v>6.652620487804879</v>
      </c>
      <c r="FR93">
        <v>-0.7270971428571602</v>
      </c>
      <c r="FS93">
        <v>0.07214054382368272</v>
      </c>
      <c r="FT93">
        <v>-1</v>
      </c>
      <c r="FU93">
        <v>0</v>
      </c>
      <c r="FV93">
        <v>0</v>
      </c>
      <c r="FW93">
        <v>0</v>
      </c>
      <c r="FX93">
        <v>-1</v>
      </c>
      <c r="FY93">
        <v>0</v>
      </c>
      <c r="FZ93">
        <v>0</v>
      </c>
      <c r="GA93" t="s">
        <v>420</v>
      </c>
      <c r="GB93">
        <v>2.98055</v>
      </c>
      <c r="GC93">
        <v>2.70616</v>
      </c>
      <c r="GD93">
        <v>0.182272</v>
      </c>
      <c r="GE93">
        <v>0.181938</v>
      </c>
      <c r="GF93">
        <v>0.0871309</v>
      </c>
      <c r="GG93">
        <v>0.0621967</v>
      </c>
      <c r="GH93">
        <v>25806.6</v>
      </c>
      <c r="GI93">
        <v>25875.1</v>
      </c>
      <c r="GJ93">
        <v>29345.2</v>
      </c>
      <c r="GK93">
        <v>29261.2</v>
      </c>
      <c r="GL93">
        <v>35473.2</v>
      </c>
      <c r="GM93">
        <v>36551.1</v>
      </c>
      <c r="GN93">
        <v>41304.9</v>
      </c>
      <c r="GO93">
        <v>41765</v>
      </c>
      <c r="GP93">
        <v>1.9573</v>
      </c>
      <c r="GQ93">
        <v>1.8486</v>
      </c>
      <c r="GR93">
        <v>-0.0240318</v>
      </c>
      <c r="GS93">
        <v>0</v>
      </c>
      <c r="GT93">
        <v>25.4032</v>
      </c>
      <c r="GU93">
        <v>999.9</v>
      </c>
      <c r="GV93">
        <v>31.8</v>
      </c>
      <c r="GW93">
        <v>34.2</v>
      </c>
      <c r="GX93">
        <v>19.1035</v>
      </c>
      <c r="GY93">
        <v>62.1974</v>
      </c>
      <c r="GZ93">
        <v>35.2965</v>
      </c>
      <c r="HA93">
        <v>1</v>
      </c>
      <c r="HB93">
        <v>0.103847</v>
      </c>
      <c r="HC93">
        <v>2.2732</v>
      </c>
      <c r="HD93">
        <v>20.3189</v>
      </c>
      <c r="HE93">
        <v>5.21834</v>
      </c>
      <c r="HF93">
        <v>12.0099</v>
      </c>
      <c r="HG93">
        <v>4.9889</v>
      </c>
      <c r="HH93">
        <v>3.2885</v>
      </c>
      <c r="HI93">
        <v>994.7</v>
      </c>
      <c r="HJ93">
        <v>9530.5</v>
      </c>
      <c r="HK93">
        <v>5139.4</v>
      </c>
      <c r="HL93">
        <v>24.8</v>
      </c>
      <c r="HM93">
        <v>1.8675</v>
      </c>
      <c r="HN93">
        <v>1.86646</v>
      </c>
      <c r="HO93">
        <v>1.866</v>
      </c>
      <c r="HP93">
        <v>1.86584</v>
      </c>
      <c r="HQ93">
        <v>1.86768</v>
      </c>
      <c r="HR93">
        <v>1.87022</v>
      </c>
      <c r="HS93">
        <v>1.86889</v>
      </c>
      <c r="HT93">
        <v>1.87025</v>
      </c>
      <c r="HU93">
        <v>0</v>
      </c>
      <c r="HV93">
        <v>0</v>
      </c>
      <c r="HW93">
        <v>0</v>
      </c>
      <c r="HX93">
        <v>0</v>
      </c>
      <c r="HY93" t="s">
        <v>421</v>
      </c>
      <c r="HZ93" t="s">
        <v>422</v>
      </c>
      <c r="IA93" t="s">
        <v>423</v>
      </c>
      <c r="IB93" t="s">
        <v>423</v>
      </c>
      <c r="IC93" t="s">
        <v>423</v>
      </c>
      <c r="ID93" t="s">
        <v>423</v>
      </c>
      <c r="IE93">
        <v>0</v>
      </c>
      <c r="IF93">
        <v>100</v>
      </c>
      <c r="IG93">
        <v>100</v>
      </c>
      <c r="IH93">
        <v>-2.2</v>
      </c>
      <c r="II93">
        <v>0.0181</v>
      </c>
      <c r="IJ93">
        <v>-0.2164499368582429</v>
      </c>
      <c r="IK93">
        <v>-0.002077099775823331</v>
      </c>
      <c r="IL93">
        <v>4.593143279902166E-07</v>
      </c>
      <c r="IM93">
        <v>-1.865383991892071E-10</v>
      </c>
      <c r="IN93">
        <v>-0.06087574426827484</v>
      </c>
      <c r="IO93">
        <v>-0.01129461987421345</v>
      </c>
      <c r="IP93">
        <v>0.00116580895745559</v>
      </c>
      <c r="IQ93">
        <v>-1.679085872906199E-05</v>
      </c>
      <c r="IR93">
        <v>2</v>
      </c>
      <c r="IS93">
        <v>2290</v>
      </c>
      <c r="IT93">
        <v>0</v>
      </c>
      <c r="IU93">
        <v>32</v>
      </c>
      <c r="IV93">
        <v>5.2</v>
      </c>
      <c r="IW93">
        <v>4.8</v>
      </c>
      <c r="IX93">
        <v>2.2583</v>
      </c>
      <c r="IY93">
        <v>2.20215</v>
      </c>
      <c r="IZ93">
        <v>1.39648</v>
      </c>
      <c r="JA93">
        <v>2.35718</v>
      </c>
      <c r="JB93">
        <v>1.49536</v>
      </c>
      <c r="JC93">
        <v>2.29736</v>
      </c>
      <c r="JD93">
        <v>38.4279</v>
      </c>
      <c r="JE93">
        <v>24.035</v>
      </c>
      <c r="JF93">
        <v>18</v>
      </c>
      <c r="JG93">
        <v>512.038</v>
      </c>
      <c r="JH93">
        <v>427.783</v>
      </c>
      <c r="JI93">
        <v>22.464</v>
      </c>
      <c r="JJ93">
        <v>28.6414</v>
      </c>
      <c r="JK93">
        <v>30.0001</v>
      </c>
      <c r="JL93">
        <v>28.6081</v>
      </c>
      <c r="JM93">
        <v>28.5466</v>
      </c>
      <c r="JN93">
        <v>45.1707</v>
      </c>
      <c r="JO93">
        <v>37.7916</v>
      </c>
      <c r="JP93">
        <v>0</v>
      </c>
      <c r="JQ93">
        <v>22.4537</v>
      </c>
      <c r="JR93">
        <v>1103.04</v>
      </c>
      <c r="JS93">
        <v>11.8007</v>
      </c>
      <c r="JT93">
        <v>100.308</v>
      </c>
      <c r="JU93">
        <v>100.239</v>
      </c>
    </row>
    <row r="94" spans="1:281">
      <c r="A94">
        <v>78</v>
      </c>
      <c r="B94">
        <v>1651864554.1</v>
      </c>
      <c r="C94">
        <v>333.5</v>
      </c>
      <c r="D94" t="s">
        <v>576</v>
      </c>
      <c r="E94" t="s">
        <v>577</v>
      </c>
      <c r="F94">
        <v>2</v>
      </c>
      <c r="G94" t="s">
        <v>413</v>
      </c>
      <c r="H94" t="s">
        <v>414</v>
      </c>
      <c r="I94">
        <v>1651864553.1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1137.145713685531</v>
      </c>
      <c r="AK94">
        <v>1119.809393939394</v>
      </c>
      <c r="AL94">
        <v>-3.40284121318032</v>
      </c>
      <c r="AM94">
        <v>66.38192812717227</v>
      </c>
      <c r="AN94">
        <f>(AP94 - AO94 + DI94*1E3/(8.314*(DK94+273.15)) * AR94/DH94 * AQ94) * DH94/(100*CV94) * 1000/(1000 - AP94)</f>
        <v>0</v>
      </c>
      <c r="AO94">
        <v>11.63728628137556</v>
      </c>
      <c r="AP94">
        <v>18.18685323529412</v>
      </c>
      <c r="AQ94">
        <v>-5.202626013596426E-05</v>
      </c>
      <c r="AR94">
        <v>80.47224507511959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417</v>
      </c>
      <c r="AY94" t="s">
        <v>417</v>
      </c>
      <c r="AZ94">
        <v>0</v>
      </c>
      <c r="BA94">
        <v>0</v>
      </c>
      <c r="BB94">
        <f>1-AZ94/BA94</f>
        <v>0</v>
      </c>
      <c r="BC94">
        <v>0</v>
      </c>
      <c r="BD94" t="s">
        <v>417</v>
      </c>
      <c r="BE94" t="s">
        <v>417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417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1248</v>
      </c>
      <c r="CA94">
        <v>300</v>
      </c>
      <c r="CB94">
        <v>300</v>
      </c>
      <c r="CC94">
        <v>300</v>
      </c>
      <c r="CD94">
        <v>10442</v>
      </c>
      <c r="CE94">
        <v>1293.69</v>
      </c>
      <c r="CF94">
        <v>-0.00735246</v>
      </c>
      <c r="CG94">
        <v>0.5</v>
      </c>
      <c r="CH94" t="s">
        <v>417</v>
      </c>
      <c r="CI94" t="s">
        <v>417</v>
      </c>
      <c r="CJ94" t="s">
        <v>417</v>
      </c>
      <c r="CK94" t="s">
        <v>417</v>
      </c>
      <c r="CL94" t="s">
        <v>417</v>
      </c>
      <c r="CM94" t="s">
        <v>417</v>
      </c>
      <c r="CN94" t="s">
        <v>417</v>
      </c>
      <c r="CO94" t="s">
        <v>417</v>
      </c>
      <c r="CP94" t="s">
        <v>417</v>
      </c>
      <c r="CQ94" t="s">
        <v>417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418</v>
      </c>
      <c r="CY94">
        <v>2</v>
      </c>
      <c r="CZ94" t="b">
        <v>1</v>
      </c>
      <c r="DA94">
        <v>1651864553.1</v>
      </c>
      <c r="DB94">
        <v>1101.096666666667</v>
      </c>
      <c r="DC94">
        <v>1118.153333333333</v>
      </c>
      <c r="DD94">
        <v>18.18826666666666</v>
      </c>
      <c r="DE94">
        <v>11.69653333333333</v>
      </c>
      <c r="DF94">
        <v>1103.293333333333</v>
      </c>
      <c r="DG94">
        <v>18.1702</v>
      </c>
      <c r="DH94">
        <v>500.0593333333333</v>
      </c>
      <c r="DI94">
        <v>89.94216666666667</v>
      </c>
      <c r="DJ94">
        <v>0.1001973333333333</v>
      </c>
      <c r="DK94">
        <v>25.70456666666666</v>
      </c>
      <c r="DL94">
        <v>25.00983333333333</v>
      </c>
      <c r="DM94">
        <v>999.9</v>
      </c>
      <c r="DN94">
        <v>0</v>
      </c>
      <c r="DO94">
        <v>0</v>
      </c>
      <c r="DP94">
        <v>9978.959999999999</v>
      </c>
      <c r="DQ94">
        <v>0</v>
      </c>
      <c r="DR94">
        <v>3.230056666666667</v>
      </c>
      <c r="DS94">
        <v>-17.06183333333334</v>
      </c>
      <c r="DT94">
        <v>1121.493333333333</v>
      </c>
      <c r="DU94">
        <v>1131.386666666667</v>
      </c>
      <c r="DV94">
        <v>6.491733333333333</v>
      </c>
      <c r="DW94">
        <v>1118.153333333333</v>
      </c>
      <c r="DX94">
        <v>11.69653333333333</v>
      </c>
      <c r="DY94">
        <v>1.635893333333333</v>
      </c>
      <c r="DZ94">
        <v>1.052013333333333</v>
      </c>
      <c r="EA94">
        <v>14.3011</v>
      </c>
      <c r="EB94">
        <v>7.657353333333333</v>
      </c>
      <c r="EC94">
        <v>1499.973333333333</v>
      </c>
      <c r="ED94">
        <v>0.9730053333333334</v>
      </c>
      <c r="EE94">
        <v>0.0269949</v>
      </c>
      <c r="EF94">
        <v>0</v>
      </c>
      <c r="EG94">
        <v>942.6910000000001</v>
      </c>
      <c r="EH94">
        <v>5.00097</v>
      </c>
      <c r="EI94">
        <v>13998.76666666667</v>
      </c>
      <c r="EJ94">
        <v>12491.4</v>
      </c>
      <c r="EK94">
        <v>37.25</v>
      </c>
      <c r="EL94">
        <v>38.687</v>
      </c>
      <c r="EM94">
        <v>37.625</v>
      </c>
      <c r="EN94">
        <v>38.437</v>
      </c>
      <c r="EO94">
        <v>38.125</v>
      </c>
      <c r="EP94">
        <v>1454.613333333333</v>
      </c>
      <c r="EQ94">
        <v>40.36</v>
      </c>
      <c r="ER94">
        <v>0</v>
      </c>
      <c r="ES94">
        <v>333</v>
      </c>
      <c r="ET94">
        <v>0</v>
      </c>
      <c r="EU94">
        <v>945.37924</v>
      </c>
      <c r="EV94">
        <v>-24.68607697413832</v>
      </c>
      <c r="EW94">
        <v>-368.9384622094683</v>
      </c>
      <c r="EX94">
        <v>14036.924</v>
      </c>
      <c r="EY94">
        <v>15</v>
      </c>
      <c r="EZ94">
        <v>1651864261.1</v>
      </c>
      <c r="FA94" t="s">
        <v>419</v>
      </c>
      <c r="FB94">
        <v>1651864241.6</v>
      </c>
      <c r="FC94">
        <v>1651864261.1</v>
      </c>
      <c r="FD94">
        <v>7</v>
      </c>
      <c r="FE94">
        <v>0.438</v>
      </c>
      <c r="FF94">
        <v>0.002</v>
      </c>
      <c r="FG94">
        <v>-0.988</v>
      </c>
      <c r="FH94">
        <v>-0.066</v>
      </c>
      <c r="FI94">
        <v>400</v>
      </c>
      <c r="FJ94">
        <v>11</v>
      </c>
      <c r="FK94">
        <v>0.05</v>
      </c>
      <c r="FL94">
        <v>0.02</v>
      </c>
      <c r="FM94">
        <v>-17.276165</v>
      </c>
      <c r="FN94">
        <v>2.243977485928718</v>
      </c>
      <c r="FO94">
        <v>0.2517552656351006</v>
      </c>
      <c r="FP94">
        <v>-1</v>
      </c>
      <c r="FQ94">
        <v>6.63133425</v>
      </c>
      <c r="FR94">
        <v>-0.7706088180112634</v>
      </c>
      <c r="FS94">
        <v>0.07449869525325599</v>
      </c>
      <c r="FT94">
        <v>-1</v>
      </c>
      <c r="FU94">
        <v>0</v>
      </c>
      <c r="FV94">
        <v>0</v>
      </c>
      <c r="FW94">
        <v>0</v>
      </c>
      <c r="FX94">
        <v>-1</v>
      </c>
      <c r="FY94">
        <v>0</v>
      </c>
      <c r="FZ94">
        <v>0</v>
      </c>
      <c r="GA94" t="s">
        <v>420</v>
      </c>
      <c r="GB94">
        <v>2.98053</v>
      </c>
      <c r="GC94">
        <v>2.70627</v>
      </c>
      <c r="GD94">
        <v>0.181576</v>
      </c>
      <c r="GE94">
        <v>0.181285</v>
      </c>
      <c r="GF94">
        <v>0.0871184</v>
      </c>
      <c r="GG94">
        <v>0.062355</v>
      </c>
      <c r="GH94">
        <v>25828.5</v>
      </c>
      <c r="GI94">
        <v>25895.7</v>
      </c>
      <c r="GJ94">
        <v>29345.2</v>
      </c>
      <c r="GK94">
        <v>29261.1</v>
      </c>
      <c r="GL94">
        <v>35473.7</v>
      </c>
      <c r="GM94">
        <v>36544.8</v>
      </c>
      <c r="GN94">
        <v>41304.9</v>
      </c>
      <c r="GO94">
        <v>41765</v>
      </c>
      <c r="GP94">
        <v>1.9575</v>
      </c>
      <c r="GQ94">
        <v>1.8486</v>
      </c>
      <c r="GR94">
        <v>-0.0238232</v>
      </c>
      <c r="GS94">
        <v>0</v>
      </c>
      <c r="GT94">
        <v>25.4037</v>
      </c>
      <c r="GU94">
        <v>999.9</v>
      </c>
      <c r="GV94">
        <v>31.8</v>
      </c>
      <c r="GW94">
        <v>34.2</v>
      </c>
      <c r="GX94">
        <v>19.1043</v>
      </c>
      <c r="GY94">
        <v>62.2674</v>
      </c>
      <c r="GZ94">
        <v>35.0441</v>
      </c>
      <c r="HA94">
        <v>1</v>
      </c>
      <c r="HB94">
        <v>0.103908</v>
      </c>
      <c r="HC94">
        <v>2.27183</v>
      </c>
      <c r="HD94">
        <v>20.3189</v>
      </c>
      <c r="HE94">
        <v>5.21789</v>
      </c>
      <c r="HF94">
        <v>12.0099</v>
      </c>
      <c r="HG94">
        <v>4.98875</v>
      </c>
      <c r="HH94">
        <v>3.2885</v>
      </c>
      <c r="HI94">
        <v>994.9</v>
      </c>
      <c r="HJ94">
        <v>9531.700000000001</v>
      </c>
      <c r="HK94">
        <v>5139.4</v>
      </c>
      <c r="HL94">
        <v>24.8</v>
      </c>
      <c r="HM94">
        <v>1.8675</v>
      </c>
      <c r="HN94">
        <v>1.86646</v>
      </c>
      <c r="HO94">
        <v>1.866</v>
      </c>
      <c r="HP94">
        <v>1.86584</v>
      </c>
      <c r="HQ94">
        <v>1.86768</v>
      </c>
      <c r="HR94">
        <v>1.87022</v>
      </c>
      <c r="HS94">
        <v>1.86887</v>
      </c>
      <c r="HT94">
        <v>1.87025</v>
      </c>
      <c r="HU94">
        <v>0</v>
      </c>
      <c r="HV94">
        <v>0</v>
      </c>
      <c r="HW94">
        <v>0</v>
      </c>
      <c r="HX94">
        <v>0</v>
      </c>
      <c r="HY94" t="s">
        <v>421</v>
      </c>
      <c r="HZ94" t="s">
        <v>422</v>
      </c>
      <c r="IA94" t="s">
        <v>423</v>
      </c>
      <c r="IB94" t="s">
        <v>423</v>
      </c>
      <c r="IC94" t="s">
        <v>423</v>
      </c>
      <c r="ID94" t="s">
        <v>423</v>
      </c>
      <c r="IE94">
        <v>0</v>
      </c>
      <c r="IF94">
        <v>100</v>
      </c>
      <c r="IG94">
        <v>100</v>
      </c>
      <c r="IH94">
        <v>-2.19</v>
      </c>
      <c r="II94">
        <v>0.018</v>
      </c>
      <c r="IJ94">
        <v>-0.2164499368582429</v>
      </c>
      <c r="IK94">
        <v>-0.002077099775823331</v>
      </c>
      <c r="IL94">
        <v>4.593143279902166E-07</v>
      </c>
      <c r="IM94">
        <v>-1.865383991892071E-10</v>
      </c>
      <c r="IN94">
        <v>-0.06087574426827484</v>
      </c>
      <c r="IO94">
        <v>-0.01129461987421345</v>
      </c>
      <c r="IP94">
        <v>0.00116580895745559</v>
      </c>
      <c r="IQ94">
        <v>-1.679085872906199E-05</v>
      </c>
      <c r="IR94">
        <v>2</v>
      </c>
      <c r="IS94">
        <v>2290</v>
      </c>
      <c r="IT94">
        <v>0</v>
      </c>
      <c r="IU94">
        <v>32</v>
      </c>
      <c r="IV94">
        <v>5.2</v>
      </c>
      <c r="IW94">
        <v>4.9</v>
      </c>
      <c r="IX94">
        <v>2.24731</v>
      </c>
      <c r="IY94">
        <v>2.19971</v>
      </c>
      <c r="IZ94">
        <v>1.39648</v>
      </c>
      <c r="JA94">
        <v>2.35718</v>
      </c>
      <c r="JB94">
        <v>1.49536</v>
      </c>
      <c r="JC94">
        <v>2.36328</v>
      </c>
      <c r="JD94">
        <v>38.4279</v>
      </c>
      <c r="JE94">
        <v>24.035</v>
      </c>
      <c r="JF94">
        <v>18</v>
      </c>
      <c r="JG94">
        <v>512.169</v>
      </c>
      <c r="JH94">
        <v>427.791</v>
      </c>
      <c r="JI94">
        <v>22.4569</v>
      </c>
      <c r="JJ94">
        <v>28.6426</v>
      </c>
      <c r="JK94">
        <v>30.0002</v>
      </c>
      <c r="JL94">
        <v>28.6081</v>
      </c>
      <c r="JM94">
        <v>28.5478</v>
      </c>
      <c r="JN94">
        <v>44.9509</v>
      </c>
      <c r="JO94">
        <v>37.7916</v>
      </c>
      <c r="JP94">
        <v>0</v>
      </c>
      <c r="JQ94">
        <v>22.4439</v>
      </c>
      <c r="JR94">
        <v>1096.35</v>
      </c>
      <c r="JS94">
        <v>11.8214</v>
      </c>
      <c r="JT94">
        <v>100.308</v>
      </c>
      <c r="JU94">
        <v>100.239</v>
      </c>
    </row>
    <row r="95" spans="1:281">
      <c r="A95">
        <v>79</v>
      </c>
      <c r="B95">
        <v>1651864556.1</v>
      </c>
      <c r="C95">
        <v>335.5</v>
      </c>
      <c r="D95" t="s">
        <v>578</v>
      </c>
      <c r="E95" t="s">
        <v>579</v>
      </c>
      <c r="F95">
        <v>2</v>
      </c>
      <c r="G95" t="s">
        <v>413</v>
      </c>
      <c r="H95" t="s">
        <v>414</v>
      </c>
      <c r="I95">
        <v>1651864554.725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1130.64017796372</v>
      </c>
      <c r="AK95">
        <v>1113.208848484848</v>
      </c>
      <c r="AL95">
        <v>-3.328533535006794</v>
      </c>
      <c r="AM95">
        <v>66.38192812717227</v>
      </c>
      <c r="AN95">
        <f>(AP95 - AO95 + DI95*1E3/(8.314*(DK95+273.15)) * AR95/DH95 * AQ95) * DH95/(100*CV95) * 1000/(1000 - AP95)</f>
        <v>0</v>
      </c>
      <c r="AO95">
        <v>11.66784140989897</v>
      </c>
      <c r="AP95">
        <v>18.18728352941176</v>
      </c>
      <c r="AQ95">
        <v>-0.0001100422124009727</v>
      </c>
      <c r="AR95">
        <v>80.47224507511959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417</v>
      </c>
      <c r="AY95" t="s">
        <v>417</v>
      </c>
      <c r="AZ95">
        <v>0</v>
      </c>
      <c r="BA95">
        <v>0</v>
      </c>
      <c r="BB95">
        <f>1-AZ95/BA95</f>
        <v>0</v>
      </c>
      <c r="BC95">
        <v>0</v>
      </c>
      <c r="BD95" t="s">
        <v>417</v>
      </c>
      <c r="BE95" t="s">
        <v>417</v>
      </c>
      <c r="BF95">
        <v>0</v>
      </c>
      <c r="BG95">
        <v>0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417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1248</v>
      </c>
      <c r="CA95">
        <v>300</v>
      </c>
      <c r="CB95">
        <v>300</v>
      </c>
      <c r="CC95">
        <v>300</v>
      </c>
      <c r="CD95">
        <v>10442</v>
      </c>
      <c r="CE95">
        <v>1293.69</v>
      </c>
      <c r="CF95">
        <v>-0.00735246</v>
      </c>
      <c r="CG95">
        <v>0.5</v>
      </c>
      <c r="CH95" t="s">
        <v>417</v>
      </c>
      <c r="CI95" t="s">
        <v>417</v>
      </c>
      <c r="CJ95" t="s">
        <v>417</v>
      </c>
      <c r="CK95" t="s">
        <v>417</v>
      </c>
      <c r="CL95" t="s">
        <v>417</v>
      </c>
      <c r="CM95" t="s">
        <v>417</v>
      </c>
      <c r="CN95" t="s">
        <v>417</v>
      </c>
      <c r="CO95" t="s">
        <v>417</v>
      </c>
      <c r="CP95" t="s">
        <v>417</v>
      </c>
      <c r="CQ95" t="s">
        <v>417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418</v>
      </c>
      <c r="CY95">
        <v>2</v>
      </c>
      <c r="CZ95" t="b">
        <v>1</v>
      </c>
      <c r="DA95">
        <v>1651864554.725</v>
      </c>
      <c r="DB95">
        <v>1095.795</v>
      </c>
      <c r="DC95">
        <v>1112.86</v>
      </c>
      <c r="DD95">
        <v>18.187825</v>
      </c>
      <c r="DE95">
        <v>11.720625</v>
      </c>
      <c r="DF95">
        <v>1097.9875</v>
      </c>
      <c r="DG95">
        <v>18.16975</v>
      </c>
      <c r="DH95">
        <v>500.0705</v>
      </c>
      <c r="DI95">
        <v>89.94035</v>
      </c>
      <c r="DJ95">
        <v>0.1001305</v>
      </c>
      <c r="DK95">
        <v>25.704725</v>
      </c>
      <c r="DL95">
        <v>25.011325</v>
      </c>
      <c r="DM95">
        <v>999.9</v>
      </c>
      <c r="DN95">
        <v>0</v>
      </c>
      <c r="DO95">
        <v>0</v>
      </c>
      <c r="DP95">
        <v>9985.475</v>
      </c>
      <c r="DQ95">
        <v>0</v>
      </c>
      <c r="DR95">
        <v>3.2199875</v>
      </c>
      <c r="DS95">
        <v>-17.063625</v>
      </c>
      <c r="DT95">
        <v>1116.095</v>
      </c>
      <c r="DU95">
        <v>1126.055</v>
      </c>
      <c r="DV95">
        <v>6.467187500000001</v>
      </c>
      <c r="DW95">
        <v>1112.86</v>
      </c>
      <c r="DX95">
        <v>11.720625</v>
      </c>
      <c r="DY95">
        <v>1.63582</v>
      </c>
      <c r="DZ95">
        <v>1.0541575</v>
      </c>
      <c r="EA95">
        <v>14.300425</v>
      </c>
      <c r="EB95">
        <v>7.6872075</v>
      </c>
      <c r="EC95">
        <v>1499.92</v>
      </c>
      <c r="ED95">
        <v>0.9730045</v>
      </c>
      <c r="EE95">
        <v>0.0269958</v>
      </c>
      <c r="EF95">
        <v>0</v>
      </c>
      <c r="EG95">
        <v>942.4037500000001</v>
      </c>
      <c r="EH95">
        <v>5.00097</v>
      </c>
      <c r="EI95">
        <v>13988.275</v>
      </c>
      <c r="EJ95">
        <v>12490.95</v>
      </c>
      <c r="EK95">
        <v>37.25</v>
      </c>
      <c r="EL95">
        <v>38.687</v>
      </c>
      <c r="EM95">
        <v>37.625</v>
      </c>
      <c r="EN95">
        <v>38.437</v>
      </c>
      <c r="EO95">
        <v>38.125</v>
      </c>
      <c r="EP95">
        <v>1454.56</v>
      </c>
      <c r="EQ95">
        <v>40.36</v>
      </c>
      <c r="ER95">
        <v>0</v>
      </c>
      <c r="ES95">
        <v>334.7999999523163</v>
      </c>
      <c r="ET95">
        <v>0</v>
      </c>
      <c r="EU95">
        <v>944.7961923076922</v>
      </c>
      <c r="EV95">
        <v>-24.4048888959888</v>
      </c>
      <c r="EW95">
        <v>-368.9641026790322</v>
      </c>
      <c r="EX95">
        <v>14027.67692307692</v>
      </c>
      <c r="EY95">
        <v>15</v>
      </c>
      <c r="EZ95">
        <v>1651864261.1</v>
      </c>
      <c r="FA95" t="s">
        <v>419</v>
      </c>
      <c r="FB95">
        <v>1651864241.6</v>
      </c>
      <c r="FC95">
        <v>1651864261.1</v>
      </c>
      <c r="FD95">
        <v>7</v>
      </c>
      <c r="FE95">
        <v>0.438</v>
      </c>
      <c r="FF95">
        <v>0.002</v>
      </c>
      <c r="FG95">
        <v>-0.988</v>
      </c>
      <c r="FH95">
        <v>-0.066</v>
      </c>
      <c r="FI95">
        <v>400</v>
      </c>
      <c r="FJ95">
        <v>11</v>
      </c>
      <c r="FK95">
        <v>0.05</v>
      </c>
      <c r="FL95">
        <v>0.02</v>
      </c>
      <c r="FM95">
        <v>-17.21624390243903</v>
      </c>
      <c r="FN95">
        <v>1.727295470383304</v>
      </c>
      <c r="FO95">
        <v>0.2208790078784229</v>
      </c>
      <c r="FP95">
        <v>-1</v>
      </c>
      <c r="FQ95">
        <v>6.600329268292683</v>
      </c>
      <c r="FR95">
        <v>-0.8098314982578223</v>
      </c>
      <c r="FS95">
        <v>0.08033534545100865</v>
      </c>
      <c r="FT95">
        <v>-1</v>
      </c>
      <c r="FU95">
        <v>0</v>
      </c>
      <c r="FV95">
        <v>0</v>
      </c>
      <c r="FW95">
        <v>0</v>
      </c>
      <c r="FX95">
        <v>-1</v>
      </c>
      <c r="FY95">
        <v>0</v>
      </c>
      <c r="FZ95">
        <v>0</v>
      </c>
      <c r="GA95" t="s">
        <v>420</v>
      </c>
      <c r="GB95">
        <v>2.98058</v>
      </c>
      <c r="GC95">
        <v>2.70608</v>
      </c>
      <c r="GD95">
        <v>0.180888</v>
      </c>
      <c r="GE95">
        <v>0.180603</v>
      </c>
      <c r="GF95">
        <v>0.0871228</v>
      </c>
      <c r="GG95">
        <v>0.0624058</v>
      </c>
      <c r="GH95">
        <v>25850.6</v>
      </c>
      <c r="GI95">
        <v>25917.3</v>
      </c>
      <c r="GJ95">
        <v>29345.5</v>
      </c>
      <c r="GK95">
        <v>29261.2</v>
      </c>
      <c r="GL95">
        <v>35473.9</v>
      </c>
      <c r="GM95">
        <v>36542.9</v>
      </c>
      <c r="GN95">
        <v>41305.4</v>
      </c>
      <c r="GO95">
        <v>41765.1</v>
      </c>
      <c r="GP95">
        <v>1.9575</v>
      </c>
      <c r="GQ95">
        <v>1.8487</v>
      </c>
      <c r="GR95">
        <v>-0.0238307</v>
      </c>
      <c r="GS95">
        <v>0</v>
      </c>
      <c r="GT95">
        <v>25.4037</v>
      </c>
      <c r="GU95">
        <v>999.9</v>
      </c>
      <c r="GV95">
        <v>31.8</v>
      </c>
      <c r="GW95">
        <v>34.2</v>
      </c>
      <c r="GX95">
        <v>19.1021</v>
      </c>
      <c r="GY95">
        <v>62.5474</v>
      </c>
      <c r="GZ95">
        <v>35.0441</v>
      </c>
      <c r="HA95">
        <v>1</v>
      </c>
      <c r="HB95">
        <v>0.103923</v>
      </c>
      <c r="HC95">
        <v>2.27239</v>
      </c>
      <c r="HD95">
        <v>20.3188</v>
      </c>
      <c r="HE95">
        <v>5.21819</v>
      </c>
      <c r="HF95">
        <v>12.0099</v>
      </c>
      <c r="HG95">
        <v>4.98875</v>
      </c>
      <c r="HH95">
        <v>3.2885</v>
      </c>
      <c r="HI95">
        <v>994.9</v>
      </c>
      <c r="HJ95">
        <v>9531.700000000001</v>
      </c>
      <c r="HK95">
        <v>5139.4</v>
      </c>
      <c r="HL95">
        <v>24.8</v>
      </c>
      <c r="HM95">
        <v>1.8675</v>
      </c>
      <c r="HN95">
        <v>1.86646</v>
      </c>
      <c r="HO95">
        <v>1.866</v>
      </c>
      <c r="HP95">
        <v>1.86584</v>
      </c>
      <c r="HQ95">
        <v>1.86768</v>
      </c>
      <c r="HR95">
        <v>1.87021</v>
      </c>
      <c r="HS95">
        <v>1.86887</v>
      </c>
      <c r="HT95">
        <v>1.87026</v>
      </c>
      <c r="HU95">
        <v>0</v>
      </c>
      <c r="HV95">
        <v>0</v>
      </c>
      <c r="HW95">
        <v>0</v>
      </c>
      <c r="HX95">
        <v>0</v>
      </c>
      <c r="HY95" t="s">
        <v>421</v>
      </c>
      <c r="HZ95" t="s">
        <v>422</v>
      </c>
      <c r="IA95" t="s">
        <v>423</v>
      </c>
      <c r="IB95" t="s">
        <v>423</v>
      </c>
      <c r="IC95" t="s">
        <v>423</v>
      </c>
      <c r="ID95" t="s">
        <v>423</v>
      </c>
      <c r="IE95">
        <v>0</v>
      </c>
      <c r="IF95">
        <v>100</v>
      </c>
      <c r="IG95">
        <v>100</v>
      </c>
      <c r="IH95">
        <v>-2.18</v>
      </c>
      <c r="II95">
        <v>0.0181</v>
      </c>
      <c r="IJ95">
        <v>-0.2164499368582429</v>
      </c>
      <c r="IK95">
        <v>-0.002077099775823331</v>
      </c>
      <c r="IL95">
        <v>4.593143279902166E-07</v>
      </c>
      <c r="IM95">
        <v>-1.865383991892071E-10</v>
      </c>
      <c r="IN95">
        <v>-0.06087574426827484</v>
      </c>
      <c r="IO95">
        <v>-0.01129461987421345</v>
      </c>
      <c r="IP95">
        <v>0.00116580895745559</v>
      </c>
      <c r="IQ95">
        <v>-1.679085872906199E-05</v>
      </c>
      <c r="IR95">
        <v>2</v>
      </c>
      <c r="IS95">
        <v>2290</v>
      </c>
      <c r="IT95">
        <v>0</v>
      </c>
      <c r="IU95">
        <v>32</v>
      </c>
      <c r="IV95">
        <v>5.2</v>
      </c>
      <c r="IW95">
        <v>4.9</v>
      </c>
      <c r="IX95">
        <v>2.23633</v>
      </c>
      <c r="IY95">
        <v>2.20337</v>
      </c>
      <c r="IZ95">
        <v>1.39648</v>
      </c>
      <c r="JA95">
        <v>2.35596</v>
      </c>
      <c r="JB95">
        <v>1.49536</v>
      </c>
      <c r="JC95">
        <v>2.28882</v>
      </c>
      <c r="JD95">
        <v>38.4524</v>
      </c>
      <c r="JE95">
        <v>24.0262</v>
      </c>
      <c r="JF95">
        <v>18</v>
      </c>
      <c r="JG95">
        <v>512.169</v>
      </c>
      <c r="JH95">
        <v>427.857</v>
      </c>
      <c r="JI95">
        <v>22.4511</v>
      </c>
      <c r="JJ95">
        <v>28.6437</v>
      </c>
      <c r="JK95">
        <v>30.0002</v>
      </c>
      <c r="JL95">
        <v>28.6082</v>
      </c>
      <c r="JM95">
        <v>28.5484</v>
      </c>
      <c r="JN95">
        <v>44.7276</v>
      </c>
      <c r="JO95">
        <v>37.5028</v>
      </c>
      <c r="JP95">
        <v>0</v>
      </c>
      <c r="JQ95">
        <v>22.4439</v>
      </c>
      <c r="JR95">
        <v>1089.67</v>
      </c>
      <c r="JS95">
        <v>11.8417</v>
      </c>
      <c r="JT95">
        <v>100.309</v>
      </c>
      <c r="JU95">
        <v>100.239</v>
      </c>
    </row>
    <row r="96" spans="1:281">
      <c r="A96">
        <v>80</v>
      </c>
      <c r="B96">
        <v>1651864558.1</v>
      </c>
      <c r="C96">
        <v>337.5</v>
      </c>
      <c r="D96" t="s">
        <v>580</v>
      </c>
      <c r="E96" t="s">
        <v>581</v>
      </c>
      <c r="F96">
        <v>2</v>
      </c>
      <c r="G96" t="s">
        <v>413</v>
      </c>
      <c r="H96" t="s">
        <v>414</v>
      </c>
      <c r="I96">
        <v>1651864557.1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1124.071039714861</v>
      </c>
      <c r="AK96">
        <v>1106.462303030303</v>
      </c>
      <c r="AL96">
        <v>-3.343583653957849</v>
      </c>
      <c r="AM96">
        <v>66.38192812717227</v>
      </c>
      <c r="AN96">
        <f>(AP96 - AO96 + DI96*1E3/(8.314*(DK96+273.15)) * AR96/DH96 * AQ96) * DH96/(100*CV96) * 1000/(1000 - AP96)</f>
        <v>0</v>
      </c>
      <c r="AO96">
        <v>11.70558507975451</v>
      </c>
      <c r="AP96">
        <v>18.18891323529412</v>
      </c>
      <c r="AQ96">
        <v>-8.612323829595854E-05</v>
      </c>
      <c r="AR96">
        <v>80.47224507511959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417</v>
      </c>
      <c r="AY96" t="s">
        <v>417</v>
      </c>
      <c r="AZ96">
        <v>0</v>
      </c>
      <c r="BA96">
        <v>0</v>
      </c>
      <c r="BB96">
        <f>1-AZ96/BA96</f>
        <v>0</v>
      </c>
      <c r="BC96">
        <v>0</v>
      </c>
      <c r="BD96" t="s">
        <v>417</v>
      </c>
      <c r="BE96" t="s">
        <v>417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417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1248</v>
      </c>
      <c r="CA96">
        <v>300</v>
      </c>
      <c r="CB96">
        <v>300</v>
      </c>
      <c r="CC96">
        <v>300</v>
      </c>
      <c r="CD96">
        <v>10442</v>
      </c>
      <c r="CE96">
        <v>1293.69</v>
      </c>
      <c r="CF96">
        <v>-0.00735246</v>
      </c>
      <c r="CG96">
        <v>0.5</v>
      </c>
      <c r="CH96" t="s">
        <v>417</v>
      </c>
      <c r="CI96" t="s">
        <v>417</v>
      </c>
      <c r="CJ96" t="s">
        <v>417</v>
      </c>
      <c r="CK96" t="s">
        <v>417</v>
      </c>
      <c r="CL96" t="s">
        <v>417</v>
      </c>
      <c r="CM96" t="s">
        <v>417</v>
      </c>
      <c r="CN96" t="s">
        <v>417</v>
      </c>
      <c r="CO96" t="s">
        <v>417</v>
      </c>
      <c r="CP96" t="s">
        <v>417</v>
      </c>
      <c r="CQ96" t="s">
        <v>417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418</v>
      </c>
      <c r="CY96">
        <v>2</v>
      </c>
      <c r="CZ96" t="b">
        <v>1</v>
      </c>
      <c r="DA96">
        <v>1651864557.1</v>
      </c>
      <c r="DB96">
        <v>1087.99</v>
      </c>
      <c r="DC96">
        <v>1105.06</v>
      </c>
      <c r="DD96">
        <v>18.1881</v>
      </c>
      <c r="DE96">
        <v>11.73443333333333</v>
      </c>
      <c r="DF96">
        <v>1090.166666666667</v>
      </c>
      <c r="DG96">
        <v>18.17</v>
      </c>
      <c r="DH96">
        <v>500.0043333333333</v>
      </c>
      <c r="DI96">
        <v>89.93946666666666</v>
      </c>
      <c r="DJ96">
        <v>0.09999736666666666</v>
      </c>
      <c r="DK96">
        <v>25.704</v>
      </c>
      <c r="DL96">
        <v>25.01386666666667</v>
      </c>
      <c r="DM96">
        <v>999.9</v>
      </c>
      <c r="DN96">
        <v>0</v>
      </c>
      <c r="DO96">
        <v>0</v>
      </c>
      <c r="DP96">
        <v>9996.646666666667</v>
      </c>
      <c r="DQ96">
        <v>0</v>
      </c>
      <c r="DR96">
        <v>3.219753333333333</v>
      </c>
      <c r="DS96">
        <v>-17.068</v>
      </c>
      <c r="DT96">
        <v>1108.146666666667</v>
      </c>
      <c r="DU96">
        <v>1118.18</v>
      </c>
      <c r="DV96">
        <v>6.453623333333333</v>
      </c>
      <c r="DW96">
        <v>1105.06</v>
      </c>
      <c r="DX96">
        <v>11.73443333333333</v>
      </c>
      <c r="DY96">
        <v>1.635826666666667</v>
      </c>
      <c r="DZ96">
        <v>1.05539</v>
      </c>
      <c r="EA96">
        <v>14.3005</v>
      </c>
      <c r="EB96">
        <v>7.70436</v>
      </c>
      <c r="EC96">
        <v>1500.056666666667</v>
      </c>
      <c r="ED96">
        <v>0.973007</v>
      </c>
      <c r="EE96">
        <v>0.0269931</v>
      </c>
      <c r="EF96">
        <v>0</v>
      </c>
      <c r="EG96">
        <v>941.3223333333334</v>
      </c>
      <c r="EH96">
        <v>5.00097</v>
      </c>
      <c r="EI96">
        <v>13976.26666666667</v>
      </c>
      <c r="EJ96">
        <v>12492.06666666667</v>
      </c>
      <c r="EK96">
        <v>37.25</v>
      </c>
      <c r="EL96">
        <v>38.729</v>
      </c>
      <c r="EM96">
        <v>37.625</v>
      </c>
      <c r="EN96">
        <v>38.437</v>
      </c>
      <c r="EO96">
        <v>38.125</v>
      </c>
      <c r="EP96">
        <v>1454.696666666667</v>
      </c>
      <c r="EQ96">
        <v>40.36</v>
      </c>
      <c r="ER96">
        <v>0</v>
      </c>
      <c r="ES96">
        <v>337.2000000476837</v>
      </c>
      <c r="ET96">
        <v>0</v>
      </c>
      <c r="EU96">
        <v>943.8216538461536</v>
      </c>
      <c r="EV96">
        <v>-24.41514527213193</v>
      </c>
      <c r="EW96">
        <v>-361.7538457181474</v>
      </c>
      <c r="EX96">
        <v>14013.25769230769</v>
      </c>
      <c r="EY96">
        <v>15</v>
      </c>
      <c r="EZ96">
        <v>1651864261.1</v>
      </c>
      <c r="FA96" t="s">
        <v>419</v>
      </c>
      <c r="FB96">
        <v>1651864241.6</v>
      </c>
      <c r="FC96">
        <v>1651864261.1</v>
      </c>
      <c r="FD96">
        <v>7</v>
      </c>
      <c r="FE96">
        <v>0.438</v>
      </c>
      <c r="FF96">
        <v>0.002</v>
      </c>
      <c r="FG96">
        <v>-0.988</v>
      </c>
      <c r="FH96">
        <v>-0.066</v>
      </c>
      <c r="FI96">
        <v>400</v>
      </c>
      <c r="FJ96">
        <v>11</v>
      </c>
      <c r="FK96">
        <v>0.05</v>
      </c>
      <c r="FL96">
        <v>0.02</v>
      </c>
      <c r="FM96">
        <v>-17.175605</v>
      </c>
      <c r="FN96">
        <v>1.416965853658531</v>
      </c>
      <c r="FO96">
        <v>0.200629489295567</v>
      </c>
      <c r="FP96">
        <v>-1</v>
      </c>
      <c r="FQ96">
        <v>6.57742775</v>
      </c>
      <c r="FR96">
        <v>-0.8086512945591132</v>
      </c>
      <c r="FS96">
        <v>0.07830901265140243</v>
      </c>
      <c r="FT96">
        <v>-1</v>
      </c>
      <c r="FU96">
        <v>0</v>
      </c>
      <c r="FV96">
        <v>0</v>
      </c>
      <c r="FW96">
        <v>0</v>
      </c>
      <c r="FX96">
        <v>-1</v>
      </c>
      <c r="FY96">
        <v>0</v>
      </c>
      <c r="FZ96">
        <v>0</v>
      </c>
      <c r="GA96" t="s">
        <v>420</v>
      </c>
      <c r="GB96">
        <v>2.98042</v>
      </c>
      <c r="GC96">
        <v>2.70612</v>
      </c>
      <c r="GD96">
        <v>0.180193</v>
      </c>
      <c r="GE96">
        <v>0.179921</v>
      </c>
      <c r="GF96">
        <v>0.0871118</v>
      </c>
      <c r="GG96">
        <v>0.0624634</v>
      </c>
      <c r="GH96">
        <v>25872.7</v>
      </c>
      <c r="GI96">
        <v>25939.1</v>
      </c>
      <c r="GJ96">
        <v>29345.8</v>
      </c>
      <c r="GK96">
        <v>29261.3</v>
      </c>
      <c r="GL96">
        <v>35474.7</v>
      </c>
      <c r="GM96">
        <v>36540.6</v>
      </c>
      <c r="GN96">
        <v>41305.8</v>
      </c>
      <c r="GO96">
        <v>41765</v>
      </c>
      <c r="GP96">
        <v>1.95728</v>
      </c>
      <c r="GQ96">
        <v>1.8486</v>
      </c>
      <c r="GR96">
        <v>-0.0238344</v>
      </c>
      <c r="GS96">
        <v>0</v>
      </c>
      <c r="GT96">
        <v>25.4037</v>
      </c>
      <c r="GU96">
        <v>999.9</v>
      </c>
      <c r="GV96">
        <v>31.8</v>
      </c>
      <c r="GW96">
        <v>34.2</v>
      </c>
      <c r="GX96">
        <v>19.1028</v>
      </c>
      <c r="GY96">
        <v>62.3474</v>
      </c>
      <c r="GZ96">
        <v>35.2604</v>
      </c>
      <c r="HA96">
        <v>1</v>
      </c>
      <c r="HB96">
        <v>0.103908</v>
      </c>
      <c r="HC96">
        <v>2.27635</v>
      </c>
      <c r="HD96">
        <v>20.3186</v>
      </c>
      <c r="HE96">
        <v>5.21819</v>
      </c>
      <c r="HF96">
        <v>12.0099</v>
      </c>
      <c r="HG96">
        <v>4.98865</v>
      </c>
      <c r="HH96">
        <v>3.2885</v>
      </c>
      <c r="HI96">
        <v>994.9</v>
      </c>
      <c r="HJ96">
        <v>9531.700000000001</v>
      </c>
      <c r="HK96">
        <v>5139.4</v>
      </c>
      <c r="HL96">
        <v>24.8</v>
      </c>
      <c r="HM96">
        <v>1.86748</v>
      </c>
      <c r="HN96">
        <v>1.86646</v>
      </c>
      <c r="HO96">
        <v>1.866</v>
      </c>
      <c r="HP96">
        <v>1.86584</v>
      </c>
      <c r="HQ96">
        <v>1.86769</v>
      </c>
      <c r="HR96">
        <v>1.8702</v>
      </c>
      <c r="HS96">
        <v>1.86888</v>
      </c>
      <c r="HT96">
        <v>1.87025</v>
      </c>
      <c r="HU96">
        <v>0</v>
      </c>
      <c r="HV96">
        <v>0</v>
      </c>
      <c r="HW96">
        <v>0</v>
      </c>
      <c r="HX96">
        <v>0</v>
      </c>
      <c r="HY96" t="s">
        <v>421</v>
      </c>
      <c r="HZ96" t="s">
        <v>422</v>
      </c>
      <c r="IA96" t="s">
        <v>423</v>
      </c>
      <c r="IB96" t="s">
        <v>423</v>
      </c>
      <c r="IC96" t="s">
        <v>423</v>
      </c>
      <c r="ID96" t="s">
        <v>423</v>
      </c>
      <c r="IE96">
        <v>0</v>
      </c>
      <c r="IF96">
        <v>100</v>
      </c>
      <c r="IG96">
        <v>100</v>
      </c>
      <c r="IH96">
        <v>-2.17</v>
      </c>
      <c r="II96">
        <v>0.0181</v>
      </c>
      <c r="IJ96">
        <v>-0.2164499368582429</v>
      </c>
      <c r="IK96">
        <v>-0.002077099775823331</v>
      </c>
      <c r="IL96">
        <v>4.593143279902166E-07</v>
      </c>
      <c r="IM96">
        <v>-1.865383991892071E-10</v>
      </c>
      <c r="IN96">
        <v>-0.06087574426827484</v>
      </c>
      <c r="IO96">
        <v>-0.01129461987421345</v>
      </c>
      <c r="IP96">
        <v>0.00116580895745559</v>
      </c>
      <c r="IQ96">
        <v>-1.679085872906199E-05</v>
      </c>
      <c r="IR96">
        <v>2</v>
      </c>
      <c r="IS96">
        <v>2290</v>
      </c>
      <c r="IT96">
        <v>0</v>
      </c>
      <c r="IU96">
        <v>32</v>
      </c>
      <c r="IV96">
        <v>5.3</v>
      </c>
      <c r="IW96">
        <v>5</v>
      </c>
      <c r="IX96">
        <v>2.22534</v>
      </c>
      <c r="IY96">
        <v>2.19482</v>
      </c>
      <c r="IZ96">
        <v>1.39648</v>
      </c>
      <c r="JA96">
        <v>2.35596</v>
      </c>
      <c r="JB96">
        <v>1.49536</v>
      </c>
      <c r="JC96">
        <v>2.34863</v>
      </c>
      <c r="JD96">
        <v>38.4279</v>
      </c>
      <c r="JE96">
        <v>24.035</v>
      </c>
      <c r="JF96">
        <v>18</v>
      </c>
      <c r="JG96">
        <v>512.032</v>
      </c>
      <c r="JH96">
        <v>427.797</v>
      </c>
      <c r="JI96">
        <v>22.446</v>
      </c>
      <c r="JJ96">
        <v>28.6437</v>
      </c>
      <c r="JK96">
        <v>30.0002</v>
      </c>
      <c r="JL96">
        <v>28.6094</v>
      </c>
      <c r="JM96">
        <v>28.5484</v>
      </c>
      <c r="JN96">
        <v>44.5027</v>
      </c>
      <c r="JO96">
        <v>37.5028</v>
      </c>
      <c r="JP96">
        <v>0</v>
      </c>
      <c r="JQ96">
        <v>22.4439</v>
      </c>
      <c r="JR96">
        <v>1082.99</v>
      </c>
      <c r="JS96">
        <v>11.8736</v>
      </c>
      <c r="JT96">
        <v>100.31</v>
      </c>
      <c r="JU96">
        <v>100.239</v>
      </c>
    </row>
    <row r="97" spans="1:281">
      <c r="A97">
        <v>81</v>
      </c>
      <c r="B97">
        <v>1651864560.1</v>
      </c>
      <c r="C97">
        <v>339.5</v>
      </c>
      <c r="D97" t="s">
        <v>582</v>
      </c>
      <c r="E97" t="s">
        <v>583</v>
      </c>
      <c r="F97">
        <v>2</v>
      </c>
      <c r="G97" t="s">
        <v>413</v>
      </c>
      <c r="H97" t="s">
        <v>414</v>
      </c>
      <c r="I97">
        <v>1651864558.725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1117.447778303415</v>
      </c>
      <c r="AK97">
        <v>1099.771151515151</v>
      </c>
      <c r="AL97">
        <v>-3.354786054623773</v>
      </c>
      <c r="AM97">
        <v>66.38192812717227</v>
      </c>
      <c r="AN97">
        <f>(AP97 - AO97 + DI97*1E3/(8.314*(DK97+273.15)) * AR97/DH97 * AQ97) * DH97/(100*CV97) * 1000/(1000 - AP97)</f>
        <v>0</v>
      </c>
      <c r="AO97">
        <v>11.72641354190249</v>
      </c>
      <c r="AP97">
        <v>18.18210911764706</v>
      </c>
      <c r="AQ97">
        <v>3.087647260212368E-05</v>
      </c>
      <c r="AR97">
        <v>80.47224507511959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417</v>
      </c>
      <c r="AY97" t="s">
        <v>417</v>
      </c>
      <c r="AZ97">
        <v>0</v>
      </c>
      <c r="BA97">
        <v>0</v>
      </c>
      <c r="BB97">
        <f>1-AZ97/BA97</f>
        <v>0</v>
      </c>
      <c r="BC97">
        <v>0</v>
      </c>
      <c r="BD97" t="s">
        <v>417</v>
      </c>
      <c r="BE97" t="s">
        <v>417</v>
      </c>
      <c r="BF97">
        <v>0</v>
      </c>
      <c r="BG97">
        <v>0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417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1248</v>
      </c>
      <c r="CA97">
        <v>300</v>
      </c>
      <c r="CB97">
        <v>300</v>
      </c>
      <c r="CC97">
        <v>300</v>
      </c>
      <c r="CD97">
        <v>10442</v>
      </c>
      <c r="CE97">
        <v>1293.69</v>
      </c>
      <c r="CF97">
        <v>-0.00735246</v>
      </c>
      <c r="CG97">
        <v>0.5</v>
      </c>
      <c r="CH97" t="s">
        <v>417</v>
      </c>
      <c r="CI97" t="s">
        <v>417</v>
      </c>
      <c r="CJ97" t="s">
        <v>417</v>
      </c>
      <c r="CK97" t="s">
        <v>417</v>
      </c>
      <c r="CL97" t="s">
        <v>417</v>
      </c>
      <c r="CM97" t="s">
        <v>417</v>
      </c>
      <c r="CN97" t="s">
        <v>417</v>
      </c>
      <c r="CO97" t="s">
        <v>417</v>
      </c>
      <c r="CP97" t="s">
        <v>417</v>
      </c>
      <c r="CQ97" t="s">
        <v>417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418</v>
      </c>
      <c r="CY97">
        <v>2</v>
      </c>
      <c r="CZ97" t="b">
        <v>1</v>
      </c>
      <c r="DA97">
        <v>1651864558.725</v>
      </c>
      <c r="DB97">
        <v>1082.6525</v>
      </c>
      <c r="DC97">
        <v>1099.695</v>
      </c>
      <c r="DD97">
        <v>18.184025</v>
      </c>
      <c r="DE97">
        <v>11.7501</v>
      </c>
      <c r="DF97">
        <v>1084.8175</v>
      </c>
      <c r="DG97">
        <v>18.166</v>
      </c>
      <c r="DH97">
        <v>500.00925</v>
      </c>
      <c r="DI97">
        <v>89.94005</v>
      </c>
      <c r="DJ97">
        <v>0.09992690000000001</v>
      </c>
      <c r="DK97">
        <v>25.7032</v>
      </c>
      <c r="DL97">
        <v>25.013575</v>
      </c>
      <c r="DM97">
        <v>999.9</v>
      </c>
      <c r="DN97">
        <v>0</v>
      </c>
      <c r="DO97">
        <v>0</v>
      </c>
      <c r="DP97">
        <v>10009.675</v>
      </c>
      <c r="DQ97">
        <v>0</v>
      </c>
      <c r="DR97">
        <v>3.2298225</v>
      </c>
      <c r="DS97">
        <v>-17.044075</v>
      </c>
      <c r="DT97">
        <v>1102.7</v>
      </c>
      <c r="DU97">
        <v>1112.77</v>
      </c>
      <c r="DV97">
        <v>6.4339175</v>
      </c>
      <c r="DW97">
        <v>1099.695</v>
      </c>
      <c r="DX97">
        <v>11.7501</v>
      </c>
      <c r="DY97">
        <v>1.635475</v>
      </c>
      <c r="DZ97">
        <v>1.056805</v>
      </c>
      <c r="EA97">
        <v>14.29715</v>
      </c>
      <c r="EB97">
        <v>7.7239925</v>
      </c>
      <c r="EC97">
        <v>1499.91</v>
      </c>
      <c r="ED97">
        <v>0.9730045</v>
      </c>
      <c r="EE97">
        <v>0.0269958</v>
      </c>
      <c r="EF97">
        <v>0</v>
      </c>
      <c r="EG97">
        <v>940.5855</v>
      </c>
      <c r="EH97">
        <v>5.00097</v>
      </c>
      <c r="EI97">
        <v>13965.2</v>
      </c>
      <c r="EJ97">
        <v>12490.85</v>
      </c>
      <c r="EK97">
        <v>37.25</v>
      </c>
      <c r="EL97">
        <v>38.687</v>
      </c>
      <c r="EM97">
        <v>37.625</v>
      </c>
      <c r="EN97">
        <v>38.437</v>
      </c>
      <c r="EO97">
        <v>38.125</v>
      </c>
      <c r="EP97">
        <v>1454.55</v>
      </c>
      <c r="EQ97">
        <v>40.36</v>
      </c>
      <c r="ER97">
        <v>0</v>
      </c>
      <c r="ES97">
        <v>339</v>
      </c>
      <c r="ET97">
        <v>0</v>
      </c>
      <c r="EU97">
        <v>942.9463999999998</v>
      </c>
      <c r="EV97">
        <v>-25.51223080800679</v>
      </c>
      <c r="EW97">
        <v>-354.8461544802504</v>
      </c>
      <c r="EX97">
        <v>14000.536</v>
      </c>
      <c r="EY97">
        <v>15</v>
      </c>
      <c r="EZ97">
        <v>1651864261.1</v>
      </c>
      <c r="FA97" t="s">
        <v>419</v>
      </c>
      <c r="FB97">
        <v>1651864241.6</v>
      </c>
      <c r="FC97">
        <v>1651864261.1</v>
      </c>
      <c r="FD97">
        <v>7</v>
      </c>
      <c r="FE97">
        <v>0.438</v>
      </c>
      <c r="FF97">
        <v>0.002</v>
      </c>
      <c r="FG97">
        <v>-0.988</v>
      </c>
      <c r="FH97">
        <v>-0.066</v>
      </c>
      <c r="FI97">
        <v>400</v>
      </c>
      <c r="FJ97">
        <v>11</v>
      </c>
      <c r="FK97">
        <v>0.05</v>
      </c>
      <c r="FL97">
        <v>0.02</v>
      </c>
      <c r="FM97">
        <v>-17.15126341463414</v>
      </c>
      <c r="FN97">
        <v>1.065073170731711</v>
      </c>
      <c r="FO97">
        <v>0.1790262029548686</v>
      </c>
      <c r="FP97">
        <v>-1</v>
      </c>
      <c r="FQ97">
        <v>6.56134487804878</v>
      </c>
      <c r="FR97">
        <v>-0.7983301045296106</v>
      </c>
      <c r="FS97">
        <v>0.07925035305367084</v>
      </c>
      <c r="FT97">
        <v>-1</v>
      </c>
      <c r="FU97">
        <v>0</v>
      </c>
      <c r="FV97">
        <v>0</v>
      </c>
      <c r="FW97">
        <v>0</v>
      </c>
      <c r="FX97">
        <v>-1</v>
      </c>
      <c r="FY97">
        <v>0</v>
      </c>
      <c r="FZ97">
        <v>0</v>
      </c>
      <c r="GA97" t="s">
        <v>420</v>
      </c>
      <c r="GB97">
        <v>2.9805</v>
      </c>
      <c r="GC97">
        <v>2.70625</v>
      </c>
      <c r="GD97">
        <v>0.179498</v>
      </c>
      <c r="GE97">
        <v>0.179226</v>
      </c>
      <c r="GF97">
        <v>0.08709069999999999</v>
      </c>
      <c r="GG97">
        <v>0.06254949999999999</v>
      </c>
      <c r="GH97">
        <v>25894.5</v>
      </c>
      <c r="GI97">
        <v>25960.9</v>
      </c>
      <c r="GJ97">
        <v>29345.6</v>
      </c>
      <c r="GK97">
        <v>29261.1</v>
      </c>
      <c r="GL97">
        <v>35475.1</v>
      </c>
      <c r="GM97">
        <v>36537</v>
      </c>
      <c r="GN97">
        <v>41305.4</v>
      </c>
      <c r="GO97">
        <v>41764.8</v>
      </c>
      <c r="GP97">
        <v>1.95725</v>
      </c>
      <c r="GQ97">
        <v>1.84862</v>
      </c>
      <c r="GR97">
        <v>-0.0238307</v>
      </c>
      <c r="GS97">
        <v>0</v>
      </c>
      <c r="GT97">
        <v>25.4037</v>
      </c>
      <c r="GU97">
        <v>999.9</v>
      </c>
      <c r="GV97">
        <v>31.8</v>
      </c>
      <c r="GW97">
        <v>34.3</v>
      </c>
      <c r="GX97">
        <v>19.2089</v>
      </c>
      <c r="GY97">
        <v>62.6574</v>
      </c>
      <c r="GZ97">
        <v>34.9559</v>
      </c>
      <c r="HA97">
        <v>1</v>
      </c>
      <c r="HB97">
        <v>0.103956</v>
      </c>
      <c r="HC97">
        <v>2.26646</v>
      </c>
      <c r="HD97">
        <v>20.3187</v>
      </c>
      <c r="HE97">
        <v>5.21789</v>
      </c>
      <c r="HF97">
        <v>12.0099</v>
      </c>
      <c r="HG97">
        <v>4.98875</v>
      </c>
      <c r="HH97">
        <v>3.2885</v>
      </c>
      <c r="HI97">
        <v>994.9</v>
      </c>
      <c r="HJ97">
        <v>9531.700000000001</v>
      </c>
      <c r="HK97">
        <v>5139.4</v>
      </c>
      <c r="HL97">
        <v>24.8</v>
      </c>
      <c r="HM97">
        <v>1.86747</v>
      </c>
      <c r="HN97">
        <v>1.86646</v>
      </c>
      <c r="HO97">
        <v>1.866</v>
      </c>
      <c r="HP97">
        <v>1.86584</v>
      </c>
      <c r="HQ97">
        <v>1.86768</v>
      </c>
      <c r="HR97">
        <v>1.87019</v>
      </c>
      <c r="HS97">
        <v>1.8689</v>
      </c>
      <c r="HT97">
        <v>1.87025</v>
      </c>
      <c r="HU97">
        <v>0</v>
      </c>
      <c r="HV97">
        <v>0</v>
      </c>
      <c r="HW97">
        <v>0</v>
      </c>
      <c r="HX97">
        <v>0</v>
      </c>
      <c r="HY97" t="s">
        <v>421</v>
      </c>
      <c r="HZ97" t="s">
        <v>422</v>
      </c>
      <c r="IA97" t="s">
        <v>423</v>
      </c>
      <c r="IB97" t="s">
        <v>423</v>
      </c>
      <c r="IC97" t="s">
        <v>423</v>
      </c>
      <c r="ID97" t="s">
        <v>423</v>
      </c>
      <c r="IE97">
        <v>0</v>
      </c>
      <c r="IF97">
        <v>100</v>
      </c>
      <c r="IG97">
        <v>100</v>
      </c>
      <c r="IH97">
        <v>-2.16</v>
      </c>
      <c r="II97">
        <v>0.0179</v>
      </c>
      <c r="IJ97">
        <v>-0.2164499368582429</v>
      </c>
      <c r="IK97">
        <v>-0.002077099775823331</v>
      </c>
      <c r="IL97">
        <v>4.593143279902166E-07</v>
      </c>
      <c r="IM97">
        <v>-1.865383991892071E-10</v>
      </c>
      <c r="IN97">
        <v>-0.06087574426827484</v>
      </c>
      <c r="IO97">
        <v>-0.01129461987421345</v>
      </c>
      <c r="IP97">
        <v>0.00116580895745559</v>
      </c>
      <c r="IQ97">
        <v>-1.679085872906199E-05</v>
      </c>
      <c r="IR97">
        <v>2</v>
      </c>
      <c r="IS97">
        <v>2290</v>
      </c>
      <c r="IT97">
        <v>0</v>
      </c>
      <c r="IU97">
        <v>32</v>
      </c>
      <c r="IV97">
        <v>5.3</v>
      </c>
      <c r="IW97">
        <v>5</v>
      </c>
      <c r="IX97">
        <v>2.21436</v>
      </c>
      <c r="IY97">
        <v>2.19971</v>
      </c>
      <c r="IZ97">
        <v>1.39648</v>
      </c>
      <c r="JA97">
        <v>2.35718</v>
      </c>
      <c r="JB97">
        <v>1.49536</v>
      </c>
      <c r="JC97">
        <v>2.33032</v>
      </c>
      <c r="JD97">
        <v>38.4279</v>
      </c>
      <c r="JE97">
        <v>24.035</v>
      </c>
      <c r="JF97">
        <v>18</v>
      </c>
      <c r="JG97">
        <v>512.026</v>
      </c>
      <c r="JH97">
        <v>427.812</v>
      </c>
      <c r="JI97">
        <v>22.4415</v>
      </c>
      <c r="JJ97">
        <v>28.6437</v>
      </c>
      <c r="JK97">
        <v>30.0002</v>
      </c>
      <c r="JL97">
        <v>28.6106</v>
      </c>
      <c r="JM97">
        <v>28.5484</v>
      </c>
      <c r="JN97">
        <v>44.2847</v>
      </c>
      <c r="JO97">
        <v>37.1868</v>
      </c>
      <c r="JP97">
        <v>0</v>
      </c>
      <c r="JQ97">
        <v>22.4311</v>
      </c>
      <c r="JR97">
        <v>1076.31</v>
      </c>
      <c r="JS97">
        <v>11.8983</v>
      </c>
      <c r="JT97">
        <v>100.309</v>
      </c>
      <c r="JU97">
        <v>100.238</v>
      </c>
    </row>
    <row r="98" spans="1:281">
      <c r="A98">
        <v>82</v>
      </c>
      <c r="B98">
        <v>1651864562.1</v>
      </c>
      <c r="C98">
        <v>341.5</v>
      </c>
      <c r="D98" t="s">
        <v>584</v>
      </c>
      <c r="E98" t="s">
        <v>585</v>
      </c>
      <c r="F98">
        <v>2</v>
      </c>
      <c r="G98" t="s">
        <v>413</v>
      </c>
      <c r="H98" t="s">
        <v>414</v>
      </c>
      <c r="I98">
        <v>1651864561.1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1110.743946233786</v>
      </c>
      <c r="AK98">
        <v>1093.129757575757</v>
      </c>
      <c r="AL98">
        <v>-3.331935770599638</v>
      </c>
      <c r="AM98">
        <v>66.38192812717227</v>
      </c>
      <c r="AN98">
        <f>(AP98 - AO98 + DI98*1E3/(8.314*(DK98+273.15)) * AR98/DH98 * AQ98) * DH98/(100*CV98) * 1000/(1000 - AP98)</f>
        <v>0</v>
      </c>
      <c r="AO98">
        <v>11.73915981271491</v>
      </c>
      <c r="AP98">
        <v>18.17590705882353</v>
      </c>
      <c r="AQ98">
        <v>-2.129605809713192E-06</v>
      </c>
      <c r="AR98">
        <v>80.47224507511959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417</v>
      </c>
      <c r="AY98" t="s">
        <v>417</v>
      </c>
      <c r="AZ98">
        <v>0</v>
      </c>
      <c r="BA98">
        <v>0</v>
      </c>
      <c r="BB98">
        <f>1-AZ98/BA98</f>
        <v>0</v>
      </c>
      <c r="BC98">
        <v>0</v>
      </c>
      <c r="BD98" t="s">
        <v>417</v>
      </c>
      <c r="BE98" t="s">
        <v>417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417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1248</v>
      </c>
      <c r="CA98">
        <v>300</v>
      </c>
      <c r="CB98">
        <v>300</v>
      </c>
      <c r="CC98">
        <v>300</v>
      </c>
      <c r="CD98">
        <v>10442</v>
      </c>
      <c r="CE98">
        <v>1293.69</v>
      </c>
      <c r="CF98">
        <v>-0.00735246</v>
      </c>
      <c r="CG98">
        <v>0.5</v>
      </c>
      <c r="CH98" t="s">
        <v>417</v>
      </c>
      <c r="CI98" t="s">
        <v>417</v>
      </c>
      <c r="CJ98" t="s">
        <v>417</v>
      </c>
      <c r="CK98" t="s">
        <v>417</v>
      </c>
      <c r="CL98" t="s">
        <v>417</v>
      </c>
      <c r="CM98" t="s">
        <v>417</v>
      </c>
      <c r="CN98" t="s">
        <v>417</v>
      </c>
      <c r="CO98" t="s">
        <v>417</v>
      </c>
      <c r="CP98" t="s">
        <v>417</v>
      </c>
      <c r="CQ98" t="s">
        <v>417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418</v>
      </c>
      <c r="CY98">
        <v>2</v>
      </c>
      <c r="CZ98" t="b">
        <v>1</v>
      </c>
      <c r="DA98">
        <v>1651864561.1</v>
      </c>
      <c r="DB98">
        <v>1074.896666666667</v>
      </c>
      <c r="DC98">
        <v>1091.69</v>
      </c>
      <c r="DD98">
        <v>18.17816666666667</v>
      </c>
      <c r="DE98">
        <v>11.7739</v>
      </c>
      <c r="DF98">
        <v>1077.046666666667</v>
      </c>
      <c r="DG98">
        <v>18.16023333333333</v>
      </c>
      <c r="DH98">
        <v>500.0723333333333</v>
      </c>
      <c r="DI98">
        <v>89.93986666666667</v>
      </c>
      <c r="DJ98">
        <v>0.100002</v>
      </c>
      <c r="DK98">
        <v>25.70153333333333</v>
      </c>
      <c r="DL98">
        <v>25.0102</v>
      </c>
      <c r="DM98">
        <v>999.9</v>
      </c>
      <c r="DN98">
        <v>0</v>
      </c>
      <c r="DO98">
        <v>0</v>
      </c>
      <c r="DP98">
        <v>10004.98333333333</v>
      </c>
      <c r="DQ98">
        <v>0</v>
      </c>
      <c r="DR98">
        <v>3.23193</v>
      </c>
      <c r="DS98">
        <v>-16.79276666666667</v>
      </c>
      <c r="DT98">
        <v>1094.796666666666</v>
      </c>
      <c r="DU98">
        <v>1104.696666666667</v>
      </c>
      <c r="DV98">
        <v>6.404283333333335</v>
      </c>
      <c r="DW98">
        <v>1091.69</v>
      </c>
      <c r="DX98">
        <v>11.7739</v>
      </c>
      <c r="DY98">
        <v>1.634943333333333</v>
      </c>
      <c r="DZ98">
        <v>1.058943333333333</v>
      </c>
      <c r="EA98">
        <v>14.29216666666667</v>
      </c>
      <c r="EB98">
        <v>7.753623333333334</v>
      </c>
      <c r="EC98">
        <v>1500.06</v>
      </c>
      <c r="ED98">
        <v>0.973007</v>
      </c>
      <c r="EE98">
        <v>0.0269931</v>
      </c>
      <c r="EF98">
        <v>0</v>
      </c>
      <c r="EG98">
        <v>939.9506666666666</v>
      </c>
      <c r="EH98">
        <v>5.00097</v>
      </c>
      <c r="EI98">
        <v>13953.3</v>
      </c>
      <c r="EJ98">
        <v>12492.13333333333</v>
      </c>
      <c r="EK98">
        <v>37.25</v>
      </c>
      <c r="EL98">
        <v>38.687</v>
      </c>
      <c r="EM98">
        <v>37.625</v>
      </c>
      <c r="EN98">
        <v>38.437</v>
      </c>
      <c r="EO98">
        <v>38.125</v>
      </c>
      <c r="EP98">
        <v>1454.7</v>
      </c>
      <c r="EQ98">
        <v>40.36</v>
      </c>
      <c r="ER98">
        <v>0</v>
      </c>
      <c r="ES98">
        <v>340.7999999523163</v>
      </c>
      <c r="ET98">
        <v>0</v>
      </c>
      <c r="EU98">
        <v>942.3533461538462</v>
      </c>
      <c r="EV98">
        <v>-24.31764102393845</v>
      </c>
      <c r="EW98">
        <v>-351.8427351072486</v>
      </c>
      <c r="EX98">
        <v>13991.81538461539</v>
      </c>
      <c r="EY98">
        <v>15</v>
      </c>
      <c r="EZ98">
        <v>1651864261.1</v>
      </c>
      <c r="FA98" t="s">
        <v>419</v>
      </c>
      <c r="FB98">
        <v>1651864241.6</v>
      </c>
      <c r="FC98">
        <v>1651864261.1</v>
      </c>
      <c r="FD98">
        <v>7</v>
      </c>
      <c r="FE98">
        <v>0.438</v>
      </c>
      <c r="FF98">
        <v>0.002</v>
      </c>
      <c r="FG98">
        <v>-0.988</v>
      </c>
      <c r="FH98">
        <v>-0.066</v>
      </c>
      <c r="FI98">
        <v>400</v>
      </c>
      <c r="FJ98">
        <v>11</v>
      </c>
      <c r="FK98">
        <v>0.05</v>
      </c>
      <c r="FL98">
        <v>0.02</v>
      </c>
      <c r="FM98">
        <v>-17.09462</v>
      </c>
      <c r="FN98">
        <v>1.021440900562877</v>
      </c>
      <c r="FO98">
        <v>0.172620828986539</v>
      </c>
      <c r="FP98">
        <v>-1</v>
      </c>
      <c r="FQ98">
        <v>6.524910750000001</v>
      </c>
      <c r="FR98">
        <v>-0.7670036397748781</v>
      </c>
      <c r="FS98">
        <v>0.07431456483716699</v>
      </c>
      <c r="FT98">
        <v>-1</v>
      </c>
      <c r="FU98">
        <v>0</v>
      </c>
      <c r="FV98">
        <v>0</v>
      </c>
      <c r="FW98">
        <v>0</v>
      </c>
      <c r="FX98">
        <v>-1</v>
      </c>
      <c r="FY98">
        <v>0</v>
      </c>
      <c r="FZ98">
        <v>0</v>
      </c>
      <c r="GA98" t="s">
        <v>420</v>
      </c>
      <c r="GB98">
        <v>2.98058</v>
      </c>
      <c r="GC98">
        <v>2.70619</v>
      </c>
      <c r="GD98">
        <v>0.178802</v>
      </c>
      <c r="GE98">
        <v>0.17852</v>
      </c>
      <c r="GF98">
        <v>0.08707910000000001</v>
      </c>
      <c r="GG98">
        <v>0.0626271</v>
      </c>
      <c r="GH98">
        <v>25916.6</v>
      </c>
      <c r="GI98">
        <v>25983.1</v>
      </c>
      <c r="GJ98">
        <v>29345.7</v>
      </c>
      <c r="GK98">
        <v>29261</v>
      </c>
      <c r="GL98">
        <v>35475.6</v>
      </c>
      <c r="GM98">
        <v>36534</v>
      </c>
      <c r="GN98">
        <v>41305.4</v>
      </c>
      <c r="GO98">
        <v>41764.9</v>
      </c>
      <c r="GP98">
        <v>1.95725</v>
      </c>
      <c r="GQ98">
        <v>1.84865</v>
      </c>
      <c r="GR98">
        <v>-0.0239052</v>
      </c>
      <c r="GS98">
        <v>0</v>
      </c>
      <c r="GT98">
        <v>25.4037</v>
      </c>
      <c r="GU98">
        <v>999.9</v>
      </c>
      <c r="GV98">
        <v>31.8</v>
      </c>
      <c r="GW98">
        <v>34.2</v>
      </c>
      <c r="GX98">
        <v>19.1026</v>
      </c>
      <c r="GY98">
        <v>62.0974</v>
      </c>
      <c r="GZ98">
        <v>35.3325</v>
      </c>
      <c r="HA98">
        <v>1</v>
      </c>
      <c r="HB98">
        <v>0.104029</v>
      </c>
      <c r="HC98">
        <v>2.28092</v>
      </c>
      <c r="HD98">
        <v>20.3187</v>
      </c>
      <c r="HE98">
        <v>5.21789</v>
      </c>
      <c r="HF98">
        <v>12.0099</v>
      </c>
      <c r="HG98">
        <v>4.9888</v>
      </c>
      <c r="HH98">
        <v>3.2885</v>
      </c>
      <c r="HI98">
        <v>994.9</v>
      </c>
      <c r="HJ98">
        <v>9531.700000000001</v>
      </c>
      <c r="HK98">
        <v>5139.4</v>
      </c>
      <c r="HL98">
        <v>24.8</v>
      </c>
      <c r="HM98">
        <v>1.86747</v>
      </c>
      <c r="HN98">
        <v>1.86646</v>
      </c>
      <c r="HO98">
        <v>1.866</v>
      </c>
      <c r="HP98">
        <v>1.86584</v>
      </c>
      <c r="HQ98">
        <v>1.86768</v>
      </c>
      <c r="HR98">
        <v>1.8702</v>
      </c>
      <c r="HS98">
        <v>1.8689</v>
      </c>
      <c r="HT98">
        <v>1.87026</v>
      </c>
      <c r="HU98">
        <v>0</v>
      </c>
      <c r="HV98">
        <v>0</v>
      </c>
      <c r="HW98">
        <v>0</v>
      </c>
      <c r="HX98">
        <v>0</v>
      </c>
      <c r="HY98" t="s">
        <v>421</v>
      </c>
      <c r="HZ98" t="s">
        <v>422</v>
      </c>
      <c r="IA98" t="s">
        <v>423</v>
      </c>
      <c r="IB98" t="s">
        <v>423</v>
      </c>
      <c r="IC98" t="s">
        <v>423</v>
      </c>
      <c r="ID98" t="s">
        <v>423</v>
      </c>
      <c r="IE98">
        <v>0</v>
      </c>
      <c r="IF98">
        <v>100</v>
      </c>
      <c r="IG98">
        <v>100</v>
      </c>
      <c r="IH98">
        <v>-2.15</v>
      </c>
      <c r="II98">
        <v>0.0179</v>
      </c>
      <c r="IJ98">
        <v>-0.2164499368582429</v>
      </c>
      <c r="IK98">
        <v>-0.002077099775823331</v>
      </c>
      <c r="IL98">
        <v>4.593143279902166E-07</v>
      </c>
      <c r="IM98">
        <v>-1.865383991892071E-10</v>
      </c>
      <c r="IN98">
        <v>-0.06087574426827484</v>
      </c>
      <c r="IO98">
        <v>-0.01129461987421345</v>
      </c>
      <c r="IP98">
        <v>0.00116580895745559</v>
      </c>
      <c r="IQ98">
        <v>-1.679085872906199E-05</v>
      </c>
      <c r="IR98">
        <v>2</v>
      </c>
      <c r="IS98">
        <v>2290</v>
      </c>
      <c r="IT98">
        <v>0</v>
      </c>
      <c r="IU98">
        <v>32</v>
      </c>
      <c r="IV98">
        <v>5.3</v>
      </c>
      <c r="IW98">
        <v>5</v>
      </c>
      <c r="IX98">
        <v>2.20337</v>
      </c>
      <c r="IY98">
        <v>2.19727</v>
      </c>
      <c r="IZ98">
        <v>1.39648</v>
      </c>
      <c r="JA98">
        <v>2.35596</v>
      </c>
      <c r="JB98">
        <v>1.49536</v>
      </c>
      <c r="JC98">
        <v>2.31934</v>
      </c>
      <c r="JD98">
        <v>38.4279</v>
      </c>
      <c r="JE98">
        <v>24.035</v>
      </c>
      <c r="JF98">
        <v>18</v>
      </c>
      <c r="JG98">
        <v>512.026</v>
      </c>
      <c r="JH98">
        <v>427.827</v>
      </c>
      <c r="JI98">
        <v>22.4376</v>
      </c>
      <c r="JJ98">
        <v>28.6438</v>
      </c>
      <c r="JK98">
        <v>30.0002</v>
      </c>
      <c r="JL98">
        <v>28.6106</v>
      </c>
      <c r="JM98">
        <v>28.5484</v>
      </c>
      <c r="JN98">
        <v>44.0661</v>
      </c>
      <c r="JO98">
        <v>37.1868</v>
      </c>
      <c r="JP98">
        <v>0</v>
      </c>
      <c r="JQ98">
        <v>22.4311</v>
      </c>
      <c r="JR98">
        <v>1069.63</v>
      </c>
      <c r="JS98">
        <v>11.9309</v>
      </c>
      <c r="JT98">
        <v>100.31</v>
      </c>
      <c r="JU98">
        <v>100.238</v>
      </c>
    </row>
    <row r="99" spans="1:281">
      <c r="A99">
        <v>83</v>
      </c>
      <c r="B99">
        <v>1651864564.1</v>
      </c>
      <c r="C99">
        <v>343.5</v>
      </c>
      <c r="D99" t="s">
        <v>586</v>
      </c>
      <c r="E99" t="s">
        <v>587</v>
      </c>
      <c r="F99">
        <v>2</v>
      </c>
      <c r="G99" t="s">
        <v>413</v>
      </c>
      <c r="H99" t="s">
        <v>414</v>
      </c>
      <c r="I99">
        <v>1651864562.725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1103.92959584259</v>
      </c>
      <c r="AK99">
        <v>1086.356545454545</v>
      </c>
      <c r="AL99">
        <v>-3.360975444336587</v>
      </c>
      <c r="AM99">
        <v>66.38192812717227</v>
      </c>
      <c r="AN99">
        <f>(AP99 - AO99 + DI99*1E3/(8.314*(DK99+273.15)) * AR99/DH99 * AQ99) * DH99/(100*CV99) * 1000/(1000 - AP99)</f>
        <v>0</v>
      </c>
      <c r="AO99">
        <v>11.7579120203024</v>
      </c>
      <c r="AP99">
        <v>18.17224117647059</v>
      </c>
      <c r="AQ99">
        <v>-8.016358404688571E-05</v>
      </c>
      <c r="AR99">
        <v>80.47224507511959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417</v>
      </c>
      <c r="AY99" t="s">
        <v>417</v>
      </c>
      <c r="AZ99">
        <v>0</v>
      </c>
      <c r="BA99">
        <v>0</v>
      </c>
      <c r="BB99">
        <f>1-AZ99/BA99</f>
        <v>0</v>
      </c>
      <c r="BC99">
        <v>0</v>
      </c>
      <c r="BD99" t="s">
        <v>417</v>
      </c>
      <c r="BE99" t="s">
        <v>417</v>
      </c>
      <c r="BF99">
        <v>0</v>
      </c>
      <c r="BG99">
        <v>0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417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1248</v>
      </c>
      <c r="CA99">
        <v>300</v>
      </c>
      <c r="CB99">
        <v>300</v>
      </c>
      <c r="CC99">
        <v>300</v>
      </c>
      <c r="CD99">
        <v>10442</v>
      </c>
      <c r="CE99">
        <v>1293.69</v>
      </c>
      <c r="CF99">
        <v>-0.00735246</v>
      </c>
      <c r="CG99">
        <v>0.5</v>
      </c>
      <c r="CH99" t="s">
        <v>417</v>
      </c>
      <c r="CI99" t="s">
        <v>417</v>
      </c>
      <c r="CJ99" t="s">
        <v>417</v>
      </c>
      <c r="CK99" t="s">
        <v>417</v>
      </c>
      <c r="CL99" t="s">
        <v>417</v>
      </c>
      <c r="CM99" t="s">
        <v>417</v>
      </c>
      <c r="CN99" t="s">
        <v>417</v>
      </c>
      <c r="CO99" t="s">
        <v>417</v>
      </c>
      <c r="CP99" t="s">
        <v>417</v>
      </c>
      <c r="CQ99" t="s">
        <v>417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418</v>
      </c>
      <c r="CY99">
        <v>2</v>
      </c>
      <c r="CZ99" t="b">
        <v>1</v>
      </c>
      <c r="DA99">
        <v>1651864562.725</v>
      </c>
      <c r="DB99">
        <v>1069.52</v>
      </c>
      <c r="DC99">
        <v>1086.28</v>
      </c>
      <c r="DD99">
        <v>18.1743</v>
      </c>
      <c r="DE99">
        <v>11.79725</v>
      </c>
      <c r="DF99">
        <v>1071.6625</v>
      </c>
      <c r="DG99">
        <v>18.1564</v>
      </c>
      <c r="DH99">
        <v>500.046</v>
      </c>
      <c r="DI99">
        <v>89.940675</v>
      </c>
      <c r="DJ99">
        <v>0.09999319999999999</v>
      </c>
      <c r="DK99">
        <v>25.701775</v>
      </c>
      <c r="DL99">
        <v>25.012475</v>
      </c>
      <c r="DM99">
        <v>999.9</v>
      </c>
      <c r="DN99">
        <v>0</v>
      </c>
      <c r="DO99">
        <v>0</v>
      </c>
      <c r="DP99">
        <v>10001.5625</v>
      </c>
      <c r="DQ99">
        <v>0</v>
      </c>
      <c r="DR99">
        <v>3.23193</v>
      </c>
      <c r="DS99">
        <v>-16.7595</v>
      </c>
      <c r="DT99">
        <v>1089.315</v>
      </c>
      <c r="DU99">
        <v>1099.2475</v>
      </c>
      <c r="DV99">
        <v>6.3770675</v>
      </c>
      <c r="DW99">
        <v>1086.28</v>
      </c>
      <c r="DX99">
        <v>11.79725</v>
      </c>
      <c r="DY99">
        <v>1.6346075</v>
      </c>
      <c r="DZ99">
        <v>1.0610525</v>
      </c>
      <c r="EA99">
        <v>14.288975</v>
      </c>
      <c r="EB99">
        <v>7.7828</v>
      </c>
      <c r="EC99">
        <v>1499.9875</v>
      </c>
      <c r="ED99">
        <v>0.9730045</v>
      </c>
      <c r="EE99">
        <v>0.0269958</v>
      </c>
      <c r="EF99">
        <v>0</v>
      </c>
      <c r="EG99">
        <v>939.17725</v>
      </c>
      <c r="EH99">
        <v>5.00097</v>
      </c>
      <c r="EI99">
        <v>13943.7</v>
      </c>
      <c r="EJ99">
        <v>12491.5</v>
      </c>
      <c r="EK99">
        <v>37.25</v>
      </c>
      <c r="EL99">
        <v>38.7185</v>
      </c>
      <c r="EM99">
        <v>37.625</v>
      </c>
      <c r="EN99">
        <v>38.437</v>
      </c>
      <c r="EO99">
        <v>38.125</v>
      </c>
      <c r="EP99">
        <v>1454.6275</v>
      </c>
      <c r="EQ99">
        <v>40.36</v>
      </c>
      <c r="ER99">
        <v>0</v>
      </c>
      <c r="ES99">
        <v>343.2000000476837</v>
      </c>
      <c r="ET99">
        <v>0</v>
      </c>
      <c r="EU99">
        <v>941.3653846153848</v>
      </c>
      <c r="EV99">
        <v>-23.34345294945854</v>
      </c>
      <c r="EW99">
        <v>-347.7777773381993</v>
      </c>
      <c r="EX99">
        <v>13977.73461538461</v>
      </c>
      <c r="EY99">
        <v>15</v>
      </c>
      <c r="EZ99">
        <v>1651864261.1</v>
      </c>
      <c r="FA99" t="s">
        <v>419</v>
      </c>
      <c r="FB99">
        <v>1651864241.6</v>
      </c>
      <c r="FC99">
        <v>1651864261.1</v>
      </c>
      <c r="FD99">
        <v>7</v>
      </c>
      <c r="FE99">
        <v>0.438</v>
      </c>
      <c r="FF99">
        <v>0.002</v>
      </c>
      <c r="FG99">
        <v>-0.988</v>
      </c>
      <c r="FH99">
        <v>-0.066</v>
      </c>
      <c r="FI99">
        <v>400</v>
      </c>
      <c r="FJ99">
        <v>11</v>
      </c>
      <c r="FK99">
        <v>0.05</v>
      </c>
      <c r="FL99">
        <v>0.02</v>
      </c>
      <c r="FM99">
        <v>-17.07058292682927</v>
      </c>
      <c r="FN99">
        <v>1.308075261324027</v>
      </c>
      <c r="FO99">
        <v>0.1891919697445531</v>
      </c>
      <c r="FP99">
        <v>-1</v>
      </c>
      <c r="FQ99">
        <v>6.50926487804878</v>
      </c>
      <c r="FR99">
        <v>-0.7656451567944258</v>
      </c>
      <c r="FS99">
        <v>0.07600460105205926</v>
      </c>
      <c r="FT99">
        <v>-1</v>
      </c>
      <c r="FU99">
        <v>0</v>
      </c>
      <c r="FV99">
        <v>0</v>
      </c>
      <c r="FW99">
        <v>0</v>
      </c>
      <c r="FX99">
        <v>-1</v>
      </c>
      <c r="FY99">
        <v>0</v>
      </c>
      <c r="FZ99">
        <v>0</v>
      </c>
      <c r="GA99" t="s">
        <v>420</v>
      </c>
      <c r="GB99">
        <v>2.98062</v>
      </c>
      <c r="GC99">
        <v>2.70596</v>
      </c>
      <c r="GD99">
        <v>0.178099</v>
      </c>
      <c r="GE99">
        <v>0.177826</v>
      </c>
      <c r="GF99">
        <v>0.087061</v>
      </c>
      <c r="GG99">
        <v>0.0627795</v>
      </c>
      <c r="GH99">
        <v>25939</v>
      </c>
      <c r="GI99">
        <v>26005.2</v>
      </c>
      <c r="GJ99">
        <v>29345.9</v>
      </c>
      <c r="GK99">
        <v>29261.2</v>
      </c>
      <c r="GL99">
        <v>35476.7</v>
      </c>
      <c r="GM99">
        <v>36528.1</v>
      </c>
      <c r="GN99">
        <v>41305.8</v>
      </c>
      <c r="GO99">
        <v>41765</v>
      </c>
      <c r="GP99">
        <v>1.95742</v>
      </c>
      <c r="GQ99">
        <v>1.84848</v>
      </c>
      <c r="GR99">
        <v>-0.0238121</v>
      </c>
      <c r="GS99">
        <v>0</v>
      </c>
      <c r="GT99">
        <v>25.4042</v>
      </c>
      <c r="GU99">
        <v>999.9</v>
      </c>
      <c r="GV99">
        <v>31.8</v>
      </c>
      <c r="GW99">
        <v>34.2</v>
      </c>
      <c r="GX99">
        <v>19.1042</v>
      </c>
      <c r="GY99">
        <v>62.4074</v>
      </c>
      <c r="GZ99">
        <v>34.9679</v>
      </c>
      <c r="HA99">
        <v>1</v>
      </c>
      <c r="HB99">
        <v>0.104093</v>
      </c>
      <c r="HC99">
        <v>2.27962</v>
      </c>
      <c r="HD99">
        <v>20.3188</v>
      </c>
      <c r="HE99">
        <v>5.21744</v>
      </c>
      <c r="HF99">
        <v>12.0099</v>
      </c>
      <c r="HG99">
        <v>4.9886</v>
      </c>
      <c r="HH99">
        <v>3.2885</v>
      </c>
      <c r="HI99">
        <v>995.1</v>
      </c>
      <c r="HJ99">
        <v>9533</v>
      </c>
      <c r="HK99">
        <v>5139.4</v>
      </c>
      <c r="HL99">
        <v>24.8</v>
      </c>
      <c r="HM99">
        <v>1.86747</v>
      </c>
      <c r="HN99">
        <v>1.86646</v>
      </c>
      <c r="HO99">
        <v>1.866</v>
      </c>
      <c r="HP99">
        <v>1.86584</v>
      </c>
      <c r="HQ99">
        <v>1.86768</v>
      </c>
      <c r="HR99">
        <v>1.87019</v>
      </c>
      <c r="HS99">
        <v>1.8689</v>
      </c>
      <c r="HT99">
        <v>1.87026</v>
      </c>
      <c r="HU99">
        <v>0</v>
      </c>
      <c r="HV99">
        <v>0</v>
      </c>
      <c r="HW99">
        <v>0</v>
      </c>
      <c r="HX99">
        <v>0</v>
      </c>
      <c r="HY99" t="s">
        <v>421</v>
      </c>
      <c r="HZ99" t="s">
        <v>422</v>
      </c>
      <c r="IA99" t="s">
        <v>423</v>
      </c>
      <c r="IB99" t="s">
        <v>423</v>
      </c>
      <c r="IC99" t="s">
        <v>423</v>
      </c>
      <c r="ID99" t="s">
        <v>423</v>
      </c>
      <c r="IE99">
        <v>0</v>
      </c>
      <c r="IF99">
        <v>100</v>
      </c>
      <c r="IG99">
        <v>100</v>
      </c>
      <c r="IH99">
        <v>-2.13</v>
      </c>
      <c r="II99">
        <v>0.0178</v>
      </c>
      <c r="IJ99">
        <v>-0.2164499368582429</v>
      </c>
      <c r="IK99">
        <v>-0.002077099775823331</v>
      </c>
      <c r="IL99">
        <v>4.593143279902166E-07</v>
      </c>
      <c r="IM99">
        <v>-1.865383991892071E-10</v>
      </c>
      <c r="IN99">
        <v>-0.06087574426827484</v>
      </c>
      <c r="IO99">
        <v>-0.01129461987421345</v>
      </c>
      <c r="IP99">
        <v>0.00116580895745559</v>
      </c>
      <c r="IQ99">
        <v>-1.679085872906199E-05</v>
      </c>
      <c r="IR99">
        <v>2</v>
      </c>
      <c r="IS99">
        <v>2290</v>
      </c>
      <c r="IT99">
        <v>0</v>
      </c>
      <c r="IU99">
        <v>32</v>
      </c>
      <c r="IV99">
        <v>5.4</v>
      </c>
      <c r="IW99">
        <v>5</v>
      </c>
      <c r="IX99">
        <v>2.19238</v>
      </c>
      <c r="IY99">
        <v>2.19727</v>
      </c>
      <c r="IZ99">
        <v>1.39648</v>
      </c>
      <c r="JA99">
        <v>2.35596</v>
      </c>
      <c r="JB99">
        <v>1.49536</v>
      </c>
      <c r="JC99">
        <v>2.35718</v>
      </c>
      <c r="JD99">
        <v>38.4524</v>
      </c>
      <c r="JE99">
        <v>24.035</v>
      </c>
      <c r="JF99">
        <v>18</v>
      </c>
      <c r="JG99">
        <v>512.14</v>
      </c>
      <c r="JH99">
        <v>427.73</v>
      </c>
      <c r="JI99">
        <v>22.4322</v>
      </c>
      <c r="JJ99">
        <v>28.645</v>
      </c>
      <c r="JK99">
        <v>30.0002</v>
      </c>
      <c r="JL99">
        <v>28.6106</v>
      </c>
      <c r="JM99">
        <v>28.5496</v>
      </c>
      <c r="JN99">
        <v>43.8439</v>
      </c>
      <c r="JO99">
        <v>36.8984</v>
      </c>
      <c r="JP99">
        <v>0</v>
      </c>
      <c r="JQ99">
        <v>22.4189</v>
      </c>
      <c r="JR99">
        <v>1062.95</v>
      </c>
      <c r="JS99">
        <v>11.9586</v>
      </c>
      <c r="JT99">
        <v>100.311</v>
      </c>
      <c r="JU99">
        <v>100.239</v>
      </c>
    </row>
    <row r="100" spans="1:281">
      <c r="A100">
        <v>84</v>
      </c>
      <c r="B100">
        <v>1651864566.1</v>
      </c>
      <c r="C100">
        <v>345.5</v>
      </c>
      <c r="D100" t="s">
        <v>588</v>
      </c>
      <c r="E100" t="s">
        <v>589</v>
      </c>
      <c r="F100">
        <v>2</v>
      </c>
      <c r="G100" t="s">
        <v>413</v>
      </c>
      <c r="H100" t="s">
        <v>414</v>
      </c>
      <c r="I100">
        <v>1651864565.1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1097.217371478699</v>
      </c>
      <c r="AK100">
        <v>1079.621575757576</v>
      </c>
      <c r="AL100">
        <v>-3.368726498082174</v>
      </c>
      <c r="AM100">
        <v>66.38192812717227</v>
      </c>
      <c r="AN100">
        <f>(AP100 - AO100 + DI100*1E3/(8.314*(DK100+273.15)) * AR100/DH100 * AQ100) * DH100/(100*CV100) * 1000/(1000 - AP100)</f>
        <v>0</v>
      </c>
      <c r="AO100">
        <v>11.77978809686541</v>
      </c>
      <c r="AP100">
        <v>18.16626852941176</v>
      </c>
      <c r="AQ100">
        <v>-6.740661616211497E-05</v>
      </c>
      <c r="AR100">
        <v>80.47224507511959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417</v>
      </c>
      <c r="AY100" t="s">
        <v>417</v>
      </c>
      <c r="AZ100">
        <v>0</v>
      </c>
      <c r="BA100">
        <v>0</v>
      </c>
      <c r="BB100">
        <f>1-AZ100/BA100</f>
        <v>0</v>
      </c>
      <c r="BC100">
        <v>0</v>
      </c>
      <c r="BD100" t="s">
        <v>417</v>
      </c>
      <c r="BE100" t="s">
        <v>417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417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1248</v>
      </c>
      <c r="CA100">
        <v>300</v>
      </c>
      <c r="CB100">
        <v>300</v>
      </c>
      <c r="CC100">
        <v>300</v>
      </c>
      <c r="CD100">
        <v>10442</v>
      </c>
      <c r="CE100">
        <v>1293.69</v>
      </c>
      <c r="CF100">
        <v>-0.00735246</v>
      </c>
      <c r="CG100">
        <v>0.5</v>
      </c>
      <c r="CH100" t="s">
        <v>417</v>
      </c>
      <c r="CI100" t="s">
        <v>417</v>
      </c>
      <c r="CJ100" t="s">
        <v>417</v>
      </c>
      <c r="CK100" t="s">
        <v>417</v>
      </c>
      <c r="CL100" t="s">
        <v>417</v>
      </c>
      <c r="CM100" t="s">
        <v>417</v>
      </c>
      <c r="CN100" t="s">
        <v>417</v>
      </c>
      <c r="CO100" t="s">
        <v>417</v>
      </c>
      <c r="CP100" t="s">
        <v>417</v>
      </c>
      <c r="CQ100" t="s">
        <v>417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418</v>
      </c>
      <c r="CY100">
        <v>2</v>
      </c>
      <c r="CZ100" t="b">
        <v>1</v>
      </c>
      <c r="DA100">
        <v>1651864565.1</v>
      </c>
      <c r="DB100">
        <v>1061.656666666667</v>
      </c>
      <c r="DC100">
        <v>1078.44</v>
      </c>
      <c r="DD100">
        <v>18.1674</v>
      </c>
      <c r="DE100">
        <v>11.84293333333333</v>
      </c>
      <c r="DF100">
        <v>1063.786666666667</v>
      </c>
      <c r="DG100">
        <v>18.14963333333333</v>
      </c>
      <c r="DH100">
        <v>500.0720000000001</v>
      </c>
      <c r="DI100">
        <v>89.94110000000001</v>
      </c>
      <c r="DJ100">
        <v>0.1001166666666667</v>
      </c>
      <c r="DK100">
        <v>25.70163333333333</v>
      </c>
      <c r="DL100">
        <v>25.0127</v>
      </c>
      <c r="DM100">
        <v>999.9</v>
      </c>
      <c r="DN100">
        <v>0</v>
      </c>
      <c r="DO100">
        <v>0</v>
      </c>
      <c r="DP100">
        <v>9966.666666666666</v>
      </c>
      <c r="DQ100">
        <v>0</v>
      </c>
      <c r="DR100">
        <v>3.23193</v>
      </c>
      <c r="DS100">
        <v>-16.78393333333333</v>
      </c>
      <c r="DT100">
        <v>1081.3</v>
      </c>
      <c r="DU100">
        <v>1091.363333333333</v>
      </c>
      <c r="DV100">
        <v>6.324483333333333</v>
      </c>
      <c r="DW100">
        <v>1078.44</v>
      </c>
      <c r="DX100">
        <v>11.84293333333333</v>
      </c>
      <c r="DY100">
        <v>1.633996666666667</v>
      </c>
      <c r="DZ100">
        <v>1.065166666666667</v>
      </c>
      <c r="EA100">
        <v>14.2832</v>
      </c>
      <c r="EB100">
        <v>7.839606666666666</v>
      </c>
      <c r="EC100">
        <v>1500.06</v>
      </c>
      <c r="ED100">
        <v>0.973007</v>
      </c>
      <c r="EE100">
        <v>0.0269931</v>
      </c>
      <c r="EF100">
        <v>0</v>
      </c>
      <c r="EG100">
        <v>937.9033333333333</v>
      </c>
      <c r="EH100">
        <v>5.00097</v>
      </c>
      <c r="EI100">
        <v>13931.06666666667</v>
      </c>
      <c r="EJ100">
        <v>12492.13333333333</v>
      </c>
      <c r="EK100">
        <v>37.25</v>
      </c>
      <c r="EL100">
        <v>38.687</v>
      </c>
      <c r="EM100">
        <v>37.625</v>
      </c>
      <c r="EN100">
        <v>38.437</v>
      </c>
      <c r="EO100">
        <v>38.125</v>
      </c>
      <c r="EP100">
        <v>1454.7</v>
      </c>
      <c r="EQ100">
        <v>40.36</v>
      </c>
      <c r="ER100">
        <v>0</v>
      </c>
      <c r="ES100">
        <v>345</v>
      </c>
      <c r="ET100">
        <v>0</v>
      </c>
      <c r="EU100">
        <v>940.5241200000002</v>
      </c>
      <c r="EV100">
        <v>-23.61484618158333</v>
      </c>
      <c r="EW100">
        <v>-341.2076928468922</v>
      </c>
      <c r="EX100">
        <v>13965.62</v>
      </c>
      <c r="EY100">
        <v>15</v>
      </c>
      <c r="EZ100">
        <v>1651864261.1</v>
      </c>
      <c r="FA100" t="s">
        <v>419</v>
      </c>
      <c r="FB100">
        <v>1651864241.6</v>
      </c>
      <c r="FC100">
        <v>1651864261.1</v>
      </c>
      <c r="FD100">
        <v>7</v>
      </c>
      <c r="FE100">
        <v>0.438</v>
      </c>
      <c r="FF100">
        <v>0.002</v>
      </c>
      <c r="FG100">
        <v>-0.988</v>
      </c>
      <c r="FH100">
        <v>-0.066</v>
      </c>
      <c r="FI100">
        <v>400</v>
      </c>
      <c r="FJ100">
        <v>11</v>
      </c>
      <c r="FK100">
        <v>0.05</v>
      </c>
      <c r="FL100">
        <v>0.02</v>
      </c>
      <c r="FM100">
        <v>-16.995425</v>
      </c>
      <c r="FN100">
        <v>1.291636772983131</v>
      </c>
      <c r="FO100">
        <v>0.1806957771366007</v>
      </c>
      <c r="FP100">
        <v>-1</v>
      </c>
      <c r="FQ100">
        <v>6.47333825</v>
      </c>
      <c r="FR100">
        <v>-0.821920187617282</v>
      </c>
      <c r="FS100">
        <v>0.07953985887237604</v>
      </c>
      <c r="FT100">
        <v>-1</v>
      </c>
      <c r="FU100">
        <v>0</v>
      </c>
      <c r="FV100">
        <v>0</v>
      </c>
      <c r="FW100">
        <v>0</v>
      </c>
      <c r="FX100">
        <v>-1</v>
      </c>
      <c r="FY100">
        <v>0</v>
      </c>
      <c r="FZ100">
        <v>0</v>
      </c>
      <c r="GA100" t="s">
        <v>420</v>
      </c>
      <c r="GB100">
        <v>2.98065</v>
      </c>
      <c r="GC100">
        <v>2.70595</v>
      </c>
      <c r="GD100">
        <v>0.177396</v>
      </c>
      <c r="GE100">
        <v>0.177127</v>
      </c>
      <c r="GF100">
        <v>0.0870462</v>
      </c>
      <c r="GG100">
        <v>0.06291239999999999</v>
      </c>
      <c r="GH100">
        <v>25961.4</v>
      </c>
      <c r="GI100">
        <v>26027.3</v>
      </c>
      <c r="GJ100">
        <v>29346.2</v>
      </c>
      <c r="GK100">
        <v>29261.2</v>
      </c>
      <c r="GL100">
        <v>35477.5</v>
      </c>
      <c r="GM100">
        <v>36522.8</v>
      </c>
      <c r="GN100">
        <v>41306.2</v>
      </c>
      <c r="GO100">
        <v>41764.9</v>
      </c>
      <c r="GP100">
        <v>1.95737</v>
      </c>
      <c r="GQ100">
        <v>1.84855</v>
      </c>
      <c r="GR100">
        <v>-0.0240169</v>
      </c>
      <c r="GS100">
        <v>0</v>
      </c>
      <c r="GT100">
        <v>25.4053</v>
      </c>
      <c r="GU100">
        <v>999.9</v>
      </c>
      <c r="GV100">
        <v>31.8</v>
      </c>
      <c r="GW100">
        <v>34.2</v>
      </c>
      <c r="GX100">
        <v>19.1029</v>
      </c>
      <c r="GY100">
        <v>62.4774</v>
      </c>
      <c r="GZ100">
        <v>35.0761</v>
      </c>
      <c r="HA100">
        <v>1</v>
      </c>
      <c r="HB100">
        <v>0.104116</v>
      </c>
      <c r="HC100">
        <v>2.29126</v>
      </c>
      <c r="HD100">
        <v>20.3186</v>
      </c>
      <c r="HE100">
        <v>5.21774</v>
      </c>
      <c r="HF100">
        <v>12.0099</v>
      </c>
      <c r="HG100">
        <v>4.98875</v>
      </c>
      <c r="HH100">
        <v>3.2885</v>
      </c>
      <c r="HI100">
        <v>995.1</v>
      </c>
      <c r="HJ100">
        <v>9533</v>
      </c>
      <c r="HK100">
        <v>5139.4</v>
      </c>
      <c r="HL100">
        <v>24.8</v>
      </c>
      <c r="HM100">
        <v>1.86747</v>
      </c>
      <c r="HN100">
        <v>1.86646</v>
      </c>
      <c r="HO100">
        <v>1.866</v>
      </c>
      <c r="HP100">
        <v>1.86585</v>
      </c>
      <c r="HQ100">
        <v>1.86768</v>
      </c>
      <c r="HR100">
        <v>1.87018</v>
      </c>
      <c r="HS100">
        <v>1.8689</v>
      </c>
      <c r="HT100">
        <v>1.87027</v>
      </c>
      <c r="HU100">
        <v>0</v>
      </c>
      <c r="HV100">
        <v>0</v>
      </c>
      <c r="HW100">
        <v>0</v>
      </c>
      <c r="HX100">
        <v>0</v>
      </c>
      <c r="HY100" t="s">
        <v>421</v>
      </c>
      <c r="HZ100" t="s">
        <v>422</v>
      </c>
      <c r="IA100" t="s">
        <v>423</v>
      </c>
      <c r="IB100" t="s">
        <v>423</v>
      </c>
      <c r="IC100" t="s">
        <v>423</v>
      </c>
      <c r="ID100" t="s">
        <v>423</v>
      </c>
      <c r="IE100">
        <v>0</v>
      </c>
      <c r="IF100">
        <v>100</v>
      </c>
      <c r="IG100">
        <v>100</v>
      </c>
      <c r="IH100">
        <v>-2.13</v>
      </c>
      <c r="II100">
        <v>0.0177</v>
      </c>
      <c r="IJ100">
        <v>-0.2164499368582429</v>
      </c>
      <c r="IK100">
        <v>-0.002077099775823331</v>
      </c>
      <c r="IL100">
        <v>4.593143279902166E-07</v>
      </c>
      <c r="IM100">
        <v>-1.865383991892071E-10</v>
      </c>
      <c r="IN100">
        <v>-0.06087574426827484</v>
      </c>
      <c r="IO100">
        <v>-0.01129461987421345</v>
      </c>
      <c r="IP100">
        <v>0.00116580895745559</v>
      </c>
      <c r="IQ100">
        <v>-1.679085872906199E-05</v>
      </c>
      <c r="IR100">
        <v>2</v>
      </c>
      <c r="IS100">
        <v>2290</v>
      </c>
      <c r="IT100">
        <v>0</v>
      </c>
      <c r="IU100">
        <v>32</v>
      </c>
      <c r="IV100">
        <v>5.4</v>
      </c>
      <c r="IW100">
        <v>5.1</v>
      </c>
      <c r="IX100">
        <v>2.1814</v>
      </c>
      <c r="IY100">
        <v>2.20337</v>
      </c>
      <c r="IZ100">
        <v>1.39648</v>
      </c>
      <c r="JA100">
        <v>2.35596</v>
      </c>
      <c r="JB100">
        <v>1.49536</v>
      </c>
      <c r="JC100">
        <v>2.29004</v>
      </c>
      <c r="JD100">
        <v>38.4524</v>
      </c>
      <c r="JE100">
        <v>24.0262</v>
      </c>
      <c r="JF100">
        <v>18</v>
      </c>
      <c r="JG100">
        <v>512.1079999999999</v>
      </c>
      <c r="JH100">
        <v>427.783</v>
      </c>
      <c r="JI100">
        <v>22.4279</v>
      </c>
      <c r="JJ100">
        <v>28.6462</v>
      </c>
      <c r="JK100">
        <v>30.0003</v>
      </c>
      <c r="JL100">
        <v>28.6106</v>
      </c>
      <c r="JM100">
        <v>28.5508</v>
      </c>
      <c r="JN100">
        <v>43.6302</v>
      </c>
      <c r="JO100">
        <v>36.8984</v>
      </c>
      <c r="JP100">
        <v>0</v>
      </c>
      <c r="JQ100">
        <v>22.4189</v>
      </c>
      <c r="JR100">
        <v>1056.27</v>
      </c>
      <c r="JS100">
        <v>11.9818</v>
      </c>
      <c r="JT100">
        <v>100.311</v>
      </c>
      <c r="JU100">
        <v>100.239</v>
      </c>
    </row>
    <row r="101" spans="1:281">
      <c r="A101">
        <v>85</v>
      </c>
      <c r="B101">
        <v>1651864568.1</v>
      </c>
      <c r="C101">
        <v>347.5</v>
      </c>
      <c r="D101" t="s">
        <v>590</v>
      </c>
      <c r="E101" t="s">
        <v>591</v>
      </c>
      <c r="F101">
        <v>2</v>
      </c>
      <c r="G101" t="s">
        <v>413</v>
      </c>
      <c r="H101" t="s">
        <v>414</v>
      </c>
      <c r="I101">
        <v>1651864566.725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1090.568021347629</v>
      </c>
      <c r="AK101">
        <v>1072.953393939394</v>
      </c>
      <c r="AL101">
        <v>-3.346844786543165</v>
      </c>
      <c r="AM101">
        <v>66.38192812717227</v>
      </c>
      <c r="AN101">
        <f>(AP101 - AO101 + DI101*1E3/(8.314*(DK101+273.15)) * AR101/DH101 * AQ101) * DH101/(100*CV101) * 1000/(1000 - AP101)</f>
        <v>0</v>
      </c>
      <c r="AO101">
        <v>11.81434450361424</v>
      </c>
      <c r="AP101">
        <v>18.16494029411765</v>
      </c>
      <c r="AQ101">
        <v>-9.060735759345675E-05</v>
      </c>
      <c r="AR101">
        <v>80.47224507511959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417</v>
      </c>
      <c r="AY101" t="s">
        <v>417</v>
      </c>
      <c r="AZ101">
        <v>0</v>
      </c>
      <c r="BA101">
        <v>0</v>
      </c>
      <c r="BB101">
        <f>1-AZ101/BA101</f>
        <v>0</v>
      </c>
      <c r="BC101">
        <v>0</v>
      </c>
      <c r="BD101" t="s">
        <v>417</v>
      </c>
      <c r="BE101" t="s">
        <v>417</v>
      </c>
      <c r="BF101">
        <v>0</v>
      </c>
      <c r="BG101">
        <v>0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417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1248</v>
      </c>
      <c r="CA101">
        <v>300</v>
      </c>
      <c r="CB101">
        <v>300</v>
      </c>
      <c r="CC101">
        <v>300</v>
      </c>
      <c r="CD101">
        <v>10442</v>
      </c>
      <c r="CE101">
        <v>1293.69</v>
      </c>
      <c r="CF101">
        <v>-0.00735246</v>
      </c>
      <c r="CG101">
        <v>0.5</v>
      </c>
      <c r="CH101" t="s">
        <v>417</v>
      </c>
      <c r="CI101" t="s">
        <v>417</v>
      </c>
      <c r="CJ101" t="s">
        <v>417</v>
      </c>
      <c r="CK101" t="s">
        <v>417</v>
      </c>
      <c r="CL101" t="s">
        <v>417</v>
      </c>
      <c r="CM101" t="s">
        <v>417</v>
      </c>
      <c r="CN101" t="s">
        <v>417</v>
      </c>
      <c r="CO101" t="s">
        <v>417</v>
      </c>
      <c r="CP101" t="s">
        <v>417</v>
      </c>
      <c r="CQ101" t="s">
        <v>417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418</v>
      </c>
      <c r="CY101">
        <v>2</v>
      </c>
      <c r="CZ101" t="b">
        <v>1</v>
      </c>
      <c r="DA101">
        <v>1651864566.725</v>
      </c>
      <c r="DB101">
        <v>1056.325</v>
      </c>
      <c r="DC101">
        <v>1072.895</v>
      </c>
      <c r="DD101">
        <v>18.16595</v>
      </c>
      <c r="DE101">
        <v>11.863175</v>
      </c>
      <c r="DF101">
        <v>1058.445</v>
      </c>
      <c r="DG101">
        <v>18.1482</v>
      </c>
      <c r="DH101">
        <v>500.07225</v>
      </c>
      <c r="DI101">
        <v>89.94092499999999</v>
      </c>
      <c r="DJ101">
        <v>0.100110325</v>
      </c>
      <c r="DK101">
        <v>25.702475</v>
      </c>
      <c r="DL101">
        <v>25.012825</v>
      </c>
      <c r="DM101">
        <v>999.9</v>
      </c>
      <c r="DN101">
        <v>0</v>
      </c>
      <c r="DO101">
        <v>0</v>
      </c>
      <c r="DP101">
        <v>9960.625</v>
      </c>
      <c r="DQ101">
        <v>0</v>
      </c>
      <c r="DR101">
        <v>3.23193</v>
      </c>
      <c r="DS101">
        <v>-16.5701</v>
      </c>
      <c r="DT101">
        <v>1075.87</v>
      </c>
      <c r="DU101">
        <v>1085.7775</v>
      </c>
      <c r="DV101">
        <v>6.3027775</v>
      </c>
      <c r="DW101">
        <v>1072.895</v>
      </c>
      <c r="DX101">
        <v>11.863175</v>
      </c>
      <c r="DY101">
        <v>1.6338625</v>
      </c>
      <c r="DZ101">
        <v>1.0669825</v>
      </c>
      <c r="EA101">
        <v>14.28195</v>
      </c>
      <c r="EB101">
        <v>7.8646575</v>
      </c>
      <c r="EC101">
        <v>1499.98</v>
      </c>
      <c r="ED101">
        <v>0.97300575</v>
      </c>
      <c r="EE101">
        <v>0.02699445</v>
      </c>
      <c r="EF101">
        <v>0</v>
      </c>
      <c r="EG101">
        <v>937.388</v>
      </c>
      <c r="EH101">
        <v>5.00097</v>
      </c>
      <c r="EI101">
        <v>13921.225</v>
      </c>
      <c r="EJ101">
        <v>12491.475</v>
      </c>
      <c r="EK101">
        <v>37.25</v>
      </c>
      <c r="EL101">
        <v>38.70274999999999</v>
      </c>
      <c r="EM101">
        <v>37.625</v>
      </c>
      <c r="EN101">
        <v>38.437</v>
      </c>
      <c r="EO101">
        <v>38.125</v>
      </c>
      <c r="EP101">
        <v>1454.62</v>
      </c>
      <c r="EQ101">
        <v>40.36</v>
      </c>
      <c r="ER101">
        <v>0</v>
      </c>
      <c r="ES101">
        <v>346.7999999523163</v>
      </c>
      <c r="ET101">
        <v>0</v>
      </c>
      <c r="EU101">
        <v>939.9510384615385</v>
      </c>
      <c r="EV101">
        <v>-24.11935041586414</v>
      </c>
      <c r="EW101">
        <v>-342.0102564811726</v>
      </c>
      <c r="EX101">
        <v>13957.07692307692</v>
      </c>
      <c r="EY101">
        <v>15</v>
      </c>
      <c r="EZ101">
        <v>1651864261.1</v>
      </c>
      <c r="FA101" t="s">
        <v>419</v>
      </c>
      <c r="FB101">
        <v>1651864241.6</v>
      </c>
      <c r="FC101">
        <v>1651864261.1</v>
      </c>
      <c r="FD101">
        <v>7</v>
      </c>
      <c r="FE101">
        <v>0.438</v>
      </c>
      <c r="FF101">
        <v>0.002</v>
      </c>
      <c r="FG101">
        <v>-0.988</v>
      </c>
      <c r="FH101">
        <v>-0.066</v>
      </c>
      <c r="FI101">
        <v>400</v>
      </c>
      <c r="FJ101">
        <v>11</v>
      </c>
      <c r="FK101">
        <v>0.05</v>
      </c>
      <c r="FL101">
        <v>0.02</v>
      </c>
      <c r="FM101">
        <v>-16.91031707317073</v>
      </c>
      <c r="FN101">
        <v>1.315910801393722</v>
      </c>
      <c r="FO101">
        <v>0.1846700167172804</v>
      </c>
      <c r="FP101">
        <v>-1</v>
      </c>
      <c r="FQ101">
        <v>6.440700731707316</v>
      </c>
      <c r="FR101">
        <v>-0.8506549128919862</v>
      </c>
      <c r="FS101">
        <v>0.08441066391393583</v>
      </c>
      <c r="FT101">
        <v>-1</v>
      </c>
      <c r="FU101">
        <v>0</v>
      </c>
      <c r="FV101">
        <v>0</v>
      </c>
      <c r="FW101">
        <v>0</v>
      </c>
      <c r="FX101">
        <v>-1</v>
      </c>
      <c r="FY101">
        <v>0</v>
      </c>
      <c r="FZ101">
        <v>0</v>
      </c>
      <c r="GA101" t="s">
        <v>420</v>
      </c>
      <c r="GB101">
        <v>2.98048</v>
      </c>
      <c r="GC101">
        <v>2.70596</v>
      </c>
      <c r="GD101">
        <v>0.176694</v>
      </c>
      <c r="GE101">
        <v>0.176411</v>
      </c>
      <c r="GF101">
        <v>0.0870461</v>
      </c>
      <c r="GG101">
        <v>0.0629981</v>
      </c>
      <c r="GH101">
        <v>25983.4</v>
      </c>
      <c r="GI101">
        <v>26049.9</v>
      </c>
      <c r="GJ101">
        <v>29346.1</v>
      </c>
      <c r="GK101">
        <v>29261</v>
      </c>
      <c r="GL101">
        <v>35477.3</v>
      </c>
      <c r="GM101">
        <v>36519.3</v>
      </c>
      <c r="GN101">
        <v>41305.9</v>
      </c>
      <c r="GO101">
        <v>41764.8</v>
      </c>
      <c r="GP101">
        <v>1.9571</v>
      </c>
      <c r="GQ101">
        <v>1.8487</v>
      </c>
      <c r="GR101">
        <v>-0.0239275</v>
      </c>
      <c r="GS101">
        <v>0</v>
      </c>
      <c r="GT101">
        <v>25.4059</v>
      </c>
      <c r="GU101">
        <v>999.9</v>
      </c>
      <c r="GV101">
        <v>31.8</v>
      </c>
      <c r="GW101">
        <v>34.2</v>
      </c>
      <c r="GX101">
        <v>19.1026</v>
      </c>
      <c r="GY101">
        <v>62.3374</v>
      </c>
      <c r="GZ101">
        <v>35.2244</v>
      </c>
      <c r="HA101">
        <v>1</v>
      </c>
      <c r="HB101">
        <v>0.104243</v>
      </c>
      <c r="HC101">
        <v>2.30322</v>
      </c>
      <c r="HD101">
        <v>20.3185</v>
      </c>
      <c r="HE101">
        <v>5.21819</v>
      </c>
      <c r="HF101">
        <v>12.0099</v>
      </c>
      <c r="HG101">
        <v>4.9888</v>
      </c>
      <c r="HH101">
        <v>3.28848</v>
      </c>
      <c r="HI101">
        <v>995.1</v>
      </c>
      <c r="HJ101">
        <v>9533</v>
      </c>
      <c r="HK101">
        <v>5139.4</v>
      </c>
      <c r="HL101">
        <v>24.8</v>
      </c>
      <c r="HM101">
        <v>1.86749</v>
      </c>
      <c r="HN101">
        <v>1.86646</v>
      </c>
      <c r="HO101">
        <v>1.86599</v>
      </c>
      <c r="HP101">
        <v>1.86585</v>
      </c>
      <c r="HQ101">
        <v>1.86768</v>
      </c>
      <c r="HR101">
        <v>1.8702</v>
      </c>
      <c r="HS101">
        <v>1.86888</v>
      </c>
      <c r="HT101">
        <v>1.87026</v>
      </c>
      <c r="HU101">
        <v>0</v>
      </c>
      <c r="HV101">
        <v>0</v>
      </c>
      <c r="HW101">
        <v>0</v>
      </c>
      <c r="HX101">
        <v>0</v>
      </c>
      <c r="HY101" t="s">
        <v>421</v>
      </c>
      <c r="HZ101" t="s">
        <v>422</v>
      </c>
      <c r="IA101" t="s">
        <v>423</v>
      </c>
      <c r="IB101" t="s">
        <v>423</v>
      </c>
      <c r="IC101" t="s">
        <v>423</v>
      </c>
      <c r="ID101" t="s">
        <v>423</v>
      </c>
      <c r="IE101">
        <v>0</v>
      </c>
      <c r="IF101">
        <v>100</v>
      </c>
      <c r="IG101">
        <v>100</v>
      </c>
      <c r="IH101">
        <v>-2.11</v>
      </c>
      <c r="II101">
        <v>0.0177</v>
      </c>
      <c r="IJ101">
        <v>-0.2164499368582429</v>
      </c>
      <c r="IK101">
        <v>-0.002077099775823331</v>
      </c>
      <c r="IL101">
        <v>4.593143279902166E-07</v>
      </c>
      <c r="IM101">
        <v>-1.865383991892071E-10</v>
      </c>
      <c r="IN101">
        <v>-0.06087574426827484</v>
      </c>
      <c r="IO101">
        <v>-0.01129461987421345</v>
      </c>
      <c r="IP101">
        <v>0.00116580895745559</v>
      </c>
      <c r="IQ101">
        <v>-1.679085872906199E-05</v>
      </c>
      <c r="IR101">
        <v>2</v>
      </c>
      <c r="IS101">
        <v>2290</v>
      </c>
      <c r="IT101">
        <v>0</v>
      </c>
      <c r="IU101">
        <v>32</v>
      </c>
      <c r="IV101">
        <v>5.4</v>
      </c>
      <c r="IW101">
        <v>5.1</v>
      </c>
      <c r="IX101">
        <v>2.17041</v>
      </c>
      <c r="IY101">
        <v>2.19849</v>
      </c>
      <c r="IZ101">
        <v>1.39648</v>
      </c>
      <c r="JA101">
        <v>2.35718</v>
      </c>
      <c r="JB101">
        <v>1.49536</v>
      </c>
      <c r="JC101">
        <v>2.35352</v>
      </c>
      <c r="JD101">
        <v>38.4279</v>
      </c>
      <c r="JE101">
        <v>24.035</v>
      </c>
      <c r="JF101">
        <v>18</v>
      </c>
      <c r="JG101">
        <v>511.933</v>
      </c>
      <c r="JH101">
        <v>427.874</v>
      </c>
      <c r="JI101">
        <v>22.4229</v>
      </c>
      <c r="JJ101">
        <v>28.6462</v>
      </c>
      <c r="JK101">
        <v>30.0003</v>
      </c>
      <c r="JL101">
        <v>28.6112</v>
      </c>
      <c r="JM101">
        <v>28.5509</v>
      </c>
      <c r="JN101">
        <v>43.4101</v>
      </c>
      <c r="JO101">
        <v>36.8984</v>
      </c>
      <c r="JP101">
        <v>0</v>
      </c>
      <c r="JQ101">
        <v>22.4189</v>
      </c>
      <c r="JR101">
        <v>1049.6</v>
      </c>
      <c r="JS101">
        <v>12.0057</v>
      </c>
      <c r="JT101">
        <v>100.311</v>
      </c>
      <c r="JU101">
        <v>100.238</v>
      </c>
    </row>
    <row r="102" spans="1:281">
      <c r="A102">
        <v>86</v>
      </c>
      <c r="B102">
        <v>1651864570.1</v>
      </c>
      <c r="C102">
        <v>349.5</v>
      </c>
      <c r="D102" t="s">
        <v>592</v>
      </c>
      <c r="E102" t="s">
        <v>593</v>
      </c>
      <c r="F102">
        <v>2</v>
      </c>
      <c r="G102" t="s">
        <v>413</v>
      </c>
      <c r="H102" t="s">
        <v>414</v>
      </c>
      <c r="I102">
        <v>1651864569.1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1083.674268006422</v>
      </c>
      <c r="AK102">
        <v>1066.202424242424</v>
      </c>
      <c r="AL102">
        <v>-3.363278174777031</v>
      </c>
      <c r="AM102">
        <v>66.38192812717227</v>
      </c>
      <c r="AN102">
        <f>(AP102 - AO102 + DI102*1E3/(8.314*(DK102+273.15)) * AR102/DH102 * AQ102) * DH102/(100*CV102) * 1000/(1000 - AP102)</f>
        <v>0</v>
      </c>
      <c r="AO102">
        <v>11.84901284622204</v>
      </c>
      <c r="AP102">
        <v>18.16626647058822</v>
      </c>
      <c r="AQ102">
        <v>-8.484312556566602E-05</v>
      </c>
      <c r="AR102">
        <v>80.47224507511959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417</v>
      </c>
      <c r="AY102" t="s">
        <v>417</v>
      </c>
      <c r="AZ102">
        <v>0</v>
      </c>
      <c r="BA102">
        <v>0</v>
      </c>
      <c r="BB102">
        <f>1-AZ102/BA102</f>
        <v>0</v>
      </c>
      <c r="BC102">
        <v>0</v>
      </c>
      <c r="BD102" t="s">
        <v>417</v>
      </c>
      <c r="BE102" t="s">
        <v>417</v>
      </c>
      <c r="BF102">
        <v>0</v>
      </c>
      <c r="BG102">
        <v>0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417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1248</v>
      </c>
      <c r="CA102">
        <v>300</v>
      </c>
      <c r="CB102">
        <v>300</v>
      </c>
      <c r="CC102">
        <v>300</v>
      </c>
      <c r="CD102">
        <v>10442</v>
      </c>
      <c r="CE102">
        <v>1293.69</v>
      </c>
      <c r="CF102">
        <v>-0.00735246</v>
      </c>
      <c r="CG102">
        <v>0.5</v>
      </c>
      <c r="CH102" t="s">
        <v>417</v>
      </c>
      <c r="CI102" t="s">
        <v>417</v>
      </c>
      <c r="CJ102" t="s">
        <v>417</v>
      </c>
      <c r="CK102" t="s">
        <v>417</v>
      </c>
      <c r="CL102" t="s">
        <v>417</v>
      </c>
      <c r="CM102" t="s">
        <v>417</v>
      </c>
      <c r="CN102" t="s">
        <v>417</v>
      </c>
      <c r="CO102" t="s">
        <v>417</v>
      </c>
      <c r="CP102" t="s">
        <v>417</v>
      </c>
      <c r="CQ102" t="s">
        <v>417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418</v>
      </c>
      <c r="CY102">
        <v>2</v>
      </c>
      <c r="CZ102" t="b">
        <v>1</v>
      </c>
      <c r="DA102">
        <v>1651864569.1</v>
      </c>
      <c r="DB102">
        <v>1048.496666666667</v>
      </c>
      <c r="DC102">
        <v>1064.983333333333</v>
      </c>
      <c r="DD102">
        <v>18.16576666666667</v>
      </c>
      <c r="DE102">
        <v>11.88946666666667</v>
      </c>
      <c r="DF102">
        <v>1050.603333333333</v>
      </c>
      <c r="DG102">
        <v>18.148</v>
      </c>
      <c r="DH102">
        <v>500.0236666666667</v>
      </c>
      <c r="DI102">
        <v>89.94110000000001</v>
      </c>
      <c r="DJ102">
        <v>0.09988606666666666</v>
      </c>
      <c r="DK102">
        <v>25.70513333333333</v>
      </c>
      <c r="DL102">
        <v>25.01646666666666</v>
      </c>
      <c r="DM102">
        <v>999.9</v>
      </c>
      <c r="DN102">
        <v>0</v>
      </c>
      <c r="DO102">
        <v>0</v>
      </c>
      <c r="DP102">
        <v>9991.25</v>
      </c>
      <c r="DQ102">
        <v>0</v>
      </c>
      <c r="DR102">
        <v>3.23193</v>
      </c>
      <c r="DS102">
        <v>-16.48766666666667</v>
      </c>
      <c r="DT102">
        <v>1067.893333333333</v>
      </c>
      <c r="DU102">
        <v>1077.796666666667</v>
      </c>
      <c r="DV102">
        <v>6.276296666666667</v>
      </c>
      <c r="DW102">
        <v>1064.983333333333</v>
      </c>
      <c r="DX102">
        <v>11.88946666666667</v>
      </c>
      <c r="DY102">
        <v>1.63385</v>
      </c>
      <c r="DZ102">
        <v>1.06935</v>
      </c>
      <c r="EA102">
        <v>14.28183333333333</v>
      </c>
      <c r="EB102">
        <v>7.897193333333334</v>
      </c>
      <c r="EC102">
        <v>1500.05</v>
      </c>
      <c r="ED102">
        <v>0.973007</v>
      </c>
      <c r="EE102">
        <v>0.0269931</v>
      </c>
      <c r="EF102">
        <v>0</v>
      </c>
      <c r="EG102">
        <v>936.8233333333333</v>
      </c>
      <c r="EH102">
        <v>5.00097</v>
      </c>
      <c r="EI102">
        <v>13908.93333333333</v>
      </c>
      <c r="EJ102">
        <v>12492.03333333333</v>
      </c>
      <c r="EK102">
        <v>37.25</v>
      </c>
      <c r="EL102">
        <v>38.75</v>
      </c>
      <c r="EM102">
        <v>37.625</v>
      </c>
      <c r="EN102">
        <v>38.437</v>
      </c>
      <c r="EO102">
        <v>38.125</v>
      </c>
      <c r="EP102">
        <v>1454.69</v>
      </c>
      <c r="EQ102">
        <v>40.36</v>
      </c>
      <c r="ER102">
        <v>0</v>
      </c>
      <c r="ES102">
        <v>349.2000000476837</v>
      </c>
      <c r="ET102">
        <v>0</v>
      </c>
      <c r="EU102">
        <v>939.038076923077</v>
      </c>
      <c r="EV102">
        <v>-23.28129910555294</v>
      </c>
      <c r="EW102">
        <v>-333.4427346518594</v>
      </c>
      <c r="EX102">
        <v>13943.51538461538</v>
      </c>
      <c r="EY102">
        <v>15</v>
      </c>
      <c r="EZ102">
        <v>1651864261.1</v>
      </c>
      <c r="FA102" t="s">
        <v>419</v>
      </c>
      <c r="FB102">
        <v>1651864241.6</v>
      </c>
      <c r="FC102">
        <v>1651864261.1</v>
      </c>
      <c r="FD102">
        <v>7</v>
      </c>
      <c r="FE102">
        <v>0.438</v>
      </c>
      <c r="FF102">
        <v>0.002</v>
      </c>
      <c r="FG102">
        <v>-0.988</v>
      </c>
      <c r="FH102">
        <v>-0.066</v>
      </c>
      <c r="FI102">
        <v>400</v>
      </c>
      <c r="FJ102">
        <v>11</v>
      </c>
      <c r="FK102">
        <v>0.05</v>
      </c>
      <c r="FL102">
        <v>0.02</v>
      </c>
      <c r="FM102">
        <v>-16.8578775</v>
      </c>
      <c r="FN102">
        <v>1.681392495309636</v>
      </c>
      <c r="FO102">
        <v>0.214123247789095</v>
      </c>
      <c r="FP102">
        <v>-1</v>
      </c>
      <c r="FQ102">
        <v>6.41555525</v>
      </c>
      <c r="FR102">
        <v>-0.8508262288930699</v>
      </c>
      <c r="FS102">
        <v>0.08240721285140939</v>
      </c>
      <c r="FT102">
        <v>-1</v>
      </c>
      <c r="FU102">
        <v>0</v>
      </c>
      <c r="FV102">
        <v>0</v>
      </c>
      <c r="FW102">
        <v>0</v>
      </c>
      <c r="FX102">
        <v>-1</v>
      </c>
      <c r="FY102">
        <v>0</v>
      </c>
      <c r="FZ102">
        <v>0</v>
      </c>
      <c r="GA102" t="s">
        <v>420</v>
      </c>
      <c r="GB102">
        <v>2.98053</v>
      </c>
      <c r="GC102">
        <v>2.70606</v>
      </c>
      <c r="GD102">
        <v>0.175982</v>
      </c>
      <c r="GE102">
        <v>0.175736</v>
      </c>
      <c r="GF102">
        <v>0.08703959999999999</v>
      </c>
      <c r="GG102">
        <v>0.0630877</v>
      </c>
      <c r="GH102">
        <v>26005.4</v>
      </c>
      <c r="GI102">
        <v>26071.2</v>
      </c>
      <c r="GJ102">
        <v>29345.4</v>
      </c>
      <c r="GK102">
        <v>29260.9</v>
      </c>
      <c r="GL102">
        <v>35476.9</v>
      </c>
      <c r="GM102">
        <v>36515.8</v>
      </c>
      <c r="GN102">
        <v>41305.1</v>
      </c>
      <c r="GO102">
        <v>41764.8</v>
      </c>
      <c r="GP102">
        <v>1.95705</v>
      </c>
      <c r="GQ102">
        <v>1.8489</v>
      </c>
      <c r="GR102">
        <v>-0.023786</v>
      </c>
      <c r="GS102">
        <v>0</v>
      </c>
      <c r="GT102">
        <v>25.4059</v>
      </c>
      <c r="GU102">
        <v>999.9</v>
      </c>
      <c r="GV102">
        <v>31.8</v>
      </c>
      <c r="GW102">
        <v>34.3</v>
      </c>
      <c r="GX102">
        <v>19.209</v>
      </c>
      <c r="GY102">
        <v>62.4674</v>
      </c>
      <c r="GZ102">
        <v>34.9079</v>
      </c>
      <c r="HA102">
        <v>1</v>
      </c>
      <c r="HB102">
        <v>0.104472</v>
      </c>
      <c r="HC102">
        <v>2.29169</v>
      </c>
      <c r="HD102">
        <v>20.3188</v>
      </c>
      <c r="HE102">
        <v>5.21789</v>
      </c>
      <c r="HF102">
        <v>12.0099</v>
      </c>
      <c r="HG102">
        <v>4.98885</v>
      </c>
      <c r="HH102">
        <v>3.28845</v>
      </c>
      <c r="HI102">
        <v>995.1</v>
      </c>
      <c r="HJ102">
        <v>9533</v>
      </c>
      <c r="HK102">
        <v>5139.4</v>
      </c>
      <c r="HL102">
        <v>24.8</v>
      </c>
      <c r="HM102">
        <v>1.8675</v>
      </c>
      <c r="HN102">
        <v>1.86646</v>
      </c>
      <c r="HO102">
        <v>1.86599</v>
      </c>
      <c r="HP102">
        <v>1.86584</v>
      </c>
      <c r="HQ102">
        <v>1.86768</v>
      </c>
      <c r="HR102">
        <v>1.87021</v>
      </c>
      <c r="HS102">
        <v>1.86886</v>
      </c>
      <c r="HT102">
        <v>1.87027</v>
      </c>
      <c r="HU102">
        <v>0</v>
      </c>
      <c r="HV102">
        <v>0</v>
      </c>
      <c r="HW102">
        <v>0</v>
      </c>
      <c r="HX102">
        <v>0</v>
      </c>
      <c r="HY102" t="s">
        <v>421</v>
      </c>
      <c r="HZ102" t="s">
        <v>422</v>
      </c>
      <c r="IA102" t="s">
        <v>423</v>
      </c>
      <c r="IB102" t="s">
        <v>423</v>
      </c>
      <c r="IC102" t="s">
        <v>423</v>
      </c>
      <c r="ID102" t="s">
        <v>423</v>
      </c>
      <c r="IE102">
        <v>0</v>
      </c>
      <c r="IF102">
        <v>100</v>
      </c>
      <c r="IG102">
        <v>100</v>
      </c>
      <c r="IH102">
        <v>-2.1</v>
      </c>
      <c r="II102">
        <v>0.0177</v>
      </c>
      <c r="IJ102">
        <v>-0.2164499368582429</v>
      </c>
      <c r="IK102">
        <v>-0.002077099775823331</v>
      </c>
      <c r="IL102">
        <v>4.593143279902166E-07</v>
      </c>
      <c r="IM102">
        <v>-1.865383991892071E-10</v>
      </c>
      <c r="IN102">
        <v>-0.06087574426827484</v>
      </c>
      <c r="IO102">
        <v>-0.01129461987421345</v>
      </c>
      <c r="IP102">
        <v>0.00116580895745559</v>
      </c>
      <c r="IQ102">
        <v>-1.679085872906199E-05</v>
      </c>
      <c r="IR102">
        <v>2</v>
      </c>
      <c r="IS102">
        <v>2290</v>
      </c>
      <c r="IT102">
        <v>0</v>
      </c>
      <c r="IU102">
        <v>32</v>
      </c>
      <c r="IV102">
        <v>5.5</v>
      </c>
      <c r="IW102">
        <v>5.2</v>
      </c>
      <c r="IX102">
        <v>2.15942</v>
      </c>
      <c r="IY102">
        <v>2.20215</v>
      </c>
      <c r="IZ102">
        <v>1.39648</v>
      </c>
      <c r="JA102">
        <v>2.35596</v>
      </c>
      <c r="JB102">
        <v>1.49536</v>
      </c>
      <c r="JC102">
        <v>2.31689</v>
      </c>
      <c r="JD102">
        <v>38.4524</v>
      </c>
      <c r="JE102">
        <v>24.035</v>
      </c>
      <c r="JF102">
        <v>18</v>
      </c>
      <c r="JG102">
        <v>511.911</v>
      </c>
      <c r="JH102">
        <v>427.994</v>
      </c>
      <c r="JI102">
        <v>22.4173</v>
      </c>
      <c r="JJ102">
        <v>28.6462</v>
      </c>
      <c r="JK102">
        <v>30.0003</v>
      </c>
      <c r="JL102">
        <v>28.6125</v>
      </c>
      <c r="JM102">
        <v>28.5509</v>
      </c>
      <c r="JN102">
        <v>43.1812</v>
      </c>
      <c r="JO102">
        <v>36.605</v>
      </c>
      <c r="JP102">
        <v>0</v>
      </c>
      <c r="JQ102">
        <v>22.4054</v>
      </c>
      <c r="JR102">
        <v>1042.92</v>
      </c>
      <c r="JS102">
        <v>12.039</v>
      </c>
      <c r="JT102">
        <v>100.309</v>
      </c>
      <c r="JU102">
        <v>100.238</v>
      </c>
    </row>
    <row r="103" spans="1:281">
      <c r="A103">
        <v>87</v>
      </c>
      <c r="B103">
        <v>1651864572.1</v>
      </c>
      <c r="C103">
        <v>351.5</v>
      </c>
      <c r="D103" t="s">
        <v>594</v>
      </c>
      <c r="E103" t="s">
        <v>595</v>
      </c>
      <c r="F103">
        <v>2</v>
      </c>
      <c r="G103" t="s">
        <v>413</v>
      </c>
      <c r="H103" t="s">
        <v>414</v>
      </c>
      <c r="I103">
        <v>1651864570.725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1077.052940540115</v>
      </c>
      <c r="AK103">
        <v>1059.552484848485</v>
      </c>
      <c r="AL103">
        <v>-3.346114165349851</v>
      </c>
      <c r="AM103">
        <v>66.38192812717227</v>
      </c>
      <c r="AN103">
        <f>(AP103 - AO103 + DI103*1E3/(8.314*(DK103+273.15)) * AR103/DH103 * AQ103) * DH103/(100*CV103) * 1000/(1000 - AP103)</f>
        <v>0</v>
      </c>
      <c r="AO103">
        <v>11.87225085079036</v>
      </c>
      <c r="AP103">
        <v>18.16277617647058</v>
      </c>
      <c r="AQ103">
        <v>-6.805095497149155E-06</v>
      </c>
      <c r="AR103">
        <v>80.47224507511959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417</v>
      </c>
      <c r="AY103" t="s">
        <v>417</v>
      </c>
      <c r="AZ103">
        <v>0</v>
      </c>
      <c r="BA103">
        <v>0</v>
      </c>
      <c r="BB103">
        <f>1-AZ103/BA103</f>
        <v>0</v>
      </c>
      <c r="BC103">
        <v>0</v>
      </c>
      <c r="BD103" t="s">
        <v>417</v>
      </c>
      <c r="BE103" t="s">
        <v>417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417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1248</v>
      </c>
      <c r="CA103">
        <v>300</v>
      </c>
      <c r="CB103">
        <v>300</v>
      </c>
      <c r="CC103">
        <v>300</v>
      </c>
      <c r="CD103">
        <v>10442</v>
      </c>
      <c r="CE103">
        <v>1293.69</v>
      </c>
      <c r="CF103">
        <v>-0.00735246</v>
      </c>
      <c r="CG103">
        <v>0.5</v>
      </c>
      <c r="CH103" t="s">
        <v>417</v>
      </c>
      <c r="CI103" t="s">
        <v>417</v>
      </c>
      <c r="CJ103" t="s">
        <v>417</v>
      </c>
      <c r="CK103" t="s">
        <v>417</v>
      </c>
      <c r="CL103" t="s">
        <v>417</v>
      </c>
      <c r="CM103" t="s">
        <v>417</v>
      </c>
      <c r="CN103" t="s">
        <v>417</v>
      </c>
      <c r="CO103" t="s">
        <v>417</v>
      </c>
      <c r="CP103" t="s">
        <v>417</v>
      </c>
      <c r="CQ103" t="s">
        <v>417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418</v>
      </c>
      <c r="CY103">
        <v>2</v>
      </c>
      <c r="CZ103" t="b">
        <v>1</v>
      </c>
      <c r="DA103">
        <v>1651864570.725</v>
      </c>
      <c r="DB103">
        <v>1043.1625</v>
      </c>
      <c r="DC103">
        <v>1059.7475</v>
      </c>
      <c r="DD103">
        <v>18.163675</v>
      </c>
      <c r="DE103">
        <v>11.90845</v>
      </c>
      <c r="DF103">
        <v>1045.2625</v>
      </c>
      <c r="DG103">
        <v>18.14595</v>
      </c>
      <c r="DH103">
        <v>500.025</v>
      </c>
      <c r="DI103">
        <v>89.94095000000002</v>
      </c>
      <c r="DJ103">
        <v>0.10002765</v>
      </c>
      <c r="DK103">
        <v>25.7048</v>
      </c>
      <c r="DL103">
        <v>25.0142</v>
      </c>
      <c r="DM103">
        <v>999.9</v>
      </c>
      <c r="DN103">
        <v>0</v>
      </c>
      <c r="DO103">
        <v>0</v>
      </c>
      <c r="DP103">
        <v>9990.299999999999</v>
      </c>
      <c r="DQ103">
        <v>0</v>
      </c>
      <c r="DR103">
        <v>3.23193</v>
      </c>
      <c r="DS103">
        <v>-16.5849</v>
      </c>
      <c r="DT103">
        <v>1062.46</v>
      </c>
      <c r="DU103">
        <v>1072.52</v>
      </c>
      <c r="DV103">
        <v>6.255247499999999</v>
      </c>
      <c r="DW103">
        <v>1059.7475</v>
      </c>
      <c r="DX103">
        <v>11.90845</v>
      </c>
      <c r="DY103">
        <v>1.6336575</v>
      </c>
      <c r="DZ103">
        <v>1.071055</v>
      </c>
      <c r="EA103">
        <v>14.28</v>
      </c>
      <c r="EB103">
        <v>7.92057</v>
      </c>
      <c r="EC103">
        <v>1499.895</v>
      </c>
      <c r="ED103">
        <v>0.9730045</v>
      </c>
      <c r="EE103">
        <v>0.0269958</v>
      </c>
      <c r="EF103">
        <v>0</v>
      </c>
      <c r="EG103">
        <v>936.0337500000001</v>
      </c>
      <c r="EH103">
        <v>5.00097</v>
      </c>
      <c r="EI103">
        <v>13898.45</v>
      </c>
      <c r="EJ103">
        <v>12490.75</v>
      </c>
      <c r="EK103">
        <v>37.25</v>
      </c>
      <c r="EL103">
        <v>38.73425</v>
      </c>
      <c r="EM103">
        <v>37.625</v>
      </c>
      <c r="EN103">
        <v>38.437</v>
      </c>
      <c r="EO103">
        <v>38.125</v>
      </c>
      <c r="EP103">
        <v>1454.535</v>
      </c>
      <c r="EQ103">
        <v>40.36</v>
      </c>
      <c r="ER103">
        <v>0</v>
      </c>
      <c r="ES103">
        <v>351</v>
      </c>
      <c r="ET103">
        <v>0</v>
      </c>
      <c r="EU103">
        <v>938.2286800000001</v>
      </c>
      <c r="EV103">
        <v>-22.04869233298437</v>
      </c>
      <c r="EW103">
        <v>-334.3769236851337</v>
      </c>
      <c r="EX103">
        <v>13931.792</v>
      </c>
      <c r="EY103">
        <v>15</v>
      </c>
      <c r="EZ103">
        <v>1651864261.1</v>
      </c>
      <c r="FA103" t="s">
        <v>419</v>
      </c>
      <c r="FB103">
        <v>1651864241.6</v>
      </c>
      <c r="FC103">
        <v>1651864261.1</v>
      </c>
      <c r="FD103">
        <v>7</v>
      </c>
      <c r="FE103">
        <v>0.438</v>
      </c>
      <c r="FF103">
        <v>0.002</v>
      </c>
      <c r="FG103">
        <v>-0.988</v>
      </c>
      <c r="FH103">
        <v>-0.066</v>
      </c>
      <c r="FI103">
        <v>400</v>
      </c>
      <c r="FJ103">
        <v>11</v>
      </c>
      <c r="FK103">
        <v>0.05</v>
      </c>
      <c r="FL103">
        <v>0.02</v>
      </c>
      <c r="FM103">
        <v>-16.83797073170732</v>
      </c>
      <c r="FN103">
        <v>1.893031358884991</v>
      </c>
      <c r="FO103">
        <v>0.2233169149644085</v>
      </c>
      <c r="FP103">
        <v>-1</v>
      </c>
      <c r="FQ103">
        <v>6.39757975609756</v>
      </c>
      <c r="FR103">
        <v>-0.8440179094076664</v>
      </c>
      <c r="FS103">
        <v>0.08374637554553435</v>
      </c>
      <c r="FT103">
        <v>-1</v>
      </c>
      <c r="FU103">
        <v>0</v>
      </c>
      <c r="FV103">
        <v>0</v>
      </c>
      <c r="FW103">
        <v>0</v>
      </c>
      <c r="FX103">
        <v>-1</v>
      </c>
      <c r="FY103">
        <v>0</v>
      </c>
      <c r="FZ103">
        <v>0</v>
      </c>
      <c r="GA103" t="s">
        <v>420</v>
      </c>
      <c r="GB103">
        <v>2.98046</v>
      </c>
      <c r="GC103">
        <v>2.70623</v>
      </c>
      <c r="GD103">
        <v>0.175278</v>
      </c>
      <c r="GE103">
        <v>0.17504</v>
      </c>
      <c r="GF103">
        <v>0.0870261</v>
      </c>
      <c r="GG103">
        <v>0.06320480000000001</v>
      </c>
      <c r="GH103">
        <v>26027.6</v>
      </c>
      <c r="GI103">
        <v>26093.2</v>
      </c>
      <c r="GJ103">
        <v>29345.4</v>
      </c>
      <c r="GK103">
        <v>29260.9</v>
      </c>
      <c r="GL103">
        <v>35477.2</v>
      </c>
      <c r="GM103">
        <v>36511.3</v>
      </c>
      <c r="GN103">
        <v>41304.9</v>
      </c>
      <c r="GO103">
        <v>41764.8</v>
      </c>
      <c r="GP103">
        <v>1.95707</v>
      </c>
      <c r="GQ103">
        <v>1.84897</v>
      </c>
      <c r="GR103">
        <v>-0.0239462</v>
      </c>
      <c r="GS103">
        <v>0</v>
      </c>
      <c r="GT103">
        <v>25.4059</v>
      </c>
      <c r="GU103">
        <v>999.9</v>
      </c>
      <c r="GV103">
        <v>31.8</v>
      </c>
      <c r="GW103">
        <v>34.3</v>
      </c>
      <c r="GX103">
        <v>19.2091</v>
      </c>
      <c r="GY103">
        <v>62.6874</v>
      </c>
      <c r="GZ103">
        <v>35.3726</v>
      </c>
      <c r="HA103">
        <v>1</v>
      </c>
      <c r="HB103">
        <v>0.104441</v>
      </c>
      <c r="HC103">
        <v>2.30659</v>
      </c>
      <c r="HD103">
        <v>20.3186</v>
      </c>
      <c r="HE103">
        <v>5.21789</v>
      </c>
      <c r="HF103">
        <v>12.0099</v>
      </c>
      <c r="HG103">
        <v>4.9889</v>
      </c>
      <c r="HH103">
        <v>3.28845</v>
      </c>
      <c r="HI103">
        <v>995.1</v>
      </c>
      <c r="HJ103">
        <v>9533</v>
      </c>
      <c r="HK103">
        <v>5139.4</v>
      </c>
      <c r="HL103">
        <v>24.8</v>
      </c>
      <c r="HM103">
        <v>1.86749</v>
      </c>
      <c r="HN103">
        <v>1.86646</v>
      </c>
      <c r="HO103">
        <v>1.866</v>
      </c>
      <c r="HP103">
        <v>1.86584</v>
      </c>
      <c r="HQ103">
        <v>1.86768</v>
      </c>
      <c r="HR103">
        <v>1.87024</v>
      </c>
      <c r="HS103">
        <v>1.86888</v>
      </c>
      <c r="HT103">
        <v>1.87027</v>
      </c>
      <c r="HU103">
        <v>0</v>
      </c>
      <c r="HV103">
        <v>0</v>
      </c>
      <c r="HW103">
        <v>0</v>
      </c>
      <c r="HX103">
        <v>0</v>
      </c>
      <c r="HY103" t="s">
        <v>421</v>
      </c>
      <c r="HZ103" t="s">
        <v>422</v>
      </c>
      <c r="IA103" t="s">
        <v>423</v>
      </c>
      <c r="IB103" t="s">
        <v>423</v>
      </c>
      <c r="IC103" t="s">
        <v>423</v>
      </c>
      <c r="ID103" t="s">
        <v>423</v>
      </c>
      <c r="IE103">
        <v>0</v>
      </c>
      <c r="IF103">
        <v>100</v>
      </c>
      <c r="IG103">
        <v>100</v>
      </c>
      <c r="IH103">
        <v>-2.09</v>
      </c>
      <c r="II103">
        <v>0.0177</v>
      </c>
      <c r="IJ103">
        <v>-0.2164499368582429</v>
      </c>
      <c r="IK103">
        <v>-0.002077099775823331</v>
      </c>
      <c r="IL103">
        <v>4.593143279902166E-07</v>
      </c>
      <c r="IM103">
        <v>-1.865383991892071E-10</v>
      </c>
      <c r="IN103">
        <v>-0.06087574426827484</v>
      </c>
      <c r="IO103">
        <v>-0.01129461987421345</v>
      </c>
      <c r="IP103">
        <v>0.00116580895745559</v>
      </c>
      <c r="IQ103">
        <v>-1.679085872906199E-05</v>
      </c>
      <c r="IR103">
        <v>2</v>
      </c>
      <c r="IS103">
        <v>2290</v>
      </c>
      <c r="IT103">
        <v>0</v>
      </c>
      <c r="IU103">
        <v>32</v>
      </c>
      <c r="IV103">
        <v>5.5</v>
      </c>
      <c r="IW103">
        <v>5.2</v>
      </c>
      <c r="IX103">
        <v>2.14844</v>
      </c>
      <c r="IY103">
        <v>2.20215</v>
      </c>
      <c r="IZ103">
        <v>1.39648</v>
      </c>
      <c r="JA103">
        <v>2.35596</v>
      </c>
      <c r="JB103">
        <v>1.49536</v>
      </c>
      <c r="JC103">
        <v>2.31567</v>
      </c>
      <c r="JD103">
        <v>38.4524</v>
      </c>
      <c r="JE103">
        <v>24.035</v>
      </c>
      <c r="JF103">
        <v>18</v>
      </c>
      <c r="JG103">
        <v>511.932</v>
      </c>
      <c r="JH103">
        <v>428.039</v>
      </c>
      <c r="JI103">
        <v>22.4129</v>
      </c>
      <c r="JJ103">
        <v>28.6462</v>
      </c>
      <c r="JK103">
        <v>30.0001</v>
      </c>
      <c r="JL103">
        <v>28.613</v>
      </c>
      <c r="JM103">
        <v>28.5509</v>
      </c>
      <c r="JN103">
        <v>42.9661</v>
      </c>
      <c r="JO103">
        <v>36.605</v>
      </c>
      <c r="JP103">
        <v>0</v>
      </c>
      <c r="JQ103">
        <v>22.4054</v>
      </c>
      <c r="JR103">
        <v>1036.24</v>
      </c>
      <c r="JS103">
        <v>12.067</v>
      </c>
      <c r="JT103">
        <v>100.308</v>
      </c>
      <c r="JU103">
        <v>100.238</v>
      </c>
    </row>
    <row r="104" spans="1:281">
      <c r="A104">
        <v>88</v>
      </c>
      <c r="B104">
        <v>1651864574.1</v>
      </c>
      <c r="C104">
        <v>353.5</v>
      </c>
      <c r="D104" t="s">
        <v>596</v>
      </c>
      <c r="E104" t="s">
        <v>597</v>
      </c>
      <c r="F104">
        <v>2</v>
      </c>
      <c r="G104" t="s">
        <v>413</v>
      </c>
      <c r="H104" t="s">
        <v>414</v>
      </c>
      <c r="I104">
        <v>1651864573.1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1070.540001364325</v>
      </c>
      <c r="AK104">
        <v>1052.947818181818</v>
      </c>
      <c r="AL104">
        <v>-3.309452446416469</v>
      </c>
      <c r="AM104">
        <v>66.38192812717227</v>
      </c>
      <c r="AN104">
        <f>(AP104 - AO104 + DI104*1E3/(8.314*(DK104+273.15)) * AR104/DH104 * AQ104) * DH104/(100*CV104) * 1000/(1000 - AP104)</f>
        <v>0</v>
      </c>
      <c r="AO104">
        <v>11.89374483413288</v>
      </c>
      <c r="AP104">
        <v>18.15722176470589</v>
      </c>
      <c r="AQ104">
        <v>6.24896375941427E-06</v>
      </c>
      <c r="AR104">
        <v>80.47224507511959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417</v>
      </c>
      <c r="AY104" t="s">
        <v>417</v>
      </c>
      <c r="AZ104">
        <v>0</v>
      </c>
      <c r="BA104">
        <v>0</v>
      </c>
      <c r="BB104">
        <f>1-AZ104/BA104</f>
        <v>0</v>
      </c>
      <c r="BC104">
        <v>0</v>
      </c>
      <c r="BD104" t="s">
        <v>417</v>
      </c>
      <c r="BE104" t="s">
        <v>417</v>
      </c>
      <c r="BF104">
        <v>0</v>
      </c>
      <c r="BG104">
        <v>0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417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1248</v>
      </c>
      <c r="CA104">
        <v>300</v>
      </c>
      <c r="CB104">
        <v>300</v>
      </c>
      <c r="CC104">
        <v>300</v>
      </c>
      <c r="CD104">
        <v>10442</v>
      </c>
      <c r="CE104">
        <v>1293.69</v>
      </c>
      <c r="CF104">
        <v>-0.00735246</v>
      </c>
      <c r="CG104">
        <v>0.5</v>
      </c>
      <c r="CH104" t="s">
        <v>417</v>
      </c>
      <c r="CI104" t="s">
        <v>417</v>
      </c>
      <c r="CJ104" t="s">
        <v>417</v>
      </c>
      <c r="CK104" t="s">
        <v>417</v>
      </c>
      <c r="CL104" t="s">
        <v>417</v>
      </c>
      <c r="CM104" t="s">
        <v>417</v>
      </c>
      <c r="CN104" t="s">
        <v>417</v>
      </c>
      <c r="CO104" t="s">
        <v>417</v>
      </c>
      <c r="CP104" t="s">
        <v>417</v>
      </c>
      <c r="CQ104" t="s">
        <v>417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418</v>
      </c>
      <c r="CY104">
        <v>2</v>
      </c>
      <c r="CZ104" t="b">
        <v>1</v>
      </c>
      <c r="DA104">
        <v>1651864573.1</v>
      </c>
      <c r="DB104">
        <v>1035.453333333333</v>
      </c>
      <c r="DC104">
        <v>1051.78</v>
      </c>
      <c r="DD104">
        <v>18.1587</v>
      </c>
      <c r="DE104">
        <v>11.95103333333333</v>
      </c>
      <c r="DF104">
        <v>1037.536666666667</v>
      </c>
      <c r="DG104">
        <v>18.14103333333333</v>
      </c>
      <c r="DH104">
        <v>500.0386666666666</v>
      </c>
      <c r="DI104">
        <v>89.94036666666666</v>
      </c>
      <c r="DJ104">
        <v>0.09998050000000001</v>
      </c>
      <c r="DK104">
        <v>25.703</v>
      </c>
      <c r="DL104">
        <v>25.0128</v>
      </c>
      <c r="DM104">
        <v>999.9</v>
      </c>
      <c r="DN104">
        <v>0</v>
      </c>
      <c r="DO104">
        <v>0</v>
      </c>
      <c r="DP104">
        <v>10003.11666666667</v>
      </c>
      <c r="DQ104">
        <v>0</v>
      </c>
      <c r="DR104">
        <v>3.230056666666667</v>
      </c>
      <c r="DS104">
        <v>-16.3256</v>
      </c>
      <c r="DT104">
        <v>1054.603333333333</v>
      </c>
      <c r="DU104">
        <v>1064.5</v>
      </c>
      <c r="DV104">
        <v>6.207633333333334</v>
      </c>
      <c r="DW104">
        <v>1051.78</v>
      </c>
      <c r="DX104">
        <v>11.95103333333333</v>
      </c>
      <c r="DY104">
        <v>1.6332</v>
      </c>
      <c r="DZ104">
        <v>1.074883333333333</v>
      </c>
      <c r="EA104">
        <v>14.27566666666667</v>
      </c>
      <c r="EB104">
        <v>7.972973333333333</v>
      </c>
      <c r="EC104">
        <v>1500.046666666667</v>
      </c>
      <c r="ED104">
        <v>0.973007</v>
      </c>
      <c r="EE104">
        <v>0.0269931</v>
      </c>
      <c r="EF104">
        <v>0</v>
      </c>
      <c r="EG104">
        <v>934.6926666666667</v>
      </c>
      <c r="EH104">
        <v>5.00097</v>
      </c>
      <c r="EI104">
        <v>13887.23333333333</v>
      </c>
      <c r="EJ104">
        <v>12492</v>
      </c>
      <c r="EK104">
        <v>37.25</v>
      </c>
      <c r="EL104">
        <v>38.729</v>
      </c>
      <c r="EM104">
        <v>37.625</v>
      </c>
      <c r="EN104">
        <v>38.437</v>
      </c>
      <c r="EO104">
        <v>38.125</v>
      </c>
      <c r="EP104">
        <v>1454.686666666666</v>
      </c>
      <c r="EQ104">
        <v>40.36</v>
      </c>
      <c r="ER104">
        <v>0</v>
      </c>
      <c r="ES104">
        <v>352.7999999523163</v>
      </c>
      <c r="ET104">
        <v>0</v>
      </c>
      <c r="EU104">
        <v>937.6303461538462</v>
      </c>
      <c r="EV104">
        <v>-22.64905982831264</v>
      </c>
      <c r="EW104">
        <v>-329.8393163333813</v>
      </c>
      <c r="EX104">
        <v>13923.49230769231</v>
      </c>
      <c r="EY104">
        <v>15</v>
      </c>
      <c r="EZ104">
        <v>1651864261.1</v>
      </c>
      <c r="FA104" t="s">
        <v>419</v>
      </c>
      <c r="FB104">
        <v>1651864241.6</v>
      </c>
      <c r="FC104">
        <v>1651864261.1</v>
      </c>
      <c r="FD104">
        <v>7</v>
      </c>
      <c r="FE104">
        <v>0.438</v>
      </c>
      <c r="FF104">
        <v>0.002</v>
      </c>
      <c r="FG104">
        <v>-0.988</v>
      </c>
      <c r="FH104">
        <v>-0.066</v>
      </c>
      <c r="FI104">
        <v>400</v>
      </c>
      <c r="FJ104">
        <v>11</v>
      </c>
      <c r="FK104">
        <v>0.05</v>
      </c>
      <c r="FL104">
        <v>0.02</v>
      </c>
      <c r="FM104">
        <v>-16.7778275</v>
      </c>
      <c r="FN104">
        <v>2.400615759849915</v>
      </c>
      <c r="FO104">
        <v>0.2477578182293147</v>
      </c>
      <c r="FP104">
        <v>-1</v>
      </c>
      <c r="FQ104">
        <v>6.3582885</v>
      </c>
      <c r="FR104">
        <v>-0.8582523827392187</v>
      </c>
      <c r="FS104">
        <v>0.08309543638341393</v>
      </c>
      <c r="FT104">
        <v>-1</v>
      </c>
      <c r="FU104">
        <v>0</v>
      </c>
      <c r="FV104">
        <v>0</v>
      </c>
      <c r="FW104">
        <v>0</v>
      </c>
      <c r="FX104">
        <v>-1</v>
      </c>
      <c r="FY104">
        <v>0</v>
      </c>
      <c r="FZ104">
        <v>0</v>
      </c>
      <c r="GA104" t="s">
        <v>420</v>
      </c>
      <c r="GB104">
        <v>2.98048</v>
      </c>
      <c r="GC104">
        <v>2.70616</v>
      </c>
      <c r="GD104">
        <v>0.174574</v>
      </c>
      <c r="GE104">
        <v>0.174308</v>
      </c>
      <c r="GF104">
        <v>0.0870147</v>
      </c>
      <c r="GG104">
        <v>0.0633654</v>
      </c>
      <c r="GH104">
        <v>26049.7</v>
      </c>
      <c r="GI104">
        <v>26116.4</v>
      </c>
      <c r="GJ104">
        <v>29345.3</v>
      </c>
      <c r="GK104">
        <v>29261</v>
      </c>
      <c r="GL104">
        <v>35477.5</v>
      </c>
      <c r="GM104">
        <v>36504.9</v>
      </c>
      <c r="GN104">
        <v>41304.7</v>
      </c>
      <c r="GO104">
        <v>41764.8</v>
      </c>
      <c r="GP104">
        <v>1.9571</v>
      </c>
      <c r="GQ104">
        <v>1.84888</v>
      </c>
      <c r="GR104">
        <v>-0.0242107</v>
      </c>
      <c r="GS104">
        <v>0</v>
      </c>
      <c r="GT104">
        <v>25.4059</v>
      </c>
      <c r="GU104">
        <v>999.9</v>
      </c>
      <c r="GV104">
        <v>31.8</v>
      </c>
      <c r="GW104">
        <v>34.2</v>
      </c>
      <c r="GX104">
        <v>19.1053</v>
      </c>
      <c r="GY104">
        <v>62.3674</v>
      </c>
      <c r="GZ104">
        <v>35.02</v>
      </c>
      <c r="HA104">
        <v>1</v>
      </c>
      <c r="HB104">
        <v>0.10439</v>
      </c>
      <c r="HC104">
        <v>2.30472</v>
      </c>
      <c r="HD104">
        <v>20.3186</v>
      </c>
      <c r="HE104">
        <v>5.21804</v>
      </c>
      <c r="HF104">
        <v>12.0099</v>
      </c>
      <c r="HG104">
        <v>4.98885</v>
      </c>
      <c r="HH104">
        <v>3.28845</v>
      </c>
      <c r="HI104">
        <v>995.3</v>
      </c>
      <c r="HJ104">
        <v>9534.200000000001</v>
      </c>
      <c r="HK104">
        <v>5139.4</v>
      </c>
      <c r="HL104">
        <v>24.8</v>
      </c>
      <c r="HM104">
        <v>1.8675</v>
      </c>
      <c r="HN104">
        <v>1.86646</v>
      </c>
      <c r="HO104">
        <v>1.866</v>
      </c>
      <c r="HP104">
        <v>1.86584</v>
      </c>
      <c r="HQ104">
        <v>1.86768</v>
      </c>
      <c r="HR104">
        <v>1.87025</v>
      </c>
      <c r="HS104">
        <v>1.86889</v>
      </c>
      <c r="HT104">
        <v>1.87026</v>
      </c>
      <c r="HU104">
        <v>0</v>
      </c>
      <c r="HV104">
        <v>0</v>
      </c>
      <c r="HW104">
        <v>0</v>
      </c>
      <c r="HX104">
        <v>0</v>
      </c>
      <c r="HY104" t="s">
        <v>421</v>
      </c>
      <c r="HZ104" t="s">
        <v>422</v>
      </c>
      <c r="IA104" t="s">
        <v>423</v>
      </c>
      <c r="IB104" t="s">
        <v>423</v>
      </c>
      <c r="IC104" t="s">
        <v>423</v>
      </c>
      <c r="ID104" t="s">
        <v>423</v>
      </c>
      <c r="IE104">
        <v>0</v>
      </c>
      <c r="IF104">
        <v>100</v>
      </c>
      <c r="IG104">
        <v>100</v>
      </c>
      <c r="IH104">
        <v>-2.08</v>
      </c>
      <c r="II104">
        <v>0.0176</v>
      </c>
      <c r="IJ104">
        <v>-0.2164499368582429</v>
      </c>
      <c r="IK104">
        <v>-0.002077099775823331</v>
      </c>
      <c r="IL104">
        <v>4.593143279902166E-07</v>
      </c>
      <c r="IM104">
        <v>-1.865383991892071E-10</v>
      </c>
      <c r="IN104">
        <v>-0.06087574426827484</v>
      </c>
      <c r="IO104">
        <v>-0.01129461987421345</v>
      </c>
      <c r="IP104">
        <v>0.00116580895745559</v>
      </c>
      <c r="IQ104">
        <v>-1.679085872906199E-05</v>
      </c>
      <c r="IR104">
        <v>2</v>
      </c>
      <c r="IS104">
        <v>2290</v>
      </c>
      <c r="IT104">
        <v>0</v>
      </c>
      <c r="IU104">
        <v>32</v>
      </c>
      <c r="IV104">
        <v>5.5</v>
      </c>
      <c r="IW104">
        <v>5.2</v>
      </c>
      <c r="IX104">
        <v>2.13745</v>
      </c>
      <c r="IY104">
        <v>2.19971</v>
      </c>
      <c r="IZ104">
        <v>1.39648</v>
      </c>
      <c r="JA104">
        <v>2.35596</v>
      </c>
      <c r="JB104">
        <v>1.49536</v>
      </c>
      <c r="JC104">
        <v>2.36694</v>
      </c>
      <c r="JD104">
        <v>38.4524</v>
      </c>
      <c r="JE104">
        <v>24.035</v>
      </c>
      <c r="JF104">
        <v>18</v>
      </c>
      <c r="JG104">
        <v>511.948</v>
      </c>
      <c r="JH104">
        <v>427.987</v>
      </c>
      <c r="JI104">
        <v>22.4069</v>
      </c>
      <c r="JJ104">
        <v>28.6475</v>
      </c>
      <c r="JK104">
        <v>30.0001</v>
      </c>
      <c r="JL104">
        <v>28.613</v>
      </c>
      <c r="JM104">
        <v>28.552</v>
      </c>
      <c r="JN104">
        <v>42.7445</v>
      </c>
      <c r="JO104">
        <v>36.3137</v>
      </c>
      <c r="JP104">
        <v>0</v>
      </c>
      <c r="JQ104">
        <v>22.3921</v>
      </c>
      <c r="JR104">
        <v>1029.56</v>
      </c>
      <c r="JS104">
        <v>12.0948</v>
      </c>
      <c r="JT104">
        <v>100.308</v>
      </c>
      <c r="JU104">
        <v>100.238</v>
      </c>
    </row>
    <row r="105" spans="1:281">
      <c r="A105">
        <v>89</v>
      </c>
      <c r="B105">
        <v>1651864576.1</v>
      </c>
      <c r="C105">
        <v>355.5</v>
      </c>
      <c r="D105" t="s">
        <v>598</v>
      </c>
      <c r="E105" t="s">
        <v>599</v>
      </c>
      <c r="F105">
        <v>2</v>
      </c>
      <c r="G105" t="s">
        <v>413</v>
      </c>
      <c r="H105" t="s">
        <v>414</v>
      </c>
      <c r="I105">
        <v>1651864574.725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1063.697046959512</v>
      </c>
      <c r="AK105">
        <v>1046.221636363636</v>
      </c>
      <c r="AL105">
        <v>-3.340917262165476</v>
      </c>
      <c r="AM105">
        <v>66.38192812717227</v>
      </c>
      <c r="AN105">
        <f>(AP105 - AO105 + DI105*1E3/(8.314*(DK105+273.15)) * AR105/DH105 * AQ105) * DH105/(100*CV105) * 1000/(1000 - AP105)</f>
        <v>0</v>
      </c>
      <c r="AO105">
        <v>11.92246206731127</v>
      </c>
      <c r="AP105">
        <v>18.15704911764705</v>
      </c>
      <c r="AQ105">
        <v>-5.437754912367021E-05</v>
      </c>
      <c r="AR105">
        <v>80.47224507511959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417</v>
      </c>
      <c r="AY105" t="s">
        <v>417</v>
      </c>
      <c r="AZ105">
        <v>0</v>
      </c>
      <c r="BA105">
        <v>0</v>
      </c>
      <c r="BB105">
        <f>1-AZ105/BA105</f>
        <v>0</v>
      </c>
      <c r="BC105">
        <v>0</v>
      </c>
      <c r="BD105" t="s">
        <v>417</v>
      </c>
      <c r="BE105" t="s">
        <v>417</v>
      </c>
      <c r="BF105">
        <v>0</v>
      </c>
      <c r="BG105">
        <v>0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417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1248</v>
      </c>
      <c r="CA105">
        <v>300</v>
      </c>
      <c r="CB105">
        <v>300</v>
      </c>
      <c r="CC105">
        <v>300</v>
      </c>
      <c r="CD105">
        <v>10442</v>
      </c>
      <c r="CE105">
        <v>1293.69</v>
      </c>
      <c r="CF105">
        <v>-0.00735246</v>
      </c>
      <c r="CG105">
        <v>0.5</v>
      </c>
      <c r="CH105" t="s">
        <v>417</v>
      </c>
      <c r="CI105" t="s">
        <v>417</v>
      </c>
      <c r="CJ105" t="s">
        <v>417</v>
      </c>
      <c r="CK105" t="s">
        <v>417</v>
      </c>
      <c r="CL105" t="s">
        <v>417</v>
      </c>
      <c r="CM105" t="s">
        <v>417</v>
      </c>
      <c r="CN105" t="s">
        <v>417</v>
      </c>
      <c r="CO105" t="s">
        <v>417</v>
      </c>
      <c r="CP105" t="s">
        <v>417</v>
      </c>
      <c r="CQ105" t="s">
        <v>417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418</v>
      </c>
      <c r="CY105">
        <v>2</v>
      </c>
      <c r="CZ105" t="b">
        <v>1</v>
      </c>
      <c r="DA105">
        <v>1651864574.725</v>
      </c>
      <c r="DB105">
        <v>1030.1125</v>
      </c>
      <c r="DC105">
        <v>1046.2275</v>
      </c>
      <c r="DD105">
        <v>18.157775</v>
      </c>
      <c r="DE105">
        <v>11.97985</v>
      </c>
      <c r="DF105">
        <v>1032.19</v>
      </c>
      <c r="DG105">
        <v>18.140125</v>
      </c>
      <c r="DH105">
        <v>500.05425</v>
      </c>
      <c r="DI105">
        <v>89.939425</v>
      </c>
      <c r="DJ105">
        <v>0.100065375</v>
      </c>
      <c r="DK105">
        <v>25.703375</v>
      </c>
      <c r="DL105">
        <v>25.009575</v>
      </c>
      <c r="DM105">
        <v>999.9</v>
      </c>
      <c r="DN105">
        <v>0</v>
      </c>
      <c r="DO105">
        <v>0</v>
      </c>
      <c r="DP105">
        <v>9994.2125</v>
      </c>
      <c r="DQ105">
        <v>0</v>
      </c>
      <c r="DR105">
        <v>3.2199875</v>
      </c>
      <c r="DS105">
        <v>-16.1155</v>
      </c>
      <c r="DT105">
        <v>1049.165</v>
      </c>
      <c r="DU105">
        <v>1058.915</v>
      </c>
      <c r="DV105">
        <v>6.1779025</v>
      </c>
      <c r="DW105">
        <v>1046.2275</v>
      </c>
      <c r="DX105">
        <v>11.97985</v>
      </c>
      <c r="DY105">
        <v>1.6330975</v>
      </c>
      <c r="DZ105">
        <v>1.0774625</v>
      </c>
      <c r="EA105">
        <v>14.2747</v>
      </c>
      <c r="EB105">
        <v>8.0081875</v>
      </c>
      <c r="EC105">
        <v>1500.04</v>
      </c>
      <c r="ED105">
        <v>0.973007</v>
      </c>
      <c r="EE105">
        <v>0.0269931</v>
      </c>
      <c r="EF105">
        <v>0</v>
      </c>
      <c r="EG105">
        <v>934.4305000000001</v>
      </c>
      <c r="EH105">
        <v>5.00097</v>
      </c>
      <c r="EI105">
        <v>13879.175</v>
      </c>
      <c r="EJ105">
        <v>12491.925</v>
      </c>
      <c r="EK105">
        <v>37.25</v>
      </c>
      <c r="EL105">
        <v>38.73425</v>
      </c>
      <c r="EM105">
        <v>37.625</v>
      </c>
      <c r="EN105">
        <v>38.437</v>
      </c>
      <c r="EO105">
        <v>38.125</v>
      </c>
      <c r="EP105">
        <v>1454.68</v>
      </c>
      <c r="EQ105">
        <v>40.36</v>
      </c>
      <c r="ER105">
        <v>0</v>
      </c>
      <c r="ES105">
        <v>355.2000000476837</v>
      </c>
      <c r="ET105">
        <v>0</v>
      </c>
      <c r="EU105">
        <v>936.757423076923</v>
      </c>
      <c r="EV105">
        <v>-22.79887176926675</v>
      </c>
      <c r="EW105">
        <v>-324.222221843943</v>
      </c>
      <c r="EX105">
        <v>13910.44230769231</v>
      </c>
      <c r="EY105">
        <v>15</v>
      </c>
      <c r="EZ105">
        <v>1651864261.1</v>
      </c>
      <c r="FA105" t="s">
        <v>419</v>
      </c>
      <c r="FB105">
        <v>1651864241.6</v>
      </c>
      <c r="FC105">
        <v>1651864261.1</v>
      </c>
      <c r="FD105">
        <v>7</v>
      </c>
      <c r="FE105">
        <v>0.438</v>
      </c>
      <c r="FF105">
        <v>0.002</v>
      </c>
      <c r="FG105">
        <v>-0.988</v>
      </c>
      <c r="FH105">
        <v>-0.066</v>
      </c>
      <c r="FI105">
        <v>400</v>
      </c>
      <c r="FJ105">
        <v>11</v>
      </c>
      <c r="FK105">
        <v>0.05</v>
      </c>
      <c r="FL105">
        <v>0.02</v>
      </c>
      <c r="FM105">
        <v>-16.71421707317073</v>
      </c>
      <c r="FN105">
        <v>2.621280836236943</v>
      </c>
      <c r="FO105">
        <v>0.2767445982044388</v>
      </c>
      <c r="FP105">
        <v>-1</v>
      </c>
      <c r="FQ105">
        <v>6.339970243902438</v>
      </c>
      <c r="FR105">
        <v>-0.8966193031358809</v>
      </c>
      <c r="FS105">
        <v>0.08886054844908518</v>
      </c>
      <c r="FT105">
        <v>-1</v>
      </c>
      <c r="FU105">
        <v>0</v>
      </c>
      <c r="FV105">
        <v>0</v>
      </c>
      <c r="FW105">
        <v>0</v>
      </c>
      <c r="FX105">
        <v>-1</v>
      </c>
      <c r="FY105">
        <v>0</v>
      </c>
      <c r="FZ105">
        <v>0</v>
      </c>
      <c r="GA105" t="s">
        <v>420</v>
      </c>
      <c r="GB105">
        <v>2.98065</v>
      </c>
      <c r="GC105">
        <v>2.70616</v>
      </c>
      <c r="GD105">
        <v>0.173854</v>
      </c>
      <c r="GE105">
        <v>0.173591</v>
      </c>
      <c r="GF105">
        <v>0.0870165</v>
      </c>
      <c r="GG105">
        <v>0.0634503</v>
      </c>
      <c r="GH105">
        <v>26072.4</v>
      </c>
      <c r="GI105">
        <v>26139</v>
      </c>
      <c r="GJ105">
        <v>29345.3</v>
      </c>
      <c r="GK105">
        <v>29261</v>
      </c>
      <c r="GL105">
        <v>35477.6</v>
      </c>
      <c r="GM105">
        <v>36501.5</v>
      </c>
      <c r="GN105">
        <v>41305</v>
      </c>
      <c r="GO105">
        <v>41764.7</v>
      </c>
      <c r="GP105">
        <v>1.95723</v>
      </c>
      <c r="GQ105">
        <v>1.84883</v>
      </c>
      <c r="GR105">
        <v>-0.0242591</v>
      </c>
      <c r="GS105">
        <v>0</v>
      </c>
      <c r="GT105">
        <v>25.4059</v>
      </c>
      <c r="GU105">
        <v>999.9</v>
      </c>
      <c r="GV105">
        <v>31.8</v>
      </c>
      <c r="GW105">
        <v>34.3</v>
      </c>
      <c r="GX105">
        <v>19.2108</v>
      </c>
      <c r="GY105">
        <v>62.7374</v>
      </c>
      <c r="GZ105">
        <v>35.1763</v>
      </c>
      <c r="HA105">
        <v>1</v>
      </c>
      <c r="HB105">
        <v>0.104446</v>
      </c>
      <c r="HC105">
        <v>2.31498</v>
      </c>
      <c r="HD105">
        <v>20.3186</v>
      </c>
      <c r="HE105">
        <v>5.21834</v>
      </c>
      <c r="HF105">
        <v>12.0099</v>
      </c>
      <c r="HG105">
        <v>4.9889</v>
      </c>
      <c r="HH105">
        <v>3.28848</v>
      </c>
      <c r="HI105">
        <v>995.3</v>
      </c>
      <c r="HJ105">
        <v>9534.200000000001</v>
      </c>
      <c r="HK105">
        <v>5139.4</v>
      </c>
      <c r="HL105">
        <v>24.8</v>
      </c>
      <c r="HM105">
        <v>1.8675</v>
      </c>
      <c r="HN105">
        <v>1.86646</v>
      </c>
      <c r="HO105">
        <v>1.866</v>
      </c>
      <c r="HP105">
        <v>1.86584</v>
      </c>
      <c r="HQ105">
        <v>1.86768</v>
      </c>
      <c r="HR105">
        <v>1.87024</v>
      </c>
      <c r="HS105">
        <v>1.86887</v>
      </c>
      <c r="HT105">
        <v>1.87026</v>
      </c>
      <c r="HU105">
        <v>0</v>
      </c>
      <c r="HV105">
        <v>0</v>
      </c>
      <c r="HW105">
        <v>0</v>
      </c>
      <c r="HX105">
        <v>0</v>
      </c>
      <c r="HY105" t="s">
        <v>421</v>
      </c>
      <c r="HZ105" t="s">
        <v>422</v>
      </c>
      <c r="IA105" t="s">
        <v>423</v>
      </c>
      <c r="IB105" t="s">
        <v>423</v>
      </c>
      <c r="IC105" t="s">
        <v>423</v>
      </c>
      <c r="ID105" t="s">
        <v>423</v>
      </c>
      <c r="IE105">
        <v>0</v>
      </c>
      <c r="IF105">
        <v>100</v>
      </c>
      <c r="IG105">
        <v>100</v>
      </c>
      <c r="IH105">
        <v>-2.07</v>
      </c>
      <c r="II105">
        <v>0.0177</v>
      </c>
      <c r="IJ105">
        <v>-0.2164499368582429</v>
      </c>
      <c r="IK105">
        <v>-0.002077099775823331</v>
      </c>
      <c r="IL105">
        <v>4.593143279902166E-07</v>
      </c>
      <c r="IM105">
        <v>-1.865383991892071E-10</v>
      </c>
      <c r="IN105">
        <v>-0.06087574426827484</v>
      </c>
      <c r="IO105">
        <v>-0.01129461987421345</v>
      </c>
      <c r="IP105">
        <v>0.00116580895745559</v>
      </c>
      <c r="IQ105">
        <v>-1.679085872906199E-05</v>
      </c>
      <c r="IR105">
        <v>2</v>
      </c>
      <c r="IS105">
        <v>2290</v>
      </c>
      <c r="IT105">
        <v>0</v>
      </c>
      <c r="IU105">
        <v>32</v>
      </c>
      <c r="IV105">
        <v>5.6</v>
      </c>
      <c r="IW105">
        <v>5.2</v>
      </c>
      <c r="IX105">
        <v>2.12646</v>
      </c>
      <c r="IY105">
        <v>2.19971</v>
      </c>
      <c r="IZ105">
        <v>1.39648</v>
      </c>
      <c r="JA105">
        <v>2.35596</v>
      </c>
      <c r="JB105">
        <v>1.49536</v>
      </c>
      <c r="JC105">
        <v>2.27173</v>
      </c>
      <c r="JD105">
        <v>38.4524</v>
      </c>
      <c r="JE105">
        <v>24.035</v>
      </c>
      <c r="JF105">
        <v>18</v>
      </c>
      <c r="JG105">
        <v>512.0309999999999</v>
      </c>
      <c r="JH105">
        <v>427.966</v>
      </c>
      <c r="JI105">
        <v>22.4015</v>
      </c>
      <c r="JJ105">
        <v>28.6487</v>
      </c>
      <c r="JK105">
        <v>30.0001</v>
      </c>
      <c r="JL105">
        <v>28.613</v>
      </c>
      <c r="JM105">
        <v>28.5532</v>
      </c>
      <c r="JN105">
        <v>42.5235</v>
      </c>
      <c r="JO105">
        <v>36.3137</v>
      </c>
      <c r="JP105">
        <v>0</v>
      </c>
      <c r="JQ105">
        <v>22.3921</v>
      </c>
      <c r="JR105">
        <v>1022.88</v>
      </c>
      <c r="JS105">
        <v>12.1187</v>
      </c>
      <c r="JT105">
        <v>100.308</v>
      </c>
      <c r="JU105">
        <v>100.238</v>
      </c>
    </row>
    <row r="106" spans="1:281">
      <c r="A106">
        <v>90</v>
      </c>
      <c r="B106">
        <v>1651864578.1</v>
      </c>
      <c r="C106">
        <v>357.5</v>
      </c>
      <c r="D106" t="s">
        <v>600</v>
      </c>
      <c r="E106" t="s">
        <v>601</v>
      </c>
      <c r="F106">
        <v>2</v>
      </c>
      <c r="G106" t="s">
        <v>413</v>
      </c>
      <c r="H106" t="s">
        <v>414</v>
      </c>
      <c r="I106">
        <v>1651864577.1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1056.853676077777</v>
      </c>
      <c r="AK106">
        <v>1039.515333333333</v>
      </c>
      <c r="AL106">
        <v>-3.357331958963111</v>
      </c>
      <c r="AM106">
        <v>66.38192812717227</v>
      </c>
      <c r="AN106">
        <f>(AP106 - AO106 + DI106*1E3/(8.314*(DK106+273.15)) * AR106/DH106 * AQ106) * DH106/(100*CV106) * 1000/(1000 - AP106)</f>
        <v>0</v>
      </c>
      <c r="AO106">
        <v>11.9613047384603</v>
      </c>
      <c r="AP106">
        <v>18.15841588235294</v>
      </c>
      <c r="AQ106">
        <v>-5.981763801928363E-05</v>
      </c>
      <c r="AR106">
        <v>80.47224507511959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417</v>
      </c>
      <c r="AY106" t="s">
        <v>417</v>
      </c>
      <c r="AZ106">
        <v>0</v>
      </c>
      <c r="BA106">
        <v>0</v>
      </c>
      <c r="BB106">
        <f>1-AZ106/BA106</f>
        <v>0</v>
      </c>
      <c r="BC106">
        <v>0</v>
      </c>
      <c r="BD106" t="s">
        <v>417</v>
      </c>
      <c r="BE106" t="s">
        <v>417</v>
      </c>
      <c r="BF106">
        <v>0</v>
      </c>
      <c r="BG106">
        <v>0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417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1248</v>
      </c>
      <c r="CA106">
        <v>300</v>
      </c>
      <c r="CB106">
        <v>300</v>
      </c>
      <c r="CC106">
        <v>300</v>
      </c>
      <c r="CD106">
        <v>10442</v>
      </c>
      <c r="CE106">
        <v>1293.69</v>
      </c>
      <c r="CF106">
        <v>-0.00735246</v>
      </c>
      <c r="CG106">
        <v>0.5</v>
      </c>
      <c r="CH106" t="s">
        <v>417</v>
      </c>
      <c r="CI106" t="s">
        <v>417</v>
      </c>
      <c r="CJ106" t="s">
        <v>417</v>
      </c>
      <c r="CK106" t="s">
        <v>417</v>
      </c>
      <c r="CL106" t="s">
        <v>417</v>
      </c>
      <c r="CM106" t="s">
        <v>417</v>
      </c>
      <c r="CN106" t="s">
        <v>417</v>
      </c>
      <c r="CO106" t="s">
        <v>417</v>
      </c>
      <c r="CP106" t="s">
        <v>417</v>
      </c>
      <c r="CQ106" t="s">
        <v>417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418</v>
      </c>
      <c r="CY106">
        <v>2</v>
      </c>
      <c r="CZ106" t="b">
        <v>1</v>
      </c>
      <c r="DA106">
        <v>1651864577.1</v>
      </c>
      <c r="DB106">
        <v>1022.276666666667</v>
      </c>
      <c r="DC106">
        <v>1038.34</v>
      </c>
      <c r="DD106">
        <v>18.15773333333333</v>
      </c>
      <c r="DE106">
        <v>12.00243333333333</v>
      </c>
      <c r="DF106">
        <v>1024.34</v>
      </c>
      <c r="DG106">
        <v>18.1401</v>
      </c>
      <c r="DH106">
        <v>500.071</v>
      </c>
      <c r="DI106">
        <v>89.93740000000001</v>
      </c>
      <c r="DJ106">
        <v>0.100196</v>
      </c>
      <c r="DK106">
        <v>25.70316666666666</v>
      </c>
      <c r="DL106">
        <v>25.00516666666667</v>
      </c>
      <c r="DM106">
        <v>999.9</v>
      </c>
      <c r="DN106">
        <v>0</v>
      </c>
      <c r="DO106">
        <v>0</v>
      </c>
      <c r="DP106">
        <v>9987.290000000001</v>
      </c>
      <c r="DQ106">
        <v>0</v>
      </c>
      <c r="DR106">
        <v>3.21788</v>
      </c>
      <c r="DS106">
        <v>-16.05703333333333</v>
      </c>
      <c r="DT106">
        <v>1041.186666666667</v>
      </c>
      <c r="DU106">
        <v>1050.95</v>
      </c>
      <c r="DV106">
        <v>6.155296666666666</v>
      </c>
      <c r="DW106">
        <v>1038.34</v>
      </c>
      <c r="DX106">
        <v>12.00243333333333</v>
      </c>
      <c r="DY106">
        <v>1.633063333333333</v>
      </c>
      <c r="DZ106">
        <v>1.07947</v>
      </c>
      <c r="EA106">
        <v>14.27436666666667</v>
      </c>
      <c r="EB106">
        <v>8.035559999999998</v>
      </c>
      <c r="EC106">
        <v>1500.033333333333</v>
      </c>
      <c r="ED106">
        <v>0.9730036666666667</v>
      </c>
      <c r="EE106">
        <v>0.0269967</v>
      </c>
      <c r="EF106">
        <v>0</v>
      </c>
      <c r="EG106">
        <v>933.65</v>
      </c>
      <c r="EH106">
        <v>5.00097</v>
      </c>
      <c r="EI106">
        <v>13866.16666666667</v>
      </c>
      <c r="EJ106">
        <v>12491.93333333333</v>
      </c>
      <c r="EK106">
        <v>37.25</v>
      </c>
      <c r="EL106">
        <v>38.687</v>
      </c>
      <c r="EM106">
        <v>37.625</v>
      </c>
      <c r="EN106">
        <v>38.437</v>
      </c>
      <c r="EO106">
        <v>38.125</v>
      </c>
      <c r="EP106">
        <v>1454.673333333333</v>
      </c>
      <c r="EQ106">
        <v>40.36</v>
      </c>
      <c r="ER106">
        <v>0</v>
      </c>
      <c r="ES106">
        <v>357</v>
      </c>
      <c r="ET106">
        <v>0</v>
      </c>
      <c r="EU106">
        <v>935.96276</v>
      </c>
      <c r="EV106">
        <v>-21.56776927695472</v>
      </c>
      <c r="EW106">
        <v>-325.0538466553126</v>
      </c>
      <c r="EX106">
        <v>13899.008</v>
      </c>
      <c r="EY106">
        <v>15</v>
      </c>
      <c r="EZ106">
        <v>1651864261.1</v>
      </c>
      <c r="FA106" t="s">
        <v>419</v>
      </c>
      <c r="FB106">
        <v>1651864241.6</v>
      </c>
      <c r="FC106">
        <v>1651864261.1</v>
      </c>
      <c r="FD106">
        <v>7</v>
      </c>
      <c r="FE106">
        <v>0.438</v>
      </c>
      <c r="FF106">
        <v>0.002</v>
      </c>
      <c r="FG106">
        <v>-0.988</v>
      </c>
      <c r="FH106">
        <v>-0.066</v>
      </c>
      <c r="FI106">
        <v>400</v>
      </c>
      <c r="FJ106">
        <v>11</v>
      </c>
      <c r="FK106">
        <v>0.05</v>
      </c>
      <c r="FL106">
        <v>0.02</v>
      </c>
      <c r="FM106">
        <v>-16.58022</v>
      </c>
      <c r="FN106">
        <v>3.036384990619168</v>
      </c>
      <c r="FO106">
        <v>0.3094035885376897</v>
      </c>
      <c r="FP106">
        <v>-1</v>
      </c>
      <c r="FQ106">
        <v>6.29994225</v>
      </c>
      <c r="FR106">
        <v>-0.9392567729831246</v>
      </c>
      <c r="FS106">
        <v>0.09057122828159885</v>
      </c>
      <c r="FT106">
        <v>-1</v>
      </c>
      <c r="FU106">
        <v>0</v>
      </c>
      <c r="FV106">
        <v>0</v>
      </c>
      <c r="FW106">
        <v>0</v>
      </c>
      <c r="FX106">
        <v>-1</v>
      </c>
      <c r="FY106">
        <v>0</v>
      </c>
      <c r="FZ106">
        <v>0</v>
      </c>
      <c r="GA106" t="s">
        <v>420</v>
      </c>
      <c r="GB106">
        <v>2.98062</v>
      </c>
      <c r="GC106">
        <v>2.70621</v>
      </c>
      <c r="GD106">
        <v>0.173131</v>
      </c>
      <c r="GE106">
        <v>0.172889</v>
      </c>
      <c r="GF106">
        <v>0.0870083</v>
      </c>
      <c r="GG106">
        <v>0.0635283</v>
      </c>
      <c r="GH106">
        <v>26094.9</v>
      </c>
      <c r="GI106">
        <v>26161.2</v>
      </c>
      <c r="GJ106">
        <v>29344.9</v>
      </c>
      <c r="GK106">
        <v>29260.9</v>
      </c>
      <c r="GL106">
        <v>35477.8</v>
      </c>
      <c r="GM106">
        <v>36498.3</v>
      </c>
      <c r="GN106">
        <v>41304.9</v>
      </c>
      <c r="GO106">
        <v>41764.6</v>
      </c>
      <c r="GP106">
        <v>1.95737</v>
      </c>
      <c r="GQ106">
        <v>1.84888</v>
      </c>
      <c r="GR106">
        <v>-0.0240803</v>
      </c>
      <c r="GS106">
        <v>0</v>
      </c>
      <c r="GT106">
        <v>25.4069</v>
      </c>
      <c r="GU106">
        <v>999.9</v>
      </c>
      <c r="GV106">
        <v>31.8</v>
      </c>
      <c r="GW106">
        <v>34.2</v>
      </c>
      <c r="GX106">
        <v>19.1032</v>
      </c>
      <c r="GY106">
        <v>62.5974</v>
      </c>
      <c r="GZ106">
        <v>35.0962</v>
      </c>
      <c r="HA106">
        <v>1</v>
      </c>
      <c r="HB106">
        <v>0.104492</v>
      </c>
      <c r="HC106">
        <v>2.32596</v>
      </c>
      <c r="HD106">
        <v>20.3185</v>
      </c>
      <c r="HE106">
        <v>5.21849</v>
      </c>
      <c r="HF106">
        <v>12.0099</v>
      </c>
      <c r="HG106">
        <v>4.98905</v>
      </c>
      <c r="HH106">
        <v>3.28858</v>
      </c>
      <c r="HI106">
        <v>995.3</v>
      </c>
      <c r="HJ106">
        <v>9534.200000000001</v>
      </c>
      <c r="HK106">
        <v>5139.4</v>
      </c>
      <c r="HL106">
        <v>24.8</v>
      </c>
      <c r="HM106">
        <v>1.8675</v>
      </c>
      <c r="HN106">
        <v>1.86646</v>
      </c>
      <c r="HO106">
        <v>1.866</v>
      </c>
      <c r="HP106">
        <v>1.86584</v>
      </c>
      <c r="HQ106">
        <v>1.86768</v>
      </c>
      <c r="HR106">
        <v>1.87021</v>
      </c>
      <c r="HS106">
        <v>1.86887</v>
      </c>
      <c r="HT106">
        <v>1.87025</v>
      </c>
      <c r="HU106">
        <v>0</v>
      </c>
      <c r="HV106">
        <v>0</v>
      </c>
      <c r="HW106">
        <v>0</v>
      </c>
      <c r="HX106">
        <v>0</v>
      </c>
      <c r="HY106" t="s">
        <v>421</v>
      </c>
      <c r="HZ106" t="s">
        <v>422</v>
      </c>
      <c r="IA106" t="s">
        <v>423</v>
      </c>
      <c r="IB106" t="s">
        <v>423</v>
      </c>
      <c r="IC106" t="s">
        <v>423</v>
      </c>
      <c r="ID106" t="s">
        <v>423</v>
      </c>
      <c r="IE106">
        <v>0</v>
      </c>
      <c r="IF106">
        <v>100</v>
      </c>
      <c r="IG106">
        <v>100</v>
      </c>
      <c r="IH106">
        <v>-2.06</v>
      </c>
      <c r="II106">
        <v>0.0176</v>
      </c>
      <c r="IJ106">
        <v>-0.2164499368582429</v>
      </c>
      <c r="IK106">
        <v>-0.002077099775823331</v>
      </c>
      <c r="IL106">
        <v>4.593143279902166E-07</v>
      </c>
      <c r="IM106">
        <v>-1.865383991892071E-10</v>
      </c>
      <c r="IN106">
        <v>-0.06087574426827484</v>
      </c>
      <c r="IO106">
        <v>-0.01129461987421345</v>
      </c>
      <c r="IP106">
        <v>0.00116580895745559</v>
      </c>
      <c r="IQ106">
        <v>-1.679085872906199E-05</v>
      </c>
      <c r="IR106">
        <v>2</v>
      </c>
      <c r="IS106">
        <v>2290</v>
      </c>
      <c r="IT106">
        <v>0</v>
      </c>
      <c r="IU106">
        <v>32</v>
      </c>
      <c r="IV106">
        <v>5.6</v>
      </c>
      <c r="IW106">
        <v>5.3</v>
      </c>
      <c r="IX106">
        <v>2.11426</v>
      </c>
      <c r="IY106">
        <v>2.19727</v>
      </c>
      <c r="IZ106">
        <v>1.39648</v>
      </c>
      <c r="JA106">
        <v>2.35718</v>
      </c>
      <c r="JB106">
        <v>1.49536</v>
      </c>
      <c r="JC106">
        <v>2.36572</v>
      </c>
      <c r="JD106">
        <v>38.4524</v>
      </c>
      <c r="JE106">
        <v>24.0437</v>
      </c>
      <c r="JF106">
        <v>18</v>
      </c>
      <c r="JG106">
        <v>512.134</v>
      </c>
      <c r="JH106">
        <v>427.996</v>
      </c>
      <c r="JI106">
        <v>22.3958</v>
      </c>
      <c r="JJ106">
        <v>28.6487</v>
      </c>
      <c r="JK106">
        <v>30.0002</v>
      </c>
      <c r="JL106">
        <v>28.6137</v>
      </c>
      <c r="JM106">
        <v>28.5533</v>
      </c>
      <c r="JN106">
        <v>42.295</v>
      </c>
      <c r="JO106">
        <v>36.0355</v>
      </c>
      <c r="JP106">
        <v>0</v>
      </c>
      <c r="JQ106">
        <v>22.3921</v>
      </c>
      <c r="JR106">
        <v>1016.2</v>
      </c>
      <c r="JS106">
        <v>12.1541</v>
      </c>
      <c r="JT106">
        <v>100.308</v>
      </c>
      <c r="JU106">
        <v>100.238</v>
      </c>
    </row>
    <row r="107" spans="1:281">
      <c r="A107">
        <v>91</v>
      </c>
      <c r="B107">
        <v>1651864580.1</v>
      </c>
      <c r="C107">
        <v>359.5</v>
      </c>
      <c r="D107" t="s">
        <v>602</v>
      </c>
      <c r="E107" t="s">
        <v>603</v>
      </c>
      <c r="F107">
        <v>2</v>
      </c>
      <c r="G107" t="s">
        <v>413</v>
      </c>
      <c r="H107" t="s">
        <v>414</v>
      </c>
      <c r="I107">
        <v>1651864578.725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1050.209108512004</v>
      </c>
      <c r="AK107">
        <v>1032.838606060606</v>
      </c>
      <c r="AL107">
        <v>-3.343147791857461</v>
      </c>
      <c r="AM107">
        <v>66.38192812717227</v>
      </c>
      <c r="AN107">
        <f>(AP107 - AO107 + DI107*1E3/(8.314*(DK107+273.15)) * AR107/DH107 * AQ107) * DH107/(100*CV107) * 1000/(1000 - AP107)</f>
        <v>0</v>
      </c>
      <c r="AO107">
        <v>11.98924130161301</v>
      </c>
      <c r="AP107">
        <v>18.15464264705881</v>
      </c>
      <c r="AQ107">
        <v>1.491681620923645E-06</v>
      </c>
      <c r="AR107">
        <v>80.47224507511959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417</v>
      </c>
      <c r="AY107" t="s">
        <v>417</v>
      </c>
      <c r="AZ107">
        <v>0</v>
      </c>
      <c r="BA107">
        <v>0</v>
      </c>
      <c r="BB107">
        <f>1-AZ107/BA107</f>
        <v>0</v>
      </c>
      <c r="BC107">
        <v>0</v>
      </c>
      <c r="BD107" t="s">
        <v>417</v>
      </c>
      <c r="BE107" t="s">
        <v>417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417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1248</v>
      </c>
      <c r="CA107">
        <v>300</v>
      </c>
      <c r="CB107">
        <v>300</v>
      </c>
      <c r="CC107">
        <v>300</v>
      </c>
      <c r="CD107">
        <v>10442</v>
      </c>
      <c r="CE107">
        <v>1293.69</v>
      </c>
      <c r="CF107">
        <v>-0.00735246</v>
      </c>
      <c r="CG107">
        <v>0.5</v>
      </c>
      <c r="CH107" t="s">
        <v>417</v>
      </c>
      <c r="CI107" t="s">
        <v>417</v>
      </c>
      <c r="CJ107" t="s">
        <v>417</v>
      </c>
      <c r="CK107" t="s">
        <v>417</v>
      </c>
      <c r="CL107" t="s">
        <v>417</v>
      </c>
      <c r="CM107" t="s">
        <v>417</v>
      </c>
      <c r="CN107" t="s">
        <v>417</v>
      </c>
      <c r="CO107" t="s">
        <v>417</v>
      </c>
      <c r="CP107" t="s">
        <v>417</v>
      </c>
      <c r="CQ107" t="s">
        <v>417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418</v>
      </c>
      <c r="CY107">
        <v>2</v>
      </c>
      <c r="CZ107" t="b">
        <v>1</v>
      </c>
      <c r="DA107">
        <v>1651864578.725</v>
      </c>
      <c r="DB107">
        <v>1016.9525</v>
      </c>
      <c r="DC107">
        <v>1033.09</v>
      </c>
      <c r="DD107">
        <v>18.1555</v>
      </c>
      <c r="DE107">
        <v>12.020775</v>
      </c>
      <c r="DF107">
        <v>1019.005</v>
      </c>
      <c r="DG107">
        <v>18.1379</v>
      </c>
      <c r="DH107">
        <v>500.0295</v>
      </c>
      <c r="DI107">
        <v>89.93629999999999</v>
      </c>
      <c r="DJ107">
        <v>0.09987872499999999</v>
      </c>
      <c r="DK107">
        <v>25.70085</v>
      </c>
      <c r="DL107">
        <v>25.009325</v>
      </c>
      <c r="DM107">
        <v>999.9</v>
      </c>
      <c r="DN107">
        <v>0</v>
      </c>
      <c r="DO107">
        <v>0</v>
      </c>
      <c r="DP107">
        <v>10015</v>
      </c>
      <c r="DQ107">
        <v>0</v>
      </c>
      <c r="DR107">
        <v>3.216475</v>
      </c>
      <c r="DS107">
        <v>-16.1372</v>
      </c>
      <c r="DT107">
        <v>1035.7575</v>
      </c>
      <c r="DU107">
        <v>1045.66</v>
      </c>
      <c r="DV107">
        <v>6.134715</v>
      </c>
      <c r="DW107">
        <v>1033.09</v>
      </c>
      <c r="DX107">
        <v>12.020775</v>
      </c>
      <c r="DY107">
        <v>1.63284</v>
      </c>
      <c r="DZ107">
        <v>1.081105</v>
      </c>
      <c r="EA107">
        <v>14.272275</v>
      </c>
      <c r="EB107">
        <v>8.057817500000001</v>
      </c>
      <c r="EC107">
        <v>1500.03</v>
      </c>
      <c r="ED107">
        <v>0.97300575</v>
      </c>
      <c r="EE107">
        <v>0.02699445</v>
      </c>
      <c r="EF107">
        <v>0</v>
      </c>
      <c r="EG107">
        <v>932.8869999999999</v>
      </c>
      <c r="EH107">
        <v>5.00097</v>
      </c>
      <c r="EI107">
        <v>13857.65</v>
      </c>
      <c r="EJ107">
        <v>12491.9</v>
      </c>
      <c r="EK107">
        <v>37.25</v>
      </c>
      <c r="EL107">
        <v>38.7185</v>
      </c>
      <c r="EM107">
        <v>37.625</v>
      </c>
      <c r="EN107">
        <v>38.437</v>
      </c>
      <c r="EO107">
        <v>38.125</v>
      </c>
      <c r="EP107">
        <v>1454.67</v>
      </c>
      <c r="EQ107">
        <v>40.36</v>
      </c>
      <c r="ER107">
        <v>0</v>
      </c>
      <c r="ES107">
        <v>358.7999999523163</v>
      </c>
      <c r="ET107">
        <v>0</v>
      </c>
      <c r="EU107">
        <v>935.3823461538461</v>
      </c>
      <c r="EV107">
        <v>-22.25295727261135</v>
      </c>
      <c r="EW107">
        <v>-321.1452991658404</v>
      </c>
      <c r="EX107">
        <v>13890.96538461538</v>
      </c>
      <c r="EY107">
        <v>15</v>
      </c>
      <c r="EZ107">
        <v>1651864261.1</v>
      </c>
      <c r="FA107" t="s">
        <v>419</v>
      </c>
      <c r="FB107">
        <v>1651864241.6</v>
      </c>
      <c r="FC107">
        <v>1651864261.1</v>
      </c>
      <c r="FD107">
        <v>7</v>
      </c>
      <c r="FE107">
        <v>0.438</v>
      </c>
      <c r="FF107">
        <v>0.002</v>
      </c>
      <c r="FG107">
        <v>-0.988</v>
      </c>
      <c r="FH107">
        <v>-0.066</v>
      </c>
      <c r="FI107">
        <v>400</v>
      </c>
      <c r="FJ107">
        <v>11</v>
      </c>
      <c r="FK107">
        <v>0.05</v>
      </c>
      <c r="FL107">
        <v>0.02</v>
      </c>
      <c r="FM107">
        <v>-16.5209731707317</v>
      </c>
      <c r="FN107">
        <v>2.913102439024368</v>
      </c>
      <c r="FO107">
        <v>0.3051518318799717</v>
      </c>
      <c r="FP107">
        <v>-1</v>
      </c>
      <c r="FQ107">
        <v>6.281368292682927</v>
      </c>
      <c r="FR107">
        <v>-0.9287734494773501</v>
      </c>
      <c r="FS107">
        <v>0.09182647678392371</v>
      </c>
      <c r="FT107">
        <v>-1</v>
      </c>
      <c r="FU107">
        <v>0</v>
      </c>
      <c r="FV107">
        <v>0</v>
      </c>
      <c r="FW107">
        <v>0</v>
      </c>
      <c r="FX107">
        <v>-1</v>
      </c>
      <c r="FY107">
        <v>0</v>
      </c>
      <c r="FZ107">
        <v>0</v>
      </c>
      <c r="GA107" t="s">
        <v>420</v>
      </c>
      <c r="GB107">
        <v>2.98061</v>
      </c>
      <c r="GC107">
        <v>2.70616</v>
      </c>
      <c r="GD107">
        <v>0.172416</v>
      </c>
      <c r="GE107">
        <v>0.172178</v>
      </c>
      <c r="GF107">
        <v>0.0869996</v>
      </c>
      <c r="GG107">
        <v>0.0636215</v>
      </c>
      <c r="GH107">
        <v>26117.4</v>
      </c>
      <c r="GI107">
        <v>26183.6</v>
      </c>
      <c r="GJ107">
        <v>29344.8</v>
      </c>
      <c r="GK107">
        <v>29260.7</v>
      </c>
      <c r="GL107">
        <v>35477.9</v>
      </c>
      <c r="GM107">
        <v>36494.3</v>
      </c>
      <c r="GN107">
        <v>41304.5</v>
      </c>
      <c r="GO107">
        <v>41764.2</v>
      </c>
      <c r="GP107">
        <v>1.95725</v>
      </c>
      <c r="GQ107">
        <v>1.84888</v>
      </c>
      <c r="GR107">
        <v>-0.0244118</v>
      </c>
      <c r="GS107">
        <v>0</v>
      </c>
      <c r="GT107">
        <v>25.408</v>
      </c>
      <c r="GU107">
        <v>999.9</v>
      </c>
      <c r="GV107">
        <v>31.8</v>
      </c>
      <c r="GW107">
        <v>34.2</v>
      </c>
      <c r="GX107">
        <v>19.1037</v>
      </c>
      <c r="GY107">
        <v>62.4274</v>
      </c>
      <c r="GZ107">
        <v>34.8878</v>
      </c>
      <c r="HA107">
        <v>1</v>
      </c>
      <c r="HB107">
        <v>0.104477</v>
      </c>
      <c r="HC107">
        <v>2.31117</v>
      </c>
      <c r="HD107">
        <v>20.3186</v>
      </c>
      <c r="HE107">
        <v>5.21879</v>
      </c>
      <c r="HF107">
        <v>12.0099</v>
      </c>
      <c r="HG107">
        <v>4.9893</v>
      </c>
      <c r="HH107">
        <v>3.28865</v>
      </c>
      <c r="HI107">
        <v>995.3</v>
      </c>
      <c r="HJ107">
        <v>9534.200000000001</v>
      </c>
      <c r="HK107">
        <v>5139.4</v>
      </c>
      <c r="HL107">
        <v>24.8</v>
      </c>
      <c r="HM107">
        <v>1.86752</v>
      </c>
      <c r="HN107">
        <v>1.86646</v>
      </c>
      <c r="HO107">
        <v>1.866</v>
      </c>
      <c r="HP107">
        <v>1.86584</v>
      </c>
      <c r="HQ107">
        <v>1.86769</v>
      </c>
      <c r="HR107">
        <v>1.87021</v>
      </c>
      <c r="HS107">
        <v>1.86889</v>
      </c>
      <c r="HT107">
        <v>1.87024</v>
      </c>
      <c r="HU107">
        <v>0</v>
      </c>
      <c r="HV107">
        <v>0</v>
      </c>
      <c r="HW107">
        <v>0</v>
      </c>
      <c r="HX107">
        <v>0</v>
      </c>
      <c r="HY107" t="s">
        <v>421</v>
      </c>
      <c r="HZ107" t="s">
        <v>422</v>
      </c>
      <c r="IA107" t="s">
        <v>423</v>
      </c>
      <c r="IB107" t="s">
        <v>423</v>
      </c>
      <c r="IC107" t="s">
        <v>423</v>
      </c>
      <c r="ID107" t="s">
        <v>423</v>
      </c>
      <c r="IE107">
        <v>0</v>
      </c>
      <c r="IF107">
        <v>100</v>
      </c>
      <c r="IG107">
        <v>100</v>
      </c>
      <c r="IH107">
        <v>-2.05</v>
      </c>
      <c r="II107">
        <v>0.0176</v>
      </c>
      <c r="IJ107">
        <v>-0.2164499368582429</v>
      </c>
      <c r="IK107">
        <v>-0.002077099775823331</v>
      </c>
      <c r="IL107">
        <v>4.593143279902166E-07</v>
      </c>
      <c r="IM107">
        <v>-1.865383991892071E-10</v>
      </c>
      <c r="IN107">
        <v>-0.06087574426827484</v>
      </c>
      <c r="IO107">
        <v>-0.01129461987421345</v>
      </c>
      <c r="IP107">
        <v>0.00116580895745559</v>
      </c>
      <c r="IQ107">
        <v>-1.679085872906199E-05</v>
      </c>
      <c r="IR107">
        <v>2</v>
      </c>
      <c r="IS107">
        <v>2290</v>
      </c>
      <c r="IT107">
        <v>0</v>
      </c>
      <c r="IU107">
        <v>32</v>
      </c>
      <c r="IV107">
        <v>5.6</v>
      </c>
      <c r="IW107">
        <v>5.3</v>
      </c>
      <c r="IX107">
        <v>2.10449</v>
      </c>
      <c r="IY107">
        <v>2.20337</v>
      </c>
      <c r="IZ107">
        <v>1.39648</v>
      </c>
      <c r="JA107">
        <v>2.35596</v>
      </c>
      <c r="JB107">
        <v>1.49536</v>
      </c>
      <c r="JC107">
        <v>2.33765</v>
      </c>
      <c r="JD107">
        <v>38.4524</v>
      </c>
      <c r="JE107">
        <v>24.035</v>
      </c>
      <c r="JF107">
        <v>18</v>
      </c>
      <c r="JG107">
        <v>512.062</v>
      </c>
      <c r="JH107">
        <v>427.997</v>
      </c>
      <c r="JI107">
        <v>22.3901</v>
      </c>
      <c r="JJ107">
        <v>28.6487</v>
      </c>
      <c r="JK107">
        <v>30.0002</v>
      </c>
      <c r="JL107">
        <v>28.6149</v>
      </c>
      <c r="JM107">
        <v>28.5533</v>
      </c>
      <c r="JN107">
        <v>42.1094</v>
      </c>
      <c r="JO107">
        <v>36.0355</v>
      </c>
      <c r="JP107">
        <v>0</v>
      </c>
      <c r="JQ107">
        <v>22.3837</v>
      </c>
      <c r="JR107">
        <v>1009.53</v>
      </c>
      <c r="JS107">
        <v>12.1758</v>
      </c>
      <c r="JT107">
        <v>100.307</v>
      </c>
      <c r="JU107">
        <v>100.237</v>
      </c>
    </row>
    <row r="108" spans="1:281">
      <c r="A108">
        <v>92</v>
      </c>
      <c r="B108">
        <v>1651864582.1</v>
      </c>
      <c r="C108">
        <v>361.5</v>
      </c>
      <c r="D108" t="s">
        <v>604</v>
      </c>
      <c r="E108" t="s">
        <v>605</v>
      </c>
      <c r="F108">
        <v>2</v>
      </c>
      <c r="G108" t="s">
        <v>413</v>
      </c>
      <c r="H108" t="s">
        <v>414</v>
      </c>
      <c r="I108">
        <v>1651864581.1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1043.647299689905</v>
      </c>
      <c r="AK108">
        <v>1026.141939393939</v>
      </c>
      <c r="AL108">
        <v>-3.342486072923911</v>
      </c>
      <c r="AM108">
        <v>66.38192812717227</v>
      </c>
      <c r="AN108">
        <f>(AP108 - AO108 + DI108*1E3/(8.314*(DK108+273.15)) * AR108/DH108 * AQ108) * DH108/(100*CV108) * 1000/(1000 - AP108)</f>
        <v>0</v>
      </c>
      <c r="AO108">
        <v>12.00713111177562</v>
      </c>
      <c r="AP108">
        <v>18.15162058823528</v>
      </c>
      <c r="AQ108">
        <v>-1.798466535049477E-06</v>
      </c>
      <c r="AR108">
        <v>80.47224507511959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417</v>
      </c>
      <c r="AY108" t="s">
        <v>417</v>
      </c>
      <c r="AZ108">
        <v>0</v>
      </c>
      <c r="BA108">
        <v>0</v>
      </c>
      <c r="BB108">
        <f>1-AZ108/BA108</f>
        <v>0</v>
      </c>
      <c r="BC108">
        <v>0</v>
      </c>
      <c r="BD108" t="s">
        <v>417</v>
      </c>
      <c r="BE108" t="s">
        <v>417</v>
      </c>
      <c r="BF108">
        <v>0</v>
      </c>
      <c r="BG108">
        <v>0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417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1248</v>
      </c>
      <c r="CA108">
        <v>300</v>
      </c>
      <c r="CB108">
        <v>300</v>
      </c>
      <c r="CC108">
        <v>300</v>
      </c>
      <c r="CD108">
        <v>10442</v>
      </c>
      <c r="CE108">
        <v>1293.69</v>
      </c>
      <c r="CF108">
        <v>-0.00735246</v>
      </c>
      <c r="CG108">
        <v>0.5</v>
      </c>
      <c r="CH108" t="s">
        <v>417</v>
      </c>
      <c r="CI108" t="s">
        <v>417</v>
      </c>
      <c r="CJ108" t="s">
        <v>417</v>
      </c>
      <c r="CK108" t="s">
        <v>417</v>
      </c>
      <c r="CL108" t="s">
        <v>417</v>
      </c>
      <c r="CM108" t="s">
        <v>417</v>
      </c>
      <c r="CN108" t="s">
        <v>417</v>
      </c>
      <c r="CO108" t="s">
        <v>417</v>
      </c>
      <c r="CP108" t="s">
        <v>417</v>
      </c>
      <c r="CQ108" t="s">
        <v>417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418</v>
      </c>
      <c r="CY108">
        <v>2</v>
      </c>
      <c r="CZ108" t="b">
        <v>1</v>
      </c>
      <c r="DA108">
        <v>1651864581.1</v>
      </c>
      <c r="DB108">
        <v>1009.163333333333</v>
      </c>
      <c r="DC108">
        <v>1025.056666666667</v>
      </c>
      <c r="DD108">
        <v>18.15266666666666</v>
      </c>
      <c r="DE108">
        <v>12.05446666666666</v>
      </c>
      <c r="DF108">
        <v>1011.203333333333</v>
      </c>
      <c r="DG108">
        <v>18.13513333333333</v>
      </c>
      <c r="DH108">
        <v>500.023</v>
      </c>
      <c r="DI108">
        <v>89.93753333333332</v>
      </c>
      <c r="DJ108">
        <v>0.09972456666666667</v>
      </c>
      <c r="DK108">
        <v>25.70136666666667</v>
      </c>
      <c r="DL108">
        <v>25.01136666666666</v>
      </c>
      <c r="DM108">
        <v>999.9</v>
      </c>
      <c r="DN108">
        <v>0</v>
      </c>
      <c r="DO108">
        <v>0</v>
      </c>
      <c r="DP108">
        <v>10022.46666666667</v>
      </c>
      <c r="DQ108">
        <v>0</v>
      </c>
      <c r="DR108">
        <v>3.214603333333333</v>
      </c>
      <c r="DS108">
        <v>-15.8936</v>
      </c>
      <c r="DT108">
        <v>1027.816666666667</v>
      </c>
      <c r="DU108">
        <v>1037.56</v>
      </c>
      <c r="DV108">
        <v>6.098213333333334</v>
      </c>
      <c r="DW108">
        <v>1025.056666666667</v>
      </c>
      <c r="DX108">
        <v>12.05446666666666</v>
      </c>
      <c r="DY108">
        <v>1.63261</v>
      </c>
      <c r="DZ108">
        <v>1.08415</v>
      </c>
      <c r="EA108">
        <v>14.27006666666666</v>
      </c>
      <c r="EB108">
        <v>8.099166666666667</v>
      </c>
      <c r="EC108">
        <v>1500.033333333334</v>
      </c>
      <c r="ED108">
        <v>0.973007</v>
      </c>
      <c r="EE108">
        <v>0.0269931</v>
      </c>
      <c r="EF108">
        <v>0</v>
      </c>
      <c r="EG108">
        <v>932.4393333333333</v>
      </c>
      <c r="EH108">
        <v>5.00097</v>
      </c>
      <c r="EI108">
        <v>13845.5</v>
      </c>
      <c r="EJ108">
        <v>12491.9</v>
      </c>
      <c r="EK108">
        <v>37.25</v>
      </c>
      <c r="EL108">
        <v>38.708</v>
      </c>
      <c r="EM108">
        <v>37.625</v>
      </c>
      <c r="EN108">
        <v>38.437</v>
      </c>
      <c r="EO108">
        <v>38.125</v>
      </c>
      <c r="EP108">
        <v>1454.673333333333</v>
      </c>
      <c r="EQ108">
        <v>40.36</v>
      </c>
      <c r="ER108">
        <v>0</v>
      </c>
      <c r="ES108">
        <v>361.2000000476837</v>
      </c>
      <c r="ET108">
        <v>0</v>
      </c>
      <c r="EU108">
        <v>934.5383846153846</v>
      </c>
      <c r="EV108">
        <v>-22.11172646709357</v>
      </c>
      <c r="EW108">
        <v>-317.5521363001288</v>
      </c>
      <c r="EX108">
        <v>13878.3076923077</v>
      </c>
      <c r="EY108">
        <v>15</v>
      </c>
      <c r="EZ108">
        <v>1651864261.1</v>
      </c>
      <c r="FA108" t="s">
        <v>419</v>
      </c>
      <c r="FB108">
        <v>1651864241.6</v>
      </c>
      <c r="FC108">
        <v>1651864261.1</v>
      </c>
      <c r="FD108">
        <v>7</v>
      </c>
      <c r="FE108">
        <v>0.438</v>
      </c>
      <c r="FF108">
        <v>0.002</v>
      </c>
      <c r="FG108">
        <v>-0.988</v>
      </c>
      <c r="FH108">
        <v>-0.066</v>
      </c>
      <c r="FI108">
        <v>400</v>
      </c>
      <c r="FJ108">
        <v>11</v>
      </c>
      <c r="FK108">
        <v>0.05</v>
      </c>
      <c r="FL108">
        <v>0.02</v>
      </c>
      <c r="FM108">
        <v>-16.3963425</v>
      </c>
      <c r="FN108">
        <v>2.754025891182012</v>
      </c>
      <c r="FO108">
        <v>0.2855972512888558</v>
      </c>
      <c r="FP108">
        <v>-1</v>
      </c>
      <c r="FQ108">
        <v>6.239939</v>
      </c>
      <c r="FR108">
        <v>-0.898517673545977</v>
      </c>
      <c r="FS108">
        <v>0.08673990958030797</v>
      </c>
      <c r="FT108">
        <v>-1</v>
      </c>
      <c r="FU108">
        <v>0</v>
      </c>
      <c r="FV108">
        <v>0</v>
      </c>
      <c r="FW108">
        <v>0</v>
      </c>
      <c r="FX108">
        <v>-1</v>
      </c>
      <c r="FY108">
        <v>0</v>
      </c>
      <c r="FZ108">
        <v>0</v>
      </c>
      <c r="GA108" t="s">
        <v>420</v>
      </c>
      <c r="GB108">
        <v>2.98032</v>
      </c>
      <c r="GC108">
        <v>2.70615</v>
      </c>
      <c r="GD108">
        <v>0.171703</v>
      </c>
      <c r="GE108">
        <v>0.171459</v>
      </c>
      <c r="GF108">
        <v>0.0869938</v>
      </c>
      <c r="GG108">
        <v>0.0637677</v>
      </c>
      <c r="GH108">
        <v>26140.4</v>
      </c>
      <c r="GI108">
        <v>26206.3</v>
      </c>
      <c r="GJ108">
        <v>29345.3</v>
      </c>
      <c r="GK108">
        <v>29260.7</v>
      </c>
      <c r="GL108">
        <v>35478.5</v>
      </c>
      <c r="GM108">
        <v>36488.6</v>
      </c>
      <c r="GN108">
        <v>41305</v>
      </c>
      <c r="GO108">
        <v>41764.2</v>
      </c>
      <c r="GP108">
        <v>1.95685</v>
      </c>
      <c r="GQ108">
        <v>1.84883</v>
      </c>
      <c r="GR108">
        <v>-0.0240356</v>
      </c>
      <c r="GS108">
        <v>0</v>
      </c>
      <c r="GT108">
        <v>25.408</v>
      </c>
      <c r="GU108">
        <v>999.9</v>
      </c>
      <c r="GV108">
        <v>31.8</v>
      </c>
      <c r="GW108">
        <v>34.3</v>
      </c>
      <c r="GX108">
        <v>19.2095</v>
      </c>
      <c r="GY108">
        <v>62.7074</v>
      </c>
      <c r="GZ108">
        <v>35.3165</v>
      </c>
      <c r="HA108">
        <v>1</v>
      </c>
      <c r="HB108">
        <v>0.104446</v>
      </c>
      <c r="HC108">
        <v>2.31348</v>
      </c>
      <c r="HD108">
        <v>20.3185</v>
      </c>
      <c r="HE108">
        <v>5.21864</v>
      </c>
      <c r="HF108">
        <v>12.0099</v>
      </c>
      <c r="HG108">
        <v>4.98915</v>
      </c>
      <c r="HH108">
        <v>3.28858</v>
      </c>
      <c r="HI108">
        <v>995.3</v>
      </c>
      <c r="HJ108">
        <v>9534.200000000001</v>
      </c>
      <c r="HK108">
        <v>5139.4</v>
      </c>
      <c r="HL108">
        <v>24.8</v>
      </c>
      <c r="HM108">
        <v>1.86752</v>
      </c>
      <c r="HN108">
        <v>1.86646</v>
      </c>
      <c r="HO108">
        <v>1.866</v>
      </c>
      <c r="HP108">
        <v>1.86584</v>
      </c>
      <c r="HQ108">
        <v>1.86769</v>
      </c>
      <c r="HR108">
        <v>1.87021</v>
      </c>
      <c r="HS108">
        <v>1.8689</v>
      </c>
      <c r="HT108">
        <v>1.87025</v>
      </c>
      <c r="HU108">
        <v>0</v>
      </c>
      <c r="HV108">
        <v>0</v>
      </c>
      <c r="HW108">
        <v>0</v>
      </c>
      <c r="HX108">
        <v>0</v>
      </c>
      <c r="HY108" t="s">
        <v>421</v>
      </c>
      <c r="HZ108" t="s">
        <v>422</v>
      </c>
      <c r="IA108" t="s">
        <v>423</v>
      </c>
      <c r="IB108" t="s">
        <v>423</v>
      </c>
      <c r="IC108" t="s">
        <v>423</v>
      </c>
      <c r="ID108" t="s">
        <v>423</v>
      </c>
      <c r="IE108">
        <v>0</v>
      </c>
      <c r="IF108">
        <v>100</v>
      </c>
      <c r="IG108">
        <v>100</v>
      </c>
      <c r="IH108">
        <v>-2.03</v>
      </c>
      <c r="II108">
        <v>0.0176</v>
      </c>
      <c r="IJ108">
        <v>-0.2164499368582429</v>
      </c>
      <c r="IK108">
        <v>-0.002077099775823331</v>
      </c>
      <c r="IL108">
        <v>4.593143279902166E-07</v>
      </c>
      <c r="IM108">
        <v>-1.865383991892071E-10</v>
      </c>
      <c r="IN108">
        <v>-0.06087574426827484</v>
      </c>
      <c r="IO108">
        <v>-0.01129461987421345</v>
      </c>
      <c r="IP108">
        <v>0.00116580895745559</v>
      </c>
      <c r="IQ108">
        <v>-1.679085872906199E-05</v>
      </c>
      <c r="IR108">
        <v>2</v>
      </c>
      <c r="IS108">
        <v>2290</v>
      </c>
      <c r="IT108">
        <v>0</v>
      </c>
      <c r="IU108">
        <v>32</v>
      </c>
      <c r="IV108">
        <v>5.7</v>
      </c>
      <c r="IW108">
        <v>5.3</v>
      </c>
      <c r="IX108">
        <v>2.09351</v>
      </c>
      <c r="IY108">
        <v>2.19482</v>
      </c>
      <c r="IZ108">
        <v>1.39648</v>
      </c>
      <c r="JA108">
        <v>2.35718</v>
      </c>
      <c r="JB108">
        <v>1.49536</v>
      </c>
      <c r="JC108">
        <v>2.34985</v>
      </c>
      <c r="JD108">
        <v>38.4524</v>
      </c>
      <c r="JE108">
        <v>24.035</v>
      </c>
      <c r="JF108">
        <v>18</v>
      </c>
      <c r="JG108">
        <v>511.806</v>
      </c>
      <c r="JH108">
        <v>427.966</v>
      </c>
      <c r="JI108">
        <v>22.3864</v>
      </c>
      <c r="JJ108">
        <v>28.6487</v>
      </c>
      <c r="JK108">
        <v>30.0001</v>
      </c>
      <c r="JL108">
        <v>28.6155</v>
      </c>
      <c r="JM108">
        <v>28.5533</v>
      </c>
      <c r="JN108">
        <v>41.8753</v>
      </c>
      <c r="JO108">
        <v>36.0355</v>
      </c>
      <c r="JP108">
        <v>0</v>
      </c>
      <c r="JQ108">
        <v>22.3837</v>
      </c>
      <c r="JR108">
        <v>1002.85</v>
      </c>
      <c r="JS108">
        <v>12.2098</v>
      </c>
      <c r="JT108">
        <v>100.308</v>
      </c>
      <c r="JU108">
        <v>100.237</v>
      </c>
    </row>
    <row r="109" spans="1:281">
      <c r="A109">
        <v>93</v>
      </c>
      <c r="B109">
        <v>1651864584.1</v>
      </c>
      <c r="C109">
        <v>363.5</v>
      </c>
      <c r="D109" t="s">
        <v>606</v>
      </c>
      <c r="E109" t="s">
        <v>607</v>
      </c>
      <c r="F109">
        <v>2</v>
      </c>
      <c r="G109" t="s">
        <v>413</v>
      </c>
      <c r="H109" t="s">
        <v>414</v>
      </c>
      <c r="I109">
        <v>1651864582.725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1036.779754042999</v>
      </c>
      <c r="AK109">
        <v>1019.479636363636</v>
      </c>
      <c r="AL109">
        <v>-3.33824207440289</v>
      </c>
      <c r="AM109">
        <v>66.38192812717227</v>
      </c>
      <c r="AN109">
        <f>(AP109 - AO109 + DI109*1E3/(8.314*(DK109+273.15)) * AR109/DH109 * AQ109) * DH109/(100*CV109) * 1000/(1000 - AP109)</f>
        <v>0</v>
      </c>
      <c r="AO109">
        <v>12.03092196714186</v>
      </c>
      <c r="AP109">
        <v>18.14883705882352</v>
      </c>
      <c r="AQ109">
        <v>-2.327172750098456E-05</v>
      </c>
      <c r="AR109">
        <v>80.47224507511959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417</v>
      </c>
      <c r="AY109" t="s">
        <v>417</v>
      </c>
      <c r="AZ109">
        <v>0</v>
      </c>
      <c r="BA109">
        <v>0</v>
      </c>
      <c r="BB109">
        <f>1-AZ109/BA109</f>
        <v>0</v>
      </c>
      <c r="BC109">
        <v>0</v>
      </c>
      <c r="BD109" t="s">
        <v>417</v>
      </c>
      <c r="BE109" t="s">
        <v>417</v>
      </c>
      <c r="BF109">
        <v>0</v>
      </c>
      <c r="BG109">
        <v>0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417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1248</v>
      </c>
      <c r="CA109">
        <v>300</v>
      </c>
      <c r="CB109">
        <v>300</v>
      </c>
      <c r="CC109">
        <v>300</v>
      </c>
      <c r="CD109">
        <v>10442</v>
      </c>
      <c r="CE109">
        <v>1293.69</v>
      </c>
      <c r="CF109">
        <v>-0.00735246</v>
      </c>
      <c r="CG109">
        <v>0.5</v>
      </c>
      <c r="CH109" t="s">
        <v>417</v>
      </c>
      <c r="CI109" t="s">
        <v>417</v>
      </c>
      <c r="CJ109" t="s">
        <v>417</v>
      </c>
      <c r="CK109" t="s">
        <v>417</v>
      </c>
      <c r="CL109" t="s">
        <v>417</v>
      </c>
      <c r="CM109" t="s">
        <v>417</v>
      </c>
      <c r="CN109" t="s">
        <v>417</v>
      </c>
      <c r="CO109" t="s">
        <v>417</v>
      </c>
      <c r="CP109" t="s">
        <v>417</v>
      </c>
      <c r="CQ109" t="s">
        <v>417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418</v>
      </c>
      <c r="CY109">
        <v>2</v>
      </c>
      <c r="CZ109" t="b">
        <v>1</v>
      </c>
      <c r="DA109">
        <v>1651864582.725</v>
      </c>
      <c r="DB109">
        <v>1003.8425</v>
      </c>
      <c r="DC109">
        <v>1019.7175</v>
      </c>
      <c r="DD109">
        <v>18.15015</v>
      </c>
      <c r="DE109">
        <v>12.08705</v>
      </c>
      <c r="DF109">
        <v>1005.8725</v>
      </c>
      <c r="DG109">
        <v>18.13265</v>
      </c>
      <c r="DH109">
        <v>500.02425</v>
      </c>
      <c r="DI109">
        <v>89.93934999999999</v>
      </c>
      <c r="DJ109">
        <v>0.0998835</v>
      </c>
      <c r="DK109">
        <v>25.70475</v>
      </c>
      <c r="DL109">
        <v>25.0173</v>
      </c>
      <c r="DM109">
        <v>999.9</v>
      </c>
      <c r="DN109">
        <v>0</v>
      </c>
      <c r="DO109">
        <v>0</v>
      </c>
      <c r="DP109">
        <v>10010.6</v>
      </c>
      <c r="DQ109">
        <v>0</v>
      </c>
      <c r="DR109">
        <v>3.22596</v>
      </c>
      <c r="DS109">
        <v>-15.87505</v>
      </c>
      <c r="DT109">
        <v>1022.3975</v>
      </c>
      <c r="DU109">
        <v>1032.1925</v>
      </c>
      <c r="DV109">
        <v>6.063125</v>
      </c>
      <c r="DW109">
        <v>1019.7175</v>
      </c>
      <c r="DX109">
        <v>12.08705</v>
      </c>
      <c r="DY109">
        <v>1.632415</v>
      </c>
      <c r="DZ109">
        <v>1.0871</v>
      </c>
      <c r="EA109">
        <v>14.26825</v>
      </c>
      <c r="EB109">
        <v>8.139155000000001</v>
      </c>
      <c r="EC109">
        <v>1500.0375</v>
      </c>
      <c r="ED109">
        <v>0.973007</v>
      </c>
      <c r="EE109">
        <v>0.0269931</v>
      </c>
      <c r="EF109">
        <v>0</v>
      </c>
      <c r="EG109">
        <v>931.69625</v>
      </c>
      <c r="EH109">
        <v>5.00097</v>
      </c>
      <c r="EI109">
        <v>13837.75</v>
      </c>
      <c r="EJ109">
        <v>12491.9</v>
      </c>
      <c r="EK109">
        <v>37.25</v>
      </c>
      <c r="EL109">
        <v>38.70274999999999</v>
      </c>
      <c r="EM109">
        <v>37.625</v>
      </c>
      <c r="EN109">
        <v>38.437</v>
      </c>
      <c r="EO109">
        <v>38.125</v>
      </c>
      <c r="EP109">
        <v>1454.6775</v>
      </c>
      <c r="EQ109">
        <v>40.36</v>
      </c>
      <c r="ER109">
        <v>0</v>
      </c>
      <c r="ES109">
        <v>363</v>
      </c>
      <c r="ET109">
        <v>0</v>
      </c>
      <c r="EU109">
        <v>933.7297600000001</v>
      </c>
      <c r="EV109">
        <v>-22.27100003522956</v>
      </c>
      <c r="EW109">
        <v>-316.1615389040398</v>
      </c>
      <c r="EX109">
        <v>13867.08</v>
      </c>
      <c r="EY109">
        <v>15</v>
      </c>
      <c r="EZ109">
        <v>1651864261.1</v>
      </c>
      <c r="FA109" t="s">
        <v>419</v>
      </c>
      <c r="FB109">
        <v>1651864241.6</v>
      </c>
      <c r="FC109">
        <v>1651864261.1</v>
      </c>
      <c r="FD109">
        <v>7</v>
      </c>
      <c r="FE109">
        <v>0.438</v>
      </c>
      <c r="FF109">
        <v>0.002</v>
      </c>
      <c r="FG109">
        <v>-0.988</v>
      </c>
      <c r="FH109">
        <v>-0.066</v>
      </c>
      <c r="FI109">
        <v>400</v>
      </c>
      <c r="FJ109">
        <v>11</v>
      </c>
      <c r="FK109">
        <v>0.05</v>
      </c>
      <c r="FL109">
        <v>0.02</v>
      </c>
      <c r="FM109">
        <v>-16.33811463414634</v>
      </c>
      <c r="FN109">
        <v>2.870107317073152</v>
      </c>
      <c r="FO109">
        <v>0.3017934235823388</v>
      </c>
      <c r="FP109">
        <v>-1</v>
      </c>
      <c r="FQ109">
        <v>6.220465121951219</v>
      </c>
      <c r="FR109">
        <v>-0.8886133797909465</v>
      </c>
      <c r="FS109">
        <v>0.08786116198845052</v>
      </c>
      <c r="FT109">
        <v>-1</v>
      </c>
      <c r="FU109">
        <v>0</v>
      </c>
      <c r="FV109">
        <v>0</v>
      </c>
      <c r="FW109">
        <v>0</v>
      </c>
      <c r="FX109">
        <v>-1</v>
      </c>
      <c r="FY109">
        <v>0</v>
      </c>
      <c r="FZ109">
        <v>0</v>
      </c>
      <c r="GA109" t="s">
        <v>420</v>
      </c>
      <c r="GB109">
        <v>2.98052</v>
      </c>
      <c r="GC109">
        <v>2.70621</v>
      </c>
      <c r="GD109">
        <v>0.170985</v>
      </c>
      <c r="GE109">
        <v>0.170782</v>
      </c>
      <c r="GF109">
        <v>0.0869815</v>
      </c>
      <c r="GG109">
        <v>0.0639265</v>
      </c>
      <c r="GH109">
        <v>26163.1</v>
      </c>
      <c r="GI109">
        <v>26227.9</v>
      </c>
      <c r="GJ109">
        <v>29345.4</v>
      </c>
      <c r="GK109">
        <v>29261</v>
      </c>
      <c r="GL109">
        <v>35479</v>
      </c>
      <c r="GM109">
        <v>36482.7</v>
      </c>
      <c r="GN109">
        <v>41305.1</v>
      </c>
      <c r="GO109">
        <v>41764.7</v>
      </c>
      <c r="GP109">
        <v>1.95683</v>
      </c>
      <c r="GQ109">
        <v>1.8488</v>
      </c>
      <c r="GR109">
        <v>-0.0234209</v>
      </c>
      <c r="GS109">
        <v>0</v>
      </c>
      <c r="GT109">
        <v>25.408</v>
      </c>
      <c r="GU109">
        <v>999.9</v>
      </c>
      <c r="GV109">
        <v>31.8</v>
      </c>
      <c r="GW109">
        <v>34.3</v>
      </c>
      <c r="GX109">
        <v>19.2103</v>
      </c>
      <c r="GY109">
        <v>62.6874</v>
      </c>
      <c r="GZ109">
        <v>34.8598</v>
      </c>
      <c r="HA109">
        <v>1</v>
      </c>
      <c r="HB109">
        <v>0.104522</v>
      </c>
      <c r="HC109">
        <v>2.30864</v>
      </c>
      <c r="HD109">
        <v>20.3187</v>
      </c>
      <c r="HE109">
        <v>5.21864</v>
      </c>
      <c r="HF109">
        <v>12.0099</v>
      </c>
      <c r="HG109">
        <v>4.9891</v>
      </c>
      <c r="HH109">
        <v>3.28858</v>
      </c>
      <c r="HI109">
        <v>995.3</v>
      </c>
      <c r="HJ109">
        <v>9534.200000000001</v>
      </c>
      <c r="HK109">
        <v>5139.4</v>
      </c>
      <c r="HL109">
        <v>24.8</v>
      </c>
      <c r="HM109">
        <v>1.86751</v>
      </c>
      <c r="HN109">
        <v>1.86646</v>
      </c>
      <c r="HO109">
        <v>1.866</v>
      </c>
      <c r="HP109">
        <v>1.86584</v>
      </c>
      <c r="HQ109">
        <v>1.86768</v>
      </c>
      <c r="HR109">
        <v>1.87018</v>
      </c>
      <c r="HS109">
        <v>1.86889</v>
      </c>
      <c r="HT109">
        <v>1.87026</v>
      </c>
      <c r="HU109">
        <v>0</v>
      </c>
      <c r="HV109">
        <v>0</v>
      </c>
      <c r="HW109">
        <v>0</v>
      </c>
      <c r="HX109">
        <v>0</v>
      </c>
      <c r="HY109" t="s">
        <v>421</v>
      </c>
      <c r="HZ109" t="s">
        <v>422</v>
      </c>
      <c r="IA109" t="s">
        <v>423</v>
      </c>
      <c r="IB109" t="s">
        <v>423</v>
      </c>
      <c r="IC109" t="s">
        <v>423</v>
      </c>
      <c r="ID109" t="s">
        <v>423</v>
      </c>
      <c r="IE109">
        <v>0</v>
      </c>
      <c r="IF109">
        <v>100</v>
      </c>
      <c r="IG109">
        <v>100</v>
      </c>
      <c r="IH109">
        <v>-2.026</v>
      </c>
      <c r="II109">
        <v>0.0175</v>
      </c>
      <c r="IJ109">
        <v>-0.2164499368582429</v>
      </c>
      <c r="IK109">
        <v>-0.002077099775823331</v>
      </c>
      <c r="IL109">
        <v>4.593143279902166E-07</v>
      </c>
      <c r="IM109">
        <v>-1.865383991892071E-10</v>
      </c>
      <c r="IN109">
        <v>-0.06087574426827484</v>
      </c>
      <c r="IO109">
        <v>-0.01129461987421345</v>
      </c>
      <c r="IP109">
        <v>0.00116580895745559</v>
      </c>
      <c r="IQ109">
        <v>-1.679085872906199E-05</v>
      </c>
      <c r="IR109">
        <v>2</v>
      </c>
      <c r="IS109">
        <v>2290</v>
      </c>
      <c r="IT109">
        <v>0</v>
      </c>
      <c r="IU109">
        <v>32</v>
      </c>
      <c r="IV109">
        <v>5.7</v>
      </c>
      <c r="IW109">
        <v>5.4</v>
      </c>
      <c r="IX109">
        <v>2.08374</v>
      </c>
      <c r="IY109">
        <v>2.20215</v>
      </c>
      <c r="IZ109">
        <v>1.39648</v>
      </c>
      <c r="JA109">
        <v>2.35596</v>
      </c>
      <c r="JB109">
        <v>1.49536</v>
      </c>
      <c r="JC109">
        <v>2.35718</v>
      </c>
      <c r="JD109">
        <v>38.4524</v>
      </c>
      <c r="JE109">
        <v>24.035</v>
      </c>
      <c r="JF109">
        <v>18</v>
      </c>
      <c r="JG109">
        <v>511.789</v>
      </c>
      <c r="JH109">
        <v>427.955</v>
      </c>
      <c r="JI109">
        <v>22.3831</v>
      </c>
      <c r="JJ109">
        <v>28.6499</v>
      </c>
      <c r="JK109">
        <v>30.0002</v>
      </c>
      <c r="JL109">
        <v>28.6155</v>
      </c>
      <c r="JM109">
        <v>28.5538</v>
      </c>
      <c r="JN109">
        <v>41.6674</v>
      </c>
      <c r="JO109">
        <v>35.7345</v>
      </c>
      <c r="JP109">
        <v>0</v>
      </c>
      <c r="JQ109">
        <v>22.3693</v>
      </c>
      <c r="JR109">
        <v>996.151</v>
      </c>
      <c r="JS109">
        <v>12.2345</v>
      </c>
      <c r="JT109">
        <v>100.309</v>
      </c>
      <c r="JU109">
        <v>100.238</v>
      </c>
    </row>
    <row r="110" spans="1:281">
      <c r="A110">
        <v>94</v>
      </c>
      <c r="B110">
        <v>1651864586.1</v>
      </c>
      <c r="C110">
        <v>365.5</v>
      </c>
      <c r="D110" t="s">
        <v>608</v>
      </c>
      <c r="E110" t="s">
        <v>609</v>
      </c>
      <c r="F110">
        <v>2</v>
      </c>
      <c r="G110" t="s">
        <v>413</v>
      </c>
      <c r="H110" t="s">
        <v>414</v>
      </c>
      <c r="I110">
        <v>1651864585.1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1030.281374977003</v>
      </c>
      <c r="AK110">
        <v>1012.870787878788</v>
      </c>
      <c r="AL110">
        <v>-3.316358713619107</v>
      </c>
      <c r="AM110">
        <v>66.38192812717227</v>
      </c>
      <c r="AN110">
        <f>(AP110 - AO110 + DI110*1E3/(8.314*(DK110+273.15)) * AR110/DH110 * AQ110) * DH110/(100*CV110) * 1000/(1000 - AP110)</f>
        <v>0</v>
      </c>
      <c r="AO110">
        <v>12.06537388000049</v>
      </c>
      <c r="AP110">
        <v>18.14655676470588</v>
      </c>
      <c r="AQ110">
        <v>-2.679832762138019E-05</v>
      </c>
      <c r="AR110">
        <v>80.47224507511959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417</v>
      </c>
      <c r="AY110" t="s">
        <v>417</v>
      </c>
      <c r="AZ110">
        <v>0</v>
      </c>
      <c r="BA110">
        <v>0</v>
      </c>
      <c r="BB110">
        <f>1-AZ110/BA110</f>
        <v>0</v>
      </c>
      <c r="BC110">
        <v>0</v>
      </c>
      <c r="BD110" t="s">
        <v>417</v>
      </c>
      <c r="BE110" t="s">
        <v>417</v>
      </c>
      <c r="BF110">
        <v>0</v>
      </c>
      <c r="BG110">
        <v>0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417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1248</v>
      </c>
      <c r="CA110">
        <v>300</v>
      </c>
      <c r="CB110">
        <v>300</v>
      </c>
      <c r="CC110">
        <v>300</v>
      </c>
      <c r="CD110">
        <v>10442</v>
      </c>
      <c r="CE110">
        <v>1293.69</v>
      </c>
      <c r="CF110">
        <v>-0.00735246</v>
      </c>
      <c r="CG110">
        <v>0.5</v>
      </c>
      <c r="CH110" t="s">
        <v>417</v>
      </c>
      <c r="CI110" t="s">
        <v>417</v>
      </c>
      <c r="CJ110" t="s">
        <v>417</v>
      </c>
      <c r="CK110" t="s">
        <v>417</v>
      </c>
      <c r="CL110" t="s">
        <v>417</v>
      </c>
      <c r="CM110" t="s">
        <v>417</v>
      </c>
      <c r="CN110" t="s">
        <v>417</v>
      </c>
      <c r="CO110" t="s">
        <v>417</v>
      </c>
      <c r="CP110" t="s">
        <v>417</v>
      </c>
      <c r="CQ110" t="s">
        <v>417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418</v>
      </c>
      <c r="CY110">
        <v>2</v>
      </c>
      <c r="CZ110" t="b">
        <v>1</v>
      </c>
      <c r="DA110">
        <v>1651864585.1</v>
      </c>
      <c r="DB110">
        <v>996.1056666666667</v>
      </c>
      <c r="DC110">
        <v>1012.31</v>
      </c>
      <c r="DD110">
        <v>18.1476</v>
      </c>
      <c r="DE110">
        <v>12.12376666666667</v>
      </c>
      <c r="DF110">
        <v>998.1229999999999</v>
      </c>
      <c r="DG110">
        <v>18.13013333333333</v>
      </c>
      <c r="DH110">
        <v>500.062</v>
      </c>
      <c r="DI110">
        <v>89.93953333333333</v>
      </c>
      <c r="DJ110">
        <v>0.100109</v>
      </c>
      <c r="DK110">
        <v>25.70773333333333</v>
      </c>
      <c r="DL110">
        <v>25.02356666666667</v>
      </c>
      <c r="DM110">
        <v>999.9</v>
      </c>
      <c r="DN110">
        <v>0</v>
      </c>
      <c r="DO110">
        <v>0</v>
      </c>
      <c r="DP110">
        <v>9993.75</v>
      </c>
      <c r="DQ110">
        <v>0</v>
      </c>
      <c r="DR110">
        <v>3.23193</v>
      </c>
      <c r="DS110">
        <v>-16.20346666666667</v>
      </c>
      <c r="DT110">
        <v>1014.516666666667</v>
      </c>
      <c r="DU110">
        <v>1024.73</v>
      </c>
      <c r="DV110">
        <v>6.02381</v>
      </c>
      <c r="DW110">
        <v>1012.31</v>
      </c>
      <c r="DX110">
        <v>12.12376666666667</v>
      </c>
      <c r="DY110">
        <v>1.632183333333333</v>
      </c>
      <c r="DZ110">
        <v>1.090406666666667</v>
      </c>
      <c r="EA110">
        <v>14.26606666666667</v>
      </c>
      <c r="EB110">
        <v>8.183873333333333</v>
      </c>
      <c r="EC110">
        <v>1500.036666666667</v>
      </c>
      <c r="ED110">
        <v>0.9730053333333334</v>
      </c>
      <c r="EE110">
        <v>0.0269949</v>
      </c>
      <c r="EF110">
        <v>0</v>
      </c>
      <c r="EG110">
        <v>930.8106666666667</v>
      </c>
      <c r="EH110">
        <v>5.00097</v>
      </c>
      <c r="EI110">
        <v>13824.7</v>
      </c>
      <c r="EJ110">
        <v>12491.86666666667</v>
      </c>
      <c r="EK110">
        <v>37.25</v>
      </c>
      <c r="EL110">
        <v>38.687</v>
      </c>
      <c r="EM110">
        <v>37.625</v>
      </c>
      <c r="EN110">
        <v>38.437</v>
      </c>
      <c r="EO110">
        <v>38.125</v>
      </c>
      <c r="EP110">
        <v>1454.676666666667</v>
      </c>
      <c r="EQ110">
        <v>40.36</v>
      </c>
      <c r="ER110">
        <v>0</v>
      </c>
      <c r="ES110">
        <v>364.7999999523163</v>
      </c>
      <c r="ET110">
        <v>0</v>
      </c>
      <c r="EU110">
        <v>933.1855000000002</v>
      </c>
      <c r="EV110">
        <v>-22.09152136903555</v>
      </c>
      <c r="EW110">
        <v>-312.2632478375664</v>
      </c>
      <c r="EX110">
        <v>13859.21923076923</v>
      </c>
      <c r="EY110">
        <v>15</v>
      </c>
      <c r="EZ110">
        <v>1651864261.1</v>
      </c>
      <c r="FA110" t="s">
        <v>419</v>
      </c>
      <c r="FB110">
        <v>1651864241.6</v>
      </c>
      <c r="FC110">
        <v>1651864261.1</v>
      </c>
      <c r="FD110">
        <v>7</v>
      </c>
      <c r="FE110">
        <v>0.438</v>
      </c>
      <c r="FF110">
        <v>0.002</v>
      </c>
      <c r="FG110">
        <v>-0.988</v>
      </c>
      <c r="FH110">
        <v>-0.066</v>
      </c>
      <c r="FI110">
        <v>400</v>
      </c>
      <c r="FJ110">
        <v>11</v>
      </c>
      <c r="FK110">
        <v>0.05</v>
      </c>
      <c r="FL110">
        <v>0.02</v>
      </c>
      <c r="FM110">
        <v>-16.23830975609756</v>
      </c>
      <c r="FN110">
        <v>2.145627177700342</v>
      </c>
      <c r="FO110">
        <v>0.2582399298486451</v>
      </c>
      <c r="FP110">
        <v>-1</v>
      </c>
      <c r="FQ110">
        <v>6.173841219512195</v>
      </c>
      <c r="FR110">
        <v>-0.9074908013937252</v>
      </c>
      <c r="FS110">
        <v>0.08976489031163097</v>
      </c>
      <c r="FT110">
        <v>-1</v>
      </c>
      <c r="FU110">
        <v>0</v>
      </c>
      <c r="FV110">
        <v>0</v>
      </c>
      <c r="FW110">
        <v>0</v>
      </c>
      <c r="FX110">
        <v>-1</v>
      </c>
      <c r="FY110">
        <v>0</v>
      </c>
      <c r="FZ110">
        <v>0</v>
      </c>
      <c r="GA110" t="s">
        <v>420</v>
      </c>
      <c r="GB110">
        <v>2.9807</v>
      </c>
      <c r="GC110">
        <v>2.70614</v>
      </c>
      <c r="GD110">
        <v>0.170272</v>
      </c>
      <c r="GE110">
        <v>0.170087</v>
      </c>
      <c r="GF110">
        <v>0.0869731</v>
      </c>
      <c r="GG110">
        <v>0.0639893</v>
      </c>
      <c r="GH110">
        <v>26185.6</v>
      </c>
      <c r="GI110">
        <v>26250</v>
      </c>
      <c r="GJ110">
        <v>29345.4</v>
      </c>
      <c r="GK110">
        <v>29261</v>
      </c>
      <c r="GL110">
        <v>35479.4</v>
      </c>
      <c r="GM110">
        <v>36480.3</v>
      </c>
      <c r="GN110">
        <v>41305.1</v>
      </c>
      <c r="GO110">
        <v>41764.7</v>
      </c>
      <c r="GP110">
        <v>1.95697</v>
      </c>
      <c r="GQ110">
        <v>1.84865</v>
      </c>
      <c r="GR110">
        <v>-0.0237748</v>
      </c>
      <c r="GS110">
        <v>0</v>
      </c>
      <c r="GT110">
        <v>25.408</v>
      </c>
      <c r="GU110">
        <v>999.9</v>
      </c>
      <c r="GV110">
        <v>31.8</v>
      </c>
      <c r="GW110">
        <v>34.2</v>
      </c>
      <c r="GX110">
        <v>19.1026</v>
      </c>
      <c r="GY110">
        <v>62.3974</v>
      </c>
      <c r="GZ110">
        <v>35.2244</v>
      </c>
      <c r="HA110">
        <v>1</v>
      </c>
      <c r="HB110">
        <v>0.104558</v>
      </c>
      <c r="HC110">
        <v>2.33023</v>
      </c>
      <c r="HD110">
        <v>20.3184</v>
      </c>
      <c r="HE110">
        <v>5.21849</v>
      </c>
      <c r="HF110">
        <v>12.0099</v>
      </c>
      <c r="HG110">
        <v>4.98915</v>
      </c>
      <c r="HH110">
        <v>3.28858</v>
      </c>
      <c r="HI110">
        <v>995.5</v>
      </c>
      <c r="HJ110">
        <v>9535.4</v>
      </c>
      <c r="HK110">
        <v>5139.4</v>
      </c>
      <c r="HL110">
        <v>24.8</v>
      </c>
      <c r="HM110">
        <v>1.86749</v>
      </c>
      <c r="HN110">
        <v>1.86646</v>
      </c>
      <c r="HO110">
        <v>1.866</v>
      </c>
      <c r="HP110">
        <v>1.86584</v>
      </c>
      <c r="HQ110">
        <v>1.86768</v>
      </c>
      <c r="HR110">
        <v>1.87017</v>
      </c>
      <c r="HS110">
        <v>1.86889</v>
      </c>
      <c r="HT110">
        <v>1.87025</v>
      </c>
      <c r="HU110">
        <v>0</v>
      </c>
      <c r="HV110">
        <v>0</v>
      </c>
      <c r="HW110">
        <v>0</v>
      </c>
      <c r="HX110">
        <v>0</v>
      </c>
      <c r="HY110" t="s">
        <v>421</v>
      </c>
      <c r="HZ110" t="s">
        <v>422</v>
      </c>
      <c r="IA110" t="s">
        <v>423</v>
      </c>
      <c r="IB110" t="s">
        <v>423</v>
      </c>
      <c r="IC110" t="s">
        <v>423</v>
      </c>
      <c r="ID110" t="s">
        <v>423</v>
      </c>
      <c r="IE110">
        <v>0</v>
      </c>
      <c r="IF110">
        <v>100</v>
      </c>
      <c r="IG110">
        <v>100</v>
      </c>
      <c r="IH110">
        <v>-2.012</v>
      </c>
      <c r="II110">
        <v>0.0175</v>
      </c>
      <c r="IJ110">
        <v>-0.2164499368582429</v>
      </c>
      <c r="IK110">
        <v>-0.002077099775823331</v>
      </c>
      <c r="IL110">
        <v>4.593143279902166E-07</v>
      </c>
      <c r="IM110">
        <v>-1.865383991892071E-10</v>
      </c>
      <c r="IN110">
        <v>-0.06087574426827484</v>
      </c>
      <c r="IO110">
        <v>-0.01129461987421345</v>
      </c>
      <c r="IP110">
        <v>0.00116580895745559</v>
      </c>
      <c r="IQ110">
        <v>-1.679085872906199E-05</v>
      </c>
      <c r="IR110">
        <v>2</v>
      </c>
      <c r="IS110">
        <v>2290</v>
      </c>
      <c r="IT110">
        <v>0</v>
      </c>
      <c r="IU110">
        <v>32</v>
      </c>
      <c r="IV110">
        <v>5.7</v>
      </c>
      <c r="IW110">
        <v>5.4</v>
      </c>
      <c r="IX110">
        <v>2.07275</v>
      </c>
      <c r="IY110">
        <v>2.19971</v>
      </c>
      <c r="IZ110">
        <v>1.39648</v>
      </c>
      <c r="JA110">
        <v>2.35596</v>
      </c>
      <c r="JB110">
        <v>1.49536</v>
      </c>
      <c r="JC110">
        <v>2.30713</v>
      </c>
      <c r="JD110">
        <v>38.4524</v>
      </c>
      <c r="JE110">
        <v>24.035</v>
      </c>
      <c r="JF110">
        <v>18</v>
      </c>
      <c r="JG110">
        <v>511.887</v>
      </c>
      <c r="JH110">
        <v>427.874</v>
      </c>
      <c r="JI110">
        <v>22.3798</v>
      </c>
      <c r="JJ110">
        <v>28.6511</v>
      </c>
      <c r="JK110">
        <v>30.0002</v>
      </c>
      <c r="JL110">
        <v>28.6155</v>
      </c>
      <c r="JM110">
        <v>28.555</v>
      </c>
      <c r="JN110">
        <v>41.4613</v>
      </c>
      <c r="JO110">
        <v>35.7345</v>
      </c>
      <c r="JP110">
        <v>0</v>
      </c>
      <c r="JQ110">
        <v>22.3693</v>
      </c>
      <c r="JR110">
        <v>989.473</v>
      </c>
      <c r="JS110">
        <v>12.2736</v>
      </c>
      <c r="JT110">
        <v>100.309</v>
      </c>
      <c r="JU110">
        <v>100.238</v>
      </c>
    </row>
    <row r="111" spans="1:281">
      <c r="A111">
        <v>95</v>
      </c>
      <c r="B111">
        <v>1651864588.1</v>
      </c>
      <c r="C111">
        <v>367.5</v>
      </c>
      <c r="D111" t="s">
        <v>610</v>
      </c>
      <c r="E111" t="s">
        <v>611</v>
      </c>
      <c r="F111">
        <v>2</v>
      </c>
      <c r="G111" t="s">
        <v>413</v>
      </c>
      <c r="H111" t="s">
        <v>414</v>
      </c>
      <c r="I111">
        <v>1651864586.725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1023.966087121579</v>
      </c>
      <c r="AK111">
        <v>1006.294909090909</v>
      </c>
      <c r="AL111">
        <v>-3.291392615000751</v>
      </c>
      <c r="AM111">
        <v>66.38192812717227</v>
      </c>
      <c r="AN111">
        <f>(AP111 - AO111 + DI111*1E3/(8.314*(DK111+273.15)) * AR111/DH111 * AQ111) * DH111/(100*CV111) * 1000/(1000 - AP111)</f>
        <v>0</v>
      </c>
      <c r="AO111">
        <v>12.10335316451654</v>
      </c>
      <c r="AP111">
        <v>18.14299999999999</v>
      </c>
      <c r="AQ111">
        <v>-2.84530001166029E-05</v>
      </c>
      <c r="AR111">
        <v>80.47224507511959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417</v>
      </c>
      <c r="AY111" t="s">
        <v>417</v>
      </c>
      <c r="AZ111">
        <v>0</v>
      </c>
      <c r="BA111">
        <v>0</v>
      </c>
      <c r="BB111">
        <f>1-AZ111/BA111</f>
        <v>0</v>
      </c>
      <c r="BC111">
        <v>0</v>
      </c>
      <c r="BD111" t="s">
        <v>417</v>
      </c>
      <c r="BE111" t="s">
        <v>417</v>
      </c>
      <c r="BF111">
        <v>0</v>
      </c>
      <c r="BG111">
        <v>0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417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1248</v>
      </c>
      <c r="CA111">
        <v>300</v>
      </c>
      <c r="CB111">
        <v>300</v>
      </c>
      <c r="CC111">
        <v>300</v>
      </c>
      <c r="CD111">
        <v>10442</v>
      </c>
      <c r="CE111">
        <v>1293.69</v>
      </c>
      <c r="CF111">
        <v>-0.00735246</v>
      </c>
      <c r="CG111">
        <v>0.5</v>
      </c>
      <c r="CH111" t="s">
        <v>417</v>
      </c>
      <c r="CI111" t="s">
        <v>417</v>
      </c>
      <c r="CJ111" t="s">
        <v>417</v>
      </c>
      <c r="CK111" t="s">
        <v>417</v>
      </c>
      <c r="CL111" t="s">
        <v>417</v>
      </c>
      <c r="CM111" t="s">
        <v>417</v>
      </c>
      <c r="CN111" t="s">
        <v>417</v>
      </c>
      <c r="CO111" t="s">
        <v>417</v>
      </c>
      <c r="CP111" t="s">
        <v>417</v>
      </c>
      <c r="CQ111" t="s">
        <v>417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418</v>
      </c>
      <c r="CY111">
        <v>2</v>
      </c>
      <c r="CZ111" t="b">
        <v>1</v>
      </c>
      <c r="DA111">
        <v>1651864586.725</v>
      </c>
      <c r="DB111">
        <v>990.85925</v>
      </c>
      <c r="DC111">
        <v>1007.0475</v>
      </c>
      <c r="DD111">
        <v>18.14445</v>
      </c>
      <c r="DE111">
        <v>12.1366</v>
      </c>
      <c r="DF111">
        <v>992.86775</v>
      </c>
      <c r="DG111">
        <v>18.12705</v>
      </c>
      <c r="DH111">
        <v>500.068</v>
      </c>
      <c r="DI111">
        <v>89.93912499999999</v>
      </c>
      <c r="DJ111">
        <v>0.1001595</v>
      </c>
      <c r="DK111">
        <v>25.70715</v>
      </c>
      <c r="DL111">
        <v>25.018475</v>
      </c>
      <c r="DM111">
        <v>999.9</v>
      </c>
      <c r="DN111">
        <v>0</v>
      </c>
      <c r="DO111">
        <v>0</v>
      </c>
      <c r="DP111">
        <v>9979.6875</v>
      </c>
      <c r="DQ111">
        <v>0</v>
      </c>
      <c r="DR111">
        <v>3.23193</v>
      </c>
      <c r="DS111">
        <v>-16.188325</v>
      </c>
      <c r="DT111">
        <v>1009.17</v>
      </c>
      <c r="DU111">
        <v>1019.4175</v>
      </c>
      <c r="DV111">
        <v>6.00784</v>
      </c>
      <c r="DW111">
        <v>1007.0475</v>
      </c>
      <c r="DX111">
        <v>12.1366</v>
      </c>
      <c r="DY111">
        <v>1.631895</v>
      </c>
      <c r="DZ111">
        <v>1.0915575</v>
      </c>
      <c r="EA111">
        <v>14.263325</v>
      </c>
      <c r="EB111">
        <v>8.1993875</v>
      </c>
      <c r="EC111">
        <v>1500.0375</v>
      </c>
      <c r="ED111">
        <v>0.973007</v>
      </c>
      <c r="EE111">
        <v>0.0269931</v>
      </c>
      <c r="EF111">
        <v>0</v>
      </c>
      <c r="EG111">
        <v>930.2950000000001</v>
      </c>
      <c r="EH111">
        <v>5.00097</v>
      </c>
      <c r="EI111">
        <v>13816.65</v>
      </c>
      <c r="EJ111">
        <v>12491.9</v>
      </c>
      <c r="EK111">
        <v>37.25</v>
      </c>
      <c r="EL111">
        <v>38.687</v>
      </c>
      <c r="EM111">
        <v>37.625</v>
      </c>
      <c r="EN111">
        <v>38.437</v>
      </c>
      <c r="EO111">
        <v>38.125</v>
      </c>
      <c r="EP111">
        <v>1454.6775</v>
      </c>
      <c r="EQ111">
        <v>40.36</v>
      </c>
      <c r="ER111">
        <v>0</v>
      </c>
      <c r="ES111">
        <v>367.2000000476837</v>
      </c>
      <c r="ET111">
        <v>0</v>
      </c>
      <c r="EU111">
        <v>932.3339230769232</v>
      </c>
      <c r="EV111">
        <v>-21.08820509551959</v>
      </c>
      <c r="EW111">
        <v>-311.370939696595</v>
      </c>
      <c r="EX111">
        <v>13846.78461538462</v>
      </c>
      <c r="EY111">
        <v>15</v>
      </c>
      <c r="EZ111">
        <v>1651864261.1</v>
      </c>
      <c r="FA111" t="s">
        <v>419</v>
      </c>
      <c r="FB111">
        <v>1651864241.6</v>
      </c>
      <c r="FC111">
        <v>1651864261.1</v>
      </c>
      <c r="FD111">
        <v>7</v>
      </c>
      <c r="FE111">
        <v>0.438</v>
      </c>
      <c r="FF111">
        <v>0.002</v>
      </c>
      <c r="FG111">
        <v>-0.988</v>
      </c>
      <c r="FH111">
        <v>-0.066</v>
      </c>
      <c r="FI111">
        <v>400</v>
      </c>
      <c r="FJ111">
        <v>11</v>
      </c>
      <c r="FK111">
        <v>0.05</v>
      </c>
      <c r="FL111">
        <v>0.02</v>
      </c>
      <c r="FM111">
        <v>-16.1958325</v>
      </c>
      <c r="FN111">
        <v>1.625877298311473</v>
      </c>
      <c r="FO111">
        <v>0.227550577221307</v>
      </c>
      <c r="FP111">
        <v>-1</v>
      </c>
      <c r="FQ111">
        <v>6.148225</v>
      </c>
      <c r="FR111">
        <v>-0.918355272045042</v>
      </c>
      <c r="FS111">
        <v>0.08860040256680556</v>
      </c>
      <c r="FT111">
        <v>-1</v>
      </c>
      <c r="FU111">
        <v>0</v>
      </c>
      <c r="FV111">
        <v>0</v>
      </c>
      <c r="FW111">
        <v>0</v>
      </c>
      <c r="FX111">
        <v>-1</v>
      </c>
      <c r="FY111">
        <v>0</v>
      </c>
      <c r="FZ111">
        <v>0</v>
      </c>
      <c r="GA111" t="s">
        <v>420</v>
      </c>
      <c r="GB111">
        <v>2.98052</v>
      </c>
      <c r="GC111">
        <v>2.70605</v>
      </c>
      <c r="GD111">
        <v>0.169555</v>
      </c>
      <c r="GE111">
        <v>0.169396</v>
      </c>
      <c r="GF111">
        <v>0.0869569</v>
      </c>
      <c r="GG111">
        <v>0.0640689</v>
      </c>
      <c r="GH111">
        <v>26208.3</v>
      </c>
      <c r="GI111">
        <v>26271.7</v>
      </c>
      <c r="GJ111">
        <v>29345.4</v>
      </c>
      <c r="GK111">
        <v>29260.8</v>
      </c>
      <c r="GL111">
        <v>35480.1</v>
      </c>
      <c r="GM111">
        <v>36477</v>
      </c>
      <c r="GN111">
        <v>41305.2</v>
      </c>
      <c r="GO111">
        <v>41764.5</v>
      </c>
      <c r="GP111">
        <v>1.95705</v>
      </c>
      <c r="GQ111">
        <v>1.84878</v>
      </c>
      <c r="GR111">
        <v>-0.0237152</v>
      </c>
      <c r="GS111">
        <v>0</v>
      </c>
      <c r="GT111">
        <v>25.408</v>
      </c>
      <c r="GU111">
        <v>999.9</v>
      </c>
      <c r="GV111">
        <v>31.8</v>
      </c>
      <c r="GW111">
        <v>34.3</v>
      </c>
      <c r="GX111">
        <v>19.2098</v>
      </c>
      <c r="GY111">
        <v>62.4374</v>
      </c>
      <c r="GZ111">
        <v>34.9679</v>
      </c>
      <c r="HA111">
        <v>1</v>
      </c>
      <c r="HB111">
        <v>0.104662</v>
      </c>
      <c r="HC111">
        <v>2.34395</v>
      </c>
      <c r="HD111">
        <v>20.3181</v>
      </c>
      <c r="HE111">
        <v>5.21804</v>
      </c>
      <c r="HF111">
        <v>12.0099</v>
      </c>
      <c r="HG111">
        <v>4.989</v>
      </c>
      <c r="HH111">
        <v>3.2885</v>
      </c>
      <c r="HI111">
        <v>995.5</v>
      </c>
      <c r="HJ111">
        <v>9535.4</v>
      </c>
      <c r="HK111">
        <v>5139.4</v>
      </c>
      <c r="HL111">
        <v>24.8</v>
      </c>
      <c r="HM111">
        <v>1.86749</v>
      </c>
      <c r="HN111">
        <v>1.86646</v>
      </c>
      <c r="HO111">
        <v>1.866</v>
      </c>
      <c r="HP111">
        <v>1.86584</v>
      </c>
      <c r="HQ111">
        <v>1.86768</v>
      </c>
      <c r="HR111">
        <v>1.87019</v>
      </c>
      <c r="HS111">
        <v>1.86889</v>
      </c>
      <c r="HT111">
        <v>1.87025</v>
      </c>
      <c r="HU111">
        <v>0</v>
      </c>
      <c r="HV111">
        <v>0</v>
      </c>
      <c r="HW111">
        <v>0</v>
      </c>
      <c r="HX111">
        <v>0</v>
      </c>
      <c r="HY111" t="s">
        <v>421</v>
      </c>
      <c r="HZ111" t="s">
        <v>422</v>
      </c>
      <c r="IA111" t="s">
        <v>423</v>
      </c>
      <c r="IB111" t="s">
        <v>423</v>
      </c>
      <c r="IC111" t="s">
        <v>423</v>
      </c>
      <c r="ID111" t="s">
        <v>423</v>
      </c>
      <c r="IE111">
        <v>0</v>
      </c>
      <c r="IF111">
        <v>100</v>
      </c>
      <c r="IG111">
        <v>100</v>
      </c>
      <c r="IH111">
        <v>-2.001</v>
      </c>
      <c r="II111">
        <v>0.0174</v>
      </c>
      <c r="IJ111">
        <v>-0.2164499368582429</v>
      </c>
      <c r="IK111">
        <v>-0.002077099775823331</v>
      </c>
      <c r="IL111">
        <v>4.593143279902166E-07</v>
      </c>
      <c r="IM111">
        <v>-1.865383991892071E-10</v>
      </c>
      <c r="IN111">
        <v>-0.06087574426827484</v>
      </c>
      <c r="IO111">
        <v>-0.01129461987421345</v>
      </c>
      <c r="IP111">
        <v>0.00116580895745559</v>
      </c>
      <c r="IQ111">
        <v>-1.679085872906199E-05</v>
      </c>
      <c r="IR111">
        <v>2</v>
      </c>
      <c r="IS111">
        <v>2290</v>
      </c>
      <c r="IT111">
        <v>0</v>
      </c>
      <c r="IU111">
        <v>32</v>
      </c>
      <c r="IV111">
        <v>5.8</v>
      </c>
      <c r="IW111">
        <v>5.5</v>
      </c>
      <c r="IX111">
        <v>2.06177</v>
      </c>
      <c r="IY111">
        <v>2.20093</v>
      </c>
      <c r="IZ111">
        <v>1.39648</v>
      </c>
      <c r="JA111">
        <v>2.35718</v>
      </c>
      <c r="JB111">
        <v>1.49536</v>
      </c>
      <c r="JC111">
        <v>2.37793</v>
      </c>
      <c r="JD111">
        <v>38.4524</v>
      </c>
      <c r="JE111">
        <v>24.0437</v>
      </c>
      <c r="JF111">
        <v>18</v>
      </c>
      <c r="JG111">
        <v>511.937</v>
      </c>
      <c r="JH111">
        <v>427.954</v>
      </c>
      <c r="JI111">
        <v>22.3738</v>
      </c>
      <c r="JJ111">
        <v>28.6511</v>
      </c>
      <c r="JK111">
        <v>30.0003</v>
      </c>
      <c r="JL111">
        <v>28.6155</v>
      </c>
      <c r="JM111">
        <v>28.5557</v>
      </c>
      <c r="JN111">
        <v>41.2375</v>
      </c>
      <c r="JO111">
        <v>35.4638</v>
      </c>
      <c r="JP111">
        <v>0</v>
      </c>
      <c r="JQ111">
        <v>22.3693</v>
      </c>
      <c r="JR111">
        <v>982.794</v>
      </c>
      <c r="JS111">
        <v>12.3016</v>
      </c>
      <c r="JT111">
        <v>100.309</v>
      </c>
      <c r="JU111">
        <v>100.238</v>
      </c>
    </row>
    <row r="112" spans="1:281">
      <c r="A112">
        <v>96</v>
      </c>
      <c r="B112">
        <v>1651864590.1</v>
      </c>
      <c r="C112">
        <v>369.5</v>
      </c>
      <c r="D112" t="s">
        <v>612</v>
      </c>
      <c r="E112" t="s">
        <v>613</v>
      </c>
      <c r="F112">
        <v>2</v>
      </c>
      <c r="G112" t="s">
        <v>413</v>
      </c>
      <c r="H112" t="s">
        <v>414</v>
      </c>
      <c r="I112">
        <v>1651864589.1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1017.461081478868</v>
      </c>
      <c r="AK112">
        <v>999.783939393939</v>
      </c>
      <c r="AL112">
        <v>-3.267812259531738</v>
      </c>
      <c r="AM112">
        <v>66.38192812717227</v>
      </c>
      <c r="AN112">
        <f>(AP112 - AO112 + DI112*1E3/(8.314*(DK112+273.15)) * AR112/DH112 * AQ112) * DH112/(100*CV112) * 1000/(1000 - AP112)</f>
        <v>0</v>
      </c>
      <c r="AO112">
        <v>12.12607264696104</v>
      </c>
      <c r="AP112">
        <v>18.13805617647058</v>
      </c>
      <c r="AQ112">
        <v>-2.289736804162937E-05</v>
      </c>
      <c r="AR112">
        <v>80.47224507511959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417</v>
      </c>
      <c r="AY112" t="s">
        <v>417</v>
      </c>
      <c r="AZ112">
        <v>0</v>
      </c>
      <c r="BA112">
        <v>0</v>
      </c>
      <c r="BB112">
        <f>1-AZ112/BA112</f>
        <v>0</v>
      </c>
      <c r="BC112">
        <v>0</v>
      </c>
      <c r="BD112" t="s">
        <v>417</v>
      </c>
      <c r="BE112" t="s">
        <v>417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417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1248</v>
      </c>
      <c r="CA112">
        <v>300</v>
      </c>
      <c r="CB112">
        <v>300</v>
      </c>
      <c r="CC112">
        <v>300</v>
      </c>
      <c r="CD112">
        <v>10442</v>
      </c>
      <c r="CE112">
        <v>1293.69</v>
      </c>
      <c r="CF112">
        <v>-0.00735246</v>
      </c>
      <c r="CG112">
        <v>0.5</v>
      </c>
      <c r="CH112" t="s">
        <v>417</v>
      </c>
      <c r="CI112" t="s">
        <v>417</v>
      </c>
      <c r="CJ112" t="s">
        <v>417</v>
      </c>
      <c r="CK112" t="s">
        <v>417</v>
      </c>
      <c r="CL112" t="s">
        <v>417</v>
      </c>
      <c r="CM112" t="s">
        <v>417</v>
      </c>
      <c r="CN112" t="s">
        <v>417</v>
      </c>
      <c r="CO112" t="s">
        <v>417</v>
      </c>
      <c r="CP112" t="s">
        <v>417</v>
      </c>
      <c r="CQ112" t="s">
        <v>417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418</v>
      </c>
      <c r="CY112">
        <v>2</v>
      </c>
      <c r="CZ112" t="b">
        <v>1</v>
      </c>
      <c r="DA112">
        <v>1651864589.1</v>
      </c>
      <c r="DB112">
        <v>983.2423333333332</v>
      </c>
      <c r="DC112">
        <v>999.4879999999999</v>
      </c>
      <c r="DD112">
        <v>18.1393</v>
      </c>
      <c r="DE112">
        <v>12.16826666666667</v>
      </c>
      <c r="DF112">
        <v>985.2376666666668</v>
      </c>
      <c r="DG112">
        <v>18.1219</v>
      </c>
      <c r="DH112">
        <v>500.074</v>
      </c>
      <c r="DI112">
        <v>89.93893333333331</v>
      </c>
      <c r="DJ112">
        <v>0.09980316666666667</v>
      </c>
      <c r="DK112">
        <v>25.70493333333333</v>
      </c>
      <c r="DL112">
        <v>25.02186666666667</v>
      </c>
      <c r="DM112">
        <v>999.9</v>
      </c>
      <c r="DN112">
        <v>0</v>
      </c>
      <c r="DO112">
        <v>0</v>
      </c>
      <c r="DP112">
        <v>10002.46666666667</v>
      </c>
      <c r="DQ112">
        <v>0</v>
      </c>
      <c r="DR112">
        <v>3.23193</v>
      </c>
      <c r="DS112">
        <v>-16.2451</v>
      </c>
      <c r="DT112">
        <v>1001.406666666667</v>
      </c>
      <c r="DU112">
        <v>1011.8</v>
      </c>
      <c r="DV112">
        <v>5.971013333333333</v>
      </c>
      <c r="DW112">
        <v>999.4879999999999</v>
      </c>
      <c r="DX112">
        <v>12.16826666666667</v>
      </c>
      <c r="DY112">
        <v>1.631426666666667</v>
      </c>
      <c r="DZ112">
        <v>1.094403333333333</v>
      </c>
      <c r="EA112">
        <v>14.2589</v>
      </c>
      <c r="EB112">
        <v>8.237683333333333</v>
      </c>
      <c r="EC112">
        <v>1500.033333333333</v>
      </c>
      <c r="ED112">
        <v>0.973007</v>
      </c>
      <c r="EE112">
        <v>0.0269931</v>
      </c>
      <c r="EF112">
        <v>0</v>
      </c>
      <c r="EG112">
        <v>929.5536666666667</v>
      </c>
      <c r="EH112">
        <v>5.00097</v>
      </c>
      <c r="EI112">
        <v>13804.8</v>
      </c>
      <c r="EJ112">
        <v>12491.9</v>
      </c>
      <c r="EK112">
        <v>37.25</v>
      </c>
      <c r="EL112">
        <v>38.75</v>
      </c>
      <c r="EM112">
        <v>37.625</v>
      </c>
      <c r="EN112">
        <v>38.437</v>
      </c>
      <c r="EO112">
        <v>38.125</v>
      </c>
      <c r="EP112">
        <v>1454.673333333333</v>
      </c>
      <c r="EQ112">
        <v>40.36</v>
      </c>
      <c r="ER112">
        <v>0</v>
      </c>
      <c r="ES112">
        <v>369</v>
      </c>
      <c r="ET112">
        <v>0</v>
      </c>
      <c r="EU112">
        <v>931.6068</v>
      </c>
      <c r="EV112">
        <v>-21.42192310413235</v>
      </c>
      <c r="EW112">
        <v>-309.7076927249638</v>
      </c>
      <c r="EX112">
        <v>13835.816</v>
      </c>
      <c r="EY112">
        <v>15</v>
      </c>
      <c r="EZ112">
        <v>1651864261.1</v>
      </c>
      <c r="FA112" t="s">
        <v>419</v>
      </c>
      <c r="FB112">
        <v>1651864241.6</v>
      </c>
      <c r="FC112">
        <v>1651864261.1</v>
      </c>
      <c r="FD112">
        <v>7</v>
      </c>
      <c r="FE112">
        <v>0.438</v>
      </c>
      <c r="FF112">
        <v>0.002</v>
      </c>
      <c r="FG112">
        <v>-0.988</v>
      </c>
      <c r="FH112">
        <v>-0.066</v>
      </c>
      <c r="FI112">
        <v>400</v>
      </c>
      <c r="FJ112">
        <v>11</v>
      </c>
      <c r="FK112">
        <v>0.05</v>
      </c>
      <c r="FL112">
        <v>0.02</v>
      </c>
      <c r="FM112">
        <v>-16.1775487804878</v>
      </c>
      <c r="FN112">
        <v>0.9877400696863871</v>
      </c>
      <c r="FO112">
        <v>0.2115581326116361</v>
      </c>
      <c r="FP112">
        <v>-1</v>
      </c>
      <c r="FQ112">
        <v>6.114380975609756</v>
      </c>
      <c r="FR112">
        <v>-0.9131931010453038</v>
      </c>
      <c r="FS112">
        <v>0.09030148543749943</v>
      </c>
      <c r="FT112">
        <v>-1</v>
      </c>
      <c r="FU112">
        <v>0</v>
      </c>
      <c r="FV112">
        <v>0</v>
      </c>
      <c r="FW112">
        <v>0</v>
      </c>
      <c r="FX112">
        <v>-1</v>
      </c>
      <c r="FY112">
        <v>0</v>
      </c>
      <c r="FZ112">
        <v>0</v>
      </c>
      <c r="GA112" t="s">
        <v>420</v>
      </c>
      <c r="GB112">
        <v>2.98046</v>
      </c>
      <c r="GC112">
        <v>2.70609</v>
      </c>
      <c r="GD112">
        <v>0.168843</v>
      </c>
      <c r="GE112">
        <v>0.168702</v>
      </c>
      <c r="GF112">
        <v>0.0869477</v>
      </c>
      <c r="GG112">
        <v>0.0642277</v>
      </c>
      <c r="GH112">
        <v>26230.5</v>
      </c>
      <c r="GI112">
        <v>26293.4</v>
      </c>
      <c r="GJ112">
        <v>29345.2</v>
      </c>
      <c r="GK112">
        <v>29260.6</v>
      </c>
      <c r="GL112">
        <v>35480.3</v>
      </c>
      <c r="GM112">
        <v>36470.6</v>
      </c>
      <c r="GN112">
        <v>41305</v>
      </c>
      <c r="GO112">
        <v>41764.3</v>
      </c>
      <c r="GP112">
        <v>1.9568</v>
      </c>
      <c r="GQ112">
        <v>1.84895</v>
      </c>
      <c r="GR112">
        <v>-0.0233166</v>
      </c>
      <c r="GS112">
        <v>0</v>
      </c>
      <c r="GT112">
        <v>25.4075</v>
      </c>
      <c r="GU112">
        <v>999.9</v>
      </c>
      <c r="GV112">
        <v>31.8</v>
      </c>
      <c r="GW112">
        <v>34.2</v>
      </c>
      <c r="GX112">
        <v>19.1043</v>
      </c>
      <c r="GY112">
        <v>62.6874</v>
      </c>
      <c r="GZ112">
        <v>35.0761</v>
      </c>
      <c r="HA112">
        <v>1</v>
      </c>
      <c r="HB112">
        <v>0.104695</v>
      </c>
      <c r="HC112">
        <v>2.34368</v>
      </c>
      <c r="HD112">
        <v>20.3179</v>
      </c>
      <c r="HE112">
        <v>5.21789</v>
      </c>
      <c r="HF112">
        <v>12.0099</v>
      </c>
      <c r="HG112">
        <v>4.9889</v>
      </c>
      <c r="HH112">
        <v>3.2885</v>
      </c>
      <c r="HI112">
        <v>995.5</v>
      </c>
      <c r="HJ112">
        <v>9535.4</v>
      </c>
      <c r="HK112">
        <v>5139.4</v>
      </c>
      <c r="HL112">
        <v>24.8</v>
      </c>
      <c r="HM112">
        <v>1.86751</v>
      </c>
      <c r="HN112">
        <v>1.86646</v>
      </c>
      <c r="HO112">
        <v>1.866</v>
      </c>
      <c r="HP112">
        <v>1.86584</v>
      </c>
      <c r="HQ112">
        <v>1.86768</v>
      </c>
      <c r="HR112">
        <v>1.8702</v>
      </c>
      <c r="HS112">
        <v>1.86889</v>
      </c>
      <c r="HT112">
        <v>1.87023</v>
      </c>
      <c r="HU112">
        <v>0</v>
      </c>
      <c r="HV112">
        <v>0</v>
      </c>
      <c r="HW112">
        <v>0</v>
      </c>
      <c r="HX112">
        <v>0</v>
      </c>
      <c r="HY112" t="s">
        <v>421</v>
      </c>
      <c r="HZ112" t="s">
        <v>422</v>
      </c>
      <c r="IA112" t="s">
        <v>423</v>
      </c>
      <c r="IB112" t="s">
        <v>423</v>
      </c>
      <c r="IC112" t="s">
        <v>423</v>
      </c>
      <c r="ID112" t="s">
        <v>423</v>
      </c>
      <c r="IE112">
        <v>0</v>
      </c>
      <c r="IF112">
        <v>100</v>
      </c>
      <c r="IG112">
        <v>100</v>
      </c>
      <c r="IH112">
        <v>-1.99</v>
      </c>
      <c r="II112">
        <v>0.0174</v>
      </c>
      <c r="IJ112">
        <v>-0.2164499368582429</v>
      </c>
      <c r="IK112">
        <v>-0.002077099775823331</v>
      </c>
      <c r="IL112">
        <v>4.593143279902166E-07</v>
      </c>
      <c r="IM112">
        <v>-1.865383991892071E-10</v>
      </c>
      <c r="IN112">
        <v>-0.06087574426827484</v>
      </c>
      <c r="IO112">
        <v>-0.01129461987421345</v>
      </c>
      <c r="IP112">
        <v>0.00116580895745559</v>
      </c>
      <c r="IQ112">
        <v>-1.679085872906199E-05</v>
      </c>
      <c r="IR112">
        <v>2</v>
      </c>
      <c r="IS112">
        <v>2290</v>
      </c>
      <c r="IT112">
        <v>0</v>
      </c>
      <c r="IU112">
        <v>32</v>
      </c>
      <c r="IV112">
        <v>5.8</v>
      </c>
      <c r="IW112">
        <v>5.5</v>
      </c>
      <c r="IX112">
        <v>2.052</v>
      </c>
      <c r="IY112">
        <v>2.20459</v>
      </c>
      <c r="IZ112">
        <v>1.39648</v>
      </c>
      <c r="JA112">
        <v>2.35596</v>
      </c>
      <c r="JB112">
        <v>1.49536</v>
      </c>
      <c r="JC112">
        <v>2.30225</v>
      </c>
      <c r="JD112">
        <v>38.4524</v>
      </c>
      <c r="JE112">
        <v>24.035</v>
      </c>
      <c r="JF112">
        <v>18</v>
      </c>
      <c r="JG112">
        <v>511.783</v>
      </c>
      <c r="JH112">
        <v>428.059</v>
      </c>
      <c r="JI112">
        <v>22.3677</v>
      </c>
      <c r="JJ112">
        <v>28.6511</v>
      </c>
      <c r="JK112">
        <v>30.0002</v>
      </c>
      <c r="JL112">
        <v>28.6167</v>
      </c>
      <c r="JM112">
        <v>28.5557</v>
      </c>
      <c r="JN112">
        <v>41.0245</v>
      </c>
      <c r="JO112">
        <v>35.4638</v>
      </c>
      <c r="JP112">
        <v>0</v>
      </c>
      <c r="JQ112">
        <v>22.349</v>
      </c>
      <c r="JR112">
        <v>976.116</v>
      </c>
      <c r="JS112">
        <v>12.3345</v>
      </c>
      <c r="JT112">
        <v>100.308</v>
      </c>
      <c r="JU112">
        <v>100.237</v>
      </c>
    </row>
    <row r="113" spans="1:281">
      <c r="A113">
        <v>97</v>
      </c>
      <c r="B113">
        <v>1651864592.1</v>
      </c>
      <c r="C113">
        <v>371.5</v>
      </c>
      <c r="D113" t="s">
        <v>614</v>
      </c>
      <c r="E113" t="s">
        <v>615</v>
      </c>
      <c r="F113">
        <v>2</v>
      </c>
      <c r="G113" t="s">
        <v>413</v>
      </c>
      <c r="H113" t="s">
        <v>414</v>
      </c>
      <c r="I113">
        <v>1651864590.725</v>
      </c>
      <c r="J113">
        <f>(K113)/1000</f>
        <v>0</v>
      </c>
      <c r="K113">
        <f>IF(CZ113, AN113, AH113)</f>
        <v>0</v>
      </c>
      <c r="L113">
        <f>IF(CZ113, AI113, AG113)</f>
        <v>0</v>
      </c>
      <c r="M113">
        <f>DB113 - IF(AU113&gt;1, L113*CV113*100.0/(AW113*DP113), 0)</f>
        <v>0</v>
      </c>
      <c r="N113">
        <f>((T113-J113/2)*M113-L113)/(T113+J113/2)</f>
        <v>0</v>
      </c>
      <c r="O113">
        <f>N113*(DI113+DJ113)/1000.0</f>
        <v>0</v>
      </c>
      <c r="P113">
        <f>(DB113 - IF(AU113&gt;1, L113*CV113*100.0/(AW113*DP113), 0))*(DI113+DJ113)/1000.0</f>
        <v>0</v>
      </c>
      <c r="Q113">
        <f>2.0/((1/S113-1/R113)+SIGN(S113)*SQRT((1/S113-1/R113)*(1/S113-1/R113) + 4*CW113/((CW113+1)*(CW113+1))*(2*1/S113*1/R113-1/R113*1/R113)))</f>
        <v>0</v>
      </c>
      <c r="R113">
        <f>IF(LEFT(CX113,1)&lt;&gt;"0",IF(LEFT(CX113,1)="1",3.0,CY113),$D$5+$E$5*(DP113*DI113/($K$5*1000))+$F$5*(DP113*DI113/($K$5*1000))*MAX(MIN(CV113,$J$5),$I$5)*MAX(MIN(CV113,$J$5),$I$5)+$G$5*MAX(MIN(CV113,$J$5),$I$5)*(DP113*DI113/($K$5*1000))+$H$5*(DP113*DI113/($K$5*1000))*(DP113*DI113/($K$5*1000)))</f>
        <v>0</v>
      </c>
      <c r="S113">
        <f>J113*(1000-(1000*0.61365*exp(17.502*W113/(240.97+W113))/(DI113+DJ113)+DD113)/2)/(1000*0.61365*exp(17.502*W113/(240.97+W113))/(DI113+DJ113)-DD113)</f>
        <v>0</v>
      </c>
      <c r="T113">
        <f>1/((CW113+1)/(Q113/1.6)+1/(R113/1.37)) + CW113/((CW113+1)/(Q113/1.6) + CW113/(R113/1.37))</f>
        <v>0</v>
      </c>
      <c r="U113">
        <f>(CR113*CU113)</f>
        <v>0</v>
      </c>
      <c r="V113">
        <f>(DK113+(U113+2*0.95*5.67E-8*(((DK113+$B$7)+273)^4-(DK113+273)^4)-44100*J113)/(1.84*29.3*R113+8*0.95*5.67E-8*(DK113+273)^3))</f>
        <v>0</v>
      </c>
      <c r="W113">
        <f>($C$7*DL113+$D$7*DM113+$E$7*V113)</f>
        <v>0</v>
      </c>
      <c r="X113">
        <f>0.61365*exp(17.502*W113/(240.97+W113))</f>
        <v>0</v>
      </c>
      <c r="Y113">
        <f>(Z113/AA113*100)</f>
        <v>0</v>
      </c>
      <c r="Z113">
        <f>DD113*(DI113+DJ113)/1000</f>
        <v>0</v>
      </c>
      <c r="AA113">
        <f>0.61365*exp(17.502*DK113/(240.97+DK113))</f>
        <v>0</v>
      </c>
      <c r="AB113">
        <f>(X113-DD113*(DI113+DJ113)/1000)</f>
        <v>0</v>
      </c>
      <c r="AC113">
        <f>(-J113*44100)</f>
        <v>0</v>
      </c>
      <c r="AD113">
        <f>2*29.3*R113*0.92*(DK113-W113)</f>
        <v>0</v>
      </c>
      <c r="AE113">
        <f>2*0.95*5.67E-8*(((DK113+$B$7)+273)^4-(W113+273)^4)</f>
        <v>0</v>
      </c>
      <c r="AF113">
        <f>U113+AE113+AC113+AD113</f>
        <v>0</v>
      </c>
      <c r="AG113">
        <f>DH113*AU113*(DC113-DB113*(1000-AU113*DE113)/(1000-AU113*DD113))/(100*CV113)</f>
        <v>0</v>
      </c>
      <c r="AH113">
        <f>1000*DH113*AU113*(DD113-DE113)/(100*CV113*(1000-AU113*DD113))</f>
        <v>0</v>
      </c>
      <c r="AI113">
        <f>(AJ113 - AK113 - DI113*1E3/(8.314*(DK113+273.15)) * AM113/DH113 * AL113) * DH113/(100*CV113) * (1000 - DE113)/1000</f>
        <v>0</v>
      </c>
      <c r="AJ113">
        <v>1011.068605048018</v>
      </c>
      <c r="AK113">
        <v>993.236690909091</v>
      </c>
      <c r="AL113">
        <v>-3.264606120578571</v>
      </c>
      <c r="AM113">
        <v>66.38192812717227</v>
      </c>
      <c r="AN113">
        <f>(AP113 - AO113 + DI113*1E3/(8.314*(DK113+273.15)) * AR113/DH113 * AQ113) * DH113/(100*CV113) * 1000/(1000 - AP113)</f>
        <v>0</v>
      </c>
      <c r="AO113">
        <v>12.14486933122841</v>
      </c>
      <c r="AP113">
        <v>18.13703882352941</v>
      </c>
      <c r="AQ113">
        <v>-5.226794530845519E-05</v>
      </c>
      <c r="AR113">
        <v>80.47224507511959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MAX(0,($B$13+$C$13*DP113)/(1+$D$13*DP113)*DI113/(DK113+273)*$E$13)</f>
        <v>0</v>
      </c>
      <c r="AX113" t="s">
        <v>417</v>
      </c>
      <c r="AY113" t="s">
        <v>417</v>
      </c>
      <c r="AZ113">
        <v>0</v>
      </c>
      <c r="BA113">
        <v>0</v>
      </c>
      <c r="BB113">
        <f>1-AZ113/BA113</f>
        <v>0</v>
      </c>
      <c r="BC113">
        <v>0</v>
      </c>
      <c r="BD113" t="s">
        <v>417</v>
      </c>
      <c r="BE113" t="s">
        <v>417</v>
      </c>
      <c r="BF113">
        <v>0</v>
      </c>
      <c r="BG113">
        <v>0</v>
      </c>
      <c r="BH113">
        <f>1-BF113/BG113</f>
        <v>0</v>
      </c>
      <c r="BI113">
        <v>0.5</v>
      </c>
      <c r="BJ113">
        <f>CS113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417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1248</v>
      </c>
      <c r="CA113">
        <v>300</v>
      </c>
      <c r="CB113">
        <v>300</v>
      </c>
      <c r="CC113">
        <v>300</v>
      </c>
      <c r="CD113">
        <v>10442</v>
      </c>
      <c r="CE113">
        <v>1293.69</v>
      </c>
      <c r="CF113">
        <v>-0.00735246</v>
      </c>
      <c r="CG113">
        <v>0.5</v>
      </c>
      <c r="CH113" t="s">
        <v>417</v>
      </c>
      <c r="CI113" t="s">
        <v>417</v>
      </c>
      <c r="CJ113" t="s">
        <v>417</v>
      </c>
      <c r="CK113" t="s">
        <v>417</v>
      </c>
      <c r="CL113" t="s">
        <v>417</v>
      </c>
      <c r="CM113" t="s">
        <v>417</v>
      </c>
      <c r="CN113" t="s">
        <v>417</v>
      </c>
      <c r="CO113" t="s">
        <v>417</v>
      </c>
      <c r="CP113" t="s">
        <v>417</v>
      </c>
      <c r="CQ113" t="s">
        <v>417</v>
      </c>
      <c r="CR113">
        <f>$B$11*DQ113+$C$11*DR113+$F$11*EC113*(1-EF113)</f>
        <v>0</v>
      </c>
      <c r="CS113">
        <f>CR113*CT113</f>
        <v>0</v>
      </c>
      <c r="CT113">
        <f>($B$11*$D$9+$C$11*$D$9+$F$11*((EP113+EH113)/MAX(EP113+EH113+EQ113, 0.1)*$I$9+EQ113/MAX(EP113+EH113+EQ113, 0.1)*$J$9))/($B$11+$C$11+$F$11)</f>
        <v>0</v>
      </c>
      <c r="CU113">
        <f>($B$11*$K$9+$C$11*$K$9+$F$11*((EP113+EH113)/MAX(EP113+EH113+EQ113, 0.1)*$P$9+EQ113/MAX(EP113+EH113+EQ113, 0.1)*$Q$9))/($B$11+$C$11+$F$11)</f>
        <v>0</v>
      </c>
      <c r="CV113">
        <v>6</v>
      </c>
      <c r="CW113">
        <v>0.5</v>
      </c>
      <c r="CX113" t="s">
        <v>418</v>
      </c>
      <c r="CY113">
        <v>2</v>
      </c>
      <c r="CZ113" t="b">
        <v>1</v>
      </c>
      <c r="DA113">
        <v>1651864590.725</v>
      </c>
      <c r="DB113">
        <v>978.03075</v>
      </c>
      <c r="DC113">
        <v>994.24325</v>
      </c>
      <c r="DD113">
        <v>18.138025</v>
      </c>
      <c r="DE113">
        <v>12.204925</v>
      </c>
      <c r="DF113">
        <v>980.01725</v>
      </c>
      <c r="DG113">
        <v>18.120625</v>
      </c>
      <c r="DH113">
        <v>500.01425</v>
      </c>
      <c r="DI113">
        <v>89.93947499999999</v>
      </c>
      <c r="DJ113">
        <v>0.09987335000000001</v>
      </c>
      <c r="DK113">
        <v>25.70515</v>
      </c>
      <c r="DL113">
        <v>25.024075</v>
      </c>
      <c r="DM113">
        <v>999.9</v>
      </c>
      <c r="DN113">
        <v>0</v>
      </c>
      <c r="DO113">
        <v>0</v>
      </c>
      <c r="DP113">
        <v>10009.675</v>
      </c>
      <c r="DQ113">
        <v>0</v>
      </c>
      <c r="DR113">
        <v>3.23193</v>
      </c>
      <c r="DS113">
        <v>-16.212475</v>
      </c>
      <c r="DT113">
        <v>996.09775</v>
      </c>
      <c r="DU113">
        <v>1006.5275</v>
      </c>
      <c r="DV113">
        <v>5.933085</v>
      </c>
      <c r="DW113">
        <v>994.24325</v>
      </c>
      <c r="DX113">
        <v>12.204925</v>
      </c>
      <c r="DY113">
        <v>1.63132</v>
      </c>
      <c r="DZ113">
        <v>1.097705</v>
      </c>
      <c r="EA113">
        <v>14.257875</v>
      </c>
      <c r="EB113">
        <v>8.2820625</v>
      </c>
      <c r="EC113">
        <v>1499.95</v>
      </c>
      <c r="ED113">
        <v>0.97300575</v>
      </c>
      <c r="EE113">
        <v>0.02699445</v>
      </c>
      <c r="EF113">
        <v>0</v>
      </c>
      <c r="EG113">
        <v>928.9784999999999</v>
      </c>
      <c r="EH113">
        <v>5.00097</v>
      </c>
      <c r="EI113">
        <v>13794.275</v>
      </c>
      <c r="EJ113">
        <v>12491.225</v>
      </c>
      <c r="EK113">
        <v>37.25</v>
      </c>
      <c r="EL113">
        <v>38.7185</v>
      </c>
      <c r="EM113">
        <v>37.625</v>
      </c>
      <c r="EN113">
        <v>38.437</v>
      </c>
      <c r="EO113">
        <v>38.125</v>
      </c>
      <c r="EP113">
        <v>1454.59</v>
      </c>
      <c r="EQ113">
        <v>40.36</v>
      </c>
      <c r="ER113">
        <v>0</v>
      </c>
      <c r="ES113">
        <v>370.7999999523163</v>
      </c>
      <c r="ET113">
        <v>0</v>
      </c>
      <c r="EU113">
        <v>931.0866923076925</v>
      </c>
      <c r="EV113">
        <v>-20.62399999621401</v>
      </c>
      <c r="EW113">
        <v>-311.9452991406311</v>
      </c>
      <c r="EX113">
        <v>13827.83076923077</v>
      </c>
      <c r="EY113">
        <v>15</v>
      </c>
      <c r="EZ113">
        <v>1651864261.1</v>
      </c>
      <c r="FA113" t="s">
        <v>419</v>
      </c>
      <c r="FB113">
        <v>1651864241.6</v>
      </c>
      <c r="FC113">
        <v>1651864261.1</v>
      </c>
      <c r="FD113">
        <v>7</v>
      </c>
      <c r="FE113">
        <v>0.438</v>
      </c>
      <c r="FF113">
        <v>0.002</v>
      </c>
      <c r="FG113">
        <v>-0.988</v>
      </c>
      <c r="FH113">
        <v>-0.066</v>
      </c>
      <c r="FI113">
        <v>400</v>
      </c>
      <c r="FJ113">
        <v>11</v>
      </c>
      <c r="FK113">
        <v>0.05</v>
      </c>
      <c r="FL113">
        <v>0.02</v>
      </c>
      <c r="FM113">
        <v>-16.1419225</v>
      </c>
      <c r="FN113">
        <v>0.2047463414634106</v>
      </c>
      <c r="FO113">
        <v>0.1703297309448647</v>
      </c>
      <c r="FP113">
        <v>-1</v>
      </c>
      <c r="FQ113">
        <v>6.0863525</v>
      </c>
      <c r="FR113">
        <v>-0.9163294559099598</v>
      </c>
      <c r="FS113">
        <v>0.08844355450653259</v>
      </c>
      <c r="FT113">
        <v>-1</v>
      </c>
      <c r="FU113">
        <v>0</v>
      </c>
      <c r="FV113">
        <v>0</v>
      </c>
      <c r="FW113">
        <v>0</v>
      </c>
      <c r="FX113">
        <v>-1</v>
      </c>
      <c r="FY113">
        <v>0</v>
      </c>
      <c r="FZ113">
        <v>0</v>
      </c>
      <c r="GA113" t="s">
        <v>420</v>
      </c>
      <c r="GB113">
        <v>2.98041</v>
      </c>
      <c r="GC113">
        <v>2.7062</v>
      </c>
      <c r="GD113">
        <v>0.168137</v>
      </c>
      <c r="GE113">
        <v>0.167988</v>
      </c>
      <c r="GF113">
        <v>0.0869455</v>
      </c>
      <c r="GG113">
        <v>0.06439789999999999</v>
      </c>
      <c r="GH113">
        <v>26252.7</v>
      </c>
      <c r="GI113">
        <v>26315.9</v>
      </c>
      <c r="GJ113">
        <v>29345.1</v>
      </c>
      <c r="GK113">
        <v>29260.5</v>
      </c>
      <c r="GL113">
        <v>35480.2</v>
      </c>
      <c r="GM113">
        <v>36463.7</v>
      </c>
      <c r="GN113">
        <v>41304.9</v>
      </c>
      <c r="GO113">
        <v>41764.1</v>
      </c>
      <c r="GP113">
        <v>1.9568</v>
      </c>
      <c r="GQ113">
        <v>1.84895</v>
      </c>
      <c r="GR113">
        <v>-0.0234954</v>
      </c>
      <c r="GS113">
        <v>0</v>
      </c>
      <c r="GT113">
        <v>25.4065</v>
      </c>
      <c r="GU113">
        <v>999.9</v>
      </c>
      <c r="GV113">
        <v>31.8</v>
      </c>
      <c r="GW113">
        <v>34.3</v>
      </c>
      <c r="GX113">
        <v>19.2092</v>
      </c>
      <c r="GY113">
        <v>62.4874</v>
      </c>
      <c r="GZ113">
        <v>35.1883</v>
      </c>
      <c r="HA113">
        <v>1</v>
      </c>
      <c r="HB113">
        <v>0.104736</v>
      </c>
      <c r="HC113">
        <v>2.37167</v>
      </c>
      <c r="HD113">
        <v>20.3175</v>
      </c>
      <c r="HE113">
        <v>5.21744</v>
      </c>
      <c r="HF113">
        <v>12.0099</v>
      </c>
      <c r="HG113">
        <v>4.98885</v>
      </c>
      <c r="HH113">
        <v>3.2885</v>
      </c>
      <c r="HI113">
        <v>995.5</v>
      </c>
      <c r="HJ113">
        <v>9535.4</v>
      </c>
      <c r="HK113">
        <v>5139.4</v>
      </c>
      <c r="HL113">
        <v>24.8</v>
      </c>
      <c r="HM113">
        <v>1.8675</v>
      </c>
      <c r="HN113">
        <v>1.86646</v>
      </c>
      <c r="HO113">
        <v>1.866</v>
      </c>
      <c r="HP113">
        <v>1.86584</v>
      </c>
      <c r="HQ113">
        <v>1.86769</v>
      </c>
      <c r="HR113">
        <v>1.8702</v>
      </c>
      <c r="HS113">
        <v>1.8689</v>
      </c>
      <c r="HT113">
        <v>1.87022</v>
      </c>
      <c r="HU113">
        <v>0</v>
      </c>
      <c r="HV113">
        <v>0</v>
      </c>
      <c r="HW113">
        <v>0</v>
      </c>
      <c r="HX113">
        <v>0</v>
      </c>
      <c r="HY113" t="s">
        <v>421</v>
      </c>
      <c r="HZ113" t="s">
        <v>422</v>
      </c>
      <c r="IA113" t="s">
        <v>423</v>
      </c>
      <c r="IB113" t="s">
        <v>423</v>
      </c>
      <c r="IC113" t="s">
        <v>423</v>
      </c>
      <c r="ID113" t="s">
        <v>423</v>
      </c>
      <c r="IE113">
        <v>0</v>
      </c>
      <c r="IF113">
        <v>100</v>
      </c>
      <c r="IG113">
        <v>100</v>
      </c>
      <c r="IH113">
        <v>-1.979</v>
      </c>
      <c r="II113">
        <v>0.0174</v>
      </c>
      <c r="IJ113">
        <v>-0.2164499368582429</v>
      </c>
      <c r="IK113">
        <v>-0.002077099775823331</v>
      </c>
      <c r="IL113">
        <v>4.593143279902166E-07</v>
      </c>
      <c r="IM113">
        <v>-1.865383991892071E-10</v>
      </c>
      <c r="IN113">
        <v>-0.06087574426827484</v>
      </c>
      <c r="IO113">
        <v>-0.01129461987421345</v>
      </c>
      <c r="IP113">
        <v>0.00116580895745559</v>
      </c>
      <c r="IQ113">
        <v>-1.679085872906199E-05</v>
      </c>
      <c r="IR113">
        <v>2</v>
      </c>
      <c r="IS113">
        <v>2290</v>
      </c>
      <c r="IT113">
        <v>0</v>
      </c>
      <c r="IU113">
        <v>32</v>
      </c>
      <c r="IV113">
        <v>5.8</v>
      </c>
      <c r="IW113">
        <v>5.5</v>
      </c>
      <c r="IX113">
        <v>2.03979</v>
      </c>
      <c r="IY113">
        <v>2.20337</v>
      </c>
      <c r="IZ113">
        <v>1.39648</v>
      </c>
      <c r="JA113">
        <v>2.35718</v>
      </c>
      <c r="JB113">
        <v>1.49536</v>
      </c>
      <c r="JC113">
        <v>2.35718</v>
      </c>
      <c r="JD113">
        <v>38.4524</v>
      </c>
      <c r="JE113">
        <v>24.035</v>
      </c>
      <c r="JF113">
        <v>18</v>
      </c>
      <c r="JG113">
        <v>511.794</v>
      </c>
      <c r="JH113">
        <v>428.059</v>
      </c>
      <c r="JI113">
        <v>22.3612</v>
      </c>
      <c r="JJ113">
        <v>28.6512</v>
      </c>
      <c r="JK113">
        <v>30.0003</v>
      </c>
      <c r="JL113">
        <v>28.6179</v>
      </c>
      <c r="JM113">
        <v>28.5557</v>
      </c>
      <c r="JN113">
        <v>40.801</v>
      </c>
      <c r="JO113">
        <v>35.1792</v>
      </c>
      <c r="JP113">
        <v>0</v>
      </c>
      <c r="JQ113">
        <v>22.349</v>
      </c>
      <c r="JR113">
        <v>969.438</v>
      </c>
      <c r="JS113">
        <v>12.3594</v>
      </c>
      <c r="JT113">
        <v>100.308</v>
      </c>
      <c r="JU113">
        <v>100.237</v>
      </c>
    </row>
    <row r="114" spans="1:281">
      <c r="A114">
        <v>98</v>
      </c>
      <c r="B114">
        <v>1651864594.1</v>
      </c>
      <c r="C114">
        <v>373.5</v>
      </c>
      <c r="D114" t="s">
        <v>616</v>
      </c>
      <c r="E114" t="s">
        <v>617</v>
      </c>
      <c r="F114">
        <v>2</v>
      </c>
      <c r="G114" t="s">
        <v>413</v>
      </c>
      <c r="H114" t="s">
        <v>414</v>
      </c>
      <c r="I114">
        <v>1651864593.1</v>
      </c>
      <c r="J114">
        <f>(K114)/1000</f>
        <v>0</v>
      </c>
      <c r="K114">
        <f>IF(CZ114, AN114, AH114)</f>
        <v>0</v>
      </c>
      <c r="L114">
        <f>IF(CZ114, AI114, AG114)</f>
        <v>0</v>
      </c>
      <c r="M114">
        <f>DB114 - IF(AU114&gt;1, L114*CV114*100.0/(AW114*DP114), 0)</f>
        <v>0</v>
      </c>
      <c r="N114">
        <f>((T114-J114/2)*M114-L114)/(T114+J114/2)</f>
        <v>0</v>
      </c>
      <c r="O114">
        <f>N114*(DI114+DJ114)/1000.0</f>
        <v>0</v>
      </c>
      <c r="P114">
        <f>(DB114 - IF(AU114&gt;1, L114*CV114*100.0/(AW114*DP114), 0))*(DI114+DJ114)/1000.0</f>
        <v>0</v>
      </c>
      <c r="Q114">
        <f>2.0/((1/S114-1/R114)+SIGN(S114)*SQRT((1/S114-1/R114)*(1/S114-1/R114) + 4*CW114/((CW114+1)*(CW114+1))*(2*1/S114*1/R114-1/R114*1/R114)))</f>
        <v>0</v>
      </c>
      <c r="R114">
        <f>IF(LEFT(CX114,1)&lt;&gt;"0",IF(LEFT(CX114,1)="1",3.0,CY114),$D$5+$E$5*(DP114*DI114/($K$5*1000))+$F$5*(DP114*DI114/($K$5*1000))*MAX(MIN(CV114,$J$5),$I$5)*MAX(MIN(CV114,$J$5),$I$5)+$G$5*MAX(MIN(CV114,$J$5),$I$5)*(DP114*DI114/($K$5*1000))+$H$5*(DP114*DI114/($K$5*1000))*(DP114*DI114/($K$5*1000)))</f>
        <v>0</v>
      </c>
      <c r="S114">
        <f>J114*(1000-(1000*0.61365*exp(17.502*W114/(240.97+W114))/(DI114+DJ114)+DD114)/2)/(1000*0.61365*exp(17.502*W114/(240.97+W114))/(DI114+DJ114)-DD114)</f>
        <v>0</v>
      </c>
      <c r="T114">
        <f>1/((CW114+1)/(Q114/1.6)+1/(R114/1.37)) + CW114/((CW114+1)/(Q114/1.6) + CW114/(R114/1.37))</f>
        <v>0</v>
      </c>
      <c r="U114">
        <f>(CR114*CU114)</f>
        <v>0</v>
      </c>
      <c r="V114">
        <f>(DK114+(U114+2*0.95*5.67E-8*(((DK114+$B$7)+273)^4-(DK114+273)^4)-44100*J114)/(1.84*29.3*R114+8*0.95*5.67E-8*(DK114+273)^3))</f>
        <v>0</v>
      </c>
      <c r="W114">
        <f>($C$7*DL114+$D$7*DM114+$E$7*V114)</f>
        <v>0</v>
      </c>
      <c r="X114">
        <f>0.61365*exp(17.502*W114/(240.97+W114))</f>
        <v>0</v>
      </c>
      <c r="Y114">
        <f>(Z114/AA114*100)</f>
        <v>0</v>
      </c>
      <c r="Z114">
        <f>DD114*(DI114+DJ114)/1000</f>
        <v>0</v>
      </c>
      <c r="AA114">
        <f>0.61365*exp(17.502*DK114/(240.97+DK114))</f>
        <v>0</v>
      </c>
      <c r="AB114">
        <f>(X114-DD114*(DI114+DJ114)/1000)</f>
        <v>0</v>
      </c>
      <c r="AC114">
        <f>(-J114*44100)</f>
        <v>0</v>
      </c>
      <c r="AD114">
        <f>2*29.3*R114*0.92*(DK114-W114)</f>
        <v>0</v>
      </c>
      <c r="AE114">
        <f>2*0.95*5.67E-8*(((DK114+$B$7)+273)^4-(W114+273)^4)</f>
        <v>0</v>
      </c>
      <c r="AF114">
        <f>U114+AE114+AC114+AD114</f>
        <v>0</v>
      </c>
      <c r="AG114">
        <f>DH114*AU114*(DC114-DB114*(1000-AU114*DE114)/(1000-AU114*DD114))/(100*CV114)</f>
        <v>0</v>
      </c>
      <c r="AH114">
        <f>1000*DH114*AU114*(DD114-DE114)/(100*CV114*(1000-AU114*DD114))</f>
        <v>0</v>
      </c>
      <c r="AI114">
        <f>(AJ114 - AK114 - DI114*1E3/(8.314*(DK114+273.15)) * AM114/DH114 * AL114) * DH114/(100*CV114) * (1000 - DE114)/1000</f>
        <v>0</v>
      </c>
      <c r="AJ114">
        <v>1004.533831064738</v>
      </c>
      <c r="AK114">
        <v>986.7317575757576</v>
      </c>
      <c r="AL114">
        <v>-3.25753942642442</v>
      </c>
      <c r="AM114">
        <v>66.38192812717227</v>
      </c>
      <c r="AN114">
        <f>(AP114 - AO114 + DI114*1E3/(8.314*(DK114+273.15)) * AR114/DH114 * AQ114) * DH114/(100*CV114) * 1000/(1000 - AP114)</f>
        <v>0</v>
      </c>
      <c r="AO114">
        <v>12.18023281840977</v>
      </c>
      <c r="AP114">
        <v>18.13646617647059</v>
      </c>
      <c r="AQ114">
        <v>-4.460576214369269E-05</v>
      </c>
      <c r="AR114">
        <v>80.47224507511959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MAX(0,($B$13+$C$13*DP114)/(1+$D$13*DP114)*DI114/(DK114+273)*$E$13)</f>
        <v>0</v>
      </c>
      <c r="AX114" t="s">
        <v>417</v>
      </c>
      <c r="AY114" t="s">
        <v>417</v>
      </c>
      <c r="AZ114">
        <v>0</v>
      </c>
      <c r="BA114">
        <v>0</v>
      </c>
      <c r="BB114">
        <f>1-AZ114/BA114</f>
        <v>0</v>
      </c>
      <c r="BC114">
        <v>0</v>
      </c>
      <c r="BD114" t="s">
        <v>417</v>
      </c>
      <c r="BE114" t="s">
        <v>417</v>
      </c>
      <c r="BF114">
        <v>0</v>
      </c>
      <c r="BG114">
        <v>0</v>
      </c>
      <c r="BH114">
        <f>1-BF114/BG114</f>
        <v>0</v>
      </c>
      <c r="BI114">
        <v>0.5</v>
      </c>
      <c r="BJ114">
        <f>CS114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417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1248</v>
      </c>
      <c r="CA114">
        <v>300</v>
      </c>
      <c r="CB114">
        <v>300</v>
      </c>
      <c r="CC114">
        <v>300</v>
      </c>
      <c r="CD114">
        <v>10442</v>
      </c>
      <c r="CE114">
        <v>1293.69</v>
      </c>
      <c r="CF114">
        <v>-0.00735246</v>
      </c>
      <c r="CG114">
        <v>0.5</v>
      </c>
      <c r="CH114" t="s">
        <v>417</v>
      </c>
      <c r="CI114" t="s">
        <v>417</v>
      </c>
      <c r="CJ114" t="s">
        <v>417</v>
      </c>
      <c r="CK114" t="s">
        <v>417</v>
      </c>
      <c r="CL114" t="s">
        <v>417</v>
      </c>
      <c r="CM114" t="s">
        <v>417</v>
      </c>
      <c r="CN114" t="s">
        <v>417</v>
      </c>
      <c r="CO114" t="s">
        <v>417</v>
      </c>
      <c r="CP114" t="s">
        <v>417</v>
      </c>
      <c r="CQ114" t="s">
        <v>417</v>
      </c>
      <c r="CR114">
        <f>$B$11*DQ114+$C$11*DR114+$F$11*EC114*(1-EF114)</f>
        <v>0</v>
      </c>
      <c r="CS114">
        <f>CR114*CT114</f>
        <v>0</v>
      </c>
      <c r="CT114">
        <f>($B$11*$D$9+$C$11*$D$9+$F$11*((EP114+EH114)/MAX(EP114+EH114+EQ114, 0.1)*$I$9+EQ114/MAX(EP114+EH114+EQ114, 0.1)*$J$9))/($B$11+$C$11+$F$11)</f>
        <v>0</v>
      </c>
      <c r="CU114">
        <f>($B$11*$K$9+$C$11*$K$9+$F$11*((EP114+EH114)/MAX(EP114+EH114+EQ114, 0.1)*$P$9+EQ114/MAX(EP114+EH114+EQ114, 0.1)*$Q$9))/($B$11+$C$11+$F$11)</f>
        <v>0</v>
      </c>
      <c r="CV114">
        <v>6</v>
      </c>
      <c r="CW114">
        <v>0.5</v>
      </c>
      <c r="CX114" t="s">
        <v>418</v>
      </c>
      <c r="CY114">
        <v>2</v>
      </c>
      <c r="CZ114" t="b">
        <v>1</v>
      </c>
      <c r="DA114">
        <v>1651864593.1</v>
      </c>
      <c r="DB114">
        <v>970.4353333333333</v>
      </c>
      <c r="DC114">
        <v>986.605</v>
      </c>
      <c r="DD114">
        <v>18.13633333333333</v>
      </c>
      <c r="DE114">
        <v>12.24926666666667</v>
      </c>
      <c r="DF114">
        <v>972.409</v>
      </c>
      <c r="DG114">
        <v>18.119</v>
      </c>
      <c r="DH114">
        <v>500.0353333333333</v>
      </c>
      <c r="DI114">
        <v>89.94133333333333</v>
      </c>
      <c r="DJ114">
        <v>0.100126</v>
      </c>
      <c r="DK114">
        <v>25.7052</v>
      </c>
      <c r="DL114">
        <v>25.0218</v>
      </c>
      <c r="DM114">
        <v>999.9</v>
      </c>
      <c r="DN114">
        <v>0</v>
      </c>
      <c r="DO114">
        <v>0</v>
      </c>
      <c r="DP114">
        <v>10008.13333333333</v>
      </c>
      <c r="DQ114">
        <v>0</v>
      </c>
      <c r="DR114">
        <v>3.23193</v>
      </c>
      <c r="DS114">
        <v>-16.16916666666667</v>
      </c>
      <c r="DT114">
        <v>988.3606666666666</v>
      </c>
      <c r="DU114">
        <v>998.8389999999999</v>
      </c>
      <c r="DV114">
        <v>5.887046666666667</v>
      </c>
      <c r="DW114">
        <v>986.605</v>
      </c>
      <c r="DX114">
        <v>12.24926666666667</v>
      </c>
      <c r="DY114">
        <v>1.631206666666667</v>
      </c>
      <c r="DZ114">
        <v>1.101716666666667</v>
      </c>
      <c r="EA114">
        <v>14.2568</v>
      </c>
      <c r="EB114">
        <v>8.335813333333332</v>
      </c>
      <c r="EC114">
        <v>1500.03</v>
      </c>
      <c r="ED114">
        <v>0.973007</v>
      </c>
      <c r="EE114">
        <v>0.0269931</v>
      </c>
      <c r="EF114">
        <v>0</v>
      </c>
      <c r="EG114">
        <v>928.0413333333332</v>
      </c>
      <c r="EH114">
        <v>5.00097</v>
      </c>
      <c r="EI114">
        <v>13783.06666666667</v>
      </c>
      <c r="EJ114">
        <v>12491.86666666667</v>
      </c>
      <c r="EK114">
        <v>37.25</v>
      </c>
      <c r="EL114">
        <v>38.75</v>
      </c>
      <c r="EM114">
        <v>37.625</v>
      </c>
      <c r="EN114">
        <v>38.437</v>
      </c>
      <c r="EO114">
        <v>38.125</v>
      </c>
      <c r="EP114">
        <v>1454.67</v>
      </c>
      <c r="EQ114">
        <v>40.36</v>
      </c>
      <c r="ER114">
        <v>0</v>
      </c>
      <c r="ES114">
        <v>373.2000000476837</v>
      </c>
      <c r="ET114">
        <v>0</v>
      </c>
      <c r="EU114">
        <v>930.2347307692309</v>
      </c>
      <c r="EV114">
        <v>-19.89548714850623</v>
      </c>
      <c r="EW114">
        <v>-313.733332925408</v>
      </c>
      <c r="EX114">
        <v>13815.51923076923</v>
      </c>
      <c r="EY114">
        <v>15</v>
      </c>
      <c r="EZ114">
        <v>1651864261.1</v>
      </c>
      <c r="FA114" t="s">
        <v>419</v>
      </c>
      <c r="FB114">
        <v>1651864241.6</v>
      </c>
      <c r="FC114">
        <v>1651864261.1</v>
      </c>
      <c r="FD114">
        <v>7</v>
      </c>
      <c r="FE114">
        <v>0.438</v>
      </c>
      <c r="FF114">
        <v>0.002</v>
      </c>
      <c r="FG114">
        <v>-0.988</v>
      </c>
      <c r="FH114">
        <v>-0.066</v>
      </c>
      <c r="FI114">
        <v>400</v>
      </c>
      <c r="FJ114">
        <v>11</v>
      </c>
      <c r="FK114">
        <v>0.05</v>
      </c>
      <c r="FL114">
        <v>0.02</v>
      </c>
      <c r="FM114">
        <v>-16.11134390243902</v>
      </c>
      <c r="FN114">
        <v>-0.4770668989546916</v>
      </c>
      <c r="FO114">
        <v>0.1248911800451244</v>
      </c>
      <c r="FP114">
        <v>-1</v>
      </c>
      <c r="FQ114">
        <v>6.049594634146342</v>
      </c>
      <c r="FR114">
        <v>-0.9508363066201915</v>
      </c>
      <c r="FS114">
        <v>0.09416647977210908</v>
      </c>
      <c r="FT114">
        <v>-1</v>
      </c>
      <c r="FU114">
        <v>0</v>
      </c>
      <c r="FV114">
        <v>0</v>
      </c>
      <c r="FW114">
        <v>0</v>
      </c>
      <c r="FX114">
        <v>-1</v>
      </c>
      <c r="FY114">
        <v>0</v>
      </c>
      <c r="FZ114">
        <v>0</v>
      </c>
      <c r="GA114" t="s">
        <v>420</v>
      </c>
      <c r="GB114">
        <v>2.98065</v>
      </c>
      <c r="GC114">
        <v>2.70629</v>
      </c>
      <c r="GD114">
        <v>0.167424</v>
      </c>
      <c r="GE114">
        <v>0.167298</v>
      </c>
      <c r="GF114">
        <v>0.08694399999999999</v>
      </c>
      <c r="GG114">
        <v>0.0644873</v>
      </c>
      <c r="GH114">
        <v>26275.5</v>
      </c>
      <c r="GI114">
        <v>26337.9</v>
      </c>
      <c r="GJ114">
        <v>29345.3</v>
      </c>
      <c r="GK114">
        <v>29260.7</v>
      </c>
      <c r="GL114">
        <v>35480.5</v>
      </c>
      <c r="GM114">
        <v>36460.3</v>
      </c>
      <c r="GN114">
        <v>41305.1</v>
      </c>
      <c r="GO114">
        <v>41764.3</v>
      </c>
      <c r="GP114">
        <v>1.9569</v>
      </c>
      <c r="GQ114">
        <v>1.84892</v>
      </c>
      <c r="GR114">
        <v>-0.0234917</v>
      </c>
      <c r="GS114">
        <v>0</v>
      </c>
      <c r="GT114">
        <v>25.4059</v>
      </c>
      <c r="GU114">
        <v>999.9</v>
      </c>
      <c r="GV114">
        <v>31.8</v>
      </c>
      <c r="GW114">
        <v>34.3</v>
      </c>
      <c r="GX114">
        <v>19.2091</v>
      </c>
      <c r="GY114">
        <v>62.7974</v>
      </c>
      <c r="GZ114">
        <v>34.8638</v>
      </c>
      <c r="HA114">
        <v>1</v>
      </c>
      <c r="HB114">
        <v>0.10497</v>
      </c>
      <c r="HC114">
        <v>2.36537</v>
      </c>
      <c r="HD114">
        <v>20.3178</v>
      </c>
      <c r="HE114">
        <v>5.21774</v>
      </c>
      <c r="HF114">
        <v>12.0099</v>
      </c>
      <c r="HG114">
        <v>4.9889</v>
      </c>
      <c r="HH114">
        <v>3.2885</v>
      </c>
      <c r="HI114">
        <v>995.5</v>
      </c>
      <c r="HJ114">
        <v>9535.4</v>
      </c>
      <c r="HK114">
        <v>5139.4</v>
      </c>
      <c r="HL114">
        <v>24.8</v>
      </c>
      <c r="HM114">
        <v>1.8675</v>
      </c>
      <c r="HN114">
        <v>1.86646</v>
      </c>
      <c r="HO114">
        <v>1.866</v>
      </c>
      <c r="HP114">
        <v>1.86584</v>
      </c>
      <c r="HQ114">
        <v>1.86769</v>
      </c>
      <c r="HR114">
        <v>1.87021</v>
      </c>
      <c r="HS114">
        <v>1.8689</v>
      </c>
      <c r="HT114">
        <v>1.87024</v>
      </c>
      <c r="HU114">
        <v>0</v>
      </c>
      <c r="HV114">
        <v>0</v>
      </c>
      <c r="HW114">
        <v>0</v>
      </c>
      <c r="HX114">
        <v>0</v>
      </c>
      <c r="HY114" t="s">
        <v>421</v>
      </c>
      <c r="HZ114" t="s">
        <v>422</v>
      </c>
      <c r="IA114" t="s">
        <v>423</v>
      </c>
      <c r="IB114" t="s">
        <v>423</v>
      </c>
      <c r="IC114" t="s">
        <v>423</v>
      </c>
      <c r="ID114" t="s">
        <v>423</v>
      </c>
      <c r="IE114">
        <v>0</v>
      </c>
      <c r="IF114">
        <v>100</v>
      </c>
      <c r="IG114">
        <v>100</v>
      </c>
      <c r="IH114">
        <v>-1.968</v>
      </c>
      <c r="II114">
        <v>0.0174</v>
      </c>
      <c r="IJ114">
        <v>-0.2164499368582429</v>
      </c>
      <c r="IK114">
        <v>-0.002077099775823331</v>
      </c>
      <c r="IL114">
        <v>4.593143279902166E-07</v>
      </c>
      <c r="IM114">
        <v>-1.865383991892071E-10</v>
      </c>
      <c r="IN114">
        <v>-0.06087574426827484</v>
      </c>
      <c r="IO114">
        <v>-0.01129461987421345</v>
      </c>
      <c r="IP114">
        <v>0.00116580895745559</v>
      </c>
      <c r="IQ114">
        <v>-1.679085872906199E-05</v>
      </c>
      <c r="IR114">
        <v>2</v>
      </c>
      <c r="IS114">
        <v>2290</v>
      </c>
      <c r="IT114">
        <v>0</v>
      </c>
      <c r="IU114">
        <v>32</v>
      </c>
      <c r="IV114">
        <v>5.9</v>
      </c>
      <c r="IW114">
        <v>5.5</v>
      </c>
      <c r="IX114">
        <v>2.02881</v>
      </c>
      <c r="IY114">
        <v>2.20581</v>
      </c>
      <c r="IZ114">
        <v>1.39648</v>
      </c>
      <c r="JA114">
        <v>2.35718</v>
      </c>
      <c r="JB114">
        <v>1.49536</v>
      </c>
      <c r="JC114">
        <v>2.33765</v>
      </c>
      <c r="JD114">
        <v>38.4524</v>
      </c>
      <c r="JE114">
        <v>24.035</v>
      </c>
      <c r="JF114">
        <v>18</v>
      </c>
      <c r="JG114">
        <v>511.859</v>
      </c>
      <c r="JH114">
        <v>428.044</v>
      </c>
      <c r="JI114">
        <v>22.3523</v>
      </c>
      <c r="JJ114">
        <v>28.6524</v>
      </c>
      <c r="JK114">
        <v>30.0003</v>
      </c>
      <c r="JL114">
        <v>28.6179</v>
      </c>
      <c r="JM114">
        <v>28.5557</v>
      </c>
      <c r="JN114">
        <v>40.5729</v>
      </c>
      <c r="JO114">
        <v>35.1792</v>
      </c>
      <c r="JP114">
        <v>0</v>
      </c>
      <c r="JQ114">
        <v>22.3262</v>
      </c>
      <c r="JR114">
        <v>962.759</v>
      </c>
      <c r="JS114">
        <v>12.3921</v>
      </c>
      <c r="JT114">
        <v>100.309</v>
      </c>
      <c r="JU114">
        <v>100.237</v>
      </c>
    </row>
    <row r="115" spans="1:281">
      <c r="A115">
        <v>99</v>
      </c>
      <c r="B115">
        <v>1651864596.1</v>
      </c>
      <c r="C115">
        <v>375.5</v>
      </c>
      <c r="D115" t="s">
        <v>618</v>
      </c>
      <c r="E115" t="s">
        <v>619</v>
      </c>
      <c r="F115">
        <v>2</v>
      </c>
      <c r="G115" t="s">
        <v>413</v>
      </c>
      <c r="H115" t="s">
        <v>414</v>
      </c>
      <c r="I115">
        <v>1651864594.725</v>
      </c>
      <c r="J115">
        <f>(K115)/1000</f>
        <v>0</v>
      </c>
      <c r="K115">
        <f>IF(CZ115, AN115, AH115)</f>
        <v>0</v>
      </c>
      <c r="L115">
        <f>IF(CZ115, AI115, AG115)</f>
        <v>0</v>
      </c>
      <c r="M115">
        <f>DB115 - IF(AU115&gt;1, L115*CV115*100.0/(AW115*DP115), 0)</f>
        <v>0</v>
      </c>
      <c r="N115">
        <f>((T115-J115/2)*M115-L115)/(T115+J115/2)</f>
        <v>0</v>
      </c>
      <c r="O115">
        <f>N115*(DI115+DJ115)/1000.0</f>
        <v>0</v>
      </c>
      <c r="P115">
        <f>(DB115 - IF(AU115&gt;1, L115*CV115*100.0/(AW115*DP115), 0))*(DI115+DJ115)/1000.0</f>
        <v>0</v>
      </c>
      <c r="Q115">
        <f>2.0/((1/S115-1/R115)+SIGN(S115)*SQRT((1/S115-1/R115)*(1/S115-1/R115) + 4*CW115/((CW115+1)*(CW115+1))*(2*1/S115*1/R115-1/R115*1/R115)))</f>
        <v>0</v>
      </c>
      <c r="R115">
        <f>IF(LEFT(CX115,1)&lt;&gt;"0",IF(LEFT(CX115,1)="1",3.0,CY115),$D$5+$E$5*(DP115*DI115/($K$5*1000))+$F$5*(DP115*DI115/($K$5*1000))*MAX(MIN(CV115,$J$5),$I$5)*MAX(MIN(CV115,$J$5),$I$5)+$G$5*MAX(MIN(CV115,$J$5),$I$5)*(DP115*DI115/($K$5*1000))+$H$5*(DP115*DI115/($K$5*1000))*(DP115*DI115/($K$5*1000)))</f>
        <v>0</v>
      </c>
      <c r="S115">
        <f>J115*(1000-(1000*0.61365*exp(17.502*W115/(240.97+W115))/(DI115+DJ115)+DD115)/2)/(1000*0.61365*exp(17.502*W115/(240.97+W115))/(DI115+DJ115)-DD115)</f>
        <v>0</v>
      </c>
      <c r="T115">
        <f>1/((CW115+1)/(Q115/1.6)+1/(R115/1.37)) + CW115/((CW115+1)/(Q115/1.6) + CW115/(R115/1.37))</f>
        <v>0</v>
      </c>
      <c r="U115">
        <f>(CR115*CU115)</f>
        <v>0</v>
      </c>
      <c r="V115">
        <f>(DK115+(U115+2*0.95*5.67E-8*(((DK115+$B$7)+273)^4-(DK115+273)^4)-44100*J115)/(1.84*29.3*R115+8*0.95*5.67E-8*(DK115+273)^3))</f>
        <v>0</v>
      </c>
      <c r="W115">
        <f>($C$7*DL115+$D$7*DM115+$E$7*V115)</f>
        <v>0</v>
      </c>
      <c r="X115">
        <f>0.61365*exp(17.502*W115/(240.97+W115))</f>
        <v>0</v>
      </c>
      <c r="Y115">
        <f>(Z115/AA115*100)</f>
        <v>0</v>
      </c>
      <c r="Z115">
        <f>DD115*(DI115+DJ115)/1000</f>
        <v>0</v>
      </c>
      <c r="AA115">
        <f>0.61365*exp(17.502*DK115/(240.97+DK115))</f>
        <v>0</v>
      </c>
      <c r="AB115">
        <f>(X115-DD115*(DI115+DJ115)/1000)</f>
        <v>0</v>
      </c>
      <c r="AC115">
        <f>(-J115*44100)</f>
        <v>0</v>
      </c>
      <c r="AD115">
        <f>2*29.3*R115*0.92*(DK115-W115)</f>
        <v>0</v>
      </c>
      <c r="AE115">
        <f>2*0.95*5.67E-8*(((DK115+$B$7)+273)^4-(W115+273)^4)</f>
        <v>0</v>
      </c>
      <c r="AF115">
        <f>U115+AE115+AC115+AD115</f>
        <v>0</v>
      </c>
      <c r="AG115">
        <f>DH115*AU115*(DC115-DB115*(1000-AU115*DE115)/(1000-AU115*DD115))/(100*CV115)</f>
        <v>0</v>
      </c>
      <c r="AH115">
        <f>1000*DH115*AU115*(DD115-DE115)/(100*CV115*(1000-AU115*DD115))</f>
        <v>0</v>
      </c>
      <c r="AI115">
        <f>(AJ115 - AK115 - DI115*1E3/(8.314*(DK115+273.15)) * AM115/DH115 * AL115) * DH115/(100*CV115) * (1000 - DE115)/1000</f>
        <v>0</v>
      </c>
      <c r="AJ115">
        <v>998.1092376933711</v>
      </c>
      <c r="AK115">
        <v>980.3258909090906</v>
      </c>
      <c r="AL115">
        <v>-3.223198726466466</v>
      </c>
      <c r="AM115">
        <v>66.38192812717227</v>
      </c>
      <c r="AN115">
        <f>(AP115 - AO115 + DI115*1E3/(8.314*(DK115+273.15)) * AR115/DH115 * AQ115) * DH115/(100*CV115) * 1000/(1000 - AP115)</f>
        <v>0</v>
      </c>
      <c r="AO115">
        <v>12.2239084446895</v>
      </c>
      <c r="AP115">
        <v>18.13733058823528</v>
      </c>
      <c r="AQ115">
        <v>-2.59196266577489E-05</v>
      </c>
      <c r="AR115">
        <v>80.47224507511959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MAX(0,($B$13+$C$13*DP115)/(1+$D$13*DP115)*DI115/(DK115+273)*$E$13)</f>
        <v>0</v>
      </c>
      <c r="AX115" t="s">
        <v>417</v>
      </c>
      <c r="AY115" t="s">
        <v>417</v>
      </c>
      <c r="AZ115">
        <v>0</v>
      </c>
      <c r="BA115">
        <v>0</v>
      </c>
      <c r="BB115">
        <f>1-AZ115/BA115</f>
        <v>0</v>
      </c>
      <c r="BC115">
        <v>0</v>
      </c>
      <c r="BD115" t="s">
        <v>417</v>
      </c>
      <c r="BE115" t="s">
        <v>417</v>
      </c>
      <c r="BF115">
        <v>0</v>
      </c>
      <c r="BG115">
        <v>0</v>
      </c>
      <c r="BH115">
        <f>1-BF115/BG115</f>
        <v>0</v>
      </c>
      <c r="BI115">
        <v>0.5</v>
      </c>
      <c r="BJ115">
        <f>CS115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417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1248</v>
      </c>
      <c r="CA115">
        <v>300</v>
      </c>
      <c r="CB115">
        <v>300</v>
      </c>
      <c r="CC115">
        <v>300</v>
      </c>
      <c r="CD115">
        <v>10442</v>
      </c>
      <c r="CE115">
        <v>1293.69</v>
      </c>
      <c r="CF115">
        <v>-0.00735246</v>
      </c>
      <c r="CG115">
        <v>0.5</v>
      </c>
      <c r="CH115" t="s">
        <v>417</v>
      </c>
      <c r="CI115" t="s">
        <v>417</v>
      </c>
      <c r="CJ115" t="s">
        <v>417</v>
      </c>
      <c r="CK115" t="s">
        <v>417</v>
      </c>
      <c r="CL115" t="s">
        <v>417</v>
      </c>
      <c r="CM115" t="s">
        <v>417</v>
      </c>
      <c r="CN115" t="s">
        <v>417</v>
      </c>
      <c r="CO115" t="s">
        <v>417</v>
      </c>
      <c r="CP115" t="s">
        <v>417</v>
      </c>
      <c r="CQ115" t="s">
        <v>417</v>
      </c>
      <c r="CR115">
        <f>$B$11*DQ115+$C$11*DR115+$F$11*EC115*(1-EF115)</f>
        <v>0</v>
      </c>
      <c r="CS115">
        <f>CR115*CT115</f>
        <v>0</v>
      </c>
      <c r="CT115">
        <f>($B$11*$D$9+$C$11*$D$9+$F$11*((EP115+EH115)/MAX(EP115+EH115+EQ115, 0.1)*$I$9+EQ115/MAX(EP115+EH115+EQ115, 0.1)*$J$9))/($B$11+$C$11+$F$11)</f>
        <v>0</v>
      </c>
      <c r="CU115">
        <f>($B$11*$K$9+$C$11*$K$9+$F$11*((EP115+EH115)/MAX(EP115+EH115+EQ115, 0.1)*$P$9+EQ115/MAX(EP115+EH115+EQ115, 0.1)*$Q$9))/($B$11+$C$11+$F$11)</f>
        <v>0</v>
      </c>
      <c r="CV115">
        <v>6</v>
      </c>
      <c r="CW115">
        <v>0.5</v>
      </c>
      <c r="CX115" t="s">
        <v>418</v>
      </c>
      <c r="CY115">
        <v>2</v>
      </c>
      <c r="CZ115" t="b">
        <v>1</v>
      </c>
      <c r="DA115">
        <v>1651864594.725</v>
      </c>
      <c r="DB115">
        <v>965.2919999999999</v>
      </c>
      <c r="DC115">
        <v>981.36675</v>
      </c>
      <c r="DD115">
        <v>18.136975</v>
      </c>
      <c r="DE115">
        <v>12.262775</v>
      </c>
      <c r="DF115">
        <v>967.2565</v>
      </c>
      <c r="DG115">
        <v>18.11965</v>
      </c>
      <c r="DH115">
        <v>500.066</v>
      </c>
      <c r="DI115">
        <v>89.94055</v>
      </c>
      <c r="DJ115">
        <v>0.1002045</v>
      </c>
      <c r="DK115">
        <v>25.705025</v>
      </c>
      <c r="DL115">
        <v>25.018925</v>
      </c>
      <c r="DM115">
        <v>999.9</v>
      </c>
      <c r="DN115">
        <v>0</v>
      </c>
      <c r="DO115">
        <v>0</v>
      </c>
      <c r="DP115">
        <v>9995.940000000001</v>
      </c>
      <c r="DQ115">
        <v>0</v>
      </c>
      <c r="DR115">
        <v>3.23193</v>
      </c>
      <c r="DS115">
        <v>-16.074775</v>
      </c>
      <c r="DT115">
        <v>983.123</v>
      </c>
      <c r="DU115">
        <v>993.55025</v>
      </c>
      <c r="DV115">
        <v>5.8741925</v>
      </c>
      <c r="DW115">
        <v>981.36675</v>
      </c>
      <c r="DX115">
        <v>12.262775</v>
      </c>
      <c r="DY115">
        <v>1.6312525</v>
      </c>
      <c r="DZ115">
        <v>1.1029225</v>
      </c>
      <c r="EA115">
        <v>14.257225</v>
      </c>
      <c r="EB115">
        <v>8.351955</v>
      </c>
      <c r="EC115">
        <v>1500.0225</v>
      </c>
      <c r="ED115">
        <v>0.973007</v>
      </c>
      <c r="EE115">
        <v>0.0269931</v>
      </c>
      <c r="EF115">
        <v>0</v>
      </c>
      <c r="EG115">
        <v>927.57625</v>
      </c>
      <c r="EH115">
        <v>5.00097</v>
      </c>
      <c r="EI115">
        <v>13775.125</v>
      </c>
      <c r="EJ115">
        <v>12491.775</v>
      </c>
      <c r="EK115">
        <v>37.25</v>
      </c>
      <c r="EL115">
        <v>38.70274999999999</v>
      </c>
      <c r="EM115">
        <v>37.625</v>
      </c>
      <c r="EN115">
        <v>38.437</v>
      </c>
      <c r="EO115">
        <v>38.125</v>
      </c>
      <c r="EP115">
        <v>1454.6625</v>
      </c>
      <c r="EQ115">
        <v>40.36</v>
      </c>
      <c r="ER115">
        <v>0</v>
      </c>
      <c r="ES115">
        <v>375</v>
      </c>
      <c r="ET115">
        <v>0</v>
      </c>
      <c r="EU115">
        <v>929.5468800000001</v>
      </c>
      <c r="EV115">
        <v>-19.88253849283562</v>
      </c>
      <c r="EW115">
        <v>-312.630769730338</v>
      </c>
      <c r="EX115">
        <v>13804.556</v>
      </c>
      <c r="EY115">
        <v>15</v>
      </c>
      <c r="EZ115">
        <v>1651864261.1</v>
      </c>
      <c r="FA115" t="s">
        <v>419</v>
      </c>
      <c r="FB115">
        <v>1651864241.6</v>
      </c>
      <c r="FC115">
        <v>1651864261.1</v>
      </c>
      <c r="FD115">
        <v>7</v>
      </c>
      <c r="FE115">
        <v>0.438</v>
      </c>
      <c r="FF115">
        <v>0.002</v>
      </c>
      <c r="FG115">
        <v>-0.988</v>
      </c>
      <c r="FH115">
        <v>-0.066</v>
      </c>
      <c r="FI115">
        <v>400</v>
      </c>
      <c r="FJ115">
        <v>11</v>
      </c>
      <c r="FK115">
        <v>0.05</v>
      </c>
      <c r="FL115">
        <v>0.02</v>
      </c>
      <c r="FM115">
        <v>-16.108175</v>
      </c>
      <c r="FN115">
        <v>-0.5685185741087833</v>
      </c>
      <c r="FO115">
        <v>0.1253447820014859</v>
      </c>
      <c r="FP115">
        <v>-1</v>
      </c>
      <c r="FQ115">
        <v>6.023276</v>
      </c>
      <c r="FR115">
        <v>-0.9773029643527419</v>
      </c>
      <c r="FS115">
        <v>0.09429152612509777</v>
      </c>
      <c r="FT115">
        <v>-1</v>
      </c>
      <c r="FU115">
        <v>0</v>
      </c>
      <c r="FV115">
        <v>0</v>
      </c>
      <c r="FW115">
        <v>0</v>
      </c>
      <c r="FX115">
        <v>-1</v>
      </c>
      <c r="FY115">
        <v>0</v>
      </c>
      <c r="FZ115">
        <v>0</v>
      </c>
      <c r="GA115" t="s">
        <v>420</v>
      </c>
      <c r="GB115">
        <v>2.98054</v>
      </c>
      <c r="GC115">
        <v>2.70631</v>
      </c>
      <c r="GD115">
        <v>0.166716</v>
      </c>
      <c r="GE115">
        <v>0.166571</v>
      </c>
      <c r="GF115">
        <v>0.086941</v>
      </c>
      <c r="GG115">
        <v>0.0645617</v>
      </c>
      <c r="GH115">
        <v>26298.3</v>
      </c>
      <c r="GI115">
        <v>26361.2</v>
      </c>
      <c r="GJ115">
        <v>29345.8</v>
      </c>
      <c r="GK115">
        <v>29260.9</v>
      </c>
      <c r="GL115">
        <v>35481.1</v>
      </c>
      <c r="GM115">
        <v>36457.7</v>
      </c>
      <c r="GN115">
        <v>41305.7</v>
      </c>
      <c r="GO115">
        <v>41764.6</v>
      </c>
      <c r="GP115">
        <v>1.95667</v>
      </c>
      <c r="GQ115">
        <v>1.84897</v>
      </c>
      <c r="GR115">
        <v>-0.0236407</v>
      </c>
      <c r="GS115">
        <v>0</v>
      </c>
      <c r="GT115">
        <v>25.4059</v>
      </c>
      <c r="GU115">
        <v>999.9</v>
      </c>
      <c r="GV115">
        <v>31.8</v>
      </c>
      <c r="GW115">
        <v>34.3</v>
      </c>
      <c r="GX115">
        <v>19.2098</v>
      </c>
      <c r="GY115">
        <v>62.4174</v>
      </c>
      <c r="GZ115">
        <v>35.3365</v>
      </c>
      <c r="HA115">
        <v>1</v>
      </c>
      <c r="HB115">
        <v>0.105084</v>
      </c>
      <c r="HC115">
        <v>2.39388</v>
      </c>
      <c r="HD115">
        <v>20.3173</v>
      </c>
      <c r="HE115">
        <v>5.21804</v>
      </c>
      <c r="HF115">
        <v>12.0099</v>
      </c>
      <c r="HG115">
        <v>4.989</v>
      </c>
      <c r="HH115">
        <v>3.2885</v>
      </c>
      <c r="HI115">
        <v>995.7</v>
      </c>
      <c r="HJ115">
        <v>9536.6</v>
      </c>
      <c r="HK115">
        <v>5139.4</v>
      </c>
      <c r="HL115">
        <v>24.8</v>
      </c>
      <c r="HM115">
        <v>1.86751</v>
      </c>
      <c r="HN115">
        <v>1.86646</v>
      </c>
      <c r="HO115">
        <v>1.866</v>
      </c>
      <c r="HP115">
        <v>1.86584</v>
      </c>
      <c r="HQ115">
        <v>1.8677</v>
      </c>
      <c r="HR115">
        <v>1.87023</v>
      </c>
      <c r="HS115">
        <v>1.86889</v>
      </c>
      <c r="HT115">
        <v>1.87026</v>
      </c>
      <c r="HU115">
        <v>0</v>
      </c>
      <c r="HV115">
        <v>0</v>
      </c>
      <c r="HW115">
        <v>0</v>
      </c>
      <c r="HX115">
        <v>0</v>
      </c>
      <c r="HY115" t="s">
        <v>421</v>
      </c>
      <c r="HZ115" t="s">
        <v>422</v>
      </c>
      <c r="IA115" t="s">
        <v>423</v>
      </c>
      <c r="IB115" t="s">
        <v>423</v>
      </c>
      <c r="IC115" t="s">
        <v>423</v>
      </c>
      <c r="ID115" t="s">
        <v>423</v>
      </c>
      <c r="IE115">
        <v>0</v>
      </c>
      <c r="IF115">
        <v>100</v>
      </c>
      <c r="IG115">
        <v>100</v>
      </c>
      <c r="IH115">
        <v>-1.958</v>
      </c>
      <c r="II115">
        <v>0.0173</v>
      </c>
      <c r="IJ115">
        <v>-0.2164499368582429</v>
      </c>
      <c r="IK115">
        <v>-0.002077099775823331</v>
      </c>
      <c r="IL115">
        <v>4.593143279902166E-07</v>
      </c>
      <c r="IM115">
        <v>-1.865383991892071E-10</v>
      </c>
      <c r="IN115">
        <v>-0.06087574426827484</v>
      </c>
      <c r="IO115">
        <v>-0.01129461987421345</v>
      </c>
      <c r="IP115">
        <v>0.00116580895745559</v>
      </c>
      <c r="IQ115">
        <v>-1.679085872906199E-05</v>
      </c>
      <c r="IR115">
        <v>2</v>
      </c>
      <c r="IS115">
        <v>2290</v>
      </c>
      <c r="IT115">
        <v>0</v>
      </c>
      <c r="IU115">
        <v>32</v>
      </c>
      <c r="IV115">
        <v>5.9</v>
      </c>
      <c r="IW115">
        <v>5.6</v>
      </c>
      <c r="IX115">
        <v>2.01782</v>
      </c>
      <c r="IY115">
        <v>2.20093</v>
      </c>
      <c r="IZ115">
        <v>1.39648</v>
      </c>
      <c r="JA115">
        <v>2.35718</v>
      </c>
      <c r="JB115">
        <v>1.49536</v>
      </c>
      <c r="JC115">
        <v>2.32422</v>
      </c>
      <c r="JD115">
        <v>38.4524</v>
      </c>
      <c r="JE115">
        <v>24.035</v>
      </c>
      <c r="JF115">
        <v>18</v>
      </c>
      <c r="JG115">
        <v>511.712</v>
      </c>
      <c r="JH115">
        <v>428.082</v>
      </c>
      <c r="JI115">
        <v>22.3449</v>
      </c>
      <c r="JJ115">
        <v>28.6535</v>
      </c>
      <c r="JK115">
        <v>30.0002</v>
      </c>
      <c r="JL115">
        <v>28.6179</v>
      </c>
      <c r="JM115">
        <v>28.5568</v>
      </c>
      <c r="JN115">
        <v>40.3471</v>
      </c>
      <c r="JO115">
        <v>34.8962</v>
      </c>
      <c r="JP115">
        <v>0</v>
      </c>
      <c r="JQ115">
        <v>22.3262</v>
      </c>
      <c r="JR115">
        <v>956.081</v>
      </c>
      <c r="JS115">
        <v>12.4244</v>
      </c>
      <c r="JT115">
        <v>100.31</v>
      </c>
      <c r="JU115">
        <v>100.238</v>
      </c>
    </row>
    <row r="116" spans="1:281">
      <c r="A116">
        <v>100</v>
      </c>
      <c r="B116">
        <v>1651864598.1</v>
      </c>
      <c r="C116">
        <v>377.5</v>
      </c>
      <c r="D116" t="s">
        <v>620</v>
      </c>
      <c r="E116" t="s">
        <v>621</v>
      </c>
      <c r="F116">
        <v>2</v>
      </c>
      <c r="G116" t="s">
        <v>413</v>
      </c>
      <c r="H116" t="s">
        <v>414</v>
      </c>
      <c r="I116">
        <v>1651864597.1</v>
      </c>
      <c r="J116">
        <f>(K116)/1000</f>
        <v>0</v>
      </c>
      <c r="K116">
        <f>IF(CZ116, AN116, AH116)</f>
        <v>0</v>
      </c>
      <c r="L116">
        <f>IF(CZ116, AI116, AG116)</f>
        <v>0</v>
      </c>
      <c r="M116">
        <f>DB116 - IF(AU116&gt;1, L116*CV116*100.0/(AW116*DP116), 0)</f>
        <v>0</v>
      </c>
      <c r="N116">
        <f>((T116-J116/2)*M116-L116)/(T116+J116/2)</f>
        <v>0</v>
      </c>
      <c r="O116">
        <f>N116*(DI116+DJ116)/1000.0</f>
        <v>0</v>
      </c>
      <c r="P116">
        <f>(DB116 - IF(AU116&gt;1, L116*CV116*100.0/(AW116*DP116), 0))*(DI116+DJ116)/1000.0</f>
        <v>0</v>
      </c>
      <c r="Q116">
        <f>2.0/((1/S116-1/R116)+SIGN(S116)*SQRT((1/S116-1/R116)*(1/S116-1/R116) + 4*CW116/((CW116+1)*(CW116+1))*(2*1/S116*1/R116-1/R116*1/R116)))</f>
        <v>0</v>
      </c>
      <c r="R116">
        <f>IF(LEFT(CX116,1)&lt;&gt;"0",IF(LEFT(CX116,1)="1",3.0,CY116),$D$5+$E$5*(DP116*DI116/($K$5*1000))+$F$5*(DP116*DI116/($K$5*1000))*MAX(MIN(CV116,$J$5),$I$5)*MAX(MIN(CV116,$J$5),$I$5)+$G$5*MAX(MIN(CV116,$J$5),$I$5)*(DP116*DI116/($K$5*1000))+$H$5*(DP116*DI116/($K$5*1000))*(DP116*DI116/($K$5*1000)))</f>
        <v>0</v>
      </c>
      <c r="S116">
        <f>J116*(1000-(1000*0.61365*exp(17.502*W116/(240.97+W116))/(DI116+DJ116)+DD116)/2)/(1000*0.61365*exp(17.502*W116/(240.97+W116))/(DI116+DJ116)-DD116)</f>
        <v>0</v>
      </c>
      <c r="T116">
        <f>1/((CW116+1)/(Q116/1.6)+1/(R116/1.37)) + CW116/((CW116+1)/(Q116/1.6) + CW116/(R116/1.37))</f>
        <v>0</v>
      </c>
      <c r="U116">
        <f>(CR116*CU116)</f>
        <v>0</v>
      </c>
      <c r="V116">
        <f>(DK116+(U116+2*0.95*5.67E-8*(((DK116+$B$7)+273)^4-(DK116+273)^4)-44100*J116)/(1.84*29.3*R116+8*0.95*5.67E-8*(DK116+273)^3))</f>
        <v>0</v>
      </c>
      <c r="W116">
        <f>($C$7*DL116+$D$7*DM116+$E$7*V116)</f>
        <v>0</v>
      </c>
      <c r="X116">
        <f>0.61365*exp(17.502*W116/(240.97+W116))</f>
        <v>0</v>
      </c>
      <c r="Y116">
        <f>(Z116/AA116*100)</f>
        <v>0</v>
      </c>
      <c r="Z116">
        <f>DD116*(DI116+DJ116)/1000</f>
        <v>0</v>
      </c>
      <c r="AA116">
        <f>0.61365*exp(17.502*DK116/(240.97+DK116))</f>
        <v>0</v>
      </c>
      <c r="AB116">
        <f>(X116-DD116*(DI116+DJ116)/1000)</f>
        <v>0</v>
      </c>
      <c r="AC116">
        <f>(-J116*44100)</f>
        <v>0</v>
      </c>
      <c r="AD116">
        <f>2*29.3*R116*0.92*(DK116-W116)</f>
        <v>0</v>
      </c>
      <c r="AE116">
        <f>2*0.95*5.67E-8*(((DK116+$B$7)+273)^4-(W116+273)^4)</f>
        <v>0</v>
      </c>
      <c r="AF116">
        <f>U116+AE116+AC116+AD116</f>
        <v>0</v>
      </c>
      <c r="AG116">
        <f>DH116*AU116*(DC116-DB116*(1000-AU116*DE116)/(1000-AU116*DD116))/(100*CV116)</f>
        <v>0</v>
      </c>
      <c r="AH116">
        <f>1000*DH116*AU116*(DD116-DE116)/(100*CV116*(1000-AU116*DD116))</f>
        <v>0</v>
      </c>
      <c r="AI116">
        <f>(AJ116 - AK116 - DI116*1E3/(8.314*(DK116+273.15)) * AM116/DH116 * AL116) * DH116/(100*CV116) * (1000 - DE116)/1000</f>
        <v>0</v>
      </c>
      <c r="AJ116">
        <v>991.5579319315362</v>
      </c>
      <c r="AK116">
        <v>973.8887515151513</v>
      </c>
      <c r="AL116">
        <v>-3.2109241432784</v>
      </c>
      <c r="AM116">
        <v>66.38192812717227</v>
      </c>
      <c r="AN116">
        <f>(AP116 - AO116 + DI116*1E3/(8.314*(DK116+273.15)) * AR116/DH116 * AQ116) * DH116/(100*CV116) * 1000/(1000 - AP116)</f>
        <v>0</v>
      </c>
      <c r="AO116">
        <v>12.2526064793229</v>
      </c>
      <c r="AP116">
        <v>18.13559735294117</v>
      </c>
      <c r="AQ116">
        <v>-6.9720826870651E-06</v>
      </c>
      <c r="AR116">
        <v>80.47224507511959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MAX(0,($B$13+$C$13*DP116)/(1+$D$13*DP116)*DI116/(DK116+273)*$E$13)</f>
        <v>0</v>
      </c>
      <c r="AX116" t="s">
        <v>417</v>
      </c>
      <c r="AY116" t="s">
        <v>417</v>
      </c>
      <c r="AZ116">
        <v>0</v>
      </c>
      <c r="BA116">
        <v>0</v>
      </c>
      <c r="BB116">
        <f>1-AZ116/BA116</f>
        <v>0</v>
      </c>
      <c r="BC116">
        <v>0</v>
      </c>
      <c r="BD116" t="s">
        <v>417</v>
      </c>
      <c r="BE116" t="s">
        <v>417</v>
      </c>
      <c r="BF116">
        <v>0</v>
      </c>
      <c r="BG116">
        <v>0</v>
      </c>
      <c r="BH116">
        <f>1-BF116/BG116</f>
        <v>0</v>
      </c>
      <c r="BI116">
        <v>0.5</v>
      </c>
      <c r="BJ116">
        <f>CS116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417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1248</v>
      </c>
      <c r="CA116">
        <v>300</v>
      </c>
      <c r="CB116">
        <v>300</v>
      </c>
      <c r="CC116">
        <v>300</v>
      </c>
      <c r="CD116">
        <v>10442</v>
      </c>
      <c r="CE116">
        <v>1293.69</v>
      </c>
      <c r="CF116">
        <v>-0.00735246</v>
      </c>
      <c r="CG116">
        <v>0.5</v>
      </c>
      <c r="CH116" t="s">
        <v>417</v>
      </c>
      <c r="CI116" t="s">
        <v>417</v>
      </c>
      <c r="CJ116" t="s">
        <v>417</v>
      </c>
      <c r="CK116" t="s">
        <v>417</v>
      </c>
      <c r="CL116" t="s">
        <v>417</v>
      </c>
      <c r="CM116" t="s">
        <v>417</v>
      </c>
      <c r="CN116" t="s">
        <v>417</v>
      </c>
      <c r="CO116" t="s">
        <v>417</v>
      </c>
      <c r="CP116" t="s">
        <v>417</v>
      </c>
      <c r="CQ116" t="s">
        <v>417</v>
      </c>
      <c r="CR116">
        <f>$B$11*DQ116+$C$11*DR116+$F$11*EC116*(1-EF116)</f>
        <v>0</v>
      </c>
      <c r="CS116">
        <f>CR116*CT116</f>
        <v>0</v>
      </c>
      <c r="CT116">
        <f>($B$11*$D$9+$C$11*$D$9+$F$11*((EP116+EH116)/MAX(EP116+EH116+EQ116, 0.1)*$I$9+EQ116/MAX(EP116+EH116+EQ116, 0.1)*$J$9))/($B$11+$C$11+$F$11)</f>
        <v>0</v>
      </c>
      <c r="CU116">
        <f>($B$11*$K$9+$C$11*$K$9+$F$11*((EP116+EH116)/MAX(EP116+EH116+EQ116, 0.1)*$P$9+EQ116/MAX(EP116+EH116+EQ116, 0.1)*$Q$9))/($B$11+$C$11+$F$11)</f>
        <v>0</v>
      </c>
      <c r="CV116">
        <v>6</v>
      </c>
      <c r="CW116">
        <v>0.5</v>
      </c>
      <c r="CX116" t="s">
        <v>418</v>
      </c>
      <c r="CY116">
        <v>2</v>
      </c>
      <c r="CZ116" t="b">
        <v>1</v>
      </c>
      <c r="DA116">
        <v>1651864597.1</v>
      </c>
      <c r="DB116">
        <v>957.8053333333334</v>
      </c>
      <c r="DC116">
        <v>973.4843333333333</v>
      </c>
      <c r="DD116">
        <v>18.13536666666667</v>
      </c>
      <c r="DE116">
        <v>12.28803333333333</v>
      </c>
      <c r="DF116">
        <v>959.7576666666665</v>
      </c>
      <c r="DG116">
        <v>18.11806666666667</v>
      </c>
      <c r="DH116">
        <v>500.0466666666666</v>
      </c>
      <c r="DI116">
        <v>89.9379</v>
      </c>
      <c r="DJ116">
        <v>0.09989303333333333</v>
      </c>
      <c r="DK116">
        <v>25.7041</v>
      </c>
      <c r="DL116">
        <v>25.0159</v>
      </c>
      <c r="DM116">
        <v>999.9</v>
      </c>
      <c r="DN116">
        <v>0</v>
      </c>
      <c r="DO116">
        <v>0</v>
      </c>
      <c r="DP116">
        <v>10013.73333333333</v>
      </c>
      <c r="DQ116">
        <v>0</v>
      </c>
      <c r="DR116">
        <v>3.23193</v>
      </c>
      <c r="DS116">
        <v>-15.67873333333333</v>
      </c>
      <c r="DT116">
        <v>975.4966666666666</v>
      </c>
      <c r="DU116">
        <v>985.5956666666666</v>
      </c>
      <c r="DV116">
        <v>5.847346666666667</v>
      </c>
      <c r="DW116">
        <v>973.4843333333333</v>
      </c>
      <c r="DX116">
        <v>12.28803333333333</v>
      </c>
      <c r="DY116">
        <v>1.63106</v>
      </c>
      <c r="DZ116">
        <v>1.10516</v>
      </c>
      <c r="EA116">
        <v>14.2554</v>
      </c>
      <c r="EB116">
        <v>8.381856666666666</v>
      </c>
      <c r="EC116">
        <v>1500.016666666666</v>
      </c>
      <c r="ED116">
        <v>0.973007</v>
      </c>
      <c r="EE116">
        <v>0.0269931</v>
      </c>
      <c r="EF116">
        <v>0</v>
      </c>
      <c r="EG116">
        <v>926.2356666666666</v>
      </c>
      <c r="EH116">
        <v>5.00097</v>
      </c>
      <c r="EI116">
        <v>13762.46666666667</v>
      </c>
      <c r="EJ116">
        <v>12491.76666666667</v>
      </c>
      <c r="EK116">
        <v>37.25</v>
      </c>
      <c r="EL116">
        <v>38.708</v>
      </c>
      <c r="EM116">
        <v>37.625</v>
      </c>
      <c r="EN116">
        <v>38.437</v>
      </c>
      <c r="EO116">
        <v>38.125</v>
      </c>
      <c r="EP116">
        <v>1454.656666666667</v>
      </c>
      <c r="EQ116">
        <v>40.35666666666667</v>
      </c>
      <c r="ER116">
        <v>0</v>
      </c>
      <c r="ES116">
        <v>376.7999999523163</v>
      </c>
      <c r="ET116">
        <v>0</v>
      </c>
      <c r="EU116">
        <v>928.9577307692307</v>
      </c>
      <c r="EV116">
        <v>-21.08844444941676</v>
      </c>
      <c r="EW116">
        <v>-310.2666666939156</v>
      </c>
      <c r="EX116">
        <v>13796.79615384615</v>
      </c>
      <c r="EY116">
        <v>15</v>
      </c>
      <c r="EZ116">
        <v>1651864261.1</v>
      </c>
      <c r="FA116" t="s">
        <v>419</v>
      </c>
      <c r="FB116">
        <v>1651864241.6</v>
      </c>
      <c r="FC116">
        <v>1651864261.1</v>
      </c>
      <c r="FD116">
        <v>7</v>
      </c>
      <c r="FE116">
        <v>0.438</v>
      </c>
      <c r="FF116">
        <v>0.002</v>
      </c>
      <c r="FG116">
        <v>-0.988</v>
      </c>
      <c r="FH116">
        <v>-0.066</v>
      </c>
      <c r="FI116">
        <v>400</v>
      </c>
      <c r="FJ116">
        <v>11</v>
      </c>
      <c r="FK116">
        <v>0.05</v>
      </c>
      <c r="FL116">
        <v>0.02</v>
      </c>
      <c r="FM116">
        <v>-16.07196341463415</v>
      </c>
      <c r="FN116">
        <v>0.2235930313588808</v>
      </c>
      <c r="FO116">
        <v>0.1727707401775863</v>
      </c>
      <c r="FP116">
        <v>-1</v>
      </c>
      <c r="FQ116">
        <v>5.989041219512195</v>
      </c>
      <c r="FR116">
        <v>-0.9661020209059258</v>
      </c>
      <c r="FS116">
        <v>0.09557443681070533</v>
      </c>
      <c r="FT116">
        <v>-1</v>
      </c>
      <c r="FU116">
        <v>0</v>
      </c>
      <c r="FV116">
        <v>0</v>
      </c>
      <c r="FW116">
        <v>0</v>
      </c>
      <c r="FX116">
        <v>-1</v>
      </c>
      <c r="FY116">
        <v>0</v>
      </c>
      <c r="FZ116">
        <v>0</v>
      </c>
      <c r="GA116" t="s">
        <v>420</v>
      </c>
      <c r="GB116">
        <v>2.98055</v>
      </c>
      <c r="GC116">
        <v>2.70624</v>
      </c>
      <c r="GD116">
        <v>0.166</v>
      </c>
      <c r="GE116">
        <v>0.165828</v>
      </c>
      <c r="GF116">
        <v>0.086933</v>
      </c>
      <c r="GG116">
        <v>0.06465650000000001</v>
      </c>
      <c r="GH116">
        <v>26320.8</v>
      </c>
      <c r="GI116">
        <v>26384.8</v>
      </c>
      <c r="GJ116">
        <v>29345.7</v>
      </c>
      <c r="GK116">
        <v>29261</v>
      </c>
      <c r="GL116">
        <v>35481.5</v>
      </c>
      <c r="GM116">
        <v>36454.2</v>
      </c>
      <c r="GN116">
        <v>41305.8</v>
      </c>
      <c r="GO116">
        <v>41764.8</v>
      </c>
      <c r="GP116">
        <v>1.95688</v>
      </c>
      <c r="GQ116">
        <v>1.84892</v>
      </c>
      <c r="GR116">
        <v>-0.0236966</v>
      </c>
      <c r="GS116">
        <v>0</v>
      </c>
      <c r="GT116">
        <v>25.4059</v>
      </c>
      <c r="GU116">
        <v>999.9</v>
      </c>
      <c r="GV116">
        <v>31.8</v>
      </c>
      <c r="GW116">
        <v>34.2</v>
      </c>
      <c r="GX116">
        <v>19.1054</v>
      </c>
      <c r="GY116">
        <v>62.6075</v>
      </c>
      <c r="GZ116">
        <v>34.7596</v>
      </c>
      <c r="HA116">
        <v>1</v>
      </c>
      <c r="HB116">
        <v>0.105122</v>
      </c>
      <c r="HC116">
        <v>2.42227</v>
      </c>
      <c r="HD116">
        <v>20.3169</v>
      </c>
      <c r="HE116">
        <v>5.21789</v>
      </c>
      <c r="HF116">
        <v>12.0099</v>
      </c>
      <c r="HG116">
        <v>4.9892</v>
      </c>
      <c r="HH116">
        <v>3.2885</v>
      </c>
      <c r="HI116">
        <v>995.7</v>
      </c>
      <c r="HJ116">
        <v>9536.6</v>
      </c>
      <c r="HK116">
        <v>5139.4</v>
      </c>
      <c r="HL116">
        <v>24.8</v>
      </c>
      <c r="HM116">
        <v>1.86751</v>
      </c>
      <c r="HN116">
        <v>1.86646</v>
      </c>
      <c r="HO116">
        <v>1.86599</v>
      </c>
      <c r="HP116">
        <v>1.86584</v>
      </c>
      <c r="HQ116">
        <v>1.8677</v>
      </c>
      <c r="HR116">
        <v>1.87024</v>
      </c>
      <c r="HS116">
        <v>1.86888</v>
      </c>
      <c r="HT116">
        <v>1.87025</v>
      </c>
      <c r="HU116">
        <v>0</v>
      </c>
      <c r="HV116">
        <v>0</v>
      </c>
      <c r="HW116">
        <v>0</v>
      </c>
      <c r="HX116">
        <v>0</v>
      </c>
      <c r="HY116" t="s">
        <v>421</v>
      </c>
      <c r="HZ116" t="s">
        <v>422</v>
      </c>
      <c r="IA116" t="s">
        <v>423</v>
      </c>
      <c r="IB116" t="s">
        <v>423</v>
      </c>
      <c r="IC116" t="s">
        <v>423</v>
      </c>
      <c r="ID116" t="s">
        <v>423</v>
      </c>
      <c r="IE116">
        <v>0</v>
      </c>
      <c r="IF116">
        <v>100</v>
      </c>
      <c r="IG116">
        <v>100</v>
      </c>
      <c r="IH116">
        <v>-1.946</v>
      </c>
      <c r="II116">
        <v>0.0173</v>
      </c>
      <c r="IJ116">
        <v>-0.2164499368582429</v>
      </c>
      <c r="IK116">
        <v>-0.002077099775823331</v>
      </c>
      <c r="IL116">
        <v>4.593143279902166E-07</v>
      </c>
      <c r="IM116">
        <v>-1.865383991892071E-10</v>
      </c>
      <c r="IN116">
        <v>-0.06087574426827484</v>
      </c>
      <c r="IO116">
        <v>-0.01129461987421345</v>
      </c>
      <c r="IP116">
        <v>0.00116580895745559</v>
      </c>
      <c r="IQ116">
        <v>-1.679085872906199E-05</v>
      </c>
      <c r="IR116">
        <v>2</v>
      </c>
      <c r="IS116">
        <v>2290</v>
      </c>
      <c r="IT116">
        <v>0</v>
      </c>
      <c r="IU116">
        <v>32</v>
      </c>
      <c r="IV116">
        <v>5.9</v>
      </c>
      <c r="IW116">
        <v>5.6</v>
      </c>
      <c r="IX116">
        <v>2.00684</v>
      </c>
      <c r="IY116">
        <v>2.20459</v>
      </c>
      <c r="IZ116">
        <v>1.39648</v>
      </c>
      <c r="JA116">
        <v>2.35718</v>
      </c>
      <c r="JB116">
        <v>1.49536</v>
      </c>
      <c r="JC116">
        <v>2.36328</v>
      </c>
      <c r="JD116">
        <v>38.4524</v>
      </c>
      <c r="JE116">
        <v>24.035</v>
      </c>
      <c r="JF116">
        <v>18</v>
      </c>
      <c r="JG116">
        <v>511.842</v>
      </c>
      <c r="JH116">
        <v>428.06</v>
      </c>
      <c r="JI116">
        <v>22.336</v>
      </c>
      <c r="JJ116">
        <v>28.6535</v>
      </c>
      <c r="JK116">
        <v>30.0002</v>
      </c>
      <c r="JL116">
        <v>28.6179</v>
      </c>
      <c r="JM116">
        <v>28.5581</v>
      </c>
      <c r="JN116">
        <v>40.1194</v>
      </c>
      <c r="JO116">
        <v>34.8962</v>
      </c>
      <c r="JP116">
        <v>0</v>
      </c>
      <c r="JQ116">
        <v>22.3262</v>
      </c>
      <c r="JR116">
        <v>949.381</v>
      </c>
      <c r="JS116">
        <v>12.4545</v>
      </c>
      <c r="JT116">
        <v>100.31</v>
      </c>
      <c r="JU116">
        <v>100.238</v>
      </c>
    </row>
    <row r="117" spans="1:281">
      <c r="A117">
        <v>101</v>
      </c>
      <c r="B117">
        <v>1651864600.1</v>
      </c>
      <c r="C117">
        <v>379.5</v>
      </c>
      <c r="D117" t="s">
        <v>622</v>
      </c>
      <c r="E117" t="s">
        <v>623</v>
      </c>
      <c r="F117">
        <v>2</v>
      </c>
      <c r="G117" t="s">
        <v>413</v>
      </c>
      <c r="H117" t="s">
        <v>414</v>
      </c>
      <c r="I117">
        <v>1651864598.725</v>
      </c>
      <c r="J117">
        <f>(K117)/1000</f>
        <v>0</v>
      </c>
      <c r="K117">
        <f>IF(CZ117, AN117, AH117)</f>
        <v>0</v>
      </c>
      <c r="L117">
        <f>IF(CZ117, AI117, AG117)</f>
        <v>0</v>
      </c>
      <c r="M117">
        <f>DB117 - IF(AU117&gt;1, L117*CV117*100.0/(AW117*DP117), 0)</f>
        <v>0</v>
      </c>
      <c r="N117">
        <f>((T117-J117/2)*M117-L117)/(T117+J117/2)</f>
        <v>0</v>
      </c>
      <c r="O117">
        <f>N117*(DI117+DJ117)/1000.0</f>
        <v>0</v>
      </c>
      <c r="P117">
        <f>(DB117 - IF(AU117&gt;1, L117*CV117*100.0/(AW117*DP117), 0))*(DI117+DJ117)/1000.0</f>
        <v>0</v>
      </c>
      <c r="Q117">
        <f>2.0/((1/S117-1/R117)+SIGN(S117)*SQRT((1/S117-1/R117)*(1/S117-1/R117) + 4*CW117/((CW117+1)*(CW117+1))*(2*1/S117*1/R117-1/R117*1/R117)))</f>
        <v>0</v>
      </c>
      <c r="R117">
        <f>IF(LEFT(CX117,1)&lt;&gt;"0",IF(LEFT(CX117,1)="1",3.0,CY117),$D$5+$E$5*(DP117*DI117/($K$5*1000))+$F$5*(DP117*DI117/($K$5*1000))*MAX(MIN(CV117,$J$5),$I$5)*MAX(MIN(CV117,$J$5),$I$5)+$G$5*MAX(MIN(CV117,$J$5),$I$5)*(DP117*DI117/($K$5*1000))+$H$5*(DP117*DI117/($K$5*1000))*(DP117*DI117/($K$5*1000)))</f>
        <v>0</v>
      </c>
      <c r="S117">
        <f>J117*(1000-(1000*0.61365*exp(17.502*W117/(240.97+W117))/(DI117+DJ117)+DD117)/2)/(1000*0.61365*exp(17.502*W117/(240.97+W117))/(DI117+DJ117)-DD117)</f>
        <v>0</v>
      </c>
      <c r="T117">
        <f>1/((CW117+1)/(Q117/1.6)+1/(R117/1.37)) + CW117/((CW117+1)/(Q117/1.6) + CW117/(R117/1.37))</f>
        <v>0</v>
      </c>
      <c r="U117">
        <f>(CR117*CU117)</f>
        <v>0</v>
      </c>
      <c r="V117">
        <f>(DK117+(U117+2*0.95*5.67E-8*(((DK117+$B$7)+273)^4-(DK117+273)^4)-44100*J117)/(1.84*29.3*R117+8*0.95*5.67E-8*(DK117+273)^3))</f>
        <v>0</v>
      </c>
      <c r="W117">
        <f>($C$7*DL117+$D$7*DM117+$E$7*V117)</f>
        <v>0</v>
      </c>
      <c r="X117">
        <f>0.61365*exp(17.502*W117/(240.97+W117))</f>
        <v>0</v>
      </c>
      <c r="Y117">
        <f>(Z117/AA117*100)</f>
        <v>0</v>
      </c>
      <c r="Z117">
        <f>DD117*(DI117+DJ117)/1000</f>
        <v>0</v>
      </c>
      <c r="AA117">
        <f>0.61365*exp(17.502*DK117/(240.97+DK117))</f>
        <v>0</v>
      </c>
      <c r="AB117">
        <f>(X117-DD117*(DI117+DJ117)/1000)</f>
        <v>0</v>
      </c>
      <c r="AC117">
        <f>(-J117*44100)</f>
        <v>0</v>
      </c>
      <c r="AD117">
        <f>2*29.3*R117*0.92*(DK117-W117)</f>
        <v>0</v>
      </c>
      <c r="AE117">
        <f>2*0.95*5.67E-8*(((DK117+$B$7)+273)^4-(W117+273)^4)</f>
        <v>0</v>
      </c>
      <c r="AF117">
        <f>U117+AE117+AC117+AD117</f>
        <v>0</v>
      </c>
      <c r="AG117">
        <f>DH117*AU117*(DC117-DB117*(1000-AU117*DE117)/(1000-AU117*DD117))/(100*CV117)</f>
        <v>0</v>
      </c>
      <c r="AH117">
        <f>1000*DH117*AU117*(DD117-DE117)/(100*CV117*(1000-AU117*DD117))</f>
        <v>0</v>
      </c>
      <c r="AI117">
        <f>(AJ117 - AK117 - DI117*1E3/(8.314*(DK117+273.15)) * AM117/DH117 * AL117) * DH117/(100*CV117) * (1000 - DE117)/1000</f>
        <v>0</v>
      </c>
      <c r="AJ117">
        <v>984.8340135682874</v>
      </c>
      <c r="AK117">
        <v>967.3973090909082</v>
      </c>
      <c r="AL117">
        <v>-3.237597755145836</v>
      </c>
      <c r="AM117">
        <v>66.38192812717227</v>
      </c>
      <c r="AN117">
        <f>(AP117 - AO117 + DI117*1E3/(8.314*(DK117+273.15)) * AR117/DH117 * AQ117) * DH117/(100*CV117) * 1000/(1000 - AP117)</f>
        <v>0</v>
      </c>
      <c r="AO117">
        <v>12.27081127896385</v>
      </c>
      <c r="AP117">
        <v>18.13000205882351</v>
      </c>
      <c r="AQ117">
        <v>1.871149956562787E-05</v>
      </c>
      <c r="AR117">
        <v>80.47224507511959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MAX(0,($B$13+$C$13*DP117)/(1+$D$13*DP117)*DI117/(DK117+273)*$E$13)</f>
        <v>0</v>
      </c>
      <c r="AX117" t="s">
        <v>417</v>
      </c>
      <c r="AY117" t="s">
        <v>417</v>
      </c>
      <c r="AZ117">
        <v>0</v>
      </c>
      <c r="BA117">
        <v>0</v>
      </c>
      <c r="BB117">
        <f>1-AZ117/BA117</f>
        <v>0</v>
      </c>
      <c r="BC117">
        <v>0</v>
      </c>
      <c r="BD117" t="s">
        <v>417</v>
      </c>
      <c r="BE117" t="s">
        <v>417</v>
      </c>
      <c r="BF117">
        <v>0</v>
      </c>
      <c r="BG117">
        <v>0</v>
      </c>
      <c r="BH117">
        <f>1-BF117/BG117</f>
        <v>0</v>
      </c>
      <c r="BI117">
        <v>0.5</v>
      </c>
      <c r="BJ117">
        <f>CS117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417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1248</v>
      </c>
      <c r="CA117">
        <v>300</v>
      </c>
      <c r="CB117">
        <v>300</v>
      </c>
      <c r="CC117">
        <v>300</v>
      </c>
      <c r="CD117">
        <v>10442</v>
      </c>
      <c r="CE117">
        <v>1293.69</v>
      </c>
      <c r="CF117">
        <v>-0.00735246</v>
      </c>
      <c r="CG117">
        <v>0.5</v>
      </c>
      <c r="CH117" t="s">
        <v>417</v>
      </c>
      <c r="CI117" t="s">
        <v>417</v>
      </c>
      <c r="CJ117" t="s">
        <v>417</v>
      </c>
      <c r="CK117" t="s">
        <v>417</v>
      </c>
      <c r="CL117" t="s">
        <v>417</v>
      </c>
      <c r="CM117" t="s">
        <v>417</v>
      </c>
      <c r="CN117" t="s">
        <v>417</v>
      </c>
      <c r="CO117" t="s">
        <v>417</v>
      </c>
      <c r="CP117" t="s">
        <v>417</v>
      </c>
      <c r="CQ117" t="s">
        <v>417</v>
      </c>
      <c r="CR117">
        <f>$B$11*DQ117+$C$11*DR117+$F$11*EC117*(1-EF117)</f>
        <v>0</v>
      </c>
      <c r="CS117">
        <f>CR117*CT117</f>
        <v>0</v>
      </c>
      <c r="CT117">
        <f>($B$11*$D$9+$C$11*$D$9+$F$11*((EP117+EH117)/MAX(EP117+EH117+EQ117, 0.1)*$I$9+EQ117/MAX(EP117+EH117+EQ117, 0.1)*$J$9))/($B$11+$C$11+$F$11)</f>
        <v>0</v>
      </c>
      <c r="CU117">
        <f>($B$11*$K$9+$C$11*$K$9+$F$11*((EP117+EH117)/MAX(EP117+EH117+EQ117, 0.1)*$P$9+EQ117/MAX(EP117+EH117+EQ117, 0.1)*$Q$9))/($B$11+$C$11+$F$11)</f>
        <v>0</v>
      </c>
      <c r="CV117">
        <v>6</v>
      </c>
      <c r="CW117">
        <v>0.5</v>
      </c>
      <c r="CX117" t="s">
        <v>418</v>
      </c>
      <c r="CY117">
        <v>2</v>
      </c>
      <c r="CZ117" t="b">
        <v>1</v>
      </c>
      <c r="DA117">
        <v>1651864598.725</v>
      </c>
      <c r="DB117">
        <v>952.6477500000001</v>
      </c>
      <c r="DC117">
        <v>968.1085</v>
      </c>
      <c r="DD117">
        <v>18.13215</v>
      </c>
      <c r="DE117">
        <v>12.3093</v>
      </c>
      <c r="DF117">
        <v>954.5907500000001</v>
      </c>
      <c r="DG117">
        <v>18.114875</v>
      </c>
      <c r="DH117">
        <v>500.055</v>
      </c>
      <c r="DI117">
        <v>89.93697499999999</v>
      </c>
      <c r="DJ117">
        <v>0.099841825</v>
      </c>
      <c r="DK117">
        <v>25.703175</v>
      </c>
      <c r="DL117">
        <v>25.016175</v>
      </c>
      <c r="DM117">
        <v>999.9</v>
      </c>
      <c r="DN117">
        <v>0</v>
      </c>
      <c r="DO117">
        <v>0</v>
      </c>
      <c r="DP117">
        <v>10018.275</v>
      </c>
      <c r="DQ117">
        <v>0</v>
      </c>
      <c r="DR117">
        <v>3.23193</v>
      </c>
      <c r="DS117">
        <v>-15.461025</v>
      </c>
      <c r="DT117">
        <v>970.24</v>
      </c>
      <c r="DU117">
        <v>980.174</v>
      </c>
      <c r="DV117">
        <v>5.82282</v>
      </c>
      <c r="DW117">
        <v>968.1085</v>
      </c>
      <c r="DX117">
        <v>12.3093</v>
      </c>
      <c r="DY117">
        <v>1.6307525</v>
      </c>
      <c r="DZ117">
        <v>1.1070625</v>
      </c>
      <c r="EA117">
        <v>14.252475</v>
      </c>
      <c r="EB117">
        <v>8.407205000000001</v>
      </c>
      <c r="EC117">
        <v>1500.0125</v>
      </c>
      <c r="ED117">
        <v>0.973007</v>
      </c>
      <c r="EE117">
        <v>0.0269931</v>
      </c>
      <c r="EF117">
        <v>0</v>
      </c>
      <c r="EG117">
        <v>926.0554999999999</v>
      </c>
      <c r="EH117">
        <v>5.00097</v>
      </c>
      <c r="EI117">
        <v>13754.075</v>
      </c>
      <c r="EJ117">
        <v>12491.725</v>
      </c>
      <c r="EK117">
        <v>37.25</v>
      </c>
      <c r="EL117">
        <v>38.7185</v>
      </c>
      <c r="EM117">
        <v>37.625</v>
      </c>
      <c r="EN117">
        <v>38.437</v>
      </c>
      <c r="EO117">
        <v>38.125</v>
      </c>
      <c r="EP117">
        <v>1454.6525</v>
      </c>
      <c r="EQ117">
        <v>40.3525</v>
      </c>
      <c r="ER117">
        <v>0</v>
      </c>
      <c r="ES117">
        <v>379.2000000476837</v>
      </c>
      <c r="ET117">
        <v>0</v>
      </c>
      <c r="EU117">
        <v>928.1601538461539</v>
      </c>
      <c r="EV117">
        <v>-21.53114526913922</v>
      </c>
      <c r="EW117">
        <v>-311.0905979104782</v>
      </c>
      <c r="EX117">
        <v>13784.40769230769</v>
      </c>
      <c r="EY117">
        <v>15</v>
      </c>
      <c r="EZ117">
        <v>1651864261.1</v>
      </c>
      <c r="FA117" t="s">
        <v>419</v>
      </c>
      <c r="FB117">
        <v>1651864241.6</v>
      </c>
      <c r="FC117">
        <v>1651864261.1</v>
      </c>
      <c r="FD117">
        <v>7</v>
      </c>
      <c r="FE117">
        <v>0.438</v>
      </c>
      <c r="FF117">
        <v>0.002</v>
      </c>
      <c r="FG117">
        <v>-0.988</v>
      </c>
      <c r="FH117">
        <v>-0.066</v>
      </c>
      <c r="FI117">
        <v>400</v>
      </c>
      <c r="FJ117">
        <v>11</v>
      </c>
      <c r="FK117">
        <v>0.05</v>
      </c>
      <c r="FL117">
        <v>0.02</v>
      </c>
      <c r="FM117">
        <v>-16.0214975</v>
      </c>
      <c r="FN117">
        <v>0.8666780487804907</v>
      </c>
      <c r="FO117">
        <v>0.2318988480862939</v>
      </c>
      <c r="FP117">
        <v>-1</v>
      </c>
      <c r="FQ117">
        <v>5.9616625</v>
      </c>
      <c r="FR117">
        <v>-0.9471464915572313</v>
      </c>
      <c r="FS117">
        <v>0.09149177159040035</v>
      </c>
      <c r="FT117">
        <v>-1</v>
      </c>
      <c r="FU117">
        <v>0</v>
      </c>
      <c r="FV117">
        <v>0</v>
      </c>
      <c r="FW117">
        <v>0</v>
      </c>
      <c r="FX117">
        <v>-1</v>
      </c>
      <c r="FY117">
        <v>0</v>
      </c>
      <c r="FZ117">
        <v>0</v>
      </c>
      <c r="GA117" t="s">
        <v>420</v>
      </c>
      <c r="GB117">
        <v>2.9805</v>
      </c>
      <c r="GC117">
        <v>2.7062</v>
      </c>
      <c r="GD117">
        <v>0.165275</v>
      </c>
      <c r="GE117">
        <v>0.16509</v>
      </c>
      <c r="GF117">
        <v>0.0869098</v>
      </c>
      <c r="GG117">
        <v>0.0647499</v>
      </c>
      <c r="GH117">
        <v>26343.5</v>
      </c>
      <c r="GI117">
        <v>26408</v>
      </c>
      <c r="GJ117">
        <v>29345.5</v>
      </c>
      <c r="GK117">
        <v>29260.9</v>
      </c>
      <c r="GL117">
        <v>35482.1</v>
      </c>
      <c r="GM117">
        <v>36450.3</v>
      </c>
      <c r="GN117">
        <v>41305.4</v>
      </c>
      <c r="GO117">
        <v>41764.6</v>
      </c>
      <c r="GP117">
        <v>1.95695</v>
      </c>
      <c r="GQ117">
        <v>1.84892</v>
      </c>
      <c r="GR117">
        <v>-0.0237562</v>
      </c>
      <c r="GS117">
        <v>0</v>
      </c>
      <c r="GT117">
        <v>25.4049</v>
      </c>
      <c r="GU117">
        <v>999.9</v>
      </c>
      <c r="GV117">
        <v>31.8</v>
      </c>
      <c r="GW117">
        <v>34.2</v>
      </c>
      <c r="GX117">
        <v>19.1035</v>
      </c>
      <c r="GY117">
        <v>62.2575</v>
      </c>
      <c r="GZ117">
        <v>35.3325</v>
      </c>
      <c r="HA117">
        <v>1</v>
      </c>
      <c r="HB117">
        <v>0.105117</v>
      </c>
      <c r="HC117">
        <v>2.40637</v>
      </c>
      <c r="HD117">
        <v>20.3172</v>
      </c>
      <c r="HE117">
        <v>5.21849</v>
      </c>
      <c r="HF117">
        <v>12.0099</v>
      </c>
      <c r="HG117">
        <v>4.98925</v>
      </c>
      <c r="HH117">
        <v>3.28858</v>
      </c>
      <c r="HI117">
        <v>995.7</v>
      </c>
      <c r="HJ117">
        <v>9536.6</v>
      </c>
      <c r="HK117">
        <v>5139.4</v>
      </c>
      <c r="HL117">
        <v>24.8</v>
      </c>
      <c r="HM117">
        <v>1.8675</v>
      </c>
      <c r="HN117">
        <v>1.86646</v>
      </c>
      <c r="HO117">
        <v>1.866</v>
      </c>
      <c r="HP117">
        <v>1.86584</v>
      </c>
      <c r="HQ117">
        <v>1.86769</v>
      </c>
      <c r="HR117">
        <v>1.87023</v>
      </c>
      <c r="HS117">
        <v>1.86888</v>
      </c>
      <c r="HT117">
        <v>1.87025</v>
      </c>
      <c r="HU117">
        <v>0</v>
      </c>
      <c r="HV117">
        <v>0</v>
      </c>
      <c r="HW117">
        <v>0</v>
      </c>
      <c r="HX117">
        <v>0</v>
      </c>
      <c r="HY117" t="s">
        <v>421</v>
      </c>
      <c r="HZ117" t="s">
        <v>422</v>
      </c>
      <c r="IA117" t="s">
        <v>423</v>
      </c>
      <c r="IB117" t="s">
        <v>423</v>
      </c>
      <c r="IC117" t="s">
        <v>423</v>
      </c>
      <c r="ID117" t="s">
        <v>423</v>
      </c>
      <c r="IE117">
        <v>0</v>
      </c>
      <c r="IF117">
        <v>100</v>
      </c>
      <c r="IG117">
        <v>100</v>
      </c>
      <c r="IH117">
        <v>-1.936</v>
      </c>
      <c r="II117">
        <v>0.0172</v>
      </c>
      <c r="IJ117">
        <v>-0.2164499368582429</v>
      </c>
      <c r="IK117">
        <v>-0.002077099775823331</v>
      </c>
      <c r="IL117">
        <v>4.593143279902166E-07</v>
      </c>
      <c r="IM117">
        <v>-1.865383991892071E-10</v>
      </c>
      <c r="IN117">
        <v>-0.06087574426827484</v>
      </c>
      <c r="IO117">
        <v>-0.01129461987421345</v>
      </c>
      <c r="IP117">
        <v>0.00116580895745559</v>
      </c>
      <c r="IQ117">
        <v>-1.679085872906199E-05</v>
      </c>
      <c r="IR117">
        <v>2</v>
      </c>
      <c r="IS117">
        <v>2290</v>
      </c>
      <c r="IT117">
        <v>0</v>
      </c>
      <c r="IU117">
        <v>32</v>
      </c>
      <c r="IV117">
        <v>6</v>
      </c>
      <c r="IW117">
        <v>5.7</v>
      </c>
      <c r="IX117">
        <v>1.99463</v>
      </c>
      <c r="IY117">
        <v>2.20581</v>
      </c>
      <c r="IZ117">
        <v>1.39648</v>
      </c>
      <c r="JA117">
        <v>2.35718</v>
      </c>
      <c r="JB117">
        <v>1.49536</v>
      </c>
      <c r="JC117">
        <v>2.30469</v>
      </c>
      <c r="JD117">
        <v>38.4524</v>
      </c>
      <c r="JE117">
        <v>24.035</v>
      </c>
      <c r="JF117">
        <v>18</v>
      </c>
      <c r="JG117">
        <v>511.897</v>
      </c>
      <c r="JH117">
        <v>428.061</v>
      </c>
      <c r="JI117">
        <v>22.3261</v>
      </c>
      <c r="JJ117">
        <v>28.6535</v>
      </c>
      <c r="JK117">
        <v>30.0002</v>
      </c>
      <c r="JL117">
        <v>28.6185</v>
      </c>
      <c r="JM117">
        <v>28.5581</v>
      </c>
      <c r="JN117">
        <v>39.895</v>
      </c>
      <c r="JO117">
        <v>34.6221</v>
      </c>
      <c r="JP117">
        <v>0</v>
      </c>
      <c r="JQ117">
        <v>22.3092</v>
      </c>
      <c r="JR117">
        <v>942.659</v>
      </c>
      <c r="JS117">
        <v>12.4937</v>
      </c>
      <c r="JT117">
        <v>100.309</v>
      </c>
      <c r="JU117">
        <v>100.238</v>
      </c>
    </row>
    <row r="118" spans="1:281">
      <c r="A118">
        <v>102</v>
      </c>
      <c r="B118">
        <v>1651864602.1</v>
      </c>
      <c r="C118">
        <v>381.5</v>
      </c>
      <c r="D118" t="s">
        <v>624</v>
      </c>
      <c r="E118" t="s">
        <v>625</v>
      </c>
      <c r="F118">
        <v>2</v>
      </c>
      <c r="G118" t="s">
        <v>413</v>
      </c>
      <c r="H118" t="s">
        <v>414</v>
      </c>
      <c r="I118">
        <v>1651864601.1</v>
      </c>
      <c r="J118">
        <f>(K118)/1000</f>
        <v>0</v>
      </c>
      <c r="K118">
        <f>IF(CZ118, AN118, AH118)</f>
        <v>0</v>
      </c>
      <c r="L118">
        <f>IF(CZ118, AI118, AG118)</f>
        <v>0</v>
      </c>
      <c r="M118">
        <f>DB118 - IF(AU118&gt;1, L118*CV118*100.0/(AW118*DP118), 0)</f>
        <v>0</v>
      </c>
      <c r="N118">
        <f>((T118-J118/2)*M118-L118)/(T118+J118/2)</f>
        <v>0</v>
      </c>
      <c r="O118">
        <f>N118*(DI118+DJ118)/1000.0</f>
        <v>0</v>
      </c>
      <c r="P118">
        <f>(DB118 - IF(AU118&gt;1, L118*CV118*100.0/(AW118*DP118), 0))*(DI118+DJ118)/1000.0</f>
        <v>0</v>
      </c>
      <c r="Q118">
        <f>2.0/((1/S118-1/R118)+SIGN(S118)*SQRT((1/S118-1/R118)*(1/S118-1/R118) + 4*CW118/((CW118+1)*(CW118+1))*(2*1/S118*1/R118-1/R118*1/R118)))</f>
        <v>0</v>
      </c>
      <c r="R118">
        <f>IF(LEFT(CX118,1)&lt;&gt;"0",IF(LEFT(CX118,1)="1",3.0,CY118),$D$5+$E$5*(DP118*DI118/($K$5*1000))+$F$5*(DP118*DI118/($K$5*1000))*MAX(MIN(CV118,$J$5),$I$5)*MAX(MIN(CV118,$J$5),$I$5)+$G$5*MAX(MIN(CV118,$J$5),$I$5)*(DP118*DI118/($K$5*1000))+$H$5*(DP118*DI118/($K$5*1000))*(DP118*DI118/($K$5*1000)))</f>
        <v>0</v>
      </c>
      <c r="S118">
        <f>J118*(1000-(1000*0.61365*exp(17.502*W118/(240.97+W118))/(DI118+DJ118)+DD118)/2)/(1000*0.61365*exp(17.502*W118/(240.97+W118))/(DI118+DJ118)-DD118)</f>
        <v>0</v>
      </c>
      <c r="T118">
        <f>1/((CW118+1)/(Q118/1.6)+1/(R118/1.37)) + CW118/((CW118+1)/(Q118/1.6) + CW118/(R118/1.37))</f>
        <v>0</v>
      </c>
      <c r="U118">
        <f>(CR118*CU118)</f>
        <v>0</v>
      </c>
      <c r="V118">
        <f>(DK118+(U118+2*0.95*5.67E-8*(((DK118+$B$7)+273)^4-(DK118+273)^4)-44100*J118)/(1.84*29.3*R118+8*0.95*5.67E-8*(DK118+273)^3))</f>
        <v>0</v>
      </c>
      <c r="W118">
        <f>($C$7*DL118+$D$7*DM118+$E$7*V118)</f>
        <v>0</v>
      </c>
      <c r="X118">
        <f>0.61365*exp(17.502*W118/(240.97+W118))</f>
        <v>0</v>
      </c>
      <c r="Y118">
        <f>(Z118/AA118*100)</f>
        <v>0</v>
      </c>
      <c r="Z118">
        <f>DD118*(DI118+DJ118)/1000</f>
        <v>0</v>
      </c>
      <c r="AA118">
        <f>0.61365*exp(17.502*DK118/(240.97+DK118))</f>
        <v>0</v>
      </c>
      <c r="AB118">
        <f>(X118-DD118*(DI118+DJ118)/1000)</f>
        <v>0</v>
      </c>
      <c r="AC118">
        <f>(-J118*44100)</f>
        <v>0</v>
      </c>
      <c r="AD118">
        <f>2*29.3*R118*0.92*(DK118-W118)</f>
        <v>0</v>
      </c>
      <c r="AE118">
        <f>2*0.95*5.67E-8*(((DK118+$B$7)+273)^4-(W118+273)^4)</f>
        <v>0</v>
      </c>
      <c r="AF118">
        <f>U118+AE118+AC118+AD118</f>
        <v>0</v>
      </c>
      <c r="AG118">
        <f>DH118*AU118*(DC118-DB118*(1000-AU118*DE118)/(1000-AU118*DD118))/(100*CV118)</f>
        <v>0</v>
      </c>
      <c r="AH118">
        <f>1000*DH118*AU118*(DD118-DE118)/(100*CV118*(1000-AU118*DD118))</f>
        <v>0</v>
      </c>
      <c r="AI118">
        <f>(AJ118 - AK118 - DI118*1E3/(8.314*(DK118+273.15)) * AM118/DH118 * AL118) * DH118/(100*CV118) * (1000 - DE118)/1000</f>
        <v>0</v>
      </c>
      <c r="AJ118">
        <v>978.1647507838295</v>
      </c>
      <c r="AK118">
        <v>960.8626969696965</v>
      </c>
      <c r="AL118">
        <v>-3.261358970118924</v>
      </c>
      <c r="AM118">
        <v>66.38192812717227</v>
      </c>
      <c r="AN118">
        <f>(AP118 - AO118 + DI118*1E3/(8.314*(DK118+273.15)) * AR118/DH118 * AQ118) * DH118/(100*CV118) * 1000/(1000 - AP118)</f>
        <v>0</v>
      </c>
      <c r="AO118">
        <v>12.29390077712678</v>
      </c>
      <c r="AP118">
        <v>18.12360882352941</v>
      </c>
      <c r="AQ118">
        <v>-6.90514686049729E-06</v>
      </c>
      <c r="AR118">
        <v>80.47224507511959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MAX(0,($B$13+$C$13*DP118)/(1+$D$13*DP118)*DI118/(DK118+273)*$E$13)</f>
        <v>0</v>
      </c>
      <c r="AX118" t="s">
        <v>417</v>
      </c>
      <c r="AY118" t="s">
        <v>417</v>
      </c>
      <c r="AZ118">
        <v>0</v>
      </c>
      <c r="BA118">
        <v>0</v>
      </c>
      <c r="BB118">
        <f>1-AZ118/BA118</f>
        <v>0</v>
      </c>
      <c r="BC118">
        <v>0</v>
      </c>
      <c r="BD118" t="s">
        <v>417</v>
      </c>
      <c r="BE118" t="s">
        <v>417</v>
      </c>
      <c r="BF118">
        <v>0</v>
      </c>
      <c r="BG118">
        <v>0</v>
      </c>
      <c r="BH118">
        <f>1-BF118/BG118</f>
        <v>0</v>
      </c>
      <c r="BI118">
        <v>0.5</v>
      </c>
      <c r="BJ118">
        <f>CS118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417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1248</v>
      </c>
      <c r="CA118">
        <v>300</v>
      </c>
      <c r="CB118">
        <v>300</v>
      </c>
      <c r="CC118">
        <v>300</v>
      </c>
      <c r="CD118">
        <v>10442</v>
      </c>
      <c r="CE118">
        <v>1293.69</v>
      </c>
      <c r="CF118">
        <v>-0.00735246</v>
      </c>
      <c r="CG118">
        <v>0.5</v>
      </c>
      <c r="CH118" t="s">
        <v>417</v>
      </c>
      <c r="CI118" t="s">
        <v>417</v>
      </c>
      <c r="CJ118" t="s">
        <v>417</v>
      </c>
      <c r="CK118" t="s">
        <v>417</v>
      </c>
      <c r="CL118" t="s">
        <v>417</v>
      </c>
      <c r="CM118" t="s">
        <v>417</v>
      </c>
      <c r="CN118" t="s">
        <v>417</v>
      </c>
      <c r="CO118" t="s">
        <v>417</v>
      </c>
      <c r="CP118" t="s">
        <v>417</v>
      </c>
      <c r="CQ118" t="s">
        <v>417</v>
      </c>
      <c r="CR118">
        <f>$B$11*DQ118+$C$11*DR118+$F$11*EC118*(1-EF118)</f>
        <v>0</v>
      </c>
      <c r="CS118">
        <f>CR118*CT118</f>
        <v>0</v>
      </c>
      <c r="CT118">
        <f>($B$11*$D$9+$C$11*$D$9+$F$11*((EP118+EH118)/MAX(EP118+EH118+EQ118, 0.1)*$I$9+EQ118/MAX(EP118+EH118+EQ118, 0.1)*$J$9))/($B$11+$C$11+$F$11)</f>
        <v>0</v>
      </c>
      <c r="CU118">
        <f>($B$11*$K$9+$C$11*$K$9+$F$11*((EP118+EH118)/MAX(EP118+EH118+EQ118, 0.1)*$P$9+EQ118/MAX(EP118+EH118+EQ118, 0.1)*$Q$9))/($B$11+$C$11+$F$11)</f>
        <v>0</v>
      </c>
      <c r="CV118">
        <v>6</v>
      </c>
      <c r="CW118">
        <v>0.5</v>
      </c>
      <c r="CX118" t="s">
        <v>418</v>
      </c>
      <c r="CY118">
        <v>2</v>
      </c>
      <c r="CZ118" t="b">
        <v>1</v>
      </c>
      <c r="DA118">
        <v>1651864601.1</v>
      </c>
      <c r="DB118">
        <v>945.0500000000001</v>
      </c>
      <c r="DC118">
        <v>960.1446666666667</v>
      </c>
      <c r="DD118">
        <v>18.1256</v>
      </c>
      <c r="DE118">
        <v>12.34296666666667</v>
      </c>
      <c r="DF118">
        <v>946.98</v>
      </c>
      <c r="DG118">
        <v>18.1084</v>
      </c>
      <c r="DH118">
        <v>500.0036666666667</v>
      </c>
      <c r="DI118">
        <v>89.93599999999999</v>
      </c>
      <c r="DJ118">
        <v>0.100139</v>
      </c>
      <c r="DK118">
        <v>25.70126666666667</v>
      </c>
      <c r="DL118">
        <v>25.01613333333333</v>
      </c>
      <c r="DM118">
        <v>999.9</v>
      </c>
      <c r="DN118">
        <v>0</v>
      </c>
      <c r="DO118">
        <v>0</v>
      </c>
      <c r="DP118">
        <v>9988.126666666665</v>
      </c>
      <c r="DQ118">
        <v>0</v>
      </c>
      <c r="DR118">
        <v>3.23193</v>
      </c>
      <c r="DS118">
        <v>-15.09516666666667</v>
      </c>
      <c r="DT118">
        <v>962.4956666666667</v>
      </c>
      <c r="DU118">
        <v>972.1439999999999</v>
      </c>
      <c r="DV118">
        <v>5.782663333333333</v>
      </c>
      <c r="DW118">
        <v>960.1446666666667</v>
      </c>
      <c r="DX118">
        <v>12.34296666666667</v>
      </c>
      <c r="DY118">
        <v>1.630143333333333</v>
      </c>
      <c r="DZ118">
        <v>1.110076666666667</v>
      </c>
      <c r="EA118">
        <v>14.24673333333333</v>
      </c>
      <c r="EB118">
        <v>8.447273333333333</v>
      </c>
      <c r="EC118">
        <v>1500.003333333333</v>
      </c>
      <c r="ED118">
        <v>0.973007</v>
      </c>
      <c r="EE118">
        <v>0.0269931</v>
      </c>
      <c r="EF118">
        <v>0</v>
      </c>
      <c r="EG118">
        <v>925.293</v>
      </c>
      <c r="EH118">
        <v>5.00097</v>
      </c>
      <c r="EI118">
        <v>13742.76666666667</v>
      </c>
      <c r="EJ118">
        <v>12491.7</v>
      </c>
      <c r="EK118">
        <v>37.25</v>
      </c>
      <c r="EL118">
        <v>38.729</v>
      </c>
      <c r="EM118">
        <v>37.625</v>
      </c>
      <c r="EN118">
        <v>38.437</v>
      </c>
      <c r="EO118">
        <v>38.125</v>
      </c>
      <c r="EP118">
        <v>1454.643333333333</v>
      </c>
      <c r="EQ118">
        <v>40.35</v>
      </c>
      <c r="ER118">
        <v>0</v>
      </c>
      <c r="ES118">
        <v>381</v>
      </c>
      <c r="ET118">
        <v>0</v>
      </c>
      <c r="EU118">
        <v>927.4234799999999</v>
      </c>
      <c r="EV118">
        <v>-21.97184619047708</v>
      </c>
      <c r="EW118">
        <v>-308.3384620517755</v>
      </c>
      <c r="EX118">
        <v>13773.492</v>
      </c>
      <c r="EY118">
        <v>15</v>
      </c>
      <c r="EZ118">
        <v>1651864261.1</v>
      </c>
      <c r="FA118" t="s">
        <v>419</v>
      </c>
      <c r="FB118">
        <v>1651864241.6</v>
      </c>
      <c r="FC118">
        <v>1651864261.1</v>
      </c>
      <c r="FD118">
        <v>7</v>
      </c>
      <c r="FE118">
        <v>0.438</v>
      </c>
      <c r="FF118">
        <v>0.002</v>
      </c>
      <c r="FG118">
        <v>-0.988</v>
      </c>
      <c r="FH118">
        <v>-0.066</v>
      </c>
      <c r="FI118">
        <v>400</v>
      </c>
      <c r="FJ118">
        <v>11</v>
      </c>
      <c r="FK118">
        <v>0.05</v>
      </c>
      <c r="FL118">
        <v>0.02</v>
      </c>
      <c r="FM118">
        <v>-15.92121463414634</v>
      </c>
      <c r="FN118">
        <v>2.439773519163734</v>
      </c>
      <c r="FO118">
        <v>0.3602645549342031</v>
      </c>
      <c r="FP118">
        <v>-1</v>
      </c>
      <c r="FQ118">
        <v>5.926331951219511</v>
      </c>
      <c r="FR118">
        <v>-0.9173757491289021</v>
      </c>
      <c r="FS118">
        <v>0.09079568865931664</v>
      </c>
      <c r="FT118">
        <v>-1</v>
      </c>
      <c r="FU118">
        <v>0</v>
      </c>
      <c r="FV118">
        <v>0</v>
      </c>
      <c r="FW118">
        <v>0</v>
      </c>
      <c r="FX118">
        <v>-1</v>
      </c>
      <c r="FY118">
        <v>0</v>
      </c>
      <c r="FZ118">
        <v>0</v>
      </c>
      <c r="GA118" t="s">
        <v>420</v>
      </c>
      <c r="GB118">
        <v>2.98051</v>
      </c>
      <c r="GC118">
        <v>2.7062</v>
      </c>
      <c r="GD118">
        <v>0.164545</v>
      </c>
      <c r="GE118">
        <v>0.164328</v>
      </c>
      <c r="GF118">
        <v>0.0868907</v>
      </c>
      <c r="GG118">
        <v>0.0649034</v>
      </c>
      <c r="GH118">
        <v>26366.6</v>
      </c>
      <c r="GI118">
        <v>26432.1</v>
      </c>
      <c r="GJ118">
        <v>29345.6</v>
      </c>
      <c r="GK118">
        <v>29260.9</v>
      </c>
      <c r="GL118">
        <v>35482.8</v>
      </c>
      <c r="GM118">
        <v>36444.2</v>
      </c>
      <c r="GN118">
        <v>41305.5</v>
      </c>
      <c r="GO118">
        <v>41764.6</v>
      </c>
      <c r="GP118">
        <v>1.95695</v>
      </c>
      <c r="GQ118">
        <v>1.84905</v>
      </c>
      <c r="GR118">
        <v>-0.0236444</v>
      </c>
      <c r="GS118">
        <v>0</v>
      </c>
      <c r="GT118">
        <v>25.4038</v>
      </c>
      <c r="GU118">
        <v>999.9</v>
      </c>
      <c r="GV118">
        <v>31.8</v>
      </c>
      <c r="GW118">
        <v>34.3</v>
      </c>
      <c r="GX118">
        <v>19.2117</v>
      </c>
      <c r="GY118">
        <v>62.5675</v>
      </c>
      <c r="GZ118">
        <v>34.8317</v>
      </c>
      <c r="HA118">
        <v>1</v>
      </c>
      <c r="HB118">
        <v>0.105163</v>
      </c>
      <c r="HC118">
        <v>2.41552</v>
      </c>
      <c r="HD118">
        <v>20.3171</v>
      </c>
      <c r="HE118">
        <v>5.21879</v>
      </c>
      <c r="HF118">
        <v>12.0099</v>
      </c>
      <c r="HG118">
        <v>4.9892</v>
      </c>
      <c r="HH118">
        <v>3.28865</v>
      </c>
      <c r="HI118">
        <v>995.7</v>
      </c>
      <c r="HJ118">
        <v>9536.6</v>
      </c>
      <c r="HK118">
        <v>5139.4</v>
      </c>
      <c r="HL118">
        <v>24.8</v>
      </c>
      <c r="HM118">
        <v>1.86749</v>
      </c>
      <c r="HN118">
        <v>1.86646</v>
      </c>
      <c r="HO118">
        <v>1.866</v>
      </c>
      <c r="HP118">
        <v>1.86584</v>
      </c>
      <c r="HQ118">
        <v>1.86768</v>
      </c>
      <c r="HR118">
        <v>1.87021</v>
      </c>
      <c r="HS118">
        <v>1.86887</v>
      </c>
      <c r="HT118">
        <v>1.87024</v>
      </c>
      <c r="HU118">
        <v>0</v>
      </c>
      <c r="HV118">
        <v>0</v>
      </c>
      <c r="HW118">
        <v>0</v>
      </c>
      <c r="HX118">
        <v>0</v>
      </c>
      <c r="HY118" t="s">
        <v>421</v>
      </c>
      <c r="HZ118" t="s">
        <v>422</v>
      </c>
      <c r="IA118" t="s">
        <v>423</v>
      </c>
      <c r="IB118" t="s">
        <v>423</v>
      </c>
      <c r="IC118" t="s">
        <v>423</v>
      </c>
      <c r="ID118" t="s">
        <v>423</v>
      </c>
      <c r="IE118">
        <v>0</v>
      </c>
      <c r="IF118">
        <v>100</v>
      </c>
      <c r="IG118">
        <v>100</v>
      </c>
      <c r="IH118">
        <v>-1.924</v>
      </c>
      <c r="II118">
        <v>0.0171</v>
      </c>
      <c r="IJ118">
        <v>-0.2164499368582429</v>
      </c>
      <c r="IK118">
        <v>-0.002077099775823331</v>
      </c>
      <c r="IL118">
        <v>4.593143279902166E-07</v>
      </c>
      <c r="IM118">
        <v>-1.865383991892071E-10</v>
      </c>
      <c r="IN118">
        <v>-0.06087574426827484</v>
      </c>
      <c r="IO118">
        <v>-0.01129461987421345</v>
      </c>
      <c r="IP118">
        <v>0.00116580895745559</v>
      </c>
      <c r="IQ118">
        <v>-1.679085872906199E-05</v>
      </c>
      <c r="IR118">
        <v>2</v>
      </c>
      <c r="IS118">
        <v>2290</v>
      </c>
      <c r="IT118">
        <v>0</v>
      </c>
      <c r="IU118">
        <v>32</v>
      </c>
      <c r="IV118">
        <v>6</v>
      </c>
      <c r="IW118">
        <v>5.7</v>
      </c>
      <c r="IX118">
        <v>1.98486</v>
      </c>
      <c r="IY118">
        <v>2.20215</v>
      </c>
      <c r="IZ118">
        <v>1.39648</v>
      </c>
      <c r="JA118">
        <v>2.35718</v>
      </c>
      <c r="JB118">
        <v>1.49536</v>
      </c>
      <c r="JC118">
        <v>2.34985</v>
      </c>
      <c r="JD118">
        <v>38.4524</v>
      </c>
      <c r="JE118">
        <v>24.035</v>
      </c>
      <c r="JF118">
        <v>18</v>
      </c>
      <c r="JG118">
        <v>511.907</v>
      </c>
      <c r="JH118">
        <v>428.136</v>
      </c>
      <c r="JI118">
        <v>22.3178</v>
      </c>
      <c r="JJ118">
        <v>28.6536</v>
      </c>
      <c r="JK118">
        <v>30.0002</v>
      </c>
      <c r="JL118">
        <v>28.6198</v>
      </c>
      <c r="JM118">
        <v>28.5581</v>
      </c>
      <c r="JN118">
        <v>39.6722</v>
      </c>
      <c r="JO118">
        <v>34.6221</v>
      </c>
      <c r="JP118">
        <v>0</v>
      </c>
      <c r="JQ118">
        <v>22.3092</v>
      </c>
      <c r="JR118">
        <v>935.86</v>
      </c>
      <c r="JS118">
        <v>12.5239</v>
      </c>
      <c r="JT118">
        <v>100.31</v>
      </c>
      <c r="JU118">
        <v>100.238</v>
      </c>
    </row>
    <row r="119" spans="1:281">
      <c r="A119">
        <v>103</v>
      </c>
      <c r="B119">
        <v>1651864604.1</v>
      </c>
      <c r="C119">
        <v>383.5</v>
      </c>
      <c r="D119" t="s">
        <v>626</v>
      </c>
      <c r="E119" t="s">
        <v>627</v>
      </c>
      <c r="F119">
        <v>2</v>
      </c>
      <c r="G119" t="s">
        <v>413</v>
      </c>
      <c r="H119" t="s">
        <v>414</v>
      </c>
      <c r="I119">
        <v>1651864602.725</v>
      </c>
      <c r="J119">
        <f>(K119)/1000</f>
        <v>0</v>
      </c>
      <c r="K119">
        <f>IF(CZ119, AN119, AH119)</f>
        <v>0</v>
      </c>
      <c r="L119">
        <f>IF(CZ119, AI119, AG119)</f>
        <v>0</v>
      </c>
      <c r="M119">
        <f>DB119 - IF(AU119&gt;1, L119*CV119*100.0/(AW119*DP119), 0)</f>
        <v>0</v>
      </c>
      <c r="N119">
        <f>((T119-J119/2)*M119-L119)/(T119+J119/2)</f>
        <v>0</v>
      </c>
      <c r="O119">
        <f>N119*(DI119+DJ119)/1000.0</f>
        <v>0</v>
      </c>
      <c r="P119">
        <f>(DB119 - IF(AU119&gt;1, L119*CV119*100.0/(AW119*DP119), 0))*(DI119+DJ119)/1000.0</f>
        <v>0</v>
      </c>
      <c r="Q119">
        <f>2.0/((1/S119-1/R119)+SIGN(S119)*SQRT((1/S119-1/R119)*(1/S119-1/R119) + 4*CW119/((CW119+1)*(CW119+1))*(2*1/S119*1/R119-1/R119*1/R119)))</f>
        <v>0</v>
      </c>
      <c r="R119">
        <f>IF(LEFT(CX119,1)&lt;&gt;"0",IF(LEFT(CX119,1)="1",3.0,CY119),$D$5+$E$5*(DP119*DI119/($K$5*1000))+$F$5*(DP119*DI119/($K$5*1000))*MAX(MIN(CV119,$J$5),$I$5)*MAX(MIN(CV119,$J$5),$I$5)+$G$5*MAX(MIN(CV119,$J$5),$I$5)*(DP119*DI119/($K$5*1000))+$H$5*(DP119*DI119/($K$5*1000))*(DP119*DI119/($K$5*1000)))</f>
        <v>0</v>
      </c>
      <c r="S119">
        <f>J119*(1000-(1000*0.61365*exp(17.502*W119/(240.97+W119))/(DI119+DJ119)+DD119)/2)/(1000*0.61365*exp(17.502*W119/(240.97+W119))/(DI119+DJ119)-DD119)</f>
        <v>0</v>
      </c>
      <c r="T119">
        <f>1/((CW119+1)/(Q119/1.6)+1/(R119/1.37)) + CW119/((CW119+1)/(Q119/1.6) + CW119/(R119/1.37))</f>
        <v>0</v>
      </c>
      <c r="U119">
        <f>(CR119*CU119)</f>
        <v>0</v>
      </c>
      <c r="V119">
        <f>(DK119+(U119+2*0.95*5.67E-8*(((DK119+$B$7)+273)^4-(DK119+273)^4)-44100*J119)/(1.84*29.3*R119+8*0.95*5.67E-8*(DK119+273)^3))</f>
        <v>0</v>
      </c>
      <c r="W119">
        <f>($C$7*DL119+$D$7*DM119+$E$7*V119)</f>
        <v>0</v>
      </c>
      <c r="X119">
        <f>0.61365*exp(17.502*W119/(240.97+W119))</f>
        <v>0</v>
      </c>
      <c r="Y119">
        <f>(Z119/AA119*100)</f>
        <v>0</v>
      </c>
      <c r="Z119">
        <f>DD119*(DI119+DJ119)/1000</f>
        <v>0</v>
      </c>
      <c r="AA119">
        <f>0.61365*exp(17.502*DK119/(240.97+DK119))</f>
        <v>0</v>
      </c>
      <c r="AB119">
        <f>(X119-DD119*(DI119+DJ119)/1000)</f>
        <v>0</v>
      </c>
      <c r="AC119">
        <f>(-J119*44100)</f>
        <v>0</v>
      </c>
      <c r="AD119">
        <f>2*29.3*R119*0.92*(DK119-W119)</f>
        <v>0</v>
      </c>
      <c r="AE119">
        <f>2*0.95*5.67E-8*(((DK119+$B$7)+273)^4-(W119+273)^4)</f>
        <v>0</v>
      </c>
      <c r="AF119">
        <f>U119+AE119+AC119+AD119</f>
        <v>0</v>
      </c>
      <c r="AG119">
        <f>DH119*AU119*(DC119-DB119*(1000-AU119*DE119)/(1000-AU119*DD119))/(100*CV119)</f>
        <v>0</v>
      </c>
      <c r="AH119">
        <f>1000*DH119*AU119*(DD119-DE119)/(100*CV119*(1000-AU119*DD119))</f>
        <v>0</v>
      </c>
      <c r="AI119">
        <f>(AJ119 - AK119 - DI119*1E3/(8.314*(DK119+273.15)) * AM119/DH119 * AL119) * DH119/(100*CV119) * (1000 - DE119)/1000</f>
        <v>0</v>
      </c>
      <c r="AJ119">
        <v>971.3285429589315</v>
      </c>
      <c r="AK119">
        <v>954.2549575757577</v>
      </c>
      <c r="AL119">
        <v>-3.289810518563581</v>
      </c>
      <c r="AM119">
        <v>66.38192812717227</v>
      </c>
      <c r="AN119">
        <f>(AP119 - AO119 + DI119*1E3/(8.314*(DK119+273.15)) * AR119/DH119 * AQ119) * DH119/(100*CV119) * 1000/(1000 - AP119)</f>
        <v>0</v>
      </c>
      <c r="AO119">
        <v>12.31951569562943</v>
      </c>
      <c r="AP119">
        <v>18.12130147058823</v>
      </c>
      <c r="AQ119">
        <v>-5.058924545293512E-05</v>
      </c>
      <c r="AR119">
        <v>80.47224507511959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MAX(0,($B$13+$C$13*DP119)/(1+$D$13*DP119)*DI119/(DK119+273)*$E$13)</f>
        <v>0</v>
      </c>
      <c r="AX119" t="s">
        <v>417</v>
      </c>
      <c r="AY119" t="s">
        <v>417</v>
      </c>
      <c r="AZ119">
        <v>0</v>
      </c>
      <c r="BA119">
        <v>0</v>
      </c>
      <c r="BB119">
        <f>1-AZ119/BA119</f>
        <v>0</v>
      </c>
      <c r="BC119">
        <v>0</v>
      </c>
      <c r="BD119" t="s">
        <v>417</v>
      </c>
      <c r="BE119" t="s">
        <v>417</v>
      </c>
      <c r="BF119">
        <v>0</v>
      </c>
      <c r="BG119">
        <v>0</v>
      </c>
      <c r="BH119">
        <f>1-BF119/BG119</f>
        <v>0</v>
      </c>
      <c r="BI119">
        <v>0.5</v>
      </c>
      <c r="BJ119">
        <f>CS119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417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1248</v>
      </c>
      <c r="CA119">
        <v>300</v>
      </c>
      <c r="CB119">
        <v>300</v>
      </c>
      <c r="CC119">
        <v>300</v>
      </c>
      <c r="CD119">
        <v>10442</v>
      </c>
      <c r="CE119">
        <v>1293.69</v>
      </c>
      <c r="CF119">
        <v>-0.00735246</v>
      </c>
      <c r="CG119">
        <v>0.5</v>
      </c>
      <c r="CH119" t="s">
        <v>417</v>
      </c>
      <c r="CI119" t="s">
        <v>417</v>
      </c>
      <c r="CJ119" t="s">
        <v>417</v>
      </c>
      <c r="CK119" t="s">
        <v>417</v>
      </c>
      <c r="CL119" t="s">
        <v>417</v>
      </c>
      <c r="CM119" t="s">
        <v>417</v>
      </c>
      <c r="CN119" t="s">
        <v>417</v>
      </c>
      <c r="CO119" t="s">
        <v>417</v>
      </c>
      <c r="CP119" t="s">
        <v>417</v>
      </c>
      <c r="CQ119" t="s">
        <v>417</v>
      </c>
      <c r="CR119">
        <f>$B$11*DQ119+$C$11*DR119+$F$11*EC119*(1-EF119)</f>
        <v>0</v>
      </c>
      <c r="CS119">
        <f>CR119*CT119</f>
        <v>0</v>
      </c>
      <c r="CT119">
        <f>($B$11*$D$9+$C$11*$D$9+$F$11*((EP119+EH119)/MAX(EP119+EH119+EQ119, 0.1)*$I$9+EQ119/MAX(EP119+EH119+EQ119, 0.1)*$J$9))/($B$11+$C$11+$F$11)</f>
        <v>0</v>
      </c>
      <c r="CU119">
        <f>($B$11*$K$9+$C$11*$K$9+$F$11*((EP119+EH119)/MAX(EP119+EH119+EQ119, 0.1)*$P$9+EQ119/MAX(EP119+EH119+EQ119, 0.1)*$Q$9))/($B$11+$C$11+$F$11)</f>
        <v>0</v>
      </c>
      <c r="CV119">
        <v>6</v>
      </c>
      <c r="CW119">
        <v>0.5</v>
      </c>
      <c r="CX119" t="s">
        <v>418</v>
      </c>
      <c r="CY119">
        <v>2</v>
      </c>
      <c r="CZ119" t="b">
        <v>1</v>
      </c>
      <c r="DA119">
        <v>1651864602.725</v>
      </c>
      <c r="DB119">
        <v>939.803</v>
      </c>
      <c r="DC119">
        <v>954.6335</v>
      </c>
      <c r="DD119">
        <v>18.122975</v>
      </c>
      <c r="DE119">
        <v>12.3783</v>
      </c>
      <c r="DF119">
        <v>941.72375</v>
      </c>
      <c r="DG119">
        <v>18.10585</v>
      </c>
      <c r="DH119">
        <v>500.04425</v>
      </c>
      <c r="DI119">
        <v>89.935</v>
      </c>
      <c r="DJ119">
        <v>0.1000236</v>
      </c>
      <c r="DK119">
        <v>25.7002</v>
      </c>
      <c r="DL119">
        <v>25.0168</v>
      </c>
      <c r="DM119">
        <v>999.9</v>
      </c>
      <c r="DN119">
        <v>0</v>
      </c>
      <c r="DO119">
        <v>0</v>
      </c>
      <c r="DP119">
        <v>9998.282499999999</v>
      </c>
      <c r="DQ119">
        <v>0</v>
      </c>
      <c r="DR119">
        <v>3.23193</v>
      </c>
      <c r="DS119">
        <v>-14.830925</v>
      </c>
      <c r="DT119">
        <v>957.1490000000001</v>
      </c>
      <c r="DU119">
        <v>966.5985000000001</v>
      </c>
      <c r="DV119">
        <v>5.7446775</v>
      </c>
      <c r="DW119">
        <v>954.6335</v>
      </c>
      <c r="DX119">
        <v>12.3783</v>
      </c>
      <c r="DY119">
        <v>1.62989</v>
      </c>
      <c r="DZ119">
        <v>1.1132425</v>
      </c>
      <c r="EA119">
        <v>14.2443</v>
      </c>
      <c r="EB119">
        <v>8.489284999999999</v>
      </c>
      <c r="EC119">
        <v>1500</v>
      </c>
      <c r="ED119">
        <v>0.973007</v>
      </c>
      <c r="EE119">
        <v>0.0269931</v>
      </c>
      <c r="EF119">
        <v>0</v>
      </c>
      <c r="EG119">
        <v>924.7819999999999</v>
      </c>
      <c r="EH119">
        <v>5.00097</v>
      </c>
      <c r="EI119">
        <v>13733.3</v>
      </c>
      <c r="EJ119">
        <v>12491.625</v>
      </c>
      <c r="EK119">
        <v>37.25</v>
      </c>
      <c r="EL119">
        <v>38.70274999999999</v>
      </c>
      <c r="EM119">
        <v>37.625</v>
      </c>
      <c r="EN119">
        <v>38.437</v>
      </c>
      <c r="EO119">
        <v>38.125</v>
      </c>
      <c r="EP119">
        <v>1454.64</v>
      </c>
      <c r="EQ119">
        <v>40.35</v>
      </c>
      <c r="ER119">
        <v>0</v>
      </c>
      <c r="ES119">
        <v>382.7999999523163</v>
      </c>
      <c r="ET119">
        <v>0</v>
      </c>
      <c r="EU119">
        <v>926.9039230769231</v>
      </c>
      <c r="EV119">
        <v>-21.1617093969629</v>
      </c>
      <c r="EW119">
        <v>-307.7230769675601</v>
      </c>
      <c r="EX119">
        <v>13765.71153846154</v>
      </c>
      <c r="EY119">
        <v>15</v>
      </c>
      <c r="EZ119">
        <v>1651864261.1</v>
      </c>
      <c r="FA119" t="s">
        <v>419</v>
      </c>
      <c r="FB119">
        <v>1651864241.6</v>
      </c>
      <c r="FC119">
        <v>1651864261.1</v>
      </c>
      <c r="FD119">
        <v>7</v>
      </c>
      <c r="FE119">
        <v>0.438</v>
      </c>
      <c r="FF119">
        <v>0.002</v>
      </c>
      <c r="FG119">
        <v>-0.988</v>
      </c>
      <c r="FH119">
        <v>-0.066</v>
      </c>
      <c r="FI119">
        <v>400</v>
      </c>
      <c r="FJ119">
        <v>11</v>
      </c>
      <c r="FK119">
        <v>0.05</v>
      </c>
      <c r="FL119">
        <v>0.02</v>
      </c>
      <c r="FM119">
        <v>-15.846255</v>
      </c>
      <c r="FN119">
        <v>4.148033020637901</v>
      </c>
      <c r="FO119">
        <v>0.4663127882387531</v>
      </c>
      <c r="FP119">
        <v>-1</v>
      </c>
      <c r="FQ119">
        <v>5.89833825</v>
      </c>
      <c r="FR119">
        <v>-0.9229741463414961</v>
      </c>
      <c r="FS119">
        <v>0.08916875293194078</v>
      </c>
      <c r="FT119">
        <v>-1</v>
      </c>
      <c r="FU119">
        <v>0</v>
      </c>
      <c r="FV119">
        <v>0</v>
      </c>
      <c r="FW119">
        <v>0</v>
      </c>
      <c r="FX119">
        <v>-1</v>
      </c>
      <c r="FY119">
        <v>0</v>
      </c>
      <c r="FZ119">
        <v>0</v>
      </c>
      <c r="GA119" t="s">
        <v>420</v>
      </c>
      <c r="GB119">
        <v>2.98057</v>
      </c>
      <c r="GC119">
        <v>2.70617</v>
      </c>
      <c r="GD119">
        <v>0.163805</v>
      </c>
      <c r="GE119">
        <v>0.163584</v>
      </c>
      <c r="GF119">
        <v>0.08688890000000001</v>
      </c>
      <c r="GG119">
        <v>0.06507060000000001</v>
      </c>
      <c r="GH119">
        <v>26390.1</v>
      </c>
      <c r="GI119">
        <v>26455.7</v>
      </c>
      <c r="GJ119">
        <v>29345.8</v>
      </c>
      <c r="GK119">
        <v>29261</v>
      </c>
      <c r="GL119">
        <v>35483.2</v>
      </c>
      <c r="GM119">
        <v>36437.8</v>
      </c>
      <c r="GN119">
        <v>41305.8</v>
      </c>
      <c r="GO119">
        <v>41764.7</v>
      </c>
      <c r="GP119">
        <v>1.9568</v>
      </c>
      <c r="GQ119">
        <v>1.84907</v>
      </c>
      <c r="GR119">
        <v>-0.0236332</v>
      </c>
      <c r="GS119">
        <v>0</v>
      </c>
      <c r="GT119">
        <v>25.4033</v>
      </c>
      <c r="GU119">
        <v>999.9</v>
      </c>
      <c r="GV119">
        <v>31.8</v>
      </c>
      <c r="GW119">
        <v>34.2</v>
      </c>
      <c r="GX119">
        <v>19.1034</v>
      </c>
      <c r="GY119">
        <v>62.6075</v>
      </c>
      <c r="GZ119">
        <v>35.1522</v>
      </c>
      <c r="HA119">
        <v>1</v>
      </c>
      <c r="HB119">
        <v>0.105292</v>
      </c>
      <c r="HC119">
        <v>2.4013</v>
      </c>
      <c r="HD119">
        <v>20.3174</v>
      </c>
      <c r="HE119">
        <v>5.21864</v>
      </c>
      <c r="HF119">
        <v>12.0099</v>
      </c>
      <c r="HG119">
        <v>4.98915</v>
      </c>
      <c r="HH119">
        <v>3.28863</v>
      </c>
      <c r="HI119">
        <v>995.7</v>
      </c>
      <c r="HJ119">
        <v>9536.6</v>
      </c>
      <c r="HK119">
        <v>5139.4</v>
      </c>
      <c r="HL119">
        <v>24.8</v>
      </c>
      <c r="HM119">
        <v>1.86747</v>
      </c>
      <c r="HN119">
        <v>1.86646</v>
      </c>
      <c r="HO119">
        <v>1.86599</v>
      </c>
      <c r="HP119">
        <v>1.86584</v>
      </c>
      <c r="HQ119">
        <v>1.86768</v>
      </c>
      <c r="HR119">
        <v>1.8702</v>
      </c>
      <c r="HS119">
        <v>1.86887</v>
      </c>
      <c r="HT119">
        <v>1.87024</v>
      </c>
      <c r="HU119">
        <v>0</v>
      </c>
      <c r="HV119">
        <v>0</v>
      </c>
      <c r="HW119">
        <v>0</v>
      </c>
      <c r="HX119">
        <v>0</v>
      </c>
      <c r="HY119" t="s">
        <v>421</v>
      </c>
      <c r="HZ119" t="s">
        <v>422</v>
      </c>
      <c r="IA119" t="s">
        <v>423</v>
      </c>
      <c r="IB119" t="s">
        <v>423</v>
      </c>
      <c r="IC119" t="s">
        <v>423</v>
      </c>
      <c r="ID119" t="s">
        <v>423</v>
      </c>
      <c r="IE119">
        <v>0</v>
      </c>
      <c r="IF119">
        <v>100</v>
      </c>
      <c r="IG119">
        <v>100</v>
      </c>
      <c r="IH119">
        <v>-1.913</v>
      </c>
      <c r="II119">
        <v>0.0171</v>
      </c>
      <c r="IJ119">
        <v>-0.2164499368582429</v>
      </c>
      <c r="IK119">
        <v>-0.002077099775823331</v>
      </c>
      <c r="IL119">
        <v>4.593143279902166E-07</v>
      </c>
      <c r="IM119">
        <v>-1.865383991892071E-10</v>
      </c>
      <c r="IN119">
        <v>-0.06087574426827484</v>
      </c>
      <c r="IO119">
        <v>-0.01129461987421345</v>
      </c>
      <c r="IP119">
        <v>0.00116580895745559</v>
      </c>
      <c r="IQ119">
        <v>-1.679085872906199E-05</v>
      </c>
      <c r="IR119">
        <v>2</v>
      </c>
      <c r="IS119">
        <v>2290</v>
      </c>
      <c r="IT119">
        <v>0</v>
      </c>
      <c r="IU119">
        <v>32</v>
      </c>
      <c r="IV119">
        <v>6</v>
      </c>
      <c r="IW119">
        <v>5.7</v>
      </c>
      <c r="IX119">
        <v>1.97266</v>
      </c>
      <c r="IY119">
        <v>2.20703</v>
      </c>
      <c r="IZ119">
        <v>1.39648</v>
      </c>
      <c r="JA119">
        <v>2.35596</v>
      </c>
      <c r="JB119">
        <v>1.49536</v>
      </c>
      <c r="JC119">
        <v>2.27417</v>
      </c>
      <c r="JD119">
        <v>38.4524</v>
      </c>
      <c r="JE119">
        <v>24.0262</v>
      </c>
      <c r="JF119">
        <v>18</v>
      </c>
      <c r="JG119">
        <v>511.814</v>
      </c>
      <c r="JH119">
        <v>428.151</v>
      </c>
      <c r="JI119">
        <v>22.3091</v>
      </c>
      <c r="JJ119">
        <v>28.6548</v>
      </c>
      <c r="JK119">
        <v>30.0003</v>
      </c>
      <c r="JL119">
        <v>28.6203</v>
      </c>
      <c r="JM119">
        <v>28.5581</v>
      </c>
      <c r="JN119">
        <v>39.4394</v>
      </c>
      <c r="JO119">
        <v>34.3356</v>
      </c>
      <c r="JP119">
        <v>0</v>
      </c>
      <c r="JQ119">
        <v>22.293</v>
      </c>
      <c r="JR119">
        <v>928.918</v>
      </c>
      <c r="JS119">
        <v>12.5567</v>
      </c>
      <c r="JT119">
        <v>100.31</v>
      </c>
      <c r="JU119">
        <v>100.238</v>
      </c>
    </row>
    <row r="120" spans="1:281">
      <c r="A120">
        <v>104</v>
      </c>
      <c r="B120">
        <v>1651864606.1</v>
      </c>
      <c r="C120">
        <v>385.5</v>
      </c>
      <c r="D120" t="s">
        <v>628</v>
      </c>
      <c r="E120" t="s">
        <v>629</v>
      </c>
      <c r="F120">
        <v>2</v>
      </c>
      <c r="G120" t="s">
        <v>413</v>
      </c>
      <c r="H120" t="s">
        <v>414</v>
      </c>
      <c r="I120">
        <v>1651864605.1</v>
      </c>
      <c r="J120">
        <f>(K120)/1000</f>
        <v>0</v>
      </c>
      <c r="K120">
        <f>IF(CZ120, AN120, AH120)</f>
        <v>0</v>
      </c>
      <c r="L120">
        <f>IF(CZ120, AI120, AG120)</f>
        <v>0</v>
      </c>
      <c r="M120">
        <f>DB120 - IF(AU120&gt;1, L120*CV120*100.0/(AW120*DP120), 0)</f>
        <v>0</v>
      </c>
      <c r="N120">
        <f>((T120-J120/2)*M120-L120)/(T120+J120/2)</f>
        <v>0</v>
      </c>
      <c r="O120">
        <f>N120*(DI120+DJ120)/1000.0</f>
        <v>0</v>
      </c>
      <c r="P120">
        <f>(DB120 - IF(AU120&gt;1, L120*CV120*100.0/(AW120*DP120), 0))*(DI120+DJ120)/1000.0</f>
        <v>0</v>
      </c>
      <c r="Q120">
        <f>2.0/((1/S120-1/R120)+SIGN(S120)*SQRT((1/S120-1/R120)*(1/S120-1/R120) + 4*CW120/((CW120+1)*(CW120+1))*(2*1/S120*1/R120-1/R120*1/R120)))</f>
        <v>0</v>
      </c>
      <c r="R120">
        <f>IF(LEFT(CX120,1)&lt;&gt;"0",IF(LEFT(CX120,1)="1",3.0,CY120),$D$5+$E$5*(DP120*DI120/($K$5*1000))+$F$5*(DP120*DI120/($K$5*1000))*MAX(MIN(CV120,$J$5),$I$5)*MAX(MIN(CV120,$J$5),$I$5)+$G$5*MAX(MIN(CV120,$J$5),$I$5)*(DP120*DI120/($K$5*1000))+$H$5*(DP120*DI120/($K$5*1000))*(DP120*DI120/($K$5*1000)))</f>
        <v>0</v>
      </c>
      <c r="S120">
        <f>J120*(1000-(1000*0.61365*exp(17.502*W120/(240.97+W120))/(DI120+DJ120)+DD120)/2)/(1000*0.61365*exp(17.502*W120/(240.97+W120))/(DI120+DJ120)-DD120)</f>
        <v>0</v>
      </c>
      <c r="T120">
        <f>1/((CW120+1)/(Q120/1.6)+1/(R120/1.37)) + CW120/((CW120+1)/(Q120/1.6) + CW120/(R120/1.37))</f>
        <v>0</v>
      </c>
      <c r="U120">
        <f>(CR120*CU120)</f>
        <v>0</v>
      </c>
      <c r="V120">
        <f>(DK120+(U120+2*0.95*5.67E-8*(((DK120+$B$7)+273)^4-(DK120+273)^4)-44100*J120)/(1.84*29.3*R120+8*0.95*5.67E-8*(DK120+273)^3))</f>
        <v>0</v>
      </c>
      <c r="W120">
        <f>($C$7*DL120+$D$7*DM120+$E$7*V120)</f>
        <v>0</v>
      </c>
      <c r="X120">
        <f>0.61365*exp(17.502*W120/(240.97+W120))</f>
        <v>0</v>
      </c>
      <c r="Y120">
        <f>(Z120/AA120*100)</f>
        <v>0</v>
      </c>
      <c r="Z120">
        <f>DD120*(DI120+DJ120)/1000</f>
        <v>0</v>
      </c>
      <c r="AA120">
        <f>0.61365*exp(17.502*DK120/(240.97+DK120))</f>
        <v>0</v>
      </c>
      <c r="AB120">
        <f>(X120-DD120*(DI120+DJ120)/1000)</f>
        <v>0</v>
      </c>
      <c r="AC120">
        <f>(-J120*44100)</f>
        <v>0</v>
      </c>
      <c r="AD120">
        <f>2*29.3*R120*0.92*(DK120-W120)</f>
        <v>0</v>
      </c>
      <c r="AE120">
        <f>2*0.95*5.67E-8*(((DK120+$B$7)+273)^4-(W120+273)^4)</f>
        <v>0</v>
      </c>
      <c r="AF120">
        <f>U120+AE120+AC120+AD120</f>
        <v>0</v>
      </c>
      <c r="AG120">
        <f>DH120*AU120*(DC120-DB120*(1000-AU120*DE120)/(1000-AU120*DD120))/(100*CV120)</f>
        <v>0</v>
      </c>
      <c r="AH120">
        <f>1000*DH120*AU120*(DD120-DE120)/(100*CV120*(1000-AU120*DD120))</f>
        <v>0</v>
      </c>
      <c r="AI120">
        <f>(AJ120 - AK120 - DI120*1E3/(8.314*(DK120+273.15)) * AM120/DH120 * AL120) * DH120/(100*CV120) * (1000 - DE120)/1000</f>
        <v>0</v>
      </c>
      <c r="AJ120">
        <v>964.545139537199</v>
      </c>
      <c r="AK120">
        <v>947.5982363636357</v>
      </c>
      <c r="AL120">
        <v>-3.320179448384823</v>
      </c>
      <c r="AM120">
        <v>66.38192812717227</v>
      </c>
      <c r="AN120">
        <f>(AP120 - AO120 + DI120*1E3/(8.314*(DK120+273.15)) * AR120/DH120 * AQ120) * DH120/(100*CV120) * 1000/(1000 - AP120)</f>
        <v>0</v>
      </c>
      <c r="AO120">
        <v>12.35406299306726</v>
      </c>
      <c r="AP120">
        <v>18.12443235294117</v>
      </c>
      <c r="AQ120">
        <v>-7.107153733694574E-05</v>
      </c>
      <c r="AR120">
        <v>80.47224507511959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MAX(0,($B$13+$C$13*DP120)/(1+$D$13*DP120)*DI120/(DK120+273)*$E$13)</f>
        <v>0</v>
      </c>
      <c r="AX120" t="s">
        <v>417</v>
      </c>
      <c r="AY120" t="s">
        <v>417</v>
      </c>
      <c r="AZ120">
        <v>0</v>
      </c>
      <c r="BA120">
        <v>0</v>
      </c>
      <c r="BB120">
        <f>1-AZ120/BA120</f>
        <v>0</v>
      </c>
      <c r="BC120">
        <v>0</v>
      </c>
      <c r="BD120" t="s">
        <v>417</v>
      </c>
      <c r="BE120" t="s">
        <v>417</v>
      </c>
      <c r="BF120">
        <v>0</v>
      </c>
      <c r="BG120">
        <v>0</v>
      </c>
      <c r="BH120">
        <f>1-BF120/BG120</f>
        <v>0</v>
      </c>
      <c r="BI120">
        <v>0.5</v>
      </c>
      <c r="BJ120">
        <f>CS120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417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1248</v>
      </c>
      <c r="CA120">
        <v>300</v>
      </c>
      <c r="CB120">
        <v>300</v>
      </c>
      <c r="CC120">
        <v>300</v>
      </c>
      <c r="CD120">
        <v>10442</v>
      </c>
      <c r="CE120">
        <v>1293.69</v>
      </c>
      <c r="CF120">
        <v>-0.00735246</v>
      </c>
      <c r="CG120">
        <v>0.5</v>
      </c>
      <c r="CH120" t="s">
        <v>417</v>
      </c>
      <c r="CI120" t="s">
        <v>417</v>
      </c>
      <c r="CJ120" t="s">
        <v>417</v>
      </c>
      <c r="CK120" t="s">
        <v>417</v>
      </c>
      <c r="CL120" t="s">
        <v>417</v>
      </c>
      <c r="CM120" t="s">
        <v>417</v>
      </c>
      <c r="CN120" t="s">
        <v>417</v>
      </c>
      <c r="CO120" t="s">
        <v>417</v>
      </c>
      <c r="CP120" t="s">
        <v>417</v>
      </c>
      <c r="CQ120" t="s">
        <v>417</v>
      </c>
      <c r="CR120">
        <f>$B$11*DQ120+$C$11*DR120+$F$11*EC120*(1-EF120)</f>
        <v>0</v>
      </c>
      <c r="CS120">
        <f>CR120*CT120</f>
        <v>0</v>
      </c>
      <c r="CT120">
        <f>($B$11*$D$9+$C$11*$D$9+$F$11*((EP120+EH120)/MAX(EP120+EH120+EQ120, 0.1)*$I$9+EQ120/MAX(EP120+EH120+EQ120, 0.1)*$J$9))/($B$11+$C$11+$F$11)</f>
        <v>0</v>
      </c>
      <c r="CU120">
        <f>($B$11*$K$9+$C$11*$K$9+$F$11*((EP120+EH120)/MAX(EP120+EH120+EQ120, 0.1)*$P$9+EQ120/MAX(EP120+EH120+EQ120, 0.1)*$Q$9))/($B$11+$C$11+$F$11)</f>
        <v>0</v>
      </c>
      <c r="CV120">
        <v>6</v>
      </c>
      <c r="CW120">
        <v>0.5</v>
      </c>
      <c r="CX120" t="s">
        <v>418</v>
      </c>
      <c r="CY120">
        <v>2</v>
      </c>
      <c r="CZ120" t="b">
        <v>1</v>
      </c>
      <c r="DA120">
        <v>1651864605.1</v>
      </c>
      <c r="DB120">
        <v>932.0630000000001</v>
      </c>
      <c r="DC120">
        <v>946.6886666666666</v>
      </c>
      <c r="DD120">
        <v>18.12376666666666</v>
      </c>
      <c r="DE120">
        <v>12.4249</v>
      </c>
      <c r="DF120">
        <v>933.971</v>
      </c>
      <c r="DG120">
        <v>18.10666666666667</v>
      </c>
      <c r="DH120">
        <v>500.0823333333333</v>
      </c>
      <c r="DI120">
        <v>89.93376666666667</v>
      </c>
      <c r="DJ120">
        <v>0.09996773333333335</v>
      </c>
      <c r="DK120">
        <v>25.7004</v>
      </c>
      <c r="DL120">
        <v>25.01296666666667</v>
      </c>
      <c r="DM120">
        <v>999.9</v>
      </c>
      <c r="DN120">
        <v>0</v>
      </c>
      <c r="DO120">
        <v>0</v>
      </c>
      <c r="DP120">
        <v>9990</v>
      </c>
      <c r="DQ120">
        <v>0</v>
      </c>
      <c r="DR120">
        <v>3.23193</v>
      </c>
      <c r="DS120">
        <v>-14.62603333333333</v>
      </c>
      <c r="DT120">
        <v>949.2673333333333</v>
      </c>
      <c r="DU120">
        <v>958.5993333333332</v>
      </c>
      <c r="DV120">
        <v>5.698873333333332</v>
      </c>
      <c r="DW120">
        <v>946.6886666666666</v>
      </c>
      <c r="DX120">
        <v>12.4249</v>
      </c>
      <c r="DY120">
        <v>1.62994</v>
      </c>
      <c r="DZ120">
        <v>1.117416666666667</v>
      </c>
      <c r="EA120">
        <v>14.2448</v>
      </c>
      <c r="EB120">
        <v>8.544580000000002</v>
      </c>
      <c r="EC120">
        <v>1499.99</v>
      </c>
      <c r="ED120">
        <v>0.973007</v>
      </c>
      <c r="EE120">
        <v>0.0269931</v>
      </c>
      <c r="EF120">
        <v>0</v>
      </c>
      <c r="EG120">
        <v>923.8693333333334</v>
      </c>
      <c r="EH120">
        <v>5.00097</v>
      </c>
      <c r="EI120">
        <v>13720.43333333333</v>
      </c>
      <c r="EJ120">
        <v>12491.56666666667</v>
      </c>
      <c r="EK120">
        <v>37.25</v>
      </c>
      <c r="EL120">
        <v>38.687</v>
      </c>
      <c r="EM120">
        <v>37.625</v>
      </c>
      <c r="EN120">
        <v>38.437</v>
      </c>
      <c r="EO120">
        <v>38.125</v>
      </c>
      <c r="EP120">
        <v>1454.63</v>
      </c>
      <c r="EQ120">
        <v>40.35</v>
      </c>
      <c r="ER120">
        <v>0</v>
      </c>
      <c r="ES120">
        <v>385.2000000476837</v>
      </c>
      <c r="ET120">
        <v>0</v>
      </c>
      <c r="EU120">
        <v>926.0591923076922</v>
      </c>
      <c r="EV120">
        <v>-21.34526493168679</v>
      </c>
      <c r="EW120">
        <v>-311.2136747919414</v>
      </c>
      <c r="EX120">
        <v>13753.36153846154</v>
      </c>
      <c r="EY120">
        <v>15</v>
      </c>
      <c r="EZ120">
        <v>1651864261.1</v>
      </c>
      <c r="FA120" t="s">
        <v>419</v>
      </c>
      <c r="FB120">
        <v>1651864241.6</v>
      </c>
      <c r="FC120">
        <v>1651864261.1</v>
      </c>
      <c r="FD120">
        <v>7</v>
      </c>
      <c r="FE120">
        <v>0.438</v>
      </c>
      <c r="FF120">
        <v>0.002</v>
      </c>
      <c r="FG120">
        <v>-0.988</v>
      </c>
      <c r="FH120">
        <v>-0.066</v>
      </c>
      <c r="FI120">
        <v>400</v>
      </c>
      <c r="FJ120">
        <v>11</v>
      </c>
      <c r="FK120">
        <v>0.05</v>
      </c>
      <c r="FL120">
        <v>0.02</v>
      </c>
      <c r="FM120">
        <v>-15.67545121951219</v>
      </c>
      <c r="FN120">
        <v>5.571085714285724</v>
      </c>
      <c r="FO120">
        <v>0.587173802799167</v>
      </c>
      <c r="FP120">
        <v>-1</v>
      </c>
      <c r="FQ120">
        <v>5.861995853658537</v>
      </c>
      <c r="FR120">
        <v>-0.9660311498257916</v>
      </c>
      <c r="FS120">
        <v>0.09568508143716618</v>
      </c>
      <c r="FT120">
        <v>-1</v>
      </c>
      <c r="FU120">
        <v>0</v>
      </c>
      <c r="FV120">
        <v>0</v>
      </c>
      <c r="FW120">
        <v>0</v>
      </c>
      <c r="FX120">
        <v>-1</v>
      </c>
      <c r="FY120">
        <v>0</v>
      </c>
      <c r="FZ120">
        <v>0</v>
      </c>
      <c r="GA120" t="s">
        <v>420</v>
      </c>
      <c r="GB120">
        <v>2.98046</v>
      </c>
      <c r="GC120">
        <v>2.70609</v>
      </c>
      <c r="GD120">
        <v>0.163059</v>
      </c>
      <c r="GE120">
        <v>0.162836</v>
      </c>
      <c r="GF120">
        <v>0.08689719999999999</v>
      </c>
      <c r="GG120">
        <v>0.0651905</v>
      </c>
      <c r="GH120">
        <v>26413.5</v>
      </c>
      <c r="GI120">
        <v>26479.2</v>
      </c>
      <c r="GJ120">
        <v>29345.6</v>
      </c>
      <c r="GK120">
        <v>29260.8</v>
      </c>
      <c r="GL120">
        <v>35482.6</v>
      </c>
      <c r="GM120">
        <v>36432.8</v>
      </c>
      <c r="GN120">
        <v>41305.5</v>
      </c>
      <c r="GO120">
        <v>41764.4</v>
      </c>
      <c r="GP120">
        <v>1.95648</v>
      </c>
      <c r="GQ120">
        <v>1.84918</v>
      </c>
      <c r="GR120">
        <v>-0.0238232</v>
      </c>
      <c r="GS120">
        <v>0</v>
      </c>
      <c r="GT120">
        <v>25.4022</v>
      </c>
      <c r="GU120">
        <v>999.9</v>
      </c>
      <c r="GV120">
        <v>31.8</v>
      </c>
      <c r="GW120">
        <v>34.3</v>
      </c>
      <c r="GX120">
        <v>19.21</v>
      </c>
      <c r="GY120">
        <v>62.5875</v>
      </c>
      <c r="GZ120">
        <v>35.0521</v>
      </c>
      <c r="HA120">
        <v>1</v>
      </c>
      <c r="HB120">
        <v>0.105323</v>
      </c>
      <c r="HC120">
        <v>2.40992</v>
      </c>
      <c r="HD120">
        <v>20.3171</v>
      </c>
      <c r="HE120">
        <v>5.21819</v>
      </c>
      <c r="HF120">
        <v>12.0099</v>
      </c>
      <c r="HG120">
        <v>4.989</v>
      </c>
      <c r="HH120">
        <v>3.28853</v>
      </c>
      <c r="HI120">
        <v>996</v>
      </c>
      <c r="HJ120">
        <v>9537.799999999999</v>
      </c>
      <c r="HK120">
        <v>5139.4</v>
      </c>
      <c r="HL120">
        <v>24.9</v>
      </c>
      <c r="HM120">
        <v>1.86748</v>
      </c>
      <c r="HN120">
        <v>1.86646</v>
      </c>
      <c r="HO120">
        <v>1.86599</v>
      </c>
      <c r="HP120">
        <v>1.86585</v>
      </c>
      <c r="HQ120">
        <v>1.86768</v>
      </c>
      <c r="HR120">
        <v>1.8702</v>
      </c>
      <c r="HS120">
        <v>1.86886</v>
      </c>
      <c r="HT120">
        <v>1.87025</v>
      </c>
      <c r="HU120">
        <v>0</v>
      </c>
      <c r="HV120">
        <v>0</v>
      </c>
      <c r="HW120">
        <v>0</v>
      </c>
      <c r="HX120">
        <v>0</v>
      </c>
      <c r="HY120" t="s">
        <v>421</v>
      </c>
      <c r="HZ120" t="s">
        <v>422</v>
      </c>
      <c r="IA120" t="s">
        <v>423</v>
      </c>
      <c r="IB120" t="s">
        <v>423</v>
      </c>
      <c r="IC120" t="s">
        <v>423</v>
      </c>
      <c r="ID120" t="s">
        <v>423</v>
      </c>
      <c r="IE120">
        <v>0</v>
      </c>
      <c r="IF120">
        <v>100</v>
      </c>
      <c r="IG120">
        <v>100</v>
      </c>
      <c r="IH120">
        <v>-1.902</v>
      </c>
      <c r="II120">
        <v>0.0172</v>
      </c>
      <c r="IJ120">
        <v>-0.2164499368582429</v>
      </c>
      <c r="IK120">
        <v>-0.002077099775823331</v>
      </c>
      <c r="IL120">
        <v>4.593143279902166E-07</v>
      </c>
      <c r="IM120">
        <v>-1.865383991892071E-10</v>
      </c>
      <c r="IN120">
        <v>-0.06087574426827484</v>
      </c>
      <c r="IO120">
        <v>-0.01129461987421345</v>
      </c>
      <c r="IP120">
        <v>0.00116580895745559</v>
      </c>
      <c r="IQ120">
        <v>-1.679085872906199E-05</v>
      </c>
      <c r="IR120">
        <v>2</v>
      </c>
      <c r="IS120">
        <v>2290</v>
      </c>
      <c r="IT120">
        <v>0</v>
      </c>
      <c r="IU120">
        <v>32</v>
      </c>
      <c r="IV120">
        <v>6.1</v>
      </c>
      <c r="IW120">
        <v>5.8</v>
      </c>
      <c r="IX120">
        <v>1.96167</v>
      </c>
      <c r="IY120">
        <v>2.20337</v>
      </c>
      <c r="IZ120">
        <v>1.39648</v>
      </c>
      <c r="JA120">
        <v>2.35718</v>
      </c>
      <c r="JB120">
        <v>1.49536</v>
      </c>
      <c r="JC120">
        <v>2.38281</v>
      </c>
      <c r="JD120">
        <v>38.4524</v>
      </c>
      <c r="JE120">
        <v>24.035</v>
      </c>
      <c r="JF120">
        <v>18</v>
      </c>
      <c r="JG120">
        <v>511.602</v>
      </c>
      <c r="JH120">
        <v>428.219</v>
      </c>
      <c r="JI120">
        <v>22.3026</v>
      </c>
      <c r="JJ120">
        <v>28.656</v>
      </c>
      <c r="JK120">
        <v>30.0003</v>
      </c>
      <c r="JL120">
        <v>28.6203</v>
      </c>
      <c r="JM120">
        <v>28.5593</v>
      </c>
      <c r="JN120">
        <v>39.2123</v>
      </c>
      <c r="JO120">
        <v>34.3356</v>
      </c>
      <c r="JP120">
        <v>0</v>
      </c>
      <c r="JQ120">
        <v>22.293</v>
      </c>
      <c r="JR120">
        <v>922.222</v>
      </c>
      <c r="JS120">
        <v>12.5836</v>
      </c>
      <c r="JT120">
        <v>100.31</v>
      </c>
      <c r="JU120">
        <v>100.237</v>
      </c>
    </row>
    <row r="121" spans="1:281">
      <c r="A121">
        <v>105</v>
      </c>
      <c r="B121">
        <v>1651864608.1</v>
      </c>
      <c r="C121">
        <v>387.5</v>
      </c>
      <c r="D121" t="s">
        <v>630</v>
      </c>
      <c r="E121" t="s">
        <v>631</v>
      </c>
      <c r="F121">
        <v>2</v>
      </c>
      <c r="G121" t="s">
        <v>413</v>
      </c>
      <c r="H121" t="s">
        <v>414</v>
      </c>
      <c r="I121">
        <v>1651864606.725</v>
      </c>
      <c r="J121">
        <f>(K121)/1000</f>
        <v>0</v>
      </c>
      <c r="K121">
        <f>IF(CZ121, AN121, AH121)</f>
        <v>0</v>
      </c>
      <c r="L121">
        <f>IF(CZ121, AI121, AG121)</f>
        <v>0</v>
      </c>
      <c r="M121">
        <f>DB121 - IF(AU121&gt;1, L121*CV121*100.0/(AW121*DP121), 0)</f>
        <v>0</v>
      </c>
      <c r="N121">
        <f>((T121-J121/2)*M121-L121)/(T121+J121/2)</f>
        <v>0</v>
      </c>
      <c r="O121">
        <f>N121*(DI121+DJ121)/1000.0</f>
        <v>0</v>
      </c>
      <c r="P121">
        <f>(DB121 - IF(AU121&gt;1, L121*CV121*100.0/(AW121*DP121), 0))*(DI121+DJ121)/1000.0</f>
        <v>0</v>
      </c>
      <c r="Q121">
        <f>2.0/((1/S121-1/R121)+SIGN(S121)*SQRT((1/S121-1/R121)*(1/S121-1/R121) + 4*CW121/((CW121+1)*(CW121+1))*(2*1/S121*1/R121-1/R121*1/R121)))</f>
        <v>0</v>
      </c>
      <c r="R121">
        <f>IF(LEFT(CX121,1)&lt;&gt;"0",IF(LEFT(CX121,1)="1",3.0,CY121),$D$5+$E$5*(DP121*DI121/($K$5*1000))+$F$5*(DP121*DI121/($K$5*1000))*MAX(MIN(CV121,$J$5),$I$5)*MAX(MIN(CV121,$J$5),$I$5)+$G$5*MAX(MIN(CV121,$J$5),$I$5)*(DP121*DI121/($K$5*1000))+$H$5*(DP121*DI121/($K$5*1000))*(DP121*DI121/($K$5*1000)))</f>
        <v>0</v>
      </c>
      <c r="S121">
        <f>J121*(1000-(1000*0.61365*exp(17.502*W121/(240.97+W121))/(DI121+DJ121)+DD121)/2)/(1000*0.61365*exp(17.502*W121/(240.97+W121))/(DI121+DJ121)-DD121)</f>
        <v>0</v>
      </c>
      <c r="T121">
        <f>1/((CW121+1)/(Q121/1.6)+1/(R121/1.37)) + CW121/((CW121+1)/(Q121/1.6) + CW121/(R121/1.37))</f>
        <v>0</v>
      </c>
      <c r="U121">
        <f>(CR121*CU121)</f>
        <v>0</v>
      </c>
      <c r="V121">
        <f>(DK121+(U121+2*0.95*5.67E-8*(((DK121+$B$7)+273)^4-(DK121+273)^4)-44100*J121)/(1.84*29.3*R121+8*0.95*5.67E-8*(DK121+273)^3))</f>
        <v>0</v>
      </c>
      <c r="W121">
        <f>($C$7*DL121+$D$7*DM121+$E$7*V121)</f>
        <v>0</v>
      </c>
      <c r="X121">
        <f>0.61365*exp(17.502*W121/(240.97+W121))</f>
        <v>0</v>
      </c>
      <c r="Y121">
        <f>(Z121/AA121*100)</f>
        <v>0</v>
      </c>
      <c r="Z121">
        <f>DD121*(DI121+DJ121)/1000</f>
        <v>0</v>
      </c>
      <c r="AA121">
        <f>0.61365*exp(17.502*DK121/(240.97+DK121))</f>
        <v>0</v>
      </c>
      <c r="AB121">
        <f>(X121-DD121*(DI121+DJ121)/1000)</f>
        <v>0</v>
      </c>
      <c r="AC121">
        <f>(-J121*44100)</f>
        <v>0</v>
      </c>
      <c r="AD121">
        <f>2*29.3*R121*0.92*(DK121-W121)</f>
        <v>0</v>
      </c>
      <c r="AE121">
        <f>2*0.95*5.67E-8*(((DK121+$B$7)+273)^4-(W121+273)^4)</f>
        <v>0</v>
      </c>
      <c r="AF121">
        <f>U121+AE121+AC121+AD121</f>
        <v>0</v>
      </c>
      <c r="AG121">
        <f>DH121*AU121*(DC121-DB121*(1000-AU121*DE121)/(1000-AU121*DD121))/(100*CV121)</f>
        <v>0</v>
      </c>
      <c r="AH121">
        <f>1000*DH121*AU121*(DD121-DE121)/(100*CV121*(1000-AU121*DD121))</f>
        <v>0</v>
      </c>
      <c r="AI121">
        <f>(AJ121 - AK121 - DI121*1E3/(8.314*(DK121+273.15)) * AM121/DH121 * AL121) * DH121/(100*CV121) * (1000 - DE121)/1000</f>
        <v>0</v>
      </c>
      <c r="AJ121">
        <v>957.8294678574147</v>
      </c>
      <c r="AK121">
        <v>940.9776848484845</v>
      </c>
      <c r="AL121">
        <v>-3.318053573399988</v>
      </c>
      <c r="AM121">
        <v>66.38192812717227</v>
      </c>
      <c r="AN121">
        <f>(AP121 - AO121 + DI121*1E3/(8.314*(DK121+273.15)) * AR121/DH121 * AQ121) * DH121/(100*CV121) * 1000/(1000 - AP121)</f>
        <v>0</v>
      </c>
      <c r="AO121">
        <v>12.39707263762097</v>
      </c>
      <c r="AP121">
        <v>18.12689852941177</v>
      </c>
      <c r="AQ121">
        <v>-3.095733066016846E-05</v>
      </c>
      <c r="AR121">
        <v>80.47224507511959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MAX(0,($B$13+$C$13*DP121)/(1+$D$13*DP121)*DI121/(DK121+273)*$E$13)</f>
        <v>0</v>
      </c>
      <c r="AX121" t="s">
        <v>417</v>
      </c>
      <c r="AY121" t="s">
        <v>417</v>
      </c>
      <c r="AZ121">
        <v>0</v>
      </c>
      <c r="BA121">
        <v>0</v>
      </c>
      <c r="BB121">
        <f>1-AZ121/BA121</f>
        <v>0</v>
      </c>
      <c r="BC121">
        <v>0</v>
      </c>
      <c r="BD121" t="s">
        <v>417</v>
      </c>
      <c r="BE121" t="s">
        <v>417</v>
      </c>
      <c r="BF121">
        <v>0</v>
      </c>
      <c r="BG121">
        <v>0</v>
      </c>
      <c r="BH121">
        <f>1-BF121/BG121</f>
        <v>0</v>
      </c>
      <c r="BI121">
        <v>0.5</v>
      </c>
      <c r="BJ121">
        <f>CS121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417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1248</v>
      </c>
      <c r="CA121">
        <v>300</v>
      </c>
      <c r="CB121">
        <v>300</v>
      </c>
      <c r="CC121">
        <v>300</v>
      </c>
      <c r="CD121">
        <v>10442</v>
      </c>
      <c r="CE121">
        <v>1293.69</v>
      </c>
      <c r="CF121">
        <v>-0.00735246</v>
      </c>
      <c r="CG121">
        <v>0.5</v>
      </c>
      <c r="CH121" t="s">
        <v>417</v>
      </c>
      <c r="CI121" t="s">
        <v>417</v>
      </c>
      <c r="CJ121" t="s">
        <v>417</v>
      </c>
      <c r="CK121" t="s">
        <v>417</v>
      </c>
      <c r="CL121" t="s">
        <v>417</v>
      </c>
      <c r="CM121" t="s">
        <v>417</v>
      </c>
      <c r="CN121" t="s">
        <v>417</v>
      </c>
      <c r="CO121" t="s">
        <v>417</v>
      </c>
      <c r="CP121" t="s">
        <v>417</v>
      </c>
      <c r="CQ121" t="s">
        <v>417</v>
      </c>
      <c r="CR121">
        <f>$B$11*DQ121+$C$11*DR121+$F$11*EC121*(1-EF121)</f>
        <v>0</v>
      </c>
      <c r="CS121">
        <f>CR121*CT121</f>
        <v>0</v>
      </c>
      <c r="CT121">
        <f>($B$11*$D$9+$C$11*$D$9+$F$11*((EP121+EH121)/MAX(EP121+EH121+EQ121, 0.1)*$I$9+EQ121/MAX(EP121+EH121+EQ121, 0.1)*$J$9))/($B$11+$C$11+$F$11)</f>
        <v>0</v>
      </c>
      <c r="CU121">
        <f>($B$11*$K$9+$C$11*$K$9+$F$11*((EP121+EH121)/MAX(EP121+EH121+EQ121, 0.1)*$P$9+EQ121/MAX(EP121+EH121+EQ121, 0.1)*$Q$9))/($B$11+$C$11+$F$11)</f>
        <v>0</v>
      </c>
      <c r="CV121">
        <v>6</v>
      </c>
      <c r="CW121">
        <v>0.5</v>
      </c>
      <c r="CX121" t="s">
        <v>418</v>
      </c>
      <c r="CY121">
        <v>2</v>
      </c>
      <c r="CZ121" t="b">
        <v>1</v>
      </c>
      <c r="DA121">
        <v>1651864606.725</v>
      </c>
      <c r="DB121">
        <v>926.7687500000001</v>
      </c>
      <c r="DC121">
        <v>941.2484999999999</v>
      </c>
      <c r="DD121">
        <v>18.1253</v>
      </c>
      <c r="DE121">
        <v>12.446575</v>
      </c>
      <c r="DF121">
        <v>928.6677500000001</v>
      </c>
      <c r="DG121">
        <v>18.10815</v>
      </c>
      <c r="DH121">
        <v>500.046</v>
      </c>
      <c r="DI121">
        <v>89.93275</v>
      </c>
      <c r="DJ121">
        <v>0.1000441</v>
      </c>
      <c r="DK121">
        <v>25.7004</v>
      </c>
      <c r="DL121">
        <v>25.012725</v>
      </c>
      <c r="DM121">
        <v>999.9</v>
      </c>
      <c r="DN121">
        <v>0</v>
      </c>
      <c r="DO121">
        <v>0</v>
      </c>
      <c r="DP121">
        <v>9986.25</v>
      </c>
      <c r="DQ121">
        <v>0</v>
      </c>
      <c r="DR121">
        <v>3.23193</v>
      </c>
      <c r="DS121">
        <v>-14.47955</v>
      </c>
      <c r="DT121">
        <v>943.8770000000001</v>
      </c>
      <c r="DU121">
        <v>953.11125</v>
      </c>
      <c r="DV121">
        <v>5.6787125</v>
      </c>
      <c r="DW121">
        <v>941.2484999999999</v>
      </c>
      <c r="DX121">
        <v>12.446575</v>
      </c>
      <c r="DY121">
        <v>1.6300575</v>
      </c>
      <c r="DZ121">
        <v>1.1193575</v>
      </c>
      <c r="EA121">
        <v>14.245925</v>
      </c>
      <c r="EB121">
        <v>8.570142499999999</v>
      </c>
      <c r="EC121">
        <v>1499.995</v>
      </c>
      <c r="ED121">
        <v>0.973007</v>
      </c>
      <c r="EE121">
        <v>0.0269931</v>
      </c>
      <c r="EF121">
        <v>0</v>
      </c>
      <c r="EG121">
        <v>923.22075</v>
      </c>
      <c r="EH121">
        <v>5.00097</v>
      </c>
      <c r="EI121">
        <v>13712.65</v>
      </c>
      <c r="EJ121">
        <v>12491.6</v>
      </c>
      <c r="EK121">
        <v>37.25</v>
      </c>
      <c r="EL121">
        <v>38.687</v>
      </c>
      <c r="EM121">
        <v>37.625</v>
      </c>
      <c r="EN121">
        <v>38.437</v>
      </c>
      <c r="EO121">
        <v>38.125</v>
      </c>
      <c r="EP121">
        <v>1454.635</v>
      </c>
      <c r="EQ121">
        <v>40.35</v>
      </c>
      <c r="ER121">
        <v>0</v>
      </c>
      <c r="ES121">
        <v>387</v>
      </c>
      <c r="ET121">
        <v>0</v>
      </c>
      <c r="EU121">
        <v>925.2982000000001</v>
      </c>
      <c r="EV121">
        <v>-20.3330000370951</v>
      </c>
      <c r="EW121">
        <v>-313.1230774064019</v>
      </c>
      <c r="EX121">
        <v>13742.464</v>
      </c>
      <c r="EY121">
        <v>15</v>
      </c>
      <c r="EZ121">
        <v>1651864261.1</v>
      </c>
      <c r="FA121" t="s">
        <v>419</v>
      </c>
      <c r="FB121">
        <v>1651864241.6</v>
      </c>
      <c r="FC121">
        <v>1651864261.1</v>
      </c>
      <c r="FD121">
        <v>7</v>
      </c>
      <c r="FE121">
        <v>0.438</v>
      </c>
      <c r="FF121">
        <v>0.002</v>
      </c>
      <c r="FG121">
        <v>-0.988</v>
      </c>
      <c r="FH121">
        <v>-0.066</v>
      </c>
      <c r="FI121">
        <v>400</v>
      </c>
      <c r="FJ121">
        <v>11</v>
      </c>
      <c r="FK121">
        <v>0.05</v>
      </c>
      <c r="FL121">
        <v>0.02</v>
      </c>
      <c r="FM121">
        <v>-15.5360175</v>
      </c>
      <c r="FN121">
        <v>6.49391707317076</v>
      </c>
      <c r="FO121">
        <v>0.6441283769123592</v>
      </c>
      <c r="FP121">
        <v>-1</v>
      </c>
      <c r="FQ121">
        <v>5.833311999999999</v>
      </c>
      <c r="FR121">
        <v>-0.9696315196998219</v>
      </c>
      <c r="FS121">
        <v>0.09372981287189261</v>
      </c>
      <c r="FT121">
        <v>-1</v>
      </c>
      <c r="FU121">
        <v>0</v>
      </c>
      <c r="FV121">
        <v>0</v>
      </c>
      <c r="FW121">
        <v>0</v>
      </c>
      <c r="FX121">
        <v>-1</v>
      </c>
      <c r="FY121">
        <v>0</v>
      </c>
      <c r="FZ121">
        <v>0</v>
      </c>
      <c r="GA121" t="s">
        <v>420</v>
      </c>
      <c r="GB121">
        <v>2.98072</v>
      </c>
      <c r="GC121">
        <v>2.70612</v>
      </c>
      <c r="GD121">
        <v>0.16231</v>
      </c>
      <c r="GE121">
        <v>0.162076</v>
      </c>
      <c r="GF121">
        <v>0.0869009</v>
      </c>
      <c r="GG121">
        <v>0.0652823</v>
      </c>
      <c r="GH121">
        <v>26436.8</v>
      </c>
      <c r="GI121">
        <v>26502.8</v>
      </c>
      <c r="GJ121">
        <v>29345.2</v>
      </c>
      <c r="GK121">
        <v>29260.3</v>
      </c>
      <c r="GL121">
        <v>35481.8</v>
      </c>
      <c r="GM121">
        <v>36428.7</v>
      </c>
      <c r="GN121">
        <v>41304.8</v>
      </c>
      <c r="GO121">
        <v>41763.9</v>
      </c>
      <c r="GP121">
        <v>1.95677</v>
      </c>
      <c r="GQ121">
        <v>1.84915</v>
      </c>
      <c r="GR121">
        <v>-0.0237226</v>
      </c>
      <c r="GS121">
        <v>0</v>
      </c>
      <c r="GT121">
        <v>25.4011</v>
      </c>
      <c r="GU121">
        <v>999.9</v>
      </c>
      <c r="GV121">
        <v>31.8</v>
      </c>
      <c r="GW121">
        <v>34.3</v>
      </c>
      <c r="GX121">
        <v>19.2109</v>
      </c>
      <c r="GY121">
        <v>62.8675</v>
      </c>
      <c r="GZ121">
        <v>34.9079</v>
      </c>
      <c r="HA121">
        <v>1</v>
      </c>
      <c r="HB121">
        <v>0.105328</v>
      </c>
      <c r="HC121">
        <v>2.42292</v>
      </c>
      <c r="HD121">
        <v>20.3168</v>
      </c>
      <c r="HE121">
        <v>5.21834</v>
      </c>
      <c r="HF121">
        <v>12.0099</v>
      </c>
      <c r="HG121">
        <v>4.989</v>
      </c>
      <c r="HH121">
        <v>3.28855</v>
      </c>
      <c r="HI121">
        <v>996</v>
      </c>
      <c r="HJ121">
        <v>9537.799999999999</v>
      </c>
      <c r="HK121">
        <v>5139.4</v>
      </c>
      <c r="HL121">
        <v>24.9</v>
      </c>
      <c r="HM121">
        <v>1.86751</v>
      </c>
      <c r="HN121">
        <v>1.86646</v>
      </c>
      <c r="HO121">
        <v>1.86599</v>
      </c>
      <c r="HP121">
        <v>1.86585</v>
      </c>
      <c r="HQ121">
        <v>1.86768</v>
      </c>
      <c r="HR121">
        <v>1.87019</v>
      </c>
      <c r="HS121">
        <v>1.86886</v>
      </c>
      <c r="HT121">
        <v>1.87026</v>
      </c>
      <c r="HU121">
        <v>0</v>
      </c>
      <c r="HV121">
        <v>0</v>
      </c>
      <c r="HW121">
        <v>0</v>
      </c>
      <c r="HX121">
        <v>0</v>
      </c>
      <c r="HY121" t="s">
        <v>421</v>
      </c>
      <c r="HZ121" t="s">
        <v>422</v>
      </c>
      <c r="IA121" t="s">
        <v>423</v>
      </c>
      <c r="IB121" t="s">
        <v>423</v>
      </c>
      <c r="IC121" t="s">
        <v>423</v>
      </c>
      <c r="ID121" t="s">
        <v>423</v>
      </c>
      <c r="IE121">
        <v>0</v>
      </c>
      <c r="IF121">
        <v>100</v>
      </c>
      <c r="IG121">
        <v>100</v>
      </c>
      <c r="IH121">
        <v>-1.891</v>
      </c>
      <c r="II121">
        <v>0.0172</v>
      </c>
      <c r="IJ121">
        <v>-0.2164499368582429</v>
      </c>
      <c r="IK121">
        <v>-0.002077099775823331</v>
      </c>
      <c r="IL121">
        <v>4.593143279902166E-07</v>
      </c>
      <c r="IM121">
        <v>-1.865383991892071E-10</v>
      </c>
      <c r="IN121">
        <v>-0.06087574426827484</v>
      </c>
      <c r="IO121">
        <v>-0.01129461987421345</v>
      </c>
      <c r="IP121">
        <v>0.00116580895745559</v>
      </c>
      <c r="IQ121">
        <v>-1.679085872906199E-05</v>
      </c>
      <c r="IR121">
        <v>2</v>
      </c>
      <c r="IS121">
        <v>2290</v>
      </c>
      <c r="IT121">
        <v>0</v>
      </c>
      <c r="IU121">
        <v>32</v>
      </c>
      <c r="IV121">
        <v>6.1</v>
      </c>
      <c r="IW121">
        <v>5.8</v>
      </c>
      <c r="IX121">
        <v>1.94946</v>
      </c>
      <c r="IY121">
        <v>2.20337</v>
      </c>
      <c r="IZ121">
        <v>1.39648</v>
      </c>
      <c r="JA121">
        <v>2.35718</v>
      </c>
      <c r="JB121">
        <v>1.49536</v>
      </c>
      <c r="JC121">
        <v>2.30469</v>
      </c>
      <c r="JD121">
        <v>38.4524</v>
      </c>
      <c r="JE121">
        <v>24.035</v>
      </c>
      <c r="JF121">
        <v>18</v>
      </c>
      <c r="JG121">
        <v>511.798</v>
      </c>
      <c r="JH121">
        <v>428.213</v>
      </c>
      <c r="JI121">
        <v>22.2963</v>
      </c>
      <c r="JJ121">
        <v>28.656</v>
      </c>
      <c r="JK121">
        <v>30.0003</v>
      </c>
      <c r="JL121">
        <v>28.6203</v>
      </c>
      <c r="JM121">
        <v>28.5605</v>
      </c>
      <c r="JN121">
        <v>38.9796</v>
      </c>
      <c r="JO121">
        <v>34.0186</v>
      </c>
      <c r="JP121">
        <v>0</v>
      </c>
      <c r="JQ121">
        <v>22.293</v>
      </c>
      <c r="JR121">
        <v>915.527</v>
      </c>
      <c r="JS121">
        <v>12.6146</v>
      </c>
      <c r="JT121">
        <v>100.308</v>
      </c>
      <c r="JU121">
        <v>100.236</v>
      </c>
    </row>
    <row r="122" spans="1:281">
      <c r="A122">
        <v>106</v>
      </c>
      <c r="B122">
        <v>1651864610.1</v>
      </c>
      <c r="C122">
        <v>389.5</v>
      </c>
      <c r="D122" t="s">
        <v>632</v>
      </c>
      <c r="E122" t="s">
        <v>633</v>
      </c>
      <c r="F122">
        <v>2</v>
      </c>
      <c r="G122" t="s">
        <v>413</v>
      </c>
      <c r="H122" t="s">
        <v>414</v>
      </c>
      <c r="I122">
        <v>1651864609.1</v>
      </c>
      <c r="J122">
        <f>(K122)/1000</f>
        <v>0</v>
      </c>
      <c r="K122">
        <f>IF(CZ122, AN122, AH122)</f>
        <v>0</v>
      </c>
      <c r="L122">
        <f>IF(CZ122, AI122, AG122)</f>
        <v>0</v>
      </c>
      <c r="M122">
        <f>DB122 - IF(AU122&gt;1, L122*CV122*100.0/(AW122*DP122), 0)</f>
        <v>0</v>
      </c>
      <c r="N122">
        <f>((T122-J122/2)*M122-L122)/(T122+J122/2)</f>
        <v>0</v>
      </c>
      <c r="O122">
        <f>N122*(DI122+DJ122)/1000.0</f>
        <v>0</v>
      </c>
      <c r="P122">
        <f>(DB122 - IF(AU122&gt;1, L122*CV122*100.0/(AW122*DP122), 0))*(DI122+DJ122)/1000.0</f>
        <v>0</v>
      </c>
      <c r="Q122">
        <f>2.0/((1/S122-1/R122)+SIGN(S122)*SQRT((1/S122-1/R122)*(1/S122-1/R122) + 4*CW122/((CW122+1)*(CW122+1))*(2*1/S122*1/R122-1/R122*1/R122)))</f>
        <v>0</v>
      </c>
      <c r="R122">
        <f>IF(LEFT(CX122,1)&lt;&gt;"0",IF(LEFT(CX122,1)="1",3.0,CY122),$D$5+$E$5*(DP122*DI122/($K$5*1000))+$F$5*(DP122*DI122/($K$5*1000))*MAX(MIN(CV122,$J$5),$I$5)*MAX(MIN(CV122,$J$5),$I$5)+$G$5*MAX(MIN(CV122,$J$5),$I$5)*(DP122*DI122/($K$5*1000))+$H$5*(DP122*DI122/($K$5*1000))*(DP122*DI122/($K$5*1000)))</f>
        <v>0</v>
      </c>
      <c r="S122">
        <f>J122*(1000-(1000*0.61365*exp(17.502*W122/(240.97+W122))/(DI122+DJ122)+DD122)/2)/(1000*0.61365*exp(17.502*W122/(240.97+W122))/(DI122+DJ122)-DD122)</f>
        <v>0</v>
      </c>
      <c r="T122">
        <f>1/((CW122+1)/(Q122/1.6)+1/(R122/1.37)) + CW122/((CW122+1)/(Q122/1.6) + CW122/(R122/1.37))</f>
        <v>0</v>
      </c>
      <c r="U122">
        <f>(CR122*CU122)</f>
        <v>0</v>
      </c>
      <c r="V122">
        <f>(DK122+(U122+2*0.95*5.67E-8*(((DK122+$B$7)+273)^4-(DK122+273)^4)-44100*J122)/(1.84*29.3*R122+8*0.95*5.67E-8*(DK122+273)^3))</f>
        <v>0</v>
      </c>
      <c r="W122">
        <f>($C$7*DL122+$D$7*DM122+$E$7*V122)</f>
        <v>0</v>
      </c>
      <c r="X122">
        <f>0.61365*exp(17.502*W122/(240.97+W122))</f>
        <v>0</v>
      </c>
      <c r="Y122">
        <f>(Z122/AA122*100)</f>
        <v>0</v>
      </c>
      <c r="Z122">
        <f>DD122*(DI122+DJ122)/1000</f>
        <v>0</v>
      </c>
      <c r="AA122">
        <f>0.61365*exp(17.502*DK122/(240.97+DK122))</f>
        <v>0</v>
      </c>
      <c r="AB122">
        <f>(X122-DD122*(DI122+DJ122)/1000)</f>
        <v>0</v>
      </c>
      <c r="AC122">
        <f>(-J122*44100)</f>
        <v>0</v>
      </c>
      <c r="AD122">
        <f>2*29.3*R122*0.92*(DK122-W122)</f>
        <v>0</v>
      </c>
      <c r="AE122">
        <f>2*0.95*5.67E-8*(((DK122+$B$7)+273)^4-(W122+273)^4)</f>
        <v>0</v>
      </c>
      <c r="AF122">
        <f>U122+AE122+AC122+AD122</f>
        <v>0</v>
      </c>
      <c r="AG122">
        <f>DH122*AU122*(DC122-DB122*(1000-AU122*DE122)/(1000-AU122*DD122))/(100*CV122)</f>
        <v>0</v>
      </c>
      <c r="AH122">
        <f>1000*DH122*AU122*(DD122-DE122)/(100*CV122*(1000-AU122*DD122))</f>
        <v>0</v>
      </c>
      <c r="AI122">
        <f>(AJ122 - AK122 - DI122*1E3/(8.314*(DK122+273.15)) * AM122/DH122 * AL122) * DH122/(100*CV122) * (1000 - DE122)/1000</f>
        <v>0</v>
      </c>
      <c r="AJ122">
        <v>951.0560853805874</v>
      </c>
      <c r="AK122">
        <v>934.2953212121209</v>
      </c>
      <c r="AL122">
        <v>-3.330900677998123</v>
      </c>
      <c r="AM122">
        <v>66.38192812717227</v>
      </c>
      <c r="AN122">
        <f>(AP122 - AO122 + DI122*1E3/(8.314*(DK122+273.15)) * AR122/DH122 * AQ122) * DH122/(100*CV122) * 1000/(1000 - AP122)</f>
        <v>0</v>
      </c>
      <c r="AO122">
        <v>12.43120036986729</v>
      </c>
      <c r="AP122">
        <v>18.12590852941176</v>
      </c>
      <c r="AQ122">
        <v>1.961254161157136E-05</v>
      </c>
      <c r="AR122">
        <v>80.47224507511959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MAX(0,($B$13+$C$13*DP122)/(1+$D$13*DP122)*DI122/(DK122+273)*$E$13)</f>
        <v>0</v>
      </c>
      <c r="AX122" t="s">
        <v>417</v>
      </c>
      <c r="AY122" t="s">
        <v>417</v>
      </c>
      <c r="AZ122">
        <v>0</v>
      </c>
      <c r="BA122">
        <v>0</v>
      </c>
      <c r="BB122">
        <f>1-AZ122/BA122</f>
        <v>0</v>
      </c>
      <c r="BC122">
        <v>0</v>
      </c>
      <c r="BD122" t="s">
        <v>417</v>
      </c>
      <c r="BE122" t="s">
        <v>417</v>
      </c>
      <c r="BF122">
        <v>0</v>
      </c>
      <c r="BG122">
        <v>0</v>
      </c>
      <c r="BH122">
        <f>1-BF122/BG122</f>
        <v>0</v>
      </c>
      <c r="BI122">
        <v>0.5</v>
      </c>
      <c r="BJ122">
        <f>CS122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417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1248</v>
      </c>
      <c r="CA122">
        <v>300</v>
      </c>
      <c r="CB122">
        <v>300</v>
      </c>
      <c r="CC122">
        <v>300</v>
      </c>
      <c r="CD122">
        <v>10442</v>
      </c>
      <c r="CE122">
        <v>1293.69</v>
      </c>
      <c r="CF122">
        <v>-0.00735246</v>
      </c>
      <c r="CG122">
        <v>0.5</v>
      </c>
      <c r="CH122" t="s">
        <v>417</v>
      </c>
      <c r="CI122" t="s">
        <v>417</v>
      </c>
      <c r="CJ122" t="s">
        <v>417</v>
      </c>
      <c r="CK122" t="s">
        <v>417</v>
      </c>
      <c r="CL122" t="s">
        <v>417</v>
      </c>
      <c r="CM122" t="s">
        <v>417</v>
      </c>
      <c r="CN122" t="s">
        <v>417</v>
      </c>
      <c r="CO122" t="s">
        <v>417</v>
      </c>
      <c r="CP122" t="s">
        <v>417</v>
      </c>
      <c r="CQ122" t="s">
        <v>417</v>
      </c>
      <c r="CR122">
        <f>$B$11*DQ122+$C$11*DR122+$F$11*EC122*(1-EF122)</f>
        <v>0</v>
      </c>
      <c r="CS122">
        <f>CR122*CT122</f>
        <v>0</v>
      </c>
      <c r="CT122">
        <f>($B$11*$D$9+$C$11*$D$9+$F$11*((EP122+EH122)/MAX(EP122+EH122+EQ122, 0.1)*$I$9+EQ122/MAX(EP122+EH122+EQ122, 0.1)*$J$9))/($B$11+$C$11+$F$11)</f>
        <v>0</v>
      </c>
      <c r="CU122">
        <f>($B$11*$K$9+$C$11*$K$9+$F$11*((EP122+EH122)/MAX(EP122+EH122+EQ122, 0.1)*$P$9+EQ122/MAX(EP122+EH122+EQ122, 0.1)*$Q$9))/($B$11+$C$11+$F$11)</f>
        <v>0</v>
      </c>
      <c r="CV122">
        <v>6</v>
      </c>
      <c r="CW122">
        <v>0.5</v>
      </c>
      <c r="CX122" t="s">
        <v>418</v>
      </c>
      <c r="CY122">
        <v>2</v>
      </c>
      <c r="CZ122" t="b">
        <v>1</v>
      </c>
      <c r="DA122">
        <v>1651864609.1</v>
      </c>
      <c r="DB122">
        <v>919.003</v>
      </c>
      <c r="DC122">
        <v>933.1563333333334</v>
      </c>
      <c r="DD122">
        <v>18.1257</v>
      </c>
      <c r="DE122">
        <v>12.47783333333333</v>
      </c>
      <c r="DF122">
        <v>920.8883333333333</v>
      </c>
      <c r="DG122">
        <v>18.1085</v>
      </c>
      <c r="DH122">
        <v>500.0196666666666</v>
      </c>
      <c r="DI122">
        <v>89.93173333333334</v>
      </c>
      <c r="DJ122">
        <v>0.1000696666666667</v>
      </c>
      <c r="DK122">
        <v>25.6986</v>
      </c>
      <c r="DL122">
        <v>25.01273333333333</v>
      </c>
      <c r="DM122">
        <v>999.9</v>
      </c>
      <c r="DN122">
        <v>0</v>
      </c>
      <c r="DO122">
        <v>0</v>
      </c>
      <c r="DP122">
        <v>9997.466666666667</v>
      </c>
      <c r="DQ122">
        <v>0</v>
      </c>
      <c r="DR122">
        <v>3.23193</v>
      </c>
      <c r="DS122">
        <v>-14.15306666666667</v>
      </c>
      <c r="DT122">
        <v>935.968</v>
      </c>
      <c r="DU122">
        <v>944.9470000000001</v>
      </c>
      <c r="DV122">
        <v>5.647860000000001</v>
      </c>
      <c r="DW122">
        <v>933.1563333333334</v>
      </c>
      <c r="DX122">
        <v>12.47783333333333</v>
      </c>
      <c r="DY122">
        <v>1.630073333333333</v>
      </c>
      <c r="DZ122">
        <v>1.122153333333333</v>
      </c>
      <c r="EA122">
        <v>14.2461</v>
      </c>
      <c r="EB122">
        <v>8.606996666666666</v>
      </c>
      <c r="EC122">
        <v>1499.993333333333</v>
      </c>
      <c r="ED122">
        <v>0.973007</v>
      </c>
      <c r="EE122">
        <v>0.0269931</v>
      </c>
      <c r="EF122">
        <v>0</v>
      </c>
      <c r="EG122">
        <v>922.1726666666667</v>
      </c>
      <c r="EH122">
        <v>5.00097</v>
      </c>
      <c r="EI122">
        <v>13699.56666666667</v>
      </c>
      <c r="EJ122">
        <v>12491.53333333333</v>
      </c>
      <c r="EK122">
        <v>37.25</v>
      </c>
      <c r="EL122">
        <v>38.75</v>
      </c>
      <c r="EM122">
        <v>37.625</v>
      </c>
      <c r="EN122">
        <v>38.437</v>
      </c>
      <c r="EO122">
        <v>38.125</v>
      </c>
      <c r="EP122">
        <v>1454.633333333333</v>
      </c>
      <c r="EQ122">
        <v>40.35</v>
      </c>
      <c r="ER122">
        <v>0</v>
      </c>
      <c r="ES122">
        <v>388.7999999523163</v>
      </c>
      <c r="ET122">
        <v>0</v>
      </c>
      <c r="EU122">
        <v>924.7668461538462</v>
      </c>
      <c r="EV122">
        <v>-21.03076923018529</v>
      </c>
      <c r="EW122">
        <v>-313.3025641160645</v>
      </c>
      <c r="EX122">
        <v>13734.61153846154</v>
      </c>
      <c r="EY122">
        <v>15</v>
      </c>
      <c r="EZ122">
        <v>1651864261.1</v>
      </c>
      <c r="FA122" t="s">
        <v>419</v>
      </c>
      <c r="FB122">
        <v>1651864241.6</v>
      </c>
      <c r="FC122">
        <v>1651864261.1</v>
      </c>
      <c r="FD122">
        <v>7</v>
      </c>
      <c r="FE122">
        <v>0.438</v>
      </c>
      <c r="FF122">
        <v>0.002</v>
      </c>
      <c r="FG122">
        <v>-0.988</v>
      </c>
      <c r="FH122">
        <v>-0.066</v>
      </c>
      <c r="FI122">
        <v>400</v>
      </c>
      <c r="FJ122">
        <v>11</v>
      </c>
      <c r="FK122">
        <v>0.05</v>
      </c>
      <c r="FL122">
        <v>0.02</v>
      </c>
      <c r="FM122">
        <v>-15.30915365853658</v>
      </c>
      <c r="FN122">
        <v>7.193195121951227</v>
      </c>
      <c r="FO122">
        <v>0.7176854117867336</v>
      </c>
      <c r="FP122">
        <v>-1</v>
      </c>
      <c r="FQ122">
        <v>5.796751707317073</v>
      </c>
      <c r="FR122">
        <v>-0.9499563763066114</v>
      </c>
      <c r="FS122">
        <v>0.09407673743467808</v>
      </c>
      <c r="FT122">
        <v>-1</v>
      </c>
      <c r="FU122">
        <v>0</v>
      </c>
      <c r="FV122">
        <v>0</v>
      </c>
      <c r="FW122">
        <v>0</v>
      </c>
      <c r="FX122">
        <v>-1</v>
      </c>
      <c r="FY122">
        <v>0</v>
      </c>
      <c r="FZ122">
        <v>0</v>
      </c>
      <c r="GA122" t="s">
        <v>420</v>
      </c>
      <c r="GB122">
        <v>2.98047</v>
      </c>
      <c r="GC122">
        <v>2.70614</v>
      </c>
      <c r="GD122">
        <v>0.161556</v>
      </c>
      <c r="GE122">
        <v>0.161303</v>
      </c>
      <c r="GF122">
        <v>0.08688990000000001</v>
      </c>
      <c r="GG122">
        <v>0.0654077</v>
      </c>
      <c r="GH122">
        <v>26460.8</v>
      </c>
      <c r="GI122">
        <v>26527.1</v>
      </c>
      <c r="GJ122">
        <v>29345.4</v>
      </c>
      <c r="GK122">
        <v>29260.1</v>
      </c>
      <c r="GL122">
        <v>35482.4</v>
      </c>
      <c r="GM122">
        <v>36423.5</v>
      </c>
      <c r="GN122">
        <v>41305</v>
      </c>
      <c r="GO122">
        <v>41763.5</v>
      </c>
      <c r="GP122">
        <v>1.95675</v>
      </c>
      <c r="GQ122">
        <v>1.84907</v>
      </c>
      <c r="GR122">
        <v>-0.0235923</v>
      </c>
      <c r="GS122">
        <v>0</v>
      </c>
      <c r="GT122">
        <v>25.4</v>
      </c>
      <c r="GU122">
        <v>999.9</v>
      </c>
      <c r="GV122">
        <v>31.8</v>
      </c>
      <c r="GW122">
        <v>34.3</v>
      </c>
      <c r="GX122">
        <v>19.2134</v>
      </c>
      <c r="GY122">
        <v>62.4875</v>
      </c>
      <c r="GZ122">
        <v>35.2644</v>
      </c>
      <c r="HA122">
        <v>1</v>
      </c>
      <c r="HB122">
        <v>0.105455</v>
      </c>
      <c r="HC122">
        <v>2.4081</v>
      </c>
      <c r="HD122">
        <v>20.3171</v>
      </c>
      <c r="HE122">
        <v>5.21879</v>
      </c>
      <c r="HF122">
        <v>12.0099</v>
      </c>
      <c r="HG122">
        <v>4.98895</v>
      </c>
      <c r="HH122">
        <v>3.28865</v>
      </c>
      <c r="HI122">
        <v>996</v>
      </c>
      <c r="HJ122">
        <v>9537.799999999999</v>
      </c>
      <c r="HK122">
        <v>5139.4</v>
      </c>
      <c r="HL122">
        <v>24.9</v>
      </c>
      <c r="HM122">
        <v>1.8675</v>
      </c>
      <c r="HN122">
        <v>1.86646</v>
      </c>
      <c r="HO122">
        <v>1.866</v>
      </c>
      <c r="HP122">
        <v>1.86585</v>
      </c>
      <c r="HQ122">
        <v>1.86768</v>
      </c>
      <c r="HR122">
        <v>1.8702</v>
      </c>
      <c r="HS122">
        <v>1.86887</v>
      </c>
      <c r="HT122">
        <v>1.87024</v>
      </c>
      <c r="HU122">
        <v>0</v>
      </c>
      <c r="HV122">
        <v>0</v>
      </c>
      <c r="HW122">
        <v>0</v>
      </c>
      <c r="HX122">
        <v>0</v>
      </c>
      <c r="HY122" t="s">
        <v>421</v>
      </c>
      <c r="HZ122" t="s">
        <v>422</v>
      </c>
      <c r="IA122" t="s">
        <v>423</v>
      </c>
      <c r="IB122" t="s">
        <v>423</v>
      </c>
      <c r="IC122" t="s">
        <v>423</v>
      </c>
      <c r="ID122" t="s">
        <v>423</v>
      </c>
      <c r="IE122">
        <v>0</v>
      </c>
      <c r="IF122">
        <v>100</v>
      </c>
      <c r="IG122">
        <v>100</v>
      </c>
      <c r="IH122">
        <v>-1.879</v>
      </c>
      <c r="II122">
        <v>0.0172</v>
      </c>
      <c r="IJ122">
        <v>-0.2164499368582429</v>
      </c>
      <c r="IK122">
        <v>-0.002077099775823331</v>
      </c>
      <c r="IL122">
        <v>4.593143279902166E-07</v>
      </c>
      <c r="IM122">
        <v>-1.865383991892071E-10</v>
      </c>
      <c r="IN122">
        <v>-0.06087574426827484</v>
      </c>
      <c r="IO122">
        <v>-0.01129461987421345</v>
      </c>
      <c r="IP122">
        <v>0.00116580895745559</v>
      </c>
      <c r="IQ122">
        <v>-1.679085872906199E-05</v>
      </c>
      <c r="IR122">
        <v>2</v>
      </c>
      <c r="IS122">
        <v>2290</v>
      </c>
      <c r="IT122">
        <v>0</v>
      </c>
      <c r="IU122">
        <v>32</v>
      </c>
      <c r="IV122">
        <v>6.1</v>
      </c>
      <c r="IW122">
        <v>5.8</v>
      </c>
      <c r="IX122">
        <v>1.93848</v>
      </c>
      <c r="IY122">
        <v>2.20215</v>
      </c>
      <c r="IZ122">
        <v>1.39648</v>
      </c>
      <c r="JA122">
        <v>2.35596</v>
      </c>
      <c r="JB122">
        <v>1.49536</v>
      </c>
      <c r="JC122">
        <v>2.35229</v>
      </c>
      <c r="JD122">
        <v>38.4524</v>
      </c>
      <c r="JE122">
        <v>24.035</v>
      </c>
      <c r="JF122">
        <v>18</v>
      </c>
      <c r="JG122">
        <v>511.782</v>
      </c>
      <c r="JH122">
        <v>428.168</v>
      </c>
      <c r="JI122">
        <v>22.2898</v>
      </c>
      <c r="JJ122">
        <v>28.656</v>
      </c>
      <c r="JK122">
        <v>30.0003</v>
      </c>
      <c r="JL122">
        <v>28.6203</v>
      </c>
      <c r="JM122">
        <v>28.5605</v>
      </c>
      <c r="JN122">
        <v>38.7569</v>
      </c>
      <c r="JO122">
        <v>34.0186</v>
      </c>
      <c r="JP122">
        <v>0</v>
      </c>
      <c r="JQ122">
        <v>22.2804</v>
      </c>
      <c r="JR122">
        <v>908.83</v>
      </c>
      <c r="JS122">
        <v>12.6517</v>
      </c>
      <c r="JT122">
        <v>100.309</v>
      </c>
      <c r="JU122">
        <v>100.235</v>
      </c>
    </row>
    <row r="123" spans="1:281">
      <c r="A123">
        <v>107</v>
      </c>
      <c r="B123">
        <v>1651864612.1</v>
      </c>
      <c r="C123">
        <v>391.5</v>
      </c>
      <c r="D123" t="s">
        <v>634</v>
      </c>
      <c r="E123" t="s">
        <v>635</v>
      </c>
      <c r="F123">
        <v>2</v>
      </c>
      <c r="G123" t="s">
        <v>413</v>
      </c>
      <c r="H123" t="s">
        <v>414</v>
      </c>
      <c r="I123">
        <v>1651864610.725</v>
      </c>
      <c r="J123">
        <f>(K123)/1000</f>
        <v>0</v>
      </c>
      <c r="K123">
        <f>IF(CZ123, AN123, AH123)</f>
        <v>0</v>
      </c>
      <c r="L123">
        <f>IF(CZ123, AI123, AG123)</f>
        <v>0</v>
      </c>
      <c r="M123">
        <f>DB123 - IF(AU123&gt;1, L123*CV123*100.0/(AW123*DP123), 0)</f>
        <v>0</v>
      </c>
      <c r="N123">
        <f>((T123-J123/2)*M123-L123)/(T123+J123/2)</f>
        <v>0</v>
      </c>
      <c r="O123">
        <f>N123*(DI123+DJ123)/1000.0</f>
        <v>0</v>
      </c>
      <c r="P123">
        <f>(DB123 - IF(AU123&gt;1, L123*CV123*100.0/(AW123*DP123), 0))*(DI123+DJ123)/1000.0</f>
        <v>0</v>
      </c>
      <c r="Q123">
        <f>2.0/((1/S123-1/R123)+SIGN(S123)*SQRT((1/S123-1/R123)*(1/S123-1/R123) + 4*CW123/((CW123+1)*(CW123+1))*(2*1/S123*1/R123-1/R123*1/R123)))</f>
        <v>0</v>
      </c>
      <c r="R123">
        <f>IF(LEFT(CX123,1)&lt;&gt;"0",IF(LEFT(CX123,1)="1",3.0,CY123),$D$5+$E$5*(DP123*DI123/($K$5*1000))+$F$5*(DP123*DI123/($K$5*1000))*MAX(MIN(CV123,$J$5),$I$5)*MAX(MIN(CV123,$J$5),$I$5)+$G$5*MAX(MIN(CV123,$J$5),$I$5)*(DP123*DI123/($K$5*1000))+$H$5*(DP123*DI123/($K$5*1000))*(DP123*DI123/($K$5*1000)))</f>
        <v>0</v>
      </c>
      <c r="S123">
        <f>J123*(1000-(1000*0.61365*exp(17.502*W123/(240.97+W123))/(DI123+DJ123)+DD123)/2)/(1000*0.61365*exp(17.502*W123/(240.97+W123))/(DI123+DJ123)-DD123)</f>
        <v>0</v>
      </c>
      <c r="T123">
        <f>1/((CW123+1)/(Q123/1.6)+1/(R123/1.37)) + CW123/((CW123+1)/(Q123/1.6) + CW123/(R123/1.37))</f>
        <v>0</v>
      </c>
      <c r="U123">
        <f>(CR123*CU123)</f>
        <v>0</v>
      </c>
      <c r="V123">
        <f>(DK123+(U123+2*0.95*5.67E-8*(((DK123+$B$7)+273)^4-(DK123+273)^4)-44100*J123)/(1.84*29.3*R123+8*0.95*5.67E-8*(DK123+273)^3))</f>
        <v>0</v>
      </c>
      <c r="W123">
        <f>($C$7*DL123+$D$7*DM123+$E$7*V123)</f>
        <v>0</v>
      </c>
      <c r="X123">
        <f>0.61365*exp(17.502*W123/(240.97+W123))</f>
        <v>0</v>
      </c>
      <c r="Y123">
        <f>(Z123/AA123*100)</f>
        <v>0</v>
      </c>
      <c r="Z123">
        <f>DD123*(DI123+DJ123)/1000</f>
        <v>0</v>
      </c>
      <c r="AA123">
        <f>0.61365*exp(17.502*DK123/(240.97+DK123))</f>
        <v>0</v>
      </c>
      <c r="AB123">
        <f>(X123-DD123*(DI123+DJ123)/1000)</f>
        <v>0</v>
      </c>
      <c r="AC123">
        <f>(-J123*44100)</f>
        <v>0</v>
      </c>
      <c r="AD123">
        <f>2*29.3*R123*0.92*(DK123-W123)</f>
        <v>0</v>
      </c>
      <c r="AE123">
        <f>2*0.95*5.67E-8*(((DK123+$B$7)+273)^4-(W123+273)^4)</f>
        <v>0</v>
      </c>
      <c r="AF123">
        <f>U123+AE123+AC123+AD123</f>
        <v>0</v>
      </c>
      <c r="AG123">
        <f>DH123*AU123*(DC123-DB123*(1000-AU123*DE123)/(1000-AU123*DD123))/(100*CV123)</f>
        <v>0</v>
      </c>
      <c r="AH123">
        <f>1000*DH123*AU123*(DD123-DE123)/(100*CV123*(1000-AU123*DD123))</f>
        <v>0</v>
      </c>
      <c r="AI123">
        <f>(AJ123 - AK123 - DI123*1E3/(8.314*(DK123+273.15)) * AM123/DH123 * AL123) * DH123/(100*CV123) * (1000 - DE123)/1000</f>
        <v>0</v>
      </c>
      <c r="AJ123">
        <v>944.1577948150173</v>
      </c>
      <c r="AK123">
        <v>927.5685636363637</v>
      </c>
      <c r="AL123">
        <v>-3.355561279060906</v>
      </c>
      <c r="AM123">
        <v>66.38192812717227</v>
      </c>
      <c r="AN123">
        <f>(AP123 - AO123 + DI123*1E3/(8.314*(DK123+273.15)) * AR123/DH123 * AQ123) * DH123/(100*CV123) * 1000/(1000 - AP123)</f>
        <v>0</v>
      </c>
      <c r="AO123">
        <v>12.45654996528495</v>
      </c>
      <c r="AP123">
        <v>18.12058764705882</v>
      </c>
      <c r="AQ123">
        <v>3.239349365432667E-05</v>
      </c>
      <c r="AR123">
        <v>80.47224507511959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MAX(0,($B$13+$C$13*DP123)/(1+$D$13*DP123)*DI123/(DK123+273)*$E$13)</f>
        <v>0</v>
      </c>
      <c r="AX123" t="s">
        <v>417</v>
      </c>
      <c r="AY123" t="s">
        <v>417</v>
      </c>
      <c r="AZ123">
        <v>0</v>
      </c>
      <c r="BA123">
        <v>0</v>
      </c>
      <c r="BB123">
        <f>1-AZ123/BA123</f>
        <v>0</v>
      </c>
      <c r="BC123">
        <v>0</v>
      </c>
      <c r="BD123" t="s">
        <v>417</v>
      </c>
      <c r="BE123" t="s">
        <v>417</v>
      </c>
      <c r="BF123">
        <v>0</v>
      </c>
      <c r="BG123">
        <v>0</v>
      </c>
      <c r="BH123">
        <f>1-BF123/BG123</f>
        <v>0</v>
      </c>
      <c r="BI123">
        <v>0.5</v>
      </c>
      <c r="BJ123">
        <f>CS123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417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1248</v>
      </c>
      <c r="CA123">
        <v>300</v>
      </c>
      <c r="CB123">
        <v>300</v>
      </c>
      <c r="CC123">
        <v>300</v>
      </c>
      <c r="CD123">
        <v>10442</v>
      </c>
      <c r="CE123">
        <v>1293.69</v>
      </c>
      <c r="CF123">
        <v>-0.00735246</v>
      </c>
      <c r="CG123">
        <v>0.5</v>
      </c>
      <c r="CH123" t="s">
        <v>417</v>
      </c>
      <c r="CI123" t="s">
        <v>417</v>
      </c>
      <c r="CJ123" t="s">
        <v>417</v>
      </c>
      <c r="CK123" t="s">
        <v>417</v>
      </c>
      <c r="CL123" t="s">
        <v>417</v>
      </c>
      <c r="CM123" t="s">
        <v>417</v>
      </c>
      <c r="CN123" t="s">
        <v>417</v>
      </c>
      <c r="CO123" t="s">
        <v>417</v>
      </c>
      <c r="CP123" t="s">
        <v>417</v>
      </c>
      <c r="CQ123" t="s">
        <v>417</v>
      </c>
      <c r="CR123">
        <f>$B$11*DQ123+$C$11*DR123+$F$11*EC123*(1-EF123)</f>
        <v>0</v>
      </c>
      <c r="CS123">
        <f>CR123*CT123</f>
        <v>0</v>
      </c>
      <c r="CT123">
        <f>($B$11*$D$9+$C$11*$D$9+$F$11*((EP123+EH123)/MAX(EP123+EH123+EQ123, 0.1)*$I$9+EQ123/MAX(EP123+EH123+EQ123, 0.1)*$J$9))/($B$11+$C$11+$F$11)</f>
        <v>0</v>
      </c>
      <c r="CU123">
        <f>($B$11*$K$9+$C$11*$K$9+$F$11*((EP123+EH123)/MAX(EP123+EH123+EQ123, 0.1)*$P$9+EQ123/MAX(EP123+EH123+EQ123, 0.1)*$Q$9))/($B$11+$C$11+$F$11)</f>
        <v>0</v>
      </c>
      <c r="CV123">
        <v>6</v>
      </c>
      <c r="CW123">
        <v>0.5</v>
      </c>
      <c r="CX123" t="s">
        <v>418</v>
      </c>
      <c r="CY123">
        <v>2</v>
      </c>
      <c r="CZ123" t="b">
        <v>1</v>
      </c>
      <c r="DA123">
        <v>1651864610.725</v>
      </c>
      <c r="DB123">
        <v>913.65275</v>
      </c>
      <c r="DC123">
        <v>927.5930000000001</v>
      </c>
      <c r="DD123">
        <v>18.1225</v>
      </c>
      <c r="DE123">
        <v>12.50735</v>
      </c>
      <c r="DF123">
        <v>915.5287500000001</v>
      </c>
      <c r="DG123">
        <v>18.105325</v>
      </c>
      <c r="DH123">
        <v>500.0305</v>
      </c>
      <c r="DI123">
        <v>89.93277499999999</v>
      </c>
      <c r="DJ123">
        <v>0.09995055</v>
      </c>
      <c r="DK123">
        <v>25.696925</v>
      </c>
      <c r="DL123">
        <v>25.01175</v>
      </c>
      <c r="DM123">
        <v>999.9</v>
      </c>
      <c r="DN123">
        <v>0</v>
      </c>
      <c r="DO123">
        <v>0</v>
      </c>
      <c r="DP123">
        <v>10004.05</v>
      </c>
      <c r="DQ123">
        <v>0</v>
      </c>
      <c r="DR123">
        <v>3.23193</v>
      </c>
      <c r="DS123">
        <v>-13.9404</v>
      </c>
      <c r="DT123">
        <v>930.51575</v>
      </c>
      <c r="DU123">
        <v>939.3417499999999</v>
      </c>
      <c r="DV123">
        <v>5.615097500000001</v>
      </c>
      <c r="DW123">
        <v>927.5930000000001</v>
      </c>
      <c r="DX123">
        <v>12.50735</v>
      </c>
      <c r="DY123">
        <v>1.6298025</v>
      </c>
      <c r="DZ123">
        <v>1.12482</v>
      </c>
      <c r="EA123">
        <v>14.243525</v>
      </c>
      <c r="EB123">
        <v>8.642077499999999</v>
      </c>
      <c r="EC123">
        <v>1499.99</v>
      </c>
      <c r="ED123">
        <v>0.973007</v>
      </c>
      <c r="EE123">
        <v>0.0269931</v>
      </c>
      <c r="EF123">
        <v>0</v>
      </c>
      <c r="EG123">
        <v>921.82575</v>
      </c>
      <c r="EH123">
        <v>5.00097</v>
      </c>
      <c r="EI123">
        <v>13691.275</v>
      </c>
      <c r="EJ123">
        <v>12491.5</v>
      </c>
      <c r="EK123">
        <v>37.25</v>
      </c>
      <c r="EL123">
        <v>38.70274999999999</v>
      </c>
      <c r="EM123">
        <v>37.625</v>
      </c>
      <c r="EN123">
        <v>38.437</v>
      </c>
      <c r="EO123">
        <v>38.125</v>
      </c>
      <c r="EP123">
        <v>1454.63</v>
      </c>
      <c r="EQ123">
        <v>40.35</v>
      </c>
      <c r="ER123">
        <v>0</v>
      </c>
      <c r="ES123">
        <v>391.2000000476837</v>
      </c>
      <c r="ET123">
        <v>0</v>
      </c>
      <c r="EU123">
        <v>923.9250384615384</v>
      </c>
      <c r="EV123">
        <v>-20.53617090557402</v>
      </c>
      <c r="EW123">
        <v>-315.8358970195009</v>
      </c>
      <c r="EX123">
        <v>13722.04615384615</v>
      </c>
      <c r="EY123">
        <v>15</v>
      </c>
      <c r="EZ123">
        <v>1651864261.1</v>
      </c>
      <c r="FA123" t="s">
        <v>419</v>
      </c>
      <c r="FB123">
        <v>1651864241.6</v>
      </c>
      <c r="FC123">
        <v>1651864261.1</v>
      </c>
      <c r="FD123">
        <v>7</v>
      </c>
      <c r="FE123">
        <v>0.438</v>
      </c>
      <c r="FF123">
        <v>0.002</v>
      </c>
      <c r="FG123">
        <v>-0.988</v>
      </c>
      <c r="FH123">
        <v>-0.066</v>
      </c>
      <c r="FI123">
        <v>400</v>
      </c>
      <c r="FJ123">
        <v>11</v>
      </c>
      <c r="FK123">
        <v>0.05</v>
      </c>
      <c r="FL123">
        <v>0.02</v>
      </c>
      <c r="FM123">
        <v>-15.19826585365854</v>
      </c>
      <c r="FN123">
        <v>7.397774216027837</v>
      </c>
      <c r="FO123">
        <v>0.7358246843855545</v>
      </c>
      <c r="FP123">
        <v>-1</v>
      </c>
      <c r="FQ123">
        <v>5.780670243902438</v>
      </c>
      <c r="FR123">
        <v>-0.9510620905923268</v>
      </c>
      <c r="FS123">
        <v>0.09418626272077243</v>
      </c>
      <c r="FT123">
        <v>-1</v>
      </c>
      <c r="FU123">
        <v>0</v>
      </c>
      <c r="FV123">
        <v>0</v>
      </c>
      <c r="FW123">
        <v>0</v>
      </c>
      <c r="FX123">
        <v>-1</v>
      </c>
      <c r="FY123">
        <v>0</v>
      </c>
      <c r="FZ123">
        <v>0</v>
      </c>
      <c r="GA123" t="s">
        <v>420</v>
      </c>
      <c r="GB123">
        <v>2.98042</v>
      </c>
      <c r="GC123">
        <v>2.70603</v>
      </c>
      <c r="GD123">
        <v>0.160795</v>
      </c>
      <c r="GE123">
        <v>0.160536</v>
      </c>
      <c r="GF123">
        <v>0.08688120000000001</v>
      </c>
      <c r="GG123">
        <v>0.06555950000000001</v>
      </c>
      <c r="GH123">
        <v>26485.1</v>
      </c>
      <c r="GI123">
        <v>26551.4</v>
      </c>
      <c r="GJ123">
        <v>29345.7</v>
      </c>
      <c r="GK123">
        <v>29260.2</v>
      </c>
      <c r="GL123">
        <v>35483.2</v>
      </c>
      <c r="GM123">
        <v>36417.5</v>
      </c>
      <c r="GN123">
        <v>41305.6</v>
      </c>
      <c r="GO123">
        <v>41763.5</v>
      </c>
      <c r="GP123">
        <v>1.95658</v>
      </c>
      <c r="GQ123">
        <v>1.84892</v>
      </c>
      <c r="GR123">
        <v>-0.0234582</v>
      </c>
      <c r="GS123">
        <v>0</v>
      </c>
      <c r="GT123">
        <v>25.3984</v>
      </c>
      <c r="GU123">
        <v>999.9</v>
      </c>
      <c r="GV123">
        <v>31.8</v>
      </c>
      <c r="GW123">
        <v>34.3</v>
      </c>
      <c r="GX123">
        <v>19.2106</v>
      </c>
      <c r="GY123">
        <v>62.2875</v>
      </c>
      <c r="GZ123">
        <v>34.8317</v>
      </c>
      <c r="HA123">
        <v>1</v>
      </c>
      <c r="HB123">
        <v>0.10562</v>
      </c>
      <c r="HC123">
        <v>2.41161</v>
      </c>
      <c r="HD123">
        <v>20.317</v>
      </c>
      <c r="HE123">
        <v>5.21834</v>
      </c>
      <c r="HF123">
        <v>12.0099</v>
      </c>
      <c r="HG123">
        <v>4.98875</v>
      </c>
      <c r="HH123">
        <v>3.28865</v>
      </c>
      <c r="HI123">
        <v>996</v>
      </c>
      <c r="HJ123">
        <v>9537.799999999999</v>
      </c>
      <c r="HK123">
        <v>5139.4</v>
      </c>
      <c r="HL123">
        <v>24.9</v>
      </c>
      <c r="HM123">
        <v>1.8675</v>
      </c>
      <c r="HN123">
        <v>1.86646</v>
      </c>
      <c r="HO123">
        <v>1.866</v>
      </c>
      <c r="HP123">
        <v>1.86585</v>
      </c>
      <c r="HQ123">
        <v>1.86769</v>
      </c>
      <c r="HR123">
        <v>1.8702</v>
      </c>
      <c r="HS123">
        <v>1.86888</v>
      </c>
      <c r="HT123">
        <v>1.87024</v>
      </c>
      <c r="HU123">
        <v>0</v>
      </c>
      <c r="HV123">
        <v>0</v>
      </c>
      <c r="HW123">
        <v>0</v>
      </c>
      <c r="HX123">
        <v>0</v>
      </c>
      <c r="HY123" t="s">
        <v>421</v>
      </c>
      <c r="HZ123" t="s">
        <v>422</v>
      </c>
      <c r="IA123" t="s">
        <v>423</v>
      </c>
      <c r="IB123" t="s">
        <v>423</v>
      </c>
      <c r="IC123" t="s">
        <v>423</v>
      </c>
      <c r="ID123" t="s">
        <v>423</v>
      </c>
      <c r="IE123">
        <v>0</v>
      </c>
      <c r="IF123">
        <v>100</v>
      </c>
      <c r="IG123">
        <v>100</v>
      </c>
      <c r="IH123">
        <v>-1.869</v>
      </c>
      <c r="II123">
        <v>0.0171</v>
      </c>
      <c r="IJ123">
        <v>-0.2164499368582429</v>
      </c>
      <c r="IK123">
        <v>-0.002077099775823331</v>
      </c>
      <c r="IL123">
        <v>4.593143279902166E-07</v>
      </c>
      <c r="IM123">
        <v>-1.865383991892071E-10</v>
      </c>
      <c r="IN123">
        <v>-0.06087574426827484</v>
      </c>
      <c r="IO123">
        <v>-0.01129461987421345</v>
      </c>
      <c r="IP123">
        <v>0.00116580895745559</v>
      </c>
      <c r="IQ123">
        <v>-1.679085872906199E-05</v>
      </c>
      <c r="IR123">
        <v>2</v>
      </c>
      <c r="IS123">
        <v>2290</v>
      </c>
      <c r="IT123">
        <v>0</v>
      </c>
      <c r="IU123">
        <v>32</v>
      </c>
      <c r="IV123">
        <v>6.2</v>
      </c>
      <c r="IW123">
        <v>5.8</v>
      </c>
      <c r="IX123">
        <v>1.92749</v>
      </c>
      <c r="IY123">
        <v>2.21069</v>
      </c>
      <c r="IZ123">
        <v>1.39648</v>
      </c>
      <c r="JA123">
        <v>2.35596</v>
      </c>
      <c r="JB123">
        <v>1.49536</v>
      </c>
      <c r="JC123">
        <v>2.34497</v>
      </c>
      <c r="JD123">
        <v>38.4524</v>
      </c>
      <c r="JE123">
        <v>24.035</v>
      </c>
      <c r="JF123">
        <v>18</v>
      </c>
      <c r="JG123">
        <v>511.673</v>
      </c>
      <c r="JH123">
        <v>428.079</v>
      </c>
      <c r="JI123">
        <v>22.2841</v>
      </c>
      <c r="JJ123">
        <v>28.656</v>
      </c>
      <c r="JK123">
        <v>30.0002</v>
      </c>
      <c r="JL123">
        <v>28.621</v>
      </c>
      <c r="JM123">
        <v>28.5605</v>
      </c>
      <c r="JN123">
        <v>38.5269</v>
      </c>
      <c r="JO123">
        <v>33.7216</v>
      </c>
      <c r="JP123">
        <v>0</v>
      </c>
      <c r="JQ123">
        <v>22.2804</v>
      </c>
      <c r="JR123">
        <v>902.134</v>
      </c>
      <c r="JS123">
        <v>12.6805</v>
      </c>
      <c r="JT123">
        <v>100.31</v>
      </c>
      <c r="JU123">
        <v>100.235</v>
      </c>
    </row>
    <row r="124" spans="1:281">
      <c r="A124">
        <v>108</v>
      </c>
      <c r="B124">
        <v>1651864614.1</v>
      </c>
      <c r="C124">
        <v>393.5</v>
      </c>
      <c r="D124" t="s">
        <v>636</v>
      </c>
      <c r="E124" t="s">
        <v>637</v>
      </c>
      <c r="F124">
        <v>2</v>
      </c>
      <c r="G124" t="s">
        <v>413</v>
      </c>
      <c r="H124" t="s">
        <v>414</v>
      </c>
      <c r="I124">
        <v>1651864613.1</v>
      </c>
      <c r="J124">
        <f>(K124)/1000</f>
        <v>0</v>
      </c>
      <c r="K124">
        <f>IF(CZ124, AN124, AH124)</f>
        <v>0</v>
      </c>
      <c r="L124">
        <f>IF(CZ124, AI124, AG124)</f>
        <v>0</v>
      </c>
      <c r="M124">
        <f>DB124 - IF(AU124&gt;1, L124*CV124*100.0/(AW124*DP124), 0)</f>
        <v>0</v>
      </c>
      <c r="N124">
        <f>((T124-J124/2)*M124-L124)/(T124+J124/2)</f>
        <v>0</v>
      </c>
      <c r="O124">
        <f>N124*(DI124+DJ124)/1000.0</f>
        <v>0</v>
      </c>
      <c r="P124">
        <f>(DB124 - IF(AU124&gt;1, L124*CV124*100.0/(AW124*DP124), 0))*(DI124+DJ124)/1000.0</f>
        <v>0</v>
      </c>
      <c r="Q124">
        <f>2.0/((1/S124-1/R124)+SIGN(S124)*SQRT((1/S124-1/R124)*(1/S124-1/R124) + 4*CW124/((CW124+1)*(CW124+1))*(2*1/S124*1/R124-1/R124*1/R124)))</f>
        <v>0</v>
      </c>
      <c r="R124">
        <f>IF(LEFT(CX124,1)&lt;&gt;"0",IF(LEFT(CX124,1)="1",3.0,CY124),$D$5+$E$5*(DP124*DI124/($K$5*1000))+$F$5*(DP124*DI124/($K$5*1000))*MAX(MIN(CV124,$J$5),$I$5)*MAX(MIN(CV124,$J$5),$I$5)+$G$5*MAX(MIN(CV124,$J$5),$I$5)*(DP124*DI124/($K$5*1000))+$H$5*(DP124*DI124/($K$5*1000))*(DP124*DI124/($K$5*1000)))</f>
        <v>0</v>
      </c>
      <c r="S124">
        <f>J124*(1000-(1000*0.61365*exp(17.502*W124/(240.97+W124))/(DI124+DJ124)+DD124)/2)/(1000*0.61365*exp(17.502*W124/(240.97+W124))/(DI124+DJ124)-DD124)</f>
        <v>0</v>
      </c>
      <c r="T124">
        <f>1/((CW124+1)/(Q124/1.6)+1/(R124/1.37)) + CW124/((CW124+1)/(Q124/1.6) + CW124/(R124/1.37))</f>
        <v>0</v>
      </c>
      <c r="U124">
        <f>(CR124*CU124)</f>
        <v>0</v>
      </c>
      <c r="V124">
        <f>(DK124+(U124+2*0.95*5.67E-8*(((DK124+$B$7)+273)^4-(DK124+273)^4)-44100*J124)/(1.84*29.3*R124+8*0.95*5.67E-8*(DK124+273)^3))</f>
        <v>0</v>
      </c>
      <c r="W124">
        <f>($C$7*DL124+$D$7*DM124+$E$7*V124)</f>
        <v>0</v>
      </c>
      <c r="X124">
        <f>0.61365*exp(17.502*W124/(240.97+W124))</f>
        <v>0</v>
      </c>
      <c r="Y124">
        <f>(Z124/AA124*100)</f>
        <v>0</v>
      </c>
      <c r="Z124">
        <f>DD124*(DI124+DJ124)/1000</f>
        <v>0</v>
      </c>
      <c r="AA124">
        <f>0.61365*exp(17.502*DK124/(240.97+DK124))</f>
        <v>0</v>
      </c>
      <c r="AB124">
        <f>(X124-DD124*(DI124+DJ124)/1000)</f>
        <v>0</v>
      </c>
      <c r="AC124">
        <f>(-J124*44100)</f>
        <v>0</v>
      </c>
      <c r="AD124">
        <f>2*29.3*R124*0.92*(DK124-W124)</f>
        <v>0</v>
      </c>
      <c r="AE124">
        <f>2*0.95*5.67E-8*(((DK124+$B$7)+273)^4-(W124+273)^4)</f>
        <v>0</v>
      </c>
      <c r="AF124">
        <f>U124+AE124+AC124+AD124</f>
        <v>0</v>
      </c>
      <c r="AG124">
        <f>DH124*AU124*(DC124-DB124*(1000-AU124*DE124)/(1000-AU124*DD124))/(100*CV124)</f>
        <v>0</v>
      </c>
      <c r="AH124">
        <f>1000*DH124*AU124*(DD124-DE124)/(100*CV124*(1000-AU124*DD124))</f>
        <v>0</v>
      </c>
      <c r="AI124">
        <f>(AJ124 - AK124 - DI124*1E3/(8.314*(DK124+273.15)) * AM124/DH124 * AL124) * DH124/(100*CV124) * (1000 - DE124)/1000</f>
        <v>0</v>
      </c>
      <c r="AJ124">
        <v>937.2693390490485</v>
      </c>
      <c r="AK124">
        <v>920.8046424242425</v>
      </c>
      <c r="AL124">
        <v>-3.37619632580068</v>
      </c>
      <c r="AM124">
        <v>66.38192812717227</v>
      </c>
      <c r="AN124">
        <f>(AP124 - AO124 + DI124*1E3/(8.314*(DK124+273.15)) * AR124/DH124 * AQ124) * DH124/(100*CV124) * 1000/(1000 - AP124)</f>
        <v>0</v>
      </c>
      <c r="AO124">
        <v>12.48676239677483</v>
      </c>
      <c r="AP124">
        <v>18.12044147058823</v>
      </c>
      <c r="AQ124">
        <v>-1.281581687723927E-05</v>
      </c>
      <c r="AR124">
        <v>80.47224507511959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MAX(0,($B$13+$C$13*DP124)/(1+$D$13*DP124)*DI124/(DK124+273)*$E$13)</f>
        <v>0</v>
      </c>
      <c r="AX124" t="s">
        <v>417</v>
      </c>
      <c r="AY124" t="s">
        <v>417</v>
      </c>
      <c r="AZ124">
        <v>0</v>
      </c>
      <c r="BA124">
        <v>0</v>
      </c>
      <c r="BB124">
        <f>1-AZ124/BA124</f>
        <v>0</v>
      </c>
      <c r="BC124">
        <v>0</v>
      </c>
      <c r="BD124" t="s">
        <v>417</v>
      </c>
      <c r="BE124" t="s">
        <v>417</v>
      </c>
      <c r="BF124">
        <v>0</v>
      </c>
      <c r="BG124">
        <v>0</v>
      </c>
      <c r="BH124">
        <f>1-BF124/BG124</f>
        <v>0</v>
      </c>
      <c r="BI124">
        <v>0.5</v>
      </c>
      <c r="BJ124">
        <f>CS124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417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1248</v>
      </c>
      <c r="CA124">
        <v>300</v>
      </c>
      <c r="CB124">
        <v>300</v>
      </c>
      <c r="CC124">
        <v>300</v>
      </c>
      <c r="CD124">
        <v>10442</v>
      </c>
      <c r="CE124">
        <v>1293.69</v>
      </c>
      <c r="CF124">
        <v>-0.00735246</v>
      </c>
      <c r="CG124">
        <v>0.5</v>
      </c>
      <c r="CH124" t="s">
        <v>417</v>
      </c>
      <c r="CI124" t="s">
        <v>417</v>
      </c>
      <c r="CJ124" t="s">
        <v>417</v>
      </c>
      <c r="CK124" t="s">
        <v>417</v>
      </c>
      <c r="CL124" t="s">
        <v>417</v>
      </c>
      <c r="CM124" t="s">
        <v>417</v>
      </c>
      <c r="CN124" t="s">
        <v>417</v>
      </c>
      <c r="CO124" t="s">
        <v>417</v>
      </c>
      <c r="CP124" t="s">
        <v>417</v>
      </c>
      <c r="CQ124" t="s">
        <v>417</v>
      </c>
      <c r="CR124">
        <f>$B$11*DQ124+$C$11*DR124+$F$11*EC124*(1-EF124)</f>
        <v>0</v>
      </c>
      <c r="CS124">
        <f>CR124*CT124</f>
        <v>0</v>
      </c>
      <c r="CT124">
        <f>($B$11*$D$9+$C$11*$D$9+$F$11*((EP124+EH124)/MAX(EP124+EH124+EQ124, 0.1)*$I$9+EQ124/MAX(EP124+EH124+EQ124, 0.1)*$J$9))/($B$11+$C$11+$F$11)</f>
        <v>0</v>
      </c>
      <c r="CU124">
        <f>($B$11*$K$9+$C$11*$K$9+$F$11*((EP124+EH124)/MAX(EP124+EH124+EQ124, 0.1)*$P$9+EQ124/MAX(EP124+EH124+EQ124, 0.1)*$Q$9))/($B$11+$C$11+$F$11)</f>
        <v>0</v>
      </c>
      <c r="CV124">
        <v>6</v>
      </c>
      <c r="CW124">
        <v>0.5</v>
      </c>
      <c r="CX124" t="s">
        <v>418</v>
      </c>
      <c r="CY124">
        <v>2</v>
      </c>
      <c r="CZ124" t="b">
        <v>1</v>
      </c>
      <c r="DA124">
        <v>1651864613.1</v>
      </c>
      <c r="DB124">
        <v>905.7833333333333</v>
      </c>
      <c r="DC124">
        <v>919.701</v>
      </c>
      <c r="DD124">
        <v>18.1215</v>
      </c>
      <c r="DE124">
        <v>12.55016666666667</v>
      </c>
      <c r="DF124">
        <v>907.6460000000001</v>
      </c>
      <c r="DG124">
        <v>18.10436666666666</v>
      </c>
      <c r="DH124">
        <v>500.0536666666667</v>
      </c>
      <c r="DI124">
        <v>89.93386666666667</v>
      </c>
      <c r="DJ124">
        <v>0.09979926666666666</v>
      </c>
      <c r="DK124">
        <v>25.69493333333333</v>
      </c>
      <c r="DL124">
        <v>25.01443333333333</v>
      </c>
      <c r="DM124">
        <v>999.9</v>
      </c>
      <c r="DN124">
        <v>0</v>
      </c>
      <c r="DO124">
        <v>0</v>
      </c>
      <c r="DP124">
        <v>10013.96666666667</v>
      </c>
      <c r="DQ124">
        <v>0</v>
      </c>
      <c r="DR124">
        <v>3.23193</v>
      </c>
      <c r="DS124">
        <v>-13.918</v>
      </c>
      <c r="DT124">
        <v>922.5003333333334</v>
      </c>
      <c r="DU124">
        <v>931.3903333333333</v>
      </c>
      <c r="DV124">
        <v>5.571326666666667</v>
      </c>
      <c r="DW124">
        <v>919.701</v>
      </c>
      <c r="DX124">
        <v>12.55016666666667</v>
      </c>
      <c r="DY124">
        <v>1.629733333333333</v>
      </c>
      <c r="DZ124">
        <v>1.128686666666667</v>
      </c>
      <c r="EA124">
        <v>14.24286666666667</v>
      </c>
      <c r="EB124">
        <v>8.692736666666667</v>
      </c>
      <c r="EC124">
        <v>1499.99</v>
      </c>
      <c r="ED124">
        <v>0.973007</v>
      </c>
      <c r="EE124">
        <v>0.0269931</v>
      </c>
      <c r="EF124">
        <v>0</v>
      </c>
      <c r="EG124">
        <v>920.9699999999999</v>
      </c>
      <c r="EH124">
        <v>5.00097</v>
      </c>
      <c r="EI124">
        <v>13678.96666666667</v>
      </c>
      <c r="EJ124">
        <v>12491.53333333333</v>
      </c>
      <c r="EK124">
        <v>37.25</v>
      </c>
      <c r="EL124">
        <v>38.708</v>
      </c>
      <c r="EM124">
        <v>37.625</v>
      </c>
      <c r="EN124">
        <v>38.437</v>
      </c>
      <c r="EO124">
        <v>38.125</v>
      </c>
      <c r="EP124">
        <v>1454.63</v>
      </c>
      <c r="EQ124">
        <v>40.35</v>
      </c>
      <c r="ER124">
        <v>0</v>
      </c>
      <c r="ES124">
        <v>393</v>
      </c>
      <c r="ET124">
        <v>0</v>
      </c>
      <c r="EU124">
        <v>923.19232</v>
      </c>
      <c r="EV124">
        <v>-22.4666154144583</v>
      </c>
      <c r="EW124">
        <v>-318.1769235714377</v>
      </c>
      <c r="EX124">
        <v>13710.948</v>
      </c>
      <c r="EY124">
        <v>15</v>
      </c>
      <c r="EZ124">
        <v>1651864261.1</v>
      </c>
      <c r="FA124" t="s">
        <v>419</v>
      </c>
      <c r="FB124">
        <v>1651864241.6</v>
      </c>
      <c r="FC124">
        <v>1651864261.1</v>
      </c>
      <c r="FD124">
        <v>7</v>
      </c>
      <c r="FE124">
        <v>0.438</v>
      </c>
      <c r="FF124">
        <v>0.002</v>
      </c>
      <c r="FG124">
        <v>-0.988</v>
      </c>
      <c r="FH124">
        <v>-0.066</v>
      </c>
      <c r="FI124">
        <v>400</v>
      </c>
      <c r="FJ124">
        <v>11</v>
      </c>
      <c r="FK124">
        <v>0.05</v>
      </c>
      <c r="FL124">
        <v>0.02</v>
      </c>
      <c r="FM124">
        <v>-14.86589268292683</v>
      </c>
      <c r="FN124">
        <v>7.408413240418062</v>
      </c>
      <c r="FO124">
        <v>0.7377392087928925</v>
      </c>
      <c r="FP124">
        <v>-1</v>
      </c>
      <c r="FQ124">
        <v>5.733086097560975</v>
      </c>
      <c r="FR124">
        <v>-1.003175958188143</v>
      </c>
      <c r="FS124">
        <v>0.09916392835708961</v>
      </c>
      <c r="FT124">
        <v>-1</v>
      </c>
      <c r="FU124">
        <v>0</v>
      </c>
      <c r="FV124">
        <v>0</v>
      </c>
      <c r="FW124">
        <v>0</v>
      </c>
      <c r="FX124">
        <v>-1</v>
      </c>
      <c r="FY124">
        <v>0</v>
      </c>
      <c r="FZ124">
        <v>0</v>
      </c>
      <c r="GA124" t="s">
        <v>420</v>
      </c>
      <c r="GB124">
        <v>2.98044</v>
      </c>
      <c r="GC124">
        <v>2.70618</v>
      </c>
      <c r="GD124">
        <v>0.16003</v>
      </c>
      <c r="GE124">
        <v>0.159797</v>
      </c>
      <c r="GF124">
        <v>0.0868902</v>
      </c>
      <c r="GG124">
        <v>0.06567149999999999</v>
      </c>
      <c r="GH124">
        <v>26509.2</v>
      </c>
      <c r="GI124">
        <v>26574.9</v>
      </c>
      <c r="GJ124">
        <v>29345.7</v>
      </c>
      <c r="GK124">
        <v>29260.3</v>
      </c>
      <c r="GL124">
        <v>35483</v>
      </c>
      <c r="GM124">
        <v>36413.2</v>
      </c>
      <c r="GN124">
        <v>41305.7</v>
      </c>
      <c r="GO124">
        <v>41763.6</v>
      </c>
      <c r="GP124">
        <v>1.9565</v>
      </c>
      <c r="GQ124">
        <v>1.84897</v>
      </c>
      <c r="GR124">
        <v>-0.0234321</v>
      </c>
      <c r="GS124">
        <v>0</v>
      </c>
      <c r="GT124">
        <v>25.3974</v>
      </c>
      <c r="GU124">
        <v>999.9</v>
      </c>
      <c r="GV124">
        <v>31.8</v>
      </c>
      <c r="GW124">
        <v>34.3</v>
      </c>
      <c r="GX124">
        <v>19.2097</v>
      </c>
      <c r="GY124">
        <v>62.5675</v>
      </c>
      <c r="GZ124">
        <v>35.2724</v>
      </c>
      <c r="HA124">
        <v>1</v>
      </c>
      <c r="HB124">
        <v>0.105661</v>
      </c>
      <c r="HC124">
        <v>2.39847</v>
      </c>
      <c r="HD124">
        <v>20.3171</v>
      </c>
      <c r="HE124">
        <v>5.21834</v>
      </c>
      <c r="HF124">
        <v>12.0099</v>
      </c>
      <c r="HG124">
        <v>4.9889</v>
      </c>
      <c r="HH124">
        <v>3.28865</v>
      </c>
      <c r="HI124">
        <v>996</v>
      </c>
      <c r="HJ124">
        <v>9537.799999999999</v>
      </c>
      <c r="HK124">
        <v>5139.4</v>
      </c>
      <c r="HL124">
        <v>24.9</v>
      </c>
      <c r="HM124">
        <v>1.86749</v>
      </c>
      <c r="HN124">
        <v>1.86646</v>
      </c>
      <c r="HO124">
        <v>1.866</v>
      </c>
      <c r="HP124">
        <v>1.86584</v>
      </c>
      <c r="HQ124">
        <v>1.86768</v>
      </c>
      <c r="HR124">
        <v>1.87019</v>
      </c>
      <c r="HS124">
        <v>1.8689</v>
      </c>
      <c r="HT124">
        <v>1.87022</v>
      </c>
      <c r="HU124">
        <v>0</v>
      </c>
      <c r="HV124">
        <v>0</v>
      </c>
      <c r="HW124">
        <v>0</v>
      </c>
      <c r="HX124">
        <v>0</v>
      </c>
      <c r="HY124" t="s">
        <v>421</v>
      </c>
      <c r="HZ124" t="s">
        <v>422</v>
      </c>
      <c r="IA124" t="s">
        <v>423</v>
      </c>
      <c r="IB124" t="s">
        <v>423</v>
      </c>
      <c r="IC124" t="s">
        <v>423</v>
      </c>
      <c r="ID124" t="s">
        <v>423</v>
      </c>
      <c r="IE124">
        <v>0</v>
      </c>
      <c r="IF124">
        <v>100</v>
      </c>
      <c r="IG124">
        <v>100</v>
      </c>
      <c r="IH124">
        <v>-1.857</v>
      </c>
      <c r="II124">
        <v>0.0172</v>
      </c>
      <c r="IJ124">
        <v>-0.2164499368582429</v>
      </c>
      <c r="IK124">
        <v>-0.002077099775823331</v>
      </c>
      <c r="IL124">
        <v>4.593143279902166E-07</v>
      </c>
      <c r="IM124">
        <v>-1.865383991892071E-10</v>
      </c>
      <c r="IN124">
        <v>-0.06087574426827484</v>
      </c>
      <c r="IO124">
        <v>-0.01129461987421345</v>
      </c>
      <c r="IP124">
        <v>0.00116580895745559</v>
      </c>
      <c r="IQ124">
        <v>-1.679085872906199E-05</v>
      </c>
      <c r="IR124">
        <v>2</v>
      </c>
      <c r="IS124">
        <v>2290</v>
      </c>
      <c r="IT124">
        <v>0</v>
      </c>
      <c r="IU124">
        <v>32</v>
      </c>
      <c r="IV124">
        <v>6.2</v>
      </c>
      <c r="IW124">
        <v>5.9</v>
      </c>
      <c r="IX124">
        <v>1.91528</v>
      </c>
      <c r="IY124">
        <v>2.21313</v>
      </c>
      <c r="IZ124">
        <v>1.39648</v>
      </c>
      <c r="JA124">
        <v>2.35596</v>
      </c>
      <c r="JB124">
        <v>1.49536</v>
      </c>
      <c r="JC124">
        <v>2.2998</v>
      </c>
      <c r="JD124">
        <v>38.4524</v>
      </c>
      <c r="JE124">
        <v>24.035</v>
      </c>
      <c r="JF124">
        <v>18</v>
      </c>
      <c r="JG124">
        <v>511.634</v>
      </c>
      <c r="JH124">
        <v>428.109</v>
      </c>
      <c r="JI124">
        <v>22.2781</v>
      </c>
      <c r="JJ124">
        <v>28.6567</v>
      </c>
      <c r="JK124">
        <v>30.0001</v>
      </c>
      <c r="JL124">
        <v>28.6222</v>
      </c>
      <c r="JM124">
        <v>28.5605</v>
      </c>
      <c r="JN124">
        <v>38.2984</v>
      </c>
      <c r="JO124">
        <v>33.4336</v>
      </c>
      <c r="JP124">
        <v>0</v>
      </c>
      <c r="JQ124">
        <v>22.2673</v>
      </c>
      <c r="JR124">
        <v>895.45</v>
      </c>
      <c r="JS124">
        <v>12.7116</v>
      </c>
      <c r="JT124">
        <v>100.31</v>
      </c>
      <c r="JU124">
        <v>100.235</v>
      </c>
    </row>
    <row r="125" spans="1:281">
      <c r="A125">
        <v>109</v>
      </c>
      <c r="B125">
        <v>1651864616.1</v>
      </c>
      <c r="C125">
        <v>395.5</v>
      </c>
      <c r="D125" t="s">
        <v>638</v>
      </c>
      <c r="E125" t="s">
        <v>639</v>
      </c>
      <c r="F125">
        <v>2</v>
      </c>
      <c r="G125" t="s">
        <v>413</v>
      </c>
      <c r="H125" t="s">
        <v>414</v>
      </c>
      <c r="I125">
        <v>1651864614.725</v>
      </c>
      <c r="J125">
        <f>(K125)/1000</f>
        <v>0</v>
      </c>
      <c r="K125">
        <f>IF(CZ125, AN125, AH125)</f>
        <v>0</v>
      </c>
      <c r="L125">
        <f>IF(CZ125, AI125, AG125)</f>
        <v>0</v>
      </c>
      <c r="M125">
        <f>DB125 - IF(AU125&gt;1, L125*CV125*100.0/(AW125*DP125), 0)</f>
        <v>0</v>
      </c>
      <c r="N125">
        <f>((T125-J125/2)*M125-L125)/(T125+J125/2)</f>
        <v>0</v>
      </c>
      <c r="O125">
        <f>N125*(DI125+DJ125)/1000.0</f>
        <v>0</v>
      </c>
      <c r="P125">
        <f>(DB125 - IF(AU125&gt;1, L125*CV125*100.0/(AW125*DP125), 0))*(DI125+DJ125)/1000.0</f>
        <v>0</v>
      </c>
      <c r="Q125">
        <f>2.0/((1/S125-1/R125)+SIGN(S125)*SQRT((1/S125-1/R125)*(1/S125-1/R125) + 4*CW125/((CW125+1)*(CW125+1))*(2*1/S125*1/R125-1/R125*1/R125)))</f>
        <v>0</v>
      </c>
      <c r="R125">
        <f>IF(LEFT(CX125,1)&lt;&gt;"0",IF(LEFT(CX125,1)="1",3.0,CY125),$D$5+$E$5*(DP125*DI125/($K$5*1000))+$F$5*(DP125*DI125/($K$5*1000))*MAX(MIN(CV125,$J$5),$I$5)*MAX(MIN(CV125,$J$5),$I$5)+$G$5*MAX(MIN(CV125,$J$5),$I$5)*(DP125*DI125/($K$5*1000))+$H$5*(DP125*DI125/($K$5*1000))*(DP125*DI125/($K$5*1000)))</f>
        <v>0</v>
      </c>
      <c r="S125">
        <f>J125*(1000-(1000*0.61365*exp(17.502*W125/(240.97+W125))/(DI125+DJ125)+DD125)/2)/(1000*0.61365*exp(17.502*W125/(240.97+W125))/(DI125+DJ125)-DD125)</f>
        <v>0</v>
      </c>
      <c r="T125">
        <f>1/((CW125+1)/(Q125/1.6)+1/(R125/1.37)) + CW125/((CW125+1)/(Q125/1.6) + CW125/(R125/1.37))</f>
        <v>0</v>
      </c>
      <c r="U125">
        <f>(CR125*CU125)</f>
        <v>0</v>
      </c>
      <c r="V125">
        <f>(DK125+(U125+2*0.95*5.67E-8*(((DK125+$B$7)+273)^4-(DK125+273)^4)-44100*J125)/(1.84*29.3*R125+8*0.95*5.67E-8*(DK125+273)^3))</f>
        <v>0</v>
      </c>
      <c r="W125">
        <f>($C$7*DL125+$D$7*DM125+$E$7*V125)</f>
        <v>0</v>
      </c>
      <c r="X125">
        <f>0.61365*exp(17.502*W125/(240.97+W125))</f>
        <v>0</v>
      </c>
      <c r="Y125">
        <f>(Z125/AA125*100)</f>
        <v>0</v>
      </c>
      <c r="Z125">
        <f>DD125*(DI125+DJ125)/1000</f>
        <v>0</v>
      </c>
      <c r="AA125">
        <f>0.61365*exp(17.502*DK125/(240.97+DK125))</f>
        <v>0</v>
      </c>
      <c r="AB125">
        <f>(X125-DD125*(DI125+DJ125)/1000)</f>
        <v>0</v>
      </c>
      <c r="AC125">
        <f>(-J125*44100)</f>
        <v>0</v>
      </c>
      <c r="AD125">
        <f>2*29.3*R125*0.92*(DK125-W125)</f>
        <v>0</v>
      </c>
      <c r="AE125">
        <f>2*0.95*5.67E-8*(((DK125+$B$7)+273)^4-(W125+273)^4)</f>
        <v>0</v>
      </c>
      <c r="AF125">
        <f>U125+AE125+AC125+AD125</f>
        <v>0</v>
      </c>
      <c r="AG125">
        <f>DH125*AU125*(DC125-DB125*(1000-AU125*DE125)/(1000-AU125*DD125))/(100*CV125)</f>
        <v>0</v>
      </c>
      <c r="AH125">
        <f>1000*DH125*AU125*(DD125-DE125)/(100*CV125*(1000-AU125*DD125))</f>
        <v>0</v>
      </c>
      <c r="AI125">
        <f>(AJ125 - AK125 - DI125*1E3/(8.314*(DK125+273.15)) * AM125/DH125 * AL125) * DH125/(100*CV125) * (1000 - DE125)/1000</f>
        <v>0</v>
      </c>
      <c r="AJ125">
        <v>930.6421482091264</v>
      </c>
      <c r="AK125">
        <v>914.0867757575757</v>
      </c>
      <c r="AL125">
        <v>-3.366458457045319</v>
      </c>
      <c r="AM125">
        <v>66.38192812717227</v>
      </c>
      <c r="AN125">
        <f>(AP125 - AO125 + DI125*1E3/(8.314*(DK125+273.15)) * AR125/DH125 * AQ125) * DH125/(100*CV125) * 1000/(1000 - AP125)</f>
        <v>0</v>
      </c>
      <c r="AO125">
        <v>12.52428074621014</v>
      </c>
      <c r="AP125">
        <v>18.12525176470588</v>
      </c>
      <c r="AQ125">
        <v>-4.450094757048029E-05</v>
      </c>
      <c r="AR125">
        <v>80.47224507511959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MAX(0,($B$13+$C$13*DP125)/(1+$D$13*DP125)*DI125/(DK125+273)*$E$13)</f>
        <v>0</v>
      </c>
      <c r="AX125" t="s">
        <v>417</v>
      </c>
      <c r="AY125" t="s">
        <v>417</v>
      </c>
      <c r="AZ125">
        <v>0</v>
      </c>
      <c r="BA125">
        <v>0</v>
      </c>
      <c r="BB125">
        <f>1-AZ125/BA125</f>
        <v>0</v>
      </c>
      <c r="BC125">
        <v>0</v>
      </c>
      <c r="BD125" t="s">
        <v>417</v>
      </c>
      <c r="BE125" t="s">
        <v>417</v>
      </c>
      <c r="BF125">
        <v>0</v>
      </c>
      <c r="BG125">
        <v>0</v>
      </c>
      <c r="BH125">
        <f>1-BF125/BG125</f>
        <v>0</v>
      </c>
      <c r="BI125">
        <v>0.5</v>
      </c>
      <c r="BJ125">
        <f>CS125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417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1248</v>
      </c>
      <c r="CA125">
        <v>300</v>
      </c>
      <c r="CB125">
        <v>300</v>
      </c>
      <c r="CC125">
        <v>300</v>
      </c>
      <c r="CD125">
        <v>10442</v>
      </c>
      <c r="CE125">
        <v>1293.69</v>
      </c>
      <c r="CF125">
        <v>-0.00735246</v>
      </c>
      <c r="CG125">
        <v>0.5</v>
      </c>
      <c r="CH125" t="s">
        <v>417</v>
      </c>
      <c r="CI125" t="s">
        <v>417</v>
      </c>
      <c r="CJ125" t="s">
        <v>417</v>
      </c>
      <c r="CK125" t="s">
        <v>417</v>
      </c>
      <c r="CL125" t="s">
        <v>417</v>
      </c>
      <c r="CM125" t="s">
        <v>417</v>
      </c>
      <c r="CN125" t="s">
        <v>417</v>
      </c>
      <c r="CO125" t="s">
        <v>417</v>
      </c>
      <c r="CP125" t="s">
        <v>417</v>
      </c>
      <c r="CQ125" t="s">
        <v>417</v>
      </c>
      <c r="CR125">
        <f>$B$11*DQ125+$C$11*DR125+$F$11*EC125*(1-EF125)</f>
        <v>0</v>
      </c>
      <c r="CS125">
        <f>CR125*CT125</f>
        <v>0</v>
      </c>
      <c r="CT125">
        <f>($B$11*$D$9+$C$11*$D$9+$F$11*((EP125+EH125)/MAX(EP125+EH125+EQ125, 0.1)*$I$9+EQ125/MAX(EP125+EH125+EQ125, 0.1)*$J$9))/($B$11+$C$11+$F$11)</f>
        <v>0</v>
      </c>
      <c r="CU125">
        <f>($B$11*$K$9+$C$11*$K$9+$F$11*((EP125+EH125)/MAX(EP125+EH125+EQ125, 0.1)*$P$9+EQ125/MAX(EP125+EH125+EQ125, 0.1)*$Q$9))/($B$11+$C$11+$F$11)</f>
        <v>0</v>
      </c>
      <c r="CV125">
        <v>6</v>
      </c>
      <c r="CW125">
        <v>0.5</v>
      </c>
      <c r="CX125" t="s">
        <v>418</v>
      </c>
      <c r="CY125">
        <v>2</v>
      </c>
      <c r="CZ125" t="b">
        <v>1</v>
      </c>
      <c r="DA125">
        <v>1651864614.725</v>
      </c>
      <c r="DB125">
        <v>900.4055</v>
      </c>
      <c r="DC125">
        <v>914.3275</v>
      </c>
      <c r="DD125">
        <v>18.1236</v>
      </c>
      <c r="DE125">
        <v>12.569625</v>
      </c>
      <c r="DF125">
        <v>902.25925</v>
      </c>
      <c r="DG125">
        <v>18.106425</v>
      </c>
      <c r="DH125">
        <v>500.0549999999999</v>
      </c>
      <c r="DI125">
        <v>89.934225</v>
      </c>
      <c r="DJ125">
        <v>0.100012225</v>
      </c>
      <c r="DK125">
        <v>25.694825</v>
      </c>
      <c r="DL125">
        <v>25.013125</v>
      </c>
      <c r="DM125">
        <v>999.9</v>
      </c>
      <c r="DN125">
        <v>0</v>
      </c>
      <c r="DO125">
        <v>0</v>
      </c>
      <c r="DP125">
        <v>10002.325</v>
      </c>
      <c r="DQ125">
        <v>0</v>
      </c>
      <c r="DR125">
        <v>3.23193</v>
      </c>
      <c r="DS125">
        <v>-13.922125</v>
      </c>
      <c r="DT125">
        <v>917.02525</v>
      </c>
      <c r="DU125">
        <v>925.967</v>
      </c>
      <c r="DV125">
        <v>5.55397</v>
      </c>
      <c r="DW125">
        <v>914.3275</v>
      </c>
      <c r="DX125">
        <v>12.569625</v>
      </c>
      <c r="DY125">
        <v>1.62993</v>
      </c>
      <c r="DZ125">
        <v>1.13044</v>
      </c>
      <c r="EA125">
        <v>14.244725</v>
      </c>
      <c r="EB125">
        <v>8.715697500000001</v>
      </c>
      <c r="EC125">
        <v>1499.985</v>
      </c>
      <c r="ED125">
        <v>0.973007</v>
      </c>
      <c r="EE125">
        <v>0.0269931</v>
      </c>
      <c r="EF125">
        <v>0</v>
      </c>
      <c r="EG125">
        <v>920.049</v>
      </c>
      <c r="EH125">
        <v>5.00097</v>
      </c>
      <c r="EI125">
        <v>13669</v>
      </c>
      <c r="EJ125">
        <v>12491.525</v>
      </c>
      <c r="EK125">
        <v>37.25</v>
      </c>
      <c r="EL125">
        <v>38.70274999999999</v>
      </c>
      <c r="EM125">
        <v>37.625</v>
      </c>
      <c r="EN125">
        <v>38.437</v>
      </c>
      <c r="EO125">
        <v>38.125</v>
      </c>
      <c r="EP125">
        <v>1454.63</v>
      </c>
      <c r="EQ125">
        <v>40.35</v>
      </c>
      <c r="ER125">
        <v>0</v>
      </c>
      <c r="ES125">
        <v>394.7999999523163</v>
      </c>
      <c r="ET125">
        <v>0</v>
      </c>
      <c r="EU125">
        <v>922.5834230769232</v>
      </c>
      <c r="EV125">
        <v>-23.34170940065611</v>
      </c>
      <c r="EW125">
        <v>-320.6769230734247</v>
      </c>
      <c r="EX125">
        <v>13702.92307692308</v>
      </c>
      <c r="EY125">
        <v>15</v>
      </c>
      <c r="EZ125">
        <v>1651864261.1</v>
      </c>
      <c r="FA125" t="s">
        <v>419</v>
      </c>
      <c r="FB125">
        <v>1651864241.6</v>
      </c>
      <c r="FC125">
        <v>1651864261.1</v>
      </c>
      <c r="FD125">
        <v>7</v>
      </c>
      <c r="FE125">
        <v>0.438</v>
      </c>
      <c r="FF125">
        <v>0.002</v>
      </c>
      <c r="FG125">
        <v>-0.988</v>
      </c>
      <c r="FH125">
        <v>-0.066</v>
      </c>
      <c r="FI125">
        <v>400</v>
      </c>
      <c r="FJ125">
        <v>11</v>
      </c>
      <c r="FK125">
        <v>0.05</v>
      </c>
      <c r="FL125">
        <v>0.02</v>
      </c>
      <c r="FM125">
        <v>-14.6703175</v>
      </c>
      <c r="FN125">
        <v>6.602063414634182</v>
      </c>
      <c r="FO125">
        <v>0.6488760967578864</v>
      </c>
      <c r="FP125">
        <v>-1</v>
      </c>
      <c r="FQ125">
        <v>5.70530775</v>
      </c>
      <c r="FR125">
        <v>-1.016616247654788</v>
      </c>
      <c r="FS125">
        <v>0.09797919693709223</v>
      </c>
      <c r="FT125">
        <v>-1</v>
      </c>
      <c r="FU125">
        <v>0</v>
      </c>
      <c r="FV125">
        <v>0</v>
      </c>
      <c r="FW125">
        <v>0</v>
      </c>
      <c r="FX125">
        <v>-1</v>
      </c>
      <c r="FY125">
        <v>0</v>
      </c>
      <c r="FZ125">
        <v>0</v>
      </c>
      <c r="GA125" t="s">
        <v>420</v>
      </c>
      <c r="GB125">
        <v>2.9805</v>
      </c>
      <c r="GC125">
        <v>2.70638</v>
      </c>
      <c r="GD125">
        <v>0.159264</v>
      </c>
      <c r="GE125">
        <v>0.159026</v>
      </c>
      <c r="GF125">
        <v>0.086897</v>
      </c>
      <c r="GG125">
        <v>0.0657628</v>
      </c>
      <c r="GH125">
        <v>26533.3</v>
      </c>
      <c r="GI125">
        <v>26599.2</v>
      </c>
      <c r="GJ125">
        <v>29345.5</v>
      </c>
      <c r="GK125">
        <v>29260.2</v>
      </c>
      <c r="GL125">
        <v>35482.6</v>
      </c>
      <c r="GM125">
        <v>36409.5</v>
      </c>
      <c r="GN125">
        <v>41305.6</v>
      </c>
      <c r="GO125">
        <v>41763.5</v>
      </c>
      <c r="GP125">
        <v>1.95655</v>
      </c>
      <c r="GQ125">
        <v>1.84918</v>
      </c>
      <c r="GR125">
        <v>-0.0233613</v>
      </c>
      <c r="GS125">
        <v>0</v>
      </c>
      <c r="GT125">
        <v>25.3963</v>
      </c>
      <c r="GU125">
        <v>999.9</v>
      </c>
      <c r="GV125">
        <v>31.8</v>
      </c>
      <c r="GW125">
        <v>34.3</v>
      </c>
      <c r="GX125">
        <v>19.2119</v>
      </c>
      <c r="GY125">
        <v>62.5475</v>
      </c>
      <c r="GZ125">
        <v>35.008</v>
      </c>
      <c r="HA125">
        <v>1</v>
      </c>
      <c r="HB125">
        <v>0.105605</v>
      </c>
      <c r="HC125">
        <v>2.4062</v>
      </c>
      <c r="HD125">
        <v>20.317</v>
      </c>
      <c r="HE125">
        <v>5.21864</v>
      </c>
      <c r="HF125">
        <v>12.0099</v>
      </c>
      <c r="HG125">
        <v>4.98925</v>
      </c>
      <c r="HH125">
        <v>3.28865</v>
      </c>
      <c r="HI125">
        <v>996.2</v>
      </c>
      <c r="HJ125">
        <v>9538.9</v>
      </c>
      <c r="HK125">
        <v>5139.4</v>
      </c>
      <c r="HL125">
        <v>24.9</v>
      </c>
      <c r="HM125">
        <v>1.86748</v>
      </c>
      <c r="HN125">
        <v>1.86646</v>
      </c>
      <c r="HO125">
        <v>1.866</v>
      </c>
      <c r="HP125">
        <v>1.86584</v>
      </c>
      <c r="HQ125">
        <v>1.86768</v>
      </c>
      <c r="HR125">
        <v>1.87017</v>
      </c>
      <c r="HS125">
        <v>1.86889</v>
      </c>
      <c r="HT125">
        <v>1.87022</v>
      </c>
      <c r="HU125">
        <v>0</v>
      </c>
      <c r="HV125">
        <v>0</v>
      </c>
      <c r="HW125">
        <v>0</v>
      </c>
      <c r="HX125">
        <v>0</v>
      </c>
      <c r="HY125" t="s">
        <v>421</v>
      </c>
      <c r="HZ125" t="s">
        <v>422</v>
      </c>
      <c r="IA125" t="s">
        <v>423</v>
      </c>
      <c r="IB125" t="s">
        <v>423</v>
      </c>
      <c r="IC125" t="s">
        <v>423</v>
      </c>
      <c r="ID125" t="s">
        <v>423</v>
      </c>
      <c r="IE125">
        <v>0</v>
      </c>
      <c r="IF125">
        <v>100</v>
      </c>
      <c r="IG125">
        <v>100</v>
      </c>
      <c r="IH125">
        <v>-1.846</v>
      </c>
      <c r="II125">
        <v>0.0172</v>
      </c>
      <c r="IJ125">
        <v>-0.2164499368582429</v>
      </c>
      <c r="IK125">
        <v>-0.002077099775823331</v>
      </c>
      <c r="IL125">
        <v>4.593143279902166E-07</v>
      </c>
      <c r="IM125">
        <v>-1.865383991892071E-10</v>
      </c>
      <c r="IN125">
        <v>-0.06087574426827484</v>
      </c>
      <c r="IO125">
        <v>-0.01129461987421345</v>
      </c>
      <c r="IP125">
        <v>0.00116580895745559</v>
      </c>
      <c r="IQ125">
        <v>-1.679085872906199E-05</v>
      </c>
      <c r="IR125">
        <v>2</v>
      </c>
      <c r="IS125">
        <v>2290</v>
      </c>
      <c r="IT125">
        <v>0</v>
      </c>
      <c r="IU125">
        <v>32</v>
      </c>
      <c r="IV125">
        <v>6.2</v>
      </c>
      <c r="IW125">
        <v>5.9</v>
      </c>
      <c r="IX125">
        <v>1.9043</v>
      </c>
      <c r="IY125">
        <v>2.20825</v>
      </c>
      <c r="IZ125">
        <v>1.39648</v>
      </c>
      <c r="JA125">
        <v>2.35718</v>
      </c>
      <c r="JB125">
        <v>1.49536</v>
      </c>
      <c r="JC125">
        <v>2.35718</v>
      </c>
      <c r="JD125">
        <v>38.4769</v>
      </c>
      <c r="JE125">
        <v>24.035</v>
      </c>
      <c r="JF125">
        <v>18</v>
      </c>
      <c r="JG125">
        <v>511.672</v>
      </c>
      <c r="JH125">
        <v>428.229</v>
      </c>
      <c r="JI125">
        <v>22.2737</v>
      </c>
      <c r="JJ125">
        <v>28.6579</v>
      </c>
      <c r="JK125">
        <v>30</v>
      </c>
      <c r="JL125">
        <v>28.6228</v>
      </c>
      <c r="JM125">
        <v>28.5605</v>
      </c>
      <c r="JN125">
        <v>38.0753</v>
      </c>
      <c r="JO125">
        <v>33.4336</v>
      </c>
      <c r="JP125">
        <v>0</v>
      </c>
      <c r="JQ125">
        <v>22.2673</v>
      </c>
      <c r="JR125">
        <v>888.771</v>
      </c>
      <c r="JS125">
        <v>12.7411</v>
      </c>
      <c r="JT125">
        <v>100.31</v>
      </c>
      <c r="JU125">
        <v>100.235</v>
      </c>
    </row>
    <row r="126" spans="1:281">
      <c r="A126">
        <v>110</v>
      </c>
      <c r="B126">
        <v>1651864618.1</v>
      </c>
      <c r="C126">
        <v>397.5</v>
      </c>
      <c r="D126" t="s">
        <v>640</v>
      </c>
      <c r="E126" t="s">
        <v>641</v>
      </c>
      <c r="F126">
        <v>2</v>
      </c>
      <c r="G126" t="s">
        <v>413</v>
      </c>
      <c r="H126" t="s">
        <v>414</v>
      </c>
      <c r="I126">
        <v>1651864617.1</v>
      </c>
      <c r="J126">
        <f>(K126)/1000</f>
        <v>0</v>
      </c>
      <c r="K126">
        <f>IF(CZ126, AN126, AH126)</f>
        <v>0</v>
      </c>
      <c r="L126">
        <f>IF(CZ126, AI126, AG126)</f>
        <v>0</v>
      </c>
      <c r="M126">
        <f>DB126 - IF(AU126&gt;1, L126*CV126*100.0/(AW126*DP126), 0)</f>
        <v>0</v>
      </c>
      <c r="N126">
        <f>((T126-J126/2)*M126-L126)/(T126+J126/2)</f>
        <v>0</v>
      </c>
      <c r="O126">
        <f>N126*(DI126+DJ126)/1000.0</f>
        <v>0</v>
      </c>
      <c r="P126">
        <f>(DB126 - IF(AU126&gt;1, L126*CV126*100.0/(AW126*DP126), 0))*(DI126+DJ126)/1000.0</f>
        <v>0</v>
      </c>
      <c r="Q126">
        <f>2.0/((1/S126-1/R126)+SIGN(S126)*SQRT((1/S126-1/R126)*(1/S126-1/R126) + 4*CW126/((CW126+1)*(CW126+1))*(2*1/S126*1/R126-1/R126*1/R126)))</f>
        <v>0</v>
      </c>
      <c r="R126">
        <f>IF(LEFT(CX126,1)&lt;&gt;"0",IF(LEFT(CX126,1)="1",3.0,CY126),$D$5+$E$5*(DP126*DI126/($K$5*1000))+$F$5*(DP126*DI126/($K$5*1000))*MAX(MIN(CV126,$J$5),$I$5)*MAX(MIN(CV126,$J$5),$I$5)+$G$5*MAX(MIN(CV126,$J$5),$I$5)*(DP126*DI126/($K$5*1000))+$H$5*(DP126*DI126/($K$5*1000))*(DP126*DI126/($K$5*1000)))</f>
        <v>0</v>
      </c>
      <c r="S126">
        <f>J126*(1000-(1000*0.61365*exp(17.502*W126/(240.97+W126))/(DI126+DJ126)+DD126)/2)/(1000*0.61365*exp(17.502*W126/(240.97+W126))/(DI126+DJ126)-DD126)</f>
        <v>0</v>
      </c>
      <c r="T126">
        <f>1/((CW126+1)/(Q126/1.6)+1/(R126/1.37)) + CW126/((CW126+1)/(Q126/1.6) + CW126/(R126/1.37))</f>
        <v>0</v>
      </c>
      <c r="U126">
        <f>(CR126*CU126)</f>
        <v>0</v>
      </c>
      <c r="V126">
        <f>(DK126+(U126+2*0.95*5.67E-8*(((DK126+$B$7)+273)^4-(DK126+273)^4)-44100*J126)/(1.84*29.3*R126+8*0.95*5.67E-8*(DK126+273)^3))</f>
        <v>0</v>
      </c>
      <c r="W126">
        <f>($C$7*DL126+$D$7*DM126+$E$7*V126)</f>
        <v>0</v>
      </c>
      <c r="X126">
        <f>0.61365*exp(17.502*W126/(240.97+W126))</f>
        <v>0</v>
      </c>
      <c r="Y126">
        <f>(Z126/AA126*100)</f>
        <v>0</v>
      </c>
      <c r="Z126">
        <f>DD126*(DI126+DJ126)/1000</f>
        <v>0</v>
      </c>
      <c r="AA126">
        <f>0.61365*exp(17.502*DK126/(240.97+DK126))</f>
        <v>0</v>
      </c>
      <c r="AB126">
        <f>(X126-DD126*(DI126+DJ126)/1000)</f>
        <v>0</v>
      </c>
      <c r="AC126">
        <f>(-J126*44100)</f>
        <v>0</v>
      </c>
      <c r="AD126">
        <f>2*29.3*R126*0.92*(DK126-W126)</f>
        <v>0</v>
      </c>
      <c r="AE126">
        <f>2*0.95*5.67E-8*(((DK126+$B$7)+273)^4-(W126+273)^4)</f>
        <v>0</v>
      </c>
      <c r="AF126">
        <f>U126+AE126+AC126+AD126</f>
        <v>0</v>
      </c>
      <c r="AG126">
        <f>DH126*AU126*(DC126-DB126*(1000-AU126*DE126)/(1000-AU126*DD126))/(100*CV126)</f>
        <v>0</v>
      </c>
      <c r="AH126">
        <f>1000*DH126*AU126*(DD126-DE126)/(100*CV126*(1000-AU126*DD126))</f>
        <v>0</v>
      </c>
      <c r="AI126">
        <f>(AJ126 - AK126 - DI126*1E3/(8.314*(DK126+273.15)) * AM126/DH126 * AL126) * DH126/(100*CV126) * (1000 - DE126)/1000</f>
        <v>0</v>
      </c>
      <c r="AJ126">
        <v>923.9068734104449</v>
      </c>
      <c r="AK126">
        <v>907.395309090909</v>
      </c>
      <c r="AL126">
        <v>-3.350993137261492</v>
      </c>
      <c r="AM126">
        <v>66.38192812717227</v>
      </c>
      <c r="AN126">
        <f>(AP126 - AO126 + DI126*1E3/(8.314*(DK126+273.15)) * AR126/DH126 * AQ126) * DH126/(100*CV126) * 1000/(1000 - AP126)</f>
        <v>0</v>
      </c>
      <c r="AO126">
        <v>12.55502866085428</v>
      </c>
      <c r="AP126">
        <v>18.12513470588236</v>
      </c>
      <c r="AQ126">
        <v>4.8792391320478E-06</v>
      </c>
      <c r="AR126">
        <v>80.47224507511959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MAX(0,($B$13+$C$13*DP126)/(1+$D$13*DP126)*DI126/(DK126+273)*$E$13)</f>
        <v>0</v>
      </c>
      <c r="AX126" t="s">
        <v>417</v>
      </c>
      <c r="AY126" t="s">
        <v>417</v>
      </c>
      <c r="AZ126">
        <v>0</v>
      </c>
      <c r="BA126">
        <v>0</v>
      </c>
      <c r="BB126">
        <f>1-AZ126/BA126</f>
        <v>0</v>
      </c>
      <c r="BC126">
        <v>0</v>
      </c>
      <c r="BD126" t="s">
        <v>417</v>
      </c>
      <c r="BE126" t="s">
        <v>417</v>
      </c>
      <c r="BF126">
        <v>0</v>
      </c>
      <c r="BG126">
        <v>0</v>
      </c>
      <c r="BH126">
        <f>1-BF126/BG126</f>
        <v>0</v>
      </c>
      <c r="BI126">
        <v>0.5</v>
      </c>
      <c r="BJ126">
        <f>CS126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417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1248</v>
      </c>
      <c r="CA126">
        <v>300</v>
      </c>
      <c r="CB126">
        <v>300</v>
      </c>
      <c r="CC126">
        <v>300</v>
      </c>
      <c r="CD126">
        <v>10442</v>
      </c>
      <c r="CE126">
        <v>1293.69</v>
      </c>
      <c r="CF126">
        <v>-0.00735246</v>
      </c>
      <c r="CG126">
        <v>0.5</v>
      </c>
      <c r="CH126" t="s">
        <v>417</v>
      </c>
      <c r="CI126" t="s">
        <v>417</v>
      </c>
      <c r="CJ126" t="s">
        <v>417</v>
      </c>
      <c r="CK126" t="s">
        <v>417</v>
      </c>
      <c r="CL126" t="s">
        <v>417</v>
      </c>
      <c r="CM126" t="s">
        <v>417</v>
      </c>
      <c r="CN126" t="s">
        <v>417</v>
      </c>
      <c r="CO126" t="s">
        <v>417</v>
      </c>
      <c r="CP126" t="s">
        <v>417</v>
      </c>
      <c r="CQ126" t="s">
        <v>417</v>
      </c>
      <c r="CR126">
        <f>$B$11*DQ126+$C$11*DR126+$F$11*EC126*(1-EF126)</f>
        <v>0</v>
      </c>
      <c r="CS126">
        <f>CR126*CT126</f>
        <v>0</v>
      </c>
      <c r="CT126">
        <f>($B$11*$D$9+$C$11*$D$9+$F$11*((EP126+EH126)/MAX(EP126+EH126+EQ126, 0.1)*$I$9+EQ126/MAX(EP126+EH126+EQ126, 0.1)*$J$9))/($B$11+$C$11+$F$11)</f>
        <v>0</v>
      </c>
      <c r="CU126">
        <f>($B$11*$K$9+$C$11*$K$9+$F$11*((EP126+EH126)/MAX(EP126+EH126+EQ126, 0.1)*$P$9+EQ126/MAX(EP126+EH126+EQ126, 0.1)*$Q$9))/($B$11+$C$11+$F$11)</f>
        <v>0</v>
      </c>
      <c r="CV126">
        <v>6</v>
      </c>
      <c r="CW126">
        <v>0.5</v>
      </c>
      <c r="CX126" t="s">
        <v>418</v>
      </c>
      <c r="CY126">
        <v>2</v>
      </c>
      <c r="CZ126" t="b">
        <v>1</v>
      </c>
      <c r="DA126">
        <v>1651864617.1</v>
      </c>
      <c r="DB126">
        <v>892.5970000000001</v>
      </c>
      <c r="DC126">
        <v>906.2513333333333</v>
      </c>
      <c r="DD126">
        <v>18.12423333333333</v>
      </c>
      <c r="DE126">
        <v>12.6058</v>
      </c>
      <c r="DF126">
        <v>894.437</v>
      </c>
      <c r="DG126">
        <v>18.10703333333333</v>
      </c>
      <c r="DH126">
        <v>500.0446666666667</v>
      </c>
      <c r="DI126">
        <v>89.93333333333332</v>
      </c>
      <c r="DJ126">
        <v>0.1001323333333333</v>
      </c>
      <c r="DK126">
        <v>25.69486666666667</v>
      </c>
      <c r="DL126">
        <v>25.0126</v>
      </c>
      <c r="DM126">
        <v>999.9</v>
      </c>
      <c r="DN126">
        <v>0</v>
      </c>
      <c r="DO126">
        <v>0</v>
      </c>
      <c r="DP126">
        <v>9998.733333333334</v>
      </c>
      <c r="DQ126">
        <v>0</v>
      </c>
      <c r="DR126">
        <v>3.23193</v>
      </c>
      <c r="DS126">
        <v>-13.6545</v>
      </c>
      <c r="DT126">
        <v>909.073</v>
      </c>
      <c r="DU126">
        <v>917.821</v>
      </c>
      <c r="DV126">
        <v>5.5184</v>
      </c>
      <c r="DW126">
        <v>906.2513333333333</v>
      </c>
      <c r="DX126">
        <v>12.6058</v>
      </c>
      <c r="DY126">
        <v>1.629973333333333</v>
      </c>
      <c r="DZ126">
        <v>1.133683333333333</v>
      </c>
      <c r="EA126">
        <v>14.24513333333333</v>
      </c>
      <c r="EB126">
        <v>8.758066666666666</v>
      </c>
      <c r="EC126">
        <v>1499.976666666667</v>
      </c>
      <c r="ED126">
        <v>0.973007</v>
      </c>
      <c r="EE126">
        <v>0.0269931</v>
      </c>
      <c r="EF126">
        <v>0</v>
      </c>
      <c r="EG126">
        <v>919.1803333333334</v>
      </c>
      <c r="EH126">
        <v>5.00097</v>
      </c>
      <c r="EI126">
        <v>13654.83333333333</v>
      </c>
      <c r="EJ126">
        <v>12491.43333333333</v>
      </c>
      <c r="EK126">
        <v>37.25</v>
      </c>
      <c r="EL126">
        <v>38.75</v>
      </c>
      <c r="EM126">
        <v>37.625</v>
      </c>
      <c r="EN126">
        <v>38.437</v>
      </c>
      <c r="EO126">
        <v>38.125</v>
      </c>
      <c r="EP126">
        <v>1454.626666666667</v>
      </c>
      <c r="EQ126">
        <v>40.35</v>
      </c>
      <c r="ER126">
        <v>0</v>
      </c>
      <c r="ES126">
        <v>397.2000000476837</v>
      </c>
      <c r="ET126">
        <v>0</v>
      </c>
      <c r="EU126">
        <v>921.6546923076924</v>
      </c>
      <c r="EV126">
        <v>-23.74174356073915</v>
      </c>
      <c r="EW126">
        <v>-326.8410252007362</v>
      </c>
      <c r="EX126">
        <v>13689.85</v>
      </c>
      <c r="EY126">
        <v>15</v>
      </c>
      <c r="EZ126">
        <v>1651864261.1</v>
      </c>
      <c r="FA126" t="s">
        <v>419</v>
      </c>
      <c r="FB126">
        <v>1651864241.6</v>
      </c>
      <c r="FC126">
        <v>1651864261.1</v>
      </c>
      <c r="FD126">
        <v>7</v>
      </c>
      <c r="FE126">
        <v>0.438</v>
      </c>
      <c r="FF126">
        <v>0.002</v>
      </c>
      <c r="FG126">
        <v>-0.988</v>
      </c>
      <c r="FH126">
        <v>-0.066</v>
      </c>
      <c r="FI126">
        <v>400</v>
      </c>
      <c r="FJ126">
        <v>11</v>
      </c>
      <c r="FK126">
        <v>0.05</v>
      </c>
      <c r="FL126">
        <v>0.02</v>
      </c>
      <c r="FM126">
        <v>-14.44184634146341</v>
      </c>
      <c r="FN126">
        <v>5.765203484320591</v>
      </c>
      <c r="FO126">
        <v>0.5835346688961062</v>
      </c>
      <c r="FP126">
        <v>-1</v>
      </c>
      <c r="FQ126">
        <v>5.668879512195122</v>
      </c>
      <c r="FR126">
        <v>-0.9941080139372718</v>
      </c>
      <c r="FS126">
        <v>0.09826753784889494</v>
      </c>
      <c r="FT126">
        <v>-1</v>
      </c>
      <c r="FU126">
        <v>0</v>
      </c>
      <c r="FV126">
        <v>0</v>
      </c>
      <c r="FW126">
        <v>0</v>
      </c>
      <c r="FX126">
        <v>-1</v>
      </c>
      <c r="FY126">
        <v>0</v>
      </c>
      <c r="FZ126">
        <v>0</v>
      </c>
      <c r="GA126" t="s">
        <v>420</v>
      </c>
      <c r="GB126">
        <v>2.98068</v>
      </c>
      <c r="GC126">
        <v>2.70621</v>
      </c>
      <c r="GD126">
        <v>0.158492</v>
      </c>
      <c r="GE126">
        <v>0.15825</v>
      </c>
      <c r="GF126">
        <v>0.08689280000000001</v>
      </c>
      <c r="GG126">
        <v>0.0659173</v>
      </c>
      <c r="GH126">
        <v>26557.4</v>
      </c>
      <c r="GI126">
        <v>26623.6</v>
      </c>
      <c r="GJ126">
        <v>29345.3</v>
      </c>
      <c r="GK126">
        <v>29260</v>
      </c>
      <c r="GL126">
        <v>35482.4</v>
      </c>
      <c r="GM126">
        <v>36403.3</v>
      </c>
      <c r="GN126">
        <v>41305.2</v>
      </c>
      <c r="GO126">
        <v>41763.3</v>
      </c>
      <c r="GP126">
        <v>1.95667</v>
      </c>
      <c r="GQ126">
        <v>1.8491</v>
      </c>
      <c r="GR126">
        <v>-0.0232235</v>
      </c>
      <c r="GS126">
        <v>0</v>
      </c>
      <c r="GT126">
        <v>25.3947</v>
      </c>
      <c r="GU126">
        <v>999.9</v>
      </c>
      <c r="GV126">
        <v>31.8</v>
      </c>
      <c r="GW126">
        <v>34.3</v>
      </c>
      <c r="GX126">
        <v>19.2119</v>
      </c>
      <c r="GY126">
        <v>62.5275</v>
      </c>
      <c r="GZ126">
        <v>35.1082</v>
      </c>
      <c r="HA126">
        <v>1</v>
      </c>
      <c r="HB126">
        <v>0.105589</v>
      </c>
      <c r="HC126">
        <v>2.41462</v>
      </c>
      <c r="HD126">
        <v>20.3169</v>
      </c>
      <c r="HE126">
        <v>5.21849</v>
      </c>
      <c r="HF126">
        <v>12.0099</v>
      </c>
      <c r="HG126">
        <v>4.9893</v>
      </c>
      <c r="HH126">
        <v>3.28865</v>
      </c>
      <c r="HI126">
        <v>996.2</v>
      </c>
      <c r="HJ126">
        <v>9538.9</v>
      </c>
      <c r="HK126">
        <v>5139.4</v>
      </c>
      <c r="HL126">
        <v>24.9</v>
      </c>
      <c r="HM126">
        <v>1.86749</v>
      </c>
      <c r="HN126">
        <v>1.86646</v>
      </c>
      <c r="HO126">
        <v>1.866</v>
      </c>
      <c r="HP126">
        <v>1.86585</v>
      </c>
      <c r="HQ126">
        <v>1.86768</v>
      </c>
      <c r="HR126">
        <v>1.87017</v>
      </c>
      <c r="HS126">
        <v>1.86888</v>
      </c>
      <c r="HT126">
        <v>1.87025</v>
      </c>
      <c r="HU126">
        <v>0</v>
      </c>
      <c r="HV126">
        <v>0</v>
      </c>
      <c r="HW126">
        <v>0</v>
      </c>
      <c r="HX126">
        <v>0</v>
      </c>
      <c r="HY126" t="s">
        <v>421</v>
      </c>
      <c r="HZ126" t="s">
        <v>422</v>
      </c>
      <c r="IA126" t="s">
        <v>423</v>
      </c>
      <c r="IB126" t="s">
        <v>423</v>
      </c>
      <c r="IC126" t="s">
        <v>423</v>
      </c>
      <c r="ID126" t="s">
        <v>423</v>
      </c>
      <c r="IE126">
        <v>0</v>
      </c>
      <c r="IF126">
        <v>100</v>
      </c>
      <c r="IG126">
        <v>100</v>
      </c>
      <c r="IH126">
        <v>-1.834</v>
      </c>
      <c r="II126">
        <v>0.0172</v>
      </c>
      <c r="IJ126">
        <v>-0.2164499368582429</v>
      </c>
      <c r="IK126">
        <v>-0.002077099775823331</v>
      </c>
      <c r="IL126">
        <v>4.593143279902166E-07</v>
      </c>
      <c r="IM126">
        <v>-1.865383991892071E-10</v>
      </c>
      <c r="IN126">
        <v>-0.06087574426827484</v>
      </c>
      <c r="IO126">
        <v>-0.01129461987421345</v>
      </c>
      <c r="IP126">
        <v>0.00116580895745559</v>
      </c>
      <c r="IQ126">
        <v>-1.679085872906199E-05</v>
      </c>
      <c r="IR126">
        <v>2</v>
      </c>
      <c r="IS126">
        <v>2290</v>
      </c>
      <c r="IT126">
        <v>0</v>
      </c>
      <c r="IU126">
        <v>32</v>
      </c>
      <c r="IV126">
        <v>6.3</v>
      </c>
      <c r="IW126">
        <v>6</v>
      </c>
      <c r="IX126">
        <v>1.89209</v>
      </c>
      <c r="IY126">
        <v>2.24976</v>
      </c>
      <c r="IZ126">
        <v>1.39648</v>
      </c>
      <c r="JA126">
        <v>2.35718</v>
      </c>
      <c r="JB126">
        <v>1.49536</v>
      </c>
      <c r="JC126">
        <v>2.28149</v>
      </c>
      <c r="JD126">
        <v>38.4524</v>
      </c>
      <c r="JE126">
        <v>24.0262</v>
      </c>
      <c r="JF126">
        <v>18</v>
      </c>
      <c r="JG126">
        <v>511.754</v>
      </c>
      <c r="JH126">
        <v>428.191</v>
      </c>
      <c r="JI126">
        <v>22.2686</v>
      </c>
      <c r="JJ126">
        <v>28.6584</v>
      </c>
      <c r="JK126">
        <v>30</v>
      </c>
      <c r="JL126">
        <v>28.6228</v>
      </c>
      <c r="JM126">
        <v>28.5617</v>
      </c>
      <c r="JN126">
        <v>37.8461</v>
      </c>
      <c r="JO126">
        <v>33.4336</v>
      </c>
      <c r="JP126">
        <v>0</v>
      </c>
      <c r="JQ126">
        <v>22.2673</v>
      </c>
      <c r="JR126">
        <v>882.075</v>
      </c>
      <c r="JS126">
        <v>12.7737</v>
      </c>
      <c r="JT126">
        <v>100.309</v>
      </c>
      <c r="JU126">
        <v>100.235</v>
      </c>
    </row>
    <row r="127" spans="1:281">
      <c r="A127">
        <v>111</v>
      </c>
      <c r="B127">
        <v>1651864619.6</v>
      </c>
      <c r="C127">
        <v>399</v>
      </c>
      <c r="D127" t="s">
        <v>642</v>
      </c>
      <c r="E127" t="s">
        <v>643</v>
      </c>
      <c r="F127">
        <v>2</v>
      </c>
      <c r="G127" t="s">
        <v>413</v>
      </c>
      <c r="H127" t="s">
        <v>414</v>
      </c>
      <c r="I127">
        <v>1651864618.433333</v>
      </c>
      <c r="J127">
        <f>(K127)/1000</f>
        <v>0</v>
      </c>
      <c r="K127">
        <f>IF(CZ127, AN127, AH127)</f>
        <v>0</v>
      </c>
      <c r="L127">
        <f>IF(CZ127, AI127, AG127)</f>
        <v>0</v>
      </c>
      <c r="M127">
        <f>DB127 - IF(AU127&gt;1, L127*CV127*100.0/(AW127*DP127), 0)</f>
        <v>0</v>
      </c>
      <c r="N127">
        <f>((T127-J127/2)*M127-L127)/(T127+J127/2)</f>
        <v>0</v>
      </c>
      <c r="O127">
        <f>N127*(DI127+DJ127)/1000.0</f>
        <v>0</v>
      </c>
      <c r="P127">
        <f>(DB127 - IF(AU127&gt;1, L127*CV127*100.0/(AW127*DP127), 0))*(DI127+DJ127)/1000.0</f>
        <v>0</v>
      </c>
      <c r="Q127">
        <f>2.0/((1/S127-1/R127)+SIGN(S127)*SQRT((1/S127-1/R127)*(1/S127-1/R127) + 4*CW127/((CW127+1)*(CW127+1))*(2*1/S127*1/R127-1/R127*1/R127)))</f>
        <v>0</v>
      </c>
      <c r="R127">
        <f>IF(LEFT(CX127,1)&lt;&gt;"0",IF(LEFT(CX127,1)="1",3.0,CY127),$D$5+$E$5*(DP127*DI127/($K$5*1000))+$F$5*(DP127*DI127/($K$5*1000))*MAX(MIN(CV127,$J$5),$I$5)*MAX(MIN(CV127,$J$5),$I$5)+$G$5*MAX(MIN(CV127,$J$5),$I$5)*(DP127*DI127/($K$5*1000))+$H$5*(DP127*DI127/($K$5*1000))*(DP127*DI127/($K$5*1000)))</f>
        <v>0</v>
      </c>
      <c r="S127">
        <f>J127*(1000-(1000*0.61365*exp(17.502*W127/(240.97+W127))/(DI127+DJ127)+DD127)/2)/(1000*0.61365*exp(17.502*W127/(240.97+W127))/(DI127+DJ127)-DD127)</f>
        <v>0</v>
      </c>
      <c r="T127">
        <f>1/((CW127+1)/(Q127/1.6)+1/(R127/1.37)) + CW127/((CW127+1)/(Q127/1.6) + CW127/(R127/1.37))</f>
        <v>0</v>
      </c>
      <c r="U127">
        <f>(CR127*CU127)</f>
        <v>0</v>
      </c>
      <c r="V127">
        <f>(DK127+(U127+2*0.95*5.67E-8*(((DK127+$B$7)+273)^4-(DK127+273)^4)-44100*J127)/(1.84*29.3*R127+8*0.95*5.67E-8*(DK127+273)^3))</f>
        <v>0</v>
      </c>
      <c r="W127">
        <f>($C$7*DL127+$D$7*DM127+$E$7*V127)</f>
        <v>0</v>
      </c>
      <c r="X127">
        <f>0.61365*exp(17.502*W127/(240.97+W127))</f>
        <v>0</v>
      </c>
      <c r="Y127">
        <f>(Z127/AA127*100)</f>
        <v>0</v>
      </c>
      <c r="Z127">
        <f>DD127*(DI127+DJ127)/1000</f>
        <v>0</v>
      </c>
      <c r="AA127">
        <f>0.61365*exp(17.502*DK127/(240.97+DK127))</f>
        <v>0</v>
      </c>
      <c r="AB127">
        <f>(X127-DD127*(DI127+DJ127)/1000)</f>
        <v>0</v>
      </c>
      <c r="AC127">
        <f>(-J127*44100)</f>
        <v>0</v>
      </c>
      <c r="AD127">
        <f>2*29.3*R127*0.92*(DK127-W127)</f>
        <v>0</v>
      </c>
      <c r="AE127">
        <f>2*0.95*5.67E-8*(((DK127+$B$7)+273)^4-(W127+273)^4)</f>
        <v>0</v>
      </c>
      <c r="AF127">
        <f>U127+AE127+AC127+AD127</f>
        <v>0</v>
      </c>
      <c r="AG127">
        <f>DH127*AU127*(DC127-DB127*(1000-AU127*DE127)/(1000-AU127*DD127))/(100*CV127)</f>
        <v>0</v>
      </c>
      <c r="AH127">
        <f>1000*DH127*AU127*(DD127-DE127)/(100*CV127*(1000-AU127*DD127))</f>
        <v>0</v>
      </c>
      <c r="AI127">
        <f>(AJ127 - AK127 - DI127*1E3/(8.314*(DK127+273.15)) * AM127/DH127 * AL127) * DH127/(100*CV127) * (1000 - DE127)/1000</f>
        <v>0</v>
      </c>
      <c r="AJ127">
        <v>918.7410396668058</v>
      </c>
      <c r="AK127">
        <v>902.3441757575752</v>
      </c>
      <c r="AL127">
        <v>-3.356663047442209</v>
      </c>
      <c r="AM127">
        <v>66.38192812717227</v>
      </c>
      <c r="AN127">
        <f>(AP127 - AO127 + DI127*1E3/(8.314*(DK127+273.15)) * AR127/DH127 * AQ127) * DH127/(100*CV127) * 1000/(1000 - AP127)</f>
        <v>0</v>
      </c>
      <c r="AO127">
        <v>12.57341387848145</v>
      </c>
      <c r="AP127">
        <v>18.12290647058822</v>
      </c>
      <c r="AQ127">
        <v>2.977480976291786E-05</v>
      </c>
      <c r="AR127">
        <v>80.47224507511959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MAX(0,($B$13+$C$13*DP127)/(1+$D$13*DP127)*DI127/(DK127+273)*$E$13)</f>
        <v>0</v>
      </c>
      <c r="AX127" t="s">
        <v>417</v>
      </c>
      <c r="AY127" t="s">
        <v>417</v>
      </c>
      <c r="AZ127">
        <v>0</v>
      </c>
      <c r="BA127">
        <v>0</v>
      </c>
      <c r="BB127">
        <f>1-AZ127/BA127</f>
        <v>0</v>
      </c>
      <c r="BC127">
        <v>0</v>
      </c>
      <c r="BD127" t="s">
        <v>417</v>
      </c>
      <c r="BE127" t="s">
        <v>417</v>
      </c>
      <c r="BF127">
        <v>0</v>
      </c>
      <c r="BG127">
        <v>0</v>
      </c>
      <c r="BH127">
        <f>1-BF127/BG127</f>
        <v>0</v>
      </c>
      <c r="BI127">
        <v>0.5</v>
      </c>
      <c r="BJ127">
        <f>CS127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417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1248</v>
      </c>
      <c r="CA127">
        <v>300</v>
      </c>
      <c r="CB127">
        <v>300</v>
      </c>
      <c r="CC127">
        <v>300</v>
      </c>
      <c r="CD127">
        <v>10442</v>
      </c>
      <c r="CE127">
        <v>1293.69</v>
      </c>
      <c r="CF127">
        <v>-0.00735246</v>
      </c>
      <c r="CG127">
        <v>0.5</v>
      </c>
      <c r="CH127" t="s">
        <v>417</v>
      </c>
      <c r="CI127" t="s">
        <v>417</v>
      </c>
      <c r="CJ127" t="s">
        <v>417</v>
      </c>
      <c r="CK127" t="s">
        <v>417</v>
      </c>
      <c r="CL127" t="s">
        <v>417</v>
      </c>
      <c r="CM127" t="s">
        <v>417</v>
      </c>
      <c r="CN127" t="s">
        <v>417</v>
      </c>
      <c r="CO127" t="s">
        <v>417</v>
      </c>
      <c r="CP127" t="s">
        <v>417</v>
      </c>
      <c r="CQ127" t="s">
        <v>417</v>
      </c>
      <c r="CR127">
        <f>$B$11*DQ127+$C$11*DR127+$F$11*EC127*(1-EF127)</f>
        <v>0</v>
      </c>
      <c r="CS127">
        <f>CR127*CT127</f>
        <v>0</v>
      </c>
      <c r="CT127">
        <f>($B$11*$D$9+$C$11*$D$9+$F$11*((EP127+EH127)/MAX(EP127+EH127+EQ127, 0.1)*$I$9+EQ127/MAX(EP127+EH127+EQ127, 0.1)*$J$9))/($B$11+$C$11+$F$11)</f>
        <v>0</v>
      </c>
      <c r="CU127">
        <f>($B$11*$K$9+$C$11*$K$9+$F$11*((EP127+EH127)/MAX(EP127+EH127+EQ127, 0.1)*$P$9+EQ127/MAX(EP127+EH127+EQ127, 0.1)*$Q$9))/($B$11+$C$11+$F$11)</f>
        <v>0</v>
      </c>
      <c r="CV127">
        <v>6</v>
      </c>
      <c r="CW127">
        <v>0.5</v>
      </c>
      <c r="CX127" t="s">
        <v>418</v>
      </c>
      <c r="CY127">
        <v>2</v>
      </c>
      <c r="CZ127" t="b">
        <v>1</v>
      </c>
      <c r="DA127">
        <v>1651864618.433333</v>
      </c>
      <c r="DB127">
        <v>888.1909999999999</v>
      </c>
      <c r="DC127">
        <v>901.7796666666667</v>
      </c>
      <c r="DD127">
        <v>18.12343333333333</v>
      </c>
      <c r="DE127">
        <v>12.63323333333333</v>
      </c>
      <c r="DF127">
        <v>890.0233333333334</v>
      </c>
      <c r="DG127">
        <v>18.10626666666667</v>
      </c>
      <c r="DH127">
        <v>500.038</v>
      </c>
      <c r="DI127">
        <v>89.9329</v>
      </c>
      <c r="DJ127">
        <v>0.09994773333333333</v>
      </c>
      <c r="DK127">
        <v>25.693</v>
      </c>
      <c r="DL127">
        <v>25.0121</v>
      </c>
      <c r="DM127">
        <v>999.9</v>
      </c>
      <c r="DN127">
        <v>0</v>
      </c>
      <c r="DO127">
        <v>0</v>
      </c>
      <c r="DP127">
        <v>10011.26666666667</v>
      </c>
      <c r="DQ127">
        <v>0</v>
      </c>
      <c r="DR127">
        <v>3.23193</v>
      </c>
      <c r="DS127">
        <v>-13.5889</v>
      </c>
      <c r="DT127">
        <v>904.585</v>
      </c>
      <c r="DU127">
        <v>913.3176666666667</v>
      </c>
      <c r="DV127">
        <v>5.490203333333334</v>
      </c>
      <c r="DW127">
        <v>901.7796666666667</v>
      </c>
      <c r="DX127">
        <v>12.63323333333333</v>
      </c>
      <c r="DY127">
        <v>1.629893333333333</v>
      </c>
      <c r="DZ127">
        <v>1.136143333333333</v>
      </c>
      <c r="EA127">
        <v>14.24436666666667</v>
      </c>
      <c r="EB127">
        <v>8.790106666666668</v>
      </c>
      <c r="EC127">
        <v>1499.973333333333</v>
      </c>
      <c r="ED127">
        <v>0.973007</v>
      </c>
      <c r="EE127">
        <v>0.0269931</v>
      </c>
      <c r="EF127">
        <v>0</v>
      </c>
      <c r="EG127">
        <v>918.6366666666667</v>
      </c>
      <c r="EH127">
        <v>5.00097</v>
      </c>
      <c r="EI127">
        <v>13647.93333333333</v>
      </c>
      <c r="EJ127">
        <v>12491.4</v>
      </c>
      <c r="EK127">
        <v>37.25</v>
      </c>
      <c r="EL127">
        <v>38.75</v>
      </c>
      <c r="EM127">
        <v>37.625</v>
      </c>
      <c r="EN127">
        <v>38.437</v>
      </c>
      <c r="EO127">
        <v>38.125</v>
      </c>
      <c r="EP127">
        <v>1454.623333333333</v>
      </c>
      <c r="EQ127">
        <v>40.35</v>
      </c>
      <c r="ER127">
        <v>0</v>
      </c>
      <c r="ES127">
        <v>398.4000000953674</v>
      </c>
      <c r="ET127">
        <v>0</v>
      </c>
      <c r="EU127">
        <v>921.2033846153846</v>
      </c>
      <c r="EV127">
        <v>-23.73271796622342</v>
      </c>
      <c r="EW127">
        <v>-330.3111113448601</v>
      </c>
      <c r="EX127">
        <v>13683.23846153846</v>
      </c>
      <c r="EY127">
        <v>15</v>
      </c>
      <c r="EZ127">
        <v>1651864261.1</v>
      </c>
      <c r="FA127" t="s">
        <v>419</v>
      </c>
      <c r="FB127">
        <v>1651864241.6</v>
      </c>
      <c r="FC127">
        <v>1651864261.1</v>
      </c>
      <c r="FD127">
        <v>7</v>
      </c>
      <c r="FE127">
        <v>0.438</v>
      </c>
      <c r="FF127">
        <v>0.002</v>
      </c>
      <c r="FG127">
        <v>-0.988</v>
      </c>
      <c r="FH127">
        <v>-0.066</v>
      </c>
      <c r="FI127">
        <v>400</v>
      </c>
      <c r="FJ127">
        <v>11</v>
      </c>
      <c r="FK127">
        <v>0.05</v>
      </c>
      <c r="FL127">
        <v>0.02</v>
      </c>
      <c r="FM127">
        <v>-14.271295</v>
      </c>
      <c r="FN127">
        <v>5.17472420262669</v>
      </c>
      <c r="FO127">
        <v>0.5121984414999717</v>
      </c>
      <c r="FP127">
        <v>-1</v>
      </c>
      <c r="FQ127">
        <v>5.639227</v>
      </c>
      <c r="FR127">
        <v>-0.9809950469043199</v>
      </c>
      <c r="FS127">
        <v>0.09459792360829071</v>
      </c>
      <c r="FT127">
        <v>-1</v>
      </c>
      <c r="FU127">
        <v>0</v>
      </c>
      <c r="FV127">
        <v>0</v>
      </c>
      <c r="FW127">
        <v>0</v>
      </c>
      <c r="FX127">
        <v>-1</v>
      </c>
      <c r="FY127">
        <v>0</v>
      </c>
      <c r="FZ127">
        <v>0</v>
      </c>
      <c r="GA127" t="s">
        <v>420</v>
      </c>
      <c r="GB127">
        <v>2.98049</v>
      </c>
      <c r="GC127">
        <v>2.7062</v>
      </c>
      <c r="GD127">
        <v>0.157918</v>
      </c>
      <c r="GE127">
        <v>0.157681</v>
      </c>
      <c r="GF127">
        <v>0.0868869</v>
      </c>
      <c r="GG127">
        <v>0.06603539999999999</v>
      </c>
      <c r="GH127">
        <v>26575.3</v>
      </c>
      <c r="GI127">
        <v>26641.5</v>
      </c>
      <c r="GJ127">
        <v>29345</v>
      </c>
      <c r="GK127">
        <v>29259.8</v>
      </c>
      <c r="GL127">
        <v>35482.3</v>
      </c>
      <c r="GM127">
        <v>36398.6</v>
      </c>
      <c r="GN127">
        <v>41304.8</v>
      </c>
      <c r="GO127">
        <v>41763.2</v>
      </c>
      <c r="GP127">
        <v>1.95635</v>
      </c>
      <c r="GQ127">
        <v>1.84918</v>
      </c>
      <c r="GR127">
        <v>-0.023324</v>
      </c>
      <c r="GS127">
        <v>0</v>
      </c>
      <c r="GT127">
        <v>25.3941</v>
      </c>
      <c r="GU127">
        <v>999.9</v>
      </c>
      <c r="GV127">
        <v>31.8</v>
      </c>
      <c r="GW127">
        <v>34.3</v>
      </c>
      <c r="GX127">
        <v>19.2096</v>
      </c>
      <c r="GY127">
        <v>62.5475</v>
      </c>
      <c r="GZ127">
        <v>35.2003</v>
      </c>
      <c r="HA127">
        <v>1</v>
      </c>
      <c r="HB127">
        <v>0.10562</v>
      </c>
      <c r="HC127">
        <v>2.40161</v>
      </c>
      <c r="HD127">
        <v>20.3172</v>
      </c>
      <c r="HE127">
        <v>5.21879</v>
      </c>
      <c r="HF127">
        <v>12.0099</v>
      </c>
      <c r="HG127">
        <v>4.98935</v>
      </c>
      <c r="HH127">
        <v>3.28865</v>
      </c>
      <c r="HI127">
        <v>996.2</v>
      </c>
      <c r="HJ127">
        <v>9538.9</v>
      </c>
      <c r="HK127">
        <v>5139.4</v>
      </c>
      <c r="HL127">
        <v>24.9</v>
      </c>
      <c r="HM127">
        <v>1.86749</v>
      </c>
      <c r="HN127">
        <v>1.86646</v>
      </c>
      <c r="HO127">
        <v>1.866</v>
      </c>
      <c r="HP127">
        <v>1.86586</v>
      </c>
      <c r="HQ127">
        <v>1.86768</v>
      </c>
      <c r="HR127">
        <v>1.87018</v>
      </c>
      <c r="HS127">
        <v>1.86888</v>
      </c>
      <c r="HT127">
        <v>1.87025</v>
      </c>
      <c r="HU127">
        <v>0</v>
      </c>
      <c r="HV127">
        <v>0</v>
      </c>
      <c r="HW127">
        <v>0</v>
      </c>
      <c r="HX127">
        <v>0</v>
      </c>
      <c r="HY127" t="s">
        <v>421</v>
      </c>
      <c r="HZ127" t="s">
        <v>422</v>
      </c>
      <c r="IA127" t="s">
        <v>423</v>
      </c>
      <c r="IB127" t="s">
        <v>423</v>
      </c>
      <c r="IC127" t="s">
        <v>423</v>
      </c>
      <c r="ID127" t="s">
        <v>423</v>
      </c>
      <c r="IE127">
        <v>0</v>
      </c>
      <c r="IF127">
        <v>100</v>
      </c>
      <c r="IG127">
        <v>100</v>
      </c>
      <c r="IH127">
        <v>-1.827</v>
      </c>
      <c r="II127">
        <v>0.0171</v>
      </c>
      <c r="IJ127">
        <v>-0.2164499368582429</v>
      </c>
      <c r="IK127">
        <v>-0.002077099775823331</v>
      </c>
      <c r="IL127">
        <v>4.593143279902166E-07</v>
      </c>
      <c r="IM127">
        <v>-1.865383991892071E-10</v>
      </c>
      <c r="IN127">
        <v>-0.06087574426827484</v>
      </c>
      <c r="IO127">
        <v>-0.01129461987421345</v>
      </c>
      <c r="IP127">
        <v>0.00116580895745559</v>
      </c>
      <c r="IQ127">
        <v>-1.679085872906199E-05</v>
      </c>
      <c r="IR127">
        <v>2</v>
      </c>
      <c r="IS127">
        <v>2290</v>
      </c>
      <c r="IT127">
        <v>0</v>
      </c>
      <c r="IU127">
        <v>32</v>
      </c>
      <c r="IV127">
        <v>6.3</v>
      </c>
      <c r="IW127">
        <v>6</v>
      </c>
      <c r="IX127">
        <v>1.88599</v>
      </c>
      <c r="IY127">
        <v>2.20093</v>
      </c>
      <c r="IZ127">
        <v>1.39648</v>
      </c>
      <c r="JA127">
        <v>2.35596</v>
      </c>
      <c r="JB127">
        <v>1.49536</v>
      </c>
      <c r="JC127">
        <v>2.33398</v>
      </c>
      <c r="JD127">
        <v>38.4524</v>
      </c>
      <c r="JE127">
        <v>24.035</v>
      </c>
      <c r="JF127">
        <v>18</v>
      </c>
      <c r="JG127">
        <v>511.541</v>
      </c>
      <c r="JH127">
        <v>428.242</v>
      </c>
      <c r="JI127">
        <v>22.2652</v>
      </c>
      <c r="JJ127">
        <v>28.6584</v>
      </c>
      <c r="JK127">
        <v>30.0001</v>
      </c>
      <c r="JL127">
        <v>28.6228</v>
      </c>
      <c r="JM127">
        <v>28.5624</v>
      </c>
      <c r="JN127">
        <v>37.663</v>
      </c>
      <c r="JO127">
        <v>33.1276</v>
      </c>
      <c r="JP127">
        <v>0</v>
      </c>
      <c r="JQ127">
        <v>22.2547</v>
      </c>
      <c r="JR127">
        <v>875.395</v>
      </c>
      <c r="JS127">
        <v>12.7998</v>
      </c>
      <c r="JT127">
        <v>100.308</v>
      </c>
      <c r="JU127">
        <v>100.234</v>
      </c>
    </row>
    <row r="128" spans="1:281">
      <c r="A128">
        <v>112</v>
      </c>
      <c r="B128">
        <v>1651864621.6</v>
      </c>
      <c r="C128">
        <v>401</v>
      </c>
      <c r="D128" t="s">
        <v>644</v>
      </c>
      <c r="E128" t="s">
        <v>645</v>
      </c>
      <c r="F128">
        <v>2</v>
      </c>
      <c r="G128" t="s">
        <v>413</v>
      </c>
      <c r="H128" t="s">
        <v>414</v>
      </c>
      <c r="I128">
        <v>1651864620.6</v>
      </c>
      <c r="J128">
        <f>(K128)/1000</f>
        <v>0</v>
      </c>
      <c r="K128">
        <f>IF(CZ128, AN128, AH128)</f>
        <v>0</v>
      </c>
      <c r="L128">
        <f>IF(CZ128, AI128, AG128)</f>
        <v>0</v>
      </c>
      <c r="M128">
        <f>DB128 - IF(AU128&gt;1, L128*CV128*100.0/(AW128*DP128), 0)</f>
        <v>0</v>
      </c>
      <c r="N128">
        <f>((T128-J128/2)*M128-L128)/(T128+J128/2)</f>
        <v>0</v>
      </c>
      <c r="O128">
        <f>N128*(DI128+DJ128)/1000.0</f>
        <v>0</v>
      </c>
      <c r="P128">
        <f>(DB128 - IF(AU128&gt;1, L128*CV128*100.0/(AW128*DP128), 0))*(DI128+DJ128)/1000.0</f>
        <v>0</v>
      </c>
      <c r="Q128">
        <f>2.0/((1/S128-1/R128)+SIGN(S128)*SQRT((1/S128-1/R128)*(1/S128-1/R128) + 4*CW128/((CW128+1)*(CW128+1))*(2*1/S128*1/R128-1/R128*1/R128)))</f>
        <v>0</v>
      </c>
      <c r="R128">
        <f>IF(LEFT(CX128,1)&lt;&gt;"0",IF(LEFT(CX128,1)="1",3.0,CY128),$D$5+$E$5*(DP128*DI128/($K$5*1000))+$F$5*(DP128*DI128/($K$5*1000))*MAX(MIN(CV128,$J$5),$I$5)*MAX(MIN(CV128,$J$5),$I$5)+$G$5*MAX(MIN(CV128,$J$5),$I$5)*(DP128*DI128/($K$5*1000))+$H$5*(DP128*DI128/($K$5*1000))*(DP128*DI128/($K$5*1000)))</f>
        <v>0</v>
      </c>
      <c r="S128">
        <f>J128*(1000-(1000*0.61365*exp(17.502*W128/(240.97+W128))/(DI128+DJ128)+DD128)/2)/(1000*0.61365*exp(17.502*W128/(240.97+W128))/(DI128+DJ128)-DD128)</f>
        <v>0</v>
      </c>
      <c r="T128">
        <f>1/((CW128+1)/(Q128/1.6)+1/(R128/1.37)) + CW128/((CW128+1)/(Q128/1.6) + CW128/(R128/1.37))</f>
        <v>0</v>
      </c>
      <c r="U128">
        <f>(CR128*CU128)</f>
        <v>0</v>
      </c>
      <c r="V128">
        <f>(DK128+(U128+2*0.95*5.67E-8*(((DK128+$B$7)+273)^4-(DK128+273)^4)-44100*J128)/(1.84*29.3*R128+8*0.95*5.67E-8*(DK128+273)^3))</f>
        <v>0</v>
      </c>
      <c r="W128">
        <f>($C$7*DL128+$D$7*DM128+$E$7*V128)</f>
        <v>0</v>
      </c>
      <c r="X128">
        <f>0.61365*exp(17.502*W128/(240.97+W128))</f>
        <v>0</v>
      </c>
      <c r="Y128">
        <f>(Z128/AA128*100)</f>
        <v>0</v>
      </c>
      <c r="Z128">
        <f>DD128*(DI128+DJ128)/1000</f>
        <v>0</v>
      </c>
      <c r="AA128">
        <f>0.61365*exp(17.502*DK128/(240.97+DK128))</f>
        <v>0</v>
      </c>
      <c r="AB128">
        <f>(X128-DD128*(DI128+DJ128)/1000)</f>
        <v>0</v>
      </c>
      <c r="AC128">
        <f>(-J128*44100)</f>
        <v>0</v>
      </c>
      <c r="AD128">
        <f>2*29.3*R128*0.92*(DK128-W128)</f>
        <v>0</v>
      </c>
      <c r="AE128">
        <f>2*0.95*5.67E-8*(((DK128+$B$7)+273)^4-(W128+273)^4)</f>
        <v>0</v>
      </c>
      <c r="AF128">
        <f>U128+AE128+AC128+AD128</f>
        <v>0</v>
      </c>
      <c r="AG128">
        <f>DH128*AU128*(DC128-DB128*(1000-AU128*DE128)/(1000-AU128*DD128))/(100*CV128)</f>
        <v>0</v>
      </c>
      <c r="AH128">
        <f>1000*DH128*AU128*(DD128-DE128)/(100*CV128*(1000-AU128*DD128))</f>
        <v>0</v>
      </c>
      <c r="AI128">
        <f>(AJ128 - AK128 - DI128*1E3/(8.314*(DK128+273.15)) * AM128/DH128 * AL128) * DH128/(100*CV128) * (1000 - DE128)/1000</f>
        <v>0</v>
      </c>
      <c r="AJ128">
        <v>912.0042028137372</v>
      </c>
      <c r="AK128">
        <v>895.6862303030302</v>
      </c>
      <c r="AL128">
        <v>-3.341419177244924</v>
      </c>
      <c r="AM128">
        <v>66.38192812717227</v>
      </c>
      <c r="AN128">
        <f>(AP128 - AO128 + DI128*1E3/(8.314*(DK128+273.15)) * AR128/DH128 * AQ128) * DH128/(100*CV128) * 1000/(1000 - AP128)</f>
        <v>0</v>
      </c>
      <c r="AO128">
        <v>12.60623062829714</v>
      </c>
      <c r="AP128">
        <v>18.12174970588234</v>
      </c>
      <c r="AQ128">
        <v>7.176498643730669E-06</v>
      </c>
      <c r="AR128">
        <v>80.47224507511959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MAX(0,($B$13+$C$13*DP128)/(1+$D$13*DP128)*DI128/(DK128+273)*$E$13)</f>
        <v>0</v>
      </c>
      <c r="AX128" t="s">
        <v>417</v>
      </c>
      <c r="AY128" t="s">
        <v>417</v>
      </c>
      <c r="AZ128">
        <v>0</v>
      </c>
      <c r="BA128">
        <v>0</v>
      </c>
      <c r="BB128">
        <f>1-AZ128/BA128</f>
        <v>0</v>
      </c>
      <c r="BC128">
        <v>0</v>
      </c>
      <c r="BD128" t="s">
        <v>417</v>
      </c>
      <c r="BE128" t="s">
        <v>417</v>
      </c>
      <c r="BF128">
        <v>0</v>
      </c>
      <c r="BG128">
        <v>0</v>
      </c>
      <c r="BH128">
        <f>1-BF128/BG128</f>
        <v>0</v>
      </c>
      <c r="BI128">
        <v>0.5</v>
      </c>
      <c r="BJ128">
        <f>CS128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417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1248</v>
      </c>
      <c r="CA128">
        <v>300</v>
      </c>
      <c r="CB128">
        <v>300</v>
      </c>
      <c r="CC128">
        <v>300</v>
      </c>
      <c r="CD128">
        <v>10442</v>
      </c>
      <c r="CE128">
        <v>1293.69</v>
      </c>
      <c r="CF128">
        <v>-0.00735246</v>
      </c>
      <c r="CG128">
        <v>0.5</v>
      </c>
      <c r="CH128" t="s">
        <v>417</v>
      </c>
      <c r="CI128" t="s">
        <v>417</v>
      </c>
      <c r="CJ128" t="s">
        <v>417</v>
      </c>
      <c r="CK128" t="s">
        <v>417</v>
      </c>
      <c r="CL128" t="s">
        <v>417</v>
      </c>
      <c r="CM128" t="s">
        <v>417</v>
      </c>
      <c r="CN128" t="s">
        <v>417</v>
      </c>
      <c r="CO128" t="s">
        <v>417</v>
      </c>
      <c r="CP128" t="s">
        <v>417</v>
      </c>
      <c r="CQ128" t="s">
        <v>417</v>
      </c>
      <c r="CR128">
        <f>$B$11*DQ128+$C$11*DR128+$F$11*EC128*(1-EF128)</f>
        <v>0</v>
      </c>
      <c r="CS128">
        <f>CR128*CT128</f>
        <v>0</v>
      </c>
      <c r="CT128">
        <f>($B$11*$D$9+$C$11*$D$9+$F$11*((EP128+EH128)/MAX(EP128+EH128+EQ128, 0.1)*$I$9+EQ128/MAX(EP128+EH128+EQ128, 0.1)*$J$9))/($B$11+$C$11+$F$11)</f>
        <v>0</v>
      </c>
      <c r="CU128">
        <f>($B$11*$K$9+$C$11*$K$9+$F$11*((EP128+EH128)/MAX(EP128+EH128+EQ128, 0.1)*$P$9+EQ128/MAX(EP128+EH128+EQ128, 0.1)*$Q$9))/($B$11+$C$11+$F$11)</f>
        <v>0</v>
      </c>
      <c r="CV128">
        <v>6</v>
      </c>
      <c r="CW128">
        <v>0.5</v>
      </c>
      <c r="CX128" t="s">
        <v>418</v>
      </c>
      <c r="CY128">
        <v>2</v>
      </c>
      <c r="CZ128" t="b">
        <v>1</v>
      </c>
      <c r="DA128">
        <v>1651864620.6</v>
      </c>
      <c r="DB128">
        <v>881.0826666666666</v>
      </c>
      <c r="DC128">
        <v>894.5816666666666</v>
      </c>
      <c r="DD128">
        <v>18.12243333333333</v>
      </c>
      <c r="DE128">
        <v>12.67303333333333</v>
      </c>
      <c r="DF128">
        <v>882.9029999999999</v>
      </c>
      <c r="DG128">
        <v>18.1053</v>
      </c>
      <c r="DH128">
        <v>500.0256666666666</v>
      </c>
      <c r="DI128">
        <v>89.9336</v>
      </c>
      <c r="DJ128">
        <v>0.09992783333333333</v>
      </c>
      <c r="DK128">
        <v>25.69</v>
      </c>
      <c r="DL128">
        <v>25.01076666666667</v>
      </c>
      <c r="DM128">
        <v>999.9</v>
      </c>
      <c r="DN128">
        <v>0</v>
      </c>
      <c r="DO128">
        <v>0</v>
      </c>
      <c r="DP128">
        <v>10008.13333333333</v>
      </c>
      <c r="DQ128">
        <v>0</v>
      </c>
      <c r="DR128">
        <v>3.225843333333334</v>
      </c>
      <c r="DS128">
        <v>-13.4991</v>
      </c>
      <c r="DT128">
        <v>897.3443333333335</v>
      </c>
      <c r="DU128">
        <v>906.0636666666666</v>
      </c>
      <c r="DV128">
        <v>5.449369999999999</v>
      </c>
      <c r="DW128">
        <v>894.5816666666666</v>
      </c>
      <c r="DX128">
        <v>12.67303333333333</v>
      </c>
      <c r="DY128">
        <v>1.629816666666667</v>
      </c>
      <c r="DZ128">
        <v>1.139736666666667</v>
      </c>
      <c r="EA128">
        <v>14.2436</v>
      </c>
      <c r="EB128">
        <v>8.836799999999998</v>
      </c>
      <c r="EC128">
        <v>1499.97</v>
      </c>
      <c r="ED128">
        <v>0.973007</v>
      </c>
      <c r="EE128">
        <v>0.0269931</v>
      </c>
      <c r="EF128">
        <v>0</v>
      </c>
      <c r="EG128">
        <v>917.9016666666666</v>
      </c>
      <c r="EH128">
        <v>5.00097</v>
      </c>
      <c r="EI128">
        <v>13633.5</v>
      </c>
      <c r="EJ128">
        <v>12491.36666666667</v>
      </c>
      <c r="EK128">
        <v>37.25</v>
      </c>
      <c r="EL128">
        <v>38.708</v>
      </c>
      <c r="EM128">
        <v>37.625</v>
      </c>
      <c r="EN128">
        <v>38.437</v>
      </c>
      <c r="EO128">
        <v>38.125</v>
      </c>
      <c r="EP128">
        <v>1454.62</v>
      </c>
      <c r="EQ128">
        <v>40.35</v>
      </c>
      <c r="ER128">
        <v>0</v>
      </c>
      <c r="ES128">
        <v>400.7999999523163</v>
      </c>
      <c r="ET128">
        <v>0</v>
      </c>
      <c r="EU128">
        <v>920.3</v>
      </c>
      <c r="EV128">
        <v>-23.44252991108234</v>
      </c>
      <c r="EW128">
        <v>-339.4256410139135</v>
      </c>
      <c r="EX128">
        <v>13669.83076923077</v>
      </c>
      <c r="EY128">
        <v>15</v>
      </c>
      <c r="EZ128">
        <v>1651864261.1</v>
      </c>
      <c r="FA128" t="s">
        <v>419</v>
      </c>
      <c r="FB128">
        <v>1651864241.6</v>
      </c>
      <c r="FC128">
        <v>1651864261.1</v>
      </c>
      <c r="FD128">
        <v>7</v>
      </c>
      <c r="FE128">
        <v>0.438</v>
      </c>
      <c r="FF128">
        <v>0.002</v>
      </c>
      <c r="FG128">
        <v>-0.988</v>
      </c>
      <c r="FH128">
        <v>-0.066</v>
      </c>
      <c r="FI128">
        <v>400</v>
      </c>
      <c r="FJ128">
        <v>11</v>
      </c>
      <c r="FK128">
        <v>0.05</v>
      </c>
      <c r="FL128">
        <v>0.02</v>
      </c>
      <c r="FM128">
        <v>-14.16763902439024</v>
      </c>
      <c r="FN128">
        <v>4.735802090592333</v>
      </c>
      <c r="FO128">
        <v>0.4806527380288786</v>
      </c>
      <c r="FP128">
        <v>-1</v>
      </c>
      <c r="FQ128">
        <v>5.617757317073171</v>
      </c>
      <c r="FR128">
        <v>-0.9782443902439011</v>
      </c>
      <c r="FS128">
        <v>0.09665291090021465</v>
      </c>
      <c r="FT128">
        <v>-1</v>
      </c>
      <c r="FU128">
        <v>0</v>
      </c>
      <c r="FV128">
        <v>0</v>
      </c>
      <c r="FW128">
        <v>0</v>
      </c>
      <c r="FX128">
        <v>-1</v>
      </c>
      <c r="FY128">
        <v>0</v>
      </c>
      <c r="FZ128">
        <v>0</v>
      </c>
      <c r="GA128" t="s">
        <v>420</v>
      </c>
      <c r="GB128">
        <v>2.98053</v>
      </c>
      <c r="GC128">
        <v>2.70623</v>
      </c>
      <c r="GD128">
        <v>0.157157</v>
      </c>
      <c r="GE128">
        <v>0.156905</v>
      </c>
      <c r="GF128">
        <v>0.08689180000000001</v>
      </c>
      <c r="GG128">
        <v>0.0661621</v>
      </c>
      <c r="GH128">
        <v>26599.4</v>
      </c>
      <c r="GI128">
        <v>26666</v>
      </c>
      <c r="GJ128">
        <v>29345.1</v>
      </c>
      <c r="GK128">
        <v>29259.8</v>
      </c>
      <c r="GL128">
        <v>35482</v>
      </c>
      <c r="GM128">
        <v>36393.6</v>
      </c>
      <c r="GN128">
        <v>41304.7</v>
      </c>
      <c r="GO128">
        <v>41763.3</v>
      </c>
      <c r="GP128">
        <v>1.9565</v>
      </c>
      <c r="GQ128">
        <v>1.84905</v>
      </c>
      <c r="GR128">
        <v>-0.0234246</v>
      </c>
      <c r="GS128">
        <v>0</v>
      </c>
      <c r="GT128">
        <v>25.3923</v>
      </c>
      <c r="GU128">
        <v>999.9</v>
      </c>
      <c r="GV128">
        <v>31.8</v>
      </c>
      <c r="GW128">
        <v>34.3</v>
      </c>
      <c r="GX128">
        <v>19.2108</v>
      </c>
      <c r="GY128">
        <v>62.5275</v>
      </c>
      <c r="GZ128">
        <v>34.8237</v>
      </c>
      <c r="HA128">
        <v>1</v>
      </c>
      <c r="HB128">
        <v>0.105671</v>
      </c>
      <c r="HC128">
        <v>2.413</v>
      </c>
      <c r="HD128">
        <v>20.3171</v>
      </c>
      <c r="HE128">
        <v>5.21909</v>
      </c>
      <c r="HF128">
        <v>12.0099</v>
      </c>
      <c r="HG128">
        <v>4.9893</v>
      </c>
      <c r="HH128">
        <v>3.28865</v>
      </c>
      <c r="HI128">
        <v>996.2</v>
      </c>
      <c r="HJ128">
        <v>9538.9</v>
      </c>
      <c r="HK128">
        <v>5139.4</v>
      </c>
      <c r="HL128">
        <v>24.9</v>
      </c>
      <c r="HM128">
        <v>1.8675</v>
      </c>
      <c r="HN128">
        <v>1.86646</v>
      </c>
      <c r="HO128">
        <v>1.866</v>
      </c>
      <c r="HP128">
        <v>1.86586</v>
      </c>
      <c r="HQ128">
        <v>1.86768</v>
      </c>
      <c r="HR128">
        <v>1.87018</v>
      </c>
      <c r="HS128">
        <v>1.86888</v>
      </c>
      <c r="HT128">
        <v>1.87023</v>
      </c>
      <c r="HU128">
        <v>0</v>
      </c>
      <c r="HV128">
        <v>0</v>
      </c>
      <c r="HW128">
        <v>0</v>
      </c>
      <c r="HX128">
        <v>0</v>
      </c>
      <c r="HY128" t="s">
        <v>421</v>
      </c>
      <c r="HZ128" t="s">
        <v>422</v>
      </c>
      <c r="IA128" t="s">
        <v>423</v>
      </c>
      <c r="IB128" t="s">
        <v>423</v>
      </c>
      <c r="IC128" t="s">
        <v>423</v>
      </c>
      <c r="ID128" t="s">
        <v>423</v>
      </c>
      <c r="IE128">
        <v>0</v>
      </c>
      <c r="IF128">
        <v>100</v>
      </c>
      <c r="IG128">
        <v>100</v>
      </c>
      <c r="IH128">
        <v>-1.815</v>
      </c>
      <c r="II128">
        <v>0.0171</v>
      </c>
      <c r="IJ128">
        <v>-0.2164499368582429</v>
      </c>
      <c r="IK128">
        <v>-0.002077099775823331</v>
      </c>
      <c r="IL128">
        <v>4.593143279902166E-07</v>
      </c>
      <c r="IM128">
        <v>-1.865383991892071E-10</v>
      </c>
      <c r="IN128">
        <v>-0.06087574426827484</v>
      </c>
      <c r="IO128">
        <v>-0.01129461987421345</v>
      </c>
      <c r="IP128">
        <v>0.00116580895745559</v>
      </c>
      <c r="IQ128">
        <v>-1.679085872906199E-05</v>
      </c>
      <c r="IR128">
        <v>2</v>
      </c>
      <c r="IS128">
        <v>2290</v>
      </c>
      <c r="IT128">
        <v>0</v>
      </c>
      <c r="IU128">
        <v>32</v>
      </c>
      <c r="IV128">
        <v>6.3</v>
      </c>
      <c r="IW128">
        <v>6</v>
      </c>
      <c r="IX128">
        <v>1.87622</v>
      </c>
      <c r="IY128">
        <v>2.20093</v>
      </c>
      <c r="IZ128">
        <v>1.39648</v>
      </c>
      <c r="JA128">
        <v>2.35718</v>
      </c>
      <c r="JB128">
        <v>1.49536</v>
      </c>
      <c r="JC128">
        <v>2.34497</v>
      </c>
      <c r="JD128">
        <v>38.4524</v>
      </c>
      <c r="JE128">
        <v>24.035</v>
      </c>
      <c r="JF128">
        <v>18</v>
      </c>
      <c r="JG128">
        <v>511.642</v>
      </c>
      <c r="JH128">
        <v>428.171</v>
      </c>
      <c r="JI128">
        <v>22.2604</v>
      </c>
      <c r="JJ128">
        <v>28.6584</v>
      </c>
      <c r="JK128">
        <v>30.0001</v>
      </c>
      <c r="JL128">
        <v>28.6231</v>
      </c>
      <c r="JM128">
        <v>28.5629</v>
      </c>
      <c r="JN128">
        <v>37.4413</v>
      </c>
      <c r="JO128">
        <v>33.1276</v>
      </c>
      <c r="JP128">
        <v>0</v>
      </c>
      <c r="JQ128">
        <v>22.2547</v>
      </c>
      <c r="JR128">
        <v>868.698</v>
      </c>
      <c r="JS128">
        <v>12.8248</v>
      </c>
      <c r="JT128">
        <v>100.308</v>
      </c>
      <c r="JU128">
        <v>100.234</v>
      </c>
    </row>
    <row r="129" spans="1:281">
      <c r="A129">
        <v>113</v>
      </c>
      <c r="B129">
        <v>1651864623.6</v>
      </c>
      <c r="C129">
        <v>403</v>
      </c>
      <c r="D129" t="s">
        <v>646</v>
      </c>
      <c r="E129" t="s">
        <v>647</v>
      </c>
      <c r="F129">
        <v>2</v>
      </c>
      <c r="G129" t="s">
        <v>413</v>
      </c>
      <c r="H129" t="s">
        <v>414</v>
      </c>
      <c r="I129">
        <v>1651864622.225</v>
      </c>
      <c r="J129">
        <f>(K129)/1000</f>
        <v>0</v>
      </c>
      <c r="K129">
        <f>IF(CZ129, AN129, AH129)</f>
        <v>0</v>
      </c>
      <c r="L129">
        <f>IF(CZ129, AI129, AG129)</f>
        <v>0</v>
      </c>
      <c r="M129">
        <f>DB129 - IF(AU129&gt;1, L129*CV129*100.0/(AW129*DP129), 0)</f>
        <v>0</v>
      </c>
      <c r="N129">
        <f>((T129-J129/2)*M129-L129)/(T129+J129/2)</f>
        <v>0</v>
      </c>
      <c r="O129">
        <f>N129*(DI129+DJ129)/1000.0</f>
        <v>0</v>
      </c>
      <c r="P129">
        <f>(DB129 - IF(AU129&gt;1, L129*CV129*100.0/(AW129*DP129), 0))*(DI129+DJ129)/1000.0</f>
        <v>0</v>
      </c>
      <c r="Q129">
        <f>2.0/((1/S129-1/R129)+SIGN(S129)*SQRT((1/S129-1/R129)*(1/S129-1/R129) + 4*CW129/((CW129+1)*(CW129+1))*(2*1/S129*1/R129-1/R129*1/R129)))</f>
        <v>0</v>
      </c>
      <c r="R129">
        <f>IF(LEFT(CX129,1)&lt;&gt;"0",IF(LEFT(CX129,1)="1",3.0,CY129),$D$5+$E$5*(DP129*DI129/($K$5*1000))+$F$5*(DP129*DI129/($K$5*1000))*MAX(MIN(CV129,$J$5),$I$5)*MAX(MIN(CV129,$J$5),$I$5)+$G$5*MAX(MIN(CV129,$J$5),$I$5)*(DP129*DI129/($K$5*1000))+$H$5*(DP129*DI129/($K$5*1000))*(DP129*DI129/($K$5*1000)))</f>
        <v>0</v>
      </c>
      <c r="S129">
        <f>J129*(1000-(1000*0.61365*exp(17.502*W129/(240.97+W129))/(DI129+DJ129)+DD129)/2)/(1000*0.61365*exp(17.502*W129/(240.97+W129))/(DI129+DJ129)-DD129)</f>
        <v>0</v>
      </c>
      <c r="T129">
        <f>1/((CW129+1)/(Q129/1.6)+1/(R129/1.37)) + CW129/((CW129+1)/(Q129/1.6) + CW129/(R129/1.37))</f>
        <v>0</v>
      </c>
      <c r="U129">
        <f>(CR129*CU129)</f>
        <v>0</v>
      </c>
      <c r="V129">
        <f>(DK129+(U129+2*0.95*5.67E-8*(((DK129+$B$7)+273)^4-(DK129+273)^4)-44100*J129)/(1.84*29.3*R129+8*0.95*5.67E-8*(DK129+273)^3))</f>
        <v>0</v>
      </c>
      <c r="W129">
        <f>($C$7*DL129+$D$7*DM129+$E$7*V129)</f>
        <v>0</v>
      </c>
      <c r="X129">
        <f>0.61365*exp(17.502*W129/(240.97+W129))</f>
        <v>0</v>
      </c>
      <c r="Y129">
        <f>(Z129/AA129*100)</f>
        <v>0</v>
      </c>
      <c r="Z129">
        <f>DD129*(DI129+DJ129)/1000</f>
        <v>0</v>
      </c>
      <c r="AA129">
        <f>0.61365*exp(17.502*DK129/(240.97+DK129))</f>
        <v>0</v>
      </c>
      <c r="AB129">
        <f>(X129-DD129*(DI129+DJ129)/1000)</f>
        <v>0</v>
      </c>
      <c r="AC129">
        <f>(-J129*44100)</f>
        <v>0</v>
      </c>
      <c r="AD129">
        <f>2*29.3*R129*0.92*(DK129-W129)</f>
        <v>0</v>
      </c>
      <c r="AE129">
        <f>2*0.95*5.67E-8*(((DK129+$B$7)+273)^4-(W129+273)^4)</f>
        <v>0</v>
      </c>
      <c r="AF129">
        <f>U129+AE129+AC129+AD129</f>
        <v>0</v>
      </c>
      <c r="AG129">
        <f>DH129*AU129*(DC129-DB129*(1000-AU129*DE129)/(1000-AU129*DD129))/(100*CV129)</f>
        <v>0</v>
      </c>
      <c r="AH129">
        <f>1000*DH129*AU129*(DD129-DE129)/(100*CV129*(1000-AU129*DD129))</f>
        <v>0</v>
      </c>
      <c r="AI129">
        <f>(AJ129 - AK129 - DI129*1E3/(8.314*(DK129+273.15)) * AM129/DH129 * AL129) * DH129/(100*CV129) * (1000 - DE129)/1000</f>
        <v>0</v>
      </c>
      <c r="AJ129">
        <v>905.2707053460201</v>
      </c>
      <c r="AK129">
        <v>889.0915999999999</v>
      </c>
      <c r="AL129">
        <v>-3.310596756486093</v>
      </c>
      <c r="AM129">
        <v>66.38192812717227</v>
      </c>
      <c r="AN129">
        <f>(AP129 - AO129 + DI129*1E3/(8.314*(DK129+273.15)) * AR129/DH129 * AQ129) * DH129/(100*CV129) * 1000/(1000 - AP129)</f>
        <v>0</v>
      </c>
      <c r="AO129">
        <v>12.64578278762713</v>
      </c>
      <c r="AP129">
        <v>18.12464529411765</v>
      </c>
      <c r="AQ129">
        <v>-2.014507032669963E-05</v>
      </c>
      <c r="AR129">
        <v>80.47224507511959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MAX(0,($B$13+$C$13*DP129)/(1+$D$13*DP129)*DI129/(DK129+273)*$E$13)</f>
        <v>0</v>
      </c>
      <c r="AX129" t="s">
        <v>417</v>
      </c>
      <c r="AY129" t="s">
        <v>417</v>
      </c>
      <c r="AZ129">
        <v>0</v>
      </c>
      <c r="BA129">
        <v>0</v>
      </c>
      <c r="BB129">
        <f>1-AZ129/BA129</f>
        <v>0</v>
      </c>
      <c r="BC129">
        <v>0</v>
      </c>
      <c r="BD129" t="s">
        <v>417</v>
      </c>
      <c r="BE129" t="s">
        <v>417</v>
      </c>
      <c r="BF129">
        <v>0</v>
      </c>
      <c r="BG129">
        <v>0</v>
      </c>
      <c r="BH129">
        <f>1-BF129/BG129</f>
        <v>0</v>
      </c>
      <c r="BI129">
        <v>0.5</v>
      </c>
      <c r="BJ129">
        <f>CS129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417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1248</v>
      </c>
      <c r="CA129">
        <v>300</v>
      </c>
      <c r="CB129">
        <v>300</v>
      </c>
      <c r="CC129">
        <v>300</v>
      </c>
      <c r="CD129">
        <v>10442</v>
      </c>
      <c r="CE129">
        <v>1293.69</v>
      </c>
      <c r="CF129">
        <v>-0.00735246</v>
      </c>
      <c r="CG129">
        <v>0.5</v>
      </c>
      <c r="CH129" t="s">
        <v>417</v>
      </c>
      <c r="CI129" t="s">
        <v>417</v>
      </c>
      <c r="CJ129" t="s">
        <v>417</v>
      </c>
      <c r="CK129" t="s">
        <v>417</v>
      </c>
      <c r="CL129" t="s">
        <v>417</v>
      </c>
      <c r="CM129" t="s">
        <v>417</v>
      </c>
      <c r="CN129" t="s">
        <v>417</v>
      </c>
      <c r="CO129" t="s">
        <v>417</v>
      </c>
      <c r="CP129" t="s">
        <v>417</v>
      </c>
      <c r="CQ129" t="s">
        <v>417</v>
      </c>
      <c r="CR129">
        <f>$B$11*DQ129+$C$11*DR129+$F$11*EC129*(1-EF129)</f>
        <v>0</v>
      </c>
      <c r="CS129">
        <f>CR129*CT129</f>
        <v>0</v>
      </c>
      <c r="CT129">
        <f>($B$11*$D$9+$C$11*$D$9+$F$11*((EP129+EH129)/MAX(EP129+EH129+EQ129, 0.1)*$I$9+EQ129/MAX(EP129+EH129+EQ129, 0.1)*$J$9))/($B$11+$C$11+$F$11)</f>
        <v>0</v>
      </c>
      <c r="CU129">
        <f>($B$11*$K$9+$C$11*$K$9+$F$11*((EP129+EH129)/MAX(EP129+EH129+EQ129, 0.1)*$P$9+EQ129/MAX(EP129+EH129+EQ129, 0.1)*$Q$9))/($B$11+$C$11+$F$11)</f>
        <v>0</v>
      </c>
      <c r="CV129">
        <v>6</v>
      </c>
      <c r="CW129">
        <v>0.5</v>
      </c>
      <c r="CX129" t="s">
        <v>418</v>
      </c>
      <c r="CY129">
        <v>2</v>
      </c>
      <c r="CZ129" t="b">
        <v>1</v>
      </c>
      <c r="DA129">
        <v>1651864622.225</v>
      </c>
      <c r="DB129">
        <v>875.8125</v>
      </c>
      <c r="DC129">
        <v>889.0915</v>
      </c>
      <c r="DD129">
        <v>18.123825</v>
      </c>
      <c r="DE129">
        <v>12.701725</v>
      </c>
      <c r="DF129">
        <v>877.62425</v>
      </c>
      <c r="DG129">
        <v>18.106675</v>
      </c>
      <c r="DH129">
        <v>500.058</v>
      </c>
      <c r="DI129">
        <v>89.93405</v>
      </c>
      <c r="DJ129">
        <v>0.100035875</v>
      </c>
      <c r="DK129">
        <v>25.6903</v>
      </c>
      <c r="DL129">
        <v>25.01005</v>
      </c>
      <c r="DM129">
        <v>999.9</v>
      </c>
      <c r="DN129">
        <v>0</v>
      </c>
      <c r="DO129">
        <v>0</v>
      </c>
      <c r="DP129">
        <v>10000.64</v>
      </c>
      <c r="DQ129">
        <v>0</v>
      </c>
      <c r="DR129">
        <v>3.2182325</v>
      </c>
      <c r="DS129">
        <v>-13.279175</v>
      </c>
      <c r="DT129">
        <v>891.9785000000001</v>
      </c>
      <c r="DU129">
        <v>900.53</v>
      </c>
      <c r="DV129">
        <v>5.4221</v>
      </c>
      <c r="DW129">
        <v>889.0915</v>
      </c>
      <c r="DX129">
        <v>12.701725</v>
      </c>
      <c r="DY129">
        <v>1.6299475</v>
      </c>
      <c r="DZ129">
        <v>1.1423175</v>
      </c>
      <c r="EA129">
        <v>14.244875</v>
      </c>
      <c r="EB129">
        <v>8.870304999999998</v>
      </c>
      <c r="EC129">
        <v>1499.97</v>
      </c>
      <c r="ED129">
        <v>0.973007</v>
      </c>
      <c r="EE129">
        <v>0.0269931</v>
      </c>
      <c r="EF129">
        <v>0</v>
      </c>
      <c r="EG129">
        <v>917.22825</v>
      </c>
      <c r="EH129">
        <v>5.00097</v>
      </c>
      <c r="EI129">
        <v>13624.475</v>
      </c>
      <c r="EJ129">
        <v>12491.325</v>
      </c>
      <c r="EK129">
        <v>37.25</v>
      </c>
      <c r="EL129">
        <v>38.687</v>
      </c>
      <c r="EM129">
        <v>37.625</v>
      </c>
      <c r="EN129">
        <v>38.437</v>
      </c>
      <c r="EO129">
        <v>38.125</v>
      </c>
      <c r="EP129">
        <v>1454.62</v>
      </c>
      <c r="EQ129">
        <v>40.35</v>
      </c>
      <c r="ER129">
        <v>0</v>
      </c>
      <c r="ES129">
        <v>402.6000001430511</v>
      </c>
      <c r="ET129">
        <v>0</v>
      </c>
      <c r="EU129">
        <v>919.4672400000001</v>
      </c>
      <c r="EV129">
        <v>-23.04623072578815</v>
      </c>
      <c r="EW129">
        <v>-347.8846148506083</v>
      </c>
      <c r="EX129">
        <v>13657.896</v>
      </c>
      <c r="EY129">
        <v>15</v>
      </c>
      <c r="EZ129">
        <v>1651864261.1</v>
      </c>
      <c r="FA129" t="s">
        <v>419</v>
      </c>
      <c r="FB129">
        <v>1651864241.6</v>
      </c>
      <c r="FC129">
        <v>1651864261.1</v>
      </c>
      <c r="FD129">
        <v>7</v>
      </c>
      <c r="FE129">
        <v>0.438</v>
      </c>
      <c r="FF129">
        <v>0.002</v>
      </c>
      <c r="FG129">
        <v>-0.988</v>
      </c>
      <c r="FH129">
        <v>-0.066</v>
      </c>
      <c r="FI129">
        <v>400</v>
      </c>
      <c r="FJ129">
        <v>11</v>
      </c>
      <c r="FK129">
        <v>0.05</v>
      </c>
      <c r="FL129">
        <v>0.02</v>
      </c>
      <c r="FM129">
        <v>-13.9388925</v>
      </c>
      <c r="FN129">
        <v>4.35459174484054</v>
      </c>
      <c r="FO129">
        <v>0.4297121591178797</v>
      </c>
      <c r="FP129">
        <v>-1</v>
      </c>
      <c r="FQ129">
        <v>5.571525750000001</v>
      </c>
      <c r="FR129">
        <v>-0.9746846904315193</v>
      </c>
      <c r="FS129">
        <v>0.09393283201009915</v>
      </c>
      <c r="FT129">
        <v>-1</v>
      </c>
      <c r="FU129">
        <v>0</v>
      </c>
      <c r="FV129">
        <v>0</v>
      </c>
      <c r="FW129">
        <v>0</v>
      </c>
      <c r="FX129">
        <v>-1</v>
      </c>
      <c r="FY129">
        <v>0</v>
      </c>
      <c r="FZ129">
        <v>0</v>
      </c>
      <c r="GA129" t="s">
        <v>420</v>
      </c>
      <c r="GB129">
        <v>2.98048</v>
      </c>
      <c r="GC129">
        <v>2.70621</v>
      </c>
      <c r="GD129">
        <v>0.156387</v>
      </c>
      <c r="GE129">
        <v>0.156137</v>
      </c>
      <c r="GF129">
        <v>0.08689810000000001</v>
      </c>
      <c r="GG129">
        <v>0.0663098</v>
      </c>
      <c r="GH129">
        <v>26624.1</v>
      </c>
      <c r="GI129">
        <v>26690.6</v>
      </c>
      <c r="GJ129">
        <v>29345.5</v>
      </c>
      <c r="GK129">
        <v>29260.1</v>
      </c>
      <c r="GL129">
        <v>35482.1</v>
      </c>
      <c r="GM129">
        <v>36388.1</v>
      </c>
      <c r="GN129">
        <v>41305.1</v>
      </c>
      <c r="GO129">
        <v>41763.6</v>
      </c>
      <c r="GP129">
        <v>1.95667</v>
      </c>
      <c r="GQ129">
        <v>1.84912</v>
      </c>
      <c r="GR129">
        <v>-0.0230968</v>
      </c>
      <c r="GS129">
        <v>0</v>
      </c>
      <c r="GT129">
        <v>25.3912</v>
      </c>
      <c r="GU129">
        <v>999.9</v>
      </c>
      <c r="GV129">
        <v>31.8</v>
      </c>
      <c r="GW129">
        <v>34.3</v>
      </c>
      <c r="GX129">
        <v>19.2134</v>
      </c>
      <c r="GY129">
        <v>62.7474</v>
      </c>
      <c r="GZ129">
        <v>34.8598</v>
      </c>
      <c r="HA129">
        <v>1</v>
      </c>
      <c r="HB129">
        <v>0.105722</v>
      </c>
      <c r="HC129">
        <v>2.41692</v>
      </c>
      <c r="HD129">
        <v>20.3169</v>
      </c>
      <c r="HE129">
        <v>5.21864</v>
      </c>
      <c r="HF129">
        <v>12.0099</v>
      </c>
      <c r="HG129">
        <v>4.989</v>
      </c>
      <c r="HH129">
        <v>3.28858</v>
      </c>
      <c r="HI129">
        <v>996.2</v>
      </c>
      <c r="HJ129">
        <v>9538.9</v>
      </c>
      <c r="HK129">
        <v>5139.4</v>
      </c>
      <c r="HL129">
        <v>24.9</v>
      </c>
      <c r="HM129">
        <v>1.8675</v>
      </c>
      <c r="HN129">
        <v>1.86646</v>
      </c>
      <c r="HO129">
        <v>1.866</v>
      </c>
      <c r="HP129">
        <v>1.86585</v>
      </c>
      <c r="HQ129">
        <v>1.86768</v>
      </c>
      <c r="HR129">
        <v>1.87017</v>
      </c>
      <c r="HS129">
        <v>1.86888</v>
      </c>
      <c r="HT129">
        <v>1.87022</v>
      </c>
      <c r="HU129">
        <v>0</v>
      </c>
      <c r="HV129">
        <v>0</v>
      </c>
      <c r="HW129">
        <v>0</v>
      </c>
      <c r="HX129">
        <v>0</v>
      </c>
      <c r="HY129" t="s">
        <v>421</v>
      </c>
      <c r="HZ129" t="s">
        <v>422</v>
      </c>
      <c r="IA129" t="s">
        <v>423</v>
      </c>
      <c r="IB129" t="s">
        <v>423</v>
      </c>
      <c r="IC129" t="s">
        <v>423</v>
      </c>
      <c r="ID129" t="s">
        <v>423</v>
      </c>
      <c r="IE129">
        <v>0</v>
      </c>
      <c r="IF129">
        <v>100</v>
      </c>
      <c r="IG129">
        <v>100</v>
      </c>
      <c r="IH129">
        <v>-1.804</v>
      </c>
      <c r="II129">
        <v>0.0172</v>
      </c>
      <c r="IJ129">
        <v>-0.2164499368582429</v>
      </c>
      <c r="IK129">
        <v>-0.002077099775823331</v>
      </c>
      <c r="IL129">
        <v>4.593143279902166E-07</v>
      </c>
      <c r="IM129">
        <v>-1.865383991892071E-10</v>
      </c>
      <c r="IN129">
        <v>-0.06087574426827484</v>
      </c>
      <c r="IO129">
        <v>-0.01129461987421345</v>
      </c>
      <c r="IP129">
        <v>0.00116580895745559</v>
      </c>
      <c r="IQ129">
        <v>-1.679085872906199E-05</v>
      </c>
      <c r="IR129">
        <v>2</v>
      </c>
      <c r="IS129">
        <v>2290</v>
      </c>
      <c r="IT129">
        <v>0</v>
      </c>
      <c r="IU129">
        <v>32</v>
      </c>
      <c r="IV129">
        <v>6.4</v>
      </c>
      <c r="IW129">
        <v>6</v>
      </c>
      <c r="IX129">
        <v>1.86401</v>
      </c>
      <c r="IY129">
        <v>2.20703</v>
      </c>
      <c r="IZ129">
        <v>1.39648</v>
      </c>
      <c r="JA129">
        <v>2.35596</v>
      </c>
      <c r="JB129">
        <v>1.49536</v>
      </c>
      <c r="JC129">
        <v>2.29126</v>
      </c>
      <c r="JD129">
        <v>38.4524</v>
      </c>
      <c r="JE129">
        <v>24.035</v>
      </c>
      <c r="JF129">
        <v>18</v>
      </c>
      <c r="JG129">
        <v>511.765</v>
      </c>
      <c r="JH129">
        <v>428.216</v>
      </c>
      <c r="JI129">
        <v>22.256</v>
      </c>
      <c r="JJ129">
        <v>28.6587</v>
      </c>
      <c r="JK129">
        <v>30.0002</v>
      </c>
      <c r="JL129">
        <v>28.6242</v>
      </c>
      <c r="JM129">
        <v>28.5629</v>
      </c>
      <c r="JN129">
        <v>37.2041</v>
      </c>
      <c r="JO129">
        <v>33.1276</v>
      </c>
      <c r="JP129">
        <v>0</v>
      </c>
      <c r="JQ129">
        <v>22.2547</v>
      </c>
      <c r="JR129">
        <v>862.002</v>
      </c>
      <c r="JS129">
        <v>12.8567</v>
      </c>
      <c r="JT129">
        <v>100.309</v>
      </c>
      <c r="JU129">
        <v>100.235</v>
      </c>
    </row>
    <row r="130" spans="1:281">
      <c r="A130">
        <v>114</v>
      </c>
      <c r="B130">
        <v>1651864625.6</v>
      </c>
      <c r="C130">
        <v>405</v>
      </c>
      <c r="D130" t="s">
        <v>648</v>
      </c>
      <c r="E130" t="s">
        <v>649</v>
      </c>
      <c r="F130">
        <v>2</v>
      </c>
      <c r="G130" t="s">
        <v>413</v>
      </c>
      <c r="H130" t="s">
        <v>414</v>
      </c>
      <c r="I130">
        <v>1651864624.6</v>
      </c>
      <c r="J130">
        <f>(K130)/1000</f>
        <v>0</v>
      </c>
      <c r="K130">
        <f>IF(CZ130, AN130, AH130)</f>
        <v>0</v>
      </c>
      <c r="L130">
        <f>IF(CZ130, AI130, AG130)</f>
        <v>0</v>
      </c>
      <c r="M130">
        <f>DB130 - IF(AU130&gt;1, L130*CV130*100.0/(AW130*DP130), 0)</f>
        <v>0</v>
      </c>
      <c r="N130">
        <f>((T130-J130/2)*M130-L130)/(T130+J130/2)</f>
        <v>0</v>
      </c>
      <c r="O130">
        <f>N130*(DI130+DJ130)/1000.0</f>
        <v>0</v>
      </c>
      <c r="P130">
        <f>(DB130 - IF(AU130&gt;1, L130*CV130*100.0/(AW130*DP130), 0))*(DI130+DJ130)/1000.0</f>
        <v>0</v>
      </c>
      <c r="Q130">
        <f>2.0/((1/S130-1/R130)+SIGN(S130)*SQRT((1/S130-1/R130)*(1/S130-1/R130) + 4*CW130/((CW130+1)*(CW130+1))*(2*1/S130*1/R130-1/R130*1/R130)))</f>
        <v>0</v>
      </c>
      <c r="R130">
        <f>IF(LEFT(CX130,1)&lt;&gt;"0",IF(LEFT(CX130,1)="1",3.0,CY130),$D$5+$E$5*(DP130*DI130/($K$5*1000))+$F$5*(DP130*DI130/($K$5*1000))*MAX(MIN(CV130,$J$5),$I$5)*MAX(MIN(CV130,$J$5),$I$5)+$G$5*MAX(MIN(CV130,$J$5),$I$5)*(DP130*DI130/($K$5*1000))+$H$5*(DP130*DI130/($K$5*1000))*(DP130*DI130/($K$5*1000)))</f>
        <v>0</v>
      </c>
      <c r="S130">
        <f>J130*(1000-(1000*0.61365*exp(17.502*W130/(240.97+W130))/(DI130+DJ130)+DD130)/2)/(1000*0.61365*exp(17.502*W130/(240.97+W130))/(DI130+DJ130)-DD130)</f>
        <v>0</v>
      </c>
      <c r="T130">
        <f>1/((CW130+1)/(Q130/1.6)+1/(R130/1.37)) + CW130/((CW130+1)/(Q130/1.6) + CW130/(R130/1.37))</f>
        <v>0</v>
      </c>
      <c r="U130">
        <f>(CR130*CU130)</f>
        <v>0</v>
      </c>
      <c r="V130">
        <f>(DK130+(U130+2*0.95*5.67E-8*(((DK130+$B$7)+273)^4-(DK130+273)^4)-44100*J130)/(1.84*29.3*R130+8*0.95*5.67E-8*(DK130+273)^3))</f>
        <v>0</v>
      </c>
      <c r="W130">
        <f>($C$7*DL130+$D$7*DM130+$E$7*V130)</f>
        <v>0</v>
      </c>
      <c r="X130">
        <f>0.61365*exp(17.502*W130/(240.97+W130))</f>
        <v>0</v>
      </c>
      <c r="Y130">
        <f>(Z130/AA130*100)</f>
        <v>0</v>
      </c>
      <c r="Z130">
        <f>DD130*(DI130+DJ130)/1000</f>
        <v>0</v>
      </c>
      <c r="AA130">
        <f>0.61365*exp(17.502*DK130/(240.97+DK130))</f>
        <v>0</v>
      </c>
      <c r="AB130">
        <f>(X130-DD130*(DI130+DJ130)/1000)</f>
        <v>0</v>
      </c>
      <c r="AC130">
        <f>(-J130*44100)</f>
        <v>0</v>
      </c>
      <c r="AD130">
        <f>2*29.3*R130*0.92*(DK130-W130)</f>
        <v>0</v>
      </c>
      <c r="AE130">
        <f>2*0.95*5.67E-8*(((DK130+$B$7)+273)^4-(W130+273)^4)</f>
        <v>0</v>
      </c>
      <c r="AF130">
        <f>U130+AE130+AC130+AD130</f>
        <v>0</v>
      </c>
      <c r="AG130">
        <f>DH130*AU130*(DC130-DB130*(1000-AU130*DE130)/(1000-AU130*DD130))/(100*CV130)</f>
        <v>0</v>
      </c>
      <c r="AH130">
        <f>1000*DH130*AU130*(DD130-DE130)/(100*CV130*(1000-AU130*DD130))</f>
        <v>0</v>
      </c>
      <c r="AI130">
        <f>(AJ130 - AK130 - DI130*1E3/(8.314*(DK130+273.15)) * AM130/DH130 * AL130) * DH130/(100*CV130) * (1000 - DE130)/1000</f>
        <v>0</v>
      </c>
      <c r="AJ130">
        <v>898.49477434905</v>
      </c>
      <c r="AK130">
        <v>882.4735999999997</v>
      </c>
      <c r="AL130">
        <v>-3.307667876112701</v>
      </c>
      <c r="AM130">
        <v>66.38192812717227</v>
      </c>
      <c r="AN130">
        <f>(AP130 - AO130 + DI130*1E3/(8.314*(DK130+273.15)) * AR130/DH130 * AQ130) * DH130/(100*CV130) * 1000/(1000 - AP130)</f>
        <v>0</v>
      </c>
      <c r="AO130">
        <v>12.68158508555915</v>
      </c>
      <c r="AP130">
        <v>18.1294688235294</v>
      </c>
      <c r="AQ130">
        <v>-1.541322406714811E-05</v>
      </c>
      <c r="AR130">
        <v>80.47224507511959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MAX(0,($B$13+$C$13*DP130)/(1+$D$13*DP130)*DI130/(DK130+273)*$E$13)</f>
        <v>0</v>
      </c>
      <c r="AX130" t="s">
        <v>417</v>
      </c>
      <c r="AY130" t="s">
        <v>417</v>
      </c>
      <c r="AZ130">
        <v>0</v>
      </c>
      <c r="BA130">
        <v>0</v>
      </c>
      <c r="BB130">
        <f>1-AZ130/BA130</f>
        <v>0</v>
      </c>
      <c r="BC130">
        <v>0</v>
      </c>
      <c r="BD130" t="s">
        <v>417</v>
      </c>
      <c r="BE130" t="s">
        <v>417</v>
      </c>
      <c r="BF130">
        <v>0</v>
      </c>
      <c r="BG130">
        <v>0</v>
      </c>
      <c r="BH130">
        <f>1-BF130/BG130</f>
        <v>0</v>
      </c>
      <c r="BI130">
        <v>0.5</v>
      </c>
      <c r="BJ130">
        <f>CS130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417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1248</v>
      </c>
      <c r="CA130">
        <v>300</v>
      </c>
      <c r="CB130">
        <v>300</v>
      </c>
      <c r="CC130">
        <v>300</v>
      </c>
      <c r="CD130">
        <v>10442</v>
      </c>
      <c r="CE130">
        <v>1293.69</v>
      </c>
      <c r="CF130">
        <v>-0.00735246</v>
      </c>
      <c r="CG130">
        <v>0.5</v>
      </c>
      <c r="CH130" t="s">
        <v>417</v>
      </c>
      <c r="CI130" t="s">
        <v>417</v>
      </c>
      <c r="CJ130" t="s">
        <v>417</v>
      </c>
      <c r="CK130" t="s">
        <v>417</v>
      </c>
      <c r="CL130" t="s">
        <v>417</v>
      </c>
      <c r="CM130" t="s">
        <v>417</v>
      </c>
      <c r="CN130" t="s">
        <v>417</v>
      </c>
      <c r="CO130" t="s">
        <v>417</v>
      </c>
      <c r="CP130" t="s">
        <v>417</v>
      </c>
      <c r="CQ130" t="s">
        <v>417</v>
      </c>
      <c r="CR130">
        <f>$B$11*DQ130+$C$11*DR130+$F$11*EC130*(1-EF130)</f>
        <v>0</v>
      </c>
      <c r="CS130">
        <f>CR130*CT130</f>
        <v>0</v>
      </c>
      <c r="CT130">
        <f>($B$11*$D$9+$C$11*$D$9+$F$11*((EP130+EH130)/MAX(EP130+EH130+EQ130, 0.1)*$I$9+EQ130/MAX(EP130+EH130+EQ130, 0.1)*$J$9))/($B$11+$C$11+$F$11)</f>
        <v>0</v>
      </c>
      <c r="CU130">
        <f>($B$11*$K$9+$C$11*$K$9+$F$11*((EP130+EH130)/MAX(EP130+EH130+EQ130, 0.1)*$P$9+EQ130/MAX(EP130+EH130+EQ130, 0.1)*$Q$9))/($B$11+$C$11+$F$11)</f>
        <v>0</v>
      </c>
      <c r="CV130">
        <v>6</v>
      </c>
      <c r="CW130">
        <v>0.5</v>
      </c>
      <c r="CX130" t="s">
        <v>418</v>
      </c>
      <c r="CY130">
        <v>2</v>
      </c>
      <c r="CZ130" t="b">
        <v>1</v>
      </c>
      <c r="DA130">
        <v>1651864624.6</v>
      </c>
      <c r="DB130">
        <v>868.1046666666667</v>
      </c>
      <c r="DC130">
        <v>881.3216666666667</v>
      </c>
      <c r="DD130">
        <v>18.1281</v>
      </c>
      <c r="DE130">
        <v>12.74543333333333</v>
      </c>
      <c r="DF130">
        <v>869.9033333333333</v>
      </c>
      <c r="DG130">
        <v>18.11086666666667</v>
      </c>
      <c r="DH130">
        <v>500.0483333333333</v>
      </c>
      <c r="DI130">
        <v>89.93256666666667</v>
      </c>
      <c r="DJ130">
        <v>0.1000092</v>
      </c>
      <c r="DK130">
        <v>25.69136666666667</v>
      </c>
      <c r="DL130">
        <v>25.01413333333333</v>
      </c>
      <c r="DM130">
        <v>999.9</v>
      </c>
      <c r="DN130">
        <v>0</v>
      </c>
      <c r="DO130">
        <v>0</v>
      </c>
      <c r="DP130">
        <v>9990</v>
      </c>
      <c r="DQ130">
        <v>0</v>
      </c>
      <c r="DR130">
        <v>3.22397</v>
      </c>
      <c r="DS130">
        <v>-13.217</v>
      </c>
      <c r="DT130">
        <v>884.1323333333333</v>
      </c>
      <c r="DU130">
        <v>892.6996666666668</v>
      </c>
      <c r="DV130">
        <v>5.382680000000001</v>
      </c>
      <c r="DW130">
        <v>881.3216666666667</v>
      </c>
      <c r="DX130">
        <v>12.74543333333333</v>
      </c>
      <c r="DY130">
        <v>1.630303333333333</v>
      </c>
      <c r="DZ130">
        <v>1.146226666666667</v>
      </c>
      <c r="EA130">
        <v>14.24826666666667</v>
      </c>
      <c r="EB130">
        <v>8.92088</v>
      </c>
      <c r="EC130">
        <v>1499.97</v>
      </c>
      <c r="ED130">
        <v>0.973007</v>
      </c>
      <c r="EE130">
        <v>0.0269931</v>
      </c>
      <c r="EF130">
        <v>0</v>
      </c>
      <c r="EG130">
        <v>916.2916666666666</v>
      </c>
      <c r="EH130">
        <v>5.00097</v>
      </c>
      <c r="EI130">
        <v>13609.93333333333</v>
      </c>
      <c r="EJ130">
        <v>12491.33333333333</v>
      </c>
      <c r="EK130">
        <v>37.25</v>
      </c>
      <c r="EL130">
        <v>38.75</v>
      </c>
      <c r="EM130">
        <v>37.625</v>
      </c>
      <c r="EN130">
        <v>38.437</v>
      </c>
      <c r="EO130">
        <v>38.125</v>
      </c>
      <c r="EP130">
        <v>1454.62</v>
      </c>
      <c r="EQ130">
        <v>40.35</v>
      </c>
      <c r="ER130">
        <v>0</v>
      </c>
      <c r="ES130">
        <v>404.4000000953674</v>
      </c>
      <c r="ET130">
        <v>0</v>
      </c>
      <c r="EU130">
        <v>918.9056923076922</v>
      </c>
      <c r="EV130">
        <v>-23.0844444512847</v>
      </c>
      <c r="EW130">
        <v>-353.7948720366846</v>
      </c>
      <c r="EX130">
        <v>13649.05769230769</v>
      </c>
      <c r="EY130">
        <v>15</v>
      </c>
      <c r="EZ130">
        <v>1651864261.1</v>
      </c>
      <c r="FA130" t="s">
        <v>419</v>
      </c>
      <c r="FB130">
        <v>1651864241.6</v>
      </c>
      <c r="FC130">
        <v>1651864261.1</v>
      </c>
      <c r="FD130">
        <v>7</v>
      </c>
      <c r="FE130">
        <v>0.438</v>
      </c>
      <c r="FF130">
        <v>0.002</v>
      </c>
      <c r="FG130">
        <v>-0.988</v>
      </c>
      <c r="FH130">
        <v>-0.066</v>
      </c>
      <c r="FI130">
        <v>400</v>
      </c>
      <c r="FJ130">
        <v>11</v>
      </c>
      <c r="FK130">
        <v>0.05</v>
      </c>
      <c r="FL130">
        <v>0.02</v>
      </c>
      <c r="FM130">
        <v>-13.84708780487805</v>
      </c>
      <c r="FN130">
        <v>4.205765853658499</v>
      </c>
      <c r="FO130">
        <v>0.4248583173850771</v>
      </c>
      <c r="FP130">
        <v>-1</v>
      </c>
      <c r="FQ130">
        <v>5.550958780487806</v>
      </c>
      <c r="FR130">
        <v>-0.9890009059233416</v>
      </c>
      <c r="FS130">
        <v>0.09768064206944059</v>
      </c>
      <c r="FT130">
        <v>-1</v>
      </c>
      <c r="FU130">
        <v>0</v>
      </c>
      <c r="FV130">
        <v>0</v>
      </c>
      <c r="FW130">
        <v>0</v>
      </c>
      <c r="FX130">
        <v>-1</v>
      </c>
      <c r="FY130">
        <v>0</v>
      </c>
      <c r="FZ130">
        <v>0</v>
      </c>
      <c r="GA130" t="s">
        <v>420</v>
      </c>
      <c r="GB130">
        <v>2.98047</v>
      </c>
      <c r="GC130">
        <v>2.70607</v>
      </c>
      <c r="GD130">
        <v>0.155614</v>
      </c>
      <c r="GE130">
        <v>0.155381</v>
      </c>
      <c r="GF130">
        <v>0.0869114</v>
      </c>
      <c r="GG130">
        <v>0.06641039999999999</v>
      </c>
      <c r="GH130">
        <v>26648.6</v>
      </c>
      <c r="GI130">
        <v>26714.4</v>
      </c>
      <c r="GJ130">
        <v>29345.6</v>
      </c>
      <c r="GK130">
        <v>29260.1</v>
      </c>
      <c r="GL130">
        <v>35481.7</v>
      </c>
      <c r="GM130">
        <v>36384</v>
      </c>
      <c r="GN130">
        <v>41305.3</v>
      </c>
      <c r="GO130">
        <v>41763.4</v>
      </c>
      <c r="GP130">
        <v>1.9567</v>
      </c>
      <c r="GQ130">
        <v>1.84918</v>
      </c>
      <c r="GR130">
        <v>-0.0227988</v>
      </c>
      <c r="GS130">
        <v>0</v>
      </c>
      <c r="GT130">
        <v>25.3897</v>
      </c>
      <c r="GU130">
        <v>999.9</v>
      </c>
      <c r="GV130">
        <v>31.8</v>
      </c>
      <c r="GW130">
        <v>34.3</v>
      </c>
      <c r="GX130">
        <v>19.2137</v>
      </c>
      <c r="GY130">
        <v>62.4575</v>
      </c>
      <c r="GZ130">
        <v>34.9439</v>
      </c>
      <c r="HA130">
        <v>1</v>
      </c>
      <c r="HB130">
        <v>0.105767</v>
      </c>
      <c r="HC130">
        <v>2.41294</v>
      </c>
      <c r="HD130">
        <v>20.317</v>
      </c>
      <c r="HE130">
        <v>5.21819</v>
      </c>
      <c r="HF130">
        <v>12.0099</v>
      </c>
      <c r="HG130">
        <v>4.98875</v>
      </c>
      <c r="HH130">
        <v>3.2885</v>
      </c>
      <c r="HI130">
        <v>996.2</v>
      </c>
      <c r="HJ130">
        <v>9538.9</v>
      </c>
      <c r="HK130">
        <v>5139.4</v>
      </c>
      <c r="HL130">
        <v>24.9</v>
      </c>
      <c r="HM130">
        <v>1.8675</v>
      </c>
      <c r="HN130">
        <v>1.86646</v>
      </c>
      <c r="HO130">
        <v>1.866</v>
      </c>
      <c r="HP130">
        <v>1.86585</v>
      </c>
      <c r="HQ130">
        <v>1.86768</v>
      </c>
      <c r="HR130">
        <v>1.87019</v>
      </c>
      <c r="HS130">
        <v>1.86889</v>
      </c>
      <c r="HT130">
        <v>1.87026</v>
      </c>
      <c r="HU130">
        <v>0</v>
      </c>
      <c r="HV130">
        <v>0</v>
      </c>
      <c r="HW130">
        <v>0</v>
      </c>
      <c r="HX130">
        <v>0</v>
      </c>
      <c r="HY130" t="s">
        <v>421</v>
      </c>
      <c r="HZ130" t="s">
        <v>422</v>
      </c>
      <c r="IA130" t="s">
        <v>423</v>
      </c>
      <c r="IB130" t="s">
        <v>423</v>
      </c>
      <c r="IC130" t="s">
        <v>423</v>
      </c>
      <c r="ID130" t="s">
        <v>423</v>
      </c>
      <c r="IE130">
        <v>0</v>
      </c>
      <c r="IF130">
        <v>100</v>
      </c>
      <c r="IG130">
        <v>100</v>
      </c>
      <c r="IH130">
        <v>-1.793</v>
      </c>
      <c r="II130">
        <v>0.0172</v>
      </c>
      <c r="IJ130">
        <v>-0.2164499368582429</v>
      </c>
      <c r="IK130">
        <v>-0.002077099775823331</v>
      </c>
      <c r="IL130">
        <v>4.593143279902166E-07</v>
      </c>
      <c r="IM130">
        <v>-1.865383991892071E-10</v>
      </c>
      <c r="IN130">
        <v>-0.06087574426827484</v>
      </c>
      <c r="IO130">
        <v>-0.01129461987421345</v>
      </c>
      <c r="IP130">
        <v>0.00116580895745559</v>
      </c>
      <c r="IQ130">
        <v>-1.679085872906199E-05</v>
      </c>
      <c r="IR130">
        <v>2</v>
      </c>
      <c r="IS130">
        <v>2290</v>
      </c>
      <c r="IT130">
        <v>0</v>
      </c>
      <c r="IU130">
        <v>32</v>
      </c>
      <c r="IV130">
        <v>6.4</v>
      </c>
      <c r="IW130">
        <v>6.1</v>
      </c>
      <c r="IX130">
        <v>1.85303</v>
      </c>
      <c r="IY130">
        <v>2.20215</v>
      </c>
      <c r="IZ130">
        <v>1.39648</v>
      </c>
      <c r="JA130">
        <v>2.35596</v>
      </c>
      <c r="JB130">
        <v>1.49536</v>
      </c>
      <c r="JC130">
        <v>2.38037</v>
      </c>
      <c r="JD130">
        <v>38.4769</v>
      </c>
      <c r="JE130">
        <v>24.035</v>
      </c>
      <c r="JF130">
        <v>18</v>
      </c>
      <c r="JG130">
        <v>511.79</v>
      </c>
      <c r="JH130">
        <v>428.246</v>
      </c>
      <c r="JI130">
        <v>22.2519</v>
      </c>
      <c r="JJ130">
        <v>28.6599</v>
      </c>
      <c r="JK130">
        <v>30.0002</v>
      </c>
      <c r="JL130">
        <v>28.6252</v>
      </c>
      <c r="JM130">
        <v>28.5629</v>
      </c>
      <c r="JN130">
        <v>36.9779</v>
      </c>
      <c r="JO130">
        <v>32.8368</v>
      </c>
      <c r="JP130">
        <v>0</v>
      </c>
      <c r="JQ130">
        <v>22.244</v>
      </c>
      <c r="JR130">
        <v>855.312</v>
      </c>
      <c r="JS130">
        <v>12.8793</v>
      </c>
      <c r="JT130">
        <v>100.309</v>
      </c>
      <c r="JU130">
        <v>100.235</v>
      </c>
    </row>
    <row r="131" spans="1:281">
      <c r="A131">
        <v>115</v>
      </c>
      <c r="B131">
        <v>1651864627.6</v>
      </c>
      <c r="C131">
        <v>407</v>
      </c>
      <c r="D131" t="s">
        <v>650</v>
      </c>
      <c r="E131" t="s">
        <v>651</v>
      </c>
      <c r="F131">
        <v>2</v>
      </c>
      <c r="G131" t="s">
        <v>413</v>
      </c>
      <c r="H131" t="s">
        <v>414</v>
      </c>
      <c r="I131">
        <v>1651864626.225</v>
      </c>
      <c r="J131">
        <f>(K131)/1000</f>
        <v>0</v>
      </c>
      <c r="K131">
        <f>IF(CZ131, AN131, AH131)</f>
        <v>0</v>
      </c>
      <c r="L131">
        <f>IF(CZ131, AI131, AG131)</f>
        <v>0</v>
      </c>
      <c r="M131">
        <f>DB131 - IF(AU131&gt;1, L131*CV131*100.0/(AW131*DP131), 0)</f>
        <v>0</v>
      </c>
      <c r="N131">
        <f>((T131-J131/2)*M131-L131)/(T131+J131/2)</f>
        <v>0</v>
      </c>
      <c r="O131">
        <f>N131*(DI131+DJ131)/1000.0</f>
        <v>0</v>
      </c>
      <c r="P131">
        <f>(DB131 - IF(AU131&gt;1, L131*CV131*100.0/(AW131*DP131), 0))*(DI131+DJ131)/1000.0</f>
        <v>0</v>
      </c>
      <c r="Q131">
        <f>2.0/((1/S131-1/R131)+SIGN(S131)*SQRT((1/S131-1/R131)*(1/S131-1/R131) + 4*CW131/((CW131+1)*(CW131+1))*(2*1/S131*1/R131-1/R131*1/R131)))</f>
        <v>0</v>
      </c>
      <c r="R131">
        <f>IF(LEFT(CX131,1)&lt;&gt;"0",IF(LEFT(CX131,1)="1",3.0,CY131),$D$5+$E$5*(DP131*DI131/($K$5*1000))+$F$5*(DP131*DI131/($K$5*1000))*MAX(MIN(CV131,$J$5),$I$5)*MAX(MIN(CV131,$J$5),$I$5)+$G$5*MAX(MIN(CV131,$J$5),$I$5)*(DP131*DI131/($K$5*1000))+$H$5*(DP131*DI131/($K$5*1000))*(DP131*DI131/($K$5*1000)))</f>
        <v>0</v>
      </c>
      <c r="S131">
        <f>J131*(1000-(1000*0.61365*exp(17.502*W131/(240.97+W131))/(DI131+DJ131)+DD131)/2)/(1000*0.61365*exp(17.502*W131/(240.97+W131))/(DI131+DJ131)-DD131)</f>
        <v>0</v>
      </c>
      <c r="T131">
        <f>1/((CW131+1)/(Q131/1.6)+1/(R131/1.37)) + CW131/((CW131+1)/(Q131/1.6) + CW131/(R131/1.37))</f>
        <v>0</v>
      </c>
      <c r="U131">
        <f>(CR131*CU131)</f>
        <v>0</v>
      </c>
      <c r="V131">
        <f>(DK131+(U131+2*0.95*5.67E-8*(((DK131+$B$7)+273)^4-(DK131+273)^4)-44100*J131)/(1.84*29.3*R131+8*0.95*5.67E-8*(DK131+273)^3))</f>
        <v>0</v>
      </c>
      <c r="W131">
        <f>($C$7*DL131+$D$7*DM131+$E$7*V131)</f>
        <v>0</v>
      </c>
      <c r="X131">
        <f>0.61365*exp(17.502*W131/(240.97+W131))</f>
        <v>0</v>
      </c>
      <c r="Y131">
        <f>(Z131/AA131*100)</f>
        <v>0</v>
      </c>
      <c r="Z131">
        <f>DD131*(DI131+DJ131)/1000</f>
        <v>0</v>
      </c>
      <c r="AA131">
        <f>0.61365*exp(17.502*DK131/(240.97+DK131))</f>
        <v>0</v>
      </c>
      <c r="AB131">
        <f>(X131-DD131*(DI131+DJ131)/1000)</f>
        <v>0</v>
      </c>
      <c r="AC131">
        <f>(-J131*44100)</f>
        <v>0</v>
      </c>
      <c r="AD131">
        <f>2*29.3*R131*0.92*(DK131-W131)</f>
        <v>0</v>
      </c>
      <c r="AE131">
        <f>2*0.95*5.67E-8*(((DK131+$B$7)+273)^4-(W131+273)^4)</f>
        <v>0</v>
      </c>
      <c r="AF131">
        <f>U131+AE131+AC131+AD131</f>
        <v>0</v>
      </c>
      <c r="AG131">
        <f>DH131*AU131*(DC131-DB131*(1000-AU131*DE131)/(1000-AU131*DD131))/(100*CV131)</f>
        <v>0</v>
      </c>
      <c r="AH131">
        <f>1000*DH131*AU131*(DD131-DE131)/(100*CV131*(1000-AU131*DD131))</f>
        <v>0</v>
      </c>
      <c r="AI131">
        <f>(AJ131 - AK131 - DI131*1E3/(8.314*(DK131+273.15)) * AM131/DH131 * AL131) * DH131/(100*CV131) * (1000 - DE131)/1000</f>
        <v>0</v>
      </c>
      <c r="AJ131">
        <v>891.9498657335033</v>
      </c>
      <c r="AK131">
        <v>875.8946181818179</v>
      </c>
      <c r="AL131">
        <v>-3.2955189481586</v>
      </c>
      <c r="AM131">
        <v>66.38192812717227</v>
      </c>
      <c r="AN131">
        <f>(AP131 - AO131 + DI131*1E3/(8.314*(DK131+273.15)) * AR131/DH131 * AQ131) * DH131/(100*CV131) * 1000/(1000 - AP131)</f>
        <v>0</v>
      </c>
      <c r="AO131">
        <v>12.71942053066027</v>
      </c>
      <c r="AP131">
        <v>18.13357823529412</v>
      </c>
      <c r="AQ131">
        <v>1.32728070891585E-05</v>
      </c>
      <c r="AR131">
        <v>80.47224507511959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MAX(0,($B$13+$C$13*DP131)/(1+$D$13*DP131)*DI131/(DK131+273)*$E$13)</f>
        <v>0</v>
      </c>
      <c r="AX131" t="s">
        <v>417</v>
      </c>
      <c r="AY131" t="s">
        <v>417</v>
      </c>
      <c r="AZ131">
        <v>0</v>
      </c>
      <c r="BA131">
        <v>0</v>
      </c>
      <c r="BB131">
        <f>1-AZ131/BA131</f>
        <v>0</v>
      </c>
      <c r="BC131">
        <v>0</v>
      </c>
      <c r="BD131" t="s">
        <v>417</v>
      </c>
      <c r="BE131" t="s">
        <v>417</v>
      </c>
      <c r="BF131">
        <v>0</v>
      </c>
      <c r="BG131">
        <v>0</v>
      </c>
      <c r="BH131">
        <f>1-BF131/BG131</f>
        <v>0</v>
      </c>
      <c r="BI131">
        <v>0.5</v>
      </c>
      <c r="BJ131">
        <f>CS131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417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1248</v>
      </c>
      <c r="CA131">
        <v>300</v>
      </c>
      <c r="CB131">
        <v>300</v>
      </c>
      <c r="CC131">
        <v>300</v>
      </c>
      <c r="CD131">
        <v>10442</v>
      </c>
      <c r="CE131">
        <v>1293.69</v>
      </c>
      <c r="CF131">
        <v>-0.00735246</v>
      </c>
      <c r="CG131">
        <v>0.5</v>
      </c>
      <c r="CH131" t="s">
        <v>417</v>
      </c>
      <c r="CI131" t="s">
        <v>417</v>
      </c>
      <c r="CJ131" t="s">
        <v>417</v>
      </c>
      <c r="CK131" t="s">
        <v>417</v>
      </c>
      <c r="CL131" t="s">
        <v>417</v>
      </c>
      <c r="CM131" t="s">
        <v>417</v>
      </c>
      <c r="CN131" t="s">
        <v>417</v>
      </c>
      <c r="CO131" t="s">
        <v>417</v>
      </c>
      <c r="CP131" t="s">
        <v>417</v>
      </c>
      <c r="CQ131" t="s">
        <v>417</v>
      </c>
      <c r="CR131">
        <f>$B$11*DQ131+$C$11*DR131+$F$11*EC131*(1-EF131)</f>
        <v>0</v>
      </c>
      <c r="CS131">
        <f>CR131*CT131</f>
        <v>0</v>
      </c>
      <c r="CT131">
        <f>($B$11*$D$9+$C$11*$D$9+$F$11*((EP131+EH131)/MAX(EP131+EH131+EQ131, 0.1)*$I$9+EQ131/MAX(EP131+EH131+EQ131, 0.1)*$J$9))/($B$11+$C$11+$F$11)</f>
        <v>0</v>
      </c>
      <c r="CU131">
        <f>($B$11*$K$9+$C$11*$K$9+$F$11*((EP131+EH131)/MAX(EP131+EH131+EQ131, 0.1)*$P$9+EQ131/MAX(EP131+EH131+EQ131, 0.1)*$Q$9))/($B$11+$C$11+$F$11)</f>
        <v>0</v>
      </c>
      <c r="CV131">
        <v>6</v>
      </c>
      <c r="CW131">
        <v>0.5</v>
      </c>
      <c r="CX131" t="s">
        <v>418</v>
      </c>
      <c r="CY131">
        <v>2</v>
      </c>
      <c r="CZ131" t="b">
        <v>1</v>
      </c>
      <c r="DA131">
        <v>1651864626.225</v>
      </c>
      <c r="DB131">
        <v>862.83925</v>
      </c>
      <c r="DC131">
        <v>875.9985</v>
      </c>
      <c r="DD131">
        <v>18.131475</v>
      </c>
      <c r="DE131">
        <v>12.758975</v>
      </c>
      <c r="DF131">
        <v>864.6287499999999</v>
      </c>
      <c r="DG131">
        <v>18.114225</v>
      </c>
      <c r="DH131">
        <v>500.0425</v>
      </c>
      <c r="DI131">
        <v>89.93147500000001</v>
      </c>
      <c r="DJ131">
        <v>0.099942</v>
      </c>
      <c r="DK131">
        <v>25.69095</v>
      </c>
      <c r="DL131">
        <v>25.01465</v>
      </c>
      <c r="DM131">
        <v>999.9</v>
      </c>
      <c r="DN131">
        <v>0</v>
      </c>
      <c r="DO131">
        <v>0</v>
      </c>
      <c r="DP131">
        <v>9993.737499999999</v>
      </c>
      <c r="DQ131">
        <v>0</v>
      </c>
      <c r="DR131">
        <v>3.23158</v>
      </c>
      <c r="DS131">
        <v>-13.159325</v>
      </c>
      <c r="DT131">
        <v>878.7725</v>
      </c>
      <c r="DU131">
        <v>887.31975</v>
      </c>
      <c r="DV131">
        <v>5.372507499999999</v>
      </c>
      <c r="DW131">
        <v>875.9985</v>
      </c>
      <c r="DX131">
        <v>12.758975</v>
      </c>
      <c r="DY131">
        <v>1.63059</v>
      </c>
      <c r="DZ131">
        <v>1.14743</v>
      </c>
      <c r="EA131">
        <v>14.250975</v>
      </c>
      <c r="EB131">
        <v>8.936444999999999</v>
      </c>
      <c r="EC131">
        <v>1500.04</v>
      </c>
      <c r="ED131">
        <v>0.9730082499999999</v>
      </c>
      <c r="EE131">
        <v>0.02699175</v>
      </c>
      <c r="EF131">
        <v>0</v>
      </c>
      <c r="EG131">
        <v>915.6115</v>
      </c>
      <c r="EH131">
        <v>5.00097</v>
      </c>
      <c r="EI131">
        <v>13599.8</v>
      </c>
      <c r="EJ131">
        <v>12491.975</v>
      </c>
      <c r="EK131">
        <v>37.25</v>
      </c>
      <c r="EL131">
        <v>38.75</v>
      </c>
      <c r="EM131">
        <v>37.625</v>
      </c>
      <c r="EN131">
        <v>38.437</v>
      </c>
      <c r="EO131">
        <v>38.125</v>
      </c>
      <c r="EP131">
        <v>1454.6875</v>
      </c>
      <c r="EQ131">
        <v>40.35</v>
      </c>
      <c r="ER131">
        <v>0</v>
      </c>
      <c r="ES131">
        <v>406.7999999523163</v>
      </c>
      <c r="ET131">
        <v>0</v>
      </c>
      <c r="EU131">
        <v>917.9156153846154</v>
      </c>
      <c r="EV131">
        <v>-22.8379487088006</v>
      </c>
      <c r="EW131">
        <v>-360.1675213181562</v>
      </c>
      <c r="EX131">
        <v>13634.89615384615</v>
      </c>
      <c r="EY131">
        <v>15</v>
      </c>
      <c r="EZ131">
        <v>1651864261.1</v>
      </c>
      <c r="FA131" t="s">
        <v>419</v>
      </c>
      <c r="FB131">
        <v>1651864241.6</v>
      </c>
      <c r="FC131">
        <v>1651864261.1</v>
      </c>
      <c r="FD131">
        <v>7</v>
      </c>
      <c r="FE131">
        <v>0.438</v>
      </c>
      <c r="FF131">
        <v>0.002</v>
      </c>
      <c r="FG131">
        <v>-0.988</v>
      </c>
      <c r="FH131">
        <v>-0.066</v>
      </c>
      <c r="FI131">
        <v>400</v>
      </c>
      <c r="FJ131">
        <v>11</v>
      </c>
      <c r="FK131">
        <v>0.05</v>
      </c>
      <c r="FL131">
        <v>0.02</v>
      </c>
      <c r="FM131">
        <v>-13.65662</v>
      </c>
      <c r="FN131">
        <v>3.643708818011232</v>
      </c>
      <c r="FO131">
        <v>0.3596784169226727</v>
      </c>
      <c r="FP131">
        <v>-1</v>
      </c>
      <c r="FQ131">
        <v>5.50795875</v>
      </c>
      <c r="FR131">
        <v>-0.98329699812384</v>
      </c>
      <c r="FS131">
        <v>0.09483074633755398</v>
      </c>
      <c r="FT131">
        <v>-1</v>
      </c>
      <c r="FU131">
        <v>0</v>
      </c>
      <c r="FV131">
        <v>0</v>
      </c>
      <c r="FW131">
        <v>0</v>
      </c>
      <c r="FX131">
        <v>-1</v>
      </c>
      <c r="FY131">
        <v>0</v>
      </c>
      <c r="FZ131">
        <v>0</v>
      </c>
      <c r="GA131" t="s">
        <v>420</v>
      </c>
      <c r="GB131">
        <v>2.98056</v>
      </c>
      <c r="GC131">
        <v>2.70602</v>
      </c>
      <c r="GD131">
        <v>0.154846</v>
      </c>
      <c r="GE131">
        <v>0.154604</v>
      </c>
      <c r="GF131">
        <v>0.0869246</v>
      </c>
      <c r="GG131">
        <v>0.06647019999999999</v>
      </c>
      <c r="GH131">
        <v>26672.5</v>
      </c>
      <c r="GI131">
        <v>26738.8</v>
      </c>
      <c r="GJ131">
        <v>29345.3</v>
      </c>
      <c r="GK131">
        <v>29259.9</v>
      </c>
      <c r="GL131">
        <v>35480.9</v>
      </c>
      <c r="GM131">
        <v>36381.4</v>
      </c>
      <c r="GN131">
        <v>41305</v>
      </c>
      <c r="GO131">
        <v>41763.2</v>
      </c>
      <c r="GP131">
        <v>1.9565</v>
      </c>
      <c r="GQ131">
        <v>1.84913</v>
      </c>
      <c r="GR131">
        <v>-0.0229031</v>
      </c>
      <c r="GS131">
        <v>0</v>
      </c>
      <c r="GT131">
        <v>25.3881</v>
      </c>
      <c r="GU131">
        <v>999.9</v>
      </c>
      <c r="GV131">
        <v>31.8</v>
      </c>
      <c r="GW131">
        <v>34.3</v>
      </c>
      <c r="GX131">
        <v>19.209</v>
      </c>
      <c r="GY131">
        <v>62.2275</v>
      </c>
      <c r="GZ131">
        <v>34.7276</v>
      </c>
      <c r="HA131">
        <v>1</v>
      </c>
      <c r="HB131">
        <v>0.105828</v>
      </c>
      <c r="HC131">
        <v>2.42339</v>
      </c>
      <c r="HD131">
        <v>20.3169</v>
      </c>
      <c r="HE131">
        <v>5.21849</v>
      </c>
      <c r="HF131">
        <v>12.0099</v>
      </c>
      <c r="HG131">
        <v>4.98895</v>
      </c>
      <c r="HH131">
        <v>3.2885</v>
      </c>
      <c r="HI131">
        <v>996.4</v>
      </c>
      <c r="HJ131">
        <v>9540</v>
      </c>
      <c r="HK131">
        <v>5139.4</v>
      </c>
      <c r="HL131">
        <v>24.9</v>
      </c>
      <c r="HM131">
        <v>1.8675</v>
      </c>
      <c r="HN131">
        <v>1.86646</v>
      </c>
      <c r="HO131">
        <v>1.866</v>
      </c>
      <c r="HP131">
        <v>1.86586</v>
      </c>
      <c r="HQ131">
        <v>1.86768</v>
      </c>
      <c r="HR131">
        <v>1.87018</v>
      </c>
      <c r="HS131">
        <v>1.86888</v>
      </c>
      <c r="HT131">
        <v>1.87025</v>
      </c>
      <c r="HU131">
        <v>0</v>
      </c>
      <c r="HV131">
        <v>0</v>
      </c>
      <c r="HW131">
        <v>0</v>
      </c>
      <c r="HX131">
        <v>0</v>
      </c>
      <c r="HY131" t="s">
        <v>421</v>
      </c>
      <c r="HZ131" t="s">
        <v>422</v>
      </c>
      <c r="IA131" t="s">
        <v>423</v>
      </c>
      <c r="IB131" t="s">
        <v>423</v>
      </c>
      <c r="IC131" t="s">
        <v>423</v>
      </c>
      <c r="ID131" t="s">
        <v>423</v>
      </c>
      <c r="IE131">
        <v>0</v>
      </c>
      <c r="IF131">
        <v>100</v>
      </c>
      <c r="IG131">
        <v>100</v>
      </c>
      <c r="IH131">
        <v>-1.782</v>
      </c>
      <c r="II131">
        <v>0.0173</v>
      </c>
      <c r="IJ131">
        <v>-0.2164499368582429</v>
      </c>
      <c r="IK131">
        <v>-0.002077099775823331</v>
      </c>
      <c r="IL131">
        <v>4.593143279902166E-07</v>
      </c>
      <c r="IM131">
        <v>-1.865383991892071E-10</v>
      </c>
      <c r="IN131">
        <v>-0.06087574426827484</v>
      </c>
      <c r="IO131">
        <v>-0.01129461987421345</v>
      </c>
      <c r="IP131">
        <v>0.00116580895745559</v>
      </c>
      <c r="IQ131">
        <v>-1.679085872906199E-05</v>
      </c>
      <c r="IR131">
        <v>2</v>
      </c>
      <c r="IS131">
        <v>2290</v>
      </c>
      <c r="IT131">
        <v>0</v>
      </c>
      <c r="IU131">
        <v>32</v>
      </c>
      <c r="IV131">
        <v>6.4</v>
      </c>
      <c r="IW131">
        <v>6.1</v>
      </c>
      <c r="IX131">
        <v>1.84082</v>
      </c>
      <c r="IY131">
        <v>2.21069</v>
      </c>
      <c r="IZ131">
        <v>1.39648</v>
      </c>
      <c r="JA131">
        <v>2.35596</v>
      </c>
      <c r="JB131">
        <v>1.49536</v>
      </c>
      <c r="JC131">
        <v>2.30225</v>
      </c>
      <c r="JD131">
        <v>38.4524</v>
      </c>
      <c r="JE131">
        <v>24.035</v>
      </c>
      <c r="JF131">
        <v>18</v>
      </c>
      <c r="JG131">
        <v>511.659</v>
      </c>
      <c r="JH131">
        <v>428.216</v>
      </c>
      <c r="JI131">
        <v>22.2481</v>
      </c>
      <c r="JJ131">
        <v>28.6609</v>
      </c>
      <c r="JK131">
        <v>30.0003</v>
      </c>
      <c r="JL131">
        <v>28.6252</v>
      </c>
      <c r="JM131">
        <v>28.5631</v>
      </c>
      <c r="JN131">
        <v>36.7454</v>
      </c>
      <c r="JO131">
        <v>32.5591</v>
      </c>
      <c r="JP131">
        <v>0</v>
      </c>
      <c r="JQ131">
        <v>22.244</v>
      </c>
      <c r="JR131">
        <v>848.616</v>
      </c>
      <c r="JS131">
        <v>12.9116</v>
      </c>
      <c r="JT131">
        <v>100.309</v>
      </c>
      <c r="JU131">
        <v>100.234</v>
      </c>
    </row>
    <row r="132" spans="1:281">
      <c r="A132">
        <v>116</v>
      </c>
      <c r="B132">
        <v>1651864629.6</v>
      </c>
      <c r="C132">
        <v>409</v>
      </c>
      <c r="D132" t="s">
        <v>652</v>
      </c>
      <c r="E132" t="s">
        <v>653</v>
      </c>
      <c r="F132">
        <v>2</v>
      </c>
      <c r="G132" t="s">
        <v>413</v>
      </c>
      <c r="H132" t="s">
        <v>414</v>
      </c>
      <c r="I132">
        <v>1651864628.6</v>
      </c>
      <c r="J132">
        <f>(K132)/1000</f>
        <v>0</v>
      </c>
      <c r="K132">
        <f>IF(CZ132, AN132, AH132)</f>
        <v>0</v>
      </c>
      <c r="L132">
        <f>IF(CZ132, AI132, AG132)</f>
        <v>0</v>
      </c>
      <c r="M132">
        <f>DB132 - IF(AU132&gt;1, L132*CV132*100.0/(AW132*DP132), 0)</f>
        <v>0</v>
      </c>
      <c r="N132">
        <f>((T132-J132/2)*M132-L132)/(T132+J132/2)</f>
        <v>0</v>
      </c>
      <c r="O132">
        <f>N132*(DI132+DJ132)/1000.0</f>
        <v>0</v>
      </c>
      <c r="P132">
        <f>(DB132 - IF(AU132&gt;1, L132*CV132*100.0/(AW132*DP132), 0))*(DI132+DJ132)/1000.0</f>
        <v>0</v>
      </c>
      <c r="Q132">
        <f>2.0/((1/S132-1/R132)+SIGN(S132)*SQRT((1/S132-1/R132)*(1/S132-1/R132) + 4*CW132/((CW132+1)*(CW132+1))*(2*1/S132*1/R132-1/R132*1/R132)))</f>
        <v>0</v>
      </c>
      <c r="R132">
        <f>IF(LEFT(CX132,1)&lt;&gt;"0",IF(LEFT(CX132,1)="1",3.0,CY132),$D$5+$E$5*(DP132*DI132/($K$5*1000))+$F$5*(DP132*DI132/($K$5*1000))*MAX(MIN(CV132,$J$5),$I$5)*MAX(MIN(CV132,$J$5),$I$5)+$G$5*MAX(MIN(CV132,$J$5),$I$5)*(DP132*DI132/($K$5*1000))+$H$5*(DP132*DI132/($K$5*1000))*(DP132*DI132/($K$5*1000)))</f>
        <v>0</v>
      </c>
      <c r="S132">
        <f>J132*(1000-(1000*0.61365*exp(17.502*W132/(240.97+W132))/(DI132+DJ132)+DD132)/2)/(1000*0.61365*exp(17.502*W132/(240.97+W132))/(DI132+DJ132)-DD132)</f>
        <v>0</v>
      </c>
      <c r="T132">
        <f>1/((CW132+1)/(Q132/1.6)+1/(R132/1.37)) + CW132/((CW132+1)/(Q132/1.6) + CW132/(R132/1.37))</f>
        <v>0</v>
      </c>
      <c r="U132">
        <f>(CR132*CU132)</f>
        <v>0</v>
      </c>
      <c r="V132">
        <f>(DK132+(U132+2*0.95*5.67E-8*(((DK132+$B$7)+273)^4-(DK132+273)^4)-44100*J132)/(1.84*29.3*R132+8*0.95*5.67E-8*(DK132+273)^3))</f>
        <v>0</v>
      </c>
      <c r="W132">
        <f>($C$7*DL132+$D$7*DM132+$E$7*V132)</f>
        <v>0</v>
      </c>
      <c r="X132">
        <f>0.61365*exp(17.502*W132/(240.97+W132))</f>
        <v>0</v>
      </c>
      <c r="Y132">
        <f>(Z132/AA132*100)</f>
        <v>0</v>
      </c>
      <c r="Z132">
        <f>DD132*(DI132+DJ132)/1000</f>
        <v>0</v>
      </c>
      <c r="AA132">
        <f>0.61365*exp(17.502*DK132/(240.97+DK132))</f>
        <v>0</v>
      </c>
      <c r="AB132">
        <f>(X132-DD132*(DI132+DJ132)/1000)</f>
        <v>0</v>
      </c>
      <c r="AC132">
        <f>(-J132*44100)</f>
        <v>0</v>
      </c>
      <c r="AD132">
        <f>2*29.3*R132*0.92*(DK132-W132)</f>
        <v>0</v>
      </c>
      <c r="AE132">
        <f>2*0.95*5.67E-8*(((DK132+$B$7)+273)^4-(W132+273)^4)</f>
        <v>0</v>
      </c>
      <c r="AF132">
        <f>U132+AE132+AC132+AD132</f>
        <v>0</v>
      </c>
      <c r="AG132">
        <f>DH132*AU132*(DC132-DB132*(1000-AU132*DE132)/(1000-AU132*DD132))/(100*CV132)</f>
        <v>0</v>
      </c>
      <c r="AH132">
        <f>1000*DH132*AU132*(DD132-DE132)/(100*CV132*(1000-AU132*DD132))</f>
        <v>0</v>
      </c>
      <c r="AI132">
        <f>(AJ132 - AK132 - DI132*1E3/(8.314*(DK132+273.15)) * AM132/DH132 * AL132) * DH132/(100*CV132) * (1000 - DE132)/1000</f>
        <v>0</v>
      </c>
      <c r="AJ132">
        <v>885.2833102331813</v>
      </c>
      <c r="AK132">
        <v>869.2807575757573</v>
      </c>
      <c r="AL132">
        <v>-3.297539288987568</v>
      </c>
      <c r="AM132">
        <v>66.38192812717227</v>
      </c>
      <c r="AN132">
        <f>(AP132 - AO132 + DI132*1E3/(8.314*(DK132+273.15)) * AR132/DH132 * AQ132) * DH132/(100*CV132) * 1000/(1000 - AP132)</f>
        <v>0</v>
      </c>
      <c r="AO132">
        <v>12.74897699518491</v>
      </c>
      <c r="AP132">
        <v>18.13327029411765</v>
      </c>
      <c r="AQ132">
        <v>4.290859660783069E-05</v>
      </c>
      <c r="AR132">
        <v>80.47224507511959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MAX(0,($B$13+$C$13*DP132)/(1+$D$13*DP132)*DI132/(DK132+273)*$E$13)</f>
        <v>0</v>
      </c>
      <c r="AX132" t="s">
        <v>417</v>
      </c>
      <c r="AY132" t="s">
        <v>417</v>
      </c>
      <c r="AZ132">
        <v>0</v>
      </c>
      <c r="BA132">
        <v>0</v>
      </c>
      <c r="BB132">
        <f>1-AZ132/BA132</f>
        <v>0</v>
      </c>
      <c r="BC132">
        <v>0</v>
      </c>
      <c r="BD132" t="s">
        <v>417</v>
      </c>
      <c r="BE132" t="s">
        <v>417</v>
      </c>
      <c r="BF132">
        <v>0</v>
      </c>
      <c r="BG132">
        <v>0</v>
      </c>
      <c r="BH132">
        <f>1-BF132/BG132</f>
        <v>0</v>
      </c>
      <c r="BI132">
        <v>0.5</v>
      </c>
      <c r="BJ132">
        <f>CS132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417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1248</v>
      </c>
      <c r="CA132">
        <v>300</v>
      </c>
      <c r="CB132">
        <v>300</v>
      </c>
      <c r="CC132">
        <v>300</v>
      </c>
      <c r="CD132">
        <v>10442</v>
      </c>
      <c r="CE132">
        <v>1293.69</v>
      </c>
      <c r="CF132">
        <v>-0.00735246</v>
      </c>
      <c r="CG132">
        <v>0.5</v>
      </c>
      <c r="CH132" t="s">
        <v>417</v>
      </c>
      <c r="CI132" t="s">
        <v>417</v>
      </c>
      <c r="CJ132" t="s">
        <v>417</v>
      </c>
      <c r="CK132" t="s">
        <v>417</v>
      </c>
      <c r="CL132" t="s">
        <v>417</v>
      </c>
      <c r="CM132" t="s">
        <v>417</v>
      </c>
      <c r="CN132" t="s">
        <v>417</v>
      </c>
      <c r="CO132" t="s">
        <v>417</v>
      </c>
      <c r="CP132" t="s">
        <v>417</v>
      </c>
      <c r="CQ132" t="s">
        <v>417</v>
      </c>
      <c r="CR132">
        <f>$B$11*DQ132+$C$11*DR132+$F$11*EC132*(1-EF132)</f>
        <v>0</v>
      </c>
      <c r="CS132">
        <f>CR132*CT132</f>
        <v>0</v>
      </c>
      <c r="CT132">
        <f>($B$11*$D$9+$C$11*$D$9+$F$11*((EP132+EH132)/MAX(EP132+EH132+EQ132, 0.1)*$I$9+EQ132/MAX(EP132+EH132+EQ132, 0.1)*$J$9))/($B$11+$C$11+$F$11)</f>
        <v>0</v>
      </c>
      <c r="CU132">
        <f>($B$11*$K$9+$C$11*$K$9+$F$11*((EP132+EH132)/MAX(EP132+EH132+EQ132, 0.1)*$P$9+EQ132/MAX(EP132+EH132+EQ132, 0.1)*$Q$9))/($B$11+$C$11+$F$11)</f>
        <v>0</v>
      </c>
      <c r="CV132">
        <v>6</v>
      </c>
      <c r="CW132">
        <v>0.5</v>
      </c>
      <c r="CX132" t="s">
        <v>418</v>
      </c>
      <c r="CY132">
        <v>2</v>
      </c>
      <c r="CZ132" t="b">
        <v>1</v>
      </c>
      <c r="DA132">
        <v>1651864628.6</v>
      </c>
      <c r="DB132">
        <v>855.1336666666666</v>
      </c>
      <c r="DC132">
        <v>868.0883333333333</v>
      </c>
      <c r="DD132">
        <v>18.13283333333333</v>
      </c>
      <c r="DE132">
        <v>12.78103333333333</v>
      </c>
      <c r="DF132">
        <v>856.91</v>
      </c>
      <c r="DG132">
        <v>18.11556666666667</v>
      </c>
      <c r="DH132">
        <v>500.0283333333334</v>
      </c>
      <c r="DI132">
        <v>89.93133333333333</v>
      </c>
      <c r="DJ132">
        <v>0.1000526666666667</v>
      </c>
      <c r="DK132">
        <v>25.68993333333333</v>
      </c>
      <c r="DL132">
        <v>25.00923333333333</v>
      </c>
      <c r="DM132">
        <v>999.9</v>
      </c>
      <c r="DN132">
        <v>0</v>
      </c>
      <c r="DO132">
        <v>0</v>
      </c>
      <c r="DP132">
        <v>9991.25</v>
      </c>
      <c r="DQ132">
        <v>0</v>
      </c>
      <c r="DR132">
        <v>3.23193</v>
      </c>
      <c r="DS132">
        <v>-12.95473333333333</v>
      </c>
      <c r="DT132">
        <v>870.9256666666666</v>
      </c>
      <c r="DU132">
        <v>879.3269999999999</v>
      </c>
      <c r="DV132">
        <v>5.351773333333334</v>
      </c>
      <c r="DW132">
        <v>868.0883333333333</v>
      </c>
      <c r="DX132">
        <v>12.78103333333333</v>
      </c>
      <c r="DY132">
        <v>1.63071</v>
      </c>
      <c r="DZ132">
        <v>1.149416666666667</v>
      </c>
      <c r="EA132">
        <v>14.2521</v>
      </c>
      <c r="EB132">
        <v>8.962043333333334</v>
      </c>
      <c r="EC132">
        <v>1499.96</v>
      </c>
      <c r="ED132">
        <v>0.973007</v>
      </c>
      <c r="EE132">
        <v>0.0269931</v>
      </c>
      <c r="EF132">
        <v>0</v>
      </c>
      <c r="EG132">
        <v>914.54</v>
      </c>
      <c r="EH132">
        <v>5.00097</v>
      </c>
      <c r="EI132">
        <v>13584.5</v>
      </c>
      <c r="EJ132">
        <v>12491.3</v>
      </c>
      <c r="EK132">
        <v>37.25</v>
      </c>
      <c r="EL132">
        <v>38.687</v>
      </c>
      <c r="EM132">
        <v>37.625</v>
      </c>
      <c r="EN132">
        <v>38.437</v>
      </c>
      <c r="EO132">
        <v>38.125</v>
      </c>
      <c r="EP132">
        <v>1454.61</v>
      </c>
      <c r="EQ132">
        <v>40.35</v>
      </c>
      <c r="ER132">
        <v>0</v>
      </c>
      <c r="ES132">
        <v>408.6000001430511</v>
      </c>
      <c r="ET132">
        <v>0</v>
      </c>
      <c r="EU132">
        <v>917.08236</v>
      </c>
      <c r="EV132">
        <v>-24.06284610436362</v>
      </c>
      <c r="EW132">
        <v>-368.2230763342292</v>
      </c>
      <c r="EX132">
        <v>13622.116</v>
      </c>
      <c r="EY132">
        <v>15</v>
      </c>
      <c r="EZ132">
        <v>1651864261.1</v>
      </c>
      <c r="FA132" t="s">
        <v>419</v>
      </c>
      <c r="FB132">
        <v>1651864241.6</v>
      </c>
      <c r="FC132">
        <v>1651864261.1</v>
      </c>
      <c r="FD132">
        <v>7</v>
      </c>
      <c r="FE132">
        <v>0.438</v>
      </c>
      <c r="FF132">
        <v>0.002</v>
      </c>
      <c r="FG132">
        <v>-0.988</v>
      </c>
      <c r="FH132">
        <v>-0.066</v>
      </c>
      <c r="FI132">
        <v>400</v>
      </c>
      <c r="FJ132">
        <v>11</v>
      </c>
      <c r="FK132">
        <v>0.05</v>
      </c>
      <c r="FL132">
        <v>0.02</v>
      </c>
      <c r="FM132">
        <v>-13.57462682926829</v>
      </c>
      <c r="FN132">
        <v>3.544281533101031</v>
      </c>
      <c r="FO132">
        <v>0.357331575898141</v>
      </c>
      <c r="FP132">
        <v>-1</v>
      </c>
      <c r="FQ132">
        <v>5.489263902439025</v>
      </c>
      <c r="FR132">
        <v>-0.9496676655052166</v>
      </c>
      <c r="FS132">
        <v>0.09406823921320848</v>
      </c>
      <c r="FT132">
        <v>-1</v>
      </c>
      <c r="FU132">
        <v>0</v>
      </c>
      <c r="FV132">
        <v>0</v>
      </c>
      <c r="FW132">
        <v>0</v>
      </c>
      <c r="FX132">
        <v>-1</v>
      </c>
      <c r="FY132">
        <v>0</v>
      </c>
      <c r="FZ132">
        <v>0</v>
      </c>
      <c r="GA132" t="s">
        <v>420</v>
      </c>
      <c r="GB132">
        <v>2.98055</v>
      </c>
      <c r="GC132">
        <v>2.70613</v>
      </c>
      <c r="GD132">
        <v>0.154081</v>
      </c>
      <c r="GE132">
        <v>0.153832</v>
      </c>
      <c r="GF132">
        <v>0.0869123</v>
      </c>
      <c r="GG132">
        <v>0.06655709999999999</v>
      </c>
      <c r="GH132">
        <v>26696.3</v>
      </c>
      <c r="GI132">
        <v>26763.4</v>
      </c>
      <c r="GJ132">
        <v>29344.9</v>
      </c>
      <c r="GK132">
        <v>29260</v>
      </c>
      <c r="GL132">
        <v>35480.8</v>
      </c>
      <c r="GM132">
        <v>36378.3</v>
      </c>
      <c r="GN132">
        <v>41304.3</v>
      </c>
      <c r="GO132">
        <v>41763.5</v>
      </c>
      <c r="GP132">
        <v>1.95627</v>
      </c>
      <c r="GQ132">
        <v>1.84932</v>
      </c>
      <c r="GR132">
        <v>-0.0230595</v>
      </c>
      <c r="GS132">
        <v>0</v>
      </c>
      <c r="GT132">
        <v>25.3864</v>
      </c>
      <c r="GU132">
        <v>999.9</v>
      </c>
      <c r="GV132">
        <v>31.8</v>
      </c>
      <c r="GW132">
        <v>34.3</v>
      </c>
      <c r="GX132">
        <v>19.2108</v>
      </c>
      <c r="GY132">
        <v>62.5374</v>
      </c>
      <c r="GZ132">
        <v>35.1883</v>
      </c>
      <c r="HA132">
        <v>1</v>
      </c>
      <c r="HB132">
        <v>0.105843</v>
      </c>
      <c r="HC132">
        <v>2.4143</v>
      </c>
      <c r="HD132">
        <v>20.317</v>
      </c>
      <c r="HE132">
        <v>5.21849</v>
      </c>
      <c r="HF132">
        <v>12.0099</v>
      </c>
      <c r="HG132">
        <v>4.9892</v>
      </c>
      <c r="HH132">
        <v>3.2885</v>
      </c>
      <c r="HI132">
        <v>996.4</v>
      </c>
      <c r="HJ132">
        <v>9540</v>
      </c>
      <c r="HK132">
        <v>5139.4</v>
      </c>
      <c r="HL132">
        <v>24.9</v>
      </c>
      <c r="HM132">
        <v>1.8675</v>
      </c>
      <c r="HN132">
        <v>1.86646</v>
      </c>
      <c r="HO132">
        <v>1.866</v>
      </c>
      <c r="HP132">
        <v>1.86585</v>
      </c>
      <c r="HQ132">
        <v>1.86768</v>
      </c>
      <c r="HR132">
        <v>1.87018</v>
      </c>
      <c r="HS132">
        <v>1.86889</v>
      </c>
      <c r="HT132">
        <v>1.87022</v>
      </c>
      <c r="HU132">
        <v>0</v>
      </c>
      <c r="HV132">
        <v>0</v>
      </c>
      <c r="HW132">
        <v>0</v>
      </c>
      <c r="HX132">
        <v>0</v>
      </c>
      <c r="HY132" t="s">
        <v>421</v>
      </c>
      <c r="HZ132" t="s">
        <v>422</v>
      </c>
      <c r="IA132" t="s">
        <v>423</v>
      </c>
      <c r="IB132" t="s">
        <v>423</v>
      </c>
      <c r="IC132" t="s">
        <v>423</v>
      </c>
      <c r="ID132" t="s">
        <v>423</v>
      </c>
      <c r="IE132">
        <v>0</v>
      </c>
      <c r="IF132">
        <v>100</v>
      </c>
      <c r="IG132">
        <v>100</v>
      </c>
      <c r="IH132">
        <v>-1.771</v>
      </c>
      <c r="II132">
        <v>0.0172</v>
      </c>
      <c r="IJ132">
        <v>-0.2164499368582429</v>
      </c>
      <c r="IK132">
        <v>-0.002077099775823331</v>
      </c>
      <c r="IL132">
        <v>4.593143279902166E-07</v>
      </c>
      <c r="IM132">
        <v>-1.865383991892071E-10</v>
      </c>
      <c r="IN132">
        <v>-0.06087574426827484</v>
      </c>
      <c r="IO132">
        <v>-0.01129461987421345</v>
      </c>
      <c r="IP132">
        <v>0.00116580895745559</v>
      </c>
      <c r="IQ132">
        <v>-1.679085872906199E-05</v>
      </c>
      <c r="IR132">
        <v>2</v>
      </c>
      <c r="IS132">
        <v>2290</v>
      </c>
      <c r="IT132">
        <v>0</v>
      </c>
      <c r="IU132">
        <v>32</v>
      </c>
      <c r="IV132">
        <v>6.5</v>
      </c>
      <c r="IW132">
        <v>6.1</v>
      </c>
      <c r="IX132">
        <v>1.82983</v>
      </c>
      <c r="IY132">
        <v>2.20215</v>
      </c>
      <c r="IZ132">
        <v>1.39648</v>
      </c>
      <c r="JA132">
        <v>2.35596</v>
      </c>
      <c r="JB132">
        <v>1.49536</v>
      </c>
      <c r="JC132">
        <v>2.34863</v>
      </c>
      <c r="JD132">
        <v>38.4524</v>
      </c>
      <c r="JE132">
        <v>24.035</v>
      </c>
      <c r="JF132">
        <v>18</v>
      </c>
      <c r="JG132">
        <v>511.512</v>
      </c>
      <c r="JH132">
        <v>428.345</v>
      </c>
      <c r="JI132">
        <v>22.2428</v>
      </c>
      <c r="JJ132">
        <v>28.6609</v>
      </c>
      <c r="JK132">
        <v>30.0003</v>
      </c>
      <c r="JL132">
        <v>28.6252</v>
      </c>
      <c r="JM132">
        <v>28.5643</v>
      </c>
      <c r="JN132">
        <v>36.5125</v>
      </c>
      <c r="JO132">
        <v>32.5591</v>
      </c>
      <c r="JP132">
        <v>0</v>
      </c>
      <c r="JQ132">
        <v>22.2311</v>
      </c>
      <c r="JR132">
        <v>841.918</v>
      </c>
      <c r="JS132">
        <v>12.9487</v>
      </c>
      <c r="JT132">
        <v>100.307</v>
      </c>
      <c r="JU132">
        <v>100.235</v>
      </c>
    </row>
    <row r="133" spans="1:281">
      <c r="A133">
        <v>117</v>
      </c>
      <c r="B133">
        <v>1651864631.6</v>
      </c>
      <c r="C133">
        <v>411</v>
      </c>
      <c r="D133" t="s">
        <v>654</v>
      </c>
      <c r="E133" t="s">
        <v>655</v>
      </c>
      <c r="F133">
        <v>2</v>
      </c>
      <c r="G133" t="s">
        <v>413</v>
      </c>
      <c r="H133" t="s">
        <v>414</v>
      </c>
      <c r="I133">
        <v>1651864630.225</v>
      </c>
      <c r="J133">
        <f>(K133)/1000</f>
        <v>0</v>
      </c>
      <c r="K133">
        <f>IF(CZ133, AN133, AH133)</f>
        <v>0</v>
      </c>
      <c r="L133">
        <f>IF(CZ133, AI133, AG133)</f>
        <v>0</v>
      </c>
      <c r="M133">
        <f>DB133 - IF(AU133&gt;1, L133*CV133*100.0/(AW133*DP133), 0)</f>
        <v>0</v>
      </c>
      <c r="N133">
        <f>((T133-J133/2)*M133-L133)/(T133+J133/2)</f>
        <v>0</v>
      </c>
      <c r="O133">
        <f>N133*(DI133+DJ133)/1000.0</f>
        <v>0</v>
      </c>
      <c r="P133">
        <f>(DB133 - IF(AU133&gt;1, L133*CV133*100.0/(AW133*DP133), 0))*(DI133+DJ133)/1000.0</f>
        <v>0</v>
      </c>
      <c r="Q133">
        <f>2.0/((1/S133-1/R133)+SIGN(S133)*SQRT((1/S133-1/R133)*(1/S133-1/R133) + 4*CW133/((CW133+1)*(CW133+1))*(2*1/S133*1/R133-1/R133*1/R133)))</f>
        <v>0</v>
      </c>
      <c r="R133">
        <f>IF(LEFT(CX133,1)&lt;&gt;"0",IF(LEFT(CX133,1)="1",3.0,CY133),$D$5+$E$5*(DP133*DI133/($K$5*1000))+$F$5*(DP133*DI133/($K$5*1000))*MAX(MIN(CV133,$J$5),$I$5)*MAX(MIN(CV133,$J$5),$I$5)+$G$5*MAX(MIN(CV133,$J$5),$I$5)*(DP133*DI133/($K$5*1000))+$H$5*(DP133*DI133/($K$5*1000))*(DP133*DI133/($K$5*1000)))</f>
        <v>0</v>
      </c>
      <c r="S133">
        <f>J133*(1000-(1000*0.61365*exp(17.502*W133/(240.97+W133))/(DI133+DJ133)+DD133)/2)/(1000*0.61365*exp(17.502*W133/(240.97+W133))/(DI133+DJ133)-DD133)</f>
        <v>0</v>
      </c>
      <c r="T133">
        <f>1/((CW133+1)/(Q133/1.6)+1/(R133/1.37)) + CW133/((CW133+1)/(Q133/1.6) + CW133/(R133/1.37))</f>
        <v>0</v>
      </c>
      <c r="U133">
        <f>(CR133*CU133)</f>
        <v>0</v>
      </c>
      <c r="V133">
        <f>(DK133+(U133+2*0.95*5.67E-8*(((DK133+$B$7)+273)^4-(DK133+273)^4)-44100*J133)/(1.84*29.3*R133+8*0.95*5.67E-8*(DK133+273)^3))</f>
        <v>0</v>
      </c>
      <c r="W133">
        <f>($C$7*DL133+$D$7*DM133+$E$7*V133)</f>
        <v>0</v>
      </c>
      <c r="X133">
        <f>0.61365*exp(17.502*W133/(240.97+W133))</f>
        <v>0</v>
      </c>
      <c r="Y133">
        <f>(Z133/AA133*100)</f>
        <v>0</v>
      </c>
      <c r="Z133">
        <f>DD133*(DI133+DJ133)/1000</f>
        <v>0</v>
      </c>
      <c r="AA133">
        <f>0.61365*exp(17.502*DK133/(240.97+DK133))</f>
        <v>0</v>
      </c>
      <c r="AB133">
        <f>(X133-DD133*(DI133+DJ133)/1000)</f>
        <v>0</v>
      </c>
      <c r="AC133">
        <f>(-J133*44100)</f>
        <v>0</v>
      </c>
      <c r="AD133">
        <f>2*29.3*R133*0.92*(DK133-W133)</f>
        <v>0</v>
      </c>
      <c r="AE133">
        <f>2*0.95*5.67E-8*(((DK133+$B$7)+273)^4-(W133+273)^4)</f>
        <v>0</v>
      </c>
      <c r="AF133">
        <f>U133+AE133+AC133+AD133</f>
        <v>0</v>
      </c>
      <c r="AG133">
        <f>DH133*AU133*(DC133-DB133*(1000-AU133*DE133)/(1000-AU133*DD133))/(100*CV133)</f>
        <v>0</v>
      </c>
      <c r="AH133">
        <f>1000*DH133*AU133*(DD133-DE133)/(100*CV133*(1000-AU133*DD133))</f>
        <v>0</v>
      </c>
      <c r="AI133">
        <f>(AJ133 - AK133 - DI133*1E3/(8.314*(DK133+273.15)) * AM133/DH133 * AL133) * DH133/(100*CV133) * (1000 - DE133)/1000</f>
        <v>0</v>
      </c>
      <c r="AJ133">
        <v>878.5648669393154</v>
      </c>
      <c r="AK133">
        <v>862.7342909090906</v>
      </c>
      <c r="AL133">
        <v>-3.28220425143501</v>
      </c>
      <c r="AM133">
        <v>66.38192812717227</v>
      </c>
      <c r="AN133">
        <f>(AP133 - AO133 + DI133*1E3/(8.314*(DK133+273.15)) * AR133/DH133 * AQ133) * DH133/(100*CV133) * 1000/(1000 - AP133)</f>
        <v>0</v>
      </c>
      <c r="AO133">
        <v>12.76563093498633</v>
      </c>
      <c r="AP133">
        <v>18.12734529411764</v>
      </c>
      <c r="AQ133">
        <v>4.616623426355028E-05</v>
      </c>
      <c r="AR133">
        <v>80.47224507511959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MAX(0,($B$13+$C$13*DP133)/(1+$D$13*DP133)*DI133/(DK133+273)*$E$13)</f>
        <v>0</v>
      </c>
      <c r="AX133" t="s">
        <v>417</v>
      </c>
      <c r="AY133" t="s">
        <v>417</v>
      </c>
      <c r="AZ133">
        <v>0</v>
      </c>
      <c r="BA133">
        <v>0</v>
      </c>
      <c r="BB133">
        <f>1-AZ133/BA133</f>
        <v>0</v>
      </c>
      <c r="BC133">
        <v>0</v>
      </c>
      <c r="BD133" t="s">
        <v>417</v>
      </c>
      <c r="BE133" t="s">
        <v>417</v>
      </c>
      <c r="BF133">
        <v>0</v>
      </c>
      <c r="BG133">
        <v>0</v>
      </c>
      <c r="BH133">
        <f>1-BF133/BG133</f>
        <v>0</v>
      </c>
      <c r="BI133">
        <v>0.5</v>
      </c>
      <c r="BJ133">
        <f>CS133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417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1248</v>
      </c>
      <c r="CA133">
        <v>300</v>
      </c>
      <c r="CB133">
        <v>300</v>
      </c>
      <c r="CC133">
        <v>300</v>
      </c>
      <c r="CD133">
        <v>10442</v>
      </c>
      <c r="CE133">
        <v>1293.69</v>
      </c>
      <c r="CF133">
        <v>-0.00735246</v>
      </c>
      <c r="CG133">
        <v>0.5</v>
      </c>
      <c r="CH133" t="s">
        <v>417</v>
      </c>
      <c r="CI133" t="s">
        <v>417</v>
      </c>
      <c r="CJ133" t="s">
        <v>417</v>
      </c>
      <c r="CK133" t="s">
        <v>417</v>
      </c>
      <c r="CL133" t="s">
        <v>417</v>
      </c>
      <c r="CM133" t="s">
        <v>417</v>
      </c>
      <c r="CN133" t="s">
        <v>417</v>
      </c>
      <c r="CO133" t="s">
        <v>417</v>
      </c>
      <c r="CP133" t="s">
        <v>417</v>
      </c>
      <c r="CQ133" t="s">
        <v>417</v>
      </c>
      <c r="CR133">
        <f>$B$11*DQ133+$C$11*DR133+$F$11*EC133*(1-EF133)</f>
        <v>0</v>
      </c>
      <c r="CS133">
        <f>CR133*CT133</f>
        <v>0</v>
      </c>
      <c r="CT133">
        <f>($B$11*$D$9+$C$11*$D$9+$F$11*((EP133+EH133)/MAX(EP133+EH133+EQ133, 0.1)*$I$9+EQ133/MAX(EP133+EH133+EQ133, 0.1)*$J$9))/($B$11+$C$11+$F$11)</f>
        <v>0</v>
      </c>
      <c r="CU133">
        <f>($B$11*$K$9+$C$11*$K$9+$F$11*((EP133+EH133)/MAX(EP133+EH133+EQ133, 0.1)*$P$9+EQ133/MAX(EP133+EH133+EQ133, 0.1)*$Q$9))/($B$11+$C$11+$F$11)</f>
        <v>0</v>
      </c>
      <c r="CV133">
        <v>6</v>
      </c>
      <c r="CW133">
        <v>0.5</v>
      </c>
      <c r="CX133" t="s">
        <v>418</v>
      </c>
      <c r="CY133">
        <v>2</v>
      </c>
      <c r="CZ133" t="b">
        <v>1</v>
      </c>
      <c r="DA133">
        <v>1651864630.225</v>
      </c>
      <c r="DB133">
        <v>849.9100000000001</v>
      </c>
      <c r="DC133">
        <v>862.6935</v>
      </c>
      <c r="DD133">
        <v>18.12965</v>
      </c>
      <c r="DE133">
        <v>12.800475</v>
      </c>
      <c r="DF133">
        <v>851.6775</v>
      </c>
      <c r="DG133">
        <v>18.1124</v>
      </c>
      <c r="DH133">
        <v>500.0187500000001</v>
      </c>
      <c r="DI133">
        <v>89.93122499999998</v>
      </c>
      <c r="DJ133">
        <v>0.100037575</v>
      </c>
      <c r="DK133">
        <v>25.68755</v>
      </c>
      <c r="DL133">
        <v>25.0087</v>
      </c>
      <c r="DM133">
        <v>999.9</v>
      </c>
      <c r="DN133">
        <v>0</v>
      </c>
      <c r="DO133">
        <v>0</v>
      </c>
      <c r="DP133">
        <v>9990</v>
      </c>
      <c r="DQ133">
        <v>0</v>
      </c>
      <c r="DR133">
        <v>3.23193</v>
      </c>
      <c r="DS133">
        <v>-12.783475</v>
      </c>
      <c r="DT133">
        <v>865.6030000000001</v>
      </c>
      <c r="DU133">
        <v>873.8797500000001</v>
      </c>
      <c r="DV133">
        <v>5.3291575</v>
      </c>
      <c r="DW133">
        <v>862.6935</v>
      </c>
      <c r="DX133">
        <v>12.800475</v>
      </c>
      <c r="DY133">
        <v>1.6304225</v>
      </c>
      <c r="DZ133">
        <v>1.151165</v>
      </c>
      <c r="EA133">
        <v>14.24935</v>
      </c>
      <c r="EB133">
        <v>8.984529999999999</v>
      </c>
      <c r="EC133">
        <v>1499.96</v>
      </c>
      <c r="ED133">
        <v>0.973007</v>
      </c>
      <c r="EE133">
        <v>0.0269931</v>
      </c>
      <c r="EF133">
        <v>0</v>
      </c>
      <c r="EG133">
        <v>913.7535</v>
      </c>
      <c r="EH133">
        <v>5.00097</v>
      </c>
      <c r="EI133">
        <v>13573.75</v>
      </c>
      <c r="EJ133">
        <v>12491.3</v>
      </c>
      <c r="EK133">
        <v>37.25</v>
      </c>
      <c r="EL133">
        <v>38.73425</v>
      </c>
      <c r="EM133">
        <v>37.625</v>
      </c>
      <c r="EN133">
        <v>38.437</v>
      </c>
      <c r="EO133">
        <v>38.125</v>
      </c>
      <c r="EP133">
        <v>1454.61</v>
      </c>
      <c r="EQ133">
        <v>40.35</v>
      </c>
      <c r="ER133">
        <v>0</v>
      </c>
      <c r="ES133">
        <v>410.4000000953674</v>
      </c>
      <c r="ET133">
        <v>0</v>
      </c>
      <c r="EU133">
        <v>916.4597692307691</v>
      </c>
      <c r="EV133">
        <v>-25.35439317317089</v>
      </c>
      <c r="EW133">
        <v>-374.1914532249363</v>
      </c>
      <c r="EX133">
        <v>13612.71923076923</v>
      </c>
      <c r="EY133">
        <v>15</v>
      </c>
      <c r="EZ133">
        <v>1651864261.1</v>
      </c>
      <c r="FA133" t="s">
        <v>419</v>
      </c>
      <c r="FB133">
        <v>1651864241.6</v>
      </c>
      <c r="FC133">
        <v>1651864261.1</v>
      </c>
      <c r="FD133">
        <v>7</v>
      </c>
      <c r="FE133">
        <v>0.438</v>
      </c>
      <c r="FF133">
        <v>0.002</v>
      </c>
      <c r="FG133">
        <v>-0.988</v>
      </c>
      <c r="FH133">
        <v>-0.066</v>
      </c>
      <c r="FI133">
        <v>400</v>
      </c>
      <c r="FJ133">
        <v>11</v>
      </c>
      <c r="FK133">
        <v>0.05</v>
      </c>
      <c r="FL133">
        <v>0.02</v>
      </c>
      <c r="FM133">
        <v>-13.4050075</v>
      </c>
      <c r="FN133">
        <v>3.833922326454079</v>
      </c>
      <c r="FO133">
        <v>0.3759007464660719</v>
      </c>
      <c r="FP133">
        <v>-1</v>
      </c>
      <c r="FQ133">
        <v>5.44792225</v>
      </c>
      <c r="FR133">
        <v>-0.8863059287054632</v>
      </c>
      <c r="FS133">
        <v>0.08587033962572581</v>
      </c>
      <c r="FT133">
        <v>-1</v>
      </c>
      <c r="FU133">
        <v>0</v>
      </c>
      <c r="FV133">
        <v>0</v>
      </c>
      <c r="FW133">
        <v>0</v>
      </c>
      <c r="FX133">
        <v>-1</v>
      </c>
      <c r="FY133">
        <v>0</v>
      </c>
      <c r="FZ133">
        <v>0</v>
      </c>
      <c r="GA133" t="s">
        <v>420</v>
      </c>
      <c r="GB133">
        <v>2.98059</v>
      </c>
      <c r="GC133">
        <v>2.70615</v>
      </c>
      <c r="GD133">
        <v>0.153308</v>
      </c>
      <c r="GE133">
        <v>0.153043</v>
      </c>
      <c r="GF133">
        <v>0.0868965</v>
      </c>
      <c r="GG133">
        <v>0.0666443</v>
      </c>
      <c r="GH133">
        <v>26720.7</v>
      </c>
      <c r="GI133">
        <v>26788.2</v>
      </c>
      <c r="GJ133">
        <v>29344.9</v>
      </c>
      <c r="GK133">
        <v>29259.9</v>
      </c>
      <c r="GL133">
        <v>35481.4</v>
      </c>
      <c r="GM133">
        <v>36374.6</v>
      </c>
      <c r="GN133">
        <v>41304.3</v>
      </c>
      <c r="GO133">
        <v>41763.3</v>
      </c>
      <c r="GP133">
        <v>1.9564</v>
      </c>
      <c r="GQ133">
        <v>1.8492</v>
      </c>
      <c r="GR133">
        <v>-0.0228584</v>
      </c>
      <c r="GS133">
        <v>0</v>
      </c>
      <c r="GT133">
        <v>25.3849</v>
      </c>
      <c r="GU133">
        <v>999.9</v>
      </c>
      <c r="GV133">
        <v>31.8</v>
      </c>
      <c r="GW133">
        <v>34.3</v>
      </c>
      <c r="GX133">
        <v>19.2098</v>
      </c>
      <c r="GY133">
        <v>62.4574</v>
      </c>
      <c r="GZ133">
        <v>35.004</v>
      </c>
      <c r="HA133">
        <v>1</v>
      </c>
      <c r="HB133">
        <v>0.10596</v>
      </c>
      <c r="HC133">
        <v>2.42686</v>
      </c>
      <c r="HD133">
        <v>20.3169</v>
      </c>
      <c r="HE133">
        <v>5.21804</v>
      </c>
      <c r="HF133">
        <v>12.0099</v>
      </c>
      <c r="HG133">
        <v>4.989</v>
      </c>
      <c r="HH133">
        <v>3.28848</v>
      </c>
      <c r="HI133">
        <v>996.4</v>
      </c>
      <c r="HJ133">
        <v>9540</v>
      </c>
      <c r="HK133">
        <v>5139.4</v>
      </c>
      <c r="HL133">
        <v>24.9</v>
      </c>
      <c r="HM133">
        <v>1.8675</v>
      </c>
      <c r="HN133">
        <v>1.86646</v>
      </c>
      <c r="HO133">
        <v>1.866</v>
      </c>
      <c r="HP133">
        <v>1.86585</v>
      </c>
      <c r="HQ133">
        <v>1.86768</v>
      </c>
      <c r="HR133">
        <v>1.87018</v>
      </c>
      <c r="HS133">
        <v>1.8689</v>
      </c>
      <c r="HT133">
        <v>1.87023</v>
      </c>
      <c r="HU133">
        <v>0</v>
      </c>
      <c r="HV133">
        <v>0</v>
      </c>
      <c r="HW133">
        <v>0</v>
      </c>
      <c r="HX133">
        <v>0</v>
      </c>
      <c r="HY133" t="s">
        <v>421</v>
      </c>
      <c r="HZ133" t="s">
        <v>422</v>
      </c>
      <c r="IA133" t="s">
        <v>423</v>
      </c>
      <c r="IB133" t="s">
        <v>423</v>
      </c>
      <c r="IC133" t="s">
        <v>423</v>
      </c>
      <c r="ID133" t="s">
        <v>423</v>
      </c>
      <c r="IE133">
        <v>0</v>
      </c>
      <c r="IF133">
        <v>100</v>
      </c>
      <c r="IG133">
        <v>100</v>
      </c>
      <c r="IH133">
        <v>-1.76</v>
      </c>
      <c r="II133">
        <v>0.0171</v>
      </c>
      <c r="IJ133">
        <v>-0.2164499368582429</v>
      </c>
      <c r="IK133">
        <v>-0.002077099775823331</v>
      </c>
      <c r="IL133">
        <v>4.593143279902166E-07</v>
      </c>
      <c r="IM133">
        <v>-1.865383991892071E-10</v>
      </c>
      <c r="IN133">
        <v>-0.06087574426827484</v>
      </c>
      <c r="IO133">
        <v>-0.01129461987421345</v>
      </c>
      <c r="IP133">
        <v>0.00116580895745559</v>
      </c>
      <c r="IQ133">
        <v>-1.679085872906199E-05</v>
      </c>
      <c r="IR133">
        <v>2</v>
      </c>
      <c r="IS133">
        <v>2290</v>
      </c>
      <c r="IT133">
        <v>0</v>
      </c>
      <c r="IU133">
        <v>32</v>
      </c>
      <c r="IV133">
        <v>6.5</v>
      </c>
      <c r="IW133">
        <v>6.2</v>
      </c>
      <c r="IX133">
        <v>1.81763</v>
      </c>
      <c r="IY133">
        <v>2.20703</v>
      </c>
      <c r="IZ133">
        <v>1.39648</v>
      </c>
      <c r="JA133">
        <v>2.35596</v>
      </c>
      <c r="JB133">
        <v>1.49536</v>
      </c>
      <c r="JC133">
        <v>2.35352</v>
      </c>
      <c r="JD133">
        <v>38.4769</v>
      </c>
      <c r="JE133">
        <v>24.035</v>
      </c>
      <c r="JF133">
        <v>18</v>
      </c>
      <c r="JG133">
        <v>511.594</v>
      </c>
      <c r="JH133">
        <v>428.279</v>
      </c>
      <c r="JI133">
        <v>22.2386</v>
      </c>
      <c r="JJ133">
        <v>28.6609</v>
      </c>
      <c r="JK133">
        <v>30.0003</v>
      </c>
      <c r="JL133">
        <v>28.6252</v>
      </c>
      <c r="JM133">
        <v>28.5654</v>
      </c>
      <c r="JN133">
        <v>36.2831</v>
      </c>
      <c r="JO133">
        <v>32.2487</v>
      </c>
      <c r="JP133">
        <v>0</v>
      </c>
      <c r="JQ133">
        <v>22.2311</v>
      </c>
      <c r="JR133">
        <v>835.222</v>
      </c>
      <c r="JS133">
        <v>12.9846</v>
      </c>
      <c r="JT133">
        <v>100.307</v>
      </c>
      <c r="JU133">
        <v>100.234</v>
      </c>
    </row>
    <row r="134" spans="1:281">
      <c r="A134">
        <v>118</v>
      </c>
      <c r="B134">
        <v>1651864633.6</v>
      </c>
      <c r="C134">
        <v>413</v>
      </c>
      <c r="D134" t="s">
        <v>656</v>
      </c>
      <c r="E134" t="s">
        <v>657</v>
      </c>
      <c r="F134">
        <v>2</v>
      </c>
      <c r="G134" t="s">
        <v>413</v>
      </c>
      <c r="H134" t="s">
        <v>414</v>
      </c>
      <c r="I134">
        <v>1651864632.6</v>
      </c>
      <c r="J134">
        <f>(K134)/1000</f>
        <v>0</v>
      </c>
      <c r="K134">
        <f>IF(CZ134, AN134, AH134)</f>
        <v>0</v>
      </c>
      <c r="L134">
        <f>IF(CZ134, AI134, AG134)</f>
        <v>0</v>
      </c>
      <c r="M134">
        <f>DB134 - IF(AU134&gt;1, L134*CV134*100.0/(AW134*DP134), 0)</f>
        <v>0</v>
      </c>
      <c r="N134">
        <f>((T134-J134/2)*M134-L134)/(T134+J134/2)</f>
        <v>0</v>
      </c>
      <c r="O134">
        <f>N134*(DI134+DJ134)/1000.0</f>
        <v>0</v>
      </c>
      <c r="P134">
        <f>(DB134 - IF(AU134&gt;1, L134*CV134*100.0/(AW134*DP134), 0))*(DI134+DJ134)/1000.0</f>
        <v>0</v>
      </c>
      <c r="Q134">
        <f>2.0/((1/S134-1/R134)+SIGN(S134)*SQRT((1/S134-1/R134)*(1/S134-1/R134) + 4*CW134/((CW134+1)*(CW134+1))*(2*1/S134*1/R134-1/R134*1/R134)))</f>
        <v>0</v>
      </c>
      <c r="R134">
        <f>IF(LEFT(CX134,1)&lt;&gt;"0",IF(LEFT(CX134,1)="1",3.0,CY134),$D$5+$E$5*(DP134*DI134/($K$5*1000))+$F$5*(DP134*DI134/($K$5*1000))*MAX(MIN(CV134,$J$5),$I$5)*MAX(MIN(CV134,$J$5),$I$5)+$G$5*MAX(MIN(CV134,$J$5),$I$5)*(DP134*DI134/($K$5*1000))+$H$5*(DP134*DI134/($K$5*1000))*(DP134*DI134/($K$5*1000)))</f>
        <v>0</v>
      </c>
      <c r="S134">
        <f>J134*(1000-(1000*0.61365*exp(17.502*W134/(240.97+W134))/(DI134+DJ134)+DD134)/2)/(1000*0.61365*exp(17.502*W134/(240.97+W134))/(DI134+DJ134)-DD134)</f>
        <v>0</v>
      </c>
      <c r="T134">
        <f>1/((CW134+1)/(Q134/1.6)+1/(R134/1.37)) + CW134/((CW134+1)/(Q134/1.6) + CW134/(R134/1.37))</f>
        <v>0</v>
      </c>
      <c r="U134">
        <f>(CR134*CU134)</f>
        <v>0</v>
      </c>
      <c r="V134">
        <f>(DK134+(U134+2*0.95*5.67E-8*(((DK134+$B$7)+273)^4-(DK134+273)^4)-44100*J134)/(1.84*29.3*R134+8*0.95*5.67E-8*(DK134+273)^3))</f>
        <v>0</v>
      </c>
      <c r="W134">
        <f>($C$7*DL134+$D$7*DM134+$E$7*V134)</f>
        <v>0</v>
      </c>
      <c r="X134">
        <f>0.61365*exp(17.502*W134/(240.97+W134))</f>
        <v>0</v>
      </c>
      <c r="Y134">
        <f>(Z134/AA134*100)</f>
        <v>0</v>
      </c>
      <c r="Z134">
        <f>DD134*(DI134+DJ134)/1000</f>
        <v>0</v>
      </c>
      <c r="AA134">
        <f>0.61365*exp(17.502*DK134/(240.97+DK134))</f>
        <v>0</v>
      </c>
      <c r="AB134">
        <f>(X134-DD134*(DI134+DJ134)/1000)</f>
        <v>0</v>
      </c>
      <c r="AC134">
        <f>(-J134*44100)</f>
        <v>0</v>
      </c>
      <c r="AD134">
        <f>2*29.3*R134*0.92*(DK134-W134)</f>
        <v>0</v>
      </c>
      <c r="AE134">
        <f>2*0.95*5.67E-8*(((DK134+$B$7)+273)^4-(W134+273)^4)</f>
        <v>0</v>
      </c>
      <c r="AF134">
        <f>U134+AE134+AC134+AD134</f>
        <v>0</v>
      </c>
      <c r="AG134">
        <f>DH134*AU134*(DC134-DB134*(1000-AU134*DE134)/(1000-AU134*DD134))/(100*CV134)</f>
        <v>0</v>
      </c>
      <c r="AH134">
        <f>1000*DH134*AU134*(DD134-DE134)/(100*CV134*(1000-AU134*DD134))</f>
        <v>0</v>
      </c>
      <c r="AI134">
        <f>(AJ134 - AK134 - DI134*1E3/(8.314*(DK134+273.15)) * AM134/DH134 * AL134) * DH134/(100*CV134) * (1000 - DE134)/1000</f>
        <v>0</v>
      </c>
      <c r="AJ134">
        <v>871.8355530883084</v>
      </c>
      <c r="AK134">
        <v>856.0545454545448</v>
      </c>
      <c r="AL134">
        <v>-3.319977780766163</v>
      </c>
      <c r="AM134">
        <v>66.38192812717227</v>
      </c>
      <c r="AN134">
        <f>(AP134 - AO134 + DI134*1E3/(8.314*(DK134+273.15)) * AR134/DH134 * AQ134) * DH134/(100*CV134) * 1000/(1000 - AP134)</f>
        <v>0</v>
      </c>
      <c r="AO134">
        <v>12.78673812899385</v>
      </c>
      <c r="AP134">
        <v>18.12086470588235</v>
      </c>
      <c r="AQ134">
        <v>9.240042389294355E-06</v>
      </c>
      <c r="AR134">
        <v>80.47224507511959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MAX(0,($B$13+$C$13*DP134)/(1+$D$13*DP134)*DI134/(DK134+273)*$E$13)</f>
        <v>0</v>
      </c>
      <c r="AX134" t="s">
        <v>417</v>
      </c>
      <c r="AY134" t="s">
        <v>417</v>
      </c>
      <c r="AZ134">
        <v>0</v>
      </c>
      <c r="BA134">
        <v>0</v>
      </c>
      <c r="BB134">
        <f>1-AZ134/BA134</f>
        <v>0</v>
      </c>
      <c r="BC134">
        <v>0</v>
      </c>
      <c r="BD134" t="s">
        <v>417</v>
      </c>
      <c r="BE134" t="s">
        <v>417</v>
      </c>
      <c r="BF134">
        <v>0</v>
      </c>
      <c r="BG134">
        <v>0</v>
      </c>
      <c r="BH134">
        <f>1-BF134/BG134</f>
        <v>0</v>
      </c>
      <c r="BI134">
        <v>0.5</v>
      </c>
      <c r="BJ134">
        <f>CS134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417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1248</v>
      </c>
      <c r="CA134">
        <v>300</v>
      </c>
      <c r="CB134">
        <v>300</v>
      </c>
      <c r="CC134">
        <v>300</v>
      </c>
      <c r="CD134">
        <v>10442</v>
      </c>
      <c r="CE134">
        <v>1293.69</v>
      </c>
      <c r="CF134">
        <v>-0.00735246</v>
      </c>
      <c r="CG134">
        <v>0.5</v>
      </c>
      <c r="CH134" t="s">
        <v>417</v>
      </c>
      <c r="CI134" t="s">
        <v>417</v>
      </c>
      <c r="CJ134" t="s">
        <v>417</v>
      </c>
      <c r="CK134" t="s">
        <v>417</v>
      </c>
      <c r="CL134" t="s">
        <v>417</v>
      </c>
      <c r="CM134" t="s">
        <v>417</v>
      </c>
      <c r="CN134" t="s">
        <v>417</v>
      </c>
      <c r="CO134" t="s">
        <v>417</v>
      </c>
      <c r="CP134" t="s">
        <v>417</v>
      </c>
      <c r="CQ134" t="s">
        <v>417</v>
      </c>
      <c r="CR134">
        <f>$B$11*DQ134+$C$11*DR134+$F$11*EC134*(1-EF134)</f>
        <v>0</v>
      </c>
      <c r="CS134">
        <f>CR134*CT134</f>
        <v>0</v>
      </c>
      <c r="CT134">
        <f>($B$11*$D$9+$C$11*$D$9+$F$11*((EP134+EH134)/MAX(EP134+EH134+EQ134, 0.1)*$I$9+EQ134/MAX(EP134+EH134+EQ134, 0.1)*$J$9))/($B$11+$C$11+$F$11)</f>
        <v>0</v>
      </c>
      <c r="CU134">
        <f>($B$11*$K$9+$C$11*$K$9+$F$11*((EP134+EH134)/MAX(EP134+EH134+EQ134, 0.1)*$P$9+EQ134/MAX(EP134+EH134+EQ134, 0.1)*$Q$9))/($B$11+$C$11+$F$11)</f>
        <v>0</v>
      </c>
      <c r="CV134">
        <v>6</v>
      </c>
      <c r="CW134">
        <v>0.5</v>
      </c>
      <c r="CX134" t="s">
        <v>418</v>
      </c>
      <c r="CY134">
        <v>2</v>
      </c>
      <c r="CZ134" t="b">
        <v>1</v>
      </c>
      <c r="DA134">
        <v>1651864632.6</v>
      </c>
      <c r="DB134">
        <v>842.1916666666666</v>
      </c>
      <c r="DC134">
        <v>854.6296666666667</v>
      </c>
      <c r="DD134">
        <v>18.1231</v>
      </c>
      <c r="DE134">
        <v>12.82776666666667</v>
      </c>
      <c r="DF134">
        <v>843.9456666666666</v>
      </c>
      <c r="DG134">
        <v>18.10593333333333</v>
      </c>
      <c r="DH134">
        <v>500.0683333333333</v>
      </c>
      <c r="DI134">
        <v>89.93246666666668</v>
      </c>
      <c r="DJ134">
        <v>0.09982593333333334</v>
      </c>
      <c r="DK134">
        <v>25.6849</v>
      </c>
      <c r="DL134">
        <v>25.0138</v>
      </c>
      <c r="DM134">
        <v>999.9</v>
      </c>
      <c r="DN134">
        <v>0</v>
      </c>
      <c r="DO134">
        <v>0</v>
      </c>
      <c r="DP134">
        <v>10012.5</v>
      </c>
      <c r="DQ134">
        <v>0</v>
      </c>
      <c r="DR134">
        <v>3.23193</v>
      </c>
      <c r="DS134">
        <v>-12.43803333333333</v>
      </c>
      <c r="DT134">
        <v>857.736</v>
      </c>
      <c r="DU134">
        <v>865.735</v>
      </c>
      <c r="DV134">
        <v>5.29535</v>
      </c>
      <c r="DW134">
        <v>854.6296666666667</v>
      </c>
      <c r="DX134">
        <v>12.82776666666667</v>
      </c>
      <c r="DY134">
        <v>1.629853333333333</v>
      </c>
      <c r="DZ134">
        <v>1.15363</v>
      </c>
      <c r="EA134">
        <v>14.244</v>
      </c>
      <c r="EB134">
        <v>9.016246666666667</v>
      </c>
      <c r="EC134">
        <v>1500.15</v>
      </c>
      <c r="ED134">
        <v>0.9730086666666665</v>
      </c>
      <c r="EE134">
        <v>0.0269913</v>
      </c>
      <c r="EF134">
        <v>0</v>
      </c>
      <c r="EG134">
        <v>912.6636666666667</v>
      </c>
      <c r="EH134">
        <v>5.00097</v>
      </c>
      <c r="EI134">
        <v>13558.16666666667</v>
      </c>
      <c r="EJ134">
        <v>12492.9</v>
      </c>
      <c r="EK134">
        <v>37.25</v>
      </c>
      <c r="EL134">
        <v>38.729</v>
      </c>
      <c r="EM134">
        <v>37.625</v>
      </c>
      <c r="EN134">
        <v>38.437</v>
      </c>
      <c r="EO134">
        <v>38.125</v>
      </c>
      <c r="EP134">
        <v>1454.796666666666</v>
      </c>
      <c r="EQ134">
        <v>40.35333333333333</v>
      </c>
      <c r="ER134">
        <v>0</v>
      </c>
      <c r="ES134">
        <v>412.7999999523163</v>
      </c>
      <c r="ET134">
        <v>0</v>
      </c>
      <c r="EU134">
        <v>915.4625000000001</v>
      </c>
      <c r="EV134">
        <v>-26.35846153237654</v>
      </c>
      <c r="EW134">
        <v>-381.3811964975305</v>
      </c>
      <c r="EX134">
        <v>13597.7</v>
      </c>
      <c r="EY134">
        <v>15</v>
      </c>
      <c r="EZ134">
        <v>1651864261.1</v>
      </c>
      <c r="FA134" t="s">
        <v>419</v>
      </c>
      <c r="FB134">
        <v>1651864241.6</v>
      </c>
      <c r="FC134">
        <v>1651864261.1</v>
      </c>
      <c r="FD134">
        <v>7</v>
      </c>
      <c r="FE134">
        <v>0.438</v>
      </c>
      <c r="FF134">
        <v>0.002</v>
      </c>
      <c r="FG134">
        <v>-0.988</v>
      </c>
      <c r="FH134">
        <v>-0.066</v>
      </c>
      <c r="FI134">
        <v>400</v>
      </c>
      <c r="FJ134">
        <v>11</v>
      </c>
      <c r="FK134">
        <v>0.05</v>
      </c>
      <c r="FL134">
        <v>0.02</v>
      </c>
      <c r="FM134">
        <v>-13.31723658536586</v>
      </c>
      <c r="FN134">
        <v>4.231053658536573</v>
      </c>
      <c r="FO134">
        <v>0.4241064326586979</v>
      </c>
      <c r="FP134">
        <v>-1</v>
      </c>
      <c r="FQ134">
        <v>5.430346097560976</v>
      </c>
      <c r="FR134">
        <v>-0.8661643902439011</v>
      </c>
      <c r="FS134">
        <v>0.08605773436076246</v>
      </c>
      <c r="FT134">
        <v>-1</v>
      </c>
      <c r="FU134">
        <v>0</v>
      </c>
      <c r="FV134">
        <v>0</v>
      </c>
      <c r="FW134">
        <v>0</v>
      </c>
      <c r="FX134">
        <v>-1</v>
      </c>
      <c r="FY134">
        <v>0</v>
      </c>
      <c r="FZ134">
        <v>0</v>
      </c>
      <c r="GA134" t="s">
        <v>420</v>
      </c>
      <c r="GB134">
        <v>2.98045</v>
      </c>
      <c r="GC134">
        <v>2.70615</v>
      </c>
      <c r="GD134">
        <v>0.15252</v>
      </c>
      <c r="GE134">
        <v>0.15224</v>
      </c>
      <c r="GF134">
        <v>0.08687930000000001</v>
      </c>
      <c r="GG134">
        <v>0.0667628</v>
      </c>
      <c r="GH134">
        <v>26745.5</v>
      </c>
      <c r="GI134">
        <v>26813.6</v>
      </c>
      <c r="GJ134">
        <v>29344.7</v>
      </c>
      <c r="GK134">
        <v>29259.8</v>
      </c>
      <c r="GL134">
        <v>35482.1</v>
      </c>
      <c r="GM134">
        <v>36369.9</v>
      </c>
      <c r="GN134">
        <v>41304.3</v>
      </c>
      <c r="GO134">
        <v>41763.1</v>
      </c>
      <c r="GP134">
        <v>1.9563</v>
      </c>
      <c r="GQ134">
        <v>1.84915</v>
      </c>
      <c r="GR134">
        <v>-0.0225678</v>
      </c>
      <c r="GS134">
        <v>0</v>
      </c>
      <c r="GT134">
        <v>25.3838</v>
      </c>
      <c r="GU134">
        <v>999.9</v>
      </c>
      <c r="GV134">
        <v>31.7</v>
      </c>
      <c r="GW134">
        <v>34.3</v>
      </c>
      <c r="GX134">
        <v>19.1512</v>
      </c>
      <c r="GY134">
        <v>62.4674</v>
      </c>
      <c r="GZ134">
        <v>35.004</v>
      </c>
      <c r="HA134">
        <v>1</v>
      </c>
      <c r="HB134">
        <v>0.106075</v>
      </c>
      <c r="HC134">
        <v>2.43278</v>
      </c>
      <c r="HD134">
        <v>20.3168</v>
      </c>
      <c r="HE134">
        <v>5.21774</v>
      </c>
      <c r="HF134">
        <v>12.0099</v>
      </c>
      <c r="HG134">
        <v>4.98885</v>
      </c>
      <c r="HH134">
        <v>3.28845</v>
      </c>
      <c r="HI134">
        <v>996.4</v>
      </c>
      <c r="HJ134">
        <v>9540</v>
      </c>
      <c r="HK134">
        <v>5139.4</v>
      </c>
      <c r="HL134">
        <v>24.9</v>
      </c>
      <c r="HM134">
        <v>1.86749</v>
      </c>
      <c r="HN134">
        <v>1.86646</v>
      </c>
      <c r="HO134">
        <v>1.866</v>
      </c>
      <c r="HP134">
        <v>1.86585</v>
      </c>
      <c r="HQ134">
        <v>1.86768</v>
      </c>
      <c r="HR134">
        <v>1.87018</v>
      </c>
      <c r="HS134">
        <v>1.86889</v>
      </c>
      <c r="HT134">
        <v>1.87024</v>
      </c>
      <c r="HU134">
        <v>0</v>
      </c>
      <c r="HV134">
        <v>0</v>
      </c>
      <c r="HW134">
        <v>0</v>
      </c>
      <c r="HX134">
        <v>0</v>
      </c>
      <c r="HY134" t="s">
        <v>421</v>
      </c>
      <c r="HZ134" t="s">
        <v>422</v>
      </c>
      <c r="IA134" t="s">
        <v>423</v>
      </c>
      <c r="IB134" t="s">
        <v>423</v>
      </c>
      <c r="IC134" t="s">
        <v>423</v>
      </c>
      <c r="ID134" t="s">
        <v>423</v>
      </c>
      <c r="IE134">
        <v>0</v>
      </c>
      <c r="IF134">
        <v>100</v>
      </c>
      <c r="IG134">
        <v>100</v>
      </c>
      <c r="IH134">
        <v>-1.749</v>
      </c>
      <c r="II134">
        <v>0.0171</v>
      </c>
      <c r="IJ134">
        <v>-0.2164499368582429</v>
      </c>
      <c r="IK134">
        <v>-0.002077099775823331</v>
      </c>
      <c r="IL134">
        <v>4.593143279902166E-07</v>
      </c>
      <c r="IM134">
        <v>-1.865383991892071E-10</v>
      </c>
      <c r="IN134">
        <v>-0.06087574426827484</v>
      </c>
      <c r="IO134">
        <v>-0.01129461987421345</v>
      </c>
      <c r="IP134">
        <v>0.00116580895745559</v>
      </c>
      <c r="IQ134">
        <v>-1.679085872906199E-05</v>
      </c>
      <c r="IR134">
        <v>2</v>
      </c>
      <c r="IS134">
        <v>2290</v>
      </c>
      <c r="IT134">
        <v>0</v>
      </c>
      <c r="IU134">
        <v>32</v>
      </c>
      <c r="IV134">
        <v>6.5</v>
      </c>
      <c r="IW134">
        <v>6.2</v>
      </c>
      <c r="IX134">
        <v>1.80664</v>
      </c>
      <c r="IY134">
        <v>2.20459</v>
      </c>
      <c r="IZ134">
        <v>1.39648</v>
      </c>
      <c r="JA134">
        <v>2.35718</v>
      </c>
      <c r="JB134">
        <v>1.49536</v>
      </c>
      <c r="JC134">
        <v>2.323</v>
      </c>
      <c r="JD134">
        <v>38.4524</v>
      </c>
      <c r="JE134">
        <v>24.035</v>
      </c>
      <c r="JF134">
        <v>18</v>
      </c>
      <c r="JG134">
        <v>511.53</v>
      </c>
      <c r="JH134">
        <v>428.249</v>
      </c>
      <c r="JI134">
        <v>22.2333</v>
      </c>
      <c r="JJ134">
        <v>28.6611</v>
      </c>
      <c r="JK134">
        <v>30.0004</v>
      </c>
      <c r="JL134">
        <v>28.6254</v>
      </c>
      <c r="JM134">
        <v>28.5654</v>
      </c>
      <c r="JN134">
        <v>36.0551</v>
      </c>
      <c r="JO134">
        <v>32.2487</v>
      </c>
      <c r="JP134">
        <v>0</v>
      </c>
      <c r="JQ134">
        <v>22.2311</v>
      </c>
      <c r="JR134">
        <v>828.527</v>
      </c>
      <c r="JS134">
        <v>13.0186</v>
      </c>
      <c r="JT134">
        <v>100.307</v>
      </c>
      <c r="JU134">
        <v>100.234</v>
      </c>
    </row>
    <row r="135" spans="1:281">
      <c r="A135">
        <v>119</v>
      </c>
      <c r="B135">
        <v>1651864635.6</v>
      </c>
      <c r="C135">
        <v>415</v>
      </c>
      <c r="D135" t="s">
        <v>658</v>
      </c>
      <c r="E135" t="s">
        <v>659</v>
      </c>
      <c r="F135">
        <v>2</v>
      </c>
      <c r="G135" t="s">
        <v>413</v>
      </c>
      <c r="H135" t="s">
        <v>414</v>
      </c>
      <c r="I135">
        <v>1651864634.225</v>
      </c>
      <c r="J135">
        <f>(K135)/1000</f>
        <v>0</v>
      </c>
      <c r="K135">
        <f>IF(CZ135, AN135, AH135)</f>
        <v>0</v>
      </c>
      <c r="L135">
        <f>IF(CZ135, AI135, AG135)</f>
        <v>0</v>
      </c>
      <c r="M135">
        <f>DB135 - IF(AU135&gt;1, L135*CV135*100.0/(AW135*DP135), 0)</f>
        <v>0</v>
      </c>
      <c r="N135">
        <f>((T135-J135/2)*M135-L135)/(T135+J135/2)</f>
        <v>0</v>
      </c>
      <c r="O135">
        <f>N135*(DI135+DJ135)/1000.0</f>
        <v>0</v>
      </c>
      <c r="P135">
        <f>(DB135 - IF(AU135&gt;1, L135*CV135*100.0/(AW135*DP135), 0))*(DI135+DJ135)/1000.0</f>
        <v>0</v>
      </c>
      <c r="Q135">
        <f>2.0/((1/S135-1/R135)+SIGN(S135)*SQRT((1/S135-1/R135)*(1/S135-1/R135) + 4*CW135/((CW135+1)*(CW135+1))*(2*1/S135*1/R135-1/R135*1/R135)))</f>
        <v>0</v>
      </c>
      <c r="R135">
        <f>IF(LEFT(CX135,1)&lt;&gt;"0",IF(LEFT(CX135,1)="1",3.0,CY135),$D$5+$E$5*(DP135*DI135/($K$5*1000))+$F$5*(DP135*DI135/($K$5*1000))*MAX(MIN(CV135,$J$5),$I$5)*MAX(MIN(CV135,$J$5),$I$5)+$G$5*MAX(MIN(CV135,$J$5),$I$5)*(DP135*DI135/($K$5*1000))+$H$5*(DP135*DI135/($K$5*1000))*(DP135*DI135/($K$5*1000)))</f>
        <v>0</v>
      </c>
      <c r="S135">
        <f>J135*(1000-(1000*0.61365*exp(17.502*W135/(240.97+W135))/(DI135+DJ135)+DD135)/2)/(1000*0.61365*exp(17.502*W135/(240.97+W135))/(DI135+DJ135)-DD135)</f>
        <v>0</v>
      </c>
      <c r="T135">
        <f>1/((CW135+1)/(Q135/1.6)+1/(R135/1.37)) + CW135/((CW135+1)/(Q135/1.6) + CW135/(R135/1.37))</f>
        <v>0</v>
      </c>
      <c r="U135">
        <f>(CR135*CU135)</f>
        <v>0</v>
      </c>
      <c r="V135">
        <f>(DK135+(U135+2*0.95*5.67E-8*(((DK135+$B$7)+273)^4-(DK135+273)^4)-44100*J135)/(1.84*29.3*R135+8*0.95*5.67E-8*(DK135+273)^3))</f>
        <v>0</v>
      </c>
      <c r="W135">
        <f>($C$7*DL135+$D$7*DM135+$E$7*V135)</f>
        <v>0</v>
      </c>
      <c r="X135">
        <f>0.61365*exp(17.502*W135/(240.97+W135))</f>
        <v>0</v>
      </c>
      <c r="Y135">
        <f>(Z135/AA135*100)</f>
        <v>0</v>
      </c>
      <c r="Z135">
        <f>DD135*(DI135+DJ135)/1000</f>
        <v>0</v>
      </c>
      <c r="AA135">
        <f>0.61365*exp(17.502*DK135/(240.97+DK135))</f>
        <v>0</v>
      </c>
      <c r="AB135">
        <f>(X135-DD135*(DI135+DJ135)/1000)</f>
        <v>0</v>
      </c>
      <c r="AC135">
        <f>(-J135*44100)</f>
        <v>0</v>
      </c>
      <c r="AD135">
        <f>2*29.3*R135*0.92*(DK135-W135)</f>
        <v>0</v>
      </c>
      <c r="AE135">
        <f>2*0.95*5.67E-8*(((DK135+$B$7)+273)^4-(W135+273)^4)</f>
        <v>0</v>
      </c>
      <c r="AF135">
        <f>U135+AE135+AC135+AD135</f>
        <v>0</v>
      </c>
      <c r="AG135">
        <f>DH135*AU135*(DC135-DB135*(1000-AU135*DE135)/(1000-AU135*DD135))/(100*CV135)</f>
        <v>0</v>
      </c>
      <c r="AH135">
        <f>1000*DH135*AU135*(DD135-DE135)/(100*CV135*(1000-AU135*DD135))</f>
        <v>0</v>
      </c>
      <c r="AI135">
        <f>(AJ135 - AK135 - DI135*1E3/(8.314*(DK135+273.15)) * AM135/DH135 * AL135) * DH135/(100*CV135) * (1000 - DE135)/1000</f>
        <v>0</v>
      </c>
      <c r="AJ135">
        <v>864.9438960004519</v>
      </c>
      <c r="AK135">
        <v>849.3097818181817</v>
      </c>
      <c r="AL135">
        <v>-3.362815787032633</v>
      </c>
      <c r="AM135">
        <v>66.38192812717227</v>
      </c>
      <c r="AN135">
        <f>(AP135 - AO135 + DI135*1E3/(8.314*(DK135+273.15)) * AR135/DH135 * AQ135) * DH135/(100*CV135) * 1000/(1000 - AP135)</f>
        <v>0</v>
      </c>
      <c r="AO135">
        <v>12.80904200780265</v>
      </c>
      <c r="AP135">
        <v>18.11729264705883</v>
      </c>
      <c r="AQ135">
        <v>-3.455579619405314E-05</v>
      </c>
      <c r="AR135">
        <v>80.47224507511959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MAX(0,($B$13+$C$13*DP135)/(1+$D$13*DP135)*DI135/(DK135+273)*$E$13)</f>
        <v>0</v>
      </c>
      <c r="AX135" t="s">
        <v>417</v>
      </c>
      <c r="AY135" t="s">
        <v>417</v>
      </c>
      <c r="AZ135">
        <v>0</v>
      </c>
      <c r="BA135">
        <v>0</v>
      </c>
      <c r="BB135">
        <f>1-AZ135/BA135</f>
        <v>0</v>
      </c>
      <c r="BC135">
        <v>0</v>
      </c>
      <c r="BD135" t="s">
        <v>417</v>
      </c>
      <c r="BE135" t="s">
        <v>417</v>
      </c>
      <c r="BF135">
        <v>0</v>
      </c>
      <c r="BG135">
        <v>0</v>
      </c>
      <c r="BH135">
        <f>1-BF135/BG135</f>
        <v>0</v>
      </c>
      <c r="BI135">
        <v>0.5</v>
      </c>
      <c r="BJ135">
        <f>CS135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417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1248</v>
      </c>
      <c r="CA135">
        <v>300</v>
      </c>
      <c r="CB135">
        <v>300</v>
      </c>
      <c r="CC135">
        <v>300</v>
      </c>
      <c r="CD135">
        <v>10442</v>
      </c>
      <c r="CE135">
        <v>1293.69</v>
      </c>
      <c r="CF135">
        <v>-0.00735246</v>
      </c>
      <c r="CG135">
        <v>0.5</v>
      </c>
      <c r="CH135" t="s">
        <v>417</v>
      </c>
      <c r="CI135" t="s">
        <v>417</v>
      </c>
      <c r="CJ135" t="s">
        <v>417</v>
      </c>
      <c r="CK135" t="s">
        <v>417</v>
      </c>
      <c r="CL135" t="s">
        <v>417</v>
      </c>
      <c r="CM135" t="s">
        <v>417</v>
      </c>
      <c r="CN135" t="s">
        <v>417</v>
      </c>
      <c r="CO135" t="s">
        <v>417</v>
      </c>
      <c r="CP135" t="s">
        <v>417</v>
      </c>
      <c r="CQ135" t="s">
        <v>417</v>
      </c>
      <c r="CR135">
        <f>$B$11*DQ135+$C$11*DR135+$F$11*EC135*(1-EF135)</f>
        <v>0</v>
      </c>
      <c r="CS135">
        <f>CR135*CT135</f>
        <v>0</v>
      </c>
      <c r="CT135">
        <f>($B$11*$D$9+$C$11*$D$9+$F$11*((EP135+EH135)/MAX(EP135+EH135+EQ135, 0.1)*$I$9+EQ135/MAX(EP135+EH135+EQ135, 0.1)*$J$9))/($B$11+$C$11+$F$11)</f>
        <v>0</v>
      </c>
      <c r="CU135">
        <f>($B$11*$K$9+$C$11*$K$9+$F$11*((EP135+EH135)/MAX(EP135+EH135+EQ135, 0.1)*$P$9+EQ135/MAX(EP135+EH135+EQ135, 0.1)*$Q$9))/($B$11+$C$11+$F$11)</f>
        <v>0</v>
      </c>
      <c r="CV135">
        <v>6</v>
      </c>
      <c r="CW135">
        <v>0.5</v>
      </c>
      <c r="CX135" t="s">
        <v>418</v>
      </c>
      <c r="CY135">
        <v>2</v>
      </c>
      <c r="CZ135" t="b">
        <v>1</v>
      </c>
      <c r="DA135">
        <v>1651864634.225</v>
      </c>
      <c r="DB135">
        <v>836.8155</v>
      </c>
      <c r="DC135">
        <v>849.165</v>
      </c>
      <c r="DD135">
        <v>18.1193</v>
      </c>
      <c r="DE135">
        <v>12.85865</v>
      </c>
      <c r="DF135">
        <v>838.5604999999999</v>
      </c>
      <c r="DG135">
        <v>18.102225</v>
      </c>
      <c r="DH135">
        <v>500.03925</v>
      </c>
      <c r="DI135">
        <v>89.93405</v>
      </c>
      <c r="DJ135">
        <v>0.09988344999999998</v>
      </c>
      <c r="DK135">
        <v>25.685125</v>
      </c>
      <c r="DL135">
        <v>25.01155</v>
      </c>
      <c r="DM135">
        <v>999.9</v>
      </c>
      <c r="DN135">
        <v>0</v>
      </c>
      <c r="DO135">
        <v>0</v>
      </c>
      <c r="DP135">
        <v>10012.675</v>
      </c>
      <c r="DQ135">
        <v>0</v>
      </c>
      <c r="DR135">
        <v>3.23193</v>
      </c>
      <c r="DS135">
        <v>-12.3497</v>
      </c>
      <c r="DT135">
        <v>852.25775</v>
      </c>
      <c r="DU135">
        <v>860.2262500000001</v>
      </c>
      <c r="DV135">
        <v>5.260685</v>
      </c>
      <c r="DW135">
        <v>849.165</v>
      </c>
      <c r="DX135">
        <v>12.85865</v>
      </c>
      <c r="DY135">
        <v>1.629545</v>
      </c>
      <c r="DZ135">
        <v>1.15643</v>
      </c>
      <c r="EA135">
        <v>14.24105</v>
      </c>
      <c r="EB135">
        <v>9.0521475</v>
      </c>
      <c r="EC135">
        <v>1500.0325</v>
      </c>
      <c r="ED135">
        <v>0.9730082499999999</v>
      </c>
      <c r="EE135">
        <v>0.02699174999999999</v>
      </c>
      <c r="EF135">
        <v>0</v>
      </c>
      <c r="EG135">
        <v>912.0005000000001</v>
      </c>
      <c r="EH135">
        <v>5.00097</v>
      </c>
      <c r="EI135">
        <v>13546.025</v>
      </c>
      <c r="EJ135">
        <v>12491.9</v>
      </c>
      <c r="EK135">
        <v>37.25</v>
      </c>
      <c r="EL135">
        <v>38.70274999999999</v>
      </c>
      <c r="EM135">
        <v>37.625</v>
      </c>
      <c r="EN135">
        <v>38.437</v>
      </c>
      <c r="EO135">
        <v>38.125</v>
      </c>
      <c r="EP135">
        <v>1454.6825</v>
      </c>
      <c r="EQ135">
        <v>40.35</v>
      </c>
      <c r="ER135">
        <v>0</v>
      </c>
      <c r="ES135">
        <v>414.6000001430511</v>
      </c>
      <c r="ET135">
        <v>0</v>
      </c>
      <c r="EU135">
        <v>914.5383999999999</v>
      </c>
      <c r="EV135">
        <v>-26.91315380413216</v>
      </c>
      <c r="EW135">
        <v>-393.6846147179785</v>
      </c>
      <c r="EX135">
        <v>13584.036</v>
      </c>
      <c r="EY135">
        <v>15</v>
      </c>
      <c r="EZ135">
        <v>1651864261.1</v>
      </c>
      <c r="FA135" t="s">
        <v>419</v>
      </c>
      <c r="FB135">
        <v>1651864241.6</v>
      </c>
      <c r="FC135">
        <v>1651864261.1</v>
      </c>
      <c r="FD135">
        <v>7</v>
      </c>
      <c r="FE135">
        <v>0.438</v>
      </c>
      <c r="FF135">
        <v>0.002</v>
      </c>
      <c r="FG135">
        <v>-0.988</v>
      </c>
      <c r="FH135">
        <v>-0.066</v>
      </c>
      <c r="FI135">
        <v>400</v>
      </c>
      <c r="FJ135">
        <v>11</v>
      </c>
      <c r="FK135">
        <v>0.05</v>
      </c>
      <c r="FL135">
        <v>0.02</v>
      </c>
      <c r="FM135">
        <v>-13.1037375</v>
      </c>
      <c r="FN135">
        <v>4.555581613508442</v>
      </c>
      <c r="FO135">
        <v>0.4457635010224032</v>
      </c>
      <c r="FP135">
        <v>-1</v>
      </c>
      <c r="FQ135">
        <v>5.3895455</v>
      </c>
      <c r="FR135">
        <v>-0.8491425140713015</v>
      </c>
      <c r="FS135">
        <v>0.08233242195362651</v>
      </c>
      <c r="FT135">
        <v>-1</v>
      </c>
      <c r="FU135">
        <v>0</v>
      </c>
      <c r="FV135">
        <v>0</v>
      </c>
      <c r="FW135">
        <v>0</v>
      </c>
      <c r="FX135">
        <v>-1</v>
      </c>
      <c r="FY135">
        <v>0</v>
      </c>
      <c r="FZ135">
        <v>0</v>
      </c>
      <c r="GA135" t="s">
        <v>420</v>
      </c>
      <c r="GB135">
        <v>2.98036</v>
      </c>
      <c r="GC135">
        <v>2.70623</v>
      </c>
      <c r="GD135">
        <v>0.15173</v>
      </c>
      <c r="GE135">
        <v>0.151457</v>
      </c>
      <c r="GF135">
        <v>0.0868765</v>
      </c>
      <c r="GG135">
        <v>0.0669173</v>
      </c>
      <c r="GH135">
        <v>26770.2</v>
      </c>
      <c r="GI135">
        <v>26838.4</v>
      </c>
      <c r="GJ135">
        <v>29344.6</v>
      </c>
      <c r="GK135">
        <v>29259.9</v>
      </c>
      <c r="GL135">
        <v>35482</v>
      </c>
      <c r="GM135">
        <v>36363.9</v>
      </c>
      <c r="GN135">
        <v>41304.1</v>
      </c>
      <c r="GO135">
        <v>41763.2</v>
      </c>
      <c r="GP135">
        <v>1.95607</v>
      </c>
      <c r="GQ135">
        <v>1.8494</v>
      </c>
      <c r="GR135">
        <v>-0.0227988</v>
      </c>
      <c r="GS135">
        <v>0</v>
      </c>
      <c r="GT135">
        <v>25.3828</v>
      </c>
      <c r="GU135">
        <v>999.9</v>
      </c>
      <c r="GV135">
        <v>31.7</v>
      </c>
      <c r="GW135">
        <v>34.3</v>
      </c>
      <c r="GX135">
        <v>19.1491</v>
      </c>
      <c r="GY135">
        <v>62.4474</v>
      </c>
      <c r="GZ135">
        <v>35.2364</v>
      </c>
      <c r="HA135">
        <v>1</v>
      </c>
      <c r="HB135">
        <v>0.106082</v>
      </c>
      <c r="HC135">
        <v>2.42721</v>
      </c>
      <c r="HD135">
        <v>20.3168</v>
      </c>
      <c r="HE135">
        <v>5.21849</v>
      </c>
      <c r="HF135">
        <v>12.0099</v>
      </c>
      <c r="HG135">
        <v>4.9891</v>
      </c>
      <c r="HH135">
        <v>3.28855</v>
      </c>
      <c r="HI135">
        <v>996.4</v>
      </c>
      <c r="HJ135">
        <v>9540</v>
      </c>
      <c r="HK135">
        <v>5139.4</v>
      </c>
      <c r="HL135">
        <v>24.9</v>
      </c>
      <c r="HM135">
        <v>1.86749</v>
      </c>
      <c r="HN135">
        <v>1.86646</v>
      </c>
      <c r="HO135">
        <v>1.866</v>
      </c>
      <c r="HP135">
        <v>1.86585</v>
      </c>
      <c r="HQ135">
        <v>1.86768</v>
      </c>
      <c r="HR135">
        <v>1.87018</v>
      </c>
      <c r="HS135">
        <v>1.86889</v>
      </c>
      <c r="HT135">
        <v>1.87024</v>
      </c>
      <c r="HU135">
        <v>0</v>
      </c>
      <c r="HV135">
        <v>0</v>
      </c>
      <c r="HW135">
        <v>0</v>
      </c>
      <c r="HX135">
        <v>0</v>
      </c>
      <c r="HY135" t="s">
        <v>421</v>
      </c>
      <c r="HZ135" t="s">
        <v>422</v>
      </c>
      <c r="IA135" t="s">
        <v>423</v>
      </c>
      <c r="IB135" t="s">
        <v>423</v>
      </c>
      <c r="IC135" t="s">
        <v>423</v>
      </c>
      <c r="ID135" t="s">
        <v>423</v>
      </c>
      <c r="IE135">
        <v>0</v>
      </c>
      <c r="IF135">
        <v>100</v>
      </c>
      <c r="IG135">
        <v>100</v>
      </c>
      <c r="IH135">
        <v>-1.738</v>
      </c>
      <c r="II135">
        <v>0.0171</v>
      </c>
      <c r="IJ135">
        <v>-0.2164499368582429</v>
      </c>
      <c r="IK135">
        <v>-0.002077099775823331</v>
      </c>
      <c r="IL135">
        <v>4.593143279902166E-07</v>
      </c>
      <c r="IM135">
        <v>-1.865383991892071E-10</v>
      </c>
      <c r="IN135">
        <v>-0.06087574426827484</v>
      </c>
      <c r="IO135">
        <v>-0.01129461987421345</v>
      </c>
      <c r="IP135">
        <v>0.00116580895745559</v>
      </c>
      <c r="IQ135">
        <v>-1.679085872906199E-05</v>
      </c>
      <c r="IR135">
        <v>2</v>
      </c>
      <c r="IS135">
        <v>2290</v>
      </c>
      <c r="IT135">
        <v>0</v>
      </c>
      <c r="IU135">
        <v>32</v>
      </c>
      <c r="IV135">
        <v>6.6</v>
      </c>
      <c r="IW135">
        <v>6.2</v>
      </c>
      <c r="IX135">
        <v>1.79565</v>
      </c>
      <c r="IY135">
        <v>2.20703</v>
      </c>
      <c r="IZ135">
        <v>1.39648</v>
      </c>
      <c r="JA135">
        <v>2.35596</v>
      </c>
      <c r="JB135">
        <v>1.49536</v>
      </c>
      <c r="JC135">
        <v>2.36572</v>
      </c>
      <c r="JD135">
        <v>38.4769</v>
      </c>
      <c r="JE135">
        <v>24.035</v>
      </c>
      <c r="JF135">
        <v>18</v>
      </c>
      <c r="JG135">
        <v>511.393</v>
      </c>
      <c r="JH135">
        <v>428.399</v>
      </c>
      <c r="JI135">
        <v>22.2282</v>
      </c>
      <c r="JJ135">
        <v>28.6624</v>
      </c>
      <c r="JK135">
        <v>30.0003</v>
      </c>
      <c r="JL135">
        <v>28.6266</v>
      </c>
      <c r="JM135">
        <v>28.5654</v>
      </c>
      <c r="JN135">
        <v>35.8207</v>
      </c>
      <c r="JO135">
        <v>31.9436</v>
      </c>
      <c r="JP135">
        <v>0</v>
      </c>
      <c r="JQ135">
        <v>22.22</v>
      </c>
      <c r="JR135">
        <v>821.821</v>
      </c>
      <c r="JS135">
        <v>13.0465</v>
      </c>
      <c r="JT135">
        <v>100.306</v>
      </c>
      <c r="JU135">
        <v>100.234</v>
      </c>
    </row>
    <row r="136" spans="1:281">
      <c r="A136">
        <v>120</v>
      </c>
      <c r="B136">
        <v>1651864637.6</v>
      </c>
      <c r="C136">
        <v>417</v>
      </c>
      <c r="D136" t="s">
        <v>660</v>
      </c>
      <c r="E136" t="s">
        <v>661</v>
      </c>
      <c r="F136">
        <v>2</v>
      </c>
      <c r="G136" t="s">
        <v>413</v>
      </c>
      <c r="H136" t="s">
        <v>414</v>
      </c>
      <c r="I136">
        <v>1651864636.6</v>
      </c>
      <c r="J136">
        <f>(K136)/1000</f>
        <v>0</v>
      </c>
      <c r="K136">
        <f>IF(CZ136, AN136, AH136)</f>
        <v>0</v>
      </c>
      <c r="L136">
        <f>IF(CZ136, AI136, AG136)</f>
        <v>0</v>
      </c>
      <c r="M136">
        <f>DB136 - IF(AU136&gt;1, L136*CV136*100.0/(AW136*DP136), 0)</f>
        <v>0</v>
      </c>
      <c r="N136">
        <f>((T136-J136/2)*M136-L136)/(T136+J136/2)</f>
        <v>0</v>
      </c>
      <c r="O136">
        <f>N136*(DI136+DJ136)/1000.0</f>
        <v>0</v>
      </c>
      <c r="P136">
        <f>(DB136 - IF(AU136&gt;1, L136*CV136*100.0/(AW136*DP136), 0))*(DI136+DJ136)/1000.0</f>
        <v>0</v>
      </c>
      <c r="Q136">
        <f>2.0/((1/S136-1/R136)+SIGN(S136)*SQRT((1/S136-1/R136)*(1/S136-1/R136) + 4*CW136/((CW136+1)*(CW136+1))*(2*1/S136*1/R136-1/R136*1/R136)))</f>
        <v>0</v>
      </c>
      <c r="R136">
        <f>IF(LEFT(CX136,1)&lt;&gt;"0",IF(LEFT(CX136,1)="1",3.0,CY136),$D$5+$E$5*(DP136*DI136/($K$5*1000))+$F$5*(DP136*DI136/($K$5*1000))*MAX(MIN(CV136,$J$5),$I$5)*MAX(MIN(CV136,$J$5),$I$5)+$G$5*MAX(MIN(CV136,$J$5),$I$5)*(DP136*DI136/($K$5*1000))+$H$5*(DP136*DI136/($K$5*1000))*(DP136*DI136/($K$5*1000)))</f>
        <v>0</v>
      </c>
      <c r="S136">
        <f>J136*(1000-(1000*0.61365*exp(17.502*W136/(240.97+W136))/(DI136+DJ136)+DD136)/2)/(1000*0.61365*exp(17.502*W136/(240.97+W136))/(DI136+DJ136)-DD136)</f>
        <v>0</v>
      </c>
      <c r="T136">
        <f>1/((CW136+1)/(Q136/1.6)+1/(R136/1.37)) + CW136/((CW136+1)/(Q136/1.6) + CW136/(R136/1.37))</f>
        <v>0</v>
      </c>
      <c r="U136">
        <f>(CR136*CU136)</f>
        <v>0</v>
      </c>
      <c r="V136">
        <f>(DK136+(U136+2*0.95*5.67E-8*(((DK136+$B$7)+273)^4-(DK136+273)^4)-44100*J136)/(1.84*29.3*R136+8*0.95*5.67E-8*(DK136+273)^3))</f>
        <v>0</v>
      </c>
      <c r="W136">
        <f>($C$7*DL136+$D$7*DM136+$E$7*V136)</f>
        <v>0</v>
      </c>
      <c r="X136">
        <f>0.61365*exp(17.502*W136/(240.97+W136))</f>
        <v>0</v>
      </c>
      <c r="Y136">
        <f>(Z136/AA136*100)</f>
        <v>0</v>
      </c>
      <c r="Z136">
        <f>DD136*(DI136+DJ136)/1000</f>
        <v>0</v>
      </c>
      <c r="AA136">
        <f>0.61365*exp(17.502*DK136/(240.97+DK136))</f>
        <v>0</v>
      </c>
      <c r="AB136">
        <f>(X136-DD136*(DI136+DJ136)/1000)</f>
        <v>0</v>
      </c>
      <c r="AC136">
        <f>(-J136*44100)</f>
        <v>0</v>
      </c>
      <c r="AD136">
        <f>2*29.3*R136*0.92*(DK136-W136)</f>
        <v>0</v>
      </c>
      <c r="AE136">
        <f>2*0.95*5.67E-8*(((DK136+$B$7)+273)^4-(W136+273)^4)</f>
        <v>0</v>
      </c>
      <c r="AF136">
        <f>U136+AE136+AC136+AD136</f>
        <v>0</v>
      </c>
      <c r="AG136">
        <f>DH136*AU136*(DC136-DB136*(1000-AU136*DE136)/(1000-AU136*DD136))/(100*CV136)</f>
        <v>0</v>
      </c>
      <c r="AH136">
        <f>1000*DH136*AU136*(DD136-DE136)/(100*CV136*(1000-AU136*DD136))</f>
        <v>0</v>
      </c>
      <c r="AI136">
        <f>(AJ136 - AK136 - DI136*1E3/(8.314*(DK136+273.15)) * AM136/DH136 * AL136) * DH136/(100*CV136) * (1000 - DE136)/1000</f>
        <v>0</v>
      </c>
      <c r="AJ136">
        <v>858.1929189357706</v>
      </c>
      <c r="AK136">
        <v>842.7441454545456</v>
      </c>
      <c r="AL136">
        <v>-3.313560106363769</v>
      </c>
      <c r="AM136">
        <v>66.38192812717227</v>
      </c>
      <c r="AN136">
        <f>(AP136 - AO136 + DI136*1E3/(8.314*(DK136+273.15)) * AR136/DH136 * AQ136) * DH136/(100*CV136) * 1000/(1000 - AP136)</f>
        <v>0</v>
      </c>
      <c r="AO136">
        <v>12.83661394746209</v>
      </c>
      <c r="AP136">
        <v>18.12151735294117</v>
      </c>
      <c r="AQ136">
        <v>-6.20399055405245E-05</v>
      </c>
      <c r="AR136">
        <v>80.47224507511959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MAX(0,($B$13+$C$13*DP136)/(1+$D$13*DP136)*DI136/(DK136+273)*$E$13)</f>
        <v>0</v>
      </c>
      <c r="AX136" t="s">
        <v>417</v>
      </c>
      <c r="AY136" t="s">
        <v>417</v>
      </c>
      <c r="AZ136">
        <v>0</v>
      </c>
      <c r="BA136">
        <v>0</v>
      </c>
      <c r="BB136">
        <f>1-AZ136/BA136</f>
        <v>0</v>
      </c>
      <c r="BC136">
        <v>0</v>
      </c>
      <c r="BD136" t="s">
        <v>417</v>
      </c>
      <c r="BE136" t="s">
        <v>417</v>
      </c>
      <c r="BF136">
        <v>0</v>
      </c>
      <c r="BG136">
        <v>0</v>
      </c>
      <c r="BH136">
        <f>1-BF136/BG136</f>
        <v>0</v>
      </c>
      <c r="BI136">
        <v>0.5</v>
      </c>
      <c r="BJ136">
        <f>CS136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417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1248</v>
      </c>
      <c r="CA136">
        <v>300</v>
      </c>
      <c r="CB136">
        <v>300</v>
      </c>
      <c r="CC136">
        <v>300</v>
      </c>
      <c r="CD136">
        <v>10442</v>
      </c>
      <c r="CE136">
        <v>1293.69</v>
      </c>
      <c r="CF136">
        <v>-0.00735246</v>
      </c>
      <c r="CG136">
        <v>0.5</v>
      </c>
      <c r="CH136" t="s">
        <v>417</v>
      </c>
      <c r="CI136" t="s">
        <v>417</v>
      </c>
      <c r="CJ136" t="s">
        <v>417</v>
      </c>
      <c r="CK136" t="s">
        <v>417</v>
      </c>
      <c r="CL136" t="s">
        <v>417</v>
      </c>
      <c r="CM136" t="s">
        <v>417</v>
      </c>
      <c r="CN136" t="s">
        <v>417</v>
      </c>
      <c r="CO136" t="s">
        <v>417</v>
      </c>
      <c r="CP136" t="s">
        <v>417</v>
      </c>
      <c r="CQ136" t="s">
        <v>417</v>
      </c>
      <c r="CR136">
        <f>$B$11*DQ136+$C$11*DR136+$F$11*EC136*(1-EF136)</f>
        <v>0</v>
      </c>
      <c r="CS136">
        <f>CR136*CT136</f>
        <v>0</v>
      </c>
      <c r="CT136">
        <f>($B$11*$D$9+$C$11*$D$9+$F$11*((EP136+EH136)/MAX(EP136+EH136+EQ136, 0.1)*$I$9+EQ136/MAX(EP136+EH136+EQ136, 0.1)*$J$9))/($B$11+$C$11+$F$11)</f>
        <v>0</v>
      </c>
      <c r="CU136">
        <f>($B$11*$K$9+$C$11*$K$9+$F$11*((EP136+EH136)/MAX(EP136+EH136+EQ136, 0.1)*$P$9+EQ136/MAX(EP136+EH136+EQ136, 0.1)*$Q$9))/($B$11+$C$11+$F$11)</f>
        <v>0</v>
      </c>
      <c r="CV136">
        <v>6</v>
      </c>
      <c r="CW136">
        <v>0.5</v>
      </c>
      <c r="CX136" t="s">
        <v>418</v>
      </c>
      <c r="CY136">
        <v>2</v>
      </c>
      <c r="CZ136" t="b">
        <v>1</v>
      </c>
      <c r="DA136">
        <v>1651864636.6</v>
      </c>
      <c r="DB136">
        <v>829.0773333333333</v>
      </c>
      <c r="DC136">
        <v>841.2776666666665</v>
      </c>
      <c r="DD136">
        <v>18.12106666666666</v>
      </c>
      <c r="DE136">
        <v>12.90773333333333</v>
      </c>
      <c r="DF136">
        <v>830.8093333333333</v>
      </c>
      <c r="DG136">
        <v>18.10396666666666</v>
      </c>
      <c r="DH136">
        <v>500.084</v>
      </c>
      <c r="DI136">
        <v>89.93526666666668</v>
      </c>
      <c r="DJ136">
        <v>0.100108</v>
      </c>
      <c r="DK136">
        <v>25.68706666666667</v>
      </c>
      <c r="DL136">
        <v>25.0049</v>
      </c>
      <c r="DM136">
        <v>999.9</v>
      </c>
      <c r="DN136">
        <v>0</v>
      </c>
      <c r="DO136">
        <v>0</v>
      </c>
      <c r="DP136">
        <v>9996.873333333335</v>
      </c>
      <c r="DQ136">
        <v>0</v>
      </c>
      <c r="DR136">
        <v>3.23193</v>
      </c>
      <c r="DS136">
        <v>-12.2006</v>
      </c>
      <c r="DT136">
        <v>844.3783333333334</v>
      </c>
      <c r="DU136">
        <v>852.2793333333333</v>
      </c>
      <c r="DV136">
        <v>5.213350000000001</v>
      </c>
      <c r="DW136">
        <v>841.2776666666665</v>
      </c>
      <c r="DX136">
        <v>12.90773333333333</v>
      </c>
      <c r="DY136">
        <v>1.629726666666667</v>
      </c>
      <c r="DZ136">
        <v>1.160863333333333</v>
      </c>
      <c r="EA136">
        <v>14.24276666666667</v>
      </c>
      <c r="EB136">
        <v>9.108873333333333</v>
      </c>
      <c r="EC136">
        <v>1499.95</v>
      </c>
      <c r="ED136">
        <v>0.973007</v>
      </c>
      <c r="EE136">
        <v>0.0269931</v>
      </c>
      <c r="EF136">
        <v>0</v>
      </c>
      <c r="EG136">
        <v>910.6536666666667</v>
      </c>
      <c r="EH136">
        <v>5.00097</v>
      </c>
      <c r="EI136">
        <v>13529.2</v>
      </c>
      <c r="EJ136">
        <v>12491.2</v>
      </c>
      <c r="EK136">
        <v>37.25</v>
      </c>
      <c r="EL136">
        <v>38.708</v>
      </c>
      <c r="EM136">
        <v>37.625</v>
      </c>
      <c r="EN136">
        <v>38.437</v>
      </c>
      <c r="EO136">
        <v>38.125</v>
      </c>
      <c r="EP136">
        <v>1454.6</v>
      </c>
      <c r="EQ136">
        <v>40.35</v>
      </c>
      <c r="ER136">
        <v>0</v>
      </c>
      <c r="ES136">
        <v>416.4000000953674</v>
      </c>
      <c r="ET136">
        <v>0</v>
      </c>
      <c r="EU136">
        <v>913.831</v>
      </c>
      <c r="EV136">
        <v>-27.78516240566162</v>
      </c>
      <c r="EW136">
        <v>-402.1641027870709</v>
      </c>
      <c r="EX136">
        <v>13573.98846153846</v>
      </c>
      <c r="EY136">
        <v>15</v>
      </c>
      <c r="EZ136">
        <v>1651864261.1</v>
      </c>
      <c r="FA136" t="s">
        <v>419</v>
      </c>
      <c r="FB136">
        <v>1651864241.6</v>
      </c>
      <c r="FC136">
        <v>1651864261.1</v>
      </c>
      <c r="FD136">
        <v>7</v>
      </c>
      <c r="FE136">
        <v>0.438</v>
      </c>
      <c r="FF136">
        <v>0.002</v>
      </c>
      <c r="FG136">
        <v>-0.988</v>
      </c>
      <c r="FH136">
        <v>-0.066</v>
      </c>
      <c r="FI136">
        <v>400</v>
      </c>
      <c r="FJ136">
        <v>11</v>
      </c>
      <c r="FK136">
        <v>0.05</v>
      </c>
      <c r="FL136">
        <v>0.02</v>
      </c>
      <c r="FM136">
        <v>-13.00666097560976</v>
      </c>
      <c r="FN136">
        <v>4.617593728223</v>
      </c>
      <c r="FO136">
        <v>0.4624527160420381</v>
      </c>
      <c r="FP136">
        <v>-1</v>
      </c>
      <c r="FQ136">
        <v>5.369944390243901</v>
      </c>
      <c r="FR136">
        <v>-0.8499382578397267</v>
      </c>
      <c r="FS136">
        <v>0.08439692532975362</v>
      </c>
      <c r="FT136">
        <v>-1</v>
      </c>
      <c r="FU136">
        <v>0</v>
      </c>
      <c r="FV136">
        <v>0</v>
      </c>
      <c r="FW136">
        <v>0</v>
      </c>
      <c r="FX136">
        <v>-1</v>
      </c>
      <c r="FY136">
        <v>0</v>
      </c>
      <c r="FZ136">
        <v>0</v>
      </c>
      <c r="GA136" t="s">
        <v>420</v>
      </c>
      <c r="GB136">
        <v>2.98051</v>
      </c>
      <c r="GC136">
        <v>2.70623</v>
      </c>
      <c r="GD136">
        <v>0.150952</v>
      </c>
      <c r="GE136">
        <v>0.150674</v>
      </c>
      <c r="GF136">
        <v>0.0868922</v>
      </c>
      <c r="GG136">
        <v>0.06708310000000001</v>
      </c>
      <c r="GH136">
        <v>26794.9</v>
      </c>
      <c r="GI136">
        <v>26863.1</v>
      </c>
      <c r="GJ136">
        <v>29344.7</v>
      </c>
      <c r="GK136">
        <v>29259.8</v>
      </c>
      <c r="GL136">
        <v>35481.4</v>
      </c>
      <c r="GM136">
        <v>36357.1</v>
      </c>
      <c r="GN136">
        <v>41304.2</v>
      </c>
      <c r="GO136">
        <v>41763</v>
      </c>
      <c r="GP136">
        <v>1.95605</v>
      </c>
      <c r="GQ136">
        <v>1.84942</v>
      </c>
      <c r="GR136">
        <v>-0.0230372</v>
      </c>
      <c r="GS136">
        <v>0</v>
      </c>
      <c r="GT136">
        <v>25.3822</v>
      </c>
      <c r="GU136">
        <v>999.9</v>
      </c>
      <c r="GV136">
        <v>31.7</v>
      </c>
      <c r="GW136">
        <v>34.3</v>
      </c>
      <c r="GX136">
        <v>19.1487</v>
      </c>
      <c r="GY136">
        <v>62.4575</v>
      </c>
      <c r="GZ136">
        <v>35.1723</v>
      </c>
      <c r="HA136">
        <v>1</v>
      </c>
      <c r="HB136">
        <v>0.106242</v>
      </c>
      <c r="HC136">
        <v>2.43521</v>
      </c>
      <c r="HD136">
        <v>20.3165</v>
      </c>
      <c r="HE136">
        <v>5.21939</v>
      </c>
      <c r="HF136">
        <v>12.0099</v>
      </c>
      <c r="HG136">
        <v>4.9893</v>
      </c>
      <c r="HH136">
        <v>3.28865</v>
      </c>
      <c r="HI136">
        <v>996.6</v>
      </c>
      <c r="HJ136">
        <v>9541.1</v>
      </c>
      <c r="HK136">
        <v>5139.4</v>
      </c>
      <c r="HL136">
        <v>24.9</v>
      </c>
      <c r="HM136">
        <v>1.8675</v>
      </c>
      <c r="HN136">
        <v>1.86646</v>
      </c>
      <c r="HO136">
        <v>1.866</v>
      </c>
      <c r="HP136">
        <v>1.86586</v>
      </c>
      <c r="HQ136">
        <v>1.86768</v>
      </c>
      <c r="HR136">
        <v>1.87018</v>
      </c>
      <c r="HS136">
        <v>1.8689</v>
      </c>
      <c r="HT136">
        <v>1.87024</v>
      </c>
      <c r="HU136">
        <v>0</v>
      </c>
      <c r="HV136">
        <v>0</v>
      </c>
      <c r="HW136">
        <v>0</v>
      </c>
      <c r="HX136">
        <v>0</v>
      </c>
      <c r="HY136" t="s">
        <v>421</v>
      </c>
      <c r="HZ136" t="s">
        <v>422</v>
      </c>
      <c r="IA136" t="s">
        <v>423</v>
      </c>
      <c r="IB136" t="s">
        <v>423</v>
      </c>
      <c r="IC136" t="s">
        <v>423</v>
      </c>
      <c r="ID136" t="s">
        <v>423</v>
      </c>
      <c r="IE136">
        <v>0</v>
      </c>
      <c r="IF136">
        <v>100</v>
      </c>
      <c r="IG136">
        <v>100</v>
      </c>
      <c r="IH136">
        <v>-1.727</v>
      </c>
      <c r="II136">
        <v>0.0171</v>
      </c>
      <c r="IJ136">
        <v>-0.2164499368582429</v>
      </c>
      <c r="IK136">
        <v>-0.002077099775823331</v>
      </c>
      <c r="IL136">
        <v>4.593143279902166E-07</v>
      </c>
      <c r="IM136">
        <v>-1.865383991892071E-10</v>
      </c>
      <c r="IN136">
        <v>-0.06087574426827484</v>
      </c>
      <c r="IO136">
        <v>-0.01129461987421345</v>
      </c>
      <c r="IP136">
        <v>0.00116580895745559</v>
      </c>
      <c r="IQ136">
        <v>-1.679085872906199E-05</v>
      </c>
      <c r="IR136">
        <v>2</v>
      </c>
      <c r="IS136">
        <v>2290</v>
      </c>
      <c r="IT136">
        <v>0</v>
      </c>
      <c r="IU136">
        <v>32</v>
      </c>
      <c r="IV136">
        <v>6.6</v>
      </c>
      <c r="IW136">
        <v>6.3</v>
      </c>
      <c r="IX136">
        <v>1.78345</v>
      </c>
      <c r="IY136">
        <v>2.21191</v>
      </c>
      <c r="IZ136">
        <v>1.39648</v>
      </c>
      <c r="JA136">
        <v>2.35596</v>
      </c>
      <c r="JB136">
        <v>1.49536</v>
      </c>
      <c r="JC136">
        <v>2.28027</v>
      </c>
      <c r="JD136">
        <v>38.4769</v>
      </c>
      <c r="JE136">
        <v>24.035</v>
      </c>
      <c r="JF136">
        <v>18</v>
      </c>
      <c r="JG136">
        <v>511.386</v>
      </c>
      <c r="JH136">
        <v>428.414</v>
      </c>
      <c r="JI136">
        <v>22.2237</v>
      </c>
      <c r="JJ136">
        <v>28.6633</v>
      </c>
      <c r="JK136">
        <v>30.0002</v>
      </c>
      <c r="JL136">
        <v>28.6276</v>
      </c>
      <c r="JM136">
        <v>28.5655</v>
      </c>
      <c r="JN136">
        <v>35.5901</v>
      </c>
      <c r="JO136">
        <v>31.9436</v>
      </c>
      <c r="JP136">
        <v>0</v>
      </c>
      <c r="JQ136">
        <v>22.22</v>
      </c>
      <c r="JR136">
        <v>815.125</v>
      </c>
      <c r="JS136">
        <v>13.076</v>
      </c>
      <c r="JT136">
        <v>100.306</v>
      </c>
      <c r="JU136">
        <v>100.234</v>
      </c>
    </row>
    <row r="137" spans="1:281">
      <c r="A137">
        <v>121</v>
      </c>
      <c r="B137">
        <v>1651864639.6</v>
      </c>
      <c r="C137">
        <v>419</v>
      </c>
      <c r="D137" t="s">
        <v>662</v>
      </c>
      <c r="E137" t="s">
        <v>663</v>
      </c>
      <c r="F137">
        <v>2</v>
      </c>
      <c r="G137" t="s">
        <v>413</v>
      </c>
      <c r="H137" t="s">
        <v>414</v>
      </c>
      <c r="I137">
        <v>1651864638.225</v>
      </c>
      <c r="J137">
        <f>(K137)/1000</f>
        <v>0</v>
      </c>
      <c r="K137">
        <f>IF(CZ137, AN137, AH137)</f>
        <v>0</v>
      </c>
      <c r="L137">
        <f>IF(CZ137, AI137, AG137)</f>
        <v>0</v>
      </c>
      <c r="M137">
        <f>DB137 - IF(AU137&gt;1, L137*CV137*100.0/(AW137*DP137), 0)</f>
        <v>0</v>
      </c>
      <c r="N137">
        <f>((T137-J137/2)*M137-L137)/(T137+J137/2)</f>
        <v>0</v>
      </c>
      <c r="O137">
        <f>N137*(DI137+DJ137)/1000.0</f>
        <v>0</v>
      </c>
      <c r="P137">
        <f>(DB137 - IF(AU137&gt;1, L137*CV137*100.0/(AW137*DP137), 0))*(DI137+DJ137)/1000.0</f>
        <v>0</v>
      </c>
      <c r="Q137">
        <f>2.0/((1/S137-1/R137)+SIGN(S137)*SQRT((1/S137-1/R137)*(1/S137-1/R137) + 4*CW137/((CW137+1)*(CW137+1))*(2*1/S137*1/R137-1/R137*1/R137)))</f>
        <v>0</v>
      </c>
      <c r="R137">
        <f>IF(LEFT(CX137,1)&lt;&gt;"0",IF(LEFT(CX137,1)="1",3.0,CY137),$D$5+$E$5*(DP137*DI137/($K$5*1000))+$F$5*(DP137*DI137/($K$5*1000))*MAX(MIN(CV137,$J$5),$I$5)*MAX(MIN(CV137,$J$5),$I$5)+$G$5*MAX(MIN(CV137,$J$5),$I$5)*(DP137*DI137/($K$5*1000))+$H$5*(DP137*DI137/($K$5*1000))*(DP137*DI137/($K$5*1000)))</f>
        <v>0</v>
      </c>
      <c r="S137">
        <f>J137*(1000-(1000*0.61365*exp(17.502*W137/(240.97+W137))/(DI137+DJ137)+DD137)/2)/(1000*0.61365*exp(17.502*W137/(240.97+W137))/(DI137+DJ137)-DD137)</f>
        <v>0</v>
      </c>
      <c r="T137">
        <f>1/((CW137+1)/(Q137/1.6)+1/(R137/1.37)) + CW137/((CW137+1)/(Q137/1.6) + CW137/(R137/1.37))</f>
        <v>0</v>
      </c>
      <c r="U137">
        <f>(CR137*CU137)</f>
        <v>0</v>
      </c>
      <c r="V137">
        <f>(DK137+(U137+2*0.95*5.67E-8*(((DK137+$B$7)+273)^4-(DK137+273)^4)-44100*J137)/(1.84*29.3*R137+8*0.95*5.67E-8*(DK137+273)^3))</f>
        <v>0</v>
      </c>
      <c r="W137">
        <f>($C$7*DL137+$D$7*DM137+$E$7*V137)</f>
        <v>0</v>
      </c>
      <c r="X137">
        <f>0.61365*exp(17.502*W137/(240.97+W137))</f>
        <v>0</v>
      </c>
      <c r="Y137">
        <f>(Z137/AA137*100)</f>
        <v>0</v>
      </c>
      <c r="Z137">
        <f>DD137*(DI137+DJ137)/1000</f>
        <v>0</v>
      </c>
      <c r="AA137">
        <f>0.61365*exp(17.502*DK137/(240.97+DK137))</f>
        <v>0</v>
      </c>
      <c r="AB137">
        <f>(X137-DD137*(DI137+DJ137)/1000)</f>
        <v>0</v>
      </c>
      <c r="AC137">
        <f>(-J137*44100)</f>
        <v>0</v>
      </c>
      <c r="AD137">
        <f>2*29.3*R137*0.92*(DK137-W137)</f>
        <v>0</v>
      </c>
      <c r="AE137">
        <f>2*0.95*5.67E-8*(((DK137+$B$7)+273)^4-(W137+273)^4)</f>
        <v>0</v>
      </c>
      <c r="AF137">
        <f>U137+AE137+AC137+AD137</f>
        <v>0</v>
      </c>
      <c r="AG137">
        <f>DH137*AU137*(DC137-DB137*(1000-AU137*DE137)/(1000-AU137*DD137))/(100*CV137)</f>
        <v>0</v>
      </c>
      <c r="AH137">
        <f>1000*DH137*AU137*(DD137-DE137)/(100*CV137*(1000-AU137*DD137))</f>
        <v>0</v>
      </c>
      <c r="AI137">
        <f>(AJ137 - AK137 - DI137*1E3/(8.314*(DK137+273.15)) * AM137/DH137 * AL137) * DH137/(100*CV137) * (1000 - DE137)/1000</f>
        <v>0</v>
      </c>
      <c r="AJ137">
        <v>851.5241247802426</v>
      </c>
      <c r="AK137">
        <v>836.1505575757574</v>
      </c>
      <c r="AL137">
        <v>-3.29140727504975</v>
      </c>
      <c r="AM137">
        <v>66.38192812717227</v>
      </c>
      <c r="AN137">
        <f>(AP137 - AO137 + DI137*1E3/(8.314*(DK137+273.15)) * AR137/DH137 * AQ137) * DH137/(100*CV137) * 1000/(1000 - AP137)</f>
        <v>0</v>
      </c>
      <c r="AO137">
        <v>12.87621769510944</v>
      </c>
      <c r="AP137">
        <v>18.1282344117647</v>
      </c>
      <c r="AQ137">
        <v>-3.882311515743683E-05</v>
      </c>
      <c r="AR137">
        <v>80.47224507511959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MAX(0,($B$13+$C$13*DP137)/(1+$D$13*DP137)*DI137/(DK137+273)*$E$13)</f>
        <v>0</v>
      </c>
      <c r="AX137" t="s">
        <v>417</v>
      </c>
      <c r="AY137" t="s">
        <v>417</v>
      </c>
      <c r="AZ137">
        <v>0</v>
      </c>
      <c r="BA137">
        <v>0</v>
      </c>
      <c r="BB137">
        <f>1-AZ137/BA137</f>
        <v>0</v>
      </c>
      <c r="BC137">
        <v>0</v>
      </c>
      <c r="BD137" t="s">
        <v>417</v>
      </c>
      <c r="BE137" t="s">
        <v>417</v>
      </c>
      <c r="BF137">
        <v>0</v>
      </c>
      <c r="BG137">
        <v>0</v>
      </c>
      <c r="BH137">
        <f>1-BF137/BG137</f>
        <v>0</v>
      </c>
      <c r="BI137">
        <v>0.5</v>
      </c>
      <c r="BJ137">
        <f>CS137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417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1248</v>
      </c>
      <c r="CA137">
        <v>300</v>
      </c>
      <c r="CB137">
        <v>300</v>
      </c>
      <c r="CC137">
        <v>300</v>
      </c>
      <c r="CD137">
        <v>10442</v>
      </c>
      <c r="CE137">
        <v>1293.69</v>
      </c>
      <c r="CF137">
        <v>-0.00735246</v>
      </c>
      <c r="CG137">
        <v>0.5</v>
      </c>
      <c r="CH137" t="s">
        <v>417</v>
      </c>
      <c r="CI137" t="s">
        <v>417</v>
      </c>
      <c r="CJ137" t="s">
        <v>417</v>
      </c>
      <c r="CK137" t="s">
        <v>417</v>
      </c>
      <c r="CL137" t="s">
        <v>417</v>
      </c>
      <c r="CM137" t="s">
        <v>417</v>
      </c>
      <c r="CN137" t="s">
        <v>417</v>
      </c>
      <c r="CO137" t="s">
        <v>417</v>
      </c>
      <c r="CP137" t="s">
        <v>417</v>
      </c>
      <c r="CQ137" t="s">
        <v>417</v>
      </c>
      <c r="CR137">
        <f>$B$11*DQ137+$C$11*DR137+$F$11*EC137*(1-EF137)</f>
        <v>0</v>
      </c>
      <c r="CS137">
        <f>CR137*CT137</f>
        <v>0</v>
      </c>
      <c r="CT137">
        <f>($B$11*$D$9+$C$11*$D$9+$F$11*((EP137+EH137)/MAX(EP137+EH137+EQ137, 0.1)*$I$9+EQ137/MAX(EP137+EH137+EQ137, 0.1)*$J$9))/($B$11+$C$11+$F$11)</f>
        <v>0</v>
      </c>
      <c r="CU137">
        <f>($B$11*$K$9+$C$11*$K$9+$F$11*((EP137+EH137)/MAX(EP137+EH137+EQ137, 0.1)*$P$9+EQ137/MAX(EP137+EH137+EQ137, 0.1)*$Q$9))/($B$11+$C$11+$F$11)</f>
        <v>0</v>
      </c>
      <c r="CV137">
        <v>6</v>
      </c>
      <c r="CW137">
        <v>0.5</v>
      </c>
      <c r="CX137" t="s">
        <v>418</v>
      </c>
      <c r="CY137">
        <v>2</v>
      </c>
      <c r="CZ137" t="b">
        <v>1</v>
      </c>
      <c r="DA137">
        <v>1651864638.225</v>
      </c>
      <c r="DB137">
        <v>823.82975</v>
      </c>
      <c r="DC137">
        <v>835.8389999999999</v>
      </c>
      <c r="DD137">
        <v>18.125125</v>
      </c>
      <c r="DE137">
        <v>12.941025</v>
      </c>
      <c r="DF137">
        <v>825.553</v>
      </c>
      <c r="DG137">
        <v>18.108</v>
      </c>
      <c r="DH137">
        <v>500.0617500000001</v>
      </c>
      <c r="DI137">
        <v>89.93647499999999</v>
      </c>
      <c r="DJ137">
        <v>0.100061</v>
      </c>
      <c r="DK137">
        <v>25.6856</v>
      </c>
      <c r="DL137">
        <v>25.006425</v>
      </c>
      <c r="DM137">
        <v>999.9</v>
      </c>
      <c r="DN137">
        <v>0</v>
      </c>
      <c r="DO137">
        <v>0</v>
      </c>
      <c r="DP137">
        <v>9994.059999999999</v>
      </c>
      <c r="DQ137">
        <v>0</v>
      </c>
      <c r="DR137">
        <v>3.23193</v>
      </c>
      <c r="DS137">
        <v>-12.0094</v>
      </c>
      <c r="DT137">
        <v>839.0372500000001</v>
      </c>
      <c r="DU137">
        <v>846.7977500000001</v>
      </c>
      <c r="DV137">
        <v>5.1841175</v>
      </c>
      <c r="DW137">
        <v>835.8389999999999</v>
      </c>
      <c r="DX137">
        <v>12.941025</v>
      </c>
      <c r="DY137">
        <v>1.6301125</v>
      </c>
      <c r="DZ137">
        <v>1.163875</v>
      </c>
      <c r="EA137">
        <v>14.2464</v>
      </c>
      <c r="EB137">
        <v>9.147254999999999</v>
      </c>
      <c r="EC137">
        <v>1500.0225</v>
      </c>
      <c r="ED137">
        <v>0.9730082499999999</v>
      </c>
      <c r="EE137">
        <v>0.02699175</v>
      </c>
      <c r="EF137">
        <v>0</v>
      </c>
      <c r="EG137">
        <v>909.8455000000001</v>
      </c>
      <c r="EH137">
        <v>5.00097</v>
      </c>
      <c r="EI137">
        <v>13517.275</v>
      </c>
      <c r="EJ137">
        <v>12491.825</v>
      </c>
      <c r="EK137">
        <v>37.25</v>
      </c>
      <c r="EL137">
        <v>38.7185</v>
      </c>
      <c r="EM137">
        <v>37.625</v>
      </c>
      <c r="EN137">
        <v>38.437</v>
      </c>
      <c r="EO137">
        <v>38.125</v>
      </c>
      <c r="EP137">
        <v>1454.6725</v>
      </c>
      <c r="EQ137">
        <v>40.35</v>
      </c>
      <c r="ER137">
        <v>0</v>
      </c>
      <c r="ES137">
        <v>418.7999999523163</v>
      </c>
      <c r="ET137">
        <v>0</v>
      </c>
      <c r="EU137">
        <v>912.7481538461539</v>
      </c>
      <c r="EV137">
        <v>-28.16738461862948</v>
      </c>
      <c r="EW137">
        <v>-413.7675212477612</v>
      </c>
      <c r="EX137">
        <v>13557.77307692308</v>
      </c>
      <c r="EY137">
        <v>15</v>
      </c>
      <c r="EZ137">
        <v>1651864261.1</v>
      </c>
      <c r="FA137" t="s">
        <v>419</v>
      </c>
      <c r="FB137">
        <v>1651864241.6</v>
      </c>
      <c r="FC137">
        <v>1651864261.1</v>
      </c>
      <c r="FD137">
        <v>7</v>
      </c>
      <c r="FE137">
        <v>0.438</v>
      </c>
      <c r="FF137">
        <v>0.002</v>
      </c>
      <c r="FG137">
        <v>-0.988</v>
      </c>
      <c r="FH137">
        <v>-0.066</v>
      </c>
      <c r="FI137">
        <v>400</v>
      </c>
      <c r="FJ137">
        <v>11</v>
      </c>
      <c r="FK137">
        <v>0.05</v>
      </c>
      <c r="FL137">
        <v>0.02</v>
      </c>
      <c r="FM137">
        <v>-12.792935</v>
      </c>
      <c r="FN137">
        <v>4.997117448405302</v>
      </c>
      <c r="FO137">
        <v>0.4868715156743102</v>
      </c>
      <c r="FP137">
        <v>-1</v>
      </c>
      <c r="FQ137">
        <v>5.32708175</v>
      </c>
      <c r="FR137">
        <v>-0.8630765853658552</v>
      </c>
      <c r="FS137">
        <v>0.08376372248436367</v>
      </c>
      <c r="FT137">
        <v>-1</v>
      </c>
      <c r="FU137">
        <v>0</v>
      </c>
      <c r="FV137">
        <v>0</v>
      </c>
      <c r="FW137">
        <v>0</v>
      </c>
      <c r="FX137">
        <v>-1</v>
      </c>
      <c r="FY137">
        <v>0</v>
      </c>
      <c r="FZ137">
        <v>0</v>
      </c>
      <c r="GA137" t="s">
        <v>420</v>
      </c>
      <c r="GB137">
        <v>2.98058</v>
      </c>
      <c r="GC137">
        <v>2.7061</v>
      </c>
      <c r="GD137">
        <v>0.150166</v>
      </c>
      <c r="GE137">
        <v>0.14987</v>
      </c>
      <c r="GF137">
        <v>0.0869081</v>
      </c>
      <c r="GG137">
        <v>0.06723170000000001</v>
      </c>
      <c r="GH137">
        <v>26820</v>
      </c>
      <c r="GI137">
        <v>26888.4</v>
      </c>
      <c r="GJ137">
        <v>29345</v>
      </c>
      <c r="GK137">
        <v>29259.6</v>
      </c>
      <c r="GL137">
        <v>35481.1</v>
      </c>
      <c r="GM137">
        <v>36351.1</v>
      </c>
      <c r="GN137">
        <v>41304.5</v>
      </c>
      <c r="GO137">
        <v>41762.8</v>
      </c>
      <c r="GP137">
        <v>1.9562</v>
      </c>
      <c r="GQ137">
        <v>1.8493</v>
      </c>
      <c r="GR137">
        <v>-0.0226796</v>
      </c>
      <c r="GS137">
        <v>0</v>
      </c>
      <c r="GT137">
        <v>25.3811</v>
      </c>
      <c r="GU137">
        <v>999.9</v>
      </c>
      <c r="GV137">
        <v>31.7</v>
      </c>
      <c r="GW137">
        <v>34.3</v>
      </c>
      <c r="GX137">
        <v>19.1503</v>
      </c>
      <c r="GY137">
        <v>62.6175</v>
      </c>
      <c r="GZ137">
        <v>34.9199</v>
      </c>
      <c r="HA137">
        <v>1</v>
      </c>
      <c r="HB137">
        <v>0.106301</v>
      </c>
      <c r="HC137">
        <v>2.42472</v>
      </c>
      <c r="HD137">
        <v>20.3166</v>
      </c>
      <c r="HE137">
        <v>5.21879</v>
      </c>
      <c r="HF137">
        <v>12.0099</v>
      </c>
      <c r="HG137">
        <v>4.9893</v>
      </c>
      <c r="HH137">
        <v>3.28865</v>
      </c>
      <c r="HI137">
        <v>996.6</v>
      </c>
      <c r="HJ137">
        <v>9541.1</v>
      </c>
      <c r="HK137">
        <v>5139.4</v>
      </c>
      <c r="HL137">
        <v>24.9</v>
      </c>
      <c r="HM137">
        <v>1.8675</v>
      </c>
      <c r="HN137">
        <v>1.86646</v>
      </c>
      <c r="HO137">
        <v>1.866</v>
      </c>
      <c r="HP137">
        <v>1.86585</v>
      </c>
      <c r="HQ137">
        <v>1.86768</v>
      </c>
      <c r="HR137">
        <v>1.8702</v>
      </c>
      <c r="HS137">
        <v>1.8689</v>
      </c>
      <c r="HT137">
        <v>1.87024</v>
      </c>
      <c r="HU137">
        <v>0</v>
      </c>
      <c r="HV137">
        <v>0</v>
      </c>
      <c r="HW137">
        <v>0</v>
      </c>
      <c r="HX137">
        <v>0</v>
      </c>
      <c r="HY137" t="s">
        <v>421</v>
      </c>
      <c r="HZ137" t="s">
        <v>422</v>
      </c>
      <c r="IA137" t="s">
        <v>423</v>
      </c>
      <c r="IB137" t="s">
        <v>423</v>
      </c>
      <c r="IC137" t="s">
        <v>423</v>
      </c>
      <c r="ID137" t="s">
        <v>423</v>
      </c>
      <c r="IE137">
        <v>0</v>
      </c>
      <c r="IF137">
        <v>100</v>
      </c>
      <c r="IG137">
        <v>100</v>
      </c>
      <c r="IH137">
        <v>-1.715</v>
      </c>
      <c r="II137">
        <v>0.0172</v>
      </c>
      <c r="IJ137">
        <v>-0.2164499368582429</v>
      </c>
      <c r="IK137">
        <v>-0.002077099775823331</v>
      </c>
      <c r="IL137">
        <v>4.593143279902166E-07</v>
      </c>
      <c r="IM137">
        <v>-1.865383991892071E-10</v>
      </c>
      <c r="IN137">
        <v>-0.06087574426827484</v>
      </c>
      <c r="IO137">
        <v>-0.01129461987421345</v>
      </c>
      <c r="IP137">
        <v>0.00116580895745559</v>
      </c>
      <c r="IQ137">
        <v>-1.679085872906199E-05</v>
      </c>
      <c r="IR137">
        <v>2</v>
      </c>
      <c r="IS137">
        <v>2290</v>
      </c>
      <c r="IT137">
        <v>0</v>
      </c>
      <c r="IU137">
        <v>32</v>
      </c>
      <c r="IV137">
        <v>6.6</v>
      </c>
      <c r="IW137">
        <v>6.3</v>
      </c>
      <c r="IX137">
        <v>1.77246</v>
      </c>
      <c r="IY137">
        <v>2.20581</v>
      </c>
      <c r="IZ137">
        <v>1.39648</v>
      </c>
      <c r="JA137">
        <v>2.35596</v>
      </c>
      <c r="JB137">
        <v>1.49536</v>
      </c>
      <c r="JC137">
        <v>2.35962</v>
      </c>
      <c r="JD137">
        <v>38.4524</v>
      </c>
      <c r="JE137">
        <v>24.035</v>
      </c>
      <c r="JF137">
        <v>18</v>
      </c>
      <c r="JG137">
        <v>511.484</v>
      </c>
      <c r="JH137">
        <v>428.348</v>
      </c>
      <c r="JI137">
        <v>22.2187</v>
      </c>
      <c r="JJ137">
        <v>28.6633</v>
      </c>
      <c r="JK137">
        <v>30.0001</v>
      </c>
      <c r="JL137">
        <v>28.6276</v>
      </c>
      <c r="JM137">
        <v>28.5667</v>
      </c>
      <c r="JN137">
        <v>35.358</v>
      </c>
      <c r="JO137">
        <v>31.6378</v>
      </c>
      <c r="JP137">
        <v>0</v>
      </c>
      <c r="JQ137">
        <v>22.2129</v>
      </c>
      <c r="JR137">
        <v>808.4400000000001</v>
      </c>
      <c r="JS137">
        <v>13.1022</v>
      </c>
      <c r="JT137">
        <v>100.307</v>
      </c>
      <c r="JU137">
        <v>100.233</v>
      </c>
    </row>
    <row r="138" spans="1:281">
      <c r="A138">
        <v>122</v>
      </c>
      <c r="B138">
        <v>1651864641.6</v>
      </c>
      <c r="C138">
        <v>421</v>
      </c>
      <c r="D138" t="s">
        <v>664</v>
      </c>
      <c r="E138" t="s">
        <v>665</v>
      </c>
      <c r="F138">
        <v>2</v>
      </c>
      <c r="G138" t="s">
        <v>413</v>
      </c>
      <c r="H138" t="s">
        <v>414</v>
      </c>
      <c r="I138">
        <v>1651864640.6</v>
      </c>
      <c r="J138">
        <f>(K138)/1000</f>
        <v>0</v>
      </c>
      <c r="K138">
        <f>IF(CZ138, AN138, AH138)</f>
        <v>0</v>
      </c>
      <c r="L138">
        <f>IF(CZ138, AI138, AG138)</f>
        <v>0</v>
      </c>
      <c r="M138">
        <f>DB138 - IF(AU138&gt;1, L138*CV138*100.0/(AW138*DP138), 0)</f>
        <v>0</v>
      </c>
      <c r="N138">
        <f>((T138-J138/2)*M138-L138)/(T138+J138/2)</f>
        <v>0</v>
      </c>
      <c r="O138">
        <f>N138*(DI138+DJ138)/1000.0</f>
        <v>0</v>
      </c>
      <c r="P138">
        <f>(DB138 - IF(AU138&gt;1, L138*CV138*100.0/(AW138*DP138), 0))*(DI138+DJ138)/1000.0</f>
        <v>0</v>
      </c>
      <c r="Q138">
        <f>2.0/((1/S138-1/R138)+SIGN(S138)*SQRT((1/S138-1/R138)*(1/S138-1/R138) + 4*CW138/((CW138+1)*(CW138+1))*(2*1/S138*1/R138-1/R138*1/R138)))</f>
        <v>0</v>
      </c>
      <c r="R138">
        <f>IF(LEFT(CX138,1)&lt;&gt;"0",IF(LEFT(CX138,1)="1",3.0,CY138),$D$5+$E$5*(DP138*DI138/($K$5*1000))+$F$5*(DP138*DI138/($K$5*1000))*MAX(MIN(CV138,$J$5),$I$5)*MAX(MIN(CV138,$J$5),$I$5)+$G$5*MAX(MIN(CV138,$J$5),$I$5)*(DP138*DI138/($K$5*1000))+$H$5*(DP138*DI138/($K$5*1000))*(DP138*DI138/($K$5*1000)))</f>
        <v>0</v>
      </c>
      <c r="S138">
        <f>J138*(1000-(1000*0.61365*exp(17.502*W138/(240.97+W138))/(DI138+DJ138)+DD138)/2)/(1000*0.61365*exp(17.502*W138/(240.97+W138))/(DI138+DJ138)-DD138)</f>
        <v>0</v>
      </c>
      <c r="T138">
        <f>1/((CW138+1)/(Q138/1.6)+1/(R138/1.37)) + CW138/((CW138+1)/(Q138/1.6) + CW138/(R138/1.37))</f>
        <v>0</v>
      </c>
      <c r="U138">
        <f>(CR138*CU138)</f>
        <v>0</v>
      </c>
      <c r="V138">
        <f>(DK138+(U138+2*0.95*5.67E-8*(((DK138+$B$7)+273)^4-(DK138+273)^4)-44100*J138)/(1.84*29.3*R138+8*0.95*5.67E-8*(DK138+273)^3))</f>
        <v>0</v>
      </c>
      <c r="W138">
        <f>($C$7*DL138+$D$7*DM138+$E$7*V138)</f>
        <v>0</v>
      </c>
      <c r="X138">
        <f>0.61365*exp(17.502*W138/(240.97+W138))</f>
        <v>0</v>
      </c>
      <c r="Y138">
        <f>(Z138/AA138*100)</f>
        <v>0</v>
      </c>
      <c r="Z138">
        <f>DD138*(DI138+DJ138)/1000</f>
        <v>0</v>
      </c>
      <c r="AA138">
        <f>0.61365*exp(17.502*DK138/(240.97+DK138))</f>
        <v>0</v>
      </c>
      <c r="AB138">
        <f>(X138-DD138*(DI138+DJ138)/1000)</f>
        <v>0</v>
      </c>
      <c r="AC138">
        <f>(-J138*44100)</f>
        <v>0</v>
      </c>
      <c r="AD138">
        <f>2*29.3*R138*0.92*(DK138-W138)</f>
        <v>0</v>
      </c>
      <c r="AE138">
        <f>2*0.95*5.67E-8*(((DK138+$B$7)+273)^4-(W138+273)^4)</f>
        <v>0</v>
      </c>
      <c r="AF138">
        <f>U138+AE138+AC138+AD138</f>
        <v>0</v>
      </c>
      <c r="AG138">
        <f>DH138*AU138*(DC138-DB138*(1000-AU138*DE138)/(1000-AU138*DD138))/(100*CV138)</f>
        <v>0</v>
      </c>
      <c r="AH138">
        <f>1000*DH138*AU138*(DD138-DE138)/(100*CV138*(1000-AU138*DD138))</f>
        <v>0</v>
      </c>
      <c r="AI138">
        <f>(AJ138 - AK138 - DI138*1E3/(8.314*(DK138+273.15)) * AM138/DH138 * AL138) * DH138/(100*CV138) * (1000 - DE138)/1000</f>
        <v>0</v>
      </c>
      <c r="AJ138">
        <v>844.7513620690316</v>
      </c>
      <c r="AK138">
        <v>829.5242424242425</v>
      </c>
      <c r="AL138">
        <v>-3.308262882517535</v>
      </c>
      <c r="AM138">
        <v>66.38192812717227</v>
      </c>
      <c r="AN138">
        <f>(AP138 - AO138 + DI138*1E3/(8.314*(DK138+273.15)) * AR138/DH138 * AQ138) * DH138/(100*CV138) * 1000/(1000 - AP138)</f>
        <v>0</v>
      </c>
      <c r="AO138">
        <v>12.91852704197421</v>
      </c>
      <c r="AP138">
        <v>18.13108058823529</v>
      </c>
      <c r="AQ138">
        <v>1.942737549903061E-05</v>
      </c>
      <c r="AR138">
        <v>80.47224507511959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MAX(0,($B$13+$C$13*DP138)/(1+$D$13*DP138)*DI138/(DK138+273)*$E$13)</f>
        <v>0</v>
      </c>
      <c r="AX138" t="s">
        <v>417</v>
      </c>
      <c r="AY138" t="s">
        <v>417</v>
      </c>
      <c r="AZ138">
        <v>0</v>
      </c>
      <c r="BA138">
        <v>0</v>
      </c>
      <c r="BB138">
        <f>1-AZ138/BA138</f>
        <v>0</v>
      </c>
      <c r="BC138">
        <v>0</v>
      </c>
      <c r="BD138" t="s">
        <v>417</v>
      </c>
      <c r="BE138" t="s">
        <v>417</v>
      </c>
      <c r="BF138">
        <v>0</v>
      </c>
      <c r="BG138">
        <v>0</v>
      </c>
      <c r="BH138">
        <f>1-BF138/BG138</f>
        <v>0</v>
      </c>
      <c r="BI138">
        <v>0.5</v>
      </c>
      <c r="BJ138">
        <f>CS138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417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1248</v>
      </c>
      <c r="CA138">
        <v>300</v>
      </c>
      <c r="CB138">
        <v>300</v>
      </c>
      <c r="CC138">
        <v>300</v>
      </c>
      <c r="CD138">
        <v>10442</v>
      </c>
      <c r="CE138">
        <v>1293.69</v>
      </c>
      <c r="CF138">
        <v>-0.00735246</v>
      </c>
      <c r="CG138">
        <v>0.5</v>
      </c>
      <c r="CH138" t="s">
        <v>417</v>
      </c>
      <c r="CI138" t="s">
        <v>417</v>
      </c>
      <c r="CJ138" t="s">
        <v>417</v>
      </c>
      <c r="CK138" t="s">
        <v>417</v>
      </c>
      <c r="CL138" t="s">
        <v>417</v>
      </c>
      <c r="CM138" t="s">
        <v>417</v>
      </c>
      <c r="CN138" t="s">
        <v>417</v>
      </c>
      <c r="CO138" t="s">
        <v>417</v>
      </c>
      <c r="CP138" t="s">
        <v>417</v>
      </c>
      <c r="CQ138" t="s">
        <v>417</v>
      </c>
      <c r="CR138">
        <f>$B$11*DQ138+$C$11*DR138+$F$11*EC138*(1-EF138)</f>
        <v>0</v>
      </c>
      <c r="CS138">
        <f>CR138*CT138</f>
        <v>0</v>
      </c>
      <c r="CT138">
        <f>($B$11*$D$9+$C$11*$D$9+$F$11*((EP138+EH138)/MAX(EP138+EH138+EQ138, 0.1)*$I$9+EQ138/MAX(EP138+EH138+EQ138, 0.1)*$J$9))/($B$11+$C$11+$F$11)</f>
        <v>0</v>
      </c>
      <c r="CU138">
        <f>($B$11*$K$9+$C$11*$K$9+$F$11*((EP138+EH138)/MAX(EP138+EH138+EQ138, 0.1)*$P$9+EQ138/MAX(EP138+EH138+EQ138, 0.1)*$Q$9))/($B$11+$C$11+$F$11)</f>
        <v>0</v>
      </c>
      <c r="CV138">
        <v>6</v>
      </c>
      <c r="CW138">
        <v>0.5</v>
      </c>
      <c r="CX138" t="s">
        <v>418</v>
      </c>
      <c r="CY138">
        <v>2</v>
      </c>
      <c r="CZ138" t="b">
        <v>1</v>
      </c>
      <c r="DA138">
        <v>1651864640.6</v>
      </c>
      <c r="DB138">
        <v>816.1150000000001</v>
      </c>
      <c r="DC138">
        <v>827.9266666666667</v>
      </c>
      <c r="DD138">
        <v>18.12953333333333</v>
      </c>
      <c r="DE138">
        <v>12.98126666666666</v>
      </c>
      <c r="DF138">
        <v>817.8249999999999</v>
      </c>
      <c r="DG138">
        <v>18.11233333333334</v>
      </c>
      <c r="DH138">
        <v>499.9966666666667</v>
      </c>
      <c r="DI138">
        <v>89.93746666666668</v>
      </c>
      <c r="DJ138">
        <v>0.09995666666666665</v>
      </c>
      <c r="DK138">
        <v>25.68343333333334</v>
      </c>
      <c r="DL138">
        <v>25.01046666666667</v>
      </c>
      <c r="DM138">
        <v>999.9</v>
      </c>
      <c r="DN138">
        <v>0</v>
      </c>
      <c r="DO138">
        <v>0</v>
      </c>
      <c r="DP138">
        <v>9998.106666666667</v>
      </c>
      <c r="DQ138">
        <v>0</v>
      </c>
      <c r="DR138">
        <v>3.23193</v>
      </c>
      <c r="DS138">
        <v>-11.81156666666667</v>
      </c>
      <c r="DT138">
        <v>831.1840000000001</v>
      </c>
      <c r="DU138">
        <v>838.8153333333333</v>
      </c>
      <c r="DV138">
        <v>5.148306666666667</v>
      </c>
      <c r="DW138">
        <v>827.9266666666667</v>
      </c>
      <c r="DX138">
        <v>12.98126666666666</v>
      </c>
      <c r="DY138">
        <v>1.630526666666666</v>
      </c>
      <c r="DZ138">
        <v>1.167503333333333</v>
      </c>
      <c r="EA138">
        <v>14.25033333333334</v>
      </c>
      <c r="EB138">
        <v>9.19346</v>
      </c>
      <c r="EC138">
        <v>1499.94</v>
      </c>
      <c r="ED138">
        <v>0.973007</v>
      </c>
      <c r="EE138">
        <v>0.0269931</v>
      </c>
      <c r="EF138">
        <v>0</v>
      </c>
      <c r="EG138">
        <v>909.0616666666666</v>
      </c>
      <c r="EH138">
        <v>5.00097</v>
      </c>
      <c r="EI138">
        <v>13500.03333333333</v>
      </c>
      <c r="EJ138">
        <v>12491.13333333333</v>
      </c>
      <c r="EK138">
        <v>37.25</v>
      </c>
      <c r="EL138">
        <v>38.708</v>
      </c>
      <c r="EM138">
        <v>37.625</v>
      </c>
      <c r="EN138">
        <v>38.437</v>
      </c>
      <c r="EO138">
        <v>38.125</v>
      </c>
      <c r="EP138">
        <v>1454.59</v>
      </c>
      <c r="EQ138">
        <v>40.35</v>
      </c>
      <c r="ER138">
        <v>0</v>
      </c>
      <c r="ES138">
        <v>420.6000001430511</v>
      </c>
      <c r="ET138">
        <v>0</v>
      </c>
      <c r="EU138">
        <v>911.7366400000001</v>
      </c>
      <c r="EV138">
        <v>-28.40015381237856</v>
      </c>
      <c r="EW138">
        <v>-422.4230762071494</v>
      </c>
      <c r="EX138">
        <v>13543.156</v>
      </c>
      <c r="EY138">
        <v>15</v>
      </c>
      <c r="EZ138">
        <v>1651864261.1</v>
      </c>
      <c r="FA138" t="s">
        <v>419</v>
      </c>
      <c r="FB138">
        <v>1651864241.6</v>
      </c>
      <c r="FC138">
        <v>1651864261.1</v>
      </c>
      <c r="FD138">
        <v>7</v>
      </c>
      <c r="FE138">
        <v>0.438</v>
      </c>
      <c r="FF138">
        <v>0.002</v>
      </c>
      <c r="FG138">
        <v>-0.988</v>
      </c>
      <c r="FH138">
        <v>-0.066</v>
      </c>
      <c r="FI138">
        <v>400</v>
      </c>
      <c r="FJ138">
        <v>11</v>
      </c>
      <c r="FK138">
        <v>0.05</v>
      </c>
      <c r="FL138">
        <v>0.02</v>
      </c>
      <c r="FM138">
        <v>-12.68520487804878</v>
      </c>
      <c r="FN138">
        <v>5.084558885017425</v>
      </c>
      <c r="FO138">
        <v>0.5073576387862326</v>
      </c>
      <c r="FP138">
        <v>-1</v>
      </c>
      <c r="FQ138">
        <v>5.307852195121951</v>
      </c>
      <c r="FR138">
        <v>-0.8885119860627286</v>
      </c>
      <c r="FS138">
        <v>0.08839746720000836</v>
      </c>
      <c r="FT138">
        <v>-1</v>
      </c>
      <c r="FU138">
        <v>0</v>
      </c>
      <c r="FV138">
        <v>0</v>
      </c>
      <c r="FW138">
        <v>0</v>
      </c>
      <c r="FX138">
        <v>-1</v>
      </c>
      <c r="FY138">
        <v>0</v>
      </c>
      <c r="FZ138">
        <v>0</v>
      </c>
      <c r="GA138" t="s">
        <v>420</v>
      </c>
      <c r="GB138">
        <v>2.98061</v>
      </c>
      <c r="GC138">
        <v>2.70624</v>
      </c>
      <c r="GD138">
        <v>0.149371</v>
      </c>
      <c r="GE138">
        <v>0.149071</v>
      </c>
      <c r="GF138">
        <v>0.0869238</v>
      </c>
      <c r="GG138">
        <v>0.0673184</v>
      </c>
      <c r="GH138">
        <v>26845.1</v>
      </c>
      <c r="GI138">
        <v>26913.4</v>
      </c>
      <c r="GJ138">
        <v>29345</v>
      </c>
      <c r="GK138">
        <v>29259.3</v>
      </c>
      <c r="GL138">
        <v>35480.5</v>
      </c>
      <c r="GM138">
        <v>36347.4</v>
      </c>
      <c r="GN138">
        <v>41304.6</v>
      </c>
      <c r="GO138">
        <v>41762.4</v>
      </c>
      <c r="GP138">
        <v>1.95615</v>
      </c>
      <c r="GQ138">
        <v>1.84935</v>
      </c>
      <c r="GR138">
        <v>-0.0224337</v>
      </c>
      <c r="GS138">
        <v>0</v>
      </c>
      <c r="GT138">
        <v>25.3801</v>
      </c>
      <c r="GU138">
        <v>999.9</v>
      </c>
      <c r="GV138">
        <v>31.7</v>
      </c>
      <c r="GW138">
        <v>34.3</v>
      </c>
      <c r="GX138">
        <v>19.1492</v>
      </c>
      <c r="GY138">
        <v>62.4475</v>
      </c>
      <c r="GZ138">
        <v>34.7035</v>
      </c>
      <c r="HA138">
        <v>1</v>
      </c>
      <c r="HB138">
        <v>0.106235</v>
      </c>
      <c r="HC138">
        <v>2.42441</v>
      </c>
      <c r="HD138">
        <v>20.3166</v>
      </c>
      <c r="HE138">
        <v>5.21849</v>
      </c>
      <c r="HF138">
        <v>12.0099</v>
      </c>
      <c r="HG138">
        <v>4.9892</v>
      </c>
      <c r="HH138">
        <v>3.28865</v>
      </c>
      <c r="HI138">
        <v>996.6</v>
      </c>
      <c r="HJ138">
        <v>9541.1</v>
      </c>
      <c r="HK138">
        <v>5139.4</v>
      </c>
      <c r="HL138">
        <v>24.9</v>
      </c>
      <c r="HM138">
        <v>1.8675</v>
      </c>
      <c r="HN138">
        <v>1.86646</v>
      </c>
      <c r="HO138">
        <v>1.866</v>
      </c>
      <c r="HP138">
        <v>1.86586</v>
      </c>
      <c r="HQ138">
        <v>1.86768</v>
      </c>
      <c r="HR138">
        <v>1.8702</v>
      </c>
      <c r="HS138">
        <v>1.8689</v>
      </c>
      <c r="HT138">
        <v>1.87026</v>
      </c>
      <c r="HU138">
        <v>0</v>
      </c>
      <c r="HV138">
        <v>0</v>
      </c>
      <c r="HW138">
        <v>0</v>
      </c>
      <c r="HX138">
        <v>0</v>
      </c>
      <c r="HY138" t="s">
        <v>421</v>
      </c>
      <c r="HZ138" t="s">
        <v>422</v>
      </c>
      <c r="IA138" t="s">
        <v>423</v>
      </c>
      <c r="IB138" t="s">
        <v>423</v>
      </c>
      <c r="IC138" t="s">
        <v>423</v>
      </c>
      <c r="ID138" t="s">
        <v>423</v>
      </c>
      <c r="IE138">
        <v>0</v>
      </c>
      <c r="IF138">
        <v>100</v>
      </c>
      <c r="IG138">
        <v>100</v>
      </c>
      <c r="IH138">
        <v>-1.705</v>
      </c>
      <c r="II138">
        <v>0.0173</v>
      </c>
      <c r="IJ138">
        <v>-0.2164499368582429</v>
      </c>
      <c r="IK138">
        <v>-0.002077099775823331</v>
      </c>
      <c r="IL138">
        <v>4.593143279902166E-07</v>
      </c>
      <c r="IM138">
        <v>-1.865383991892071E-10</v>
      </c>
      <c r="IN138">
        <v>-0.06087574426827484</v>
      </c>
      <c r="IO138">
        <v>-0.01129461987421345</v>
      </c>
      <c r="IP138">
        <v>0.00116580895745559</v>
      </c>
      <c r="IQ138">
        <v>-1.679085872906199E-05</v>
      </c>
      <c r="IR138">
        <v>2</v>
      </c>
      <c r="IS138">
        <v>2290</v>
      </c>
      <c r="IT138">
        <v>0</v>
      </c>
      <c r="IU138">
        <v>32</v>
      </c>
      <c r="IV138">
        <v>6.7</v>
      </c>
      <c r="IW138">
        <v>6.3</v>
      </c>
      <c r="IX138">
        <v>1.76025</v>
      </c>
      <c r="IY138">
        <v>2.20947</v>
      </c>
      <c r="IZ138">
        <v>1.39648</v>
      </c>
      <c r="JA138">
        <v>2.35596</v>
      </c>
      <c r="JB138">
        <v>1.49536</v>
      </c>
      <c r="JC138">
        <v>2.34619</v>
      </c>
      <c r="JD138">
        <v>38.4769</v>
      </c>
      <c r="JE138">
        <v>24.035</v>
      </c>
      <c r="JF138">
        <v>18</v>
      </c>
      <c r="JG138">
        <v>511.451</v>
      </c>
      <c r="JH138">
        <v>428.386</v>
      </c>
      <c r="JI138">
        <v>22.2149</v>
      </c>
      <c r="JJ138">
        <v>28.6633</v>
      </c>
      <c r="JK138">
        <v>30.0001</v>
      </c>
      <c r="JL138">
        <v>28.6276</v>
      </c>
      <c r="JM138">
        <v>28.5678</v>
      </c>
      <c r="JN138">
        <v>35.1289</v>
      </c>
      <c r="JO138">
        <v>31.6378</v>
      </c>
      <c r="JP138">
        <v>0</v>
      </c>
      <c r="JQ138">
        <v>22.2129</v>
      </c>
      <c r="JR138">
        <v>801.744</v>
      </c>
      <c r="JS138">
        <v>13.1266</v>
      </c>
      <c r="JT138">
        <v>100.307</v>
      </c>
      <c r="JU138">
        <v>100.233</v>
      </c>
    </row>
    <row r="139" spans="1:281">
      <c r="A139">
        <v>123</v>
      </c>
      <c r="B139">
        <v>1651864643.6</v>
      </c>
      <c r="C139">
        <v>423</v>
      </c>
      <c r="D139" t="s">
        <v>666</v>
      </c>
      <c r="E139" t="s">
        <v>667</v>
      </c>
      <c r="F139">
        <v>2</v>
      </c>
      <c r="G139" t="s">
        <v>413</v>
      </c>
      <c r="H139" t="s">
        <v>414</v>
      </c>
      <c r="I139">
        <v>1651864642.225</v>
      </c>
      <c r="J139">
        <f>(K139)/1000</f>
        <v>0</v>
      </c>
      <c r="K139">
        <f>IF(CZ139, AN139, AH139)</f>
        <v>0</v>
      </c>
      <c r="L139">
        <f>IF(CZ139, AI139, AG139)</f>
        <v>0</v>
      </c>
      <c r="M139">
        <f>DB139 - IF(AU139&gt;1, L139*CV139*100.0/(AW139*DP139), 0)</f>
        <v>0</v>
      </c>
      <c r="N139">
        <f>((T139-J139/2)*M139-L139)/(T139+J139/2)</f>
        <v>0</v>
      </c>
      <c r="O139">
        <f>N139*(DI139+DJ139)/1000.0</f>
        <v>0</v>
      </c>
      <c r="P139">
        <f>(DB139 - IF(AU139&gt;1, L139*CV139*100.0/(AW139*DP139), 0))*(DI139+DJ139)/1000.0</f>
        <v>0</v>
      </c>
      <c r="Q139">
        <f>2.0/((1/S139-1/R139)+SIGN(S139)*SQRT((1/S139-1/R139)*(1/S139-1/R139) + 4*CW139/((CW139+1)*(CW139+1))*(2*1/S139*1/R139-1/R139*1/R139)))</f>
        <v>0</v>
      </c>
      <c r="R139">
        <f>IF(LEFT(CX139,1)&lt;&gt;"0",IF(LEFT(CX139,1)="1",3.0,CY139),$D$5+$E$5*(DP139*DI139/($K$5*1000))+$F$5*(DP139*DI139/($K$5*1000))*MAX(MIN(CV139,$J$5),$I$5)*MAX(MIN(CV139,$J$5),$I$5)+$G$5*MAX(MIN(CV139,$J$5),$I$5)*(DP139*DI139/($K$5*1000))+$H$5*(DP139*DI139/($K$5*1000))*(DP139*DI139/($K$5*1000)))</f>
        <v>0</v>
      </c>
      <c r="S139">
        <f>J139*(1000-(1000*0.61365*exp(17.502*W139/(240.97+W139))/(DI139+DJ139)+DD139)/2)/(1000*0.61365*exp(17.502*W139/(240.97+W139))/(DI139+DJ139)-DD139)</f>
        <v>0</v>
      </c>
      <c r="T139">
        <f>1/((CW139+1)/(Q139/1.6)+1/(R139/1.37)) + CW139/((CW139+1)/(Q139/1.6) + CW139/(R139/1.37))</f>
        <v>0</v>
      </c>
      <c r="U139">
        <f>(CR139*CU139)</f>
        <v>0</v>
      </c>
      <c r="V139">
        <f>(DK139+(U139+2*0.95*5.67E-8*(((DK139+$B$7)+273)^4-(DK139+273)^4)-44100*J139)/(1.84*29.3*R139+8*0.95*5.67E-8*(DK139+273)^3))</f>
        <v>0</v>
      </c>
      <c r="W139">
        <f>($C$7*DL139+$D$7*DM139+$E$7*V139)</f>
        <v>0</v>
      </c>
      <c r="X139">
        <f>0.61365*exp(17.502*W139/(240.97+W139))</f>
        <v>0</v>
      </c>
      <c r="Y139">
        <f>(Z139/AA139*100)</f>
        <v>0</v>
      </c>
      <c r="Z139">
        <f>DD139*(DI139+DJ139)/1000</f>
        <v>0</v>
      </c>
      <c r="AA139">
        <f>0.61365*exp(17.502*DK139/(240.97+DK139))</f>
        <v>0</v>
      </c>
      <c r="AB139">
        <f>(X139-DD139*(DI139+DJ139)/1000)</f>
        <v>0</v>
      </c>
      <c r="AC139">
        <f>(-J139*44100)</f>
        <v>0</v>
      </c>
      <c r="AD139">
        <f>2*29.3*R139*0.92*(DK139-W139)</f>
        <v>0</v>
      </c>
      <c r="AE139">
        <f>2*0.95*5.67E-8*(((DK139+$B$7)+273)^4-(W139+273)^4)</f>
        <v>0</v>
      </c>
      <c r="AF139">
        <f>U139+AE139+AC139+AD139</f>
        <v>0</v>
      </c>
      <c r="AG139">
        <f>DH139*AU139*(DC139-DB139*(1000-AU139*DE139)/(1000-AU139*DD139))/(100*CV139)</f>
        <v>0</v>
      </c>
      <c r="AH139">
        <f>1000*DH139*AU139*(DD139-DE139)/(100*CV139*(1000-AU139*DD139))</f>
        <v>0</v>
      </c>
      <c r="AI139">
        <f>(AJ139 - AK139 - DI139*1E3/(8.314*(DK139+273.15)) * AM139/DH139 * AL139) * DH139/(100*CV139) * (1000 - DE139)/1000</f>
        <v>0</v>
      </c>
      <c r="AJ139">
        <v>838.0218610009612</v>
      </c>
      <c r="AK139">
        <v>822.9103515151513</v>
      </c>
      <c r="AL139">
        <v>-3.310320185091854</v>
      </c>
      <c r="AM139">
        <v>66.38192812717227</v>
      </c>
      <c r="AN139">
        <f>(AP139 - AO139 + DI139*1E3/(8.314*(DK139+273.15)) * AR139/DH139 * AQ139) * DH139/(100*CV139) * 1000/(1000 - AP139)</f>
        <v>0</v>
      </c>
      <c r="AO139">
        <v>12.95783523746101</v>
      </c>
      <c r="AP139">
        <v>18.13456294117647</v>
      </c>
      <c r="AQ139">
        <v>3.2784957967116E-05</v>
      </c>
      <c r="AR139">
        <v>80.47224507511959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MAX(0,($B$13+$C$13*DP139)/(1+$D$13*DP139)*DI139/(DK139+273)*$E$13)</f>
        <v>0</v>
      </c>
      <c r="AX139" t="s">
        <v>417</v>
      </c>
      <c r="AY139" t="s">
        <v>417</v>
      </c>
      <c r="AZ139">
        <v>0</v>
      </c>
      <c r="BA139">
        <v>0</v>
      </c>
      <c r="BB139">
        <f>1-AZ139/BA139</f>
        <v>0</v>
      </c>
      <c r="BC139">
        <v>0</v>
      </c>
      <c r="BD139" t="s">
        <v>417</v>
      </c>
      <c r="BE139" t="s">
        <v>417</v>
      </c>
      <c r="BF139">
        <v>0</v>
      </c>
      <c r="BG139">
        <v>0</v>
      </c>
      <c r="BH139">
        <f>1-BF139/BG139</f>
        <v>0</v>
      </c>
      <c r="BI139">
        <v>0.5</v>
      </c>
      <c r="BJ139">
        <f>CS139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417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1248</v>
      </c>
      <c r="CA139">
        <v>300</v>
      </c>
      <c r="CB139">
        <v>300</v>
      </c>
      <c r="CC139">
        <v>300</v>
      </c>
      <c r="CD139">
        <v>10442</v>
      </c>
      <c r="CE139">
        <v>1293.69</v>
      </c>
      <c r="CF139">
        <v>-0.00735246</v>
      </c>
      <c r="CG139">
        <v>0.5</v>
      </c>
      <c r="CH139" t="s">
        <v>417</v>
      </c>
      <c r="CI139" t="s">
        <v>417</v>
      </c>
      <c r="CJ139" t="s">
        <v>417</v>
      </c>
      <c r="CK139" t="s">
        <v>417</v>
      </c>
      <c r="CL139" t="s">
        <v>417</v>
      </c>
      <c r="CM139" t="s">
        <v>417</v>
      </c>
      <c r="CN139" t="s">
        <v>417</v>
      </c>
      <c r="CO139" t="s">
        <v>417</v>
      </c>
      <c r="CP139" t="s">
        <v>417</v>
      </c>
      <c r="CQ139" t="s">
        <v>417</v>
      </c>
      <c r="CR139">
        <f>$B$11*DQ139+$C$11*DR139+$F$11*EC139*(1-EF139)</f>
        <v>0</v>
      </c>
      <c r="CS139">
        <f>CR139*CT139</f>
        <v>0</v>
      </c>
      <c r="CT139">
        <f>($B$11*$D$9+$C$11*$D$9+$F$11*((EP139+EH139)/MAX(EP139+EH139+EQ139, 0.1)*$I$9+EQ139/MAX(EP139+EH139+EQ139, 0.1)*$J$9))/($B$11+$C$11+$F$11)</f>
        <v>0</v>
      </c>
      <c r="CU139">
        <f>($B$11*$K$9+$C$11*$K$9+$F$11*((EP139+EH139)/MAX(EP139+EH139+EQ139, 0.1)*$P$9+EQ139/MAX(EP139+EH139+EQ139, 0.1)*$Q$9))/($B$11+$C$11+$F$11)</f>
        <v>0</v>
      </c>
      <c r="CV139">
        <v>6</v>
      </c>
      <c r="CW139">
        <v>0.5</v>
      </c>
      <c r="CX139" t="s">
        <v>418</v>
      </c>
      <c r="CY139">
        <v>2</v>
      </c>
      <c r="CZ139" t="b">
        <v>1</v>
      </c>
      <c r="DA139">
        <v>1651864642.225</v>
      </c>
      <c r="DB139">
        <v>810.8274999999999</v>
      </c>
      <c r="DC139">
        <v>822.52125</v>
      </c>
      <c r="DD139">
        <v>18.132975</v>
      </c>
      <c r="DE139">
        <v>12.996475</v>
      </c>
      <c r="DF139">
        <v>812.5285</v>
      </c>
      <c r="DG139">
        <v>18.1157</v>
      </c>
      <c r="DH139">
        <v>500.0625</v>
      </c>
      <c r="DI139">
        <v>89.93705</v>
      </c>
      <c r="DJ139">
        <v>0.100030175</v>
      </c>
      <c r="DK139">
        <v>25.68545</v>
      </c>
      <c r="DL139">
        <v>25.011825</v>
      </c>
      <c r="DM139">
        <v>999.9</v>
      </c>
      <c r="DN139">
        <v>0</v>
      </c>
      <c r="DO139">
        <v>0</v>
      </c>
      <c r="DP139">
        <v>9999.844999999999</v>
      </c>
      <c r="DQ139">
        <v>0</v>
      </c>
      <c r="DR139">
        <v>3.23193</v>
      </c>
      <c r="DS139">
        <v>-11.693875</v>
      </c>
      <c r="DT139">
        <v>825.80175</v>
      </c>
      <c r="DU139">
        <v>833.35225</v>
      </c>
      <c r="DV139">
        <v>5.136475</v>
      </c>
      <c r="DW139">
        <v>822.52125</v>
      </c>
      <c r="DX139">
        <v>12.996475</v>
      </c>
      <c r="DY139">
        <v>1.6308275</v>
      </c>
      <c r="DZ139">
        <v>1.1688675</v>
      </c>
      <c r="EA139">
        <v>14.2532</v>
      </c>
      <c r="EB139">
        <v>9.210812499999999</v>
      </c>
      <c r="EC139">
        <v>1500.17</v>
      </c>
      <c r="ED139">
        <v>0.9730082499999999</v>
      </c>
      <c r="EE139">
        <v>0.02699175</v>
      </c>
      <c r="EF139">
        <v>0</v>
      </c>
      <c r="EG139">
        <v>907.79575</v>
      </c>
      <c r="EH139">
        <v>5.00097</v>
      </c>
      <c r="EI139">
        <v>13490.025</v>
      </c>
      <c r="EJ139">
        <v>12493.05</v>
      </c>
      <c r="EK139">
        <v>37.25</v>
      </c>
      <c r="EL139">
        <v>38.687</v>
      </c>
      <c r="EM139">
        <v>37.625</v>
      </c>
      <c r="EN139">
        <v>38.437</v>
      </c>
      <c r="EO139">
        <v>38.125</v>
      </c>
      <c r="EP139">
        <v>1454.815</v>
      </c>
      <c r="EQ139">
        <v>40.355</v>
      </c>
      <c r="ER139">
        <v>0</v>
      </c>
      <c r="ES139">
        <v>422.4000000953674</v>
      </c>
      <c r="ET139">
        <v>0</v>
      </c>
      <c r="EU139">
        <v>910.9807307692307</v>
      </c>
      <c r="EV139">
        <v>-29.33022225452992</v>
      </c>
      <c r="EW139">
        <v>-425.6239318879255</v>
      </c>
      <c r="EX139">
        <v>13532.67307692307</v>
      </c>
      <c r="EY139">
        <v>15</v>
      </c>
      <c r="EZ139">
        <v>1651864261.1</v>
      </c>
      <c r="FA139" t="s">
        <v>419</v>
      </c>
      <c r="FB139">
        <v>1651864241.6</v>
      </c>
      <c r="FC139">
        <v>1651864261.1</v>
      </c>
      <c r="FD139">
        <v>7</v>
      </c>
      <c r="FE139">
        <v>0.438</v>
      </c>
      <c r="FF139">
        <v>0.002</v>
      </c>
      <c r="FG139">
        <v>-0.988</v>
      </c>
      <c r="FH139">
        <v>-0.066</v>
      </c>
      <c r="FI139">
        <v>400</v>
      </c>
      <c r="FJ139">
        <v>11</v>
      </c>
      <c r="FK139">
        <v>0.05</v>
      </c>
      <c r="FL139">
        <v>0.02</v>
      </c>
      <c r="FM139">
        <v>-12.4655275</v>
      </c>
      <c r="FN139">
        <v>5.424507692307696</v>
      </c>
      <c r="FO139">
        <v>0.5249114696725059</v>
      </c>
      <c r="FP139">
        <v>-1</v>
      </c>
      <c r="FQ139">
        <v>5.2684515</v>
      </c>
      <c r="FR139">
        <v>-0.9143849155722489</v>
      </c>
      <c r="FS139">
        <v>0.08866660892213031</v>
      </c>
      <c r="FT139">
        <v>-1</v>
      </c>
      <c r="FU139">
        <v>0</v>
      </c>
      <c r="FV139">
        <v>0</v>
      </c>
      <c r="FW139">
        <v>0</v>
      </c>
      <c r="FX139">
        <v>-1</v>
      </c>
      <c r="FY139">
        <v>0</v>
      </c>
      <c r="FZ139">
        <v>0</v>
      </c>
      <c r="GA139" t="s">
        <v>420</v>
      </c>
      <c r="GB139">
        <v>2.98057</v>
      </c>
      <c r="GC139">
        <v>2.70619</v>
      </c>
      <c r="GD139">
        <v>0.148575</v>
      </c>
      <c r="GE139">
        <v>0.148277</v>
      </c>
      <c r="GF139">
        <v>0.086933</v>
      </c>
      <c r="GG139">
        <v>0.0673911</v>
      </c>
      <c r="GH139">
        <v>26870.1</v>
      </c>
      <c r="GI139">
        <v>26938.4</v>
      </c>
      <c r="GJ139">
        <v>29344.8</v>
      </c>
      <c r="GK139">
        <v>29259.2</v>
      </c>
      <c r="GL139">
        <v>35480</v>
      </c>
      <c r="GM139">
        <v>36344.3</v>
      </c>
      <c r="GN139">
        <v>41304.4</v>
      </c>
      <c r="GO139">
        <v>41762.2</v>
      </c>
      <c r="GP139">
        <v>1.95605</v>
      </c>
      <c r="GQ139">
        <v>1.84942</v>
      </c>
      <c r="GR139">
        <v>-0.0224411</v>
      </c>
      <c r="GS139">
        <v>0</v>
      </c>
      <c r="GT139">
        <v>25.379</v>
      </c>
      <c r="GU139">
        <v>999.9</v>
      </c>
      <c r="GV139">
        <v>31.7</v>
      </c>
      <c r="GW139">
        <v>34.3</v>
      </c>
      <c r="GX139">
        <v>19.1483</v>
      </c>
      <c r="GY139">
        <v>62.6375</v>
      </c>
      <c r="GZ139">
        <v>34.6675</v>
      </c>
      <c r="HA139">
        <v>1</v>
      </c>
      <c r="HB139">
        <v>0.106296</v>
      </c>
      <c r="HC139">
        <v>2.42182</v>
      </c>
      <c r="HD139">
        <v>20.3166</v>
      </c>
      <c r="HE139">
        <v>5.21879</v>
      </c>
      <c r="HF139">
        <v>12.0099</v>
      </c>
      <c r="HG139">
        <v>4.9891</v>
      </c>
      <c r="HH139">
        <v>3.28865</v>
      </c>
      <c r="HI139">
        <v>996.6</v>
      </c>
      <c r="HJ139">
        <v>9541.1</v>
      </c>
      <c r="HK139">
        <v>5139.4</v>
      </c>
      <c r="HL139">
        <v>24.9</v>
      </c>
      <c r="HM139">
        <v>1.86751</v>
      </c>
      <c r="HN139">
        <v>1.86646</v>
      </c>
      <c r="HO139">
        <v>1.866</v>
      </c>
      <c r="HP139">
        <v>1.86587</v>
      </c>
      <c r="HQ139">
        <v>1.86768</v>
      </c>
      <c r="HR139">
        <v>1.8702</v>
      </c>
      <c r="HS139">
        <v>1.8689</v>
      </c>
      <c r="HT139">
        <v>1.87027</v>
      </c>
      <c r="HU139">
        <v>0</v>
      </c>
      <c r="HV139">
        <v>0</v>
      </c>
      <c r="HW139">
        <v>0</v>
      </c>
      <c r="HX139">
        <v>0</v>
      </c>
      <c r="HY139" t="s">
        <v>421</v>
      </c>
      <c r="HZ139" t="s">
        <v>422</v>
      </c>
      <c r="IA139" t="s">
        <v>423</v>
      </c>
      <c r="IB139" t="s">
        <v>423</v>
      </c>
      <c r="IC139" t="s">
        <v>423</v>
      </c>
      <c r="ID139" t="s">
        <v>423</v>
      </c>
      <c r="IE139">
        <v>0</v>
      </c>
      <c r="IF139">
        <v>100</v>
      </c>
      <c r="IG139">
        <v>100</v>
      </c>
      <c r="IH139">
        <v>-1.693</v>
      </c>
      <c r="II139">
        <v>0.0173</v>
      </c>
      <c r="IJ139">
        <v>-0.2164499368582429</v>
      </c>
      <c r="IK139">
        <v>-0.002077099775823331</v>
      </c>
      <c r="IL139">
        <v>4.593143279902166E-07</v>
      </c>
      <c r="IM139">
        <v>-1.865383991892071E-10</v>
      </c>
      <c r="IN139">
        <v>-0.06087574426827484</v>
      </c>
      <c r="IO139">
        <v>-0.01129461987421345</v>
      </c>
      <c r="IP139">
        <v>0.00116580895745559</v>
      </c>
      <c r="IQ139">
        <v>-1.679085872906199E-05</v>
      </c>
      <c r="IR139">
        <v>2</v>
      </c>
      <c r="IS139">
        <v>2290</v>
      </c>
      <c r="IT139">
        <v>0</v>
      </c>
      <c r="IU139">
        <v>32</v>
      </c>
      <c r="IV139">
        <v>6.7</v>
      </c>
      <c r="IW139">
        <v>6.4</v>
      </c>
      <c r="IX139">
        <v>1.74805</v>
      </c>
      <c r="IY139">
        <v>2.20581</v>
      </c>
      <c r="IZ139">
        <v>1.39648</v>
      </c>
      <c r="JA139">
        <v>2.35596</v>
      </c>
      <c r="JB139">
        <v>1.49536</v>
      </c>
      <c r="JC139">
        <v>2.30713</v>
      </c>
      <c r="JD139">
        <v>38.4769</v>
      </c>
      <c r="JE139">
        <v>24.035</v>
      </c>
      <c r="JF139">
        <v>18</v>
      </c>
      <c r="JG139">
        <v>511.387</v>
      </c>
      <c r="JH139">
        <v>428.431</v>
      </c>
      <c r="JI139">
        <v>22.212</v>
      </c>
      <c r="JJ139">
        <v>28.6636</v>
      </c>
      <c r="JK139">
        <v>30.0001</v>
      </c>
      <c r="JL139">
        <v>28.6279</v>
      </c>
      <c r="JM139">
        <v>28.5678</v>
      </c>
      <c r="JN139">
        <v>34.8948</v>
      </c>
      <c r="JO139">
        <v>31.3639</v>
      </c>
      <c r="JP139">
        <v>0</v>
      </c>
      <c r="JQ139">
        <v>22.2129</v>
      </c>
      <c r="JR139">
        <v>795.048</v>
      </c>
      <c r="JS139">
        <v>13.1573</v>
      </c>
      <c r="JT139">
        <v>100.307</v>
      </c>
      <c r="JU139">
        <v>100.232</v>
      </c>
    </row>
    <row r="140" spans="1:281">
      <c r="A140">
        <v>124</v>
      </c>
      <c r="B140">
        <v>1651864645.6</v>
      </c>
      <c r="C140">
        <v>425</v>
      </c>
      <c r="D140" t="s">
        <v>668</v>
      </c>
      <c r="E140" t="s">
        <v>669</v>
      </c>
      <c r="F140">
        <v>2</v>
      </c>
      <c r="G140" t="s">
        <v>413</v>
      </c>
      <c r="H140" t="s">
        <v>414</v>
      </c>
      <c r="I140">
        <v>1651864644.6</v>
      </c>
      <c r="J140">
        <f>(K140)/1000</f>
        <v>0</v>
      </c>
      <c r="K140">
        <f>IF(CZ140, AN140, AH140)</f>
        <v>0</v>
      </c>
      <c r="L140">
        <f>IF(CZ140, AI140, AG140)</f>
        <v>0</v>
      </c>
      <c r="M140">
        <f>DB140 - IF(AU140&gt;1, L140*CV140*100.0/(AW140*DP140), 0)</f>
        <v>0</v>
      </c>
      <c r="N140">
        <f>((T140-J140/2)*M140-L140)/(T140+J140/2)</f>
        <v>0</v>
      </c>
      <c r="O140">
        <f>N140*(DI140+DJ140)/1000.0</f>
        <v>0</v>
      </c>
      <c r="P140">
        <f>(DB140 - IF(AU140&gt;1, L140*CV140*100.0/(AW140*DP140), 0))*(DI140+DJ140)/1000.0</f>
        <v>0</v>
      </c>
      <c r="Q140">
        <f>2.0/((1/S140-1/R140)+SIGN(S140)*SQRT((1/S140-1/R140)*(1/S140-1/R140) + 4*CW140/((CW140+1)*(CW140+1))*(2*1/S140*1/R140-1/R140*1/R140)))</f>
        <v>0</v>
      </c>
      <c r="R140">
        <f>IF(LEFT(CX140,1)&lt;&gt;"0",IF(LEFT(CX140,1)="1",3.0,CY140),$D$5+$E$5*(DP140*DI140/($K$5*1000))+$F$5*(DP140*DI140/($K$5*1000))*MAX(MIN(CV140,$J$5),$I$5)*MAX(MIN(CV140,$J$5),$I$5)+$G$5*MAX(MIN(CV140,$J$5),$I$5)*(DP140*DI140/($K$5*1000))+$H$5*(DP140*DI140/($K$5*1000))*(DP140*DI140/($K$5*1000)))</f>
        <v>0</v>
      </c>
      <c r="S140">
        <f>J140*(1000-(1000*0.61365*exp(17.502*W140/(240.97+W140))/(DI140+DJ140)+DD140)/2)/(1000*0.61365*exp(17.502*W140/(240.97+W140))/(DI140+DJ140)-DD140)</f>
        <v>0</v>
      </c>
      <c r="T140">
        <f>1/((CW140+1)/(Q140/1.6)+1/(R140/1.37)) + CW140/((CW140+1)/(Q140/1.6) + CW140/(R140/1.37))</f>
        <v>0</v>
      </c>
      <c r="U140">
        <f>(CR140*CU140)</f>
        <v>0</v>
      </c>
      <c r="V140">
        <f>(DK140+(U140+2*0.95*5.67E-8*(((DK140+$B$7)+273)^4-(DK140+273)^4)-44100*J140)/(1.84*29.3*R140+8*0.95*5.67E-8*(DK140+273)^3))</f>
        <v>0</v>
      </c>
      <c r="W140">
        <f>($C$7*DL140+$D$7*DM140+$E$7*V140)</f>
        <v>0</v>
      </c>
      <c r="X140">
        <f>0.61365*exp(17.502*W140/(240.97+W140))</f>
        <v>0</v>
      </c>
      <c r="Y140">
        <f>(Z140/AA140*100)</f>
        <v>0</v>
      </c>
      <c r="Z140">
        <f>DD140*(DI140+DJ140)/1000</f>
        <v>0</v>
      </c>
      <c r="AA140">
        <f>0.61365*exp(17.502*DK140/(240.97+DK140))</f>
        <v>0</v>
      </c>
      <c r="AB140">
        <f>(X140-DD140*(DI140+DJ140)/1000)</f>
        <v>0</v>
      </c>
      <c r="AC140">
        <f>(-J140*44100)</f>
        <v>0</v>
      </c>
      <c r="AD140">
        <f>2*29.3*R140*0.92*(DK140-W140)</f>
        <v>0</v>
      </c>
      <c r="AE140">
        <f>2*0.95*5.67E-8*(((DK140+$B$7)+273)^4-(W140+273)^4)</f>
        <v>0</v>
      </c>
      <c r="AF140">
        <f>U140+AE140+AC140+AD140</f>
        <v>0</v>
      </c>
      <c r="AG140">
        <f>DH140*AU140*(DC140-DB140*(1000-AU140*DE140)/(1000-AU140*DD140))/(100*CV140)</f>
        <v>0</v>
      </c>
      <c r="AH140">
        <f>1000*DH140*AU140*(DD140-DE140)/(100*CV140*(1000-AU140*DD140))</f>
        <v>0</v>
      </c>
      <c r="AI140">
        <f>(AJ140 - AK140 - DI140*1E3/(8.314*(DK140+273.15)) * AM140/DH140 * AL140) * DH140/(100*CV140) * (1000 - DE140)/1000</f>
        <v>0</v>
      </c>
      <c r="AJ140">
        <v>831.3222114742907</v>
      </c>
      <c r="AK140">
        <v>816.2834787878792</v>
      </c>
      <c r="AL140">
        <v>-3.310570414140906</v>
      </c>
      <c r="AM140">
        <v>66.38192812717227</v>
      </c>
      <c r="AN140">
        <f>(AP140 - AO140 + DI140*1E3/(8.314*(DK140+273.15)) * AR140/DH140 * AQ140) * DH140/(100*CV140) * 1000/(1000 - AP140)</f>
        <v>0</v>
      </c>
      <c r="AO140">
        <v>12.98541406035523</v>
      </c>
      <c r="AP140">
        <v>18.13644176470588</v>
      </c>
      <c r="AQ140">
        <v>3.137390323114189E-05</v>
      </c>
      <c r="AR140">
        <v>80.47224507511959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MAX(0,($B$13+$C$13*DP140)/(1+$D$13*DP140)*DI140/(DK140+273)*$E$13)</f>
        <v>0</v>
      </c>
      <c r="AX140" t="s">
        <v>417</v>
      </c>
      <c r="AY140" t="s">
        <v>417</v>
      </c>
      <c r="AZ140">
        <v>0</v>
      </c>
      <c r="BA140">
        <v>0</v>
      </c>
      <c r="BB140">
        <f>1-AZ140/BA140</f>
        <v>0</v>
      </c>
      <c r="BC140">
        <v>0</v>
      </c>
      <c r="BD140" t="s">
        <v>417</v>
      </c>
      <c r="BE140" t="s">
        <v>417</v>
      </c>
      <c r="BF140">
        <v>0</v>
      </c>
      <c r="BG140">
        <v>0</v>
      </c>
      <c r="BH140">
        <f>1-BF140/BG140</f>
        <v>0</v>
      </c>
      <c r="BI140">
        <v>0.5</v>
      </c>
      <c r="BJ140">
        <f>CS140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417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1248</v>
      </c>
      <c r="CA140">
        <v>300</v>
      </c>
      <c r="CB140">
        <v>300</v>
      </c>
      <c r="CC140">
        <v>300</v>
      </c>
      <c r="CD140">
        <v>10442</v>
      </c>
      <c r="CE140">
        <v>1293.69</v>
      </c>
      <c r="CF140">
        <v>-0.00735246</v>
      </c>
      <c r="CG140">
        <v>0.5</v>
      </c>
      <c r="CH140" t="s">
        <v>417</v>
      </c>
      <c r="CI140" t="s">
        <v>417</v>
      </c>
      <c r="CJ140" t="s">
        <v>417</v>
      </c>
      <c r="CK140" t="s">
        <v>417</v>
      </c>
      <c r="CL140" t="s">
        <v>417</v>
      </c>
      <c r="CM140" t="s">
        <v>417</v>
      </c>
      <c r="CN140" t="s">
        <v>417</v>
      </c>
      <c r="CO140" t="s">
        <v>417</v>
      </c>
      <c r="CP140" t="s">
        <v>417</v>
      </c>
      <c r="CQ140" t="s">
        <v>417</v>
      </c>
      <c r="CR140">
        <f>$B$11*DQ140+$C$11*DR140+$F$11*EC140*(1-EF140)</f>
        <v>0</v>
      </c>
      <c r="CS140">
        <f>CR140*CT140</f>
        <v>0</v>
      </c>
      <c r="CT140">
        <f>($B$11*$D$9+$C$11*$D$9+$F$11*((EP140+EH140)/MAX(EP140+EH140+EQ140, 0.1)*$I$9+EQ140/MAX(EP140+EH140+EQ140, 0.1)*$J$9))/($B$11+$C$11+$F$11)</f>
        <v>0</v>
      </c>
      <c r="CU140">
        <f>($B$11*$K$9+$C$11*$K$9+$F$11*((EP140+EH140)/MAX(EP140+EH140+EQ140, 0.1)*$P$9+EQ140/MAX(EP140+EH140+EQ140, 0.1)*$Q$9))/($B$11+$C$11+$F$11)</f>
        <v>0</v>
      </c>
      <c r="CV140">
        <v>6</v>
      </c>
      <c r="CW140">
        <v>0.5</v>
      </c>
      <c r="CX140" t="s">
        <v>418</v>
      </c>
      <c r="CY140">
        <v>2</v>
      </c>
      <c r="CZ140" t="b">
        <v>1</v>
      </c>
      <c r="DA140">
        <v>1651864644.6</v>
      </c>
      <c r="DB140">
        <v>803.1076666666667</v>
      </c>
      <c r="DC140">
        <v>814.5846666666666</v>
      </c>
      <c r="DD140">
        <v>18.13583333333333</v>
      </c>
      <c r="DE140">
        <v>13.02033333333333</v>
      </c>
      <c r="DF140">
        <v>804.7956666666665</v>
      </c>
      <c r="DG140">
        <v>18.11853333333333</v>
      </c>
      <c r="DH140">
        <v>500.0583333333333</v>
      </c>
      <c r="DI140">
        <v>89.93693333333334</v>
      </c>
      <c r="DJ140">
        <v>0.1000705333333333</v>
      </c>
      <c r="DK140">
        <v>25.6844</v>
      </c>
      <c r="DL140">
        <v>25.0133</v>
      </c>
      <c r="DM140">
        <v>999.9</v>
      </c>
      <c r="DN140">
        <v>0</v>
      </c>
      <c r="DO140">
        <v>0</v>
      </c>
      <c r="DP140">
        <v>9996.233333333334</v>
      </c>
      <c r="DQ140">
        <v>0</v>
      </c>
      <c r="DR140">
        <v>3.23193</v>
      </c>
      <c r="DS140">
        <v>-11.477</v>
      </c>
      <c r="DT140">
        <v>817.9416666666667</v>
      </c>
      <c r="DU140">
        <v>825.331</v>
      </c>
      <c r="DV140">
        <v>5.115500000000001</v>
      </c>
      <c r="DW140">
        <v>814.5846666666666</v>
      </c>
      <c r="DX140">
        <v>13.02033333333333</v>
      </c>
      <c r="DY140">
        <v>1.63108</v>
      </c>
      <c r="DZ140">
        <v>1.17101</v>
      </c>
      <c r="EA140">
        <v>14.2556</v>
      </c>
      <c r="EB140">
        <v>9.237993333333334</v>
      </c>
      <c r="EC140">
        <v>1499.946666666667</v>
      </c>
      <c r="ED140">
        <v>0.973007</v>
      </c>
      <c r="EE140">
        <v>0.0269931</v>
      </c>
      <c r="EF140">
        <v>0</v>
      </c>
      <c r="EG140">
        <v>906.5793333333335</v>
      </c>
      <c r="EH140">
        <v>5.00097</v>
      </c>
      <c r="EI140">
        <v>13467.43333333333</v>
      </c>
      <c r="EJ140">
        <v>12491.16666666667</v>
      </c>
      <c r="EK140">
        <v>37.25</v>
      </c>
      <c r="EL140">
        <v>38.729</v>
      </c>
      <c r="EM140">
        <v>37.625</v>
      </c>
      <c r="EN140">
        <v>38.437</v>
      </c>
      <c r="EO140">
        <v>38.125</v>
      </c>
      <c r="EP140">
        <v>1454.596666666667</v>
      </c>
      <c r="EQ140">
        <v>40.35</v>
      </c>
      <c r="ER140">
        <v>0</v>
      </c>
      <c r="ES140">
        <v>424.7999999523163</v>
      </c>
      <c r="ET140">
        <v>0</v>
      </c>
      <c r="EU140">
        <v>909.7973461538461</v>
      </c>
      <c r="EV140">
        <v>-30.08981197396553</v>
      </c>
      <c r="EW140">
        <v>-441.1384614754236</v>
      </c>
      <c r="EX140">
        <v>13515.20384615384</v>
      </c>
      <c r="EY140">
        <v>15</v>
      </c>
      <c r="EZ140">
        <v>1651864261.1</v>
      </c>
      <c r="FA140" t="s">
        <v>419</v>
      </c>
      <c r="FB140">
        <v>1651864241.6</v>
      </c>
      <c r="FC140">
        <v>1651864261.1</v>
      </c>
      <c r="FD140">
        <v>7</v>
      </c>
      <c r="FE140">
        <v>0.438</v>
      </c>
      <c r="FF140">
        <v>0.002</v>
      </c>
      <c r="FG140">
        <v>-0.988</v>
      </c>
      <c r="FH140">
        <v>-0.066</v>
      </c>
      <c r="FI140">
        <v>400</v>
      </c>
      <c r="FJ140">
        <v>11</v>
      </c>
      <c r="FK140">
        <v>0.05</v>
      </c>
      <c r="FL140">
        <v>0.02</v>
      </c>
      <c r="FM140">
        <v>-12.36113902439024</v>
      </c>
      <c r="FN140">
        <v>5.487861324041784</v>
      </c>
      <c r="FO140">
        <v>0.5433686427203278</v>
      </c>
      <c r="FP140">
        <v>-1</v>
      </c>
      <c r="FQ140">
        <v>5.251607317073171</v>
      </c>
      <c r="FR140">
        <v>-0.9120211149825748</v>
      </c>
      <c r="FS140">
        <v>0.09058553284655657</v>
      </c>
      <c r="FT140">
        <v>-1</v>
      </c>
      <c r="FU140">
        <v>0</v>
      </c>
      <c r="FV140">
        <v>0</v>
      </c>
      <c r="FW140">
        <v>0</v>
      </c>
      <c r="FX140">
        <v>-1</v>
      </c>
      <c r="FY140">
        <v>0</v>
      </c>
      <c r="FZ140">
        <v>0</v>
      </c>
      <c r="GA140" t="s">
        <v>420</v>
      </c>
      <c r="GB140">
        <v>2.98062</v>
      </c>
      <c r="GC140">
        <v>2.70604</v>
      </c>
      <c r="GD140">
        <v>0.147779</v>
      </c>
      <c r="GE140">
        <v>0.147474</v>
      </c>
      <c r="GF140">
        <v>0.0869328</v>
      </c>
      <c r="GG140">
        <v>0.0674971</v>
      </c>
      <c r="GH140">
        <v>26895.1</v>
      </c>
      <c r="GI140">
        <v>26963.8</v>
      </c>
      <c r="GJ140">
        <v>29344.8</v>
      </c>
      <c r="GK140">
        <v>29259.2</v>
      </c>
      <c r="GL140">
        <v>35480</v>
      </c>
      <c r="GM140">
        <v>36340.2</v>
      </c>
      <c r="GN140">
        <v>41304.4</v>
      </c>
      <c r="GO140">
        <v>41762.3</v>
      </c>
      <c r="GP140">
        <v>1.95632</v>
      </c>
      <c r="GQ140">
        <v>1.84955</v>
      </c>
      <c r="GR140">
        <v>-0.0222996</v>
      </c>
      <c r="GS140">
        <v>0</v>
      </c>
      <c r="GT140">
        <v>25.3779</v>
      </c>
      <c r="GU140">
        <v>999.9</v>
      </c>
      <c r="GV140">
        <v>31.7</v>
      </c>
      <c r="GW140">
        <v>34.3</v>
      </c>
      <c r="GX140">
        <v>19.1497</v>
      </c>
      <c r="GY140">
        <v>62.5275</v>
      </c>
      <c r="GZ140">
        <v>35.1122</v>
      </c>
      <c r="HA140">
        <v>1</v>
      </c>
      <c r="HB140">
        <v>0.106301</v>
      </c>
      <c r="HC140">
        <v>2.42662</v>
      </c>
      <c r="HD140">
        <v>20.3168</v>
      </c>
      <c r="HE140">
        <v>5.21834</v>
      </c>
      <c r="HF140">
        <v>12.0099</v>
      </c>
      <c r="HG140">
        <v>4.98905</v>
      </c>
      <c r="HH140">
        <v>3.28858</v>
      </c>
      <c r="HI140">
        <v>996.6</v>
      </c>
      <c r="HJ140">
        <v>9541.1</v>
      </c>
      <c r="HK140">
        <v>5139.4</v>
      </c>
      <c r="HL140">
        <v>24.9</v>
      </c>
      <c r="HM140">
        <v>1.86751</v>
      </c>
      <c r="HN140">
        <v>1.86646</v>
      </c>
      <c r="HO140">
        <v>1.866</v>
      </c>
      <c r="HP140">
        <v>1.86586</v>
      </c>
      <c r="HQ140">
        <v>1.86768</v>
      </c>
      <c r="HR140">
        <v>1.8702</v>
      </c>
      <c r="HS140">
        <v>1.8689</v>
      </c>
      <c r="HT140">
        <v>1.87027</v>
      </c>
      <c r="HU140">
        <v>0</v>
      </c>
      <c r="HV140">
        <v>0</v>
      </c>
      <c r="HW140">
        <v>0</v>
      </c>
      <c r="HX140">
        <v>0</v>
      </c>
      <c r="HY140" t="s">
        <v>421</v>
      </c>
      <c r="HZ140" t="s">
        <v>422</v>
      </c>
      <c r="IA140" t="s">
        <v>423</v>
      </c>
      <c r="IB140" t="s">
        <v>423</v>
      </c>
      <c r="IC140" t="s">
        <v>423</v>
      </c>
      <c r="ID140" t="s">
        <v>423</v>
      </c>
      <c r="IE140">
        <v>0</v>
      </c>
      <c r="IF140">
        <v>100</v>
      </c>
      <c r="IG140">
        <v>100</v>
      </c>
      <c r="IH140">
        <v>-1.682</v>
      </c>
      <c r="II140">
        <v>0.0173</v>
      </c>
      <c r="IJ140">
        <v>-0.2164499368582429</v>
      </c>
      <c r="IK140">
        <v>-0.002077099775823331</v>
      </c>
      <c r="IL140">
        <v>4.593143279902166E-07</v>
      </c>
      <c r="IM140">
        <v>-1.865383991892071E-10</v>
      </c>
      <c r="IN140">
        <v>-0.06087574426827484</v>
      </c>
      <c r="IO140">
        <v>-0.01129461987421345</v>
      </c>
      <c r="IP140">
        <v>0.00116580895745559</v>
      </c>
      <c r="IQ140">
        <v>-1.679085872906199E-05</v>
      </c>
      <c r="IR140">
        <v>2</v>
      </c>
      <c r="IS140">
        <v>2290</v>
      </c>
      <c r="IT140">
        <v>0</v>
      </c>
      <c r="IU140">
        <v>32</v>
      </c>
      <c r="IV140">
        <v>6.7</v>
      </c>
      <c r="IW140">
        <v>6.4</v>
      </c>
      <c r="IX140">
        <v>1.73706</v>
      </c>
      <c r="IY140">
        <v>2.20703</v>
      </c>
      <c r="IZ140">
        <v>1.39648</v>
      </c>
      <c r="JA140">
        <v>2.35718</v>
      </c>
      <c r="JB140">
        <v>1.49536</v>
      </c>
      <c r="JC140">
        <v>2.34985</v>
      </c>
      <c r="JD140">
        <v>38.4769</v>
      </c>
      <c r="JE140">
        <v>24.035</v>
      </c>
      <c r="JF140">
        <v>18</v>
      </c>
      <c r="JG140">
        <v>511.577</v>
      </c>
      <c r="JH140">
        <v>428.506</v>
      </c>
      <c r="JI140">
        <v>22.2089</v>
      </c>
      <c r="JJ140">
        <v>28.6648</v>
      </c>
      <c r="JK140">
        <v>30.0001</v>
      </c>
      <c r="JL140">
        <v>28.6291</v>
      </c>
      <c r="JM140">
        <v>28.5678</v>
      </c>
      <c r="JN140">
        <v>34.6599</v>
      </c>
      <c r="JO140">
        <v>31.3639</v>
      </c>
      <c r="JP140">
        <v>0</v>
      </c>
      <c r="JQ140">
        <v>22.2017</v>
      </c>
      <c r="JR140">
        <v>788.351</v>
      </c>
      <c r="JS140">
        <v>13.1911</v>
      </c>
      <c r="JT140">
        <v>100.307</v>
      </c>
      <c r="JU140">
        <v>100.232</v>
      </c>
    </row>
    <row r="141" spans="1:281">
      <c r="A141">
        <v>125</v>
      </c>
      <c r="B141">
        <v>1651864647.6</v>
      </c>
      <c r="C141">
        <v>427</v>
      </c>
      <c r="D141" t="s">
        <v>670</v>
      </c>
      <c r="E141" t="s">
        <v>671</v>
      </c>
      <c r="F141">
        <v>2</v>
      </c>
      <c r="G141" t="s">
        <v>413</v>
      </c>
      <c r="H141" t="s">
        <v>414</v>
      </c>
      <c r="I141">
        <v>1651864646.225</v>
      </c>
      <c r="J141">
        <f>(K141)/1000</f>
        <v>0</v>
      </c>
      <c r="K141">
        <f>IF(CZ141, AN141, AH141)</f>
        <v>0</v>
      </c>
      <c r="L141">
        <f>IF(CZ141, AI141, AG141)</f>
        <v>0</v>
      </c>
      <c r="M141">
        <f>DB141 - IF(AU141&gt;1, L141*CV141*100.0/(AW141*DP141), 0)</f>
        <v>0</v>
      </c>
      <c r="N141">
        <f>((T141-J141/2)*M141-L141)/(T141+J141/2)</f>
        <v>0</v>
      </c>
      <c r="O141">
        <f>N141*(DI141+DJ141)/1000.0</f>
        <v>0</v>
      </c>
      <c r="P141">
        <f>(DB141 - IF(AU141&gt;1, L141*CV141*100.0/(AW141*DP141), 0))*(DI141+DJ141)/1000.0</f>
        <v>0</v>
      </c>
      <c r="Q141">
        <f>2.0/((1/S141-1/R141)+SIGN(S141)*SQRT((1/S141-1/R141)*(1/S141-1/R141) + 4*CW141/((CW141+1)*(CW141+1))*(2*1/S141*1/R141-1/R141*1/R141)))</f>
        <v>0</v>
      </c>
      <c r="R141">
        <f>IF(LEFT(CX141,1)&lt;&gt;"0",IF(LEFT(CX141,1)="1",3.0,CY141),$D$5+$E$5*(DP141*DI141/($K$5*1000))+$F$5*(DP141*DI141/($K$5*1000))*MAX(MIN(CV141,$J$5),$I$5)*MAX(MIN(CV141,$J$5),$I$5)+$G$5*MAX(MIN(CV141,$J$5),$I$5)*(DP141*DI141/($K$5*1000))+$H$5*(DP141*DI141/($K$5*1000))*(DP141*DI141/($K$5*1000)))</f>
        <v>0</v>
      </c>
      <c r="S141">
        <f>J141*(1000-(1000*0.61365*exp(17.502*W141/(240.97+W141))/(DI141+DJ141)+DD141)/2)/(1000*0.61365*exp(17.502*W141/(240.97+W141))/(DI141+DJ141)-DD141)</f>
        <v>0</v>
      </c>
      <c r="T141">
        <f>1/((CW141+1)/(Q141/1.6)+1/(R141/1.37)) + CW141/((CW141+1)/(Q141/1.6) + CW141/(R141/1.37))</f>
        <v>0</v>
      </c>
      <c r="U141">
        <f>(CR141*CU141)</f>
        <v>0</v>
      </c>
      <c r="V141">
        <f>(DK141+(U141+2*0.95*5.67E-8*(((DK141+$B$7)+273)^4-(DK141+273)^4)-44100*J141)/(1.84*29.3*R141+8*0.95*5.67E-8*(DK141+273)^3))</f>
        <v>0</v>
      </c>
      <c r="W141">
        <f>($C$7*DL141+$D$7*DM141+$E$7*V141)</f>
        <v>0</v>
      </c>
      <c r="X141">
        <f>0.61365*exp(17.502*W141/(240.97+W141))</f>
        <v>0</v>
      </c>
      <c r="Y141">
        <f>(Z141/AA141*100)</f>
        <v>0</v>
      </c>
      <c r="Z141">
        <f>DD141*(DI141+DJ141)/1000</f>
        <v>0</v>
      </c>
      <c r="AA141">
        <f>0.61365*exp(17.502*DK141/(240.97+DK141))</f>
        <v>0</v>
      </c>
      <c r="AB141">
        <f>(X141-DD141*(DI141+DJ141)/1000)</f>
        <v>0</v>
      </c>
      <c r="AC141">
        <f>(-J141*44100)</f>
        <v>0</v>
      </c>
      <c r="AD141">
        <f>2*29.3*R141*0.92*(DK141-W141)</f>
        <v>0</v>
      </c>
      <c r="AE141">
        <f>2*0.95*5.67E-8*(((DK141+$B$7)+273)^4-(W141+273)^4)</f>
        <v>0</v>
      </c>
      <c r="AF141">
        <f>U141+AE141+AC141+AD141</f>
        <v>0</v>
      </c>
      <c r="AG141">
        <f>DH141*AU141*(DC141-DB141*(1000-AU141*DE141)/(1000-AU141*DD141))/(100*CV141)</f>
        <v>0</v>
      </c>
      <c r="AH141">
        <f>1000*DH141*AU141*(DD141-DE141)/(100*CV141*(1000-AU141*DD141))</f>
        <v>0</v>
      </c>
      <c r="AI141">
        <f>(AJ141 - AK141 - DI141*1E3/(8.314*(DK141+273.15)) * AM141/DH141 * AL141) * DH141/(100*CV141) * (1000 - DE141)/1000</f>
        <v>0</v>
      </c>
      <c r="AJ141">
        <v>824.5693660723347</v>
      </c>
      <c r="AK141">
        <v>809.6923818181817</v>
      </c>
      <c r="AL141">
        <v>-3.302677643403253</v>
      </c>
      <c r="AM141">
        <v>66.38192812717227</v>
      </c>
      <c r="AN141">
        <f>(AP141 - AO141 + DI141*1E3/(8.314*(DK141+273.15)) * AR141/DH141 * AQ141) * DH141/(100*CV141) * 1000/(1000 - AP141)</f>
        <v>0</v>
      </c>
      <c r="AO141">
        <v>13.00358699446693</v>
      </c>
      <c r="AP141">
        <v>18.13455617647059</v>
      </c>
      <c r="AQ141">
        <v>3.4610364953349E-05</v>
      </c>
      <c r="AR141">
        <v>80.47224507511959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MAX(0,($B$13+$C$13*DP141)/(1+$D$13*DP141)*DI141/(DK141+273)*$E$13)</f>
        <v>0</v>
      </c>
      <c r="AX141" t="s">
        <v>417</v>
      </c>
      <c r="AY141" t="s">
        <v>417</v>
      </c>
      <c r="AZ141">
        <v>0</v>
      </c>
      <c r="BA141">
        <v>0</v>
      </c>
      <c r="BB141">
        <f>1-AZ141/BA141</f>
        <v>0</v>
      </c>
      <c r="BC141">
        <v>0</v>
      </c>
      <c r="BD141" t="s">
        <v>417</v>
      </c>
      <c r="BE141" t="s">
        <v>417</v>
      </c>
      <c r="BF141">
        <v>0</v>
      </c>
      <c r="BG141">
        <v>0</v>
      </c>
      <c r="BH141">
        <f>1-BF141/BG141</f>
        <v>0</v>
      </c>
      <c r="BI141">
        <v>0.5</v>
      </c>
      <c r="BJ141">
        <f>CS141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417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1248</v>
      </c>
      <c r="CA141">
        <v>300</v>
      </c>
      <c r="CB141">
        <v>300</v>
      </c>
      <c r="CC141">
        <v>300</v>
      </c>
      <c r="CD141">
        <v>10442</v>
      </c>
      <c r="CE141">
        <v>1293.69</v>
      </c>
      <c r="CF141">
        <v>-0.00735246</v>
      </c>
      <c r="CG141">
        <v>0.5</v>
      </c>
      <c r="CH141" t="s">
        <v>417</v>
      </c>
      <c r="CI141" t="s">
        <v>417</v>
      </c>
      <c r="CJ141" t="s">
        <v>417</v>
      </c>
      <c r="CK141" t="s">
        <v>417</v>
      </c>
      <c r="CL141" t="s">
        <v>417</v>
      </c>
      <c r="CM141" t="s">
        <v>417</v>
      </c>
      <c r="CN141" t="s">
        <v>417</v>
      </c>
      <c r="CO141" t="s">
        <v>417</v>
      </c>
      <c r="CP141" t="s">
        <v>417</v>
      </c>
      <c r="CQ141" t="s">
        <v>417</v>
      </c>
      <c r="CR141">
        <f>$B$11*DQ141+$C$11*DR141+$F$11*EC141*(1-EF141)</f>
        <v>0</v>
      </c>
      <c r="CS141">
        <f>CR141*CT141</f>
        <v>0</v>
      </c>
      <c r="CT141">
        <f>($B$11*$D$9+$C$11*$D$9+$F$11*((EP141+EH141)/MAX(EP141+EH141+EQ141, 0.1)*$I$9+EQ141/MAX(EP141+EH141+EQ141, 0.1)*$J$9))/($B$11+$C$11+$F$11)</f>
        <v>0</v>
      </c>
      <c r="CU141">
        <f>($B$11*$K$9+$C$11*$K$9+$F$11*((EP141+EH141)/MAX(EP141+EH141+EQ141, 0.1)*$P$9+EQ141/MAX(EP141+EH141+EQ141, 0.1)*$Q$9))/($B$11+$C$11+$F$11)</f>
        <v>0</v>
      </c>
      <c r="CV141">
        <v>6</v>
      </c>
      <c r="CW141">
        <v>0.5</v>
      </c>
      <c r="CX141" t="s">
        <v>418</v>
      </c>
      <c r="CY141">
        <v>2</v>
      </c>
      <c r="CZ141" t="b">
        <v>1</v>
      </c>
      <c r="DA141">
        <v>1651864646.225</v>
      </c>
      <c r="DB141">
        <v>797.842</v>
      </c>
      <c r="DC141">
        <v>809.194</v>
      </c>
      <c r="DD141">
        <v>18.13515</v>
      </c>
      <c r="DE141">
        <v>13.047775</v>
      </c>
      <c r="DF141">
        <v>799.5205000000001</v>
      </c>
      <c r="DG141">
        <v>18.117825</v>
      </c>
      <c r="DH141">
        <v>500.04425</v>
      </c>
      <c r="DI141">
        <v>89.93705</v>
      </c>
      <c r="DJ141">
        <v>0.1000855</v>
      </c>
      <c r="DK141">
        <v>25.68075</v>
      </c>
      <c r="DL141">
        <v>25.00995</v>
      </c>
      <c r="DM141">
        <v>999.9</v>
      </c>
      <c r="DN141">
        <v>0</v>
      </c>
      <c r="DO141">
        <v>0</v>
      </c>
      <c r="DP141">
        <v>9982.5</v>
      </c>
      <c r="DQ141">
        <v>0</v>
      </c>
      <c r="DR141">
        <v>3.23193</v>
      </c>
      <c r="DS141">
        <v>-11.35195</v>
      </c>
      <c r="DT141">
        <v>812.578</v>
      </c>
      <c r="DU141">
        <v>819.8917499999999</v>
      </c>
      <c r="DV141">
        <v>5.0873475</v>
      </c>
      <c r="DW141">
        <v>809.194</v>
      </c>
      <c r="DX141">
        <v>13.047775</v>
      </c>
      <c r="DY141">
        <v>1.63102</v>
      </c>
      <c r="DZ141">
        <v>1.17348</v>
      </c>
      <c r="EA141">
        <v>14.25505</v>
      </c>
      <c r="EB141">
        <v>9.269282500000001</v>
      </c>
      <c r="EC141">
        <v>1500.0175</v>
      </c>
      <c r="ED141">
        <v>0.973007</v>
      </c>
      <c r="EE141">
        <v>0.0269931</v>
      </c>
      <c r="EF141">
        <v>0</v>
      </c>
      <c r="EG141">
        <v>905.8135</v>
      </c>
      <c r="EH141">
        <v>5.00097</v>
      </c>
      <c r="EI141">
        <v>13456.35</v>
      </c>
      <c r="EJ141">
        <v>12491.775</v>
      </c>
      <c r="EK141">
        <v>37.25</v>
      </c>
      <c r="EL141">
        <v>38.73425</v>
      </c>
      <c r="EM141">
        <v>37.625</v>
      </c>
      <c r="EN141">
        <v>38.437</v>
      </c>
      <c r="EO141">
        <v>38.125</v>
      </c>
      <c r="EP141">
        <v>1454.665</v>
      </c>
      <c r="EQ141">
        <v>40.35250000000001</v>
      </c>
      <c r="ER141">
        <v>0</v>
      </c>
      <c r="ES141">
        <v>426.6000001430511</v>
      </c>
      <c r="ET141">
        <v>0</v>
      </c>
      <c r="EU141">
        <v>908.76432</v>
      </c>
      <c r="EV141">
        <v>-30.74738457678315</v>
      </c>
      <c r="EW141">
        <v>-446.2153839128831</v>
      </c>
      <c r="EX141">
        <v>13499.788</v>
      </c>
      <c r="EY141">
        <v>15</v>
      </c>
      <c r="EZ141">
        <v>1651864261.1</v>
      </c>
      <c r="FA141" t="s">
        <v>419</v>
      </c>
      <c r="FB141">
        <v>1651864241.6</v>
      </c>
      <c r="FC141">
        <v>1651864261.1</v>
      </c>
      <c r="FD141">
        <v>7</v>
      </c>
      <c r="FE141">
        <v>0.438</v>
      </c>
      <c r="FF141">
        <v>0.002</v>
      </c>
      <c r="FG141">
        <v>-0.988</v>
      </c>
      <c r="FH141">
        <v>-0.066</v>
      </c>
      <c r="FI141">
        <v>400</v>
      </c>
      <c r="FJ141">
        <v>11</v>
      </c>
      <c r="FK141">
        <v>0.05</v>
      </c>
      <c r="FL141">
        <v>0.02</v>
      </c>
      <c r="FM141">
        <v>-12.1133525</v>
      </c>
      <c r="FN141">
        <v>5.326544465290823</v>
      </c>
      <c r="FO141">
        <v>0.514674176050975</v>
      </c>
      <c r="FP141">
        <v>-1</v>
      </c>
      <c r="FQ141">
        <v>5.2129095</v>
      </c>
      <c r="FR141">
        <v>-0.9207343339587343</v>
      </c>
      <c r="FS141">
        <v>0.08916525761051775</v>
      </c>
      <c r="FT141">
        <v>-1</v>
      </c>
      <c r="FU141">
        <v>0</v>
      </c>
      <c r="FV141">
        <v>0</v>
      </c>
      <c r="FW141">
        <v>0</v>
      </c>
      <c r="FX141">
        <v>-1</v>
      </c>
      <c r="FY141">
        <v>0</v>
      </c>
      <c r="FZ141">
        <v>0</v>
      </c>
      <c r="GA141" t="s">
        <v>420</v>
      </c>
      <c r="GB141">
        <v>2.98041</v>
      </c>
      <c r="GC141">
        <v>2.70615</v>
      </c>
      <c r="GD141">
        <v>0.146976</v>
      </c>
      <c r="GE141">
        <v>0.146665</v>
      </c>
      <c r="GF141">
        <v>0.08693529999999999</v>
      </c>
      <c r="GG141">
        <v>0.0676331</v>
      </c>
      <c r="GH141">
        <v>26920.2</v>
      </c>
      <c r="GI141">
        <v>26989.4</v>
      </c>
      <c r="GJ141">
        <v>29344.5</v>
      </c>
      <c r="GK141">
        <v>29259.2</v>
      </c>
      <c r="GL141">
        <v>35479.6</v>
      </c>
      <c r="GM141">
        <v>36334.9</v>
      </c>
      <c r="GN141">
        <v>41304.1</v>
      </c>
      <c r="GO141">
        <v>41762.3</v>
      </c>
      <c r="GP141">
        <v>1.95602</v>
      </c>
      <c r="GQ141">
        <v>1.84955</v>
      </c>
      <c r="GR141">
        <v>-0.0224635</v>
      </c>
      <c r="GS141">
        <v>0</v>
      </c>
      <c r="GT141">
        <v>25.3768</v>
      </c>
      <c r="GU141">
        <v>999.9</v>
      </c>
      <c r="GV141">
        <v>31.7</v>
      </c>
      <c r="GW141">
        <v>34.3</v>
      </c>
      <c r="GX141">
        <v>19.15</v>
      </c>
      <c r="GY141">
        <v>62.6575</v>
      </c>
      <c r="GZ141">
        <v>35.1202</v>
      </c>
      <c r="HA141">
        <v>1</v>
      </c>
      <c r="HB141">
        <v>0.106377</v>
      </c>
      <c r="HC141">
        <v>2.4406</v>
      </c>
      <c r="HD141">
        <v>20.3167</v>
      </c>
      <c r="HE141">
        <v>5.21774</v>
      </c>
      <c r="HF141">
        <v>12.0099</v>
      </c>
      <c r="HG141">
        <v>4.98905</v>
      </c>
      <c r="HH141">
        <v>3.2885</v>
      </c>
      <c r="HI141">
        <v>996.8</v>
      </c>
      <c r="HJ141">
        <v>9542.1</v>
      </c>
      <c r="HK141">
        <v>5139.4</v>
      </c>
      <c r="HL141">
        <v>24.9</v>
      </c>
      <c r="HM141">
        <v>1.86751</v>
      </c>
      <c r="HN141">
        <v>1.86646</v>
      </c>
      <c r="HO141">
        <v>1.866</v>
      </c>
      <c r="HP141">
        <v>1.86585</v>
      </c>
      <c r="HQ141">
        <v>1.86768</v>
      </c>
      <c r="HR141">
        <v>1.87021</v>
      </c>
      <c r="HS141">
        <v>1.8689</v>
      </c>
      <c r="HT141">
        <v>1.87025</v>
      </c>
      <c r="HU141">
        <v>0</v>
      </c>
      <c r="HV141">
        <v>0</v>
      </c>
      <c r="HW141">
        <v>0</v>
      </c>
      <c r="HX141">
        <v>0</v>
      </c>
      <c r="HY141" t="s">
        <v>421</v>
      </c>
      <c r="HZ141" t="s">
        <v>422</v>
      </c>
      <c r="IA141" t="s">
        <v>423</v>
      </c>
      <c r="IB141" t="s">
        <v>423</v>
      </c>
      <c r="IC141" t="s">
        <v>423</v>
      </c>
      <c r="ID141" t="s">
        <v>423</v>
      </c>
      <c r="IE141">
        <v>0</v>
      </c>
      <c r="IF141">
        <v>100</v>
      </c>
      <c r="IG141">
        <v>100</v>
      </c>
      <c r="IH141">
        <v>-1.671</v>
      </c>
      <c r="II141">
        <v>0.0173</v>
      </c>
      <c r="IJ141">
        <v>-0.2164499368582429</v>
      </c>
      <c r="IK141">
        <v>-0.002077099775823331</v>
      </c>
      <c r="IL141">
        <v>4.593143279902166E-07</v>
      </c>
      <c r="IM141">
        <v>-1.865383991892071E-10</v>
      </c>
      <c r="IN141">
        <v>-0.06087574426827484</v>
      </c>
      <c r="IO141">
        <v>-0.01129461987421345</v>
      </c>
      <c r="IP141">
        <v>0.00116580895745559</v>
      </c>
      <c r="IQ141">
        <v>-1.679085872906199E-05</v>
      </c>
      <c r="IR141">
        <v>2</v>
      </c>
      <c r="IS141">
        <v>2290</v>
      </c>
      <c r="IT141">
        <v>0</v>
      </c>
      <c r="IU141">
        <v>32</v>
      </c>
      <c r="IV141">
        <v>6.8</v>
      </c>
      <c r="IW141">
        <v>6.4</v>
      </c>
      <c r="IX141">
        <v>1.72485</v>
      </c>
      <c r="IY141">
        <v>2.21069</v>
      </c>
      <c r="IZ141">
        <v>1.39648</v>
      </c>
      <c r="JA141">
        <v>2.35596</v>
      </c>
      <c r="JB141">
        <v>1.49536</v>
      </c>
      <c r="JC141">
        <v>2.31567</v>
      </c>
      <c r="JD141">
        <v>38.4769</v>
      </c>
      <c r="JE141">
        <v>24.035</v>
      </c>
      <c r="JF141">
        <v>18</v>
      </c>
      <c r="JG141">
        <v>511.39</v>
      </c>
      <c r="JH141">
        <v>428.506</v>
      </c>
      <c r="JI141">
        <v>22.2064</v>
      </c>
      <c r="JJ141">
        <v>28.6658</v>
      </c>
      <c r="JK141">
        <v>30.0002</v>
      </c>
      <c r="JL141">
        <v>28.6301</v>
      </c>
      <c r="JM141">
        <v>28.5678</v>
      </c>
      <c r="JN141">
        <v>34.4269</v>
      </c>
      <c r="JO141">
        <v>31.0811</v>
      </c>
      <c r="JP141">
        <v>0</v>
      </c>
      <c r="JQ141">
        <v>22.2017</v>
      </c>
      <c r="JR141">
        <v>781.6559999999999</v>
      </c>
      <c r="JS141">
        <v>13.2136</v>
      </c>
      <c r="JT141">
        <v>100.306</v>
      </c>
      <c r="JU141">
        <v>100.232</v>
      </c>
    </row>
    <row r="142" spans="1:281">
      <c r="A142">
        <v>126</v>
      </c>
      <c r="B142">
        <v>1651864649.6</v>
      </c>
      <c r="C142">
        <v>429</v>
      </c>
      <c r="D142" t="s">
        <v>672</v>
      </c>
      <c r="E142" t="s">
        <v>673</v>
      </c>
      <c r="F142">
        <v>2</v>
      </c>
      <c r="G142" t="s">
        <v>413</v>
      </c>
      <c r="H142" t="s">
        <v>414</v>
      </c>
      <c r="I142">
        <v>1651864648.6</v>
      </c>
      <c r="J142">
        <f>(K142)/1000</f>
        <v>0</v>
      </c>
      <c r="K142">
        <f>IF(CZ142, AN142, AH142)</f>
        <v>0</v>
      </c>
      <c r="L142">
        <f>IF(CZ142, AI142, AG142)</f>
        <v>0</v>
      </c>
      <c r="M142">
        <f>DB142 - IF(AU142&gt;1, L142*CV142*100.0/(AW142*DP142), 0)</f>
        <v>0</v>
      </c>
      <c r="N142">
        <f>((T142-J142/2)*M142-L142)/(T142+J142/2)</f>
        <v>0</v>
      </c>
      <c r="O142">
        <f>N142*(DI142+DJ142)/1000.0</f>
        <v>0</v>
      </c>
      <c r="P142">
        <f>(DB142 - IF(AU142&gt;1, L142*CV142*100.0/(AW142*DP142), 0))*(DI142+DJ142)/1000.0</f>
        <v>0</v>
      </c>
      <c r="Q142">
        <f>2.0/((1/S142-1/R142)+SIGN(S142)*SQRT((1/S142-1/R142)*(1/S142-1/R142) + 4*CW142/((CW142+1)*(CW142+1))*(2*1/S142*1/R142-1/R142*1/R142)))</f>
        <v>0</v>
      </c>
      <c r="R142">
        <f>IF(LEFT(CX142,1)&lt;&gt;"0",IF(LEFT(CX142,1)="1",3.0,CY142),$D$5+$E$5*(DP142*DI142/($K$5*1000))+$F$5*(DP142*DI142/($K$5*1000))*MAX(MIN(CV142,$J$5),$I$5)*MAX(MIN(CV142,$J$5),$I$5)+$G$5*MAX(MIN(CV142,$J$5),$I$5)*(DP142*DI142/($K$5*1000))+$H$5*(DP142*DI142/($K$5*1000))*(DP142*DI142/($K$5*1000)))</f>
        <v>0</v>
      </c>
      <c r="S142">
        <f>J142*(1000-(1000*0.61365*exp(17.502*W142/(240.97+W142))/(DI142+DJ142)+DD142)/2)/(1000*0.61365*exp(17.502*W142/(240.97+W142))/(DI142+DJ142)-DD142)</f>
        <v>0</v>
      </c>
      <c r="T142">
        <f>1/((CW142+1)/(Q142/1.6)+1/(R142/1.37)) + CW142/((CW142+1)/(Q142/1.6) + CW142/(R142/1.37))</f>
        <v>0</v>
      </c>
      <c r="U142">
        <f>(CR142*CU142)</f>
        <v>0</v>
      </c>
      <c r="V142">
        <f>(DK142+(U142+2*0.95*5.67E-8*(((DK142+$B$7)+273)^4-(DK142+273)^4)-44100*J142)/(1.84*29.3*R142+8*0.95*5.67E-8*(DK142+273)^3))</f>
        <v>0</v>
      </c>
      <c r="W142">
        <f>($C$7*DL142+$D$7*DM142+$E$7*V142)</f>
        <v>0</v>
      </c>
      <c r="X142">
        <f>0.61365*exp(17.502*W142/(240.97+W142))</f>
        <v>0</v>
      </c>
      <c r="Y142">
        <f>(Z142/AA142*100)</f>
        <v>0</v>
      </c>
      <c r="Z142">
        <f>DD142*(DI142+DJ142)/1000</f>
        <v>0</v>
      </c>
      <c r="AA142">
        <f>0.61365*exp(17.502*DK142/(240.97+DK142))</f>
        <v>0</v>
      </c>
      <c r="AB142">
        <f>(X142-DD142*(DI142+DJ142)/1000)</f>
        <v>0</v>
      </c>
      <c r="AC142">
        <f>(-J142*44100)</f>
        <v>0</v>
      </c>
      <c r="AD142">
        <f>2*29.3*R142*0.92*(DK142-W142)</f>
        <v>0</v>
      </c>
      <c r="AE142">
        <f>2*0.95*5.67E-8*(((DK142+$B$7)+273)^4-(W142+273)^4)</f>
        <v>0</v>
      </c>
      <c r="AF142">
        <f>U142+AE142+AC142+AD142</f>
        <v>0</v>
      </c>
      <c r="AG142">
        <f>DH142*AU142*(DC142-DB142*(1000-AU142*DE142)/(1000-AU142*DD142))/(100*CV142)</f>
        <v>0</v>
      </c>
      <c r="AH142">
        <f>1000*DH142*AU142*(DD142-DE142)/(100*CV142*(1000-AU142*DD142))</f>
        <v>0</v>
      </c>
      <c r="AI142">
        <f>(AJ142 - AK142 - DI142*1E3/(8.314*(DK142+273.15)) * AM142/DH142 * AL142) * DH142/(100*CV142) * (1000 - DE142)/1000</f>
        <v>0</v>
      </c>
      <c r="AJ142">
        <v>817.875148098293</v>
      </c>
      <c r="AK142">
        <v>803.0798121212119</v>
      </c>
      <c r="AL142">
        <v>-3.303636036286438</v>
      </c>
      <c r="AM142">
        <v>66.38192812717227</v>
      </c>
      <c r="AN142">
        <f>(AP142 - AO142 + DI142*1E3/(8.314*(DK142+273.15)) * AR142/DH142 * AQ142) * DH142/(100*CV142) * 1000/(1000 - AP142)</f>
        <v>0</v>
      </c>
      <c r="AO142">
        <v>13.02836226053249</v>
      </c>
      <c r="AP142">
        <v>18.13692029411765</v>
      </c>
      <c r="AQ142">
        <v>4.969800060234992E-06</v>
      </c>
      <c r="AR142">
        <v>80.47224507511959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MAX(0,($B$13+$C$13*DP142)/(1+$D$13*DP142)*DI142/(DK142+273)*$E$13)</f>
        <v>0</v>
      </c>
      <c r="AX142" t="s">
        <v>417</v>
      </c>
      <c r="AY142" t="s">
        <v>417</v>
      </c>
      <c r="AZ142">
        <v>0</v>
      </c>
      <c r="BA142">
        <v>0</v>
      </c>
      <c r="BB142">
        <f>1-AZ142/BA142</f>
        <v>0</v>
      </c>
      <c r="BC142">
        <v>0</v>
      </c>
      <c r="BD142" t="s">
        <v>417</v>
      </c>
      <c r="BE142" t="s">
        <v>417</v>
      </c>
      <c r="BF142">
        <v>0</v>
      </c>
      <c r="BG142">
        <v>0</v>
      </c>
      <c r="BH142">
        <f>1-BF142/BG142</f>
        <v>0</v>
      </c>
      <c r="BI142">
        <v>0.5</v>
      </c>
      <c r="BJ142">
        <f>CS142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417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1248</v>
      </c>
      <c r="CA142">
        <v>300</v>
      </c>
      <c r="CB142">
        <v>300</v>
      </c>
      <c r="CC142">
        <v>300</v>
      </c>
      <c r="CD142">
        <v>10442</v>
      </c>
      <c r="CE142">
        <v>1293.69</v>
      </c>
      <c r="CF142">
        <v>-0.00735246</v>
      </c>
      <c r="CG142">
        <v>0.5</v>
      </c>
      <c r="CH142" t="s">
        <v>417</v>
      </c>
      <c r="CI142" t="s">
        <v>417</v>
      </c>
      <c r="CJ142" t="s">
        <v>417</v>
      </c>
      <c r="CK142" t="s">
        <v>417</v>
      </c>
      <c r="CL142" t="s">
        <v>417</v>
      </c>
      <c r="CM142" t="s">
        <v>417</v>
      </c>
      <c r="CN142" t="s">
        <v>417</v>
      </c>
      <c r="CO142" t="s">
        <v>417</v>
      </c>
      <c r="CP142" t="s">
        <v>417</v>
      </c>
      <c r="CQ142" t="s">
        <v>417</v>
      </c>
      <c r="CR142">
        <f>$B$11*DQ142+$C$11*DR142+$F$11*EC142*(1-EF142)</f>
        <v>0</v>
      </c>
      <c r="CS142">
        <f>CR142*CT142</f>
        <v>0</v>
      </c>
      <c r="CT142">
        <f>($B$11*$D$9+$C$11*$D$9+$F$11*((EP142+EH142)/MAX(EP142+EH142+EQ142, 0.1)*$I$9+EQ142/MAX(EP142+EH142+EQ142, 0.1)*$J$9))/($B$11+$C$11+$F$11)</f>
        <v>0</v>
      </c>
      <c r="CU142">
        <f>($B$11*$K$9+$C$11*$K$9+$F$11*((EP142+EH142)/MAX(EP142+EH142+EQ142, 0.1)*$P$9+EQ142/MAX(EP142+EH142+EQ142, 0.1)*$Q$9))/($B$11+$C$11+$F$11)</f>
        <v>0</v>
      </c>
      <c r="CV142">
        <v>6</v>
      </c>
      <c r="CW142">
        <v>0.5</v>
      </c>
      <c r="CX142" t="s">
        <v>418</v>
      </c>
      <c r="CY142">
        <v>2</v>
      </c>
      <c r="CZ142" t="b">
        <v>1</v>
      </c>
      <c r="DA142">
        <v>1651864648.6</v>
      </c>
      <c r="DB142">
        <v>790.1323333333333</v>
      </c>
      <c r="DC142">
        <v>801.1900000000001</v>
      </c>
      <c r="DD142">
        <v>18.13696666666667</v>
      </c>
      <c r="DE142">
        <v>13.0906</v>
      </c>
      <c r="DF142">
        <v>791.7976666666667</v>
      </c>
      <c r="DG142">
        <v>18.1196</v>
      </c>
      <c r="DH142">
        <v>500.0383333333334</v>
      </c>
      <c r="DI142">
        <v>89.93766666666666</v>
      </c>
      <c r="DJ142">
        <v>0.09991633333333333</v>
      </c>
      <c r="DK142">
        <v>25.67823333333333</v>
      </c>
      <c r="DL142">
        <v>25.00923333333334</v>
      </c>
      <c r="DM142">
        <v>999.9</v>
      </c>
      <c r="DN142">
        <v>0</v>
      </c>
      <c r="DO142">
        <v>0</v>
      </c>
      <c r="DP142">
        <v>9996.25</v>
      </c>
      <c r="DQ142">
        <v>0</v>
      </c>
      <c r="DR142">
        <v>3.23193</v>
      </c>
      <c r="DS142">
        <v>-11.05776666666667</v>
      </c>
      <c r="DT142">
        <v>804.7273333333334</v>
      </c>
      <c r="DU142">
        <v>811.817</v>
      </c>
      <c r="DV142">
        <v>5.046376666666666</v>
      </c>
      <c r="DW142">
        <v>801.1900000000001</v>
      </c>
      <c r="DX142">
        <v>13.0906</v>
      </c>
      <c r="DY142">
        <v>1.631196666666667</v>
      </c>
      <c r="DZ142">
        <v>1.177336666666667</v>
      </c>
      <c r="EA142">
        <v>14.25666666666667</v>
      </c>
      <c r="EB142">
        <v>9.318013333333333</v>
      </c>
      <c r="EC142">
        <v>1499.95</v>
      </c>
      <c r="ED142">
        <v>0.973007</v>
      </c>
      <c r="EE142">
        <v>0.0269931</v>
      </c>
      <c r="EF142">
        <v>0</v>
      </c>
      <c r="EG142">
        <v>904.3953333333334</v>
      </c>
      <c r="EH142">
        <v>5.00097</v>
      </c>
      <c r="EI142">
        <v>13437.06666666667</v>
      </c>
      <c r="EJ142">
        <v>12491.2</v>
      </c>
      <c r="EK142">
        <v>37.25</v>
      </c>
      <c r="EL142">
        <v>38.708</v>
      </c>
      <c r="EM142">
        <v>37.66633333333333</v>
      </c>
      <c r="EN142">
        <v>38.437</v>
      </c>
      <c r="EO142">
        <v>38.125</v>
      </c>
      <c r="EP142">
        <v>1454.6</v>
      </c>
      <c r="EQ142">
        <v>40.35</v>
      </c>
      <c r="ER142">
        <v>0</v>
      </c>
      <c r="ES142">
        <v>428.4000000953674</v>
      </c>
      <c r="ET142">
        <v>0</v>
      </c>
      <c r="EU142">
        <v>907.9665384615384</v>
      </c>
      <c r="EV142">
        <v>-31.15685472418114</v>
      </c>
      <c r="EW142">
        <v>-454.6222225165828</v>
      </c>
      <c r="EX142">
        <v>13488.21153846154</v>
      </c>
      <c r="EY142">
        <v>15</v>
      </c>
      <c r="EZ142">
        <v>1651864261.1</v>
      </c>
      <c r="FA142" t="s">
        <v>419</v>
      </c>
      <c r="FB142">
        <v>1651864241.6</v>
      </c>
      <c r="FC142">
        <v>1651864261.1</v>
      </c>
      <c r="FD142">
        <v>7</v>
      </c>
      <c r="FE142">
        <v>0.438</v>
      </c>
      <c r="FF142">
        <v>0.002</v>
      </c>
      <c r="FG142">
        <v>-0.988</v>
      </c>
      <c r="FH142">
        <v>-0.066</v>
      </c>
      <c r="FI142">
        <v>400</v>
      </c>
      <c r="FJ142">
        <v>11</v>
      </c>
      <c r="FK142">
        <v>0.05</v>
      </c>
      <c r="FL142">
        <v>0.02</v>
      </c>
      <c r="FM142">
        <v>-11.99878292682927</v>
      </c>
      <c r="FN142">
        <v>5.279153310104542</v>
      </c>
      <c r="FO142">
        <v>0.5226320049856649</v>
      </c>
      <c r="FP142">
        <v>-1</v>
      </c>
      <c r="FQ142">
        <v>5.194090243902439</v>
      </c>
      <c r="FR142">
        <v>-0.9110289198606188</v>
      </c>
      <c r="FS142">
        <v>0.09041113301530539</v>
      </c>
      <c r="FT142">
        <v>-1</v>
      </c>
      <c r="FU142">
        <v>0</v>
      </c>
      <c r="FV142">
        <v>0</v>
      </c>
      <c r="FW142">
        <v>0</v>
      </c>
      <c r="FX142">
        <v>-1</v>
      </c>
      <c r="FY142">
        <v>0</v>
      </c>
      <c r="FZ142">
        <v>0</v>
      </c>
      <c r="GA142" t="s">
        <v>420</v>
      </c>
      <c r="GB142">
        <v>2.98047</v>
      </c>
      <c r="GC142">
        <v>2.70616</v>
      </c>
      <c r="GD142">
        <v>0.146172</v>
      </c>
      <c r="GE142">
        <v>0.145837</v>
      </c>
      <c r="GF142">
        <v>0.08694499999999999</v>
      </c>
      <c r="GG142">
        <v>0.06775689999999999</v>
      </c>
      <c r="GH142">
        <v>26945.6</v>
      </c>
      <c r="GI142">
        <v>27015.6</v>
      </c>
      <c r="GJ142">
        <v>29344.5</v>
      </c>
      <c r="GK142">
        <v>29259.2</v>
      </c>
      <c r="GL142">
        <v>35479.3</v>
      </c>
      <c r="GM142">
        <v>36330</v>
      </c>
      <c r="GN142">
        <v>41304.2</v>
      </c>
      <c r="GO142">
        <v>41762.3</v>
      </c>
      <c r="GP142">
        <v>1.95588</v>
      </c>
      <c r="GQ142">
        <v>1.84945</v>
      </c>
      <c r="GR142">
        <v>-0.0222772</v>
      </c>
      <c r="GS142">
        <v>0</v>
      </c>
      <c r="GT142">
        <v>25.3758</v>
      </c>
      <c r="GU142">
        <v>999.9</v>
      </c>
      <c r="GV142">
        <v>31.7</v>
      </c>
      <c r="GW142">
        <v>34.3</v>
      </c>
      <c r="GX142">
        <v>19.1492</v>
      </c>
      <c r="GY142">
        <v>62.3974</v>
      </c>
      <c r="GZ142">
        <v>34.9079</v>
      </c>
      <c r="HA142">
        <v>1</v>
      </c>
      <c r="HB142">
        <v>0.106527</v>
      </c>
      <c r="HC142">
        <v>2.43715</v>
      </c>
      <c r="HD142">
        <v>20.3166</v>
      </c>
      <c r="HE142">
        <v>5.21804</v>
      </c>
      <c r="HF142">
        <v>12.0099</v>
      </c>
      <c r="HG142">
        <v>4.98915</v>
      </c>
      <c r="HH142">
        <v>3.2885</v>
      </c>
      <c r="HI142">
        <v>996.8</v>
      </c>
      <c r="HJ142">
        <v>9542.1</v>
      </c>
      <c r="HK142">
        <v>5139.4</v>
      </c>
      <c r="HL142">
        <v>24.9</v>
      </c>
      <c r="HM142">
        <v>1.86752</v>
      </c>
      <c r="HN142">
        <v>1.86646</v>
      </c>
      <c r="HO142">
        <v>1.866</v>
      </c>
      <c r="HP142">
        <v>1.86584</v>
      </c>
      <c r="HQ142">
        <v>1.86768</v>
      </c>
      <c r="HR142">
        <v>1.87022</v>
      </c>
      <c r="HS142">
        <v>1.86889</v>
      </c>
      <c r="HT142">
        <v>1.87022</v>
      </c>
      <c r="HU142">
        <v>0</v>
      </c>
      <c r="HV142">
        <v>0</v>
      </c>
      <c r="HW142">
        <v>0</v>
      </c>
      <c r="HX142">
        <v>0</v>
      </c>
      <c r="HY142" t="s">
        <v>421</v>
      </c>
      <c r="HZ142" t="s">
        <v>422</v>
      </c>
      <c r="IA142" t="s">
        <v>423</v>
      </c>
      <c r="IB142" t="s">
        <v>423</v>
      </c>
      <c r="IC142" t="s">
        <v>423</v>
      </c>
      <c r="ID142" t="s">
        <v>423</v>
      </c>
      <c r="IE142">
        <v>0</v>
      </c>
      <c r="IF142">
        <v>100</v>
      </c>
      <c r="IG142">
        <v>100</v>
      </c>
      <c r="IH142">
        <v>-1.66</v>
      </c>
      <c r="II142">
        <v>0.0174</v>
      </c>
      <c r="IJ142">
        <v>-0.2164499368582429</v>
      </c>
      <c r="IK142">
        <v>-0.002077099775823331</v>
      </c>
      <c r="IL142">
        <v>4.593143279902166E-07</v>
      </c>
      <c r="IM142">
        <v>-1.865383991892071E-10</v>
      </c>
      <c r="IN142">
        <v>-0.06087574426827484</v>
      </c>
      <c r="IO142">
        <v>-0.01129461987421345</v>
      </c>
      <c r="IP142">
        <v>0.00116580895745559</v>
      </c>
      <c r="IQ142">
        <v>-1.679085872906199E-05</v>
      </c>
      <c r="IR142">
        <v>2</v>
      </c>
      <c r="IS142">
        <v>2290</v>
      </c>
      <c r="IT142">
        <v>0</v>
      </c>
      <c r="IU142">
        <v>32</v>
      </c>
      <c r="IV142">
        <v>6.8</v>
      </c>
      <c r="IW142">
        <v>6.5</v>
      </c>
      <c r="IX142">
        <v>1.71387</v>
      </c>
      <c r="IY142">
        <v>2.20947</v>
      </c>
      <c r="IZ142">
        <v>1.39648</v>
      </c>
      <c r="JA142">
        <v>2.35596</v>
      </c>
      <c r="JB142">
        <v>1.49536</v>
      </c>
      <c r="JC142">
        <v>2.37671</v>
      </c>
      <c r="JD142">
        <v>38.4769</v>
      </c>
      <c r="JE142">
        <v>24.0437</v>
      </c>
      <c r="JF142">
        <v>18</v>
      </c>
      <c r="JG142">
        <v>511.292</v>
      </c>
      <c r="JH142">
        <v>428.451</v>
      </c>
      <c r="JI142">
        <v>22.2012</v>
      </c>
      <c r="JJ142">
        <v>28.6658</v>
      </c>
      <c r="JK142">
        <v>30.0003</v>
      </c>
      <c r="JL142">
        <v>28.6301</v>
      </c>
      <c r="JM142">
        <v>28.5686</v>
      </c>
      <c r="JN142">
        <v>34.1958</v>
      </c>
      <c r="JO142">
        <v>31.0811</v>
      </c>
      <c r="JP142">
        <v>0</v>
      </c>
      <c r="JQ142">
        <v>22.1915</v>
      </c>
      <c r="JR142">
        <v>774.96</v>
      </c>
      <c r="JS142">
        <v>13.2438</v>
      </c>
      <c r="JT142">
        <v>100.306</v>
      </c>
      <c r="JU142">
        <v>100.232</v>
      </c>
    </row>
    <row r="143" spans="1:281">
      <c r="A143">
        <v>127</v>
      </c>
      <c r="B143">
        <v>1651864651.6</v>
      </c>
      <c r="C143">
        <v>431</v>
      </c>
      <c r="D143" t="s">
        <v>674</v>
      </c>
      <c r="E143" t="s">
        <v>675</v>
      </c>
      <c r="F143">
        <v>2</v>
      </c>
      <c r="G143" t="s">
        <v>413</v>
      </c>
      <c r="H143" t="s">
        <v>414</v>
      </c>
      <c r="I143">
        <v>1651864650.225</v>
      </c>
      <c r="J143">
        <f>(K143)/1000</f>
        <v>0</v>
      </c>
      <c r="K143">
        <f>IF(CZ143, AN143, AH143)</f>
        <v>0</v>
      </c>
      <c r="L143">
        <f>IF(CZ143, AI143, AG143)</f>
        <v>0</v>
      </c>
      <c r="M143">
        <f>DB143 - IF(AU143&gt;1, L143*CV143*100.0/(AW143*DP143), 0)</f>
        <v>0</v>
      </c>
      <c r="N143">
        <f>((T143-J143/2)*M143-L143)/(T143+J143/2)</f>
        <v>0</v>
      </c>
      <c r="O143">
        <f>N143*(DI143+DJ143)/1000.0</f>
        <v>0</v>
      </c>
      <c r="P143">
        <f>(DB143 - IF(AU143&gt;1, L143*CV143*100.0/(AW143*DP143), 0))*(DI143+DJ143)/1000.0</f>
        <v>0</v>
      </c>
      <c r="Q143">
        <f>2.0/((1/S143-1/R143)+SIGN(S143)*SQRT((1/S143-1/R143)*(1/S143-1/R143) + 4*CW143/((CW143+1)*(CW143+1))*(2*1/S143*1/R143-1/R143*1/R143)))</f>
        <v>0</v>
      </c>
      <c r="R143">
        <f>IF(LEFT(CX143,1)&lt;&gt;"0",IF(LEFT(CX143,1)="1",3.0,CY143),$D$5+$E$5*(DP143*DI143/($K$5*1000))+$F$5*(DP143*DI143/($K$5*1000))*MAX(MIN(CV143,$J$5),$I$5)*MAX(MIN(CV143,$J$5),$I$5)+$G$5*MAX(MIN(CV143,$J$5),$I$5)*(DP143*DI143/($K$5*1000))+$H$5*(DP143*DI143/($K$5*1000))*(DP143*DI143/($K$5*1000)))</f>
        <v>0</v>
      </c>
      <c r="S143">
        <f>J143*(1000-(1000*0.61365*exp(17.502*W143/(240.97+W143))/(DI143+DJ143)+DD143)/2)/(1000*0.61365*exp(17.502*W143/(240.97+W143))/(DI143+DJ143)-DD143)</f>
        <v>0</v>
      </c>
      <c r="T143">
        <f>1/((CW143+1)/(Q143/1.6)+1/(R143/1.37)) + CW143/((CW143+1)/(Q143/1.6) + CW143/(R143/1.37))</f>
        <v>0</v>
      </c>
      <c r="U143">
        <f>(CR143*CU143)</f>
        <v>0</v>
      </c>
      <c r="V143">
        <f>(DK143+(U143+2*0.95*5.67E-8*(((DK143+$B$7)+273)^4-(DK143+273)^4)-44100*J143)/(1.84*29.3*R143+8*0.95*5.67E-8*(DK143+273)^3))</f>
        <v>0</v>
      </c>
      <c r="W143">
        <f>($C$7*DL143+$D$7*DM143+$E$7*V143)</f>
        <v>0</v>
      </c>
      <c r="X143">
        <f>0.61365*exp(17.502*W143/(240.97+W143))</f>
        <v>0</v>
      </c>
      <c r="Y143">
        <f>(Z143/AA143*100)</f>
        <v>0</v>
      </c>
      <c r="Z143">
        <f>DD143*(DI143+DJ143)/1000</f>
        <v>0</v>
      </c>
      <c r="AA143">
        <f>0.61365*exp(17.502*DK143/(240.97+DK143))</f>
        <v>0</v>
      </c>
      <c r="AB143">
        <f>(X143-DD143*(DI143+DJ143)/1000)</f>
        <v>0</v>
      </c>
      <c r="AC143">
        <f>(-J143*44100)</f>
        <v>0</v>
      </c>
      <c r="AD143">
        <f>2*29.3*R143*0.92*(DK143-W143)</f>
        <v>0</v>
      </c>
      <c r="AE143">
        <f>2*0.95*5.67E-8*(((DK143+$B$7)+273)^4-(W143+273)^4)</f>
        <v>0</v>
      </c>
      <c r="AF143">
        <f>U143+AE143+AC143+AD143</f>
        <v>0</v>
      </c>
      <c r="AG143">
        <f>DH143*AU143*(DC143-DB143*(1000-AU143*DE143)/(1000-AU143*DD143))/(100*CV143)</f>
        <v>0</v>
      </c>
      <c r="AH143">
        <f>1000*DH143*AU143*(DD143-DE143)/(100*CV143*(1000-AU143*DD143))</f>
        <v>0</v>
      </c>
      <c r="AI143">
        <f>(AJ143 - AK143 - DI143*1E3/(8.314*(DK143+273.15)) * AM143/DH143 * AL143) * DH143/(100*CV143) * (1000 - DE143)/1000</f>
        <v>0</v>
      </c>
      <c r="AJ143">
        <v>811.0376733009539</v>
      </c>
      <c r="AK143">
        <v>796.4644060606057</v>
      </c>
      <c r="AL143">
        <v>-3.305285000915145</v>
      </c>
      <c r="AM143">
        <v>66.38192812717227</v>
      </c>
      <c r="AN143">
        <f>(AP143 - AO143 + DI143*1E3/(8.314*(DK143+273.15)) * AR143/DH143 * AQ143) * DH143/(100*CV143) * 1000/(1000 - AP143)</f>
        <v>0</v>
      </c>
      <c r="AO143">
        <v>13.06402747885054</v>
      </c>
      <c r="AP143">
        <v>18.14122588235294</v>
      </c>
      <c r="AQ143">
        <v>-6.995547606054183E-06</v>
      </c>
      <c r="AR143">
        <v>80.47224507511959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MAX(0,($B$13+$C$13*DP143)/(1+$D$13*DP143)*DI143/(DK143+273)*$E$13)</f>
        <v>0</v>
      </c>
      <c r="AX143" t="s">
        <v>417</v>
      </c>
      <c r="AY143" t="s">
        <v>417</v>
      </c>
      <c r="AZ143">
        <v>0</v>
      </c>
      <c r="BA143">
        <v>0</v>
      </c>
      <c r="BB143">
        <f>1-AZ143/BA143</f>
        <v>0</v>
      </c>
      <c r="BC143">
        <v>0</v>
      </c>
      <c r="BD143" t="s">
        <v>417</v>
      </c>
      <c r="BE143" t="s">
        <v>417</v>
      </c>
      <c r="BF143">
        <v>0</v>
      </c>
      <c r="BG143">
        <v>0</v>
      </c>
      <c r="BH143">
        <f>1-BF143/BG143</f>
        <v>0</v>
      </c>
      <c r="BI143">
        <v>0.5</v>
      </c>
      <c r="BJ143">
        <f>CS143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417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1248</v>
      </c>
      <c r="CA143">
        <v>300</v>
      </c>
      <c r="CB143">
        <v>300</v>
      </c>
      <c r="CC143">
        <v>300</v>
      </c>
      <c r="CD143">
        <v>10442</v>
      </c>
      <c r="CE143">
        <v>1293.69</v>
      </c>
      <c r="CF143">
        <v>-0.00735246</v>
      </c>
      <c r="CG143">
        <v>0.5</v>
      </c>
      <c r="CH143" t="s">
        <v>417</v>
      </c>
      <c r="CI143" t="s">
        <v>417</v>
      </c>
      <c r="CJ143" t="s">
        <v>417</v>
      </c>
      <c r="CK143" t="s">
        <v>417</v>
      </c>
      <c r="CL143" t="s">
        <v>417</v>
      </c>
      <c r="CM143" t="s">
        <v>417</v>
      </c>
      <c r="CN143" t="s">
        <v>417</v>
      </c>
      <c r="CO143" t="s">
        <v>417</v>
      </c>
      <c r="CP143" t="s">
        <v>417</v>
      </c>
      <c r="CQ143" t="s">
        <v>417</v>
      </c>
      <c r="CR143">
        <f>$B$11*DQ143+$C$11*DR143+$F$11*EC143*(1-EF143)</f>
        <v>0</v>
      </c>
      <c r="CS143">
        <f>CR143*CT143</f>
        <v>0</v>
      </c>
      <c r="CT143">
        <f>($B$11*$D$9+$C$11*$D$9+$F$11*((EP143+EH143)/MAX(EP143+EH143+EQ143, 0.1)*$I$9+EQ143/MAX(EP143+EH143+EQ143, 0.1)*$J$9))/($B$11+$C$11+$F$11)</f>
        <v>0</v>
      </c>
      <c r="CU143">
        <f>($B$11*$K$9+$C$11*$K$9+$F$11*((EP143+EH143)/MAX(EP143+EH143+EQ143, 0.1)*$P$9+EQ143/MAX(EP143+EH143+EQ143, 0.1)*$Q$9))/($B$11+$C$11+$F$11)</f>
        <v>0</v>
      </c>
      <c r="CV143">
        <v>6</v>
      </c>
      <c r="CW143">
        <v>0.5</v>
      </c>
      <c r="CX143" t="s">
        <v>418</v>
      </c>
      <c r="CY143">
        <v>2</v>
      </c>
      <c r="CZ143" t="b">
        <v>1</v>
      </c>
      <c r="DA143">
        <v>1651864650.225</v>
      </c>
      <c r="DB143">
        <v>784.8595</v>
      </c>
      <c r="DC143">
        <v>795.6927499999999</v>
      </c>
      <c r="DD143">
        <v>18.1395</v>
      </c>
      <c r="DE143">
        <v>13.112075</v>
      </c>
      <c r="DF143">
        <v>786.5162499999999</v>
      </c>
      <c r="DG143">
        <v>18.122125</v>
      </c>
      <c r="DH143">
        <v>500.01375</v>
      </c>
      <c r="DI143">
        <v>89.9383</v>
      </c>
      <c r="DJ143">
        <v>0.09992532500000001</v>
      </c>
      <c r="DK143">
        <v>25.679</v>
      </c>
      <c r="DL143">
        <v>25.009275</v>
      </c>
      <c r="DM143">
        <v>999.9</v>
      </c>
      <c r="DN143">
        <v>0</v>
      </c>
      <c r="DO143">
        <v>0</v>
      </c>
      <c r="DP143">
        <v>9997.487499999999</v>
      </c>
      <c r="DQ143">
        <v>0</v>
      </c>
      <c r="DR143">
        <v>3.23193</v>
      </c>
      <c r="DS143">
        <v>-10.833075</v>
      </c>
      <c r="DT143">
        <v>799.35975</v>
      </c>
      <c r="DU143">
        <v>806.26475</v>
      </c>
      <c r="DV143">
        <v>5.027452500000001</v>
      </c>
      <c r="DW143">
        <v>795.6927499999999</v>
      </c>
      <c r="DX143">
        <v>13.112075</v>
      </c>
      <c r="DY143">
        <v>1.631435</v>
      </c>
      <c r="DZ143">
        <v>1.17928</v>
      </c>
      <c r="EA143">
        <v>14.259</v>
      </c>
      <c r="EB143">
        <v>9.342482500000001</v>
      </c>
      <c r="EC143">
        <v>1500.0175</v>
      </c>
      <c r="ED143">
        <v>0.9730082499999999</v>
      </c>
      <c r="EE143">
        <v>0.02699175</v>
      </c>
      <c r="EF143">
        <v>0</v>
      </c>
      <c r="EG143">
        <v>903.5272500000001</v>
      </c>
      <c r="EH143">
        <v>5.00097</v>
      </c>
      <c r="EI143">
        <v>13423.3</v>
      </c>
      <c r="EJ143">
        <v>12491.75</v>
      </c>
      <c r="EK143">
        <v>37.25</v>
      </c>
      <c r="EL143">
        <v>38.687</v>
      </c>
      <c r="EM143">
        <v>37.67149999999999</v>
      </c>
      <c r="EN143">
        <v>38.437</v>
      </c>
      <c r="EO143">
        <v>38.125</v>
      </c>
      <c r="EP143">
        <v>1454.6675</v>
      </c>
      <c r="EQ143">
        <v>40.35</v>
      </c>
      <c r="ER143">
        <v>0</v>
      </c>
      <c r="ES143">
        <v>430.7999999523163</v>
      </c>
      <c r="ET143">
        <v>0</v>
      </c>
      <c r="EU143">
        <v>906.714153846154</v>
      </c>
      <c r="EV143">
        <v>-31.41408547215501</v>
      </c>
      <c r="EW143">
        <v>-469.4393161903086</v>
      </c>
      <c r="EX143">
        <v>13469.81153846154</v>
      </c>
      <c r="EY143">
        <v>15</v>
      </c>
      <c r="EZ143">
        <v>1651864261.1</v>
      </c>
      <c r="FA143" t="s">
        <v>419</v>
      </c>
      <c r="FB143">
        <v>1651864241.6</v>
      </c>
      <c r="FC143">
        <v>1651864261.1</v>
      </c>
      <c r="FD143">
        <v>7</v>
      </c>
      <c r="FE143">
        <v>0.438</v>
      </c>
      <c r="FF143">
        <v>0.002</v>
      </c>
      <c r="FG143">
        <v>-0.988</v>
      </c>
      <c r="FH143">
        <v>-0.066</v>
      </c>
      <c r="FI143">
        <v>400</v>
      </c>
      <c r="FJ143">
        <v>11</v>
      </c>
      <c r="FK143">
        <v>0.05</v>
      </c>
      <c r="FL143">
        <v>0.02</v>
      </c>
      <c r="FM143">
        <v>-11.7316875</v>
      </c>
      <c r="FN143">
        <v>5.374947467167001</v>
      </c>
      <c r="FO143">
        <v>0.5203321118225839</v>
      </c>
      <c r="FP143">
        <v>-1</v>
      </c>
      <c r="FQ143">
        <v>5.152372750000001</v>
      </c>
      <c r="FR143">
        <v>-0.8694798123827638</v>
      </c>
      <c r="FS143">
        <v>0.08420767966722213</v>
      </c>
      <c r="FT143">
        <v>-1</v>
      </c>
      <c r="FU143">
        <v>0</v>
      </c>
      <c r="FV143">
        <v>0</v>
      </c>
      <c r="FW143">
        <v>0</v>
      </c>
      <c r="FX143">
        <v>-1</v>
      </c>
      <c r="FY143">
        <v>0</v>
      </c>
      <c r="FZ143">
        <v>0</v>
      </c>
      <c r="GA143" t="s">
        <v>420</v>
      </c>
      <c r="GB143">
        <v>2.98035</v>
      </c>
      <c r="GC143">
        <v>2.70617</v>
      </c>
      <c r="GD143">
        <v>0.145366</v>
      </c>
      <c r="GE143">
        <v>0.145016</v>
      </c>
      <c r="GF143">
        <v>0.0869516</v>
      </c>
      <c r="GG143">
        <v>0.06784279999999999</v>
      </c>
      <c r="GH143">
        <v>26971.3</v>
      </c>
      <c r="GI143">
        <v>27041.5</v>
      </c>
      <c r="GJ143">
        <v>29344.8</v>
      </c>
      <c r="GK143">
        <v>29259.1</v>
      </c>
      <c r="GL143">
        <v>35479.2</v>
      </c>
      <c r="GM143">
        <v>36326.4</v>
      </c>
      <c r="GN143">
        <v>41304.4</v>
      </c>
      <c r="GO143">
        <v>41762.1</v>
      </c>
      <c r="GP143">
        <v>1.956</v>
      </c>
      <c r="GQ143">
        <v>1.84962</v>
      </c>
      <c r="GR143">
        <v>-0.0224635</v>
      </c>
      <c r="GS143">
        <v>0</v>
      </c>
      <c r="GT143">
        <v>25.3747</v>
      </c>
      <c r="GU143">
        <v>999.9</v>
      </c>
      <c r="GV143">
        <v>31.7</v>
      </c>
      <c r="GW143">
        <v>34.3</v>
      </c>
      <c r="GX143">
        <v>19.1502</v>
      </c>
      <c r="GY143">
        <v>62.8274</v>
      </c>
      <c r="GZ143">
        <v>35.1723</v>
      </c>
      <c r="HA143">
        <v>1</v>
      </c>
      <c r="HB143">
        <v>0.106664</v>
      </c>
      <c r="HC143">
        <v>2.44288</v>
      </c>
      <c r="HD143">
        <v>20.3166</v>
      </c>
      <c r="HE143">
        <v>5.21864</v>
      </c>
      <c r="HF143">
        <v>12.0099</v>
      </c>
      <c r="HG143">
        <v>4.9891</v>
      </c>
      <c r="HH143">
        <v>3.2885</v>
      </c>
      <c r="HI143">
        <v>996.8</v>
      </c>
      <c r="HJ143">
        <v>9542.1</v>
      </c>
      <c r="HK143">
        <v>5139.4</v>
      </c>
      <c r="HL143">
        <v>24.9</v>
      </c>
      <c r="HM143">
        <v>1.86752</v>
      </c>
      <c r="HN143">
        <v>1.86646</v>
      </c>
      <c r="HO143">
        <v>1.866</v>
      </c>
      <c r="HP143">
        <v>1.86584</v>
      </c>
      <c r="HQ143">
        <v>1.86768</v>
      </c>
      <c r="HR143">
        <v>1.87021</v>
      </c>
      <c r="HS143">
        <v>1.86889</v>
      </c>
      <c r="HT143">
        <v>1.87023</v>
      </c>
      <c r="HU143">
        <v>0</v>
      </c>
      <c r="HV143">
        <v>0</v>
      </c>
      <c r="HW143">
        <v>0</v>
      </c>
      <c r="HX143">
        <v>0</v>
      </c>
      <c r="HY143" t="s">
        <v>421</v>
      </c>
      <c r="HZ143" t="s">
        <v>422</v>
      </c>
      <c r="IA143" t="s">
        <v>423</v>
      </c>
      <c r="IB143" t="s">
        <v>423</v>
      </c>
      <c r="IC143" t="s">
        <v>423</v>
      </c>
      <c r="ID143" t="s">
        <v>423</v>
      </c>
      <c r="IE143">
        <v>0</v>
      </c>
      <c r="IF143">
        <v>100</v>
      </c>
      <c r="IG143">
        <v>100</v>
      </c>
      <c r="IH143">
        <v>-1.649</v>
      </c>
      <c r="II143">
        <v>0.0174</v>
      </c>
      <c r="IJ143">
        <v>-0.2164499368582429</v>
      </c>
      <c r="IK143">
        <v>-0.002077099775823331</v>
      </c>
      <c r="IL143">
        <v>4.593143279902166E-07</v>
      </c>
      <c r="IM143">
        <v>-1.865383991892071E-10</v>
      </c>
      <c r="IN143">
        <v>-0.06087574426827484</v>
      </c>
      <c r="IO143">
        <v>-0.01129461987421345</v>
      </c>
      <c r="IP143">
        <v>0.00116580895745559</v>
      </c>
      <c r="IQ143">
        <v>-1.679085872906199E-05</v>
      </c>
      <c r="IR143">
        <v>2</v>
      </c>
      <c r="IS143">
        <v>2290</v>
      </c>
      <c r="IT143">
        <v>0</v>
      </c>
      <c r="IU143">
        <v>32</v>
      </c>
      <c r="IV143">
        <v>6.8</v>
      </c>
      <c r="IW143">
        <v>6.5</v>
      </c>
      <c r="IX143">
        <v>1.70288</v>
      </c>
      <c r="IY143">
        <v>2.21313</v>
      </c>
      <c r="IZ143">
        <v>1.39648</v>
      </c>
      <c r="JA143">
        <v>2.35596</v>
      </c>
      <c r="JB143">
        <v>1.49536</v>
      </c>
      <c r="JC143">
        <v>2.30225</v>
      </c>
      <c r="JD143">
        <v>38.4769</v>
      </c>
      <c r="JE143">
        <v>24.0262</v>
      </c>
      <c r="JF143">
        <v>18</v>
      </c>
      <c r="JG143">
        <v>511.374</v>
      </c>
      <c r="JH143">
        <v>428.565</v>
      </c>
      <c r="JI143">
        <v>22.1975</v>
      </c>
      <c r="JJ143">
        <v>28.6658</v>
      </c>
      <c r="JK143">
        <v>30.0004</v>
      </c>
      <c r="JL143">
        <v>28.6301</v>
      </c>
      <c r="JM143">
        <v>28.5698</v>
      </c>
      <c r="JN143">
        <v>33.9626</v>
      </c>
      <c r="JO143">
        <v>30.781</v>
      </c>
      <c r="JP143">
        <v>0</v>
      </c>
      <c r="JQ143">
        <v>22.1915</v>
      </c>
      <c r="JR143">
        <v>768.273</v>
      </c>
      <c r="JS143">
        <v>13.2725</v>
      </c>
      <c r="JT143">
        <v>100.307</v>
      </c>
      <c r="JU143">
        <v>100.232</v>
      </c>
    </row>
    <row r="144" spans="1:281">
      <c r="A144">
        <v>128</v>
      </c>
      <c r="B144">
        <v>1651864653.6</v>
      </c>
      <c r="C144">
        <v>433</v>
      </c>
      <c r="D144" t="s">
        <v>676</v>
      </c>
      <c r="E144" t="s">
        <v>677</v>
      </c>
      <c r="F144">
        <v>2</v>
      </c>
      <c r="G144" t="s">
        <v>413</v>
      </c>
      <c r="H144" t="s">
        <v>414</v>
      </c>
      <c r="I144">
        <v>1651864652.6</v>
      </c>
      <c r="J144">
        <f>(K144)/1000</f>
        <v>0</v>
      </c>
      <c r="K144">
        <f>IF(CZ144, AN144, AH144)</f>
        <v>0</v>
      </c>
      <c r="L144">
        <f>IF(CZ144, AI144, AG144)</f>
        <v>0</v>
      </c>
      <c r="M144">
        <f>DB144 - IF(AU144&gt;1, L144*CV144*100.0/(AW144*DP144), 0)</f>
        <v>0</v>
      </c>
      <c r="N144">
        <f>((T144-J144/2)*M144-L144)/(T144+J144/2)</f>
        <v>0</v>
      </c>
      <c r="O144">
        <f>N144*(DI144+DJ144)/1000.0</f>
        <v>0</v>
      </c>
      <c r="P144">
        <f>(DB144 - IF(AU144&gt;1, L144*CV144*100.0/(AW144*DP144), 0))*(DI144+DJ144)/1000.0</f>
        <v>0</v>
      </c>
      <c r="Q144">
        <f>2.0/((1/S144-1/R144)+SIGN(S144)*SQRT((1/S144-1/R144)*(1/S144-1/R144) + 4*CW144/((CW144+1)*(CW144+1))*(2*1/S144*1/R144-1/R144*1/R144)))</f>
        <v>0</v>
      </c>
      <c r="R144">
        <f>IF(LEFT(CX144,1)&lt;&gt;"0",IF(LEFT(CX144,1)="1",3.0,CY144),$D$5+$E$5*(DP144*DI144/($K$5*1000))+$F$5*(DP144*DI144/($K$5*1000))*MAX(MIN(CV144,$J$5),$I$5)*MAX(MIN(CV144,$J$5),$I$5)+$G$5*MAX(MIN(CV144,$J$5),$I$5)*(DP144*DI144/($K$5*1000))+$H$5*(DP144*DI144/($K$5*1000))*(DP144*DI144/($K$5*1000)))</f>
        <v>0</v>
      </c>
      <c r="S144">
        <f>J144*(1000-(1000*0.61365*exp(17.502*W144/(240.97+W144))/(DI144+DJ144)+DD144)/2)/(1000*0.61365*exp(17.502*W144/(240.97+W144))/(DI144+DJ144)-DD144)</f>
        <v>0</v>
      </c>
      <c r="T144">
        <f>1/((CW144+1)/(Q144/1.6)+1/(R144/1.37)) + CW144/((CW144+1)/(Q144/1.6) + CW144/(R144/1.37))</f>
        <v>0</v>
      </c>
      <c r="U144">
        <f>(CR144*CU144)</f>
        <v>0</v>
      </c>
      <c r="V144">
        <f>(DK144+(U144+2*0.95*5.67E-8*(((DK144+$B$7)+273)^4-(DK144+273)^4)-44100*J144)/(1.84*29.3*R144+8*0.95*5.67E-8*(DK144+273)^3))</f>
        <v>0</v>
      </c>
      <c r="W144">
        <f>($C$7*DL144+$D$7*DM144+$E$7*V144)</f>
        <v>0</v>
      </c>
      <c r="X144">
        <f>0.61365*exp(17.502*W144/(240.97+W144))</f>
        <v>0</v>
      </c>
      <c r="Y144">
        <f>(Z144/AA144*100)</f>
        <v>0</v>
      </c>
      <c r="Z144">
        <f>DD144*(DI144+DJ144)/1000</f>
        <v>0</v>
      </c>
      <c r="AA144">
        <f>0.61365*exp(17.502*DK144/(240.97+DK144))</f>
        <v>0</v>
      </c>
      <c r="AB144">
        <f>(X144-DD144*(DI144+DJ144)/1000)</f>
        <v>0</v>
      </c>
      <c r="AC144">
        <f>(-J144*44100)</f>
        <v>0</v>
      </c>
      <c r="AD144">
        <f>2*29.3*R144*0.92*(DK144-W144)</f>
        <v>0</v>
      </c>
      <c r="AE144">
        <f>2*0.95*5.67E-8*(((DK144+$B$7)+273)^4-(W144+273)^4)</f>
        <v>0</v>
      </c>
      <c r="AF144">
        <f>U144+AE144+AC144+AD144</f>
        <v>0</v>
      </c>
      <c r="AG144">
        <f>DH144*AU144*(DC144-DB144*(1000-AU144*DE144)/(1000-AU144*DD144))/(100*CV144)</f>
        <v>0</v>
      </c>
      <c r="AH144">
        <f>1000*DH144*AU144*(DD144-DE144)/(100*CV144*(1000-AU144*DD144))</f>
        <v>0</v>
      </c>
      <c r="AI144">
        <f>(AJ144 - AK144 - DI144*1E3/(8.314*(DK144+273.15)) * AM144/DH144 * AL144) * DH144/(100*CV144) * (1000 - DE144)/1000</f>
        <v>0</v>
      </c>
      <c r="AJ144">
        <v>804.2048843504883</v>
      </c>
      <c r="AK144">
        <v>789.8604060606062</v>
      </c>
      <c r="AL144">
        <v>-3.304950980396676</v>
      </c>
      <c r="AM144">
        <v>66.38192812717227</v>
      </c>
      <c r="AN144">
        <f>(AP144 - AO144 + DI144*1E3/(8.314*(DK144+273.15)) * AR144/DH144 * AQ144) * DH144/(100*CV144) * 1000/(1000 - AP144)</f>
        <v>0</v>
      </c>
      <c r="AO144">
        <v>13.09729772096004</v>
      </c>
      <c r="AP144">
        <v>18.14089205882353</v>
      </c>
      <c r="AQ144">
        <v>2.064463819983739E-05</v>
      </c>
      <c r="AR144">
        <v>80.47224507511959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MAX(0,($B$13+$C$13*DP144)/(1+$D$13*DP144)*DI144/(DK144+273)*$E$13)</f>
        <v>0</v>
      </c>
      <c r="AX144" t="s">
        <v>417</v>
      </c>
      <c r="AY144" t="s">
        <v>417</v>
      </c>
      <c r="AZ144">
        <v>0</v>
      </c>
      <c r="BA144">
        <v>0</v>
      </c>
      <c r="BB144">
        <f>1-AZ144/BA144</f>
        <v>0</v>
      </c>
      <c r="BC144">
        <v>0</v>
      </c>
      <c r="BD144" t="s">
        <v>417</v>
      </c>
      <c r="BE144" t="s">
        <v>417</v>
      </c>
      <c r="BF144">
        <v>0</v>
      </c>
      <c r="BG144">
        <v>0</v>
      </c>
      <c r="BH144">
        <f>1-BF144/BG144</f>
        <v>0</v>
      </c>
      <c r="BI144">
        <v>0.5</v>
      </c>
      <c r="BJ144">
        <f>CS144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417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1248</v>
      </c>
      <c r="CA144">
        <v>300</v>
      </c>
      <c r="CB144">
        <v>300</v>
      </c>
      <c r="CC144">
        <v>300</v>
      </c>
      <c r="CD144">
        <v>10442</v>
      </c>
      <c r="CE144">
        <v>1293.69</v>
      </c>
      <c r="CF144">
        <v>-0.00735246</v>
      </c>
      <c r="CG144">
        <v>0.5</v>
      </c>
      <c r="CH144" t="s">
        <v>417</v>
      </c>
      <c r="CI144" t="s">
        <v>417</v>
      </c>
      <c r="CJ144" t="s">
        <v>417</v>
      </c>
      <c r="CK144" t="s">
        <v>417</v>
      </c>
      <c r="CL144" t="s">
        <v>417</v>
      </c>
      <c r="CM144" t="s">
        <v>417</v>
      </c>
      <c r="CN144" t="s">
        <v>417</v>
      </c>
      <c r="CO144" t="s">
        <v>417</v>
      </c>
      <c r="CP144" t="s">
        <v>417</v>
      </c>
      <c r="CQ144" t="s">
        <v>417</v>
      </c>
      <c r="CR144">
        <f>$B$11*DQ144+$C$11*DR144+$F$11*EC144*(1-EF144)</f>
        <v>0</v>
      </c>
      <c r="CS144">
        <f>CR144*CT144</f>
        <v>0</v>
      </c>
      <c r="CT144">
        <f>($B$11*$D$9+$C$11*$D$9+$F$11*((EP144+EH144)/MAX(EP144+EH144+EQ144, 0.1)*$I$9+EQ144/MAX(EP144+EH144+EQ144, 0.1)*$J$9))/($B$11+$C$11+$F$11)</f>
        <v>0</v>
      </c>
      <c r="CU144">
        <f>($B$11*$K$9+$C$11*$K$9+$F$11*((EP144+EH144)/MAX(EP144+EH144+EQ144, 0.1)*$P$9+EQ144/MAX(EP144+EH144+EQ144, 0.1)*$Q$9))/($B$11+$C$11+$F$11)</f>
        <v>0</v>
      </c>
      <c r="CV144">
        <v>6</v>
      </c>
      <c r="CW144">
        <v>0.5</v>
      </c>
      <c r="CX144" t="s">
        <v>418</v>
      </c>
      <c r="CY144">
        <v>2</v>
      </c>
      <c r="CZ144" t="b">
        <v>1</v>
      </c>
      <c r="DA144">
        <v>1651864652.6</v>
      </c>
      <c r="DB144">
        <v>777.1556666666665</v>
      </c>
      <c r="DC144">
        <v>787.9053333333333</v>
      </c>
      <c r="DD144">
        <v>18.1405</v>
      </c>
      <c r="DE144">
        <v>13.13866666666667</v>
      </c>
      <c r="DF144">
        <v>778.7993333333334</v>
      </c>
      <c r="DG144">
        <v>18.1231</v>
      </c>
      <c r="DH144">
        <v>500.06</v>
      </c>
      <c r="DI144">
        <v>89.93859999999999</v>
      </c>
      <c r="DJ144">
        <v>0.09984196666666667</v>
      </c>
      <c r="DK144">
        <v>25.67946666666667</v>
      </c>
      <c r="DL144">
        <v>25.00043333333333</v>
      </c>
      <c r="DM144">
        <v>999.9</v>
      </c>
      <c r="DN144">
        <v>0</v>
      </c>
      <c r="DO144">
        <v>0</v>
      </c>
      <c r="DP144">
        <v>10012.5</v>
      </c>
      <c r="DQ144">
        <v>0</v>
      </c>
      <c r="DR144">
        <v>3.23193</v>
      </c>
      <c r="DS144">
        <v>-10.74926666666667</v>
      </c>
      <c r="DT144">
        <v>791.5143333333332</v>
      </c>
      <c r="DU144">
        <v>798.3950000000001</v>
      </c>
      <c r="DV144">
        <v>5.001803333333334</v>
      </c>
      <c r="DW144">
        <v>787.9053333333333</v>
      </c>
      <c r="DX144">
        <v>13.13866666666667</v>
      </c>
      <c r="DY144">
        <v>1.63153</v>
      </c>
      <c r="DZ144">
        <v>1.181676666666666</v>
      </c>
      <c r="EA144">
        <v>14.25986666666667</v>
      </c>
      <c r="EB144">
        <v>9.372666666666667</v>
      </c>
      <c r="EC144">
        <v>1499.936666666666</v>
      </c>
      <c r="ED144">
        <v>0.973007</v>
      </c>
      <c r="EE144">
        <v>0.0269931</v>
      </c>
      <c r="EF144">
        <v>0</v>
      </c>
      <c r="EG144">
        <v>902.294</v>
      </c>
      <c r="EH144">
        <v>5.00097</v>
      </c>
      <c r="EI144">
        <v>13403.66666666667</v>
      </c>
      <c r="EJ144">
        <v>12491.1</v>
      </c>
      <c r="EK144">
        <v>37.25</v>
      </c>
      <c r="EL144">
        <v>38.75</v>
      </c>
      <c r="EM144">
        <v>37.625</v>
      </c>
      <c r="EN144">
        <v>38.437</v>
      </c>
      <c r="EO144">
        <v>38.125</v>
      </c>
      <c r="EP144">
        <v>1454.586666666667</v>
      </c>
      <c r="EQ144">
        <v>40.35</v>
      </c>
      <c r="ER144">
        <v>0</v>
      </c>
      <c r="ES144">
        <v>432.6000001430511</v>
      </c>
      <c r="ET144">
        <v>0</v>
      </c>
      <c r="EU144">
        <v>905.5992000000001</v>
      </c>
      <c r="EV144">
        <v>-33.35469226331145</v>
      </c>
      <c r="EW144">
        <v>-482.1538454270547</v>
      </c>
      <c r="EX144">
        <v>13453.112</v>
      </c>
      <c r="EY144">
        <v>15</v>
      </c>
      <c r="EZ144">
        <v>1651864261.1</v>
      </c>
      <c r="FA144" t="s">
        <v>419</v>
      </c>
      <c r="FB144">
        <v>1651864241.6</v>
      </c>
      <c r="FC144">
        <v>1651864261.1</v>
      </c>
      <c r="FD144">
        <v>7</v>
      </c>
      <c r="FE144">
        <v>0.438</v>
      </c>
      <c r="FF144">
        <v>0.002</v>
      </c>
      <c r="FG144">
        <v>-0.988</v>
      </c>
      <c r="FH144">
        <v>-0.066</v>
      </c>
      <c r="FI144">
        <v>400</v>
      </c>
      <c r="FJ144">
        <v>11</v>
      </c>
      <c r="FK144">
        <v>0.05</v>
      </c>
      <c r="FL144">
        <v>0.02</v>
      </c>
      <c r="FM144">
        <v>-11.61788536585366</v>
      </c>
      <c r="FN144">
        <v>5.460572822299648</v>
      </c>
      <c r="FO144">
        <v>0.5417903093430491</v>
      </c>
      <c r="FP144">
        <v>-1</v>
      </c>
      <c r="FQ144">
        <v>5.134243170731708</v>
      </c>
      <c r="FR144">
        <v>-0.8411575609756003</v>
      </c>
      <c r="FS144">
        <v>0.0834226781309005</v>
      </c>
      <c r="FT144">
        <v>-1</v>
      </c>
      <c r="FU144">
        <v>0</v>
      </c>
      <c r="FV144">
        <v>0</v>
      </c>
      <c r="FW144">
        <v>0</v>
      </c>
      <c r="FX144">
        <v>-1</v>
      </c>
      <c r="FY144">
        <v>0</v>
      </c>
      <c r="FZ144">
        <v>0</v>
      </c>
      <c r="GA144" t="s">
        <v>420</v>
      </c>
      <c r="GB144">
        <v>2.98044</v>
      </c>
      <c r="GC144">
        <v>2.70612</v>
      </c>
      <c r="GD144">
        <v>0.144555</v>
      </c>
      <c r="GE144">
        <v>0.144224</v>
      </c>
      <c r="GF144">
        <v>0.0869528</v>
      </c>
      <c r="GG144">
        <v>0.0679386</v>
      </c>
      <c r="GH144">
        <v>26996.6</v>
      </c>
      <c r="GI144">
        <v>27066.4</v>
      </c>
      <c r="GJ144">
        <v>29344.5</v>
      </c>
      <c r="GK144">
        <v>29258.9</v>
      </c>
      <c r="GL144">
        <v>35478.6</v>
      </c>
      <c r="GM144">
        <v>36322.3</v>
      </c>
      <c r="GN144">
        <v>41303.8</v>
      </c>
      <c r="GO144">
        <v>41761.7</v>
      </c>
      <c r="GP144">
        <v>1.95627</v>
      </c>
      <c r="GQ144">
        <v>1.84942</v>
      </c>
      <c r="GR144">
        <v>-0.0228733</v>
      </c>
      <c r="GS144">
        <v>0</v>
      </c>
      <c r="GT144">
        <v>25.3736</v>
      </c>
      <c r="GU144">
        <v>999.9</v>
      </c>
      <c r="GV144">
        <v>31.7</v>
      </c>
      <c r="GW144">
        <v>34.3</v>
      </c>
      <c r="GX144">
        <v>19.1505</v>
      </c>
      <c r="GY144">
        <v>62.3875</v>
      </c>
      <c r="GZ144">
        <v>34.9079</v>
      </c>
      <c r="HA144">
        <v>1</v>
      </c>
      <c r="HB144">
        <v>0.106814</v>
      </c>
      <c r="HC144">
        <v>2.44098</v>
      </c>
      <c r="HD144">
        <v>20.3168</v>
      </c>
      <c r="HE144">
        <v>5.21804</v>
      </c>
      <c r="HF144">
        <v>12.0099</v>
      </c>
      <c r="HG144">
        <v>4.98915</v>
      </c>
      <c r="HH144">
        <v>3.2885</v>
      </c>
      <c r="HI144">
        <v>996.8</v>
      </c>
      <c r="HJ144">
        <v>9542.1</v>
      </c>
      <c r="HK144">
        <v>5139.4</v>
      </c>
      <c r="HL144">
        <v>24.9</v>
      </c>
      <c r="HM144">
        <v>1.86752</v>
      </c>
      <c r="HN144">
        <v>1.86646</v>
      </c>
      <c r="HO144">
        <v>1.866</v>
      </c>
      <c r="HP144">
        <v>1.86585</v>
      </c>
      <c r="HQ144">
        <v>1.86768</v>
      </c>
      <c r="HR144">
        <v>1.87021</v>
      </c>
      <c r="HS144">
        <v>1.8689</v>
      </c>
      <c r="HT144">
        <v>1.87025</v>
      </c>
      <c r="HU144">
        <v>0</v>
      </c>
      <c r="HV144">
        <v>0</v>
      </c>
      <c r="HW144">
        <v>0</v>
      </c>
      <c r="HX144">
        <v>0</v>
      </c>
      <c r="HY144" t="s">
        <v>421</v>
      </c>
      <c r="HZ144" t="s">
        <v>422</v>
      </c>
      <c r="IA144" t="s">
        <v>423</v>
      </c>
      <c r="IB144" t="s">
        <v>423</v>
      </c>
      <c r="IC144" t="s">
        <v>423</v>
      </c>
      <c r="ID144" t="s">
        <v>423</v>
      </c>
      <c r="IE144">
        <v>0</v>
      </c>
      <c r="IF144">
        <v>100</v>
      </c>
      <c r="IG144">
        <v>100</v>
      </c>
      <c r="IH144">
        <v>-1.638</v>
      </c>
      <c r="II144">
        <v>0.0174</v>
      </c>
      <c r="IJ144">
        <v>-0.2164499368582429</v>
      </c>
      <c r="IK144">
        <v>-0.002077099775823331</v>
      </c>
      <c r="IL144">
        <v>4.593143279902166E-07</v>
      </c>
      <c r="IM144">
        <v>-1.865383991892071E-10</v>
      </c>
      <c r="IN144">
        <v>-0.06087574426827484</v>
      </c>
      <c r="IO144">
        <v>-0.01129461987421345</v>
      </c>
      <c r="IP144">
        <v>0.00116580895745559</v>
      </c>
      <c r="IQ144">
        <v>-1.679085872906199E-05</v>
      </c>
      <c r="IR144">
        <v>2</v>
      </c>
      <c r="IS144">
        <v>2290</v>
      </c>
      <c r="IT144">
        <v>0</v>
      </c>
      <c r="IU144">
        <v>32</v>
      </c>
      <c r="IV144">
        <v>6.9</v>
      </c>
      <c r="IW144">
        <v>6.5</v>
      </c>
      <c r="IX144">
        <v>1.69067</v>
      </c>
      <c r="IY144">
        <v>2.20703</v>
      </c>
      <c r="IZ144">
        <v>1.39648</v>
      </c>
      <c r="JA144">
        <v>2.35718</v>
      </c>
      <c r="JB144">
        <v>1.49536</v>
      </c>
      <c r="JC144">
        <v>2.35229</v>
      </c>
      <c r="JD144">
        <v>38.4769</v>
      </c>
      <c r="JE144">
        <v>24.0437</v>
      </c>
      <c r="JF144">
        <v>18</v>
      </c>
      <c r="JG144">
        <v>511.553</v>
      </c>
      <c r="JH144">
        <v>428.448</v>
      </c>
      <c r="JI144">
        <v>22.192</v>
      </c>
      <c r="JJ144">
        <v>28.6658</v>
      </c>
      <c r="JK144">
        <v>30.0004</v>
      </c>
      <c r="JL144">
        <v>28.6301</v>
      </c>
      <c r="JM144">
        <v>28.5702</v>
      </c>
      <c r="JN144">
        <v>33.7257</v>
      </c>
      <c r="JO144">
        <v>30.781</v>
      </c>
      <c r="JP144">
        <v>0</v>
      </c>
      <c r="JQ144">
        <v>22.1915</v>
      </c>
      <c r="JR144">
        <v>761.577</v>
      </c>
      <c r="JS144">
        <v>13.2998</v>
      </c>
      <c r="JT144">
        <v>100.306</v>
      </c>
      <c r="JU144">
        <v>100.231</v>
      </c>
    </row>
    <row r="145" spans="1:281">
      <c r="A145">
        <v>129</v>
      </c>
      <c r="B145">
        <v>1651864655.6</v>
      </c>
      <c r="C145">
        <v>435</v>
      </c>
      <c r="D145" t="s">
        <v>678</v>
      </c>
      <c r="E145" t="s">
        <v>679</v>
      </c>
      <c r="F145">
        <v>2</v>
      </c>
      <c r="G145" t="s">
        <v>413</v>
      </c>
      <c r="H145" t="s">
        <v>414</v>
      </c>
      <c r="I145">
        <v>1651864654.225</v>
      </c>
      <c r="J145">
        <f>(K145)/1000</f>
        <v>0</v>
      </c>
      <c r="K145">
        <f>IF(CZ145, AN145, AH145)</f>
        <v>0</v>
      </c>
      <c r="L145">
        <f>IF(CZ145, AI145, AG145)</f>
        <v>0</v>
      </c>
      <c r="M145">
        <f>DB145 - IF(AU145&gt;1, L145*CV145*100.0/(AW145*DP145), 0)</f>
        <v>0</v>
      </c>
      <c r="N145">
        <f>((T145-J145/2)*M145-L145)/(T145+J145/2)</f>
        <v>0</v>
      </c>
      <c r="O145">
        <f>N145*(DI145+DJ145)/1000.0</f>
        <v>0</v>
      </c>
      <c r="P145">
        <f>(DB145 - IF(AU145&gt;1, L145*CV145*100.0/(AW145*DP145), 0))*(DI145+DJ145)/1000.0</f>
        <v>0</v>
      </c>
      <c r="Q145">
        <f>2.0/((1/S145-1/R145)+SIGN(S145)*SQRT((1/S145-1/R145)*(1/S145-1/R145) + 4*CW145/((CW145+1)*(CW145+1))*(2*1/S145*1/R145-1/R145*1/R145)))</f>
        <v>0</v>
      </c>
      <c r="R145">
        <f>IF(LEFT(CX145,1)&lt;&gt;"0",IF(LEFT(CX145,1)="1",3.0,CY145),$D$5+$E$5*(DP145*DI145/($K$5*1000))+$F$5*(DP145*DI145/($K$5*1000))*MAX(MIN(CV145,$J$5),$I$5)*MAX(MIN(CV145,$J$5),$I$5)+$G$5*MAX(MIN(CV145,$J$5),$I$5)*(DP145*DI145/($K$5*1000))+$H$5*(DP145*DI145/($K$5*1000))*(DP145*DI145/($K$5*1000)))</f>
        <v>0</v>
      </c>
      <c r="S145">
        <f>J145*(1000-(1000*0.61365*exp(17.502*W145/(240.97+W145))/(DI145+DJ145)+DD145)/2)/(1000*0.61365*exp(17.502*W145/(240.97+W145))/(DI145+DJ145)-DD145)</f>
        <v>0</v>
      </c>
      <c r="T145">
        <f>1/((CW145+1)/(Q145/1.6)+1/(R145/1.37)) + CW145/((CW145+1)/(Q145/1.6) + CW145/(R145/1.37))</f>
        <v>0</v>
      </c>
      <c r="U145">
        <f>(CR145*CU145)</f>
        <v>0</v>
      </c>
      <c r="V145">
        <f>(DK145+(U145+2*0.95*5.67E-8*(((DK145+$B$7)+273)^4-(DK145+273)^4)-44100*J145)/(1.84*29.3*R145+8*0.95*5.67E-8*(DK145+273)^3))</f>
        <v>0</v>
      </c>
      <c r="W145">
        <f>($C$7*DL145+$D$7*DM145+$E$7*V145)</f>
        <v>0</v>
      </c>
      <c r="X145">
        <f>0.61365*exp(17.502*W145/(240.97+W145))</f>
        <v>0</v>
      </c>
      <c r="Y145">
        <f>(Z145/AA145*100)</f>
        <v>0</v>
      </c>
      <c r="Z145">
        <f>DD145*(DI145+DJ145)/1000</f>
        <v>0</v>
      </c>
      <c r="AA145">
        <f>0.61365*exp(17.502*DK145/(240.97+DK145))</f>
        <v>0</v>
      </c>
      <c r="AB145">
        <f>(X145-DD145*(DI145+DJ145)/1000)</f>
        <v>0</v>
      </c>
      <c r="AC145">
        <f>(-J145*44100)</f>
        <v>0</v>
      </c>
      <c r="AD145">
        <f>2*29.3*R145*0.92*(DK145-W145)</f>
        <v>0</v>
      </c>
      <c r="AE145">
        <f>2*0.95*5.67E-8*(((DK145+$B$7)+273)^4-(W145+273)^4)</f>
        <v>0</v>
      </c>
      <c r="AF145">
        <f>U145+AE145+AC145+AD145</f>
        <v>0</v>
      </c>
      <c r="AG145">
        <f>DH145*AU145*(DC145-DB145*(1000-AU145*DE145)/(1000-AU145*DD145))/(100*CV145)</f>
        <v>0</v>
      </c>
      <c r="AH145">
        <f>1000*DH145*AU145*(DD145-DE145)/(100*CV145*(1000-AU145*DD145))</f>
        <v>0</v>
      </c>
      <c r="AI145">
        <f>(AJ145 - AK145 - DI145*1E3/(8.314*(DK145+273.15)) * AM145/DH145 * AL145) * DH145/(100*CV145) * (1000 - DE145)/1000</f>
        <v>0</v>
      </c>
      <c r="AJ145">
        <v>797.6280676699108</v>
      </c>
      <c r="AK145">
        <v>783.2544121212117</v>
      </c>
      <c r="AL145">
        <v>-3.304036888395987</v>
      </c>
      <c r="AM145">
        <v>66.38192812717227</v>
      </c>
      <c r="AN145">
        <f>(AP145 - AO145 + DI145*1E3/(8.314*(DK145+273.15)) * AR145/DH145 * AQ145) * DH145/(100*CV145) * 1000/(1000 - AP145)</f>
        <v>0</v>
      </c>
      <c r="AO145">
        <v>13.1210092302493</v>
      </c>
      <c r="AP145">
        <v>18.14136764705882</v>
      </c>
      <c r="AQ145">
        <v>1.728702069581028E-05</v>
      </c>
      <c r="AR145">
        <v>80.47224507511959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MAX(0,($B$13+$C$13*DP145)/(1+$D$13*DP145)*DI145/(DK145+273)*$E$13)</f>
        <v>0</v>
      </c>
      <c r="AX145" t="s">
        <v>417</v>
      </c>
      <c r="AY145" t="s">
        <v>417</v>
      </c>
      <c r="AZ145">
        <v>0</v>
      </c>
      <c r="BA145">
        <v>0</v>
      </c>
      <c r="BB145">
        <f>1-AZ145/BA145</f>
        <v>0</v>
      </c>
      <c r="BC145">
        <v>0</v>
      </c>
      <c r="BD145" t="s">
        <v>417</v>
      </c>
      <c r="BE145" t="s">
        <v>417</v>
      </c>
      <c r="BF145">
        <v>0</v>
      </c>
      <c r="BG145">
        <v>0</v>
      </c>
      <c r="BH145">
        <f>1-BF145/BG145</f>
        <v>0</v>
      </c>
      <c r="BI145">
        <v>0.5</v>
      </c>
      <c r="BJ145">
        <f>CS145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417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1248</v>
      </c>
      <c r="CA145">
        <v>300</v>
      </c>
      <c r="CB145">
        <v>300</v>
      </c>
      <c r="CC145">
        <v>300</v>
      </c>
      <c r="CD145">
        <v>10442</v>
      </c>
      <c r="CE145">
        <v>1293.69</v>
      </c>
      <c r="CF145">
        <v>-0.00735246</v>
      </c>
      <c r="CG145">
        <v>0.5</v>
      </c>
      <c r="CH145" t="s">
        <v>417</v>
      </c>
      <c r="CI145" t="s">
        <v>417</v>
      </c>
      <c r="CJ145" t="s">
        <v>417</v>
      </c>
      <c r="CK145" t="s">
        <v>417</v>
      </c>
      <c r="CL145" t="s">
        <v>417</v>
      </c>
      <c r="CM145" t="s">
        <v>417</v>
      </c>
      <c r="CN145" t="s">
        <v>417</v>
      </c>
      <c r="CO145" t="s">
        <v>417</v>
      </c>
      <c r="CP145" t="s">
        <v>417</v>
      </c>
      <c r="CQ145" t="s">
        <v>417</v>
      </c>
      <c r="CR145">
        <f>$B$11*DQ145+$C$11*DR145+$F$11*EC145*(1-EF145)</f>
        <v>0</v>
      </c>
      <c r="CS145">
        <f>CR145*CT145</f>
        <v>0</v>
      </c>
      <c r="CT145">
        <f>($B$11*$D$9+$C$11*$D$9+$F$11*((EP145+EH145)/MAX(EP145+EH145+EQ145, 0.1)*$I$9+EQ145/MAX(EP145+EH145+EQ145, 0.1)*$J$9))/($B$11+$C$11+$F$11)</f>
        <v>0</v>
      </c>
      <c r="CU145">
        <f>($B$11*$K$9+$C$11*$K$9+$F$11*((EP145+EH145)/MAX(EP145+EH145+EQ145, 0.1)*$P$9+EQ145/MAX(EP145+EH145+EQ145, 0.1)*$Q$9))/($B$11+$C$11+$F$11)</f>
        <v>0</v>
      </c>
      <c r="CV145">
        <v>6</v>
      </c>
      <c r="CW145">
        <v>0.5</v>
      </c>
      <c r="CX145" t="s">
        <v>418</v>
      </c>
      <c r="CY145">
        <v>2</v>
      </c>
      <c r="CZ145" t="b">
        <v>1</v>
      </c>
      <c r="DA145">
        <v>1651864654.225</v>
      </c>
      <c r="DB145">
        <v>771.885</v>
      </c>
      <c r="DC145">
        <v>782.5675</v>
      </c>
      <c r="DD145">
        <v>18.141275</v>
      </c>
      <c r="DE145">
        <v>13.1638</v>
      </c>
      <c r="DF145">
        <v>773.5197499999999</v>
      </c>
      <c r="DG145">
        <v>18.123875</v>
      </c>
      <c r="DH145">
        <v>500.04025</v>
      </c>
      <c r="DI145">
        <v>89.93879999999999</v>
      </c>
      <c r="DJ145">
        <v>0.099753625</v>
      </c>
      <c r="DK145">
        <v>25.679175</v>
      </c>
      <c r="DL145">
        <v>25.002225</v>
      </c>
      <c r="DM145">
        <v>999.9</v>
      </c>
      <c r="DN145">
        <v>0</v>
      </c>
      <c r="DO145">
        <v>0</v>
      </c>
      <c r="DP145">
        <v>10027.5</v>
      </c>
      <c r="DQ145">
        <v>0</v>
      </c>
      <c r="DR145">
        <v>3.23193</v>
      </c>
      <c r="DS145">
        <v>-10.682475</v>
      </c>
      <c r="DT145">
        <v>786.14675</v>
      </c>
      <c r="DU145">
        <v>793.0062499999999</v>
      </c>
      <c r="DV145">
        <v>4.977465</v>
      </c>
      <c r="DW145">
        <v>782.5675</v>
      </c>
      <c r="DX145">
        <v>13.1638</v>
      </c>
      <c r="DY145">
        <v>1.6316025</v>
      </c>
      <c r="DZ145">
        <v>1.1839375</v>
      </c>
      <c r="EA145">
        <v>14.260575</v>
      </c>
      <c r="EB145">
        <v>9.4010725</v>
      </c>
      <c r="EC145">
        <v>1499.925</v>
      </c>
      <c r="ED145">
        <v>0.973007</v>
      </c>
      <c r="EE145">
        <v>0.0269931</v>
      </c>
      <c r="EF145">
        <v>0</v>
      </c>
      <c r="EG145">
        <v>901.3920000000001</v>
      </c>
      <c r="EH145">
        <v>5.00097</v>
      </c>
      <c r="EI145">
        <v>13388.975</v>
      </c>
      <c r="EJ145">
        <v>12490.975</v>
      </c>
      <c r="EK145">
        <v>37.25</v>
      </c>
      <c r="EL145">
        <v>38.70274999999999</v>
      </c>
      <c r="EM145">
        <v>37.625</v>
      </c>
      <c r="EN145">
        <v>38.437</v>
      </c>
      <c r="EO145">
        <v>38.125</v>
      </c>
      <c r="EP145">
        <v>1454.575</v>
      </c>
      <c r="EQ145">
        <v>40.35</v>
      </c>
      <c r="ER145">
        <v>0</v>
      </c>
      <c r="ES145">
        <v>434.4000000953674</v>
      </c>
      <c r="ET145">
        <v>0</v>
      </c>
      <c r="EU145">
        <v>904.7531538461537</v>
      </c>
      <c r="EV145">
        <v>-32.61203421502475</v>
      </c>
      <c r="EW145">
        <v>-491.0632481989406</v>
      </c>
      <c r="EX145">
        <v>13441.01538461538</v>
      </c>
      <c r="EY145">
        <v>15</v>
      </c>
      <c r="EZ145">
        <v>1651864261.1</v>
      </c>
      <c r="FA145" t="s">
        <v>419</v>
      </c>
      <c r="FB145">
        <v>1651864241.6</v>
      </c>
      <c r="FC145">
        <v>1651864261.1</v>
      </c>
      <c r="FD145">
        <v>7</v>
      </c>
      <c r="FE145">
        <v>0.438</v>
      </c>
      <c r="FF145">
        <v>0.002</v>
      </c>
      <c r="FG145">
        <v>-0.988</v>
      </c>
      <c r="FH145">
        <v>-0.066</v>
      </c>
      <c r="FI145">
        <v>400</v>
      </c>
      <c r="FJ145">
        <v>11</v>
      </c>
      <c r="FK145">
        <v>0.05</v>
      </c>
      <c r="FL145">
        <v>0.02</v>
      </c>
      <c r="FM145">
        <v>-11.390385</v>
      </c>
      <c r="FN145">
        <v>5.396424765478438</v>
      </c>
      <c r="FO145">
        <v>0.5233073807763464</v>
      </c>
      <c r="FP145">
        <v>-1</v>
      </c>
      <c r="FQ145">
        <v>5.09470575</v>
      </c>
      <c r="FR145">
        <v>-0.7895141088180336</v>
      </c>
      <c r="FS145">
        <v>0.07616938183704461</v>
      </c>
      <c r="FT145">
        <v>-1</v>
      </c>
      <c r="FU145">
        <v>0</v>
      </c>
      <c r="FV145">
        <v>0</v>
      </c>
      <c r="FW145">
        <v>0</v>
      </c>
      <c r="FX145">
        <v>-1</v>
      </c>
      <c r="FY145">
        <v>0</v>
      </c>
      <c r="FZ145">
        <v>0</v>
      </c>
      <c r="GA145" t="s">
        <v>420</v>
      </c>
      <c r="GB145">
        <v>2.98049</v>
      </c>
      <c r="GC145">
        <v>2.70619</v>
      </c>
      <c r="GD145">
        <v>0.14374</v>
      </c>
      <c r="GE145">
        <v>0.143412</v>
      </c>
      <c r="GF145">
        <v>0.086963</v>
      </c>
      <c r="GG145">
        <v>0.0680722</v>
      </c>
      <c r="GH145">
        <v>27021.9</v>
      </c>
      <c r="GI145">
        <v>27092.2</v>
      </c>
      <c r="GJ145">
        <v>29344</v>
      </c>
      <c r="GK145">
        <v>29259</v>
      </c>
      <c r="GL145">
        <v>35477.8</v>
      </c>
      <c r="GM145">
        <v>36317.2</v>
      </c>
      <c r="GN145">
        <v>41303.3</v>
      </c>
      <c r="GO145">
        <v>41761.8</v>
      </c>
      <c r="GP145">
        <v>1.9563</v>
      </c>
      <c r="GQ145">
        <v>1.84945</v>
      </c>
      <c r="GR145">
        <v>-0.0222772</v>
      </c>
      <c r="GS145">
        <v>0</v>
      </c>
      <c r="GT145">
        <v>25.3726</v>
      </c>
      <c r="GU145">
        <v>999.9</v>
      </c>
      <c r="GV145">
        <v>31.7</v>
      </c>
      <c r="GW145">
        <v>34.3</v>
      </c>
      <c r="GX145">
        <v>19.151</v>
      </c>
      <c r="GY145">
        <v>62.4575</v>
      </c>
      <c r="GZ145">
        <v>34.8518</v>
      </c>
      <c r="HA145">
        <v>1</v>
      </c>
      <c r="HB145">
        <v>0.106832</v>
      </c>
      <c r="HC145">
        <v>2.43137</v>
      </c>
      <c r="HD145">
        <v>20.3168</v>
      </c>
      <c r="HE145">
        <v>5.21759</v>
      </c>
      <c r="HF145">
        <v>12.0099</v>
      </c>
      <c r="HG145">
        <v>4.98915</v>
      </c>
      <c r="HH145">
        <v>3.28848</v>
      </c>
      <c r="HI145">
        <v>996.8</v>
      </c>
      <c r="HJ145">
        <v>9542.1</v>
      </c>
      <c r="HK145">
        <v>5139.4</v>
      </c>
      <c r="HL145">
        <v>24.9</v>
      </c>
      <c r="HM145">
        <v>1.86752</v>
      </c>
      <c r="HN145">
        <v>1.86646</v>
      </c>
      <c r="HO145">
        <v>1.866</v>
      </c>
      <c r="HP145">
        <v>1.86584</v>
      </c>
      <c r="HQ145">
        <v>1.86768</v>
      </c>
      <c r="HR145">
        <v>1.87022</v>
      </c>
      <c r="HS145">
        <v>1.8689</v>
      </c>
      <c r="HT145">
        <v>1.87024</v>
      </c>
      <c r="HU145">
        <v>0</v>
      </c>
      <c r="HV145">
        <v>0</v>
      </c>
      <c r="HW145">
        <v>0</v>
      </c>
      <c r="HX145">
        <v>0</v>
      </c>
      <c r="HY145" t="s">
        <v>421</v>
      </c>
      <c r="HZ145" t="s">
        <v>422</v>
      </c>
      <c r="IA145" t="s">
        <v>423</v>
      </c>
      <c r="IB145" t="s">
        <v>423</v>
      </c>
      <c r="IC145" t="s">
        <v>423</v>
      </c>
      <c r="ID145" t="s">
        <v>423</v>
      </c>
      <c r="IE145">
        <v>0</v>
      </c>
      <c r="IF145">
        <v>100</v>
      </c>
      <c r="IG145">
        <v>100</v>
      </c>
      <c r="IH145">
        <v>-1.627</v>
      </c>
      <c r="II145">
        <v>0.0175</v>
      </c>
      <c r="IJ145">
        <v>-0.2164499368582429</v>
      </c>
      <c r="IK145">
        <v>-0.002077099775823331</v>
      </c>
      <c r="IL145">
        <v>4.593143279902166E-07</v>
      </c>
      <c r="IM145">
        <v>-1.865383991892071E-10</v>
      </c>
      <c r="IN145">
        <v>-0.06087574426827484</v>
      </c>
      <c r="IO145">
        <v>-0.01129461987421345</v>
      </c>
      <c r="IP145">
        <v>0.00116580895745559</v>
      </c>
      <c r="IQ145">
        <v>-1.679085872906199E-05</v>
      </c>
      <c r="IR145">
        <v>2</v>
      </c>
      <c r="IS145">
        <v>2290</v>
      </c>
      <c r="IT145">
        <v>0</v>
      </c>
      <c r="IU145">
        <v>32</v>
      </c>
      <c r="IV145">
        <v>6.9</v>
      </c>
      <c r="IW145">
        <v>6.6</v>
      </c>
      <c r="IX145">
        <v>1.67847</v>
      </c>
      <c r="IY145">
        <v>2.20947</v>
      </c>
      <c r="IZ145">
        <v>1.39648</v>
      </c>
      <c r="JA145">
        <v>2.35596</v>
      </c>
      <c r="JB145">
        <v>1.49536</v>
      </c>
      <c r="JC145">
        <v>2.34619</v>
      </c>
      <c r="JD145">
        <v>38.4769</v>
      </c>
      <c r="JE145">
        <v>24.035</v>
      </c>
      <c r="JF145">
        <v>18</v>
      </c>
      <c r="JG145">
        <v>511.577</v>
      </c>
      <c r="JH145">
        <v>428.463</v>
      </c>
      <c r="JI145">
        <v>22.1888</v>
      </c>
      <c r="JJ145">
        <v>28.6667</v>
      </c>
      <c r="JK145">
        <v>30.0002</v>
      </c>
      <c r="JL145">
        <v>28.631</v>
      </c>
      <c r="JM145">
        <v>28.5702</v>
      </c>
      <c r="JN145">
        <v>33.4881</v>
      </c>
      <c r="JO145">
        <v>30.4986</v>
      </c>
      <c r="JP145">
        <v>0</v>
      </c>
      <c r="JQ145">
        <v>22.1871</v>
      </c>
      <c r="JR145">
        <v>754.8819999999999</v>
      </c>
      <c r="JS145">
        <v>13.3224</v>
      </c>
      <c r="JT145">
        <v>100.304</v>
      </c>
      <c r="JU145">
        <v>100.231</v>
      </c>
    </row>
    <row r="146" spans="1:281">
      <c r="A146">
        <v>130</v>
      </c>
      <c r="B146">
        <v>1651864657.6</v>
      </c>
      <c r="C146">
        <v>437</v>
      </c>
      <c r="D146" t="s">
        <v>680</v>
      </c>
      <c r="E146" t="s">
        <v>681</v>
      </c>
      <c r="F146">
        <v>2</v>
      </c>
      <c r="G146" t="s">
        <v>413</v>
      </c>
      <c r="H146" t="s">
        <v>414</v>
      </c>
      <c r="I146">
        <v>1651864656.6</v>
      </c>
      <c r="J146">
        <f>(K146)/1000</f>
        <v>0</v>
      </c>
      <c r="K146">
        <f>IF(CZ146, AN146, AH146)</f>
        <v>0</v>
      </c>
      <c r="L146">
        <f>IF(CZ146, AI146, AG146)</f>
        <v>0</v>
      </c>
      <c r="M146">
        <f>DB146 - IF(AU146&gt;1, L146*CV146*100.0/(AW146*DP146), 0)</f>
        <v>0</v>
      </c>
      <c r="N146">
        <f>((T146-J146/2)*M146-L146)/(T146+J146/2)</f>
        <v>0</v>
      </c>
      <c r="O146">
        <f>N146*(DI146+DJ146)/1000.0</f>
        <v>0</v>
      </c>
      <c r="P146">
        <f>(DB146 - IF(AU146&gt;1, L146*CV146*100.0/(AW146*DP146), 0))*(DI146+DJ146)/1000.0</f>
        <v>0</v>
      </c>
      <c r="Q146">
        <f>2.0/((1/S146-1/R146)+SIGN(S146)*SQRT((1/S146-1/R146)*(1/S146-1/R146) + 4*CW146/((CW146+1)*(CW146+1))*(2*1/S146*1/R146-1/R146*1/R146)))</f>
        <v>0</v>
      </c>
      <c r="R146">
        <f>IF(LEFT(CX146,1)&lt;&gt;"0",IF(LEFT(CX146,1)="1",3.0,CY146),$D$5+$E$5*(DP146*DI146/($K$5*1000))+$F$5*(DP146*DI146/($K$5*1000))*MAX(MIN(CV146,$J$5),$I$5)*MAX(MIN(CV146,$J$5),$I$5)+$G$5*MAX(MIN(CV146,$J$5),$I$5)*(DP146*DI146/($K$5*1000))+$H$5*(DP146*DI146/($K$5*1000))*(DP146*DI146/($K$5*1000)))</f>
        <v>0</v>
      </c>
      <c r="S146">
        <f>J146*(1000-(1000*0.61365*exp(17.502*W146/(240.97+W146))/(DI146+DJ146)+DD146)/2)/(1000*0.61365*exp(17.502*W146/(240.97+W146))/(DI146+DJ146)-DD146)</f>
        <v>0</v>
      </c>
      <c r="T146">
        <f>1/((CW146+1)/(Q146/1.6)+1/(R146/1.37)) + CW146/((CW146+1)/(Q146/1.6) + CW146/(R146/1.37))</f>
        <v>0</v>
      </c>
      <c r="U146">
        <f>(CR146*CU146)</f>
        <v>0</v>
      </c>
      <c r="V146">
        <f>(DK146+(U146+2*0.95*5.67E-8*(((DK146+$B$7)+273)^4-(DK146+273)^4)-44100*J146)/(1.84*29.3*R146+8*0.95*5.67E-8*(DK146+273)^3))</f>
        <v>0</v>
      </c>
      <c r="W146">
        <f>($C$7*DL146+$D$7*DM146+$E$7*V146)</f>
        <v>0</v>
      </c>
      <c r="X146">
        <f>0.61365*exp(17.502*W146/(240.97+W146))</f>
        <v>0</v>
      </c>
      <c r="Y146">
        <f>(Z146/AA146*100)</f>
        <v>0</v>
      </c>
      <c r="Z146">
        <f>DD146*(DI146+DJ146)/1000</f>
        <v>0</v>
      </c>
      <c r="AA146">
        <f>0.61365*exp(17.502*DK146/(240.97+DK146))</f>
        <v>0</v>
      </c>
      <c r="AB146">
        <f>(X146-DD146*(DI146+DJ146)/1000)</f>
        <v>0</v>
      </c>
      <c r="AC146">
        <f>(-J146*44100)</f>
        <v>0</v>
      </c>
      <c r="AD146">
        <f>2*29.3*R146*0.92*(DK146-W146)</f>
        <v>0</v>
      </c>
      <c r="AE146">
        <f>2*0.95*5.67E-8*(((DK146+$B$7)+273)^4-(W146+273)^4)</f>
        <v>0</v>
      </c>
      <c r="AF146">
        <f>U146+AE146+AC146+AD146</f>
        <v>0</v>
      </c>
      <c r="AG146">
        <f>DH146*AU146*(DC146-DB146*(1000-AU146*DE146)/(1000-AU146*DD146))/(100*CV146)</f>
        <v>0</v>
      </c>
      <c r="AH146">
        <f>1000*DH146*AU146*(DD146-DE146)/(100*CV146*(1000-AU146*DD146))</f>
        <v>0</v>
      </c>
      <c r="AI146">
        <f>(AJ146 - AK146 - DI146*1E3/(8.314*(DK146+273.15)) * AM146/DH146 * AL146) * DH146/(100*CV146) * (1000 - DE146)/1000</f>
        <v>0</v>
      </c>
      <c r="AJ146">
        <v>790.9942392552906</v>
      </c>
      <c r="AK146">
        <v>776.6573393939394</v>
      </c>
      <c r="AL146">
        <v>-3.299618306761007</v>
      </c>
      <c r="AM146">
        <v>66.38192812717227</v>
      </c>
      <c r="AN146">
        <f>(AP146 - AO146 + DI146*1E3/(8.314*(DK146+273.15)) * AR146/DH146 * AQ146) * DH146/(100*CV146) * 1000/(1000 - AP146)</f>
        <v>0</v>
      </c>
      <c r="AO146">
        <v>13.14589145865037</v>
      </c>
      <c r="AP146">
        <v>18.14613323529411</v>
      </c>
      <c r="AQ146">
        <v>-4.052379141113562E-06</v>
      </c>
      <c r="AR146">
        <v>80.47224507511959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MAX(0,($B$13+$C$13*DP146)/(1+$D$13*DP146)*DI146/(DK146+273)*$E$13)</f>
        <v>0</v>
      </c>
      <c r="AX146" t="s">
        <v>417</v>
      </c>
      <c r="AY146" t="s">
        <v>417</v>
      </c>
      <c r="AZ146">
        <v>0</v>
      </c>
      <c r="BA146">
        <v>0</v>
      </c>
      <c r="BB146">
        <f>1-AZ146/BA146</f>
        <v>0</v>
      </c>
      <c r="BC146">
        <v>0</v>
      </c>
      <c r="BD146" t="s">
        <v>417</v>
      </c>
      <c r="BE146" t="s">
        <v>417</v>
      </c>
      <c r="BF146">
        <v>0</v>
      </c>
      <c r="BG146">
        <v>0</v>
      </c>
      <c r="BH146">
        <f>1-BF146/BG146</f>
        <v>0</v>
      </c>
      <c r="BI146">
        <v>0.5</v>
      </c>
      <c r="BJ146">
        <f>CS146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417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1248</v>
      </c>
      <c r="CA146">
        <v>300</v>
      </c>
      <c r="CB146">
        <v>300</v>
      </c>
      <c r="CC146">
        <v>300</v>
      </c>
      <c r="CD146">
        <v>10442</v>
      </c>
      <c r="CE146">
        <v>1293.69</v>
      </c>
      <c r="CF146">
        <v>-0.00735246</v>
      </c>
      <c r="CG146">
        <v>0.5</v>
      </c>
      <c r="CH146" t="s">
        <v>417</v>
      </c>
      <c r="CI146" t="s">
        <v>417</v>
      </c>
      <c r="CJ146" t="s">
        <v>417</v>
      </c>
      <c r="CK146" t="s">
        <v>417</v>
      </c>
      <c r="CL146" t="s">
        <v>417</v>
      </c>
      <c r="CM146" t="s">
        <v>417</v>
      </c>
      <c r="CN146" t="s">
        <v>417</v>
      </c>
      <c r="CO146" t="s">
        <v>417</v>
      </c>
      <c r="CP146" t="s">
        <v>417</v>
      </c>
      <c r="CQ146" t="s">
        <v>417</v>
      </c>
      <c r="CR146">
        <f>$B$11*DQ146+$C$11*DR146+$F$11*EC146*(1-EF146)</f>
        <v>0</v>
      </c>
      <c r="CS146">
        <f>CR146*CT146</f>
        <v>0</v>
      </c>
      <c r="CT146">
        <f>($B$11*$D$9+$C$11*$D$9+$F$11*((EP146+EH146)/MAX(EP146+EH146+EQ146, 0.1)*$I$9+EQ146/MAX(EP146+EH146+EQ146, 0.1)*$J$9))/($B$11+$C$11+$F$11)</f>
        <v>0</v>
      </c>
      <c r="CU146">
        <f>($B$11*$K$9+$C$11*$K$9+$F$11*((EP146+EH146)/MAX(EP146+EH146+EQ146, 0.1)*$P$9+EQ146/MAX(EP146+EH146+EQ146, 0.1)*$Q$9))/($B$11+$C$11+$F$11)</f>
        <v>0</v>
      </c>
      <c r="CV146">
        <v>6</v>
      </c>
      <c r="CW146">
        <v>0.5</v>
      </c>
      <c r="CX146" t="s">
        <v>418</v>
      </c>
      <c r="CY146">
        <v>2</v>
      </c>
      <c r="CZ146" t="b">
        <v>1</v>
      </c>
      <c r="DA146">
        <v>1651864656.6</v>
      </c>
      <c r="DB146">
        <v>764.1883333333334</v>
      </c>
      <c r="DC146">
        <v>774.7310000000001</v>
      </c>
      <c r="DD146">
        <v>18.14516666666666</v>
      </c>
      <c r="DE146">
        <v>13.20443333333333</v>
      </c>
      <c r="DF146">
        <v>765.8103333333333</v>
      </c>
      <c r="DG146">
        <v>18.12773333333334</v>
      </c>
      <c r="DH146">
        <v>500.0436666666667</v>
      </c>
      <c r="DI146">
        <v>89.9395</v>
      </c>
      <c r="DJ146">
        <v>0.1001020666666667</v>
      </c>
      <c r="DK146">
        <v>25.677</v>
      </c>
      <c r="DL146">
        <v>25.0062</v>
      </c>
      <c r="DM146">
        <v>999.9</v>
      </c>
      <c r="DN146">
        <v>0</v>
      </c>
      <c r="DO146">
        <v>0</v>
      </c>
      <c r="DP146">
        <v>10006.46</v>
      </c>
      <c r="DQ146">
        <v>0</v>
      </c>
      <c r="DR146">
        <v>3.23193</v>
      </c>
      <c r="DS146">
        <v>-10.5424</v>
      </c>
      <c r="DT146">
        <v>778.311</v>
      </c>
      <c r="DU146">
        <v>785.0976666666667</v>
      </c>
      <c r="DV146">
        <v>4.940766666666666</v>
      </c>
      <c r="DW146">
        <v>774.7310000000001</v>
      </c>
      <c r="DX146">
        <v>13.20443333333333</v>
      </c>
      <c r="DY146">
        <v>1.63197</v>
      </c>
      <c r="DZ146">
        <v>1.1876</v>
      </c>
      <c r="EA146">
        <v>14.26403333333333</v>
      </c>
      <c r="EB146">
        <v>9.447000000000001</v>
      </c>
      <c r="EC146">
        <v>1499.936666666666</v>
      </c>
      <c r="ED146">
        <v>0.973007</v>
      </c>
      <c r="EE146">
        <v>0.0269931</v>
      </c>
      <c r="EF146">
        <v>0</v>
      </c>
      <c r="EG146">
        <v>899.9249999999998</v>
      </c>
      <c r="EH146">
        <v>5.00097</v>
      </c>
      <c r="EI146">
        <v>13366.93333333333</v>
      </c>
      <c r="EJ146">
        <v>12491.06666666667</v>
      </c>
      <c r="EK146">
        <v>37.25</v>
      </c>
      <c r="EL146">
        <v>38.687</v>
      </c>
      <c r="EM146">
        <v>37.625</v>
      </c>
      <c r="EN146">
        <v>38.437</v>
      </c>
      <c r="EO146">
        <v>38.125</v>
      </c>
      <c r="EP146">
        <v>1454.586666666667</v>
      </c>
      <c r="EQ146">
        <v>40.35</v>
      </c>
      <c r="ER146">
        <v>0</v>
      </c>
      <c r="ES146">
        <v>436.7999999523163</v>
      </c>
      <c r="ET146">
        <v>0</v>
      </c>
      <c r="EU146">
        <v>903.4492692307691</v>
      </c>
      <c r="EV146">
        <v>-33.41200000118442</v>
      </c>
      <c r="EW146">
        <v>-503.7367521064944</v>
      </c>
      <c r="EX146">
        <v>13421.03461538462</v>
      </c>
      <c r="EY146">
        <v>15</v>
      </c>
      <c r="EZ146">
        <v>1651864261.1</v>
      </c>
      <c r="FA146" t="s">
        <v>419</v>
      </c>
      <c r="FB146">
        <v>1651864241.6</v>
      </c>
      <c r="FC146">
        <v>1651864261.1</v>
      </c>
      <c r="FD146">
        <v>7</v>
      </c>
      <c r="FE146">
        <v>0.438</v>
      </c>
      <c r="FF146">
        <v>0.002</v>
      </c>
      <c r="FG146">
        <v>-0.988</v>
      </c>
      <c r="FH146">
        <v>-0.066</v>
      </c>
      <c r="FI146">
        <v>400</v>
      </c>
      <c r="FJ146">
        <v>11</v>
      </c>
      <c r="FK146">
        <v>0.05</v>
      </c>
      <c r="FL146">
        <v>0.02</v>
      </c>
      <c r="FM146">
        <v>-11.30712</v>
      </c>
      <c r="FN146">
        <v>5.239503939962477</v>
      </c>
      <c r="FO146">
        <v>0.509252851342042</v>
      </c>
      <c r="FP146">
        <v>-1</v>
      </c>
      <c r="FQ146">
        <v>5.080847</v>
      </c>
      <c r="FR146">
        <v>-0.7854159849906287</v>
      </c>
      <c r="FS146">
        <v>0.07575431140205817</v>
      </c>
      <c r="FT146">
        <v>-1</v>
      </c>
      <c r="FU146">
        <v>0</v>
      </c>
      <c r="FV146">
        <v>0</v>
      </c>
      <c r="FW146">
        <v>0</v>
      </c>
      <c r="FX146">
        <v>-1</v>
      </c>
      <c r="FY146">
        <v>0</v>
      </c>
      <c r="FZ146">
        <v>0</v>
      </c>
      <c r="GA146" t="s">
        <v>420</v>
      </c>
      <c r="GB146">
        <v>2.98048</v>
      </c>
      <c r="GC146">
        <v>2.7064</v>
      </c>
      <c r="GD146">
        <v>0.142923</v>
      </c>
      <c r="GE146">
        <v>0.142588</v>
      </c>
      <c r="GF146">
        <v>0.0869788</v>
      </c>
      <c r="GG146">
        <v>0.06818159999999999</v>
      </c>
      <c r="GH146">
        <v>27047.8</v>
      </c>
      <c r="GI146">
        <v>27118.2</v>
      </c>
      <c r="GJ146">
        <v>29344.1</v>
      </c>
      <c r="GK146">
        <v>29259</v>
      </c>
      <c r="GL146">
        <v>35477.4</v>
      </c>
      <c r="GM146">
        <v>36313.1</v>
      </c>
      <c r="GN146">
        <v>41303.6</v>
      </c>
      <c r="GO146">
        <v>41762.1</v>
      </c>
      <c r="GP146">
        <v>1.9561</v>
      </c>
      <c r="GQ146">
        <v>1.84973</v>
      </c>
      <c r="GR146">
        <v>-0.0224262</v>
      </c>
      <c r="GS146">
        <v>0</v>
      </c>
      <c r="GT146">
        <v>25.371</v>
      </c>
      <c r="GU146">
        <v>999.9</v>
      </c>
      <c r="GV146">
        <v>31.7</v>
      </c>
      <c r="GW146">
        <v>34.3</v>
      </c>
      <c r="GX146">
        <v>19.1492</v>
      </c>
      <c r="GY146">
        <v>62.6175</v>
      </c>
      <c r="GZ146">
        <v>35.0321</v>
      </c>
      <c r="HA146">
        <v>1</v>
      </c>
      <c r="HB146">
        <v>0.10687</v>
      </c>
      <c r="HC146">
        <v>2.42708</v>
      </c>
      <c r="HD146">
        <v>20.3169</v>
      </c>
      <c r="HE146">
        <v>5.21774</v>
      </c>
      <c r="HF146">
        <v>12.0099</v>
      </c>
      <c r="HG146">
        <v>4.9889</v>
      </c>
      <c r="HH146">
        <v>3.28848</v>
      </c>
      <c r="HI146">
        <v>996.8</v>
      </c>
      <c r="HJ146">
        <v>9542.1</v>
      </c>
      <c r="HK146">
        <v>5139.4</v>
      </c>
      <c r="HL146">
        <v>24.9</v>
      </c>
      <c r="HM146">
        <v>1.86752</v>
      </c>
      <c r="HN146">
        <v>1.86646</v>
      </c>
      <c r="HO146">
        <v>1.866</v>
      </c>
      <c r="HP146">
        <v>1.86585</v>
      </c>
      <c r="HQ146">
        <v>1.86769</v>
      </c>
      <c r="HR146">
        <v>1.87024</v>
      </c>
      <c r="HS146">
        <v>1.8689</v>
      </c>
      <c r="HT146">
        <v>1.87024</v>
      </c>
      <c r="HU146">
        <v>0</v>
      </c>
      <c r="HV146">
        <v>0</v>
      </c>
      <c r="HW146">
        <v>0</v>
      </c>
      <c r="HX146">
        <v>0</v>
      </c>
      <c r="HY146" t="s">
        <v>421</v>
      </c>
      <c r="HZ146" t="s">
        <v>422</v>
      </c>
      <c r="IA146" t="s">
        <v>423</v>
      </c>
      <c r="IB146" t="s">
        <v>423</v>
      </c>
      <c r="IC146" t="s">
        <v>423</v>
      </c>
      <c r="ID146" t="s">
        <v>423</v>
      </c>
      <c r="IE146">
        <v>0</v>
      </c>
      <c r="IF146">
        <v>100</v>
      </c>
      <c r="IG146">
        <v>100</v>
      </c>
      <c r="IH146">
        <v>-1.616</v>
      </c>
      <c r="II146">
        <v>0.0175</v>
      </c>
      <c r="IJ146">
        <v>-0.2164499368582429</v>
      </c>
      <c r="IK146">
        <v>-0.002077099775823331</v>
      </c>
      <c r="IL146">
        <v>4.593143279902166E-07</v>
      </c>
      <c r="IM146">
        <v>-1.865383991892071E-10</v>
      </c>
      <c r="IN146">
        <v>-0.06087574426827484</v>
      </c>
      <c r="IO146">
        <v>-0.01129461987421345</v>
      </c>
      <c r="IP146">
        <v>0.00116580895745559</v>
      </c>
      <c r="IQ146">
        <v>-1.679085872906199E-05</v>
      </c>
      <c r="IR146">
        <v>2</v>
      </c>
      <c r="IS146">
        <v>2290</v>
      </c>
      <c r="IT146">
        <v>0</v>
      </c>
      <c r="IU146">
        <v>32</v>
      </c>
      <c r="IV146">
        <v>6.9</v>
      </c>
      <c r="IW146">
        <v>6.6</v>
      </c>
      <c r="IX146">
        <v>1.66626</v>
      </c>
      <c r="IY146">
        <v>2.21069</v>
      </c>
      <c r="IZ146">
        <v>1.39648</v>
      </c>
      <c r="JA146">
        <v>2.35596</v>
      </c>
      <c r="JB146">
        <v>1.49536</v>
      </c>
      <c r="JC146">
        <v>2.30591</v>
      </c>
      <c r="JD146">
        <v>38.4769</v>
      </c>
      <c r="JE146">
        <v>24.035</v>
      </c>
      <c r="JF146">
        <v>18</v>
      </c>
      <c r="JG146">
        <v>511.457</v>
      </c>
      <c r="JH146">
        <v>428.628</v>
      </c>
      <c r="JI146">
        <v>22.1863</v>
      </c>
      <c r="JJ146">
        <v>28.6679</v>
      </c>
      <c r="JK146">
        <v>30.0001</v>
      </c>
      <c r="JL146">
        <v>28.6322</v>
      </c>
      <c r="JM146">
        <v>28.5702</v>
      </c>
      <c r="JN146">
        <v>33.2524</v>
      </c>
      <c r="JO146">
        <v>30.4986</v>
      </c>
      <c r="JP146">
        <v>0</v>
      </c>
      <c r="JQ146">
        <v>22.1871</v>
      </c>
      <c r="JR146">
        <v>748.183</v>
      </c>
      <c r="JS146">
        <v>13.346</v>
      </c>
      <c r="JT146">
        <v>100.305</v>
      </c>
      <c r="JU146">
        <v>100.232</v>
      </c>
    </row>
    <row r="147" spans="1:281">
      <c r="A147">
        <v>131</v>
      </c>
      <c r="B147">
        <v>1651864659.6</v>
      </c>
      <c r="C147">
        <v>439</v>
      </c>
      <c r="D147" t="s">
        <v>682</v>
      </c>
      <c r="E147" t="s">
        <v>683</v>
      </c>
      <c r="F147">
        <v>2</v>
      </c>
      <c r="G147" t="s">
        <v>413</v>
      </c>
      <c r="H147" t="s">
        <v>414</v>
      </c>
      <c r="I147">
        <v>1651864658.225</v>
      </c>
      <c r="J147">
        <f>(K147)/1000</f>
        <v>0</v>
      </c>
      <c r="K147">
        <f>IF(CZ147, AN147, AH147)</f>
        <v>0</v>
      </c>
      <c r="L147">
        <f>IF(CZ147, AI147, AG147)</f>
        <v>0</v>
      </c>
      <c r="M147">
        <f>DB147 - IF(AU147&gt;1, L147*CV147*100.0/(AW147*DP147), 0)</f>
        <v>0</v>
      </c>
      <c r="N147">
        <f>((T147-J147/2)*M147-L147)/(T147+J147/2)</f>
        <v>0</v>
      </c>
      <c r="O147">
        <f>N147*(DI147+DJ147)/1000.0</f>
        <v>0</v>
      </c>
      <c r="P147">
        <f>(DB147 - IF(AU147&gt;1, L147*CV147*100.0/(AW147*DP147), 0))*(DI147+DJ147)/1000.0</f>
        <v>0</v>
      </c>
      <c r="Q147">
        <f>2.0/((1/S147-1/R147)+SIGN(S147)*SQRT((1/S147-1/R147)*(1/S147-1/R147) + 4*CW147/((CW147+1)*(CW147+1))*(2*1/S147*1/R147-1/R147*1/R147)))</f>
        <v>0</v>
      </c>
      <c r="R147">
        <f>IF(LEFT(CX147,1)&lt;&gt;"0",IF(LEFT(CX147,1)="1",3.0,CY147),$D$5+$E$5*(DP147*DI147/($K$5*1000))+$F$5*(DP147*DI147/($K$5*1000))*MAX(MIN(CV147,$J$5),$I$5)*MAX(MIN(CV147,$J$5),$I$5)+$G$5*MAX(MIN(CV147,$J$5),$I$5)*(DP147*DI147/($K$5*1000))+$H$5*(DP147*DI147/($K$5*1000))*(DP147*DI147/($K$5*1000)))</f>
        <v>0</v>
      </c>
      <c r="S147">
        <f>J147*(1000-(1000*0.61365*exp(17.502*W147/(240.97+W147))/(DI147+DJ147)+DD147)/2)/(1000*0.61365*exp(17.502*W147/(240.97+W147))/(DI147+DJ147)-DD147)</f>
        <v>0</v>
      </c>
      <c r="T147">
        <f>1/((CW147+1)/(Q147/1.6)+1/(R147/1.37)) + CW147/((CW147+1)/(Q147/1.6) + CW147/(R147/1.37))</f>
        <v>0</v>
      </c>
      <c r="U147">
        <f>(CR147*CU147)</f>
        <v>0</v>
      </c>
      <c r="V147">
        <f>(DK147+(U147+2*0.95*5.67E-8*(((DK147+$B$7)+273)^4-(DK147+273)^4)-44100*J147)/(1.84*29.3*R147+8*0.95*5.67E-8*(DK147+273)^3))</f>
        <v>0</v>
      </c>
      <c r="W147">
        <f>($C$7*DL147+$D$7*DM147+$E$7*V147)</f>
        <v>0</v>
      </c>
      <c r="X147">
        <f>0.61365*exp(17.502*W147/(240.97+W147))</f>
        <v>0</v>
      </c>
      <c r="Y147">
        <f>(Z147/AA147*100)</f>
        <v>0</v>
      </c>
      <c r="Z147">
        <f>DD147*(DI147+DJ147)/1000</f>
        <v>0</v>
      </c>
      <c r="AA147">
        <f>0.61365*exp(17.502*DK147/(240.97+DK147))</f>
        <v>0</v>
      </c>
      <c r="AB147">
        <f>(X147-DD147*(DI147+DJ147)/1000)</f>
        <v>0</v>
      </c>
      <c r="AC147">
        <f>(-J147*44100)</f>
        <v>0</v>
      </c>
      <c r="AD147">
        <f>2*29.3*R147*0.92*(DK147-W147)</f>
        <v>0</v>
      </c>
      <c r="AE147">
        <f>2*0.95*5.67E-8*(((DK147+$B$7)+273)^4-(W147+273)^4)</f>
        <v>0</v>
      </c>
      <c r="AF147">
        <f>U147+AE147+AC147+AD147</f>
        <v>0</v>
      </c>
      <c r="AG147">
        <f>DH147*AU147*(DC147-DB147*(1000-AU147*DE147)/(1000-AU147*DD147))/(100*CV147)</f>
        <v>0</v>
      </c>
      <c r="AH147">
        <f>1000*DH147*AU147*(DD147-DE147)/(100*CV147*(1000-AU147*DD147))</f>
        <v>0</v>
      </c>
      <c r="AI147">
        <f>(AJ147 - AK147 - DI147*1E3/(8.314*(DK147+273.15)) * AM147/DH147 * AL147) * DH147/(100*CV147) * (1000 - DE147)/1000</f>
        <v>0</v>
      </c>
      <c r="AJ147">
        <v>784.3207494131969</v>
      </c>
      <c r="AK147">
        <v>770.0997090909091</v>
      </c>
      <c r="AL147">
        <v>-3.28392424411501</v>
      </c>
      <c r="AM147">
        <v>66.38192812717227</v>
      </c>
      <c r="AN147">
        <f>(AP147 - AO147 + DI147*1E3/(8.314*(DK147+273.15)) * AR147/DH147 * AQ147) * DH147/(100*CV147) * 1000/(1000 - AP147)</f>
        <v>0</v>
      </c>
      <c r="AO147">
        <v>13.17943648162237</v>
      </c>
      <c r="AP147">
        <v>18.15305999999999</v>
      </c>
      <c r="AQ147">
        <v>1.173139885377365E-06</v>
      </c>
      <c r="AR147">
        <v>80.47224507511959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MAX(0,($B$13+$C$13*DP147)/(1+$D$13*DP147)*DI147/(DK147+273)*$E$13)</f>
        <v>0</v>
      </c>
      <c r="AX147" t="s">
        <v>417</v>
      </c>
      <c r="AY147" t="s">
        <v>417</v>
      </c>
      <c r="AZ147">
        <v>0</v>
      </c>
      <c r="BA147">
        <v>0</v>
      </c>
      <c r="BB147">
        <f>1-AZ147/BA147</f>
        <v>0</v>
      </c>
      <c r="BC147">
        <v>0</v>
      </c>
      <c r="BD147" t="s">
        <v>417</v>
      </c>
      <c r="BE147" t="s">
        <v>417</v>
      </c>
      <c r="BF147">
        <v>0</v>
      </c>
      <c r="BG147">
        <v>0</v>
      </c>
      <c r="BH147">
        <f>1-BF147/BG147</f>
        <v>0</v>
      </c>
      <c r="BI147">
        <v>0.5</v>
      </c>
      <c r="BJ147">
        <f>CS147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417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1248</v>
      </c>
      <c r="CA147">
        <v>300</v>
      </c>
      <c r="CB147">
        <v>300</v>
      </c>
      <c r="CC147">
        <v>300</v>
      </c>
      <c r="CD147">
        <v>10442</v>
      </c>
      <c r="CE147">
        <v>1293.69</v>
      </c>
      <c r="CF147">
        <v>-0.00735246</v>
      </c>
      <c r="CG147">
        <v>0.5</v>
      </c>
      <c r="CH147" t="s">
        <v>417</v>
      </c>
      <c r="CI147" t="s">
        <v>417</v>
      </c>
      <c r="CJ147" t="s">
        <v>417</v>
      </c>
      <c r="CK147" t="s">
        <v>417</v>
      </c>
      <c r="CL147" t="s">
        <v>417</v>
      </c>
      <c r="CM147" t="s">
        <v>417</v>
      </c>
      <c r="CN147" t="s">
        <v>417</v>
      </c>
      <c r="CO147" t="s">
        <v>417</v>
      </c>
      <c r="CP147" t="s">
        <v>417</v>
      </c>
      <c r="CQ147" t="s">
        <v>417</v>
      </c>
      <c r="CR147">
        <f>$B$11*DQ147+$C$11*DR147+$F$11*EC147*(1-EF147)</f>
        <v>0</v>
      </c>
      <c r="CS147">
        <f>CR147*CT147</f>
        <v>0</v>
      </c>
      <c r="CT147">
        <f>($B$11*$D$9+$C$11*$D$9+$F$11*((EP147+EH147)/MAX(EP147+EH147+EQ147, 0.1)*$I$9+EQ147/MAX(EP147+EH147+EQ147, 0.1)*$J$9))/($B$11+$C$11+$F$11)</f>
        <v>0</v>
      </c>
      <c r="CU147">
        <f>($B$11*$K$9+$C$11*$K$9+$F$11*((EP147+EH147)/MAX(EP147+EH147+EQ147, 0.1)*$P$9+EQ147/MAX(EP147+EH147+EQ147, 0.1)*$Q$9))/($B$11+$C$11+$F$11)</f>
        <v>0</v>
      </c>
      <c r="CV147">
        <v>6</v>
      </c>
      <c r="CW147">
        <v>0.5</v>
      </c>
      <c r="CX147" t="s">
        <v>418</v>
      </c>
      <c r="CY147">
        <v>2</v>
      </c>
      <c r="CZ147" t="b">
        <v>1</v>
      </c>
      <c r="DA147">
        <v>1651864658.225</v>
      </c>
      <c r="DB147">
        <v>758.9375</v>
      </c>
      <c r="DC147">
        <v>769.28675</v>
      </c>
      <c r="DD147">
        <v>18.150125</v>
      </c>
      <c r="DE147">
        <v>13.223175</v>
      </c>
      <c r="DF147">
        <v>760.54975</v>
      </c>
      <c r="DG147">
        <v>18.1326</v>
      </c>
      <c r="DH147">
        <v>500.02225</v>
      </c>
      <c r="DI147">
        <v>89.938925</v>
      </c>
      <c r="DJ147">
        <v>0.09999174999999999</v>
      </c>
      <c r="DK147">
        <v>25.6764</v>
      </c>
      <c r="DL147">
        <v>25.001575</v>
      </c>
      <c r="DM147">
        <v>999.9</v>
      </c>
      <c r="DN147">
        <v>0</v>
      </c>
      <c r="DO147">
        <v>0</v>
      </c>
      <c r="DP147">
        <v>9989.847499999998</v>
      </c>
      <c r="DQ147">
        <v>0</v>
      </c>
      <c r="DR147">
        <v>3.23193</v>
      </c>
      <c r="DS147">
        <v>-10.34925</v>
      </c>
      <c r="DT147">
        <v>772.96675</v>
      </c>
      <c r="DU147">
        <v>779.5954999999999</v>
      </c>
      <c r="DV147">
        <v>4.9269375</v>
      </c>
      <c r="DW147">
        <v>769.28675</v>
      </c>
      <c r="DX147">
        <v>13.223175</v>
      </c>
      <c r="DY147">
        <v>1.6324</v>
      </c>
      <c r="DZ147">
        <v>1.1892775</v>
      </c>
      <c r="EA147">
        <v>14.268125</v>
      </c>
      <c r="EB147">
        <v>9.4680175</v>
      </c>
      <c r="EC147">
        <v>1500.0125</v>
      </c>
      <c r="ED147">
        <v>0.9730082499999999</v>
      </c>
      <c r="EE147">
        <v>0.02699175</v>
      </c>
      <c r="EF147">
        <v>0</v>
      </c>
      <c r="EG147">
        <v>899.0287499999999</v>
      </c>
      <c r="EH147">
        <v>5.00097</v>
      </c>
      <c r="EI147">
        <v>13354.65</v>
      </c>
      <c r="EJ147">
        <v>12491.7</v>
      </c>
      <c r="EK147">
        <v>37.25</v>
      </c>
      <c r="EL147">
        <v>38.687</v>
      </c>
      <c r="EM147">
        <v>37.625</v>
      </c>
      <c r="EN147">
        <v>38.437</v>
      </c>
      <c r="EO147">
        <v>38.125</v>
      </c>
      <c r="EP147">
        <v>1454.6625</v>
      </c>
      <c r="EQ147">
        <v>40.35</v>
      </c>
      <c r="ER147">
        <v>0</v>
      </c>
      <c r="ES147">
        <v>438.6000001430511</v>
      </c>
      <c r="ET147">
        <v>0</v>
      </c>
      <c r="EU147">
        <v>902.2902</v>
      </c>
      <c r="EV147">
        <v>-33.52192302867947</v>
      </c>
      <c r="EW147">
        <v>-512.2692299278073</v>
      </c>
      <c r="EX147">
        <v>13403.42</v>
      </c>
      <c r="EY147">
        <v>15</v>
      </c>
      <c r="EZ147">
        <v>1651864261.1</v>
      </c>
      <c r="FA147" t="s">
        <v>419</v>
      </c>
      <c r="FB147">
        <v>1651864241.6</v>
      </c>
      <c r="FC147">
        <v>1651864261.1</v>
      </c>
      <c r="FD147">
        <v>7</v>
      </c>
      <c r="FE147">
        <v>0.438</v>
      </c>
      <c r="FF147">
        <v>0.002</v>
      </c>
      <c r="FG147">
        <v>-0.988</v>
      </c>
      <c r="FH147">
        <v>-0.066</v>
      </c>
      <c r="FI147">
        <v>400</v>
      </c>
      <c r="FJ147">
        <v>11</v>
      </c>
      <c r="FK147">
        <v>0.05</v>
      </c>
      <c r="FL147">
        <v>0.02</v>
      </c>
      <c r="FM147">
        <v>-11.0580575</v>
      </c>
      <c r="FN147">
        <v>4.984546716697986</v>
      </c>
      <c r="FO147">
        <v>0.485682773982926</v>
      </c>
      <c r="FP147">
        <v>-1</v>
      </c>
      <c r="FQ147">
        <v>5.041752499999999</v>
      </c>
      <c r="FR147">
        <v>-0.789182138836782</v>
      </c>
      <c r="FS147">
        <v>0.07612001105983893</v>
      </c>
      <c r="FT147">
        <v>-1</v>
      </c>
      <c r="FU147">
        <v>0</v>
      </c>
      <c r="FV147">
        <v>0</v>
      </c>
      <c r="FW147">
        <v>0</v>
      </c>
      <c r="FX147">
        <v>-1</v>
      </c>
      <c r="FY147">
        <v>0</v>
      </c>
      <c r="FZ147">
        <v>0</v>
      </c>
      <c r="GA147" t="s">
        <v>420</v>
      </c>
      <c r="GB147">
        <v>2.98029</v>
      </c>
      <c r="GC147">
        <v>2.70574</v>
      </c>
      <c r="GD147">
        <v>0.142109</v>
      </c>
      <c r="GE147">
        <v>0.141749</v>
      </c>
      <c r="GF147">
        <v>0.0869931</v>
      </c>
      <c r="GG147">
        <v>0.068262</v>
      </c>
      <c r="GH147">
        <v>27073.9</v>
      </c>
      <c r="GI147">
        <v>27144.6</v>
      </c>
      <c r="GJ147">
        <v>29344.5</v>
      </c>
      <c r="GK147">
        <v>29258.8</v>
      </c>
      <c r="GL147">
        <v>35477.1</v>
      </c>
      <c r="GM147">
        <v>36309.8</v>
      </c>
      <c r="GN147">
        <v>41304</v>
      </c>
      <c r="GO147">
        <v>41762</v>
      </c>
      <c r="GP147">
        <v>1.95575</v>
      </c>
      <c r="GQ147">
        <v>1.8498</v>
      </c>
      <c r="GR147">
        <v>-0.0224449</v>
      </c>
      <c r="GS147">
        <v>0</v>
      </c>
      <c r="GT147">
        <v>25.3699</v>
      </c>
      <c r="GU147">
        <v>999.9</v>
      </c>
      <c r="GV147">
        <v>31.7</v>
      </c>
      <c r="GW147">
        <v>34.3</v>
      </c>
      <c r="GX147">
        <v>19.1481</v>
      </c>
      <c r="GY147">
        <v>62.5975</v>
      </c>
      <c r="GZ147">
        <v>35.2484</v>
      </c>
      <c r="HA147">
        <v>1</v>
      </c>
      <c r="HB147">
        <v>0.106679</v>
      </c>
      <c r="HC147">
        <v>2.41823</v>
      </c>
      <c r="HD147">
        <v>20.3169</v>
      </c>
      <c r="HE147">
        <v>5.21714</v>
      </c>
      <c r="HF147">
        <v>12.0099</v>
      </c>
      <c r="HG147">
        <v>4.9872</v>
      </c>
      <c r="HH147">
        <v>3.28858</v>
      </c>
      <c r="HI147">
        <v>997</v>
      </c>
      <c r="HJ147">
        <v>9543.1</v>
      </c>
      <c r="HK147">
        <v>5139.4</v>
      </c>
      <c r="HL147">
        <v>24.9</v>
      </c>
      <c r="HM147">
        <v>1.86752</v>
      </c>
      <c r="HN147">
        <v>1.86646</v>
      </c>
      <c r="HO147">
        <v>1.866</v>
      </c>
      <c r="HP147">
        <v>1.86586</v>
      </c>
      <c r="HQ147">
        <v>1.86769</v>
      </c>
      <c r="HR147">
        <v>1.87023</v>
      </c>
      <c r="HS147">
        <v>1.8689</v>
      </c>
      <c r="HT147">
        <v>1.87025</v>
      </c>
      <c r="HU147">
        <v>0</v>
      </c>
      <c r="HV147">
        <v>0</v>
      </c>
      <c r="HW147">
        <v>0</v>
      </c>
      <c r="HX147">
        <v>0</v>
      </c>
      <c r="HY147" t="s">
        <v>421</v>
      </c>
      <c r="HZ147" t="s">
        <v>422</v>
      </c>
      <c r="IA147" t="s">
        <v>423</v>
      </c>
      <c r="IB147" t="s">
        <v>423</v>
      </c>
      <c r="IC147" t="s">
        <v>423</v>
      </c>
      <c r="ID147" t="s">
        <v>423</v>
      </c>
      <c r="IE147">
        <v>0</v>
      </c>
      <c r="IF147">
        <v>100</v>
      </c>
      <c r="IG147">
        <v>100</v>
      </c>
      <c r="IH147">
        <v>-1.605</v>
      </c>
      <c r="II147">
        <v>0.0175</v>
      </c>
      <c r="IJ147">
        <v>-0.2164499368582429</v>
      </c>
      <c r="IK147">
        <v>-0.002077099775823331</v>
      </c>
      <c r="IL147">
        <v>4.593143279902166E-07</v>
      </c>
      <c r="IM147">
        <v>-1.865383991892071E-10</v>
      </c>
      <c r="IN147">
        <v>-0.06087574426827484</v>
      </c>
      <c r="IO147">
        <v>-0.01129461987421345</v>
      </c>
      <c r="IP147">
        <v>0.00116580895745559</v>
      </c>
      <c r="IQ147">
        <v>-1.679085872906199E-05</v>
      </c>
      <c r="IR147">
        <v>2</v>
      </c>
      <c r="IS147">
        <v>2290</v>
      </c>
      <c r="IT147">
        <v>0</v>
      </c>
      <c r="IU147">
        <v>32</v>
      </c>
      <c r="IV147">
        <v>7</v>
      </c>
      <c r="IW147">
        <v>6.6</v>
      </c>
      <c r="IX147">
        <v>1.65527</v>
      </c>
      <c r="IY147">
        <v>2.21313</v>
      </c>
      <c r="IZ147">
        <v>1.39648</v>
      </c>
      <c r="JA147">
        <v>2.35596</v>
      </c>
      <c r="JB147">
        <v>1.49536</v>
      </c>
      <c r="JC147">
        <v>2.36938</v>
      </c>
      <c r="JD147">
        <v>38.4769</v>
      </c>
      <c r="JE147">
        <v>24.0437</v>
      </c>
      <c r="JF147">
        <v>18</v>
      </c>
      <c r="JG147">
        <v>511.231</v>
      </c>
      <c r="JH147">
        <v>428.673</v>
      </c>
      <c r="JI147">
        <v>22.1842</v>
      </c>
      <c r="JJ147">
        <v>28.6682</v>
      </c>
      <c r="JK147">
        <v>30</v>
      </c>
      <c r="JL147">
        <v>28.6325</v>
      </c>
      <c r="JM147">
        <v>28.5702</v>
      </c>
      <c r="JN147">
        <v>33.0173</v>
      </c>
      <c r="JO147">
        <v>30.2005</v>
      </c>
      <c r="JP147">
        <v>0</v>
      </c>
      <c r="JQ147">
        <v>22.183</v>
      </c>
      <c r="JR147">
        <v>741.481</v>
      </c>
      <c r="JS147">
        <v>13.3752</v>
      </c>
      <c r="JT147">
        <v>100.306</v>
      </c>
      <c r="JU147">
        <v>100.231</v>
      </c>
    </row>
    <row r="148" spans="1:281">
      <c r="A148">
        <v>132</v>
      </c>
      <c r="B148">
        <v>1651864661.6</v>
      </c>
      <c r="C148">
        <v>441</v>
      </c>
      <c r="D148" t="s">
        <v>684</v>
      </c>
      <c r="E148" t="s">
        <v>685</v>
      </c>
      <c r="F148">
        <v>2</v>
      </c>
      <c r="G148" t="s">
        <v>413</v>
      </c>
      <c r="H148" t="s">
        <v>414</v>
      </c>
      <c r="I148">
        <v>1651864660.6</v>
      </c>
      <c r="J148">
        <f>(K148)/1000</f>
        <v>0</v>
      </c>
      <c r="K148">
        <f>IF(CZ148, AN148, AH148)</f>
        <v>0</v>
      </c>
      <c r="L148">
        <f>IF(CZ148, AI148, AG148)</f>
        <v>0</v>
      </c>
      <c r="M148">
        <f>DB148 - IF(AU148&gt;1, L148*CV148*100.0/(AW148*DP148), 0)</f>
        <v>0</v>
      </c>
      <c r="N148">
        <f>((T148-J148/2)*M148-L148)/(T148+J148/2)</f>
        <v>0</v>
      </c>
      <c r="O148">
        <f>N148*(DI148+DJ148)/1000.0</f>
        <v>0</v>
      </c>
      <c r="P148">
        <f>(DB148 - IF(AU148&gt;1, L148*CV148*100.0/(AW148*DP148), 0))*(DI148+DJ148)/1000.0</f>
        <v>0</v>
      </c>
      <c r="Q148">
        <f>2.0/((1/S148-1/R148)+SIGN(S148)*SQRT((1/S148-1/R148)*(1/S148-1/R148) + 4*CW148/((CW148+1)*(CW148+1))*(2*1/S148*1/R148-1/R148*1/R148)))</f>
        <v>0</v>
      </c>
      <c r="R148">
        <f>IF(LEFT(CX148,1)&lt;&gt;"0",IF(LEFT(CX148,1)="1",3.0,CY148),$D$5+$E$5*(DP148*DI148/($K$5*1000))+$F$5*(DP148*DI148/($K$5*1000))*MAX(MIN(CV148,$J$5),$I$5)*MAX(MIN(CV148,$J$5),$I$5)+$G$5*MAX(MIN(CV148,$J$5),$I$5)*(DP148*DI148/($K$5*1000))+$H$5*(DP148*DI148/($K$5*1000))*(DP148*DI148/($K$5*1000)))</f>
        <v>0</v>
      </c>
      <c r="S148">
        <f>J148*(1000-(1000*0.61365*exp(17.502*W148/(240.97+W148))/(DI148+DJ148)+DD148)/2)/(1000*0.61365*exp(17.502*W148/(240.97+W148))/(DI148+DJ148)-DD148)</f>
        <v>0</v>
      </c>
      <c r="T148">
        <f>1/((CW148+1)/(Q148/1.6)+1/(R148/1.37)) + CW148/((CW148+1)/(Q148/1.6) + CW148/(R148/1.37))</f>
        <v>0</v>
      </c>
      <c r="U148">
        <f>(CR148*CU148)</f>
        <v>0</v>
      </c>
      <c r="V148">
        <f>(DK148+(U148+2*0.95*5.67E-8*(((DK148+$B$7)+273)^4-(DK148+273)^4)-44100*J148)/(1.84*29.3*R148+8*0.95*5.67E-8*(DK148+273)^3))</f>
        <v>0</v>
      </c>
      <c r="W148">
        <f>($C$7*DL148+$D$7*DM148+$E$7*V148)</f>
        <v>0</v>
      </c>
      <c r="X148">
        <f>0.61365*exp(17.502*W148/(240.97+W148))</f>
        <v>0</v>
      </c>
      <c r="Y148">
        <f>(Z148/AA148*100)</f>
        <v>0</v>
      </c>
      <c r="Z148">
        <f>DD148*(DI148+DJ148)/1000</f>
        <v>0</v>
      </c>
      <c r="AA148">
        <f>0.61365*exp(17.502*DK148/(240.97+DK148))</f>
        <v>0</v>
      </c>
      <c r="AB148">
        <f>(X148-DD148*(DI148+DJ148)/1000)</f>
        <v>0</v>
      </c>
      <c r="AC148">
        <f>(-J148*44100)</f>
        <v>0</v>
      </c>
      <c r="AD148">
        <f>2*29.3*R148*0.92*(DK148-W148)</f>
        <v>0</v>
      </c>
      <c r="AE148">
        <f>2*0.95*5.67E-8*(((DK148+$B$7)+273)^4-(W148+273)^4)</f>
        <v>0</v>
      </c>
      <c r="AF148">
        <f>U148+AE148+AC148+AD148</f>
        <v>0</v>
      </c>
      <c r="AG148">
        <f>DH148*AU148*(DC148-DB148*(1000-AU148*DE148)/(1000-AU148*DD148))/(100*CV148)</f>
        <v>0</v>
      </c>
      <c r="AH148">
        <f>1000*DH148*AU148*(DD148-DE148)/(100*CV148*(1000-AU148*DD148))</f>
        <v>0</v>
      </c>
      <c r="AI148">
        <f>(AJ148 - AK148 - DI148*1E3/(8.314*(DK148+273.15)) * AM148/DH148 * AL148) * DH148/(100*CV148) * (1000 - DE148)/1000</f>
        <v>0</v>
      </c>
      <c r="AJ148">
        <v>777.5282705692047</v>
      </c>
      <c r="AK148">
        <v>763.490727272727</v>
      </c>
      <c r="AL148">
        <v>-3.292917555413813</v>
      </c>
      <c r="AM148">
        <v>66.38192812717227</v>
      </c>
      <c r="AN148">
        <f>(AP148 - AO148 + DI148*1E3/(8.314*(DK148+273.15)) * AR148/DH148 * AQ148) * DH148/(100*CV148) * 1000/(1000 - AP148)</f>
        <v>0</v>
      </c>
      <c r="AO148">
        <v>13.21007144157388</v>
      </c>
      <c r="AP148">
        <v>18.1554238235294</v>
      </c>
      <c r="AQ148">
        <v>2.970331058463518E-05</v>
      </c>
      <c r="AR148">
        <v>80.47224507511959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MAX(0,($B$13+$C$13*DP148)/(1+$D$13*DP148)*DI148/(DK148+273)*$E$13)</f>
        <v>0</v>
      </c>
      <c r="AX148" t="s">
        <v>417</v>
      </c>
      <c r="AY148" t="s">
        <v>417</v>
      </c>
      <c r="AZ148">
        <v>0</v>
      </c>
      <c r="BA148">
        <v>0</v>
      </c>
      <c r="BB148">
        <f>1-AZ148/BA148</f>
        <v>0</v>
      </c>
      <c r="BC148">
        <v>0</v>
      </c>
      <c r="BD148" t="s">
        <v>417</v>
      </c>
      <c r="BE148" t="s">
        <v>417</v>
      </c>
      <c r="BF148">
        <v>0</v>
      </c>
      <c r="BG148">
        <v>0</v>
      </c>
      <c r="BH148">
        <f>1-BF148/BG148</f>
        <v>0</v>
      </c>
      <c r="BI148">
        <v>0.5</v>
      </c>
      <c r="BJ148">
        <f>CS148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417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1248</v>
      </c>
      <c r="CA148">
        <v>300</v>
      </c>
      <c r="CB148">
        <v>300</v>
      </c>
      <c r="CC148">
        <v>300</v>
      </c>
      <c r="CD148">
        <v>10442</v>
      </c>
      <c r="CE148">
        <v>1293.69</v>
      </c>
      <c r="CF148">
        <v>-0.00735246</v>
      </c>
      <c r="CG148">
        <v>0.5</v>
      </c>
      <c r="CH148" t="s">
        <v>417</v>
      </c>
      <c r="CI148" t="s">
        <v>417</v>
      </c>
      <c r="CJ148" t="s">
        <v>417</v>
      </c>
      <c r="CK148" t="s">
        <v>417</v>
      </c>
      <c r="CL148" t="s">
        <v>417</v>
      </c>
      <c r="CM148" t="s">
        <v>417</v>
      </c>
      <c r="CN148" t="s">
        <v>417</v>
      </c>
      <c r="CO148" t="s">
        <v>417</v>
      </c>
      <c r="CP148" t="s">
        <v>417</v>
      </c>
      <c r="CQ148" t="s">
        <v>417</v>
      </c>
      <c r="CR148">
        <f>$B$11*DQ148+$C$11*DR148+$F$11*EC148*(1-EF148)</f>
        <v>0</v>
      </c>
      <c r="CS148">
        <f>CR148*CT148</f>
        <v>0</v>
      </c>
      <c r="CT148">
        <f>($B$11*$D$9+$C$11*$D$9+$F$11*((EP148+EH148)/MAX(EP148+EH148+EQ148, 0.1)*$I$9+EQ148/MAX(EP148+EH148+EQ148, 0.1)*$J$9))/($B$11+$C$11+$F$11)</f>
        <v>0</v>
      </c>
      <c r="CU148">
        <f>($B$11*$K$9+$C$11*$K$9+$F$11*((EP148+EH148)/MAX(EP148+EH148+EQ148, 0.1)*$P$9+EQ148/MAX(EP148+EH148+EQ148, 0.1)*$Q$9))/($B$11+$C$11+$F$11)</f>
        <v>0</v>
      </c>
      <c r="CV148">
        <v>6</v>
      </c>
      <c r="CW148">
        <v>0.5</v>
      </c>
      <c r="CX148" t="s">
        <v>418</v>
      </c>
      <c r="CY148">
        <v>2</v>
      </c>
      <c r="CZ148" t="b">
        <v>1</v>
      </c>
      <c r="DA148">
        <v>1651864660.6</v>
      </c>
      <c r="DB148">
        <v>751.2463333333334</v>
      </c>
      <c r="DC148">
        <v>761.1990000000001</v>
      </c>
      <c r="DD148">
        <v>18.1542</v>
      </c>
      <c r="DE148">
        <v>13.24786666666667</v>
      </c>
      <c r="DF148">
        <v>752.8456666666667</v>
      </c>
      <c r="DG148">
        <v>18.13663333333333</v>
      </c>
      <c r="DH148">
        <v>499.9843333333333</v>
      </c>
      <c r="DI148">
        <v>89.93906666666665</v>
      </c>
      <c r="DJ148">
        <v>0.09992830000000001</v>
      </c>
      <c r="DK148">
        <v>25.6779</v>
      </c>
      <c r="DL148">
        <v>25.0057</v>
      </c>
      <c r="DM148">
        <v>999.9</v>
      </c>
      <c r="DN148">
        <v>0</v>
      </c>
      <c r="DO148">
        <v>0</v>
      </c>
      <c r="DP148">
        <v>9981.666666666666</v>
      </c>
      <c r="DQ148">
        <v>0</v>
      </c>
      <c r="DR148">
        <v>3.23193</v>
      </c>
      <c r="DS148">
        <v>-9.953090000000001</v>
      </c>
      <c r="DT148">
        <v>765.1366666666667</v>
      </c>
      <c r="DU148">
        <v>771.4186666666666</v>
      </c>
      <c r="DV148">
        <v>4.906376666666667</v>
      </c>
      <c r="DW148">
        <v>761.1990000000001</v>
      </c>
      <c r="DX148">
        <v>13.24786666666667</v>
      </c>
      <c r="DY148">
        <v>1.632773333333333</v>
      </c>
      <c r="DZ148">
        <v>1.191496666666667</v>
      </c>
      <c r="EA148">
        <v>14.2716</v>
      </c>
      <c r="EB148">
        <v>9.495726666666668</v>
      </c>
      <c r="EC148">
        <v>1499.92</v>
      </c>
      <c r="ED148">
        <v>0.973007</v>
      </c>
      <c r="EE148">
        <v>0.0269931</v>
      </c>
      <c r="EF148">
        <v>0</v>
      </c>
      <c r="EG148">
        <v>897.6173333333332</v>
      </c>
      <c r="EH148">
        <v>5.00097</v>
      </c>
      <c r="EI148">
        <v>13332.86666666667</v>
      </c>
      <c r="EJ148">
        <v>12490.9</v>
      </c>
      <c r="EK148">
        <v>37.25</v>
      </c>
      <c r="EL148">
        <v>38.687</v>
      </c>
      <c r="EM148">
        <v>37.625</v>
      </c>
      <c r="EN148">
        <v>38.437</v>
      </c>
      <c r="EO148">
        <v>38.125</v>
      </c>
      <c r="EP148">
        <v>1454.57</v>
      </c>
      <c r="EQ148">
        <v>40.35</v>
      </c>
      <c r="ER148">
        <v>0</v>
      </c>
      <c r="ES148">
        <v>440.4000000953674</v>
      </c>
      <c r="ET148">
        <v>0</v>
      </c>
      <c r="EU148">
        <v>901.4249615384615</v>
      </c>
      <c r="EV148">
        <v>-34.47463250233443</v>
      </c>
      <c r="EW148">
        <v>-519.5521370514725</v>
      </c>
      <c r="EX148">
        <v>13390.59615384615</v>
      </c>
      <c r="EY148">
        <v>15</v>
      </c>
      <c r="EZ148">
        <v>1651864261.1</v>
      </c>
      <c r="FA148" t="s">
        <v>419</v>
      </c>
      <c r="FB148">
        <v>1651864241.6</v>
      </c>
      <c r="FC148">
        <v>1651864261.1</v>
      </c>
      <c r="FD148">
        <v>7</v>
      </c>
      <c r="FE148">
        <v>0.438</v>
      </c>
      <c r="FF148">
        <v>0.002</v>
      </c>
      <c r="FG148">
        <v>-0.988</v>
      </c>
      <c r="FH148">
        <v>-0.066</v>
      </c>
      <c r="FI148">
        <v>400</v>
      </c>
      <c r="FJ148">
        <v>11</v>
      </c>
      <c r="FK148">
        <v>0.05</v>
      </c>
      <c r="FL148">
        <v>0.02</v>
      </c>
      <c r="FM148">
        <v>-10.9707675</v>
      </c>
      <c r="FN148">
        <v>5.075366228893086</v>
      </c>
      <c r="FO148">
        <v>0.4946629056173001</v>
      </c>
      <c r="FP148">
        <v>-1</v>
      </c>
      <c r="FQ148">
        <v>5.02961</v>
      </c>
      <c r="FR148">
        <v>-0.7908258911819972</v>
      </c>
      <c r="FS148">
        <v>0.07626571575747521</v>
      </c>
      <c r="FT148">
        <v>-1</v>
      </c>
      <c r="FU148">
        <v>0</v>
      </c>
      <c r="FV148">
        <v>0</v>
      </c>
      <c r="FW148">
        <v>0</v>
      </c>
      <c r="FX148">
        <v>-1</v>
      </c>
      <c r="FY148">
        <v>0</v>
      </c>
      <c r="FZ148">
        <v>0</v>
      </c>
      <c r="GA148" t="s">
        <v>420</v>
      </c>
      <c r="GB148">
        <v>2.98034</v>
      </c>
      <c r="GC148">
        <v>2.70598</v>
      </c>
      <c r="GD148">
        <v>0.141285</v>
      </c>
      <c r="GE148">
        <v>0.140897</v>
      </c>
      <c r="GF148">
        <v>0.08699949999999999</v>
      </c>
      <c r="GG148">
        <v>0.06835189999999999</v>
      </c>
      <c r="GH148">
        <v>27099.9</v>
      </c>
      <c r="GI148">
        <v>27171.6</v>
      </c>
      <c r="GJ148">
        <v>29344.5</v>
      </c>
      <c r="GK148">
        <v>29258.9</v>
      </c>
      <c r="GL148">
        <v>35477</v>
      </c>
      <c r="GM148">
        <v>36306.3</v>
      </c>
      <c r="GN148">
        <v>41304.1</v>
      </c>
      <c r="GO148">
        <v>41762</v>
      </c>
      <c r="GP148">
        <v>1.95578</v>
      </c>
      <c r="GQ148">
        <v>1.8498</v>
      </c>
      <c r="GR148">
        <v>-0.0220537</v>
      </c>
      <c r="GS148">
        <v>0</v>
      </c>
      <c r="GT148">
        <v>25.3687</v>
      </c>
      <c r="GU148">
        <v>999.9</v>
      </c>
      <c r="GV148">
        <v>31.7</v>
      </c>
      <c r="GW148">
        <v>34.3</v>
      </c>
      <c r="GX148">
        <v>19.1498</v>
      </c>
      <c r="GY148">
        <v>62.5174</v>
      </c>
      <c r="GZ148">
        <v>34.9399</v>
      </c>
      <c r="HA148">
        <v>1</v>
      </c>
      <c r="HB148">
        <v>0.106557</v>
      </c>
      <c r="HC148">
        <v>2.41731</v>
      </c>
      <c r="HD148">
        <v>20.3167</v>
      </c>
      <c r="HE148">
        <v>5.21759</v>
      </c>
      <c r="HF148">
        <v>12.0099</v>
      </c>
      <c r="HG148">
        <v>4.9874</v>
      </c>
      <c r="HH148">
        <v>3.28865</v>
      </c>
      <c r="HI148">
        <v>997</v>
      </c>
      <c r="HJ148">
        <v>9543.1</v>
      </c>
      <c r="HK148">
        <v>5139.4</v>
      </c>
      <c r="HL148">
        <v>24.9</v>
      </c>
      <c r="HM148">
        <v>1.86752</v>
      </c>
      <c r="HN148">
        <v>1.86646</v>
      </c>
      <c r="HO148">
        <v>1.866</v>
      </c>
      <c r="HP148">
        <v>1.86586</v>
      </c>
      <c r="HQ148">
        <v>1.86769</v>
      </c>
      <c r="HR148">
        <v>1.87021</v>
      </c>
      <c r="HS148">
        <v>1.86889</v>
      </c>
      <c r="HT148">
        <v>1.87025</v>
      </c>
      <c r="HU148">
        <v>0</v>
      </c>
      <c r="HV148">
        <v>0</v>
      </c>
      <c r="HW148">
        <v>0</v>
      </c>
      <c r="HX148">
        <v>0</v>
      </c>
      <c r="HY148" t="s">
        <v>421</v>
      </c>
      <c r="HZ148" t="s">
        <v>422</v>
      </c>
      <c r="IA148" t="s">
        <v>423</v>
      </c>
      <c r="IB148" t="s">
        <v>423</v>
      </c>
      <c r="IC148" t="s">
        <v>423</v>
      </c>
      <c r="ID148" t="s">
        <v>423</v>
      </c>
      <c r="IE148">
        <v>0</v>
      </c>
      <c r="IF148">
        <v>100</v>
      </c>
      <c r="IG148">
        <v>100</v>
      </c>
      <c r="IH148">
        <v>-1.594</v>
      </c>
      <c r="II148">
        <v>0.0176</v>
      </c>
      <c r="IJ148">
        <v>-0.2164499368582429</v>
      </c>
      <c r="IK148">
        <v>-0.002077099775823331</v>
      </c>
      <c r="IL148">
        <v>4.593143279902166E-07</v>
      </c>
      <c r="IM148">
        <v>-1.865383991892071E-10</v>
      </c>
      <c r="IN148">
        <v>-0.06087574426827484</v>
      </c>
      <c r="IO148">
        <v>-0.01129461987421345</v>
      </c>
      <c r="IP148">
        <v>0.00116580895745559</v>
      </c>
      <c r="IQ148">
        <v>-1.679085872906199E-05</v>
      </c>
      <c r="IR148">
        <v>2</v>
      </c>
      <c r="IS148">
        <v>2290</v>
      </c>
      <c r="IT148">
        <v>0</v>
      </c>
      <c r="IU148">
        <v>32</v>
      </c>
      <c r="IV148">
        <v>7</v>
      </c>
      <c r="IW148">
        <v>6.7</v>
      </c>
      <c r="IX148">
        <v>1.64307</v>
      </c>
      <c r="IY148">
        <v>2.21436</v>
      </c>
      <c r="IZ148">
        <v>1.39648</v>
      </c>
      <c r="JA148">
        <v>2.35596</v>
      </c>
      <c r="JB148">
        <v>1.49536</v>
      </c>
      <c r="JC148">
        <v>2.29736</v>
      </c>
      <c r="JD148">
        <v>38.4769</v>
      </c>
      <c r="JE148">
        <v>24.035</v>
      </c>
      <c r="JF148">
        <v>18</v>
      </c>
      <c r="JG148">
        <v>511.247</v>
      </c>
      <c r="JH148">
        <v>428.673</v>
      </c>
      <c r="JI148">
        <v>22.1828</v>
      </c>
      <c r="JJ148">
        <v>28.6682</v>
      </c>
      <c r="JK148">
        <v>30.0001</v>
      </c>
      <c r="JL148">
        <v>28.6325</v>
      </c>
      <c r="JM148">
        <v>28.5702</v>
      </c>
      <c r="JN148">
        <v>32.7839</v>
      </c>
      <c r="JO148">
        <v>30.2005</v>
      </c>
      <c r="JP148">
        <v>0</v>
      </c>
      <c r="JQ148">
        <v>22.183</v>
      </c>
      <c r="JR148">
        <v>734.783</v>
      </c>
      <c r="JS148">
        <v>13.3999</v>
      </c>
      <c r="JT148">
        <v>100.306</v>
      </c>
      <c r="JU148">
        <v>100.231</v>
      </c>
    </row>
    <row r="149" spans="1:281">
      <c r="A149">
        <v>133</v>
      </c>
      <c r="B149">
        <v>1651864663.6</v>
      </c>
      <c r="C149">
        <v>443</v>
      </c>
      <c r="D149" t="s">
        <v>686</v>
      </c>
      <c r="E149" t="s">
        <v>687</v>
      </c>
      <c r="F149">
        <v>2</v>
      </c>
      <c r="G149" t="s">
        <v>413</v>
      </c>
      <c r="H149" t="s">
        <v>414</v>
      </c>
      <c r="I149">
        <v>1651864662.225</v>
      </c>
      <c r="J149">
        <f>(K149)/1000</f>
        <v>0</v>
      </c>
      <c r="K149">
        <f>IF(CZ149, AN149, AH149)</f>
        <v>0</v>
      </c>
      <c r="L149">
        <f>IF(CZ149, AI149, AG149)</f>
        <v>0</v>
      </c>
      <c r="M149">
        <f>DB149 - IF(AU149&gt;1, L149*CV149*100.0/(AW149*DP149), 0)</f>
        <v>0</v>
      </c>
      <c r="N149">
        <f>((T149-J149/2)*M149-L149)/(T149+J149/2)</f>
        <v>0</v>
      </c>
      <c r="O149">
        <f>N149*(DI149+DJ149)/1000.0</f>
        <v>0</v>
      </c>
      <c r="P149">
        <f>(DB149 - IF(AU149&gt;1, L149*CV149*100.0/(AW149*DP149), 0))*(DI149+DJ149)/1000.0</f>
        <v>0</v>
      </c>
      <c r="Q149">
        <f>2.0/((1/S149-1/R149)+SIGN(S149)*SQRT((1/S149-1/R149)*(1/S149-1/R149) + 4*CW149/((CW149+1)*(CW149+1))*(2*1/S149*1/R149-1/R149*1/R149)))</f>
        <v>0</v>
      </c>
      <c r="R149">
        <f>IF(LEFT(CX149,1)&lt;&gt;"0",IF(LEFT(CX149,1)="1",3.0,CY149),$D$5+$E$5*(DP149*DI149/($K$5*1000))+$F$5*(DP149*DI149/($K$5*1000))*MAX(MIN(CV149,$J$5),$I$5)*MAX(MIN(CV149,$J$5),$I$5)+$G$5*MAX(MIN(CV149,$J$5),$I$5)*(DP149*DI149/($K$5*1000))+$H$5*(DP149*DI149/($K$5*1000))*(DP149*DI149/($K$5*1000)))</f>
        <v>0</v>
      </c>
      <c r="S149">
        <f>J149*(1000-(1000*0.61365*exp(17.502*W149/(240.97+W149))/(DI149+DJ149)+DD149)/2)/(1000*0.61365*exp(17.502*W149/(240.97+W149))/(DI149+DJ149)-DD149)</f>
        <v>0</v>
      </c>
      <c r="T149">
        <f>1/((CW149+1)/(Q149/1.6)+1/(R149/1.37)) + CW149/((CW149+1)/(Q149/1.6) + CW149/(R149/1.37))</f>
        <v>0</v>
      </c>
      <c r="U149">
        <f>(CR149*CU149)</f>
        <v>0</v>
      </c>
      <c r="V149">
        <f>(DK149+(U149+2*0.95*5.67E-8*(((DK149+$B$7)+273)^4-(DK149+273)^4)-44100*J149)/(1.84*29.3*R149+8*0.95*5.67E-8*(DK149+273)^3))</f>
        <v>0</v>
      </c>
      <c r="W149">
        <f>($C$7*DL149+$D$7*DM149+$E$7*V149)</f>
        <v>0</v>
      </c>
      <c r="X149">
        <f>0.61365*exp(17.502*W149/(240.97+W149))</f>
        <v>0</v>
      </c>
      <c r="Y149">
        <f>(Z149/AA149*100)</f>
        <v>0</v>
      </c>
      <c r="Z149">
        <f>DD149*(DI149+DJ149)/1000</f>
        <v>0</v>
      </c>
      <c r="AA149">
        <f>0.61365*exp(17.502*DK149/(240.97+DK149))</f>
        <v>0</v>
      </c>
      <c r="AB149">
        <f>(X149-DD149*(DI149+DJ149)/1000)</f>
        <v>0</v>
      </c>
      <c r="AC149">
        <f>(-J149*44100)</f>
        <v>0</v>
      </c>
      <c r="AD149">
        <f>2*29.3*R149*0.92*(DK149-W149)</f>
        <v>0</v>
      </c>
      <c r="AE149">
        <f>2*0.95*5.67E-8*(((DK149+$B$7)+273)^4-(W149+273)^4)</f>
        <v>0</v>
      </c>
      <c r="AF149">
        <f>U149+AE149+AC149+AD149</f>
        <v>0</v>
      </c>
      <c r="AG149">
        <f>DH149*AU149*(DC149-DB149*(1000-AU149*DE149)/(1000-AU149*DD149))/(100*CV149)</f>
        <v>0</v>
      </c>
      <c r="AH149">
        <f>1000*DH149*AU149*(DD149-DE149)/(100*CV149*(1000-AU149*DD149))</f>
        <v>0</v>
      </c>
      <c r="AI149">
        <f>(AJ149 - AK149 - DI149*1E3/(8.314*(DK149+273.15)) * AM149/DH149 * AL149) * DH149/(100*CV149) * (1000 - DE149)/1000</f>
        <v>0</v>
      </c>
      <c r="AJ149">
        <v>770.6309107531334</v>
      </c>
      <c r="AK149">
        <v>756.8515757575752</v>
      </c>
      <c r="AL149">
        <v>-3.313796380775555</v>
      </c>
      <c r="AM149">
        <v>66.38192812717227</v>
      </c>
      <c r="AN149">
        <f>(AP149 - AO149 + DI149*1E3/(8.314*(DK149+273.15)) * AR149/DH149 * AQ149) * DH149/(100*CV149) * 1000/(1000 - AP149)</f>
        <v>0</v>
      </c>
      <c r="AO149">
        <v>13.23128805385039</v>
      </c>
      <c r="AP149">
        <v>18.15468088235295</v>
      </c>
      <c r="AQ149">
        <v>4.136997053568454E-05</v>
      </c>
      <c r="AR149">
        <v>80.47224507511959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MAX(0,($B$13+$C$13*DP149)/(1+$D$13*DP149)*DI149/(DK149+273)*$E$13)</f>
        <v>0</v>
      </c>
      <c r="AX149" t="s">
        <v>417</v>
      </c>
      <c r="AY149" t="s">
        <v>417</v>
      </c>
      <c r="AZ149">
        <v>0</v>
      </c>
      <c r="BA149">
        <v>0</v>
      </c>
      <c r="BB149">
        <f>1-AZ149/BA149</f>
        <v>0</v>
      </c>
      <c r="BC149">
        <v>0</v>
      </c>
      <c r="BD149" t="s">
        <v>417</v>
      </c>
      <c r="BE149" t="s">
        <v>417</v>
      </c>
      <c r="BF149">
        <v>0</v>
      </c>
      <c r="BG149">
        <v>0</v>
      </c>
      <c r="BH149">
        <f>1-BF149/BG149</f>
        <v>0</v>
      </c>
      <c r="BI149">
        <v>0.5</v>
      </c>
      <c r="BJ149">
        <f>CS149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417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1248</v>
      </c>
      <c r="CA149">
        <v>300</v>
      </c>
      <c r="CB149">
        <v>300</v>
      </c>
      <c r="CC149">
        <v>300</v>
      </c>
      <c r="CD149">
        <v>10442</v>
      </c>
      <c r="CE149">
        <v>1293.69</v>
      </c>
      <c r="CF149">
        <v>-0.00735246</v>
      </c>
      <c r="CG149">
        <v>0.5</v>
      </c>
      <c r="CH149" t="s">
        <v>417</v>
      </c>
      <c r="CI149" t="s">
        <v>417</v>
      </c>
      <c r="CJ149" t="s">
        <v>417</v>
      </c>
      <c r="CK149" t="s">
        <v>417</v>
      </c>
      <c r="CL149" t="s">
        <v>417</v>
      </c>
      <c r="CM149" t="s">
        <v>417</v>
      </c>
      <c r="CN149" t="s">
        <v>417</v>
      </c>
      <c r="CO149" t="s">
        <v>417</v>
      </c>
      <c r="CP149" t="s">
        <v>417</v>
      </c>
      <c r="CQ149" t="s">
        <v>417</v>
      </c>
      <c r="CR149">
        <f>$B$11*DQ149+$C$11*DR149+$F$11*EC149*(1-EF149)</f>
        <v>0</v>
      </c>
      <c r="CS149">
        <f>CR149*CT149</f>
        <v>0</v>
      </c>
      <c r="CT149">
        <f>($B$11*$D$9+$C$11*$D$9+$F$11*((EP149+EH149)/MAX(EP149+EH149+EQ149, 0.1)*$I$9+EQ149/MAX(EP149+EH149+EQ149, 0.1)*$J$9))/($B$11+$C$11+$F$11)</f>
        <v>0</v>
      </c>
      <c r="CU149">
        <f>($B$11*$K$9+$C$11*$K$9+$F$11*((EP149+EH149)/MAX(EP149+EH149+EQ149, 0.1)*$P$9+EQ149/MAX(EP149+EH149+EQ149, 0.1)*$Q$9))/($B$11+$C$11+$F$11)</f>
        <v>0</v>
      </c>
      <c r="CV149">
        <v>6</v>
      </c>
      <c r="CW149">
        <v>0.5</v>
      </c>
      <c r="CX149" t="s">
        <v>418</v>
      </c>
      <c r="CY149">
        <v>2</v>
      </c>
      <c r="CZ149" t="b">
        <v>1</v>
      </c>
      <c r="DA149">
        <v>1651864662.225</v>
      </c>
      <c r="DB149">
        <v>745.962</v>
      </c>
      <c r="DC149">
        <v>755.7020000000001</v>
      </c>
      <c r="DD149">
        <v>18.1548</v>
      </c>
      <c r="DE149">
        <v>13.2716</v>
      </c>
      <c r="DF149">
        <v>747.5525</v>
      </c>
      <c r="DG149">
        <v>18.137225</v>
      </c>
      <c r="DH149">
        <v>500.03425</v>
      </c>
      <c r="DI149">
        <v>89.9388</v>
      </c>
      <c r="DJ149">
        <v>0.100189875</v>
      </c>
      <c r="DK149">
        <v>25.676175</v>
      </c>
      <c r="DL149">
        <v>25.005975</v>
      </c>
      <c r="DM149">
        <v>999.9</v>
      </c>
      <c r="DN149">
        <v>0</v>
      </c>
      <c r="DO149">
        <v>0</v>
      </c>
      <c r="DP149">
        <v>9992.799999999999</v>
      </c>
      <c r="DQ149">
        <v>0</v>
      </c>
      <c r="DR149">
        <v>3.23193</v>
      </c>
      <c r="DS149">
        <v>-9.7401125</v>
      </c>
      <c r="DT149">
        <v>759.7555</v>
      </c>
      <c r="DU149">
        <v>765.86625</v>
      </c>
      <c r="DV149">
        <v>4.8832225</v>
      </c>
      <c r="DW149">
        <v>755.7020000000001</v>
      </c>
      <c r="DX149">
        <v>13.2716</v>
      </c>
      <c r="DY149">
        <v>1.63282</v>
      </c>
      <c r="DZ149">
        <v>1.19363</v>
      </c>
      <c r="EA149">
        <v>14.2721</v>
      </c>
      <c r="EB149">
        <v>9.52233</v>
      </c>
      <c r="EC149">
        <v>1500.0025</v>
      </c>
      <c r="ED149">
        <v>0.9730082499999999</v>
      </c>
      <c r="EE149">
        <v>0.02699174999999999</v>
      </c>
      <c r="EF149">
        <v>0</v>
      </c>
      <c r="EG149">
        <v>896.3127499999999</v>
      </c>
      <c r="EH149">
        <v>5.00097</v>
      </c>
      <c r="EI149">
        <v>13317.525</v>
      </c>
      <c r="EJ149">
        <v>12491.625</v>
      </c>
      <c r="EK149">
        <v>37.25</v>
      </c>
      <c r="EL149">
        <v>38.687</v>
      </c>
      <c r="EM149">
        <v>37.625</v>
      </c>
      <c r="EN149">
        <v>38.437</v>
      </c>
      <c r="EO149">
        <v>38.125</v>
      </c>
      <c r="EP149">
        <v>1454.6525</v>
      </c>
      <c r="EQ149">
        <v>40.35</v>
      </c>
      <c r="ER149">
        <v>0</v>
      </c>
      <c r="ES149">
        <v>442.7999999523163</v>
      </c>
      <c r="ET149">
        <v>0</v>
      </c>
      <c r="EU149">
        <v>899.9963846153844</v>
      </c>
      <c r="EV149">
        <v>-35.53169231034368</v>
      </c>
      <c r="EW149">
        <v>-527.1863247276118</v>
      </c>
      <c r="EX149">
        <v>13369.50769230769</v>
      </c>
      <c r="EY149">
        <v>15</v>
      </c>
      <c r="EZ149">
        <v>1651864261.1</v>
      </c>
      <c r="FA149" t="s">
        <v>419</v>
      </c>
      <c r="FB149">
        <v>1651864241.6</v>
      </c>
      <c r="FC149">
        <v>1651864261.1</v>
      </c>
      <c r="FD149">
        <v>7</v>
      </c>
      <c r="FE149">
        <v>0.438</v>
      </c>
      <c r="FF149">
        <v>0.002</v>
      </c>
      <c r="FG149">
        <v>-0.988</v>
      </c>
      <c r="FH149">
        <v>-0.066</v>
      </c>
      <c r="FI149">
        <v>400</v>
      </c>
      <c r="FJ149">
        <v>11</v>
      </c>
      <c r="FK149">
        <v>0.05</v>
      </c>
      <c r="FL149">
        <v>0.02</v>
      </c>
      <c r="FM149">
        <v>-10.680421</v>
      </c>
      <c r="FN149">
        <v>5.495556247654813</v>
      </c>
      <c r="FO149">
        <v>0.5382344852051008</v>
      </c>
      <c r="FP149">
        <v>-1</v>
      </c>
      <c r="FQ149">
        <v>4.992039</v>
      </c>
      <c r="FR149">
        <v>-0.7749239774859312</v>
      </c>
      <c r="FS149">
        <v>0.07479020566892434</v>
      </c>
      <c r="FT149">
        <v>-1</v>
      </c>
      <c r="FU149">
        <v>0</v>
      </c>
      <c r="FV149">
        <v>0</v>
      </c>
      <c r="FW149">
        <v>0</v>
      </c>
      <c r="FX149">
        <v>-1</v>
      </c>
      <c r="FY149">
        <v>0</v>
      </c>
      <c r="FZ149">
        <v>0</v>
      </c>
      <c r="GA149" t="s">
        <v>420</v>
      </c>
      <c r="GB149">
        <v>2.98074</v>
      </c>
      <c r="GC149">
        <v>2.70651</v>
      </c>
      <c r="GD149">
        <v>0.140453</v>
      </c>
      <c r="GE149">
        <v>0.14005</v>
      </c>
      <c r="GF149">
        <v>0.08699750000000001</v>
      </c>
      <c r="GG149">
        <v>0.0684821</v>
      </c>
      <c r="GH149">
        <v>27126.2</v>
      </c>
      <c r="GI149">
        <v>27198.4</v>
      </c>
      <c r="GJ149">
        <v>29344.5</v>
      </c>
      <c r="GK149">
        <v>29258.9</v>
      </c>
      <c r="GL149">
        <v>35477.2</v>
      </c>
      <c r="GM149">
        <v>36301.1</v>
      </c>
      <c r="GN149">
        <v>41304.2</v>
      </c>
      <c r="GO149">
        <v>41761.9</v>
      </c>
      <c r="GP149">
        <v>1.95615</v>
      </c>
      <c r="GQ149">
        <v>1.84965</v>
      </c>
      <c r="GR149">
        <v>-0.0223741</v>
      </c>
      <c r="GS149">
        <v>0</v>
      </c>
      <c r="GT149">
        <v>25.3675</v>
      </c>
      <c r="GU149">
        <v>999.9</v>
      </c>
      <c r="GV149">
        <v>31.7</v>
      </c>
      <c r="GW149">
        <v>34.3</v>
      </c>
      <c r="GX149">
        <v>19.1502</v>
      </c>
      <c r="GY149">
        <v>62.5574</v>
      </c>
      <c r="GZ149">
        <v>34.972</v>
      </c>
      <c r="HA149">
        <v>1</v>
      </c>
      <c r="HB149">
        <v>0.106804</v>
      </c>
      <c r="HC149">
        <v>2.41439</v>
      </c>
      <c r="HD149">
        <v>20.3168</v>
      </c>
      <c r="HE149">
        <v>5.21804</v>
      </c>
      <c r="HF149">
        <v>12.0099</v>
      </c>
      <c r="HG149">
        <v>4.9889</v>
      </c>
      <c r="HH149">
        <v>3.28858</v>
      </c>
      <c r="HI149">
        <v>997</v>
      </c>
      <c r="HJ149">
        <v>9543.1</v>
      </c>
      <c r="HK149">
        <v>5139.4</v>
      </c>
      <c r="HL149">
        <v>24.9</v>
      </c>
      <c r="HM149">
        <v>1.86752</v>
      </c>
      <c r="HN149">
        <v>1.86646</v>
      </c>
      <c r="HO149">
        <v>1.866</v>
      </c>
      <c r="HP149">
        <v>1.86585</v>
      </c>
      <c r="HQ149">
        <v>1.86769</v>
      </c>
      <c r="HR149">
        <v>1.8702</v>
      </c>
      <c r="HS149">
        <v>1.86889</v>
      </c>
      <c r="HT149">
        <v>1.87024</v>
      </c>
      <c r="HU149">
        <v>0</v>
      </c>
      <c r="HV149">
        <v>0</v>
      </c>
      <c r="HW149">
        <v>0</v>
      </c>
      <c r="HX149">
        <v>0</v>
      </c>
      <c r="HY149" t="s">
        <v>421</v>
      </c>
      <c r="HZ149" t="s">
        <v>422</v>
      </c>
      <c r="IA149" t="s">
        <v>423</v>
      </c>
      <c r="IB149" t="s">
        <v>423</v>
      </c>
      <c r="IC149" t="s">
        <v>423</v>
      </c>
      <c r="ID149" t="s">
        <v>423</v>
      </c>
      <c r="IE149">
        <v>0</v>
      </c>
      <c r="IF149">
        <v>100</v>
      </c>
      <c r="IG149">
        <v>100</v>
      </c>
      <c r="IH149">
        <v>-1.583</v>
      </c>
      <c r="II149">
        <v>0.0176</v>
      </c>
      <c r="IJ149">
        <v>-0.2164499368582429</v>
      </c>
      <c r="IK149">
        <v>-0.002077099775823331</v>
      </c>
      <c r="IL149">
        <v>4.593143279902166E-07</v>
      </c>
      <c r="IM149">
        <v>-1.865383991892071E-10</v>
      </c>
      <c r="IN149">
        <v>-0.06087574426827484</v>
      </c>
      <c r="IO149">
        <v>-0.01129461987421345</v>
      </c>
      <c r="IP149">
        <v>0.00116580895745559</v>
      </c>
      <c r="IQ149">
        <v>-1.679085872906199E-05</v>
      </c>
      <c r="IR149">
        <v>2</v>
      </c>
      <c r="IS149">
        <v>2290</v>
      </c>
      <c r="IT149">
        <v>0</v>
      </c>
      <c r="IU149">
        <v>32</v>
      </c>
      <c r="IV149">
        <v>7</v>
      </c>
      <c r="IW149">
        <v>6.7</v>
      </c>
      <c r="IX149">
        <v>1.63208</v>
      </c>
      <c r="IY149">
        <v>2.20947</v>
      </c>
      <c r="IZ149">
        <v>1.39648</v>
      </c>
      <c r="JA149">
        <v>2.35718</v>
      </c>
      <c r="JB149">
        <v>1.49536</v>
      </c>
      <c r="JC149">
        <v>2.35962</v>
      </c>
      <c r="JD149">
        <v>38.4769</v>
      </c>
      <c r="JE149">
        <v>24.035</v>
      </c>
      <c r="JF149">
        <v>18</v>
      </c>
      <c r="JG149">
        <v>511.492</v>
      </c>
      <c r="JH149">
        <v>428.589</v>
      </c>
      <c r="JI149">
        <v>22.1812</v>
      </c>
      <c r="JJ149">
        <v>28.6682</v>
      </c>
      <c r="JK149">
        <v>30.0002</v>
      </c>
      <c r="JL149">
        <v>28.6325</v>
      </c>
      <c r="JM149">
        <v>28.5711</v>
      </c>
      <c r="JN149">
        <v>32.5506</v>
      </c>
      <c r="JO149">
        <v>30.2005</v>
      </c>
      <c r="JP149">
        <v>0</v>
      </c>
      <c r="JQ149">
        <v>22.183</v>
      </c>
      <c r="JR149">
        <v>728.0940000000001</v>
      </c>
      <c r="JS149">
        <v>13.4332</v>
      </c>
      <c r="JT149">
        <v>100.306</v>
      </c>
      <c r="JU149">
        <v>100.231</v>
      </c>
    </row>
    <row r="150" spans="1:281">
      <c r="A150">
        <v>134</v>
      </c>
      <c r="B150">
        <v>1651864665.6</v>
      </c>
      <c r="C150">
        <v>445</v>
      </c>
      <c r="D150" t="s">
        <v>688</v>
      </c>
      <c r="E150" t="s">
        <v>689</v>
      </c>
      <c r="F150">
        <v>2</v>
      </c>
      <c r="G150" t="s">
        <v>413</v>
      </c>
      <c r="H150" t="s">
        <v>414</v>
      </c>
      <c r="I150">
        <v>1651864664.6</v>
      </c>
      <c r="J150">
        <f>(K150)/1000</f>
        <v>0</v>
      </c>
      <c r="K150">
        <f>IF(CZ150, AN150, AH150)</f>
        <v>0</v>
      </c>
      <c r="L150">
        <f>IF(CZ150, AI150, AG150)</f>
        <v>0</v>
      </c>
      <c r="M150">
        <f>DB150 - IF(AU150&gt;1, L150*CV150*100.0/(AW150*DP150), 0)</f>
        <v>0</v>
      </c>
      <c r="N150">
        <f>((T150-J150/2)*M150-L150)/(T150+J150/2)</f>
        <v>0</v>
      </c>
      <c r="O150">
        <f>N150*(DI150+DJ150)/1000.0</f>
        <v>0</v>
      </c>
      <c r="P150">
        <f>(DB150 - IF(AU150&gt;1, L150*CV150*100.0/(AW150*DP150), 0))*(DI150+DJ150)/1000.0</f>
        <v>0</v>
      </c>
      <c r="Q150">
        <f>2.0/((1/S150-1/R150)+SIGN(S150)*SQRT((1/S150-1/R150)*(1/S150-1/R150) + 4*CW150/((CW150+1)*(CW150+1))*(2*1/S150*1/R150-1/R150*1/R150)))</f>
        <v>0</v>
      </c>
      <c r="R150">
        <f>IF(LEFT(CX150,1)&lt;&gt;"0",IF(LEFT(CX150,1)="1",3.0,CY150),$D$5+$E$5*(DP150*DI150/($K$5*1000))+$F$5*(DP150*DI150/($K$5*1000))*MAX(MIN(CV150,$J$5),$I$5)*MAX(MIN(CV150,$J$5),$I$5)+$G$5*MAX(MIN(CV150,$J$5),$I$5)*(DP150*DI150/($K$5*1000))+$H$5*(DP150*DI150/($K$5*1000))*(DP150*DI150/($K$5*1000)))</f>
        <v>0</v>
      </c>
      <c r="S150">
        <f>J150*(1000-(1000*0.61365*exp(17.502*W150/(240.97+W150))/(DI150+DJ150)+DD150)/2)/(1000*0.61365*exp(17.502*W150/(240.97+W150))/(DI150+DJ150)-DD150)</f>
        <v>0</v>
      </c>
      <c r="T150">
        <f>1/((CW150+1)/(Q150/1.6)+1/(R150/1.37)) + CW150/((CW150+1)/(Q150/1.6) + CW150/(R150/1.37))</f>
        <v>0</v>
      </c>
      <c r="U150">
        <f>(CR150*CU150)</f>
        <v>0</v>
      </c>
      <c r="V150">
        <f>(DK150+(U150+2*0.95*5.67E-8*(((DK150+$B$7)+273)^4-(DK150+273)^4)-44100*J150)/(1.84*29.3*R150+8*0.95*5.67E-8*(DK150+273)^3))</f>
        <v>0</v>
      </c>
      <c r="W150">
        <f>($C$7*DL150+$D$7*DM150+$E$7*V150)</f>
        <v>0</v>
      </c>
      <c r="X150">
        <f>0.61365*exp(17.502*W150/(240.97+W150))</f>
        <v>0</v>
      </c>
      <c r="Y150">
        <f>(Z150/AA150*100)</f>
        <v>0</v>
      </c>
      <c r="Z150">
        <f>DD150*(DI150+DJ150)/1000</f>
        <v>0</v>
      </c>
      <c r="AA150">
        <f>0.61365*exp(17.502*DK150/(240.97+DK150))</f>
        <v>0</v>
      </c>
      <c r="AB150">
        <f>(X150-DD150*(DI150+DJ150)/1000)</f>
        <v>0</v>
      </c>
      <c r="AC150">
        <f>(-J150*44100)</f>
        <v>0</v>
      </c>
      <c r="AD150">
        <f>2*29.3*R150*0.92*(DK150-W150)</f>
        <v>0</v>
      </c>
      <c r="AE150">
        <f>2*0.95*5.67E-8*(((DK150+$B$7)+273)^4-(W150+273)^4)</f>
        <v>0</v>
      </c>
      <c r="AF150">
        <f>U150+AE150+AC150+AD150</f>
        <v>0</v>
      </c>
      <c r="AG150">
        <f>DH150*AU150*(DC150-DB150*(1000-AU150*DE150)/(1000-AU150*DD150))/(100*CV150)</f>
        <v>0</v>
      </c>
      <c r="AH150">
        <f>1000*DH150*AU150*(DD150-DE150)/(100*CV150*(1000-AU150*DD150))</f>
        <v>0</v>
      </c>
      <c r="AI150">
        <f>(AJ150 - AK150 - DI150*1E3/(8.314*(DK150+273.15)) * AM150/DH150 * AL150) * DH150/(100*CV150) * (1000 - DE150)/1000</f>
        <v>0</v>
      </c>
      <c r="AJ150">
        <v>763.7969890476459</v>
      </c>
      <c r="AK150">
        <v>750.2392606060604</v>
      </c>
      <c r="AL150">
        <v>-3.31258114349106</v>
      </c>
      <c r="AM150">
        <v>66.38192812717227</v>
      </c>
      <c r="AN150">
        <f>(AP150 - AO150 + DI150*1E3/(8.314*(DK150+273.15)) * AR150/DH150 * AQ150) * DH150/(100*CV150) * 1000/(1000 - AP150)</f>
        <v>0</v>
      </c>
      <c r="AO150">
        <v>13.25426870752103</v>
      </c>
      <c r="AP150">
        <v>18.15582911764705</v>
      </c>
      <c r="AQ150">
        <v>1.497391638713587E-05</v>
      </c>
      <c r="AR150">
        <v>80.47224507511959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MAX(0,($B$13+$C$13*DP150)/(1+$D$13*DP150)*DI150/(DK150+273)*$E$13)</f>
        <v>0</v>
      </c>
      <c r="AX150" t="s">
        <v>417</v>
      </c>
      <c r="AY150" t="s">
        <v>417</v>
      </c>
      <c r="AZ150">
        <v>0</v>
      </c>
      <c r="BA150">
        <v>0</v>
      </c>
      <c r="BB150">
        <f>1-AZ150/BA150</f>
        <v>0</v>
      </c>
      <c r="BC150">
        <v>0</v>
      </c>
      <c r="BD150" t="s">
        <v>417</v>
      </c>
      <c r="BE150" t="s">
        <v>417</v>
      </c>
      <c r="BF150">
        <v>0</v>
      </c>
      <c r="BG150">
        <v>0</v>
      </c>
      <c r="BH150">
        <f>1-BF150/BG150</f>
        <v>0</v>
      </c>
      <c r="BI150">
        <v>0.5</v>
      </c>
      <c r="BJ150">
        <f>CS150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417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1248</v>
      </c>
      <c r="CA150">
        <v>300</v>
      </c>
      <c r="CB150">
        <v>300</v>
      </c>
      <c r="CC150">
        <v>300</v>
      </c>
      <c r="CD150">
        <v>10442</v>
      </c>
      <c r="CE150">
        <v>1293.69</v>
      </c>
      <c r="CF150">
        <v>-0.00735246</v>
      </c>
      <c r="CG150">
        <v>0.5</v>
      </c>
      <c r="CH150" t="s">
        <v>417</v>
      </c>
      <c r="CI150" t="s">
        <v>417</v>
      </c>
      <c r="CJ150" t="s">
        <v>417</v>
      </c>
      <c r="CK150" t="s">
        <v>417</v>
      </c>
      <c r="CL150" t="s">
        <v>417</v>
      </c>
      <c r="CM150" t="s">
        <v>417</v>
      </c>
      <c r="CN150" t="s">
        <v>417</v>
      </c>
      <c r="CO150" t="s">
        <v>417</v>
      </c>
      <c r="CP150" t="s">
        <v>417</v>
      </c>
      <c r="CQ150" t="s">
        <v>417</v>
      </c>
      <c r="CR150">
        <f>$B$11*DQ150+$C$11*DR150+$F$11*EC150*(1-EF150)</f>
        <v>0</v>
      </c>
      <c r="CS150">
        <f>CR150*CT150</f>
        <v>0</v>
      </c>
      <c r="CT150">
        <f>($B$11*$D$9+$C$11*$D$9+$F$11*((EP150+EH150)/MAX(EP150+EH150+EQ150, 0.1)*$I$9+EQ150/MAX(EP150+EH150+EQ150, 0.1)*$J$9))/($B$11+$C$11+$F$11)</f>
        <v>0</v>
      </c>
      <c r="CU150">
        <f>($B$11*$K$9+$C$11*$K$9+$F$11*((EP150+EH150)/MAX(EP150+EH150+EQ150, 0.1)*$P$9+EQ150/MAX(EP150+EH150+EQ150, 0.1)*$Q$9))/($B$11+$C$11+$F$11)</f>
        <v>0</v>
      </c>
      <c r="CV150">
        <v>6</v>
      </c>
      <c r="CW150">
        <v>0.5</v>
      </c>
      <c r="CX150" t="s">
        <v>418</v>
      </c>
      <c r="CY150">
        <v>2</v>
      </c>
      <c r="CZ150" t="b">
        <v>1</v>
      </c>
      <c r="DA150">
        <v>1651864664.6</v>
      </c>
      <c r="DB150">
        <v>738.2443333333332</v>
      </c>
      <c r="DC150">
        <v>747.7376666666665</v>
      </c>
      <c r="DD150">
        <v>18.156</v>
      </c>
      <c r="DE150">
        <v>13.31413333333333</v>
      </c>
      <c r="DF150">
        <v>739.8216666666667</v>
      </c>
      <c r="DG150">
        <v>18.1384</v>
      </c>
      <c r="DH150">
        <v>500.1</v>
      </c>
      <c r="DI150">
        <v>89.93796666666667</v>
      </c>
      <c r="DJ150">
        <v>0.1000219333333333</v>
      </c>
      <c r="DK150">
        <v>25.67213333333333</v>
      </c>
      <c r="DL150">
        <v>24.99876666666666</v>
      </c>
      <c r="DM150">
        <v>999.9</v>
      </c>
      <c r="DN150">
        <v>0</v>
      </c>
      <c r="DO150">
        <v>0</v>
      </c>
      <c r="DP150">
        <v>10011.26666666667</v>
      </c>
      <c r="DQ150">
        <v>0</v>
      </c>
      <c r="DR150">
        <v>3.23193</v>
      </c>
      <c r="DS150">
        <v>-9.493143333333334</v>
      </c>
      <c r="DT150">
        <v>751.8956666666667</v>
      </c>
      <c r="DU150">
        <v>757.8276666666667</v>
      </c>
      <c r="DV150">
        <v>4.841846666666666</v>
      </c>
      <c r="DW150">
        <v>747.7376666666665</v>
      </c>
      <c r="DX150">
        <v>13.31413333333333</v>
      </c>
      <c r="DY150">
        <v>1.632913333333333</v>
      </c>
      <c r="DZ150">
        <v>1.19745</v>
      </c>
      <c r="EA150">
        <v>14.27296666666667</v>
      </c>
      <c r="EB150">
        <v>9.56986</v>
      </c>
      <c r="EC150">
        <v>1500.033333333334</v>
      </c>
      <c r="ED150">
        <v>0.9730086666666665</v>
      </c>
      <c r="EE150">
        <v>0.0269913</v>
      </c>
      <c r="EF150">
        <v>0</v>
      </c>
      <c r="EG150">
        <v>895.098</v>
      </c>
      <c r="EH150">
        <v>5.00097</v>
      </c>
      <c r="EI150">
        <v>13296.86666666667</v>
      </c>
      <c r="EJ150">
        <v>12491.9</v>
      </c>
      <c r="EK150">
        <v>37.25</v>
      </c>
      <c r="EL150">
        <v>38.729</v>
      </c>
      <c r="EM150">
        <v>37.625</v>
      </c>
      <c r="EN150">
        <v>38.437</v>
      </c>
      <c r="EO150">
        <v>38.125</v>
      </c>
      <c r="EP150">
        <v>1454.683333333333</v>
      </c>
      <c r="EQ150">
        <v>40.35</v>
      </c>
      <c r="ER150">
        <v>0</v>
      </c>
      <c r="ES150">
        <v>444.6000001430511</v>
      </c>
      <c r="ET150">
        <v>0</v>
      </c>
      <c r="EU150">
        <v>898.7604799999999</v>
      </c>
      <c r="EV150">
        <v>-36.28084610628724</v>
      </c>
      <c r="EW150">
        <v>-537.9153837805245</v>
      </c>
      <c r="EX150">
        <v>13351.032</v>
      </c>
      <c r="EY150">
        <v>15</v>
      </c>
      <c r="EZ150">
        <v>1651864261.1</v>
      </c>
      <c r="FA150" t="s">
        <v>419</v>
      </c>
      <c r="FB150">
        <v>1651864241.6</v>
      </c>
      <c r="FC150">
        <v>1651864261.1</v>
      </c>
      <c r="FD150">
        <v>7</v>
      </c>
      <c r="FE150">
        <v>0.438</v>
      </c>
      <c r="FF150">
        <v>0.002</v>
      </c>
      <c r="FG150">
        <v>-0.988</v>
      </c>
      <c r="FH150">
        <v>-0.066</v>
      </c>
      <c r="FI150">
        <v>400</v>
      </c>
      <c r="FJ150">
        <v>11</v>
      </c>
      <c r="FK150">
        <v>0.05</v>
      </c>
      <c r="FL150">
        <v>0.02</v>
      </c>
      <c r="FM150">
        <v>-10.5789665</v>
      </c>
      <c r="FN150">
        <v>5.643854859287047</v>
      </c>
      <c r="FO150">
        <v>0.5535368930186586</v>
      </c>
      <c r="FP150">
        <v>-1</v>
      </c>
      <c r="FQ150">
        <v>4.978540750000001</v>
      </c>
      <c r="FR150">
        <v>-0.7683384990619198</v>
      </c>
      <c r="FS150">
        <v>0.07412691192770345</v>
      </c>
      <c r="FT150">
        <v>-1</v>
      </c>
      <c r="FU150">
        <v>0</v>
      </c>
      <c r="FV150">
        <v>0</v>
      </c>
      <c r="FW150">
        <v>0</v>
      </c>
      <c r="FX150">
        <v>-1</v>
      </c>
      <c r="FY150">
        <v>0</v>
      </c>
      <c r="FZ150">
        <v>0</v>
      </c>
      <c r="GA150" t="s">
        <v>420</v>
      </c>
      <c r="GB150">
        <v>2.98063</v>
      </c>
      <c r="GC150">
        <v>2.70621</v>
      </c>
      <c r="GD150">
        <v>0.139616</v>
      </c>
      <c r="GE150">
        <v>0.13922</v>
      </c>
      <c r="GF150">
        <v>0.0870121</v>
      </c>
      <c r="GG150">
        <v>0.0686007</v>
      </c>
      <c r="GH150">
        <v>27152.7</v>
      </c>
      <c r="GI150">
        <v>27224.7</v>
      </c>
      <c r="GJ150">
        <v>29344.7</v>
      </c>
      <c r="GK150">
        <v>29258.9</v>
      </c>
      <c r="GL150">
        <v>35476.6</v>
      </c>
      <c r="GM150">
        <v>36296.4</v>
      </c>
      <c r="GN150">
        <v>41304.3</v>
      </c>
      <c r="GO150">
        <v>41761.9</v>
      </c>
      <c r="GP150">
        <v>1.9561</v>
      </c>
      <c r="GQ150">
        <v>1.8496</v>
      </c>
      <c r="GR150">
        <v>-0.0222847</v>
      </c>
      <c r="GS150">
        <v>0</v>
      </c>
      <c r="GT150">
        <v>25.3661</v>
      </c>
      <c r="GU150">
        <v>999.9</v>
      </c>
      <c r="GV150">
        <v>31.7</v>
      </c>
      <c r="GW150">
        <v>34.3</v>
      </c>
      <c r="GX150">
        <v>19.1507</v>
      </c>
      <c r="GY150">
        <v>62.4474</v>
      </c>
      <c r="GZ150">
        <v>35.0681</v>
      </c>
      <c r="HA150">
        <v>1</v>
      </c>
      <c r="HB150">
        <v>0.106936</v>
      </c>
      <c r="HC150">
        <v>2.41199</v>
      </c>
      <c r="HD150">
        <v>20.317</v>
      </c>
      <c r="HE150">
        <v>5.21759</v>
      </c>
      <c r="HF150">
        <v>12.0099</v>
      </c>
      <c r="HG150">
        <v>4.989</v>
      </c>
      <c r="HH150">
        <v>3.2885</v>
      </c>
      <c r="HI150">
        <v>997</v>
      </c>
      <c r="HJ150">
        <v>9543.1</v>
      </c>
      <c r="HK150">
        <v>5139.4</v>
      </c>
      <c r="HL150">
        <v>24.9</v>
      </c>
      <c r="HM150">
        <v>1.86752</v>
      </c>
      <c r="HN150">
        <v>1.86646</v>
      </c>
      <c r="HO150">
        <v>1.866</v>
      </c>
      <c r="HP150">
        <v>1.86585</v>
      </c>
      <c r="HQ150">
        <v>1.8677</v>
      </c>
      <c r="HR150">
        <v>1.8702</v>
      </c>
      <c r="HS150">
        <v>1.8689</v>
      </c>
      <c r="HT150">
        <v>1.87025</v>
      </c>
      <c r="HU150">
        <v>0</v>
      </c>
      <c r="HV150">
        <v>0</v>
      </c>
      <c r="HW150">
        <v>0</v>
      </c>
      <c r="HX150">
        <v>0</v>
      </c>
      <c r="HY150" t="s">
        <v>421</v>
      </c>
      <c r="HZ150" t="s">
        <v>422</v>
      </c>
      <c r="IA150" t="s">
        <v>423</v>
      </c>
      <c r="IB150" t="s">
        <v>423</v>
      </c>
      <c r="IC150" t="s">
        <v>423</v>
      </c>
      <c r="ID150" t="s">
        <v>423</v>
      </c>
      <c r="IE150">
        <v>0</v>
      </c>
      <c r="IF150">
        <v>100</v>
      </c>
      <c r="IG150">
        <v>100</v>
      </c>
      <c r="IH150">
        <v>-1.572</v>
      </c>
      <c r="II150">
        <v>0.0176</v>
      </c>
      <c r="IJ150">
        <v>-0.2164499368582429</v>
      </c>
      <c r="IK150">
        <v>-0.002077099775823331</v>
      </c>
      <c r="IL150">
        <v>4.593143279902166E-07</v>
      </c>
      <c r="IM150">
        <v>-1.865383991892071E-10</v>
      </c>
      <c r="IN150">
        <v>-0.06087574426827484</v>
      </c>
      <c r="IO150">
        <v>-0.01129461987421345</v>
      </c>
      <c r="IP150">
        <v>0.00116580895745559</v>
      </c>
      <c r="IQ150">
        <v>-1.679085872906199E-05</v>
      </c>
      <c r="IR150">
        <v>2</v>
      </c>
      <c r="IS150">
        <v>2290</v>
      </c>
      <c r="IT150">
        <v>0</v>
      </c>
      <c r="IU150">
        <v>32</v>
      </c>
      <c r="IV150">
        <v>7.1</v>
      </c>
      <c r="IW150">
        <v>6.7</v>
      </c>
      <c r="IX150">
        <v>1.61987</v>
      </c>
      <c r="IY150">
        <v>2.21436</v>
      </c>
      <c r="IZ150">
        <v>1.39648</v>
      </c>
      <c r="JA150">
        <v>2.35596</v>
      </c>
      <c r="JB150">
        <v>1.49536</v>
      </c>
      <c r="JC150">
        <v>2.33521</v>
      </c>
      <c r="JD150">
        <v>38.4769</v>
      </c>
      <c r="JE150">
        <v>24.035</v>
      </c>
      <c r="JF150">
        <v>18</v>
      </c>
      <c r="JG150">
        <v>511.46</v>
      </c>
      <c r="JH150">
        <v>428.568</v>
      </c>
      <c r="JI150">
        <v>22.18</v>
      </c>
      <c r="JJ150">
        <v>28.6692</v>
      </c>
      <c r="JK150">
        <v>30.0002</v>
      </c>
      <c r="JL150">
        <v>28.6325</v>
      </c>
      <c r="JM150">
        <v>28.5723</v>
      </c>
      <c r="JN150">
        <v>32.309</v>
      </c>
      <c r="JO150">
        <v>29.8965</v>
      </c>
      <c r="JP150">
        <v>0</v>
      </c>
      <c r="JQ150">
        <v>22.1789</v>
      </c>
      <c r="JR150">
        <v>721.399</v>
      </c>
      <c r="JS150">
        <v>13.4463</v>
      </c>
      <c r="JT150">
        <v>100.307</v>
      </c>
      <c r="JU150">
        <v>100.231</v>
      </c>
    </row>
    <row r="151" spans="1:281">
      <c r="A151">
        <v>135</v>
      </c>
      <c r="B151">
        <v>1651864667.6</v>
      </c>
      <c r="C151">
        <v>447</v>
      </c>
      <c r="D151" t="s">
        <v>690</v>
      </c>
      <c r="E151" t="s">
        <v>691</v>
      </c>
      <c r="F151">
        <v>2</v>
      </c>
      <c r="G151" t="s">
        <v>413</v>
      </c>
      <c r="H151" t="s">
        <v>414</v>
      </c>
      <c r="I151">
        <v>1651864666.225</v>
      </c>
      <c r="J151">
        <f>(K151)/1000</f>
        <v>0</v>
      </c>
      <c r="K151">
        <f>IF(CZ151, AN151, AH151)</f>
        <v>0</v>
      </c>
      <c r="L151">
        <f>IF(CZ151, AI151, AG151)</f>
        <v>0</v>
      </c>
      <c r="M151">
        <f>DB151 - IF(AU151&gt;1, L151*CV151*100.0/(AW151*DP151), 0)</f>
        <v>0</v>
      </c>
      <c r="N151">
        <f>((T151-J151/2)*M151-L151)/(T151+J151/2)</f>
        <v>0</v>
      </c>
      <c r="O151">
        <f>N151*(DI151+DJ151)/1000.0</f>
        <v>0</v>
      </c>
      <c r="P151">
        <f>(DB151 - IF(AU151&gt;1, L151*CV151*100.0/(AW151*DP151), 0))*(DI151+DJ151)/1000.0</f>
        <v>0</v>
      </c>
      <c r="Q151">
        <f>2.0/((1/S151-1/R151)+SIGN(S151)*SQRT((1/S151-1/R151)*(1/S151-1/R151) + 4*CW151/((CW151+1)*(CW151+1))*(2*1/S151*1/R151-1/R151*1/R151)))</f>
        <v>0</v>
      </c>
      <c r="R151">
        <f>IF(LEFT(CX151,1)&lt;&gt;"0",IF(LEFT(CX151,1)="1",3.0,CY151),$D$5+$E$5*(DP151*DI151/($K$5*1000))+$F$5*(DP151*DI151/($K$5*1000))*MAX(MIN(CV151,$J$5),$I$5)*MAX(MIN(CV151,$J$5),$I$5)+$G$5*MAX(MIN(CV151,$J$5),$I$5)*(DP151*DI151/($K$5*1000))+$H$5*(DP151*DI151/($K$5*1000))*(DP151*DI151/($K$5*1000)))</f>
        <v>0</v>
      </c>
      <c r="S151">
        <f>J151*(1000-(1000*0.61365*exp(17.502*W151/(240.97+W151))/(DI151+DJ151)+DD151)/2)/(1000*0.61365*exp(17.502*W151/(240.97+W151))/(DI151+DJ151)-DD151)</f>
        <v>0</v>
      </c>
      <c r="T151">
        <f>1/((CW151+1)/(Q151/1.6)+1/(R151/1.37)) + CW151/((CW151+1)/(Q151/1.6) + CW151/(R151/1.37))</f>
        <v>0</v>
      </c>
      <c r="U151">
        <f>(CR151*CU151)</f>
        <v>0</v>
      </c>
      <c r="V151">
        <f>(DK151+(U151+2*0.95*5.67E-8*(((DK151+$B$7)+273)^4-(DK151+273)^4)-44100*J151)/(1.84*29.3*R151+8*0.95*5.67E-8*(DK151+273)^3))</f>
        <v>0</v>
      </c>
      <c r="W151">
        <f>($C$7*DL151+$D$7*DM151+$E$7*V151)</f>
        <v>0</v>
      </c>
      <c r="X151">
        <f>0.61365*exp(17.502*W151/(240.97+W151))</f>
        <v>0</v>
      </c>
      <c r="Y151">
        <f>(Z151/AA151*100)</f>
        <v>0</v>
      </c>
      <c r="Z151">
        <f>DD151*(DI151+DJ151)/1000</f>
        <v>0</v>
      </c>
      <c r="AA151">
        <f>0.61365*exp(17.502*DK151/(240.97+DK151))</f>
        <v>0</v>
      </c>
      <c r="AB151">
        <f>(X151-DD151*(DI151+DJ151)/1000)</f>
        <v>0</v>
      </c>
      <c r="AC151">
        <f>(-J151*44100)</f>
        <v>0</v>
      </c>
      <c r="AD151">
        <f>2*29.3*R151*0.92*(DK151-W151)</f>
        <v>0</v>
      </c>
      <c r="AE151">
        <f>2*0.95*5.67E-8*(((DK151+$B$7)+273)^4-(W151+273)^4)</f>
        <v>0</v>
      </c>
      <c r="AF151">
        <f>U151+AE151+AC151+AD151</f>
        <v>0</v>
      </c>
      <c r="AG151">
        <f>DH151*AU151*(DC151-DB151*(1000-AU151*DE151)/(1000-AU151*DD151))/(100*CV151)</f>
        <v>0</v>
      </c>
      <c r="AH151">
        <f>1000*DH151*AU151*(DD151-DE151)/(100*CV151*(1000-AU151*DD151))</f>
        <v>0</v>
      </c>
      <c r="AI151">
        <f>(AJ151 - AK151 - DI151*1E3/(8.314*(DK151+273.15)) * AM151/DH151 * AL151) * DH151/(100*CV151) * (1000 - DE151)/1000</f>
        <v>0</v>
      </c>
      <c r="AJ151">
        <v>757.0727555515778</v>
      </c>
      <c r="AK151">
        <v>743.596890909091</v>
      </c>
      <c r="AL151">
        <v>-3.317273969203737</v>
      </c>
      <c r="AM151">
        <v>66.38192812717227</v>
      </c>
      <c r="AN151">
        <f>(AP151 - AO151 + DI151*1E3/(8.314*(DK151+273.15)) * AR151/DH151 * AQ151) * DH151/(100*CV151) * 1000/(1000 - AP151)</f>
        <v>0</v>
      </c>
      <c r="AO151">
        <v>13.28781504720308</v>
      </c>
      <c r="AP151">
        <v>18.16189264705882</v>
      </c>
      <c r="AQ151">
        <v>-6.031504051309479E-06</v>
      </c>
      <c r="AR151">
        <v>80.47224507511959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MAX(0,($B$13+$C$13*DP151)/(1+$D$13*DP151)*DI151/(DK151+273)*$E$13)</f>
        <v>0</v>
      </c>
      <c r="AX151" t="s">
        <v>417</v>
      </c>
      <c r="AY151" t="s">
        <v>417</v>
      </c>
      <c r="AZ151">
        <v>0</v>
      </c>
      <c r="BA151">
        <v>0</v>
      </c>
      <c r="BB151">
        <f>1-AZ151/BA151</f>
        <v>0</v>
      </c>
      <c r="BC151">
        <v>0</v>
      </c>
      <c r="BD151" t="s">
        <v>417</v>
      </c>
      <c r="BE151" t="s">
        <v>417</v>
      </c>
      <c r="BF151">
        <v>0</v>
      </c>
      <c r="BG151">
        <v>0</v>
      </c>
      <c r="BH151">
        <f>1-BF151/BG151</f>
        <v>0</v>
      </c>
      <c r="BI151">
        <v>0.5</v>
      </c>
      <c r="BJ151">
        <f>CS151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417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1248</v>
      </c>
      <c r="CA151">
        <v>300</v>
      </c>
      <c r="CB151">
        <v>300</v>
      </c>
      <c r="CC151">
        <v>300</v>
      </c>
      <c r="CD151">
        <v>10442</v>
      </c>
      <c r="CE151">
        <v>1293.69</v>
      </c>
      <c r="CF151">
        <v>-0.00735246</v>
      </c>
      <c r="CG151">
        <v>0.5</v>
      </c>
      <c r="CH151" t="s">
        <v>417</v>
      </c>
      <c r="CI151" t="s">
        <v>417</v>
      </c>
      <c r="CJ151" t="s">
        <v>417</v>
      </c>
      <c r="CK151" t="s">
        <v>417</v>
      </c>
      <c r="CL151" t="s">
        <v>417</v>
      </c>
      <c r="CM151" t="s">
        <v>417</v>
      </c>
      <c r="CN151" t="s">
        <v>417</v>
      </c>
      <c r="CO151" t="s">
        <v>417</v>
      </c>
      <c r="CP151" t="s">
        <v>417</v>
      </c>
      <c r="CQ151" t="s">
        <v>417</v>
      </c>
      <c r="CR151">
        <f>$B$11*DQ151+$C$11*DR151+$F$11*EC151*(1-EF151)</f>
        <v>0</v>
      </c>
      <c r="CS151">
        <f>CR151*CT151</f>
        <v>0</v>
      </c>
      <c r="CT151">
        <f>($B$11*$D$9+$C$11*$D$9+$F$11*((EP151+EH151)/MAX(EP151+EH151+EQ151, 0.1)*$I$9+EQ151/MAX(EP151+EH151+EQ151, 0.1)*$J$9))/($B$11+$C$11+$F$11)</f>
        <v>0</v>
      </c>
      <c r="CU151">
        <f>($B$11*$K$9+$C$11*$K$9+$F$11*((EP151+EH151)/MAX(EP151+EH151+EQ151, 0.1)*$P$9+EQ151/MAX(EP151+EH151+EQ151, 0.1)*$Q$9))/($B$11+$C$11+$F$11)</f>
        <v>0</v>
      </c>
      <c r="CV151">
        <v>6</v>
      </c>
      <c r="CW151">
        <v>0.5</v>
      </c>
      <c r="CX151" t="s">
        <v>418</v>
      </c>
      <c r="CY151">
        <v>2</v>
      </c>
      <c r="CZ151" t="b">
        <v>1</v>
      </c>
      <c r="DA151">
        <v>1651864666.225</v>
      </c>
      <c r="DB151">
        <v>732.9470000000001</v>
      </c>
      <c r="DC151">
        <v>742.4445000000001</v>
      </c>
      <c r="DD151">
        <v>18.159825</v>
      </c>
      <c r="DE151">
        <v>13.330975</v>
      </c>
      <c r="DF151">
        <v>734.515</v>
      </c>
      <c r="DG151">
        <v>18.14215</v>
      </c>
      <c r="DH151">
        <v>500.06</v>
      </c>
      <c r="DI151">
        <v>89.93747499999999</v>
      </c>
      <c r="DJ151">
        <v>0.09974040000000001</v>
      </c>
      <c r="DK151">
        <v>25.671225</v>
      </c>
      <c r="DL151">
        <v>24.999125</v>
      </c>
      <c r="DM151">
        <v>999.9</v>
      </c>
      <c r="DN151">
        <v>0</v>
      </c>
      <c r="DO151">
        <v>0</v>
      </c>
      <c r="DP151">
        <v>10019.075</v>
      </c>
      <c r="DQ151">
        <v>0</v>
      </c>
      <c r="DR151">
        <v>3.23193</v>
      </c>
      <c r="DS151">
        <v>-9.4976375</v>
      </c>
      <c r="DT151">
        <v>746.5032500000001</v>
      </c>
      <c r="DU151">
        <v>752.4757500000001</v>
      </c>
      <c r="DV151">
        <v>4.828835</v>
      </c>
      <c r="DW151">
        <v>742.4445000000001</v>
      </c>
      <c r="DX151">
        <v>13.330975</v>
      </c>
      <c r="DY151">
        <v>1.63325</v>
      </c>
      <c r="DZ151">
        <v>1.198955</v>
      </c>
      <c r="EA151">
        <v>14.276125</v>
      </c>
      <c r="EB151">
        <v>9.58858</v>
      </c>
      <c r="EC151">
        <v>1500.0125</v>
      </c>
      <c r="ED151">
        <v>0.9730082499999999</v>
      </c>
      <c r="EE151">
        <v>0.02699174999999999</v>
      </c>
      <c r="EF151">
        <v>0</v>
      </c>
      <c r="EG151">
        <v>894.26125</v>
      </c>
      <c r="EH151">
        <v>5.00097</v>
      </c>
      <c r="EI151">
        <v>13280.65</v>
      </c>
      <c r="EJ151">
        <v>12491.7</v>
      </c>
      <c r="EK151">
        <v>37.25</v>
      </c>
      <c r="EL151">
        <v>38.70274999999999</v>
      </c>
      <c r="EM151">
        <v>37.625</v>
      </c>
      <c r="EN151">
        <v>38.437</v>
      </c>
      <c r="EO151">
        <v>38.125</v>
      </c>
      <c r="EP151">
        <v>1454.6625</v>
      </c>
      <c r="EQ151">
        <v>40.35</v>
      </c>
      <c r="ER151">
        <v>0</v>
      </c>
      <c r="ES151">
        <v>446.4000000953674</v>
      </c>
      <c r="ET151">
        <v>0</v>
      </c>
      <c r="EU151">
        <v>897.8726538461538</v>
      </c>
      <c r="EV151">
        <v>-35.79087182480536</v>
      </c>
      <c r="EW151">
        <v>-544.6905986476276</v>
      </c>
      <c r="EX151">
        <v>13337.23076923077</v>
      </c>
      <c r="EY151">
        <v>15</v>
      </c>
      <c r="EZ151">
        <v>1651864261.1</v>
      </c>
      <c r="FA151" t="s">
        <v>419</v>
      </c>
      <c r="FB151">
        <v>1651864241.6</v>
      </c>
      <c r="FC151">
        <v>1651864261.1</v>
      </c>
      <c r="FD151">
        <v>7</v>
      </c>
      <c r="FE151">
        <v>0.438</v>
      </c>
      <c r="FF151">
        <v>0.002</v>
      </c>
      <c r="FG151">
        <v>-0.988</v>
      </c>
      <c r="FH151">
        <v>-0.066</v>
      </c>
      <c r="FI151">
        <v>400</v>
      </c>
      <c r="FJ151">
        <v>11</v>
      </c>
      <c r="FK151">
        <v>0.05</v>
      </c>
      <c r="FL151">
        <v>0.02</v>
      </c>
      <c r="FM151">
        <v>-10.2965395</v>
      </c>
      <c r="FN151">
        <v>5.618023564727966</v>
      </c>
      <c r="FO151">
        <v>0.552016431498873</v>
      </c>
      <c r="FP151">
        <v>-1</v>
      </c>
      <c r="FQ151">
        <v>4.93913525</v>
      </c>
      <c r="FR151">
        <v>-0.7453779737336016</v>
      </c>
      <c r="FS151">
        <v>0.0718541037793772</v>
      </c>
      <c r="FT151">
        <v>-1</v>
      </c>
      <c r="FU151">
        <v>0</v>
      </c>
      <c r="FV151">
        <v>0</v>
      </c>
      <c r="FW151">
        <v>0</v>
      </c>
      <c r="FX151">
        <v>-1</v>
      </c>
      <c r="FY151">
        <v>0</v>
      </c>
      <c r="FZ151">
        <v>0</v>
      </c>
      <c r="GA151" t="s">
        <v>420</v>
      </c>
      <c r="GB151">
        <v>2.98046</v>
      </c>
      <c r="GC151">
        <v>2.70619</v>
      </c>
      <c r="GD151">
        <v>0.138776</v>
      </c>
      <c r="GE151">
        <v>0.138393</v>
      </c>
      <c r="GF151">
        <v>0.08703139999999999</v>
      </c>
      <c r="GG151">
        <v>0.0686566</v>
      </c>
      <c r="GH151">
        <v>27179.2</v>
      </c>
      <c r="GI151">
        <v>27250.9</v>
      </c>
      <c r="GJ151">
        <v>29344.6</v>
      </c>
      <c r="GK151">
        <v>29258.9</v>
      </c>
      <c r="GL151">
        <v>35475.6</v>
      </c>
      <c r="GM151">
        <v>36294.3</v>
      </c>
      <c r="GN151">
        <v>41304</v>
      </c>
      <c r="GO151">
        <v>41762</v>
      </c>
      <c r="GP151">
        <v>1.95592</v>
      </c>
      <c r="GQ151">
        <v>1.84973</v>
      </c>
      <c r="GR151">
        <v>-0.0223517</v>
      </c>
      <c r="GS151">
        <v>0</v>
      </c>
      <c r="GT151">
        <v>25.3645</v>
      </c>
      <c r="GU151">
        <v>999.9</v>
      </c>
      <c r="GV151">
        <v>31.7</v>
      </c>
      <c r="GW151">
        <v>34.3</v>
      </c>
      <c r="GX151">
        <v>19.15</v>
      </c>
      <c r="GY151">
        <v>62.5774</v>
      </c>
      <c r="GZ151">
        <v>35.1242</v>
      </c>
      <c r="HA151">
        <v>1</v>
      </c>
      <c r="HB151">
        <v>0.106875</v>
      </c>
      <c r="HC151">
        <v>2.41434</v>
      </c>
      <c r="HD151">
        <v>20.3169</v>
      </c>
      <c r="HE151">
        <v>5.21774</v>
      </c>
      <c r="HF151">
        <v>12.0099</v>
      </c>
      <c r="HG151">
        <v>4.98845</v>
      </c>
      <c r="HH151">
        <v>3.2885</v>
      </c>
      <c r="HI151">
        <v>997</v>
      </c>
      <c r="HJ151">
        <v>9543.1</v>
      </c>
      <c r="HK151">
        <v>5139.4</v>
      </c>
      <c r="HL151">
        <v>24.9</v>
      </c>
      <c r="HM151">
        <v>1.86752</v>
      </c>
      <c r="HN151">
        <v>1.86646</v>
      </c>
      <c r="HO151">
        <v>1.866</v>
      </c>
      <c r="HP151">
        <v>1.86585</v>
      </c>
      <c r="HQ151">
        <v>1.8677</v>
      </c>
      <c r="HR151">
        <v>1.87019</v>
      </c>
      <c r="HS151">
        <v>1.8689</v>
      </c>
      <c r="HT151">
        <v>1.87026</v>
      </c>
      <c r="HU151">
        <v>0</v>
      </c>
      <c r="HV151">
        <v>0</v>
      </c>
      <c r="HW151">
        <v>0</v>
      </c>
      <c r="HX151">
        <v>0</v>
      </c>
      <c r="HY151" t="s">
        <v>421</v>
      </c>
      <c r="HZ151" t="s">
        <v>422</v>
      </c>
      <c r="IA151" t="s">
        <v>423</v>
      </c>
      <c r="IB151" t="s">
        <v>423</v>
      </c>
      <c r="IC151" t="s">
        <v>423</v>
      </c>
      <c r="ID151" t="s">
        <v>423</v>
      </c>
      <c r="IE151">
        <v>0</v>
      </c>
      <c r="IF151">
        <v>100</v>
      </c>
      <c r="IG151">
        <v>100</v>
      </c>
      <c r="IH151">
        <v>-1.561</v>
      </c>
      <c r="II151">
        <v>0.0177</v>
      </c>
      <c r="IJ151">
        <v>-0.2164499368582429</v>
      </c>
      <c r="IK151">
        <v>-0.002077099775823331</v>
      </c>
      <c r="IL151">
        <v>4.593143279902166E-07</v>
      </c>
      <c r="IM151">
        <v>-1.865383991892071E-10</v>
      </c>
      <c r="IN151">
        <v>-0.06087574426827484</v>
      </c>
      <c r="IO151">
        <v>-0.01129461987421345</v>
      </c>
      <c r="IP151">
        <v>0.00116580895745559</v>
      </c>
      <c r="IQ151">
        <v>-1.679085872906199E-05</v>
      </c>
      <c r="IR151">
        <v>2</v>
      </c>
      <c r="IS151">
        <v>2290</v>
      </c>
      <c r="IT151">
        <v>0</v>
      </c>
      <c r="IU151">
        <v>32</v>
      </c>
      <c r="IV151">
        <v>7.1</v>
      </c>
      <c r="IW151">
        <v>6.8</v>
      </c>
      <c r="IX151">
        <v>1.60767</v>
      </c>
      <c r="IY151">
        <v>2.21069</v>
      </c>
      <c r="IZ151">
        <v>1.39648</v>
      </c>
      <c r="JA151">
        <v>2.35596</v>
      </c>
      <c r="JB151">
        <v>1.49536</v>
      </c>
      <c r="JC151">
        <v>2.31689</v>
      </c>
      <c r="JD151">
        <v>38.4769</v>
      </c>
      <c r="JE151">
        <v>24.0437</v>
      </c>
      <c r="JF151">
        <v>18</v>
      </c>
      <c r="JG151">
        <v>511.346</v>
      </c>
      <c r="JH151">
        <v>428.646</v>
      </c>
      <c r="JI151">
        <v>22.1789</v>
      </c>
      <c r="JJ151">
        <v>28.6704</v>
      </c>
      <c r="JK151">
        <v>30.0001</v>
      </c>
      <c r="JL151">
        <v>28.6325</v>
      </c>
      <c r="JM151">
        <v>28.5726</v>
      </c>
      <c r="JN151">
        <v>32.072</v>
      </c>
      <c r="JO151">
        <v>29.8965</v>
      </c>
      <c r="JP151">
        <v>0</v>
      </c>
      <c r="JQ151">
        <v>22.1789</v>
      </c>
      <c r="JR151">
        <v>714.702</v>
      </c>
      <c r="JS151">
        <v>13.4731</v>
      </c>
      <c r="JT151">
        <v>100.306</v>
      </c>
      <c r="JU151">
        <v>100.231</v>
      </c>
    </row>
    <row r="152" spans="1:281">
      <c r="A152">
        <v>136</v>
      </c>
      <c r="B152">
        <v>1651864669.6</v>
      </c>
      <c r="C152">
        <v>449</v>
      </c>
      <c r="D152" t="s">
        <v>692</v>
      </c>
      <c r="E152" t="s">
        <v>693</v>
      </c>
      <c r="F152">
        <v>2</v>
      </c>
      <c r="G152" t="s">
        <v>413</v>
      </c>
      <c r="H152" t="s">
        <v>414</v>
      </c>
      <c r="I152">
        <v>1651864668.6</v>
      </c>
      <c r="J152">
        <f>(K152)/1000</f>
        <v>0</v>
      </c>
      <c r="K152">
        <f>IF(CZ152, AN152, AH152)</f>
        <v>0</v>
      </c>
      <c r="L152">
        <f>IF(CZ152, AI152, AG152)</f>
        <v>0</v>
      </c>
      <c r="M152">
        <f>DB152 - IF(AU152&gt;1, L152*CV152*100.0/(AW152*DP152), 0)</f>
        <v>0</v>
      </c>
      <c r="N152">
        <f>((T152-J152/2)*M152-L152)/(T152+J152/2)</f>
        <v>0</v>
      </c>
      <c r="O152">
        <f>N152*(DI152+DJ152)/1000.0</f>
        <v>0</v>
      </c>
      <c r="P152">
        <f>(DB152 - IF(AU152&gt;1, L152*CV152*100.0/(AW152*DP152), 0))*(DI152+DJ152)/1000.0</f>
        <v>0</v>
      </c>
      <c r="Q152">
        <f>2.0/((1/S152-1/R152)+SIGN(S152)*SQRT((1/S152-1/R152)*(1/S152-1/R152) + 4*CW152/((CW152+1)*(CW152+1))*(2*1/S152*1/R152-1/R152*1/R152)))</f>
        <v>0</v>
      </c>
      <c r="R152">
        <f>IF(LEFT(CX152,1)&lt;&gt;"0",IF(LEFT(CX152,1)="1",3.0,CY152),$D$5+$E$5*(DP152*DI152/($K$5*1000))+$F$5*(DP152*DI152/($K$5*1000))*MAX(MIN(CV152,$J$5),$I$5)*MAX(MIN(CV152,$J$5),$I$5)+$G$5*MAX(MIN(CV152,$J$5),$I$5)*(DP152*DI152/($K$5*1000))+$H$5*(DP152*DI152/($K$5*1000))*(DP152*DI152/($K$5*1000)))</f>
        <v>0</v>
      </c>
      <c r="S152">
        <f>J152*(1000-(1000*0.61365*exp(17.502*W152/(240.97+W152))/(DI152+DJ152)+DD152)/2)/(1000*0.61365*exp(17.502*W152/(240.97+W152))/(DI152+DJ152)-DD152)</f>
        <v>0</v>
      </c>
      <c r="T152">
        <f>1/((CW152+1)/(Q152/1.6)+1/(R152/1.37)) + CW152/((CW152+1)/(Q152/1.6) + CW152/(R152/1.37))</f>
        <v>0</v>
      </c>
      <c r="U152">
        <f>(CR152*CU152)</f>
        <v>0</v>
      </c>
      <c r="V152">
        <f>(DK152+(U152+2*0.95*5.67E-8*(((DK152+$B$7)+273)^4-(DK152+273)^4)-44100*J152)/(1.84*29.3*R152+8*0.95*5.67E-8*(DK152+273)^3))</f>
        <v>0</v>
      </c>
      <c r="W152">
        <f>($C$7*DL152+$D$7*DM152+$E$7*V152)</f>
        <v>0</v>
      </c>
      <c r="X152">
        <f>0.61365*exp(17.502*W152/(240.97+W152))</f>
        <v>0</v>
      </c>
      <c r="Y152">
        <f>(Z152/AA152*100)</f>
        <v>0</v>
      </c>
      <c r="Z152">
        <f>DD152*(DI152+DJ152)/1000</f>
        <v>0</v>
      </c>
      <c r="AA152">
        <f>0.61365*exp(17.502*DK152/(240.97+DK152))</f>
        <v>0</v>
      </c>
      <c r="AB152">
        <f>(X152-DD152*(DI152+DJ152)/1000)</f>
        <v>0</v>
      </c>
      <c r="AC152">
        <f>(-J152*44100)</f>
        <v>0</v>
      </c>
      <c r="AD152">
        <f>2*29.3*R152*0.92*(DK152-W152)</f>
        <v>0</v>
      </c>
      <c r="AE152">
        <f>2*0.95*5.67E-8*(((DK152+$B$7)+273)^4-(W152+273)^4)</f>
        <v>0</v>
      </c>
      <c r="AF152">
        <f>U152+AE152+AC152+AD152</f>
        <v>0</v>
      </c>
      <c r="AG152">
        <f>DH152*AU152*(DC152-DB152*(1000-AU152*DE152)/(1000-AU152*DD152))/(100*CV152)</f>
        <v>0</v>
      </c>
      <c r="AH152">
        <f>1000*DH152*AU152*(DD152-DE152)/(100*CV152*(1000-AU152*DD152))</f>
        <v>0</v>
      </c>
      <c r="AI152">
        <f>(AJ152 - AK152 - DI152*1E3/(8.314*(DK152+273.15)) * AM152/DH152 * AL152) * DH152/(100*CV152) * (1000 - DE152)/1000</f>
        <v>0</v>
      </c>
      <c r="AJ152">
        <v>750.4918512029064</v>
      </c>
      <c r="AK152">
        <v>736.9711696969697</v>
      </c>
      <c r="AL152">
        <v>-3.31604144219234</v>
      </c>
      <c r="AM152">
        <v>66.38192812717227</v>
      </c>
      <c r="AN152">
        <f>(AP152 - AO152 + DI152*1E3/(8.314*(DK152+273.15)) * AR152/DH152 * AQ152) * DH152/(100*CV152) * 1000/(1000 - AP152)</f>
        <v>0</v>
      </c>
      <c r="AO152">
        <v>13.31931977058767</v>
      </c>
      <c r="AP152">
        <v>18.16778294117647</v>
      </c>
      <c r="AQ152">
        <v>7.291310053797738E-06</v>
      </c>
      <c r="AR152">
        <v>80.47224507511959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MAX(0,($B$13+$C$13*DP152)/(1+$D$13*DP152)*DI152/(DK152+273)*$E$13)</f>
        <v>0</v>
      </c>
      <c r="AX152" t="s">
        <v>417</v>
      </c>
      <c r="AY152" t="s">
        <v>417</v>
      </c>
      <c r="AZ152">
        <v>0</v>
      </c>
      <c r="BA152">
        <v>0</v>
      </c>
      <c r="BB152">
        <f>1-AZ152/BA152</f>
        <v>0</v>
      </c>
      <c r="BC152">
        <v>0</v>
      </c>
      <c r="BD152" t="s">
        <v>417</v>
      </c>
      <c r="BE152" t="s">
        <v>417</v>
      </c>
      <c r="BF152">
        <v>0</v>
      </c>
      <c r="BG152">
        <v>0</v>
      </c>
      <c r="BH152">
        <f>1-BF152/BG152</f>
        <v>0</v>
      </c>
      <c r="BI152">
        <v>0.5</v>
      </c>
      <c r="BJ152">
        <f>CS152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417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1248</v>
      </c>
      <c r="CA152">
        <v>300</v>
      </c>
      <c r="CB152">
        <v>300</v>
      </c>
      <c r="CC152">
        <v>300</v>
      </c>
      <c r="CD152">
        <v>10442</v>
      </c>
      <c r="CE152">
        <v>1293.69</v>
      </c>
      <c r="CF152">
        <v>-0.00735246</v>
      </c>
      <c r="CG152">
        <v>0.5</v>
      </c>
      <c r="CH152" t="s">
        <v>417</v>
      </c>
      <c r="CI152" t="s">
        <v>417</v>
      </c>
      <c r="CJ152" t="s">
        <v>417</v>
      </c>
      <c r="CK152" t="s">
        <v>417</v>
      </c>
      <c r="CL152" t="s">
        <v>417</v>
      </c>
      <c r="CM152" t="s">
        <v>417</v>
      </c>
      <c r="CN152" t="s">
        <v>417</v>
      </c>
      <c r="CO152" t="s">
        <v>417</v>
      </c>
      <c r="CP152" t="s">
        <v>417</v>
      </c>
      <c r="CQ152" t="s">
        <v>417</v>
      </c>
      <c r="CR152">
        <f>$B$11*DQ152+$C$11*DR152+$F$11*EC152*(1-EF152)</f>
        <v>0</v>
      </c>
      <c r="CS152">
        <f>CR152*CT152</f>
        <v>0</v>
      </c>
      <c r="CT152">
        <f>($B$11*$D$9+$C$11*$D$9+$F$11*((EP152+EH152)/MAX(EP152+EH152+EQ152, 0.1)*$I$9+EQ152/MAX(EP152+EH152+EQ152, 0.1)*$J$9))/($B$11+$C$11+$F$11)</f>
        <v>0</v>
      </c>
      <c r="CU152">
        <f>($B$11*$K$9+$C$11*$K$9+$F$11*((EP152+EH152)/MAX(EP152+EH152+EQ152, 0.1)*$P$9+EQ152/MAX(EP152+EH152+EQ152, 0.1)*$Q$9))/($B$11+$C$11+$F$11)</f>
        <v>0</v>
      </c>
      <c r="CV152">
        <v>6</v>
      </c>
      <c r="CW152">
        <v>0.5</v>
      </c>
      <c r="CX152" t="s">
        <v>418</v>
      </c>
      <c r="CY152">
        <v>2</v>
      </c>
      <c r="CZ152" t="b">
        <v>1</v>
      </c>
      <c r="DA152">
        <v>1651864668.6</v>
      </c>
      <c r="DB152">
        <v>725.2096666666666</v>
      </c>
      <c r="DC152">
        <v>734.669</v>
      </c>
      <c r="DD152">
        <v>18.1659</v>
      </c>
      <c r="DE152">
        <v>13.35186666666667</v>
      </c>
      <c r="DF152">
        <v>726.7646666666666</v>
      </c>
      <c r="DG152">
        <v>18.14816666666666</v>
      </c>
      <c r="DH152">
        <v>500.0056666666667</v>
      </c>
      <c r="DI152">
        <v>89.93656666666668</v>
      </c>
      <c r="DJ152">
        <v>0.1000256666666667</v>
      </c>
      <c r="DK152">
        <v>25.67103333333333</v>
      </c>
      <c r="DL152">
        <v>24.99803333333334</v>
      </c>
      <c r="DM152">
        <v>999.9</v>
      </c>
      <c r="DN152">
        <v>0</v>
      </c>
      <c r="DO152">
        <v>0</v>
      </c>
      <c r="DP152">
        <v>10008.76666666667</v>
      </c>
      <c r="DQ152">
        <v>0</v>
      </c>
      <c r="DR152">
        <v>3.23193</v>
      </c>
      <c r="DS152">
        <v>-9.459026666666666</v>
      </c>
      <c r="DT152">
        <v>738.6273333333334</v>
      </c>
      <c r="DU152">
        <v>744.6106666666668</v>
      </c>
      <c r="DV152">
        <v>4.814039999999999</v>
      </c>
      <c r="DW152">
        <v>734.669</v>
      </c>
      <c r="DX152">
        <v>13.35186666666667</v>
      </c>
      <c r="DY152">
        <v>1.63378</v>
      </c>
      <c r="DZ152">
        <v>1.200823333333333</v>
      </c>
      <c r="EA152">
        <v>14.28113333333333</v>
      </c>
      <c r="EB152">
        <v>9.61172</v>
      </c>
      <c r="EC152">
        <v>1500.126666666667</v>
      </c>
      <c r="ED152">
        <v>0.9730086666666665</v>
      </c>
      <c r="EE152">
        <v>0.0269913</v>
      </c>
      <c r="EF152">
        <v>0</v>
      </c>
      <c r="EG152">
        <v>892.5023333333334</v>
      </c>
      <c r="EH152">
        <v>5.00097</v>
      </c>
      <c r="EI152">
        <v>13257.96666666667</v>
      </c>
      <c r="EJ152">
        <v>12492.66666666667</v>
      </c>
      <c r="EK152">
        <v>37.25</v>
      </c>
      <c r="EL152">
        <v>38.708</v>
      </c>
      <c r="EM152">
        <v>37.625</v>
      </c>
      <c r="EN152">
        <v>38.437</v>
      </c>
      <c r="EO152">
        <v>38.125</v>
      </c>
      <c r="EP152">
        <v>1454.773333333333</v>
      </c>
      <c r="EQ152">
        <v>40.35333333333333</v>
      </c>
      <c r="ER152">
        <v>0</v>
      </c>
      <c r="ES152">
        <v>448.7999999523163</v>
      </c>
      <c r="ET152">
        <v>0</v>
      </c>
      <c r="EU152">
        <v>896.4193076923076</v>
      </c>
      <c r="EV152">
        <v>-37.52567521386558</v>
      </c>
      <c r="EW152">
        <v>-553.4871794108918</v>
      </c>
      <c r="EX152">
        <v>13315.51923076923</v>
      </c>
      <c r="EY152">
        <v>15</v>
      </c>
      <c r="EZ152">
        <v>1651864261.1</v>
      </c>
      <c r="FA152" t="s">
        <v>419</v>
      </c>
      <c r="FB152">
        <v>1651864241.6</v>
      </c>
      <c r="FC152">
        <v>1651864261.1</v>
      </c>
      <c r="FD152">
        <v>7</v>
      </c>
      <c r="FE152">
        <v>0.438</v>
      </c>
      <c r="FF152">
        <v>0.002</v>
      </c>
      <c r="FG152">
        <v>-0.988</v>
      </c>
      <c r="FH152">
        <v>-0.066</v>
      </c>
      <c r="FI152">
        <v>400</v>
      </c>
      <c r="FJ152">
        <v>11</v>
      </c>
      <c r="FK152">
        <v>0.05</v>
      </c>
      <c r="FL152">
        <v>0.02</v>
      </c>
      <c r="FM152">
        <v>-10.21099625</v>
      </c>
      <c r="FN152">
        <v>5.446584202626624</v>
      </c>
      <c r="FO152">
        <v>0.5370779208861947</v>
      </c>
      <c r="FP152">
        <v>-1</v>
      </c>
      <c r="FQ152">
        <v>4.92722225</v>
      </c>
      <c r="FR152">
        <v>-0.734030656660423</v>
      </c>
      <c r="FS152">
        <v>0.07080122059285074</v>
      </c>
      <c r="FT152">
        <v>-1</v>
      </c>
      <c r="FU152">
        <v>0</v>
      </c>
      <c r="FV152">
        <v>0</v>
      </c>
      <c r="FW152">
        <v>0</v>
      </c>
      <c r="FX152">
        <v>-1</v>
      </c>
      <c r="FY152">
        <v>0</v>
      </c>
      <c r="FZ152">
        <v>0</v>
      </c>
      <c r="GA152" t="s">
        <v>420</v>
      </c>
      <c r="GB152">
        <v>2.98045</v>
      </c>
      <c r="GC152">
        <v>2.70627</v>
      </c>
      <c r="GD152">
        <v>0.137933</v>
      </c>
      <c r="GE152">
        <v>0.137544</v>
      </c>
      <c r="GF152">
        <v>0.0870359</v>
      </c>
      <c r="GG152">
        <v>0.06873020000000001</v>
      </c>
      <c r="GH152">
        <v>27205.6</v>
      </c>
      <c r="GI152">
        <v>27277.9</v>
      </c>
      <c r="GJ152">
        <v>29344.4</v>
      </c>
      <c r="GK152">
        <v>29259.1</v>
      </c>
      <c r="GL152">
        <v>35475.2</v>
      </c>
      <c r="GM152">
        <v>36291.5</v>
      </c>
      <c r="GN152">
        <v>41303.8</v>
      </c>
      <c r="GO152">
        <v>41762.1</v>
      </c>
      <c r="GP152">
        <v>1.9559</v>
      </c>
      <c r="GQ152">
        <v>1.84982</v>
      </c>
      <c r="GR152">
        <v>-0.0222027</v>
      </c>
      <c r="GS152">
        <v>0</v>
      </c>
      <c r="GT152">
        <v>25.3633</v>
      </c>
      <c r="GU152">
        <v>999.9</v>
      </c>
      <c r="GV152">
        <v>31.7</v>
      </c>
      <c r="GW152">
        <v>34.3</v>
      </c>
      <c r="GX152">
        <v>19.1501</v>
      </c>
      <c r="GY152">
        <v>62.6474</v>
      </c>
      <c r="GZ152">
        <v>35.1803</v>
      </c>
      <c r="HA152">
        <v>1</v>
      </c>
      <c r="HB152">
        <v>0.106885</v>
      </c>
      <c r="HC152">
        <v>2.32156</v>
      </c>
      <c r="HD152">
        <v>20.3179</v>
      </c>
      <c r="HE152">
        <v>5.21774</v>
      </c>
      <c r="HF152">
        <v>12.0099</v>
      </c>
      <c r="HG152">
        <v>4.988</v>
      </c>
      <c r="HH152">
        <v>3.2885</v>
      </c>
      <c r="HI152">
        <v>997.2</v>
      </c>
      <c r="HJ152">
        <v>9544.1</v>
      </c>
      <c r="HK152">
        <v>5139.4</v>
      </c>
      <c r="HL152">
        <v>24.9</v>
      </c>
      <c r="HM152">
        <v>1.86752</v>
      </c>
      <c r="HN152">
        <v>1.86646</v>
      </c>
      <c r="HO152">
        <v>1.866</v>
      </c>
      <c r="HP152">
        <v>1.86585</v>
      </c>
      <c r="HQ152">
        <v>1.86768</v>
      </c>
      <c r="HR152">
        <v>1.87019</v>
      </c>
      <c r="HS152">
        <v>1.8689</v>
      </c>
      <c r="HT152">
        <v>1.87024</v>
      </c>
      <c r="HU152">
        <v>0</v>
      </c>
      <c r="HV152">
        <v>0</v>
      </c>
      <c r="HW152">
        <v>0</v>
      </c>
      <c r="HX152">
        <v>0</v>
      </c>
      <c r="HY152" t="s">
        <v>421</v>
      </c>
      <c r="HZ152" t="s">
        <v>422</v>
      </c>
      <c r="IA152" t="s">
        <v>423</v>
      </c>
      <c r="IB152" t="s">
        <v>423</v>
      </c>
      <c r="IC152" t="s">
        <v>423</v>
      </c>
      <c r="ID152" t="s">
        <v>423</v>
      </c>
      <c r="IE152">
        <v>0</v>
      </c>
      <c r="IF152">
        <v>100</v>
      </c>
      <c r="IG152">
        <v>100</v>
      </c>
      <c r="IH152">
        <v>-1.549</v>
      </c>
      <c r="II152">
        <v>0.0177</v>
      </c>
      <c r="IJ152">
        <v>-0.2164499368582429</v>
      </c>
      <c r="IK152">
        <v>-0.002077099775823331</v>
      </c>
      <c r="IL152">
        <v>4.593143279902166E-07</v>
      </c>
      <c r="IM152">
        <v>-1.865383991892071E-10</v>
      </c>
      <c r="IN152">
        <v>-0.06087574426827484</v>
      </c>
      <c r="IO152">
        <v>-0.01129461987421345</v>
      </c>
      <c r="IP152">
        <v>0.00116580895745559</v>
      </c>
      <c r="IQ152">
        <v>-1.679085872906199E-05</v>
      </c>
      <c r="IR152">
        <v>2</v>
      </c>
      <c r="IS152">
        <v>2290</v>
      </c>
      <c r="IT152">
        <v>0</v>
      </c>
      <c r="IU152">
        <v>32</v>
      </c>
      <c r="IV152">
        <v>7.1</v>
      </c>
      <c r="IW152">
        <v>6.8</v>
      </c>
      <c r="IX152">
        <v>1.59668</v>
      </c>
      <c r="IY152">
        <v>2.21069</v>
      </c>
      <c r="IZ152">
        <v>1.39648</v>
      </c>
      <c r="JA152">
        <v>2.35596</v>
      </c>
      <c r="JB152">
        <v>1.49536</v>
      </c>
      <c r="JC152">
        <v>2.35596</v>
      </c>
      <c r="JD152">
        <v>38.4769</v>
      </c>
      <c r="JE152">
        <v>24.035</v>
      </c>
      <c r="JF152">
        <v>18</v>
      </c>
      <c r="JG152">
        <v>511.337</v>
      </c>
      <c r="JH152">
        <v>428.706</v>
      </c>
      <c r="JI152">
        <v>22.1774</v>
      </c>
      <c r="JJ152">
        <v>28.6707</v>
      </c>
      <c r="JK152">
        <v>30.0001</v>
      </c>
      <c r="JL152">
        <v>28.6334</v>
      </c>
      <c r="JM152">
        <v>28.5726</v>
      </c>
      <c r="JN152">
        <v>31.8345</v>
      </c>
      <c r="JO152">
        <v>29.6026</v>
      </c>
      <c r="JP152">
        <v>0</v>
      </c>
      <c r="JQ152">
        <v>22.341</v>
      </c>
      <c r="JR152">
        <v>708.024</v>
      </c>
      <c r="JS152">
        <v>13.4998</v>
      </c>
      <c r="JT152">
        <v>100.305</v>
      </c>
      <c r="JU152">
        <v>100.232</v>
      </c>
    </row>
    <row r="153" spans="1:281">
      <c r="A153">
        <v>137</v>
      </c>
      <c r="B153">
        <v>1651864671.6</v>
      </c>
      <c r="C153">
        <v>451</v>
      </c>
      <c r="D153" t="s">
        <v>694</v>
      </c>
      <c r="E153" t="s">
        <v>695</v>
      </c>
      <c r="F153">
        <v>2</v>
      </c>
      <c r="G153" t="s">
        <v>413</v>
      </c>
      <c r="H153" t="s">
        <v>414</v>
      </c>
      <c r="I153">
        <v>1651864670.225</v>
      </c>
      <c r="J153">
        <f>(K153)/1000</f>
        <v>0</v>
      </c>
      <c r="K153">
        <f>IF(CZ153, AN153, AH153)</f>
        <v>0</v>
      </c>
      <c r="L153">
        <f>IF(CZ153, AI153, AG153)</f>
        <v>0</v>
      </c>
      <c r="M153">
        <f>DB153 - IF(AU153&gt;1, L153*CV153*100.0/(AW153*DP153), 0)</f>
        <v>0</v>
      </c>
      <c r="N153">
        <f>((T153-J153/2)*M153-L153)/(T153+J153/2)</f>
        <v>0</v>
      </c>
      <c r="O153">
        <f>N153*(DI153+DJ153)/1000.0</f>
        <v>0</v>
      </c>
      <c r="P153">
        <f>(DB153 - IF(AU153&gt;1, L153*CV153*100.0/(AW153*DP153), 0))*(DI153+DJ153)/1000.0</f>
        <v>0</v>
      </c>
      <c r="Q153">
        <f>2.0/((1/S153-1/R153)+SIGN(S153)*SQRT((1/S153-1/R153)*(1/S153-1/R153) + 4*CW153/((CW153+1)*(CW153+1))*(2*1/S153*1/R153-1/R153*1/R153)))</f>
        <v>0</v>
      </c>
      <c r="R153">
        <f>IF(LEFT(CX153,1)&lt;&gt;"0",IF(LEFT(CX153,1)="1",3.0,CY153),$D$5+$E$5*(DP153*DI153/($K$5*1000))+$F$5*(DP153*DI153/($K$5*1000))*MAX(MIN(CV153,$J$5),$I$5)*MAX(MIN(CV153,$J$5),$I$5)+$G$5*MAX(MIN(CV153,$J$5),$I$5)*(DP153*DI153/($K$5*1000))+$H$5*(DP153*DI153/($K$5*1000))*(DP153*DI153/($K$5*1000)))</f>
        <v>0</v>
      </c>
      <c r="S153">
        <f>J153*(1000-(1000*0.61365*exp(17.502*W153/(240.97+W153))/(DI153+DJ153)+DD153)/2)/(1000*0.61365*exp(17.502*W153/(240.97+W153))/(DI153+DJ153)-DD153)</f>
        <v>0</v>
      </c>
      <c r="T153">
        <f>1/((CW153+1)/(Q153/1.6)+1/(R153/1.37)) + CW153/((CW153+1)/(Q153/1.6) + CW153/(R153/1.37))</f>
        <v>0</v>
      </c>
      <c r="U153">
        <f>(CR153*CU153)</f>
        <v>0</v>
      </c>
      <c r="V153">
        <f>(DK153+(U153+2*0.95*5.67E-8*(((DK153+$B$7)+273)^4-(DK153+273)^4)-44100*J153)/(1.84*29.3*R153+8*0.95*5.67E-8*(DK153+273)^3))</f>
        <v>0</v>
      </c>
      <c r="W153">
        <f>($C$7*DL153+$D$7*DM153+$E$7*V153)</f>
        <v>0</v>
      </c>
      <c r="X153">
        <f>0.61365*exp(17.502*W153/(240.97+W153))</f>
        <v>0</v>
      </c>
      <c r="Y153">
        <f>(Z153/AA153*100)</f>
        <v>0</v>
      </c>
      <c r="Z153">
        <f>DD153*(DI153+DJ153)/1000</f>
        <v>0</v>
      </c>
      <c r="AA153">
        <f>0.61365*exp(17.502*DK153/(240.97+DK153))</f>
        <v>0</v>
      </c>
      <c r="AB153">
        <f>(X153-DD153*(DI153+DJ153)/1000)</f>
        <v>0</v>
      </c>
      <c r="AC153">
        <f>(-J153*44100)</f>
        <v>0</v>
      </c>
      <c r="AD153">
        <f>2*29.3*R153*0.92*(DK153-W153)</f>
        <v>0</v>
      </c>
      <c r="AE153">
        <f>2*0.95*5.67E-8*(((DK153+$B$7)+273)^4-(W153+273)^4)</f>
        <v>0</v>
      </c>
      <c r="AF153">
        <f>U153+AE153+AC153+AD153</f>
        <v>0</v>
      </c>
      <c r="AG153">
        <f>DH153*AU153*(DC153-DB153*(1000-AU153*DE153)/(1000-AU153*DD153))/(100*CV153)</f>
        <v>0</v>
      </c>
      <c r="AH153">
        <f>1000*DH153*AU153*(DD153-DE153)/(100*CV153*(1000-AU153*DD153))</f>
        <v>0</v>
      </c>
      <c r="AI153">
        <f>(AJ153 - AK153 - DI153*1E3/(8.314*(DK153+273.15)) * AM153/DH153 * AL153) * DH153/(100*CV153) * (1000 - DE153)/1000</f>
        <v>0</v>
      </c>
      <c r="AJ153">
        <v>743.8222481497346</v>
      </c>
      <c r="AK153">
        <v>730.338836363636</v>
      </c>
      <c r="AL153">
        <v>-3.315175160349549</v>
      </c>
      <c r="AM153">
        <v>66.38192812717227</v>
      </c>
      <c r="AN153">
        <f>(AP153 - AO153 + DI153*1E3/(8.314*(DK153+273.15)) * AR153/DH153 * AQ153) * DH153/(100*CV153) * 1000/(1000 - AP153)</f>
        <v>0</v>
      </c>
      <c r="AO153">
        <v>13.33768306580423</v>
      </c>
      <c r="AP153">
        <v>18.16744588235294</v>
      </c>
      <c r="AQ153">
        <v>3.666653306795131E-05</v>
      </c>
      <c r="AR153">
        <v>80.47224507511959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MAX(0,($B$13+$C$13*DP153)/(1+$D$13*DP153)*DI153/(DK153+273)*$E$13)</f>
        <v>0</v>
      </c>
      <c r="AX153" t="s">
        <v>417</v>
      </c>
      <c r="AY153" t="s">
        <v>417</v>
      </c>
      <c r="AZ153">
        <v>0</v>
      </c>
      <c r="BA153">
        <v>0</v>
      </c>
      <c r="BB153">
        <f>1-AZ153/BA153</f>
        <v>0</v>
      </c>
      <c r="BC153">
        <v>0</v>
      </c>
      <c r="BD153" t="s">
        <v>417</v>
      </c>
      <c r="BE153" t="s">
        <v>417</v>
      </c>
      <c r="BF153">
        <v>0</v>
      </c>
      <c r="BG153">
        <v>0</v>
      </c>
      <c r="BH153">
        <f>1-BF153/BG153</f>
        <v>0</v>
      </c>
      <c r="BI153">
        <v>0.5</v>
      </c>
      <c r="BJ153">
        <f>CS153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417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1248</v>
      </c>
      <c r="CA153">
        <v>300</v>
      </c>
      <c r="CB153">
        <v>300</v>
      </c>
      <c r="CC153">
        <v>300</v>
      </c>
      <c r="CD153">
        <v>10442</v>
      </c>
      <c r="CE153">
        <v>1293.69</v>
      </c>
      <c r="CF153">
        <v>-0.00735246</v>
      </c>
      <c r="CG153">
        <v>0.5</v>
      </c>
      <c r="CH153" t="s">
        <v>417</v>
      </c>
      <c r="CI153" t="s">
        <v>417</v>
      </c>
      <c r="CJ153" t="s">
        <v>417</v>
      </c>
      <c r="CK153" t="s">
        <v>417</v>
      </c>
      <c r="CL153" t="s">
        <v>417</v>
      </c>
      <c r="CM153" t="s">
        <v>417</v>
      </c>
      <c r="CN153" t="s">
        <v>417</v>
      </c>
      <c r="CO153" t="s">
        <v>417</v>
      </c>
      <c r="CP153" t="s">
        <v>417</v>
      </c>
      <c r="CQ153" t="s">
        <v>417</v>
      </c>
      <c r="CR153">
        <f>$B$11*DQ153+$C$11*DR153+$F$11*EC153*(1-EF153)</f>
        <v>0</v>
      </c>
      <c r="CS153">
        <f>CR153*CT153</f>
        <v>0</v>
      </c>
      <c r="CT153">
        <f>($B$11*$D$9+$C$11*$D$9+$F$11*((EP153+EH153)/MAX(EP153+EH153+EQ153, 0.1)*$I$9+EQ153/MAX(EP153+EH153+EQ153, 0.1)*$J$9))/($B$11+$C$11+$F$11)</f>
        <v>0</v>
      </c>
      <c r="CU153">
        <f>($B$11*$K$9+$C$11*$K$9+$F$11*((EP153+EH153)/MAX(EP153+EH153+EQ153, 0.1)*$P$9+EQ153/MAX(EP153+EH153+EQ153, 0.1)*$Q$9))/($B$11+$C$11+$F$11)</f>
        <v>0</v>
      </c>
      <c r="CV153">
        <v>6</v>
      </c>
      <c r="CW153">
        <v>0.5</v>
      </c>
      <c r="CX153" t="s">
        <v>418</v>
      </c>
      <c r="CY153">
        <v>2</v>
      </c>
      <c r="CZ153" t="b">
        <v>1</v>
      </c>
      <c r="DA153">
        <v>1651864670.225</v>
      </c>
      <c r="DB153">
        <v>719.9185</v>
      </c>
      <c r="DC153">
        <v>729.18475</v>
      </c>
      <c r="DD153">
        <v>18.166775</v>
      </c>
      <c r="DE153">
        <v>13.369025</v>
      </c>
      <c r="DF153">
        <v>721.46425</v>
      </c>
      <c r="DG153">
        <v>18.149025</v>
      </c>
      <c r="DH153">
        <v>500.08575</v>
      </c>
      <c r="DI153">
        <v>89.93727499999999</v>
      </c>
      <c r="DJ153">
        <v>0.10029125</v>
      </c>
      <c r="DK153">
        <v>25.669225</v>
      </c>
      <c r="DL153">
        <v>25.000275</v>
      </c>
      <c r="DM153">
        <v>999.9</v>
      </c>
      <c r="DN153">
        <v>0</v>
      </c>
      <c r="DO153">
        <v>0</v>
      </c>
      <c r="DP153">
        <v>9984.532499999999</v>
      </c>
      <c r="DQ153">
        <v>0</v>
      </c>
      <c r="DR153">
        <v>3.23193</v>
      </c>
      <c r="DS153">
        <v>-9.26619</v>
      </c>
      <c r="DT153">
        <v>733.2392500000001</v>
      </c>
      <c r="DU153">
        <v>739.0650000000001</v>
      </c>
      <c r="DV153">
        <v>4.797767500000001</v>
      </c>
      <c r="DW153">
        <v>729.18475</v>
      </c>
      <c r="DX153">
        <v>13.369025</v>
      </c>
      <c r="DY153">
        <v>1.63387</v>
      </c>
      <c r="DZ153">
        <v>1.20237</v>
      </c>
      <c r="EA153">
        <v>14.282</v>
      </c>
      <c r="EB153">
        <v>9.6309475</v>
      </c>
      <c r="EC153">
        <v>1499.9975</v>
      </c>
      <c r="ED153">
        <v>0.9730082499999999</v>
      </c>
      <c r="EE153">
        <v>0.02699174999999999</v>
      </c>
      <c r="EF153">
        <v>0</v>
      </c>
      <c r="EG153">
        <v>891.4235000000001</v>
      </c>
      <c r="EH153">
        <v>5.00097</v>
      </c>
      <c r="EI153">
        <v>13242.025</v>
      </c>
      <c r="EJ153">
        <v>12491.6</v>
      </c>
      <c r="EK153">
        <v>37.25</v>
      </c>
      <c r="EL153">
        <v>38.70274999999999</v>
      </c>
      <c r="EM153">
        <v>37.625</v>
      </c>
      <c r="EN153">
        <v>38.437</v>
      </c>
      <c r="EO153">
        <v>38.125</v>
      </c>
      <c r="EP153">
        <v>1454.6475</v>
      </c>
      <c r="EQ153">
        <v>40.35</v>
      </c>
      <c r="ER153">
        <v>0</v>
      </c>
      <c r="ES153">
        <v>450.6000001430511</v>
      </c>
      <c r="ET153">
        <v>0</v>
      </c>
      <c r="EU153">
        <v>895.0811199999999</v>
      </c>
      <c r="EV153">
        <v>-37.79369225233103</v>
      </c>
      <c r="EW153">
        <v>-564.4230760280242</v>
      </c>
      <c r="EX153">
        <v>13295.948</v>
      </c>
      <c r="EY153">
        <v>15</v>
      </c>
      <c r="EZ153">
        <v>1651864261.1</v>
      </c>
      <c r="FA153" t="s">
        <v>419</v>
      </c>
      <c r="FB153">
        <v>1651864241.6</v>
      </c>
      <c r="FC153">
        <v>1651864261.1</v>
      </c>
      <c r="FD153">
        <v>7</v>
      </c>
      <c r="FE153">
        <v>0.438</v>
      </c>
      <c r="FF153">
        <v>0.002</v>
      </c>
      <c r="FG153">
        <v>-0.988</v>
      </c>
      <c r="FH153">
        <v>-0.066</v>
      </c>
      <c r="FI153">
        <v>400</v>
      </c>
      <c r="FJ153">
        <v>11</v>
      </c>
      <c r="FK153">
        <v>0.05</v>
      </c>
      <c r="FL153">
        <v>0.02</v>
      </c>
      <c r="FM153">
        <v>-9.97521675</v>
      </c>
      <c r="FN153">
        <v>5.416871482176391</v>
      </c>
      <c r="FO153">
        <v>0.5346387235479091</v>
      </c>
      <c r="FP153">
        <v>-1</v>
      </c>
      <c r="FQ153">
        <v>4.892742</v>
      </c>
      <c r="FR153">
        <v>-0.6978704690431613</v>
      </c>
      <c r="FS153">
        <v>0.06746420307096207</v>
      </c>
      <c r="FT153">
        <v>-1</v>
      </c>
      <c r="FU153">
        <v>0</v>
      </c>
      <c r="FV153">
        <v>0</v>
      </c>
      <c r="FW153">
        <v>0</v>
      </c>
      <c r="FX153">
        <v>-1</v>
      </c>
      <c r="FY153">
        <v>0</v>
      </c>
      <c r="FZ153">
        <v>0</v>
      </c>
      <c r="GA153" t="s">
        <v>420</v>
      </c>
      <c r="GB153">
        <v>2.9805</v>
      </c>
      <c r="GC153">
        <v>2.70608</v>
      </c>
      <c r="GD153">
        <v>0.137088</v>
      </c>
      <c r="GE153">
        <v>0.136683</v>
      </c>
      <c r="GF153">
        <v>0.0870455</v>
      </c>
      <c r="GG153">
        <v>0.0688329</v>
      </c>
      <c r="GH153">
        <v>27232.1</v>
      </c>
      <c r="GI153">
        <v>27305.2</v>
      </c>
      <c r="GJ153">
        <v>29344.3</v>
      </c>
      <c r="GK153">
        <v>29259.2</v>
      </c>
      <c r="GL153">
        <v>35474.7</v>
      </c>
      <c r="GM153">
        <v>36287.5</v>
      </c>
      <c r="GN153">
        <v>41303.6</v>
      </c>
      <c r="GO153">
        <v>41762.2</v>
      </c>
      <c r="GP153">
        <v>1.9558</v>
      </c>
      <c r="GQ153">
        <v>1.84973</v>
      </c>
      <c r="GR153">
        <v>-0.0218153</v>
      </c>
      <c r="GS153">
        <v>0</v>
      </c>
      <c r="GT153">
        <v>25.3618</v>
      </c>
      <c r="GU153">
        <v>999.9</v>
      </c>
      <c r="GV153">
        <v>31.7</v>
      </c>
      <c r="GW153">
        <v>34.3</v>
      </c>
      <c r="GX153">
        <v>19.1481</v>
      </c>
      <c r="GY153">
        <v>62.2975</v>
      </c>
      <c r="GZ153">
        <v>34.7997</v>
      </c>
      <c r="HA153">
        <v>1</v>
      </c>
      <c r="HB153">
        <v>0.106451</v>
      </c>
      <c r="HC153">
        <v>1.9167</v>
      </c>
      <c r="HD153">
        <v>20.3226</v>
      </c>
      <c r="HE153">
        <v>5.21774</v>
      </c>
      <c r="HF153">
        <v>12.0099</v>
      </c>
      <c r="HG153">
        <v>4.98905</v>
      </c>
      <c r="HH153">
        <v>3.2885</v>
      </c>
      <c r="HI153">
        <v>997.2</v>
      </c>
      <c r="HJ153">
        <v>9544.1</v>
      </c>
      <c r="HK153">
        <v>5139.4</v>
      </c>
      <c r="HL153">
        <v>24.9</v>
      </c>
      <c r="HM153">
        <v>1.86752</v>
      </c>
      <c r="HN153">
        <v>1.86646</v>
      </c>
      <c r="HO153">
        <v>1.866</v>
      </c>
      <c r="HP153">
        <v>1.86586</v>
      </c>
      <c r="HQ153">
        <v>1.86768</v>
      </c>
      <c r="HR153">
        <v>1.87019</v>
      </c>
      <c r="HS153">
        <v>1.8689</v>
      </c>
      <c r="HT153">
        <v>1.87024</v>
      </c>
      <c r="HU153">
        <v>0</v>
      </c>
      <c r="HV153">
        <v>0</v>
      </c>
      <c r="HW153">
        <v>0</v>
      </c>
      <c r="HX153">
        <v>0</v>
      </c>
      <c r="HY153" t="s">
        <v>421</v>
      </c>
      <c r="HZ153" t="s">
        <v>422</v>
      </c>
      <c r="IA153" t="s">
        <v>423</v>
      </c>
      <c r="IB153" t="s">
        <v>423</v>
      </c>
      <c r="IC153" t="s">
        <v>423</v>
      </c>
      <c r="ID153" t="s">
        <v>423</v>
      </c>
      <c r="IE153">
        <v>0</v>
      </c>
      <c r="IF153">
        <v>100</v>
      </c>
      <c r="IG153">
        <v>100</v>
      </c>
      <c r="IH153">
        <v>-1.538</v>
      </c>
      <c r="II153">
        <v>0.0178</v>
      </c>
      <c r="IJ153">
        <v>-0.2164499368582429</v>
      </c>
      <c r="IK153">
        <v>-0.002077099775823331</v>
      </c>
      <c r="IL153">
        <v>4.593143279902166E-07</v>
      </c>
      <c r="IM153">
        <v>-1.865383991892071E-10</v>
      </c>
      <c r="IN153">
        <v>-0.06087574426827484</v>
      </c>
      <c r="IO153">
        <v>-0.01129461987421345</v>
      </c>
      <c r="IP153">
        <v>0.00116580895745559</v>
      </c>
      <c r="IQ153">
        <v>-1.679085872906199E-05</v>
      </c>
      <c r="IR153">
        <v>2</v>
      </c>
      <c r="IS153">
        <v>2290</v>
      </c>
      <c r="IT153">
        <v>0</v>
      </c>
      <c r="IU153">
        <v>32</v>
      </c>
      <c r="IV153">
        <v>7.2</v>
      </c>
      <c r="IW153">
        <v>6.8</v>
      </c>
      <c r="IX153">
        <v>1.58447</v>
      </c>
      <c r="IY153">
        <v>2.21558</v>
      </c>
      <c r="IZ153">
        <v>1.39648</v>
      </c>
      <c r="JA153">
        <v>2.35718</v>
      </c>
      <c r="JB153">
        <v>1.49536</v>
      </c>
      <c r="JC153">
        <v>2.28027</v>
      </c>
      <c r="JD153">
        <v>38.4769</v>
      </c>
      <c r="JE153">
        <v>24.035</v>
      </c>
      <c r="JF153">
        <v>18</v>
      </c>
      <c r="JG153">
        <v>511.282</v>
      </c>
      <c r="JH153">
        <v>428.646</v>
      </c>
      <c r="JI153">
        <v>22.1952</v>
      </c>
      <c r="JJ153">
        <v>28.6707</v>
      </c>
      <c r="JK153">
        <v>29.9998</v>
      </c>
      <c r="JL153">
        <v>28.6347</v>
      </c>
      <c r="JM153">
        <v>28.5726</v>
      </c>
      <c r="JN153">
        <v>31.5994</v>
      </c>
      <c r="JO153">
        <v>29.6026</v>
      </c>
      <c r="JP153">
        <v>0</v>
      </c>
      <c r="JQ153">
        <v>22.341</v>
      </c>
      <c r="JR153">
        <v>701.3339999999999</v>
      </c>
      <c r="JS153">
        <v>13.5201</v>
      </c>
      <c r="JT153">
        <v>100.305</v>
      </c>
      <c r="JU153">
        <v>100.232</v>
      </c>
    </row>
    <row r="154" spans="1:281">
      <c r="A154">
        <v>138</v>
      </c>
      <c r="B154">
        <v>1651864673.6</v>
      </c>
      <c r="C154">
        <v>453</v>
      </c>
      <c r="D154" t="s">
        <v>696</v>
      </c>
      <c r="E154" t="s">
        <v>697</v>
      </c>
      <c r="F154">
        <v>2</v>
      </c>
      <c r="G154" t="s">
        <v>413</v>
      </c>
      <c r="H154" t="s">
        <v>414</v>
      </c>
      <c r="I154">
        <v>1651864672.6</v>
      </c>
      <c r="J154">
        <f>(K154)/1000</f>
        <v>0</v>
      </c>
      <c r="K154">
        <f>IF(CZ154, AN154, AH154)</f>
        <v>0</v>
      </c>
      <c r="L154">
        <f>IF(CZ154, AI154, AG154)</f>
        <v>0</v>
      </c>
      <c r="M154">
        <f>DB154 - IF(AU154&gt;1, L154*CV154*100.0/(AW154*DP154), 0)</f>
        <v>0</v>
      </c>
      <c r="N154">
        <f>((T154-J154/2)*M154-L154)/(T154+J154/2)</f>
        <v>0</v>
      </c>
      <c r="O154">
        <f>N154*(DI154+DJ154)/1000.0</f>
        <v>0</v>
      </c>
      <c r="P154">
        <f>(DB154 - IF(AU154&gt;1, L154*CV154*100.0/(AW154*DP154), 0))*(DI154+DJ154)/1000.0</f>
        <v>0</v>
      </c>
      <c r="Q154">
        <f>2.0/((1/S154-1/R154)+SIGN(S154)*SQRT((1/S154-1/R154)*(1/S154-1/R154) + 4*CW154/((CW154+1)*(CW154+1))*(2*1/S154*1/R154-1/R154*1/R154)))</f>
        <v>0</v>
      </c>
      <c r="R154">
        <f>IF(LEFT(CX154,1)&lt;&gt;"0",IF(LEFT(CX154,1)="1",3.0,CY154),$D$5+$E$5*(DP154*DI154/($K$5*1000))+$F$5*(DP154*DI154/($K$5*1000))*MAX(MIN(CV154,$J$5),$I$5)*MAX(MIN(CV154,$J$5),$I$5)+$G$5*MAX(MIN(CV154,$J$5),$I$5)*(DP154*DI154/($K$5*1000))+$H$5*(DP154*DI154/($K$5*1000))*(DP154*DI154/($K$5*1000)))</f>
        <v>0</v>
      </c>
      <c r="S154">
        <f>J154*(1000-(1000*0.61365*exp(17.502*W154/(240.97+W154))/(DI154+DJ154)+DD154)/2)/(1000*0.61365*exp(17.502*W154/(240.97+W154))/(DI154+DJ154)-DD154)</f>
        <v>0</v>
      </c>
      <c r="T154">
        <f>1/((CW154+1)/(Q154/1.6)+1/(R154/1.37)) + CW154/((CW154+1)/(Q154/1.6) + CW154/(R154/1.37))</f>
        <v>0</v>
      </c>
      <c r="U154">
        <f>(CR154*CU154)</f>
        <v>0</v>
      </c>
      <c r="V154">
        <f>(DK154+(U154+2*0.95*5.67E-8*(((DK154+$B$7)+273)^4-(DK154+273)^4)-44100*J154)/(1.84*29.3*R154+8*0.95*5.67E-8*(DK154+273)^3))</f>
        <v>0</v>
      </c>
      <c r="W154">
        <f>($C$7*DL154+$D$7*DM154+$E$7*V154)</f>
        <v>0</v>
      </c>
      <c r="X154">
        <f>0.61365*exp(17.502*W154/(240.97+W154))</f>
        <v>0</v>
      </c>
      <c r="Y154">
        <f>(Z154/AA154*100)</f>
        <v>0</v>
      </c>
      <c r="Z154">
        <f>DD154*(DI154+DJ154)/1000</f>
        <v>0</v>
      </c>
      <c r="AA154">
        <f>0.61365*exp(17.502*DK154/(240.97+DK154))</f>
        <v>0</v>
      </c>
      <c r="AB154">
        <f>(X154-DD154*(DI154+DJ154)/1000)</f>
        <v>0</v>
      </c>
      <c r="AC154">
        <f>(-J154*44100)</f>
        <v>0</v>
      </c>
      <c r="AD154">
        <f>2*29.3*R154*0.92*(DK154-W154)</f>
        <v>0</v>
      </c>
      <c r="AE154">
        <f>2*0.95*5.67E-8*(((DK154+$B$7)+273)^4-(W154+273)^4)</f>
        <v>0</v>
      </c>
      <c r="AF154">
        <f>U154+AE154+AC154+AD154</f>
        <v>0</v>
      </c>
      <c r="AG154">
        <f>DH154*AU154*(DC154-DB154*(1000-AU154*DE154)/(1000-AU154*DD154))/(100*CV154)</f>
        <v>0</v>
      </c>
      <c r="AH154">
        <f>1000*DH154*AU154*(DD154-DE154)/(100*CV154*(1000-AU154*DD154))</f>
        <v>0</v>
      </c>
      <c r="AI154">
        <f>(AJ154 - AK154 - DI154*1E3/(8.314*(DK154+273.15)) * AM154/DH154 * AL154) * DH154/(100*CV154) * (1000 - DE154)/1000</f>
        <v>0</v>
      </c>
      <c r="AJ154">
        <v>736.9868248628403</v>
      </c>
      <c r="AK154">
        <v>723.6834363636362</v>
      </c>
      <c r="AL154">
        <v>-3.322777002005698</v>
      </c>
      <c r="AM154">
        <v>66.38192812717227</v>
      </c>
      <c r="AN154">
        <f>(AP154 - AO154 + DI154*1E3/(8.314*(DK154+273.15)) * AR154/DH154 * AQ154) * DH154/(100*CV154) * 1000/(1000 - AP154)</f>
        <v>0</v>
      </c>
      <c r="AO154">
        <v>13.35558252265689</v>
      </c>
      <c r="AP154">
        <v>18.16959941176471</v>
      </c>
      <c r="AQ154">
        <v>2.405336385982816E-05</v>
      </c>
      <c r="AR154">
        <v>80.47224507511959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MAX(0,($B$13+$C$13*DP154)/(1+$D$13*DP154)*DI154/(DK154+273)*$E$13)</f>
        <v>0</v>
      </c>
      <c r="AX154" t="s">
        <v>417</v>
      </c>
      <c r="AY154" t="s">
        <v>417</v>
      </c>
      <c r="AZ154">
        <v>0</v>
      </c>
      <c r="BA154">
        <v>0</v>
      </c>
      <c r="BB154">
        <f>1-AZ154/BA154</f>
        <v>0</v>
      </c>
      <c r="BC154">
        <v>0</v>
      </c>
      <c r="BD154" t="s">
        <v>417</v>
      </c>
      <c r="BE154" t="s">
        <v>417</v>
      </c>
      <c r="BF154">
        <v>0</v>
      </c>
      <c r="BG154">
        <v>0</v>
      </c>
      <c r="BH154">
        <f>1-BF154/BG154</f>
        <v>0</v>
      </c>
      <c r="BI154">
        <v>0.5</v>
      </c>
      <c r="BJ154">
        <f>CS154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417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1248</v>
      </c>
      <c r="CA154">
        <v>300</v>
      </c>
      <c r="CB154">
        <v>300</v>
      </c>
      <c r="CC154">
        <v>300</v>
      </c>
      <c r="CD154">
        <v>10442</v>
      </c>
      <c r="CE154">
        <v>1293.69</v>
      </c>
      <c r="CF154">
        <v>-0.00735246</v>
      </c>
      <c r="CG154">
        <v>0.5</v>
      </c>
      <c r="CH154" t="s">
        <v>417</v>
      </c>
      <c r="CI154" t="s">
        <v>417</v>
      </c>
      <c r="CJ154" t="s">
        <v>417</v>
      </c>
      <c r="CK154" t="s">
        <v>417</v>
      </c>
      <c r="CL154" t="s">
        <v>417</v>
      </c>
      <c r="CM154" t="s">
        <v>417</v>
      </c>
      <c r="CN154" t="s">
        <v>417</v>
      </c>
      <c r="CO154" t="s">
        <v>417</v>
      </c>
      <c r="CP154" t="s">
        <v>417</v>
      </c>
      <c r="CQ154" t="s">
        <v>417</v>
      </c>
      <c r="CR154">
        <f>$B$11*DQ154+$C$11*DR154+$F$11*EC154*(1-EF154)</f>
        <v>0</v>
      </c>
      <c r="CS154">
        <f>CR154*CT154</f>
        <v>0</v>
      </c>
      <c r="CT154">
        <f>($B$11*$D$9+$C$11*$D$9+$F$11*((EP154+EH154)/MAX(EP154+EH154+EQ154, 0.1)*$I$9+EQ154/MAX(EP154+EH154+EQ154, 0.1)*$J$9))/($B$11+$C$11+$F$11)</f>
        <v>0</v>
      </c>
      <c r="CU154">
        <f>($B$11*$K$9+$C$11*$K$9+$F$11*((EP154+EH154)/MAX(EP154+EH154+EQ154, 0.1)*$P$9+EQ154/MAX(EP154+EH154+EQ154, 0.1)*$Q$9))/($B$11+$C$11+$F$11)</f>
        <v>0</v>
      </c>
      <c r="CV154">
        <v>6</v>
      </c>
      <c r="CW154">
        <v>0.5</v>
      </c>
      <c r="CX154" t="s">
        <v>418</v>
      </c>
      <c r="CY154">
        <v>2</v>
      </c>
      <c r="CZ154" t="b">
        <v>1</v>
      </c>
      <c r="DA154">
        <v>1651864672.6</v>
      </c>
      <c r="DB154">
        <v>712.1673333333333</v>
      </c>
      <c r="DC154">
        <v>721.1873333333333</v>
      </c>
      <c r="DD154">
        <v>18.16956666666666</v>
      </c>
      <c r="DE154">
        <v>13.40733333333333</v>
      </c>
      <c r="DF154">
        <v>713.6999999999999</v>
      </c>
      <c r="DG154">
        <v>18.15176666666667</v>
      </c>
      <c r="DH154">
        <v>500.037</v>
      </c>
      <c r="DI154">
        <v>89.93913333333334</v>
      </c>
      <c r="DJ154">
        <v>0.1001005</v>
      </c>
      <c r="DK154">
        <v>25.6688</v>
      </c>
      <c r="DL154">
        <v>25.0052</v>
      </c>
      <c r="DM154">
        <v>999.9</v>
      </c>
      <c r="DN154">
        <v>0</v>
      </c>
      <c r="DO154">
        <v>0</v>
      </c>
      <c r="DP154">
        <v>9975.626666666665</v>
      </c>
      <c r="DQ154">
        <v>0</v>
      </c>
      <c r="DR154">
        <v>3.23193</v>
      </c>
      <c r="DS154">
        <v>-9.019773333333333</v>
      </c>
      <c r="DT154">
        <v>725.3466666666667</v>
      </c>
      <c r="DU154">
        <v>730.9879999999999</v>
      </c>
      <c r="DV154">
        <v>4.762273333333334</v>
      </c>
      <c r="DW154">
        <v>721.1873333333333</v>
      </c>
      <c r="DX154">
        <v>13.40733333333333</v>
      </c>
      <c r="DY154">
        <v>1.63416</v>
      </c>
      <c r="DZ154">
        <v>1.205843333333333</v>
      </c>
      <c r="EA154">
        <v>14.2847</v>
      </c>
      <c r="EB154">
        <v>9.67388</v>
      </c>
      <c r="EC154">
        <v>1500.113333333333</v>
      </c>
      <c r="ED154">
        <v>0.9730103333333333</v>
      </c>
      <c r="EE154">
        <v>0.0269895</v>
      </c>
      <c r="EF154">
        <v>0</v>
      </c>
      <c r="EG154">
        <v>889.6983333333334</v>
      </c>
      <c r="EH154">
        <v>5.00097</v>
      </c>
      <c r="EI154">
        <v>13220.96666666667</v>
      </c>
      <c r="EJ154">
        <v>12492.56666666667</v>
      </c>
      <c r="EK154">
        <v>37.25</v>
      </c>
      <c r="EL154">
        <v>38.729</v>
      </c>
      <c r="EM154">
        <v>37.625</v>
      </c>
      <c r="EN154">
        <v>38.437</v>
      </c>
      <c r="EO154">
        <v>38.125</v>
      </c>
      <c r="EP154">
        <v>1454.763333333333</v>
      </c>
      <c r="EQ154">
        <v>40.35</v>
      </c>
      <c r="ER154">
        <v>0</v>
      </c>
      <c r="ES154">
        <v>453</v>
      </c>
      <c r="ET154">
        <v>0</v>
      </c>
      <c r="EU154">
        <v>893.5182400000001</v>
      </c>
      <c r="EV154">
        <v>-39.05684621019553</v>
      </c>
      <c r="EW154">
        <v>-571.2769239464876</v>
      </c>
      <c r="EX154">
        <v>13273.276</v>
      </c>
      <c r="EY154">
        <v>15</v>
      </c>
      <c r="EZ154">
        <v>1651864261.1</v>
      </c>
      <c r="FA154" t="s">
        <v>419</v>
      </c>
      <c r="FB154">
        <v>1651864241.6</v>
      </c>
      <c r="FC154">
        <v>1651864261.1</v>
      </c>
      <c r="FD154">
        <v>7</v>
      </c>
      <c r="FE154">
        <v>0.438</v>
      </c>
      <c r="FF154">
        <v>0.002</v>
      </c>
      <c r="FG154">
        <v>-0.988</v>
      </c>
      <c r="FH154">
        <v>-0.066</v>
      </c>
      <c r="FI154">
        <v>400</v>
      </c>
      <c r="FJ154">
        <v>11</v>
      </c>
      <c r="FK154">
        <v>0.05</v>
      </c>
      <c r="FL154">
        <v>0.02</v>
      </c>
      <c r="FM154">
        <v>-9.872057560975609</v>
      </c>
      <c r="FN154">
        <v>5.48475742160279</v>
      </c>
      <c r="FO154">
        <v>0.5527423482643454</v>
      </c>
      <c r="FP154">
        <v>-1</v>
      </c>
      <c r="FQ154">
        <v>4.878078536585366</v>
      </c>
      <c r="FR154">
        <v>-0.6877687108013912</v>
      </c>
      <c r="FS154">
        <v>0.06811919555262286</v>
      </c>
      <c r="FT154">
        <v>-1</v>
      </c>
      <c r="FU154">
        <v>0</v>
      </c>
      <c r="FV154">
        <v>0</v>
      </c>
      <c r="FW154">
        <v>0</v>
      </c>
      <c r="FX154">
        <v>-1</v>
      </c>
      <c r="FY154">
        <v>0</v>
      </c>
      <c r="FZ154">
        <v>0</v>
      </c>
      <c r="GA154" t="s">
        <v>420</v>
      </c>
      <c r="GB154">
        <v>2.98056</v>
      </c>
      <c r="GC154">
        <v>2.70603</v>
      </c>
      <c r="GD154">
        <v>0.136241</v>
      </c>
      <c r="GE154">
        <v>0.135835</v>
      </c>
      <c r="GF154">
        <v>0.0870626</v>
      </c>
      <c r="GG154">
        <v>0.06898600000000001</v>
      </c>
      <c r="GH154">
        <v>27258.8</v>
      </c>
      <c r="GI154">
        <v>27332</v>
      </c>
      <c r="GJ154">
        <v>29344.2</v>
      </c>
      <c r="GK154">
        <v>29259.2</v>
      </c>
      <c r="GL154">
        <v>35474</v>
      </c>
      <c r="GM154">
        <v>36281.6</v>
      </c>
      <c r="GN154">
        <v>41303.6</v>
      </c>
      <c r="GO154">
        <v>41762.3</v>
      </c>
      <c r="GP154">
        <v>1.95565</v>
      </c>
      <c r="GQ154">
        <v>1.8497</v>
      </c>
      <c r="GR154">
        <v>-0.021629</v>
      </c>
      <c r="GS154">
        <v>0</v>
      </c>
      <c r="GT154">
        <v>25.3602</v>
      </c>
      <c r="GU154">
        <v>999.9</v>
      </c>
      <c r="GV154">
        <v>31.7</v>
      </c>
      <c r="GW154">
        <v>34.3</v>
      </c>
      <c r="GX154">
        <v>19.1472</v>
      </c>
      <c r="GY154">
        <v>62.5774</v>
      </c>
      <c r="GZ154">
        <v>35.0681</v>
      </c>
      <c r="HA154">
        <v>1</v>
      </c>
      <c r="HB154">
        <v>0.105521</v>
      </c>
      <c r="HC154">
        <v>1.72125</v>
      </c>
      <c r="HD154">
        <v>20.3252</v>
      </c>
      <c r="HE154">
        <v>5.21744</v>
      </c>
      <c r="HF154">
        <v>12.0099</v>
      </c>
      <c r="HG154">
        <v>4.9893</v>
      </c>
      <c r="HH154">
        <v>3.2885</v>
      </c>
      <c r="HI154">
        <v>997.2</v>
      </c>
      <c r="HJ154">
        <v>9544.1</v>
      </c>
      <c r="HK154">
        <v>5139.4</v>
      </c>
      <c r="HL154">
        <v>24.9</v>
      </c>
      <c r="HM154">
        <v>1.86752</v>
      </c>
      <c r="HN154">
        <v>1.86646</v>
      </c>
      <c r="HO154">
        <v>1.866</v>
      </c>
      <c r="HP154">
        <v>1.86588</v>
      </c>
      <c r="HQ154">
        <v>1.86768</v>
      </c>
      <c r="HR154">
        <v>1.87018</v>
      </c>
      <c r="HS154">
        <v>1.8689</v>
      </c>
      <c r="HT154">
        <v>1.87025</v>
      </c>
      <c r="HU154">
        <v>0</v>
      </c>
      <c r="HV154">
        <v>0</v>
      </c>
      <c r="HW154">
        <v>0</v>
      </c>
      <c r="HX154">
        <v>0</v>
      </c>
      <c r="HY154" t="s">
        <v>421</v>
      </c>
      <c r="HZ154" t="s">
        <v>422</v>
      </c>
      <c r="IA154" t="s">
        <v>423</v>
      </c>
      <c r="IB154" t="s">
        <v>423</v>
      </c>
      <c r="IC154" t="s">
        <v>423</v>
      </c>
      <c r="ID154" t="s">
        <v>423</v>
      </c>
      <c r="IE154">
        <v>0</v>
      </c>
      <c r="IF154">
        <v>100</v>
      </c>
      <c r="IG154">
        <v>100</v>
      </c>
      <c r="IH154">
        <v>-1.527</v>
      </c>
      <c r="II154">
        <v>0.0178</v>
      </c>
      <c r="IJ154">
        <v>-0.2164499368582429</v>
      </c>
      <c r="IK154">
        <v>-0.002077099775823331</v>
      </c>
      <c r="IL154">
        <v>4.593143279902166E-07</v>
      </c>
      <c r="IM154">
        <v>-1.865383991892071E-10</v>
      </c>
      <c r="IN154">
        <v>-0.06087574426827484</v>
      </c>
      <c r="IO154">
        <v>-0.01129461987421345</v>
      </c>
      <c r="IP154">
        <v>0.00116580895745559</v>
      </c>
      <c r="IQ154">
        <v>-1.679085872906199E-05</v>
      </c>
      <c r="IR154">
        <v>2</v>
      </c>
      <c r="IS154">
        <v>2290</v>
      </c>
      <c r="IT154">
        <v>0</v>
      </c>
      <c r="IU154">
        <v>32</v>
      </c>
      <c r="IV154">
        <v>7.2</v>
      </c>
      <c r="IW154">
        <v>6.9</v>
      </c>
      <c r="IX154">
        <v>1.57227</v>
      </c>
      <c r="IY154">
        <v>2.20825</v>
      </c>
      <c r="IZ154">
        <v>1.39648</v>
      </c>
      <c r="JA154">
        <v>2.35596</v>
      </c>
      <c r="JB154">
        <v>1.49536</v>
      </c>
      <c r="JC154">
        <v>2.36816</v>
      </c>
      <c r="JD154">
        <v>38.4769</v>
      </c>
      <c r="JE154">
        <v>24.0437</v>
      </c>
      <c r="JF154">
        <v>18</v>
      </c>
      <c r="JG154">
        <v>511.187</v>
      </c>
      <c r="JH154">
        <v>428.631</v>
      </c>
      <c r="JI154">
        <v>22.2549</v>
      </c>
      <c r="JJ154">
        <v>28.6707</v>
      </c>
      <c r="JK154">
        <v>29.9992</v>
      </c>
      <c r="JL154">
        <v>28.6349</v>
      </c>
      <c r="JM154">
        <v>28.5726</v>
      </c>
      <c r="JN154">
        <v>31.3571</v>
      </c>
      <c r="JO154">
        <v>29.6026</v>
      </c>
      <c r="JP154">
        <v>0</v>
      </c>
      <c r="JQ154">
        <v>22.341</v>
      </c>
      <c r="JR154">
        <v>694.6369999999999</v>
      </c>
      <c r="JS154">
        <v>13.5401</v>
      </c>
      <c r="JT154">
        <v>100.305</v>
      </c>
      <c r="JU154">
        <v>100.232</v>
      </c>
    </row>
    <row r="155" spans="1:281">
      <c r="A155">
        <v>139</v>
      </c>
      <c r="B155">
        <v>1651864675.6</v>
      </c>
      <c r="C155">
        <v>455</v>
      </c>
      <c r="D155" t="s">
        <v>698</v>
      </c>
      <c r="E155" t="s">
        <v>699</v>
      </c>
      <c r="F155">
        <v>2</v>
      </c>
      <c r="G155" t="s">
        <v>413</v>
      </c>
      <c r="H155" t="s">
        <v>414</v>
      </c>
      <c r="I155">
        <v>1651864674.225</v>
      </c>
      <c r="J155">
        <f>(K155)/1000</f>
        <v>0</v>
      </c>
      <c r="K155">
        <f>IF(CZ155, AN155, AH155)</f>
        <v>0</v>
      </c>
      <c r="L155">
        <f>IF(CZ155, AI155, AG155)</f>
        <v>0</v>
      </c>
      <c r="M155">
        <f>DB155 - IF(AU155&gt;1, L155*CV155*100.0/(AW155*DP155), 0)</f>
        <v>0</v>
      </c>
      <c r="N155">
        <f>((T155-J155/2)*M155-L155)/(T155+J155/2)</f>
        <v>0</v>
      </c>
      <c r="O155">
        <f>N155*(DI155+DJ155)/1000.0</f>
        <v>0</v>
      </c>
      <c r="P155">
        <f>(DB155 - IF(AU155&gt;1, L155*CV155*100.0/(AW155*DP155), 0))*(DI155+DJ155)/1000.0</f>
        <v>0</v>
      </c>
      <c r="Q155">
        <f>2.0/((1/S155-1/R155)+SIGN(S155)*SQRT((1/S155-1/R155)*(1/S155-1/R155) + 4*CW155/((CW155+1)*(CW155+1))*(2*1/S155*1/R155-1/R155*1/R155)))</f>
        <v>0</v>
      </c>
      <c r="R155">
        <f>IF(LEFT(CX155,1)&lt;&gt;"0",IF(LEFT(CX155,1)="1",3.0,CY155),$D$5+$E$5*(DP155*DI155/($K$5*1000))+$F$5*(DP155*DI155/($K$5*1000))*MAX(MIN(CV155,$J$5),$I$5)*MAX(MIN(CV155,$J$5),$I$5)+$G$5*MAX(MIN(CV155,$J$5),$I$5)*(DP155*DI155/($K$5*1000))+$H$5*(DP155*DI155/($K$5*1000))*(DP155*DI155/($K$5*1000)))</f>
        <v>0</v>
      </c>
      <c r="S155">
        <f>J155*(1000-(1000*0.61365*exp(17.502*W155/(240.97+W155))/(DI155+DJ155)+DD155)/2)/(1000*0.61365*exp(17.502*W155/(240.97+W155))/(DI155+DJ155)-DD155)</f>
        <v>0</v>
      </c>
      <c r="T155">
        <f>1/((CW155+1)/(Q155/1.6)+1/(R155/1.37)) + CW155/((CW155+1)/(Q155/1.6) + CW155/(R155/1.37))</f>
        <v>0</v>
      </c>
      <c r="U155">
        <f>(CR155*CU155)</f>
        <v>0</v>
      </c>
      <c r="V155">
        <f>(DK155+(U155+2*0.95*5.67E-8*(((DK155+$B$7)+273)^4-(DK155+273)^4)-44100*J155)/(1.84*29.3*R155+8*0.95*5.67E-8*(DK155+273)^3))</f>
        <v>0</v>
      </c>
      <c r="W155">
        <f>($C$7*DL155+$D$7*DM155+$E$7*V155)</f>
        <v>0</v>
      </c>
      <c r="X155">
        <f>0.61365*exp(17.502*W155/(240.97+W155))</f>
        <v>0</v>
      </c>
      <c r="Y155">
        <f>(Z155/AA155*100)</f>
        <v>0</v>
      </c>
      <c r="Z155">
        <f>DD155*(DI155+DJ155)/1000</f>
        <v>0</v>
      </c>
      <c r="AA155">
        <f>0.61365*exp(17.502*DK155/(240.97+DK155))</f>
        <v>0</v>
      </c>
      <c r="AB155">
        <f>(X155-DD155*(DI155+DJ155)/1000)</f>
        <v>0</v>
      </c>
      <c r="AC155">
        <f>(-J155*44100)</f>
        <v>0</v>
      </c>
      <c r="AD155">
        <f>2*29.3*R155*0.92*(DK155-W155)</f>
        <v>0</v>
      </c>
      <c r="AE155">
        <f>2*0.95*5.67E-8*(((DK155+$B$7)+273)^4-(W155+273)^4)</f>
        <v>0</v>
      </c>
      <c r="AF155">
        <f>U155+AE155+AC155+AD155</f>
        <v>0</v>
      </c>
      <c r="AG155">
        <f>DH155*AU155*(DC155-DB155*(1000-AU155*DE155)/(1000-AU155*DD155))/(100*CV155)</f>
        <v>0</v>
      </c>
      <c r="AH155">
        <f>1000*DH155*AU155*(DD155-DE155)/(100*CV155*(1000-AU155*DD155))</f>
        <v>0</v>
      </c>
      <c r="AI155">
        <f>(AJ155 - AK155 - DI155*1E3/(8.314*(DK155+273.15)) * AM155/DH155 * AL155) * DH155/(100*CV155) * (1000 - DE155)/1000</f>
        <v>0</v>
      </c>
      <c r="AJ155">
        <v>730.2173493850967</v>
      </c>
      <c r="AK155">
        <v>717.0839030303028</v>
      </c>
      <c r="AL155">
        <v>-3.310505772429654</v>
      </c>
      <c r="AM155">
        <v>66.38192812717227</v>
      </c>
      <c r="AN155">
        <f>(AP155 - AO155 + DI155*1E3/(8.314*(DK155+273.15)) * AR155/DH155 * AQ155) * DH155/(100*CV155) * 1000/(1000 - AP155)</f>
        <v>0</v>
      </c>
      <c r="AO155">
        <v>13.38078931241241</v>
      </c>
      <c r="AP155">
        <v>18.17705970588235</v>
      </c>
      <c r="AQ155">
        <v>-1.335384581747312E-06</v>
      </c>
      <c r="AR155">
        <v>80.47224507511959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MAX(0,($B$13+$C$13*DP155)/(1+$D$13*DP155)*DI155/(DK155+273)*$E$13)</f>
        <v>0</v>
      </c>
      <c r="AX155" t="s">
        <v>417</v>
      </c>
      <c r="AY155" t="s">
        <v>417</v>
      </c>
      <c r="AZ155">
        <v>0</v>
      </c>
      <c r="BA155">
        <v>0</v>
      </c>
      <c r="BB155">
        <f>1-AZ155/BA155</f>
        <v>0</v>
      </c>
      <c r="BC155">
        <v>0</v>
      </c>
      <c r="BD155" t="s">
        <v>417</v>
      </c>
      <c r="BE155" t="s">
        <v>417</v>
      </c>
      <c r="BF155">
        <v>0</v>
      </c>
      <c r="BG155">
        <v>0</v>
      </c>
      <c r="BH155">
        <f>1-BF155/BG155</f>
        <v>0</v>
      </c>
      <c r="BI155">
        <v>0.5</v>
      </c>
      <c r="BJ155">
        <f>CS155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417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1248</v>
      </c>
      <c r="CA155">
        <v>300</v>
      </c>
      <c r="CB155">
        <v>300</v>
      </c>
      <c r="CC155">
        <v>300</v>
      </c>
      <c r="CD155">
        <v>10442</v>
      </c>
      <c r="CE155">
        <v>1293.69</v>
      </c>
      <c r="CF155">
        <v>-0.00735246</v>
      </c>
      <c r="CG155">
        <v>0.5</v>
      </c>
      <c r="CH155" t="s">
        <v>417</v>
      </c>
      <c r="CI155" t="s">
        <v>417</v>
      </c>
      <c r="CJ155" t="s">
        <v>417</v>
      </c>
      <c r="CK155" t="s">
        <v>417</v>
      </c>
      <c r="CL155" t="s">
        <v>417</v>
      </c>
      <c r="CM155" t="s">
        <v>417</v>
      </c>
      <c r="CN155" t="s">
        <v>417</v>
      </c>
      <c r="CO155" t="s">
        <v>417</v>
      </c>
      <c r="CP155" t="s">
        <v>417</v>
      </c>
      <c r="CQ155" t="s">
        <v>417</v>
      </c>
      <c r="CR155">
        <f>$B$11*DQ155+$C$11*DR155+$F$11*EC155*(1-EF155)</f>
        <v>0</v>
      </c>
      <c r="CS155">
        <f>CR155*CT155</f>
        <v>0</v>
      </c>
      <c r="CT155">
        <f>($B$11*$D$9+$C$11*$D$9+$F$11*((EP155+EH155)/MAX(EP155+EH155+EQ155, 0.1)*$I$9+EQ155/MAX(EP155+EH155+EQ155, 0.1)*$J$9))/($B$11+$C$11+$F$11)</f>
        <v>0</v>
      </c>
      <c r="CU155">
        <f>($B$11*$K$9+$C$11*$K$9+$F$11*((EP155+EH155)/MAX(EP155+EH155+EQ155, 0.1)*$P$9+EQ155/MAX(EP155+EH155+EQ155, 0.1)*$Q$9))/($B$11+$C$11+$F$11)</f>
        <v>0</v>
      </c>
      <c r="CV155">
        <v>6</v>
      </c>
      <c r="CW155">
        <v>0.5</v>
      </c>
      <c r="CX155" t="s">
        <v>418</v>
      </c>
      <c r="CY155">
        <v>2</v>
      </c>
      <c r="CZ155" t="b">
        <v>1</v>
      </c>
      <c r="DA155">
        <v>1651864674.225</v>
      </c>
      <c r="DB155">
        <v>706.8832499999999</v>
      </c>
      <c r="DC155">
        <v>715.818</v>
      </c>
      <c r="DD155">
        <v>18.17425</v>
      </c>
      <c r="DE155">
        <v>13.43895</v>
      </c>
      <c r="DF155">
        <v>708.407</v>
      </c>
      <c r="DG155">
        <v>18.156375</v>
      </c>
      <c r="DH155">
        <v>499.9997500000001</v>
      </c>
      <c r="DI155">
        <v>89.940575</v>
      </c>
      <c r="DJ155">
        <v>0.09976669999999999</v>
      </c>
      <c r="DK155">
        <v>25.669775</v>
      </c>
      <c r="DL155">
        <v>25.0071</v>
      </c>
      <c r="DM155">
        <v>999.9</v>
      </c>
      <c r="DN155">
        <v>0</v>
      </c>
      <c r="DO155">
        <v>0</v>
      </c>
      <c r="DP155">
        <v>9994.5275</v>
      </c>
      <c r="DQ155">
        <v>0</v>
      </c>
      <c r="DR155">
        <v>3.23193</v>
      </c>
      <c r="DS155">
        <v>-8.934844999999999</v>
      </c>
      <c r="DT155">
        <v>719.9682499999999</v>
      </c>
      <c r="DU155">
        <v>725.56925</v>
      </c>
      <c r="DV155">
        <v>4.735345</v>
      </c>
      <c r="DW155">
        <v>715.818</v>
      </c>
      <c r="DX155">
        <v>13.43895</v>
      </c>
      <c r="DY155">
        <v>1.6346025</v>
      </c>
      <c r="DZ155">
        <v>1.208705</v>
      </c>
      <c r="EA155">
        <v>14.28895</v>
      </c>
      <c r="EB155">
        <v>9.70918</v>
      </c>
      <c r="EC155">
        <v>1499.985</v>
      </c>
      <c r="ED155">
        <v>0.9730082499999999</v>
      </c>
      <c r="EE155">
        <v>0.02699175</v>
      </c>
      <c r="EF155">
        <v>0</v>
      </c>
      <c r="EG155">
        <v>888.6215</v>
      </c>
      <c r="EH155">
        <v>5.00097</v>
      </c>
      <c r="EI155">
        <v>13202.65</v>
      </c>
      <c r="EJ155">
        <v>12491.5</v>
      </c>
      <c r="EK155">
        <v>37.25</v>
      </c>
      <c r="EL155">
        <v>38.70274999999999</v>
      </c>
      <c r="EM155">
        <v>37.625</v>
      </c>
      <c r="EN155">
        <v>38.437</v>
      </c>
      <c r="EO155">
        <v>38.125</v>
      </c>
      <c r="EP155">
        <v>1454.635</v>
      </c>
      <c r="EQ155">
        <v>40.35</v>
      </c>
      <c r="ER155">
        <v>0</v>
      </c>
      <c r="ES155">
        <v>454.7999999523163</v>
      </c>
      <c r="ET155">
        <v>0</v>
      </c>
      <c r="EU155">
        <v>892.5326923076924</v>
      </c>
      <c r="EV155">
        <v>-39.07924785972855</v>
      </c>
      <c r="EW155">
        <v>-577.514529847297</v>
      </c>
      <c r="EX155">
        <v>13258.98846153846</v>
      </c>
      <c r="EY155">
        <v>15</v>
      </c>
      <c r="EZ155">
        <v>1651864261.1</v>
      </c>
      <c r="FA155" t="s">
        <v>419</v>
      </c>
      <c r="FB155">
        <v>1651864241.6</v>
      </c>
      <c r="FC155">
        <v>1651864261.1</v>
      </c>
      <c r="FD155">
        <v>7</v>
      </c>
      <c r="FE155">
        <v>0.438</v>
      </c>
      <c r="FF155">
        <v>0.002</v>
      </c>
      <c r="FG155">
        <v>-0.988</v>
      </c>
      <c r="FH155">
        <v>-0.066</v>
      </c>
      <c r="FI155">
        <v>400</v>
      </c>
      <c r="FJ155">
        <v>11</v>
      </c>
      <c r="FK155">
        <v>0.05</v>
      </c>
      <c r="FL155">
        <v>0.02</v>
      </c>
      <c r="FM155">
        <v>-9.631026500000001</v>
      </c>
      <c r="FN155">
        <v>5.160273545966221</v>
      </c>
      <c r="FO155">
        <v>0.5100941509199551</v>
      </c>
      <c r="FP155">
        <v>-1</v>
      </c>
      <c r="FQ155">
        <v>4.844676250000001</v>
      </c>
      <c r="FR155">
        <v>-0.6901025515947555</v>
      </c>
      <c r="FS155">
        <v>0.06672212480457666</v>
      </c>
      <c r="FT155">
        <v>-1</v>
      </c>
      <c r="FU155">
        <v>0</v>
      </c>
      <c r="FV155">
        <v>0</v>
      </c>
      <c r="FW155">
        <v>0</v>
      </c>
      <c r="FX155">
        <v>-1</v>
      </c>
      <c r="FY155">
        <v>0</v>
      </c>
      <c r="FZ155">
        <v>0</v>
      </c>
      <c r="GA155" t="s">
        <v>420</v>
      </c>
      <c r="GB155">
        <v>2.98036</v>
      </c>
      <c r="GC155">
        <v>2.70575</v>
      </c>
      <c r="GD155">
        <v>0.135389</v>
      </c>
      <c r="GE155">
        <v>0.134984</v>
      </c>
      <c r="GF155">
        <v>0.087087</v>
      </c>
      <c r="GG155">
        <v>0.06909369999999999</v>
      </c>
      <c r="GH155">
        <v>27285.8</v>
      </c>
      <c r="GI155">
        <v>27359</v>
      </c>
      <c r="GJ155">
        <v>29344.3</v>
      </c>
      <c r="GK155">
        <v>29259.2</v>
      </c>
      <c r="GL155">
        <v>35473.6</v>
      </c>
      <c r="GM155">
        <v>36277.3</v>
      </c>
      <c r="GN155">
        <v>41304.3</v>
      </c>
      <c r="GO155">
        <v>41762.3</v>
      </c>
      <c r="GP155">
        <v>1.9555</v>
      </c>
      <c r="GQ155">
        <v>1.84985</v>
      </c>
      <c r="GR155">
        <v>-0.0213906</v>
      </c>
      <c r="GS155">
        <v>0</v>
      </c>
      <c r="GT155">
        <v>25.3589</v>
      </c>
      <c r="GU155">
        <v>999.9</v>
      </c>
      <c r="GV155">
        <v>31.7</v>
      </c>
      <c r="GW155">
        <v>34.3</v>
      </c>
      <c r="GX155">
        <v>19.1477</v>
      </c>
      <c r="GY155">
        <v>62.4375</v>
      </c>
      <c r="GZ155">
        <v>34.9519</v>
      </c>
      <c r="HA155">
        <v>1</v>
      </c>
      <c r="HB155">
        <v>0.105191</v>
      </c>
      <c r="HC155">
        <v>1.96942</v>
      </c>
      <c r="HD155">
        <v>20.3226</v>
      </c>
      <c r="HE155">
        <v>5.21639</v>
      </c>
      <c r="HF155">
        <v>12.0099</v>
      </c>
      <c r="HG155">
        <v>4.9871</v>
      </c>
      <c r="HH155">
        <v>3.2885</v>
      </c>
      <c r="HI155">
        <v>997.2</v>
      </c>
      <c r="HJ155">
        <v>9544.1</v>
      </c>
      <c r="HK155">
        <v>5139.4</v>
      </c>
      <c r="HL155">
        <v>24.9</v>
      </c>
      <c r="HM155">
        <v>1.86752</v>
      </c>
      <c r="HN155">
        <v>1.86646</v>
      </c>
      <c r="HO155">
        <v>1.866</v>
      </c>
      <c r="HP155">
        <v>1.86587</v>
      </c>
      <c r="HQ155">
        <v>1.86768</v>
      </c>
      <c r="HR155">
        <v>1.87016</v>
      </c>
      <c r="HS155">
        <v>1.86889</v>
      </c>
      <c r="HT155">
        <v>1.87025</v>
      </c>
      <c r="HU155">
        <v>0</v>
      </c>
      <c r="HV155">
        <v>0</v>
      </c>
      <c r="HW155">
        <v>0</v>
      </c>
      <c r="HX155">
        <v>0</v>
      </c>
      <c r="HY155" t="s">
        <v>421</v>
      </c>
      <c r="HZ155" t="s">
        <v>422</v>
      </c>
      <c r="IA155" t="s">
        <v>423</v>
      </c>
      <c r="IB155" t="s">
        <v>423</v>
      </c>
      <c r="IC155" t="s">
        <v>423</v>
      </c>
      <c r="ID155" t="s">
        <v>423</v>
      </c>
      <c r="IE155">
        <v>0</v>
      </c>
      <c r="IF155">
        <v>100</v>
      </c>
      <c r="IG155">
        <v>100</v>
      </c>
      <c r="IH155">
        <v>-1.516</v>
      </c>
      <c r="II155">
        <v>0.018</v>
      </c>
      <c r="IJ155">
        <v>-0.2164499368582429</v>
      </c>
      <c r="IK155">
        <v>-0.002077099775823331</v>
      </c>
      <c r="IL155">
        <v>4.593143279902166E-07</v>
      </c>
      <c r="IM155">
        <v>-1.865383991892071E-10</v>
      </c>
      <c r="IN155">
        <v>-0.06087574426827484</v>
      </c>
      <c r="IO155">
        <v>-0.01129461987421345</v>
      </c>
      <c r="IP155">
        <v>0.00116580895745559</v>
      </c>
      <c r="IQ155">
        <v>-1.679085872906199E-05</v>
      </c>
      <c r="IR155">
        <v>2</v>
      </c>
      <c r="IS155">
        <v>2290</v>
      </c>
      <c r="IT155">
        <v>0</v>
      </c>
      <c r="IU155">
        <v>32</v>
      </c>
      <c r="IV155">
        <v>7.2</v>
      </c>
      <c r="IW155">
        <v>6.9</v>
      </c>
      <c r="IX155">
        <v>1.56006</v>
      </c>
      <c r="IY155">
        <v>2.21313</v>
      </c>
      <c r="IZ155">
        <v>1.39648</v>
      </c>
      <c r="JA155">
        <v>2.35596</v>
      </c>
      <c r="JB155">
        <v>1.49536</v>
      </c>
      <c r="JC155">
        <v>2.31567</v>
      </c>
      <c r="JD155">
        <v>38.4769</v>
      </c>
      <c r="JE155">
        <v>24.035</v>
      </c>
      <c r="JF155">
        <v>18</v>
      </c>
      <c r="JG155">
        <v>511.088</v>
      </c>
      <c r="JH155">
        <v>428.721</v>
      </c>
      <c r="JI155">
        <v>22.3147</v>
      </c>
      <c r="JJ155">
        <v>28.6707</v>
      </c>
      <c r="JK155">
        <v>29.9994</v>
      </c>
      <c r="JL155">
        <v>28.6349</v>
      </c>
      <c r="JM155">
        <v>28.5726</v>
      </c>
      <c r="JN155">
        <v>31.1198</v>
      </c>
      <c r="JO155">
        <v>29.3222</v>
      </c>
      <c r="JP155">
        <v>0</v>
      </c>
      <c r="JQ155">
        <v>22.3078</v>
      </c>
      <c r="JR155">
        <v>687.954</v>
      </c>
      <c r="JS155">
        <v>13.5557</v>
      </c>
      <c r="JT155">
        <v>100.306</v>
      </c>
      <c r="JU155">
        <v>100.232</v>
      </c>
    </row>
    <row r="156" spans="1:281">
      <c r="A156">
        <v>140</v>
      </c>
      <c r="B156">
        <v>1651864677.6</v>
      </c>
      <c r="C156">
        <v>457</v>
      </c>
      <c r="D156" t="s">
        <v>700</v>
      </c>
      <c r="E156" t="s">
        <v>701</v>
      </c>
      <c r="F156">
        <v>2</v>
      </c>
      <c r="G156" t="s">
        <v>413</v>
      </c>
      <c r="H156" t="s">
        <v>414</v>
      </c>
      <c r="I156">
        <v>1651864676.6</v>
      </c>
      <c r="J156">
        <f>(K156)/1000</f>
        <v>0</v>
      </c>
      <c r="K156">
        <f>IF(CZ156, AN156, AH156)</f>
        <v>0</v>
      </c>
      <c r="L156">
        <f>IF(CZ156, AI156, AG156)</f>
        <v>0</v>
      </c>
      <c r="M156">
        <f>DB156 - IF(AU156&gt;1, L156*CV156*100.0/(AW156*DP156), 0)</f>
        <v>0</v>
      </c>
      <c r="N156">
        <f>((T156-J156/2)*M156-L156)/(T156+J156/2)</f>
        <v>0</v>
      </c>
      <c r="O156">
        <f>N156*(DI156+DJ156)/1000.0</f>
        <v>0</v>
      </c>
      <c r="P156">
        <f>(DB156 - IF(AU156&gt;1, L156*CV156*100.0/(AW156*DP156), 0))*(DI156+DJ156)/1000.0</f>
        <v>0</v>
      </c>
      <c r="Q156">
        <f>2.0/((1/S156-1/R156)+SIGN(S156)*SQRT((1/S156-1/R156)*(1/S156-1/R156) + 4*CW156/((CW156+1)*(CW156+1))*(2*1/S156*1/R156-1/R156*1/R156)))</f>
        <v>0</v>
      </c>
      <c r="R156">
        <f>IF(LEFT(CX156,1)&lt;&gt;"0",IF(LEFT(CX156,1)="1",3.0,CY156),$D$5+$E$5*(DP156*DI156/($K$5*1000))+$F$5*(DP156*DI156/($K$5*1000))*MAX(MIN(CV156,$J$5),$I$5)*MAX(MIN(CV156,$J$5),$I$5)+$G$5*MAX(MIN(CV156,$J$5),$I$5)*(DP156*DI156/($K$5*1000))+$H$5*(DP156*DI156/($K$5*1000))*(DP156*DI156/($K$5*1000)))</f>
        <v>0</v>
      </c>
      <c r="S156">
        <f>J156*(1000-(1000*0.61365*exp(17.502*W156/(240.97+W156))/(DI156+DJ156)+DD156)/2)/(1000*0.61365*exp(17.502*W156/(240.97+W156))/(DI156+DJ156)-DD156)</f>
        <v>0</v>
      </c>
      <c r="T156">
        <f>1/((CW156+1)/(Q156/1.6)+1/(R156/1.37)) + CW156/((CW156+1)/(Q156/1.6) + CW156/(R156/1.37))</f>
        <v>0</v>
      </c>
      <c r="U156">
        <f>(CR156*CU156)</f>
        <v>0</v>
      </c>
      <c r="V156">
        <f>(DK156+(U156+2*0.95*5.67E-8*(((DK156+$B$7)+273)^4-(DK156+273)^4)-44100*J156)/(1.84*29.3*R156+8*0.95*5.67E-8*(DK156+273)^3))</f>
        <v>0</v>
      </c>
      <c r="W156">
        <f>($C$7*DL156+$D$7*DM156+$E$7*V156)</f>
        <v>0</v>
      </c>
      <c r="X156">
        <f>0.61365*exp(17.502*W156/(240.97+W156))</f>
        <v>0</v>
      </c>
      <c r="Y156">
        <f>(Z156/AA156*100)</f>
        <v>0</v>
      </c>
      <c r="Z156">
        <f>DD156*(DI156+DJ156)/1000</f>
        <v>0</v>
      </c>
      <c r="AA156">
        <f>0.61365*exp(17.502*DK156/(240.97+DK156))</f>
        <v>0</v>
      </c>
      <c r="AB156">
        <f>(X156-DD156*(DI156+DJ156)/1000)</f>
        <v>0</v>
      </c>
      <c r="AC156">
        <f>(-J156*44100)</f>
        <v>0</v>
      </c>
      <c r="AD156">
        <f>2*29.3*R156*0.92*(DK156-W156)</f>
        <v>0</v>
      </c>
      <c r="AE156">
        <f>2*0.95*5.67E-8*(((DK156+$B$7)+273)^4-(W156+273)^4)</f>
        <v>0</v>
      </c>
      <c r="AF156">
        <f>U156+AE156+AC156+AD156</f>
        <v>0</v>
      </c>
      <c r="AG156">
        <f>DH156*AU156*(DC156-DB156*(1000-AU156*DE156)/(1000-AU156*DD156))/(100*CV156)</f>
        <v>0</v>
      </c>
      <c r="AH156">
        <f>1000*DH156*AU156*(DD156-DE156)/(100*CV156*(1000-AU156*DD156))</f>
        <v>0</v>
      </c>
      <c r="AI156">
        <f>(AJ156 - AK156 - DI156*1E3/(8.314*(DK156+273.15)) * AM156/DH156 * AL156) * DH156/(100*CV156) * (1000 - DE156)/1000</f>
        <v>0</v>
      </c>
      <c r="AJ156">
        <v>723.556018766185</v>
      </c>
      <c r="AK156">
        <v>710.4930060606063</v>
      </c>
      <c r="AL156">
        <v>-3.296350733009917</v>
      </c>
      <c r="AM156">
        <v>66.38192812717227</v>
      </c>
      <c r="AN156">
        <f>(AP156 - AO156 + DI156*1E3/(8.314*(DK156+273.15)) * AR156/DH156 * AQ156) * DH156/(100*CV156) * 1000/(1000 - AP156)</f>
        <v>0</v>
      </c>
      <c r="AO156">
        <v>13.41917140744968</v>
      </c>
      <c r="AP156">
        <v>18.18487882352942</v>
      </c>
      <c r="AQ156">
        <v>1.261229377716624E-05</v>
      </c>
      <c r="AR156">
        <v>80.47224507511959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MAX(0,($B$13+$C$13*DP156)/(1+$D$13*DP156)*DI156/(DK156+273)*$E$13)</f>
        <v>0</v>
      </c>
      <c r="AX156" t="s">
        <v>417</v>
      </c>
      <c r="AY156" t="s">
        <v>417</v>
      </c>
      <c r="AZ156">
        <v>0</v>
      </c>
      <c r="BA156">
        <v>0</v>
      </c>
      <c r="BB156">
        <f>1-AZ156/BA156</f>
        <v>0</v>
      </c>
      <c r="BC156">
        <v>0</v>
      </c>
      <c r="BD156" t="s">
        <v>417</v>
      </c>
      <c r="BE156" t="s">
        <v>417</v>
      </c>
      <c r="BF156">
        <v>0</v>
      </c>
      <c r="BG156">
        <v>0</v>
      </c>
      <c r="BH156">
        <f>1-BF156/BG156</f>
        <v>0</v>
      </c>
      <c r="BI156">
        <v>0.5</v>
      </c>
      <c r="BJ156">
        <f>CS156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417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1248</v>
      </c>
      <c r="CA156">
        <v>300</v>
      </c>
      <c r="CB156">
        <v>300</v>
      </c>
      <c r="CC156">
        <v>300</v>
      </c>
      <c r="CD156">
        <v>10442</v>
      </c>
      <c r="CE156">
        <v>1293.69</v>
      </c>
      <c r="CF156">
        <v>-0.00735246</v>
      </c>
      <c r="CG156">
        <v>0.5</v>
      </c>
      <c r="CH156" t="s">
        <v>417</v>
      </c>
      <c r="CI156" t="s">
        <v>417</v>
      </c>
      <c r="CJ156" t="s">
        <v>417</v>
      </c>
      <c r="CK156" t="s">
        <v>417</v>
      </c>
      <c r="CL156" t="s">
        <v>417</v>
      </c>
      <c r="CM156" t="s">
        <v>417</v>
      </c>
      <c r="CN156" t="s">
        <v>417</v>
      </c>
      <c r="CO156" t="s">
        <v>417</v>
      </c>
      <c r="CP156" t="s">
        <v>417</v>
      </c>
      <c r="CQ156" t="s">
        <v>417</v>
      </c>
      <c r="CR156">
        <f>$B$11*DQ156+$C$11*DR156+$F$11*EC156*(1-EF156)</f>
        <v>0</v>
      </c>
      <c r="CS156">
        <f>CR156*CT156</f>
        <v>0</v>
      </c>
      <c r="CT156">
        <f>($B$11*$D$9+$C$11*$D$9+$F$11*((EP156+EH156)/MAX(EP156+EH156+EQ156, 0.1)*$I$9+EQ156/MAX(EP156+EH156+EQ156, 0.1)*$J$9))/($B$11+$C$11+$F$11)</f>
        <v>0</v>
      </c>
      <c r="CU156">
        <f>($B$11*$K$9+$C$11*$K$9+$F$11*((EP156+EH156)/MAX(EP156+EH156+EQ156, 0.1)*$P$9+EQ156/MAX(EP156+EH156+EQ156, 0.1)*$Q$9))/($B$11+$C$11+$F$11)</f>
        <v>0</v>
      </c>
      <c r="CV156">
        <v>6</v>
      </c>
      <c r="CW156">
        <v>0.5</v>
      </c>
      <c r="CX156" t="s">
        <v>418</v>
      </c>
      <c r="CY156">
        <v>2</v>
      </c>
      <c r="CZ156" t="b">
        <v>1</v>
      </c>
      <c r="DA156">
        <v>1651864676.6</v>
      </c>
      <c r="DB156">
        <v>699.1903333333333</v>
      </c>
      <c r="DC156">
        <v>707.9103333333333</v>
      </c>
      <c r="DD156">
        <v>18.18263333333333</v>
      </c>
      <c r="DE156">
        <v>13.46026666666667</v>
      </c>
      <c r="DF156">
        <v>700.7013333333334</v>
      </c>
      <c r="DG156">
        <v>18.16463333333333</v>
      </c>
      <c r="DH156">
        <v>500.0203333333333</v>
      </c>
      <c r="DI156">
        <v>89.94080000000001</v>
      </c>
      <c r="DJ156">
        <v>0.0996529</v>
      </c>
      <c r="DK156">
        <v>25.6699</v>
      </c>
      <c r="DL156">
        <v>25.00806666666667</v>
      </c>
      <c r="DM156">
        <v>999.9</v>
      </c>
      <c r="DN156">
        <v>0</v>
      </c>
      <c r="DO156">
        <v>0</v>
      </c>
      <c r="DP156">
        <v>10003.8</v>
      </c>
      <c r="DQ156">
        <v>0</v>
      </c>
      <c r="DR156">
        <v>3.23193</v>
      </c>
      <c r="DS156">
        <v>-8.719933333333335</v>
      </c>
      <c r="DT156">
        <v>712.139</v>
      </c>
      <c r="DU156">
        <v>717.569</v>
      </c>
      <c r="DV156">
        <v>4.722373333333334</v>
      </c>
      <c r="DW156">
        <v>707.9103333333333</v>
      </c>
      <c r="DX156">
        <v>13.46026666666667</v>
      </c>
      <c r="DY156">
        <v>1.635356666666667</v>
      </c>
      <c r="DZ156">
        <v>1.210626666666667</v>
      </c>
      <c r="EA156">
        <v>14.2961</v>
      </c>
      <c r="EB156">
        <v>9.732866666666666</v>
      </c>
      <c r="EC156">
        <v>1500</v>
      </c>
      <c r="ED156">
        <v>0.9730086666666665</v>
      </c>
      <c r="EE156">
        <v>0.0269913</v>
      </c>
      <c r="EF156">
        <v>0</v>
      </c>
      <c r="EG156">
        <v>887.2376666666665</v>
      </c>
      <c r="EH156">
        <v>5.00097</v>
      </c>
      <c r="EI156">
        <v>13179.96666666667</v>
      </c>
      <c r="EJ156">
        <v>12491.63333333333</v>
      </c>
      <c r="EK156">
        <v>37.25</v>
      </c>
      <c r="EL156">
        <v>38.687</v>
      </c>
      <c r="EM156">
        <v>37.625</v>
      </c>
      <c r="EN156">
        <v>38.437</v>
      </c>
      <c r="EO156">
        <v>38.125</v>
      </c>
      <c r="EP156">
        <v>1454.65</v>
      </c>
      <c r="EQ156">
        <v>40.35</v>
      </c>
      <c r="ER156">
        <v>0</v>
      </c>
      <c r="ES156">
        <v>456.6000001430511</v>
      </c>
      <c r="ET156">
        <v>0</v>
      </c>
      <c r="EU156">
        <v>891.19096</v>
      </c>
      <c r="EV156">
        <v>-39.81199993714019</v>
      </c>
      <c r="EW156">
        <v>-581.223076006632</v>
      </c>
      <c r="EX156">
        <v>13238.64</v>
      </c>
      <c r="EY156">
        <v>15</v>
      </c>
      <c r="EZ156">
        <v>1651864261.1</v>
      </c>
      <c r="FA156" t="s">
        <v>419</v>
      </c>
      <c r="FB156">
        <v>1651864241.6</v>
      </c>
      <c r="FC156">
        <v>1651864261.1</v>
      </c>
      <c r="FD156">
        <v>7</v>
      </c>
      <c r="FE156">
        <v>0.438</v>
      </c>
      <c r="FF156">
        <v>0.002</v>
      </c>
      <c r="FG156">
        <v>-0.988</v>
      </c>
      <c r="FH156">
        <v>-0.066</v>
      </c>
      <c r="FI156">
        <v>400</v>
      </c>
      <c r="FJ156">
        <v>11</v>
      </c>
      <c r="FK156">
        <v>0.05</v>
      </c>
      <c r="FL156">
        <v>0.02</v>
      </c>
      <c r="FM156">
        <v>-9.5417095</v>
      </c>
      <c r="FN156">
        <v>4.937155947467178</v>
      </c>
      <c r="FO156">
        <v>0.4879235574500887</v>
      </c>
      <c r="FP156">
        <v>-1</v>
      </c>
      <c r="FQ156">
        <v>4.833236749999999</v>
      </c>
      <c r="FR156">
        <v>-0.6934019887429744</v>
      </c>
      <c r="FS156">
        <v>0.06703702791694675</v>
      </c>
      <c r="FT156">
        <v>-1</v>
      </c>
      <c r="FU156">
        <v>0</v>
      </c>
      <c r="FV156">
        <v>0</v>
      </c>
      <c r="FW156">
        <v>0</v>
      </c>
      <c r="FX156">
        <v>-1</v>
      </c>
      <c r="FY156">
        <v>0</v>
      </c>
      <c r="FZ156">
        <v>0</v>
      </c>
      <c r="GA156" t="s">
        <v>420</v>
      </c>
      <c r="GB156">
        <v>2.98035</v>
      </c>
      <c r="GC156">
        <v>2.70603</v>
      </c>
      <c r="GD156">
        <v>0.134535</v>
      </c>
      <c r="GE156">
        <v>0.134113</v>
      </c>
      <c r="GF156">
        <v>0.0871048</v>
      </c>
      <c r="GG156">
        <v>0.06911639999999999</v>
      </c>
      <c r="GH156">
        <v>27313</v>
      </c>
      <c r="GI156">
        <v>27386.4</v>
      </c>
      <c r="GJ156">
        <v>29344.5</v>
      </c>
      <c r="GK156">
        <v>29259.1</v>
      </c>
      <c r="GL156">
        <v>35473</v>
      </c>
      <c r="GM156">
        <v>36276.2</v>
      </c>
      <c r="GN156">
        <v>41304.4</v>
      </c>
      <c r="GO156">
        <v>41762.1</v>
      </c>
      <c r="GP156">
        <v>1.95562</v>
      </c>
      <c r="GQ156">
        <v>1.84993</v>
      </c>
      <c r="GR156">
        <v>-0.0213608</v>
      </c>
      <c r="GS156">
        <v>0</v>
      </c>
      <c r="GT156">
        <v>25.3575</v>
      </c>
      <c r="GU156">
        <v>999.9</v>
      </c>
      <c r="GV156">
        <v>31.7</v>
      </c>
      <c r="GW156">
        <v>34.3</v>
      </c>
      <c r="GX156">
        <v>19.1494</v>
      </c>
      <c r="GY156">
        <v>62.5374</v>
      </c>
      <c r="GZ156">
        <v>35.2083</v>
      </c>
      <c r="HA156">
        <v>1</v>
      </c>
      <c r="HB156">
        <v>0.105539</v>
      </c>
      <c r="HC156">
        <v>2.1433</v>
      </c>
      <c r="HD156">
        <v>20.3206</v>
      </c>
      <c r="HE156">
        <v>5.21624</v>
      </c>
      <c r="HF156">
        <v>12.0099</v>
      </c>
      <c r="HG156">
        <v>4.9869</v>
      </c>
      <c r="HH156">
        <v>3.2885</v>
      </c>
      <c r="HI156">
        <v>997.2</v>
      </c>
      <c r="HJ156">
        <v>9544.1</v>
      </c>
      <c r="HK156">
        <v>5139.4</v>
      </c>
      <c r="HL156">
        <v>24.9</v>
      </c>
      <c r="HM156">
        <v>1.86752</v>
      </c>
      <c r="HN156">
        <v>1.86646</v>
      </c>
      <c r="HO156">
        <v>1.866</v>
      </c>
      <c r="HP156">
        <v>1.86586</v>
      </c>
      <c r="HQ156">
        <v>1.86769</v>
      </c>
      <c r="HR156">
        <v>1.87016</v>
      </c>
      <c r="HS156">
        <v>1.86889</v>
      </c>
      <c r="HT156">
        <v>1.87026</v>
      </c>
      <c r="HU156">
        <v>0</v>
      </c>
      <c r="HV156">
        <v>0</v>
      </c>
      <c r="HW156">
        <v>0</v>
      </c>
      <c r="HX156">
        <v>0</v>
      </c>
      <c r="HY156" t="s">
        <v>421</v>
      </c>
      <c r="HZ156" t="s">
        <v>422</v>
      </c>
      <c r="IA156" t="s">
        <v>423</v>
      </c>
      <c r="IB156" t="s">
        <v>423</v>
      </c>
      <c r="IC156" t="s">
        <v>423</v>
      </c>
      <c r="ID156" t="s">
        <v>423</v>
      </c>
      <c r="IE156">
        <v>0</v>
      </c>
      <c r="IF156">
        <v>100</v>
      </c>
      <c r="IG156">
        <v>100</v>
      </c>
      <c r="IH156">
        <v>-1.505</v>
      </c>
      <c r="II156">
        <v>0.018</v>
      </c>
      <c r="IJ156">
        <v>-0.2164499368582429</v>
      </c>
      <c r="IK156">
        <v>-0.002077099775823331</v>
      </c>
      <c r="IL156">
        <v>4.593143279902166E-07</v>
      </c>
      <c r="IM156">
        <v>-1.865383991892071E-10</v>
      </c>
      <c r="IN156">
        <v>-0.06087574426827484</v>
      </c>
      <c r="IO156">
        <v>-0.01129461987421345</v>
      </c>
      <c r="IP156">
        <v>0.00116580895745559</v>
      </c>
      <c r="IQ156">
        <v>-1.679085872906199E-05</v>
      </c>
      <c r="IR156">
        <v>2</v>
      </c>
      <c r="IS156">
        <v>2290</v>
      </c>
      <c r="IT156">
        <v>0</v>
      </c>
      <c r="IU156">
        <v>32</v>
      </c>
      <c r="IV156">
        <v>7.3</v>
      </c>
      <c r="IW156">
        <v>6.9</v>
      </c>
      <c r="IX156">
        <v>1.54785</v>
      </c>
      <c r="IY156">
        <v>2.20825</v>
      </c>
      <c r="IZ156">
        <v>1.39648</v>
      </c>
      <c r="JA156">
        <v>2.35718</v>
      </c>
      <c r="JB156">
        <v>1.49536</v>
      </c>
      <c r="JC156">
        <v>2.36084</v>
      </c>
      <c r="JD156">
        <v>38.4769</v>
      </c>
      <c r="JE156">
        <v>24.0437</v>
      </c>
      <c r="JF156">
        <v>18</v>
      </c>
      <c r="JG156">
        <v>511.17</v>
      </c>
      <c r="JH156">
        <v>428.772</v>
      </c>
      <c r="JI156">
        <v>22.3323</v>
      </c>
      <c r="JJ156">
        <v>28.6717</v>
      </c>
      <c r="JK156">
        <v>29.9999</v>
      </c>
      <c r="JL156">
        <v>28.6349</v>
      </c>
      <c r="JM156">
        <v>28.5735</v>
      </c>
      <c r="JN156">
        <v>30.8793</v>
      </c>
      <c r="JO156">
        <v>29.3222</v>
      </c>
      <c r="JP156">
        <v>0</v>
      </c>
      <c r="JQ156">
        <v>22.3078</v>
      </c>
      <c r="JR156">
        <v>681.258</v>
      </c>
      <c r="JS156">
        <v>13.5796</v>
      </c>
      <c r="JT156">
        <v>100.306</v>
      </c>
      <c r="JU156">
        <v>100.232</v>
      </c>
    </row>
    <row r="157" spans="1:281">
      <c r="A157">
        <v>141</v>
      </c>
      <c r="B157">
        <v>1651864679.6</v>
      </c>
      <c r="C157">
        <v>459</v>
      </c>
      <c r="D157" t="s">
        <v>702</v>
      </c>
      <c r="E157" t="s">
        <v>703</v>
      </c>
      <c r="F157">
        <v>2</v>
      </c>
      <c r="G157" t="s">
        <v>413</v>
      </c>
      <c r="H157" t="s">
        <v>414</v>
      </c>
      <c r="I157">
        <v>1651864678.225</v>
      </c>
      <c r="J157">
        <f>(K157)/1000</f>
        <v>0</v>
      </c>
      <c r="K157">
        <f>IF(CZ157, AN157, AH157)</f>
        <v>0</v>
      </c>
      <c r="L157">
        <f>IF(CZ157, AI157, AG157)</f>
        <v>0</v>
      </c>
      <c r="M157">
        <f>DB157 - IF(AU157&gt;1, L157*CV157*100.0/(AW157*DP157), 0)</f>
        <v>0</v>
      </c>
      <c r="N157">
        <f>((T157-J157/2)*M157-L157)/(T157+J157/2)</f>
        <v>0</v>
      </c>
      <c r="O157">
        <f>N157*(DI157+DJ157)/1000.0</f>
        <v>0</v>
      </c>
      <c r="P157">
        <f>(DB157 - IF(AU157&gt;1, L157*CV157*100.0/(AW157*DP157), 0))*(DI157+DJ157)/1000.0</f>
        <v>0</v>
      </c>
      <c r="Q157">
        <f>2.0/((1/S157-1/R157)+SIGN(S157)*SQRT((1/S157-1/R157)*(1/S157-1/R157) + 4*CW157/((CW157+1)*(CW157+1))*(2*1/S157*1/R157-1/R157*1/R157)))</f>
        <v>0</v>
      </c>
      <c r="R157">
        <f>IF(LEFT(CX157,1)&lt;&gt;"0",IF(LEFT(CX157,1)="1",3.0,CY157),$D$5+$E$5*(DP157*DI157/($K$5*1000))+$F$5*(DP157*DI157/($K$5*1000))*MAX(MIN(CV157,$J$5),$I$5)*MAX(MIN(CV157,$J$5),$I$5)+$G$5*MAX(MIN(CV157,$J$5),$I$5)*(DP157*DI157/($K$5*1000))+$H$5*(DP157*DI157/($K$5*1000))*(DP157*DI157/($K$5*1000)))</f>
        <v>0</v>
      </c>
      <c r="S157">
        <f>J157*(1000-(1000*0.61365*exp(17.502*W157/(240.97+W157))/(DI157+DJ157)+DD157)/2)/(1000*0.61365*exp(17.502*W157/(240.97+W157))/(DI157+DJ157)-DD157)</f>
        <v>0</v>
      </c>
      <c r="T157">
        <f>1/((CW157+1)/(Q157/1.6)+1/(R157/1.37)) + CW157/((CW157+1)/(Q157/1.6) + CW157/(R157/1.37))</f>
        <v>0</v>
      </c>
      <c r="U157">
        <f>(CR157*CU157)</f>
        <v>0</v>
      </c>
      <c r="V157">
        <f>(DK157+(U157+2*0.95*5.67E-8*(((DK157+$B$7)+273)^4-(DK157+273)^4)-44100*J157)/(1.84*29.3*R157+8*0.95*5.67E-8*(DK157+273)^3))</f>
        <v>0</v>
      </c>
      <c r="W157">
        <f>($C$7*DL157+$D$7*DM157+$E$7*V157)</f>
        <v>0</v>
      </c>
      <c r="X157">
        <f>0.61365*exp(17.502*W157/(240.97+W157))</f>
        <v>0</v>
      </c>
      <c r="Y157">
        <f>(Z157/AA157*100)</f>
        <v>0</v>
      </c>
      <c r="Z157">
        <f>DD157*(DI157+DJ157)/1000</f>
        <v>0</v>
      </c>
      <c r="AA157">
        <f>0.61365*exp(17.502*DK157/(240.97+DK157))</f>
        <v>0</v>
      </c>
      <c r="AB157">
        <f>(X157-DD157*(DI157+DJ157)/1000)</f>
        <v>0</v>
      </c>
      <c r="AC157">
        <f>(-J157*44100)</f>
        <v>0</v>
      </c>
      <c r="AD157">
        <f>2*29.3*R157*0.92*(DK157-W157)</f>
        <v>0</v>
      </c>
      <c r="AE157">
        <f>2*0.95*5.67E-8*(((DK157+$B$7)+273)^4-(W157+273)^4)</f>
        <v>0</v>
      </c>
      <c r="AF157">
        <f>U157+AE157+AC157+AD157</f>
        <v>0</v>
      </c>
      <c r="AG157">
        <f>DH157*AU157*(DC157-DB157*(1000-AU157*DE157)/(1000-AU157*DD157))/(100*CV157)</f>
        <v>0</v>
      </c>
      <c r="AH157">
        <f>1000*DH157*AU157*(DD157-DE157)/(100*CV157*(1000-AU157*DD157))</f>
        <v>0</v>
      </c>
      <c r="AI157">
        <f>(AJ157 - AK157 - DI157*1E3/(8.314*(DK157+273.15)) * AM157/DH157 * AL157) * DH157/(100*CV157) * (1000 - DE157)/1000</f>
        <v>0</v>
      </c>
      <c r="AJ157">
        <v>716.7899846364826</v>
      </c>
      <c r="AK157">
        <v>703.8942303030302</v>
      </c>
      <c r="AL157">
        <v>-3.296691836166182</v>
      </c>
      <c r="AM157">
        <v>66.38192812717227</v>
      </c>
      <c r="AN157">
        <f>(AP157 - AO157 + DI157*1E3/(8.314*(DK157+273.15)) * AR157/DH157 * AQ157) * DH157/(100*CV157) * 1000/(1000 - AP157)</f>
        <v>0</v>
      </c>
      <c r="AO157">
        <v>13.45029937064479</v>
      </c>
      <c r="AP157">
        <v>18.18760705882352</v>
      </c>
      <c r="AQ157">
        <v>4.17903069815586E-05</v>
      </c>
      <c r="AR157">
        <v>80.47224507511959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MAX(0,($B$13+$C$13*DP157)/(1+$D$13*DP157)*DI157/(DK157+273)*$E$13)</f>
        <v>0</v>
      </c>
      <c r="AX157" t="s">
        <v>417</v>
      </c>
      <c r="AY157" t="s">
        <v>417</v>
      </c>
      <c r="AZ157">
        <v>0</v>
      </c>
      <c r="BA157">
        <v>0</v>
      </c>
      <c r="BB157">
        <f>1-AZ157/BA157</f>
        <v>0</v>
      </c>
      <c r="BC157">
        <v>0</v>
      </c>
      <c r="BD157" t="s">
        <v>417</v>
      </c>
      <c r="BE157" t="s">
        <v>417</v>
      </c>
      <c r="BF157">
        <v>0</v>
      </c>
      <c r="BG157">
        <v>0</v>
      </c>
      <c r="BH157">
        <f>1-BF157/BG157</f>
        <v>0</v>
      </c>
      <c r="BI157">
        <v>0.5</v>
      </c>
      <c r="BJ157">
        <f>CS157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417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1248</v>
      </c>
      <c r="CA157">
        <v>300</v>
      </c>
      <c r="CB157">
        <v>300</v>
      </c>
      <c r="CC157">
        <v>300</v>
      </c>
      <c r="CD157">
        <v>10442</v>
      </c>
      <c r="CE157">
        <v>1293.69</v>
      </c>
      <c r="CF157">
        <v>-0.00735246</v>
      </c>
      <c r="CG157">
        <v>0.5</v>
      </c>
      <c r="CH157" t="s">
        <v>417</v>
      </c>
      <c r="CI157" t="s">
        <v>417</v>
      </c>
      <c r="CJ157" t="s">
        <v>417</v>
      </c>
      <c r="CK157" t="s">
        <v>417</v>
      </c>
      <c r="CL157" t="s">
        <v>417</v>
      </c>
      <c r="CM157" t="s">
        <v>417</v>
      </c>
      <c r="CN157" t="s">
        <v>417</v>
      </c>
      <c r="CO157" t="s">
        <v>417</v>
      </c>
      <c r="CP157" t="s">
        <v>417</v>
      </c>
      <c r="CQ157" t="s">
        <v>417</v>
      </c>
      <c r="CR157">
        <f>$B$11*DQ157+$C$11*DR157+$F$11*EC157*(1-EF157)</f>
        <v>0</v>
      </c>
      <c r="CS157">
        <f>CR157*CT157</f>
        <v>0</v>
      </c>
      <c r="CT157">
        <f>($B$11*$D$9+$C$11*$D$9+$F$11*((EP157+EH157)/MAX(EP157+EH157+EQ157, 0.1)*$I$9+EQ157/MAX(EP157+EH157+EQ157, 0.1)*$J$9))/($B$11+$C$11+$F$11)</f>
        <v>0</v>
      </c>
      <c r="CU157">
        <f>($B$11*$K$9+$C$11*$K$9+$F$11*((EP157+EH157)/MAX(EP157+EH157+EQ157, 0.1)*$P$9+EQ157/MAX(EP157+EH157+EQ157, 0.1)*$Q$9))/($B$11+$C$11+$F$11)</f>
        <v>0</v>
      </c>
      <c r="CV157">
        <v>6</v>
      </c>
      <c r="CW157">
        <v>0.5</v>
      </c>
      <c r="CX157" t="s">
        <v>418</v>
      </c>
      <c r="CY157">
        <v>2</v>
      </c>
      <c r="CZ157" t="b">
        <v>1</v>
      </c>
      <c r="DA157">
        <v>1651864678.225</v>
      </c>
      <c r="DB157">
        <v>693.931</v>
      </c>
      <c r="DC157">
        <v>702.45</v>
      </c>
      <c r="DD157">
        <v>18.1858</v>
      </c>
      <c r="DE157">
        <v>13.46775</v>
      </c>
      <c r="DF157">
        <v>695.4325000000001</v>
      </c>
      <c r="DG157">
        <v>18.167775</v>
      </c>
      <c r="DH157">
        <v>500.04775</v>
      </c>
      <c r="DI157">
        <v>89.9405</v>
      </c>
      <c r="DJ157">
        <v>0.100177</v>
      </c>
      <c r="DK157">
        <v>25.672725</v>
      </c>
      <c r="DL157">
        <v>25.0072</v>
      </c>
      <c r="DM157">
        <v>999.9</v>
      </c>
      <c r="DN157">
        <v>0</v>
      </c>
      <c r="DO157">
        <v>0</v>
      </c>
      <c r="DP157">
        <v>9993.450000000001</v>
      </c>
      <c r="DQ157">
        <v>0</v>
      </c>
      <c r="DR157">
        <v>3.23193</v>
      </c>
      <c r="DS157">
        <v>-8.5193025</v>
      </c>
      <c r="DT157">
        <v>706.78425</v>
      </c>
      <c r="DU157">
        <v>712.04</v>
      </c>
      <c r="DV157">
        <v>4.718052500000001</v>
      </c>
      <c r="DW157">
        <v>702.45</v>
      </c>
      <c r="DX157">
        <v>13.46775</v>
      </c>
      <c r="DY157">
        <v>1.6356425</v>
      </c>
      <c r="DZ157">
        <v>1.211295</v>
      </c>
      <c r="EA157">
        <v>14.29875</v>
      </c>
      <c r="EB157">
        <v>9.741117500000001</v>
      </c>
      <c r="EC157">
        <v>1499.975</v>
      </c>
      <c r="ED157">
        <v>0.9730082499999999</v>
      </c>
      <c r="EE157">
        <v>0.02699174999999999</v>
      </c>
      <c r="EF157">
        <v>0</v>
      </c>
      <c r="EG157">
        <v>886.04125</v>
      </c>
      <c r="EH157">
        <v>5.00097</v>
      </c>
      <c r="EI157">
        <v>13163.625</v>
      </c>
      <c r="EJ157">
        <v>12491.425</v>
      </c>
      <c r="EK157">
        <v>37.25</v>
      </c>
      <c r="EL157">
        <v>38.70274999999999</v>
      </c>
      <c r="EM157">
        <v>37.625</v>
      </c>
      <c r="EN157">
        <v>38.437</v>
      </c>
      <c r="EO157">
        <v>38.125</v>
      </c>
      <c r="EP157">
        <v>1454.625</v>
      </c>
      <c r="EQ157">
        <v>40.35</v>
      </c>
      <c r="ER157">
        <v>0</v>
      </c>
      <c r="ES157">
        <v>459</v>
      </c>
      <c r="ET157">
        <v>0</v>
      </c>
      <c r="EU157">
        <v>889.5973200000002</v>
      </c>
      <c r="EV157">
        <v>-41.32415391046784</v>
      </c>
      <c r="EW157">
        <v>-585.5384623647989</v>
      </c>
      <c r="EX157">
        <v>13215.288</v>
      </c>
      <c r="EY157">
        <v>15</v>
      </c>
      <c r="EZ157">
        <v>1651864261.1</v>
      </c>
      <c r="FA157" t="s">
        <v>419</v>
      </c>
      <c r="FB157">
        <v>1651864241.6</v>
      </c>
      <c r="FC157">
        <v>1651864261.1</v>
      </c>
      <c r="FD157">
        <v>7</v>
      </c>
      <c r="FE157">
        <v>0.438</v>
      </c>
      <c r="FF157">
        <v>0.002</v>
      </c>
      <c r="FG157">
        <v>-0.988</v>
      </c>
      <c r="FH157">
        <v>-0.066</v>
      </c>
      <c r="FI157">
        <v>400</v>
      </c>
      <c r="FJ157">
        <v>11</v>
      </c>
      <c r="FK157">
        <v>0.05</v>
      </c>
      <c r="FL157">
        <v>0.02</v>
      </c>
      <c r="FM157">
        <v>-9.26699125</v>
      </c>
      <c r="FN157">
        <v>4.503540450281425</v>
      </c>
      <c r="FO157">
        <v>0.4402872666804453</v>
      </c>
      <c r="FP157">
        <v>-1</v>
      </c>
      <c r="FQ157">
        <v>4.80166475</v>
      </c>
      <c r="FR157">
        <v>-0.6534397373358345</v>
      </c>
      <c r="FS157">
        <v>0.06349333181474649</v>
      </c>
      <c r="FT157">
        <v>-1</v>
      </c>
      <c r="FU157">
        <v>0</v>
      </c>
      <c r="FV157">
        <v>0</v>
      </c>
      <c r="FW157">
        <v>0</v>
      </c>
      <c r="FX157">
        <v>-1</v>
      </c>
      <c r="FY157">
        <v>0</v>
      </c>
      <c r="FZ157">
        <v>0</v>
      </c>
      <c r="GA157" t="s">
        <v>420</v>
      </c>
      <c r="GB157">
        <v>2.9807</v>
      </c>
      <c r="GC157">
        <v>2.70666</v>
      </c>
      <c r="GD157">
        <v>0.133676</v>
      </c>
      <c r="GE157">
        <v>0.133241</v>
      </c>
      <c r="GF157">
        <v>0.0871074</v>
      </c>
      <c r="GG157">
        <v>0.06917710000000001</v>
      </c>
      <c r="GH157">
        <v>27339.8</v>
      </c>
      <c r="GI157">
        <v>27414</v>
      </c>
      <c r="GJ157">
        <v>29344.2</v>
      </c>
      <c r="GK157">
        <v>29259.1</v>
      </c>
      <c r="GL157">
        <v>35472.1</v>
      </c>
      <c r="GM157">
        <v>36274</v>
      </c>
      <c r="GN157">
        <v>41303.5</v>
      </c>
      <c r="GO157">
        <v>41762.2</v>
      </c>
      <c r="GP157">
        <v>1.95597</v>
      </c>
      <c r="GQ157">
        <v>1.84962</v>
      </c>
      <c r="GR157">
        <v>-0.0210851</v>
      </c>
      <c r="GS157">
        <v>0</v>
      </c>
      <c r="GT157">
        <v>25.356</v>
      </c>
      <c r="GU157">
        <v>999.9</v>
      </c>
      <c r="GV157">
        <v>31.7</v>
      </c>
      <c r="GW157">
        <v>34.3</v>
      </c>
      <c r="GX157">
        <v>19.1481</v>
      </c>
      <c r="GY157">
        <v>62.6374</v>
      </c>
      <c r="GZ157">
        <v>35.2123</v>
      </c>
      <c r="HA157">
        <v>1</v>
      </c>
      <c r="HB157">
        <v>0.106098</v>
      </c>
      <c r="HC157">
        <v>2.21045</v>
      </c>
      <c r="HD157">
        <v>20.3198</v>
      </c>
      <c r="HE157">
        <v>5.21699</v>
      </c>
      <c r="HF157">
        <v>12.0099</v>
      </c>
      <c r="HG157">
        <v>4.9887</v>
      </c>
      <c r="HH157">
        <v>3.28848</v>
      </c>
      <c r="HI157">
        <v>997.5</v>
      </c>
      <c r="HJ157">
        <v>9545.1</v>
      </c>
      <c r="HK157">
        <v>5139.4</v>
      </c>
      <c r="HL157">
        <v>24.9</v>
      </c>
      <c r="HM157">
        <v>1.86752</v>
      </c>
      <c r="HN157">
        <v>1.86646</v>
      </c>
      <c r="HO157">
        <v>1.866</v>
      </c>
      <c r="HP157">
        <v>1.86586</v>
      </c>
      <c r="HQ157">
        <v>1.86769</v>
      </c>
      <c r="HR157">
        <v>1.87017</v>
      </c>
      <c r="HS157">
        <v>1.86889</v>
      </c>
      <c r="HT157">
        <v>1.87025</v>
      </c>
      <c r="HU157">
        <v>0</v>
      </c>
      <c r="HV157">
        <v>0</v>
      </c>
      <c r="HW157">
        <v>0</v>
      </c>
      <c r="HX157">
        <v>0</v>
      </c>
      <c r="HY157" t="s">
        <v>421</v>
      </c>
      <c r="HZ157" t="s">
        <v>422</v>
      </c>
      <c r="IA157" t="s">
        <v>423</v>
      </c>
      <c r="IB157" t="s">
        <v>423</v>
      </c>
      <c r="IC157" t="s">
        <v>423</v>
      </c>
      <c r="ID157" t="s">
        <v>423</v>
      </c>
      <c r="IE157">
        <v>0</v>
      </c>
      <c r="IF157">
        <v>100</v>
      </c>
      <c r="IG157">
        <v>100</v>
      </c>
      <c r="IH157">
        <v>-1.493</v>
      </c>
      <c r="II157">
        <v>0.0181</v>
      </c>
      <c r="IJ157">
        <v>-0.2164499368582429</v>
      </c>
      <c r="IK157">
        <v>-0.002077099775823331</v>
      </c>
      <c r="IL157">
        <v>4.593143279902166E-07</v>
      </c>
      <c r="IM157">
        <v>-1.865383991892071E-10</v>
      </c>
      <c r="IN157">
        <v>-0.06087574426827484</v>
      </c>
      <c r="IO157">
        <v>-0.01129461987421345</v>
      </c>
      <c r="IP157">
        <v>0.00116580895745559</v>
      </c>
      <c r="IQ157">
        <v>-1.679085872906199E-05</v>
      </c>
      <c r="IR157">
        <v>2</v>
      </c>
      <c r="IS157">
        <v>2290</v>
      </c>
      <c r="IT157">
        <v>0</v>
      </c>
      <c r="IU157">
        <v>32</v>
      </c>
      <c r="IV157">
        <v>7.3</v>
      </c>
      <c r="IW157">
        <v>7</v>
      </c>
      <c r="IX157">
        <v>1.53687</v>
      </c>
      <c r="IY157">
        <v>2.21191</v>
      </c>
      <c r="IZ157">
        <v>1.39771</v>
      </c>
      <c r="JA157">
        <v>2.35596</v>
      </c>
      <c r="JB157">
        <v>1.49536</v>
      </c>
      <c r="JC157">
        <v>2.33643</v>
      </c>
      <c r="JD157">
        <v>38.4769</v>
      </c>
      <c r="JE157">
        <v>24.035</v>
      </c>
      <c r="JF157">
        <v>18</v>
      </c>
      <c r="JG157">
        <v>511.398</v>
      </c>
      <c r="JH157">
        <v>428.6</v>
      </c>
      <c r="JI157">
        <v>22.3295</v>
      </c>
      <c r="JJ157">
        <v>28.6729</v>
      </c>
      <c r="JK157">
        <v>30.0004</v>
      </c>
      <c r="JL157">
        <v>28.6349</v>
      </c>
      <c r="JM157">
        <v>28.5747</v>
      </c>
      <c r="JN157">
        <v>30.6403</v>
      </c>
      <c r="JO157">
        <v>29.3222</v>
      </c>
      <c r="JP157">
        <v>0</v>
      </c>
      <c r="JQ157">
        <v>22.3001</v>
      </c>
      <c r="JR157">
        <v>674.578</v>
      </c>
      <c r="JS157">
        <v>13.6041</v>
      </c>
      <c r="JT157">
        <v>100.305</v>
      </c>
      <c r="JU157">
        <v>100.232</v>
      </c>
    </row>
    <row r="158" spans="1:281">
      <c r="A158">
        <v>142</v>
      </c>
      <c r="B158">
        <v>1651864681.6</v>
      </c>
      <c r="C158">
        <v>461</v>
      </c>
      <c r="D158" t="s">
        <v>704</v>
      </c>
      <c r="E158" t="s">
        <v>705</v>
      </c>
      <c r="F158">
        <v>2</v>
      </c>
      <c r="G158" t="s">
        <v>413</v>
      </c>
      <c r="H158" t="s">
        <v>414</v>
      </c>
      <c r="I158">
        <v>1651864680.6</v>
      </c>
      <c r="J158">
        <f>(K158)/1000</f>
        <v>0</v>
      </c>
      <c r="K158">
        <f>IF(CZ158, AN158, AH158)</f>
        <v>0</v>
      </c>
      <c r="L158">
        <f>IF(CZ158, AI158, AG158)</f>
        <v>0</v>
      </c>
      <c r="M158">
        <f>DB158 - IF(AU158&gt;1, L158*CV158*100.0/(AW158*DP158), 0)</f>
        <v>0</v>
      </c>
      <c r="N158">
        <f>((T158-J158/2)*M158-L158)/(T158+J158/2)</f>
        <v>0</v>
      </c>
      <c r="O158">
        <f>N158*(DI158+DJ158)/1000.0</f>
        <v>0</v>
      </c>
      <c r="P158">
        <f>(DB158 - IF(AU158&gt;1, L158*CV158*100.0/(AW158*DP158), 0))*(DI158+DJ158)/1000.0</f>
        <v>0</v>
      </c>
      <c r="Q158">
        <f>2.0/((1/S158-1/R158)+SIGN(S158)*SQRT((1/S158-1/R158)*(1/S158-1/R158) + 4*CW158/((CW158+1)*(CW158+1))*(2*1/S158*1/R158-1/R158*1/R158)))</f>
        <v>0</v>
      </c>
      <c r="R158">
        <f>IF(LEFT(CX158,1)&lt;&gt;"0",IF(LEFT(CX158,1)="1",3.0,CY158),$D$5+$E$5*(DP158*DI158/($K$5*1000))+$F$5*(DP158*DI158/($K$5*1000))*MAX(MIN(CV158,$J$5),$I$5)*MAX(MIN(CV158,$J$5),$I$5)+$G$5*MAX(MIN(CV158,$J$5),$I$5)*(DP158*DI158/($K$5*1000))+$H$5*(DP158*DI158/($K$5*1000))*(DP158*DI158/($K$5*1000)))</f>
        <v>0</v>
      </c>
      <c r="S158">
        <f>J158*(1000-(1000*0.61365*exp(17.502*W158/(240.97+W158))/(DI158+DJ158)+DD158)/2)/(1000*0.61365*exp(17.502*W158/(240.97+W158))/(DI158+DJ158)-DD158)</f>
        <v>0</v>
      </c>
      <c r="T158">
        <f>1/((CW158+1)/(Q158/1.6)+1/(R158/1.37)) + CW158/((CW158+1)/(Q158/1.6) + CW158/(R158/1.37))</f>
        <v>0</v>
      </c>
      <c r="U158">
        <f>(CR158*CU158)</f>
        <v>0</v>
      </c>
      <c r="V158">
        <f>(DK158+(U158+2*0.95*5.67E-8*(((DK158+$B$7)+273)^4-(DK158+273)^4)-44100*J158)/(1.84*29.3*R158+8*0.95*5.67E-8*(DK158+273)^3))</f>
        <v>0</v>
      </c>
      <c r="W158">
        <f>($C$7*DL158+$D$7*DM158+$E$7*V158)</f>
        <v>0</v>
      </c>
      <c r="X158">
        <f>0.61365*exp(17.502*W158/(240.97+W158))</f>
        <v>0</v>
      </c>
      <c r="Y158">
        <f>(Z158/AA158*100)</f>
        <v>0</v>
      </c>
      <c r="Z158">
        <f>DD158*(DI158+DJ158)/1000</f>
        <v>0</v>
      </c>
      <c r="AA158">
        <f>0.61365*exp(17.502*DK158/(240.97+DK158))</f>
        <v>0</v>
      </c>
      <c r="AB158">
        <f>(X158-DD158*(DI158+DJ158)/1000)</f>
        <v>0</v>
      </c>
      <c r="AC158">
        <f>(-J158*44100)</f>
        <v>0</v>
      </c>
      <c r="AD158">
        <f>2*29.3*R158*0.92*(DK158-W158)</f>
        <v>0</v>
      </c>
      <c r="AE158">
        <f>2*0.95*5.67E-8*(((DK158+$B$7)+273)^4-(W158+273)^4)</f>
        <v>0</v>
      </c>
      <c r="AF158">
        <f>U158+AE158+AC158+AD158</f>
        <v>0</v>
      </c>
      <c r="AG158">
        <f>DH158*AU158*(DC158-DB158*(1000-AU158*DE158)/(1000-AU158*DD158))/(100*CV158)</f>
        <v>0</v>
      </c>
      <c r="AH158">
        <f>1000*DH158*AU158*(DD158-DE158)/(100*CV158*(1000-AU158*DD158))</f>
        <v>0</v>
      </c>
      <c r="AI158">
        <f>(AJ158 - AK158 - DI158*1E3/(8.314*(DK158+273.15)) * AM158/DH158 * AL158) * DH158/(100*CV158) * (1000 - DE158)/1000</f>
        <v>0</v>
      </c>
      <c r="AJ158">
        <v>709.984388148085</v>
      </c>
      <c r="AK158">
        <v>697.2601333333332</v>
      </c>
      <c r="AL158">
        <v>-3.310735229964431</v>
      </c>
      <c r="AM158">
        <v>66.38192812717227</v>
      </c>
      <c r="AN158">
        <f>(AP158 - AO158 + DI158*1E3/(8.314*(DK158+273.15)) * AR158/DH158 * AQ158) * DH158/(100*CV158) * 1000/(1000 - AP158)</f>
        <v>0</v>
      </c>
      <c r="AO158">
        <v>13.46137721795933</v>
      </c>
      <c r="AP158">
        <v>18.18500882352941</v>
      </c>
      <c r="AQ158">
        <v>4.956122639320116E-05</v>
      </c>
      <c r="AR158">
        <v>80.47224507511959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MAX(0,($B$13+$C$13*DP158)/(1+$D$13*DP158)*DI158/(DK158+273)*$E$13)</f>
        <v>0</v>
      </c>
      <c r="AX158" t="s">
        <v>417</v>
      </c>
      <c r="AY158" t="s">
        <v>417</v>
      </c>
      <c r="AZ158">
        <v>0</v>
      </c>
      <c r="BA158">
        <v>0</v>
      </c>
      <c r="BB158">
        <f>1-AZ158/BA158</f>
        <v>0</v>
      </c>
      <c r="BC158">
        <v>0</v>
      </c>
      <c r="BD158" t="s">
        <v>417</v>
      </c>
      <c r="BE158" t="s">
        <v>417</v>
      </c>
      <c r="BF158">
        <v>0</v>
      </c>
      <c r="BG158">
        <v>0</v>
      </c>
      <c r="BH158">
        <f>1-BF158/BG158</f>
        <v>0</v>
      </c>
      <c r="BI158">
        <v>0.5</v>
      </c>
      <c r="BJ158">
        <f>CS158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417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1248</v>
      </c>
      <c r="CA158">
        <v>300</v>
      </c>
      <c r="CB158">
        <v>300</v>
      </c>
      <c r="CC158">
        <v>300</v>
      </c>
      <c r="CD158">
        <v>10442</v>
      </c>
      <c r="CE158">
        <v>1293.69</v>
      </c>
      <c r="CF158">
        <v>-0.00735246</v>
      </c>
      <c r="CG158">
        <v>0.5</v>
      </c>
      <c r="CH158" t="s">
        <v>417</v>
      </c>
      <c r="CI158" t="s">
        <v>417</v>
      </c>
      <c r="CJ158" t="s">
        <v>417</v>
      </c>
      <c r="CK158" t="s">
        <v>417</v>
      </c>
      <c r="CL158" t="s">
        <v>417</v>
      </c>
      <c r="CM158" t="s">
        <v>417</v>
      </c>
      <c r="CN158" t="s">
        <v>417</v>
      </c>
      <c r="CO158" t="s">
        <v>417</v>
      </c>
      <c r="CP158" t="s">
        <v>417</v>
      </c>
      <c r="CQ158" t="s">
        <v>417</v>
      </c>
      <c r="CR158">
        <f>$B$11*DQ158+$C$11*DR158+$F$11*EC158*(1-EF158)</f>
        <v>0</v>
      </c>
      <c r="CS158">
        <f>CR158*CT158</f>
        <v>0</v>
      </c>
      <c r="CT158">
        <f>($B$11*$D$9+$C$11*$D$9+$F$11*((EP158+EH158)/MAX(EP158+EH158+EQ158, 0.1)*$I$9+EQ158/MAX(EP158+EH158+EQ158, 0.1)*$J$9))/($B$11+$C$11+$F$11)</f>
        <v>0</v>
      </c>
      <c r="CU158">
        <f>($B$11*$K$9+$C$11*$K$9+$F$11*((EP158+EH158)/MAX(EP158+EH158+EQ158, 0.1)*$P$9+EQ158/MAX(EP158+EH158+EQ158, 0.1)*$Q$9))/($B$11+$C$11+$F$11)</f>
        <v>0</v>
      </c>
      <c r="CV158">
        <v>6</v>
      </c>
      <c r="CW158">
        <v>0.5</v>
      </c>
      <c r="CX158" t="s">
        <v>418</v>
      </c>
      <c r="CY158">
        <v>2</v>
      </c>
      <c r="CZ158" t="b">
        <v>1</v>
      </c>
      <c r="DA158">
        <v>1651864680.6</v>
      </c>
      <c r="DB158">
        <v>686.2096666666666</v>
      </c>
      <c r="DC158">
        <v>694.5853333333334</v>
      </c>
      <c r="DD158">
        <v>18.18566666666667</v>
      </c>
      <c r="DE158">
        <v>13.48956666666667</v>
      </c>
      <c r="DF158">
        <v>687.6976666666666</v>
      </c>
      <c r="DG158">
        <v>18.16766666666667</v>
      </c>
      <c r="DH158">
        <v>500.118</v>
      </c>
      <c r="DI158">
        <v>89.93983333333331</v>
      </c>
      <c r="DJ158">
        <v>0.1003476666666667</v>
      </c>
      <c r="DK158">
        <v>25.67823333333333</v>
      </c>
      <c r="DL158">
        <v>25.01213333333333</v>
      </c>
      <c r="DM158">
        <v>999.9</v>
      </c>
      <c r="DN158">
        <v>0</v>
      </c>
      <c r="DO158">
        <v>0</v>
      </c>
      <c r="DP158">
        <v>9998.75</v>
      </c>
      <c r="DQ158">
        <v>0</v>
      </c>
      <c r="DR158">
        <v>3.23193</v>
      </c>
      <c r="DS158">
        <v>-8.375836666666666</v>
      </c>
      <c r="DT158">
        <v>698.92</v>
      </c>
      <c r="DU158">
        <v>704.083</v>
      </c>
      <c r="DV158">
        <v>4.696103333333333</v>
      </c>
      <c r="DW158">
        <v>694.5853333333334</v>
      </c>
      <c r="DX158">
        <v>13.48956666666667</v>
      </c>
      <c r="DY158">
        <v>1.635616666666667</v>
      </c>
      <c r="DZ158">
        <v>1.21325</v>
      </c>
      <c r="EA158">
        <v>14.2985</v>
      </c>
      <c r="EB158">
        <v>9.765116666666666</v>
      </c>
      <c r="EC158">
        <v>1499.9</v>
      </c>
      <c r="ED158">
        <v>0.973007</v>
      </c>
      <c r="EE158">
        <v>0.0269931</v>
      </c>
      <c r="EF158">
        <v>0</v>
      </c>
      <c r="EG158">
        <v>884.404</v>
      </c>
      <c r="EH158">
        <v>5.00097</v>
      </c>
      <c r="EI158">
        <v>13137.6</v>
      </c>
      <c r="EJ158">
        <v>12490.8</v>
      </c>
      <c r="EK158">
        <v>37.25</v>
      </c>
      <c r="EL158">
        <v>38.708</v>
      </c>
      <c r="EM158">
        <v>37.66633333333333</v>
      </c>
      <c r="EN158">
        <v>38.437</v>
      </c>
      <c r="EO158">
        <v>38.125</v>
      </c>
      <c r="EP158">
        <v>1454.55</v>
      </c>
      <c r="EQ158">
        <v>40.35</v>
      </c>
      <c r="ER158">
        <v>0</v>
      </c>
      <c r="ES158">
        <v>460.7999999523163</v>
      </c>
      <c r="ET158">
        <v>0</v>
      </c>
      <c r="EU158">
        <v>888.5911153846155</v>
      </c>
      <c r="EV158">
        <v>-40.49452991575742</v>
      </c>
      <c r="EW158">
        <v>-589.8290597837401</v>
      </c>
      <c r="EX158">
        <v>13200.67307692308</v>
      </c>
      <c r="EY158">
        <v>15</v>
      </c>
      <c r="EZ158">
        <v>1651864261.1</v>
      </c>
      <c r="FA158" t="s">
        <v>419</v>
      </c>
      <c r="FB158">
        <v>1651864241.6</v>
      </c>
      <c r="FC158">
        <v>1651864261.1</v>
      </c>
      <c r="FD158">
        <v>7</v>
      </c>
      <c r="FE158">
        <v>0.438</v>
      </c>
      <c r="FF158">
        <v>0.002</v>
      </c>
      <c r="FG158">
        <v>-0.988</v>
      </c>
      <c r="FH158">
        <v>-0.066</v>
      </c>
      <c r="FI158">
        <v>400</v>
      </c>
      <c r="FJ158">
        <v>11</v>
      </c>
      <c r="FK158">
        <v>0.05</v>
      </c>
      <c r="FL158">
        <v>0.02</v>
      </c>
      <c r="FM158">
        <v>-9.181876249999998</v>
      </c>
      <c r="FN158">
        <v>4.47422082551596</v>
      </c>
      <c r="FO158">
        <v>0.4371099385548647</v>
      </c>
      <c r="FP158">
        <v>-1</v>
      </c>
      <c r="FQ158">
        <v>4.791207500000001</v>
      </c>
      <c r="FR158">
        <v>-0.6312941088180231</v>
      </c>
      <c r="FS158">
        <v>0.06143459814103125</v>
      </c>
      <c r="FT158">
        <v>-1</v>
      </c>
      <c r="FU158">
        <v>0</v>
      </c>
      <c r="FV158">
        <v>0</v>
      </c>
      <c r="FW158">
        <v>0</v>
      </c>
      <c r="FX158">
        <v>-1</v>
      </c>
      <c r="FY158">
        <v>0</v>
      </c>
      <c r="FZ158">
        <v>0</v>
      </c>
      <c r="GA158" t="s">
        <v>420</v>
      </c>
      <c r="GB158">
        <v>2.98054</v>
      </c>
      <c r="GC158">
        <v>2.7064</v>
      </c>
      <c r="GD158">
        <v>0.132812</v>
      </c>
      <c r="GE158">
        <v>0.132381</v>
      </c>
      <c r="GF158">
        <v>0.0871041</v>
      </c>
      <c r="GG158">
        <v>0.06925539999999999</v>
      </c>
      <c r="GH158">
        <v>27367</v>
      </c>
      <c r="GI158">
        <v>27441.4</v>
      </c>
      <c r="GJ158">
        <v>29344.1</v>
      </c>
      <c r="GK158">
        <v>29259.2</v>
      </c>
      <c r="GL158">
        <v>35472</v>
      </c>
      <c r="GM158">
        <v>36271</v>
      </c>
      <c r="GN158">
        <v>41303.3</v>
      </c>
      <c r="GO158">
        <v>41762.4</v>
      </c>
      <c r="GP158">
        <v>1.95583</v>
      </c>
      <c r="GQ158">
        <v>1.84967</v>
      </c>
      <c r="GR158">
        <v>-0.020802</v>
      </c>
      <c r="GS158">
        <v>0</v>
      </c>
      <c r="GT158">
        <v>25.3549</v>
      </c>
      <c r="GU158">
        <v>999.9</v>
      </c>
      <c r="GV158">
        <v>31.7</v>
      </c>
      <c r="GW158">
        <v>34.3</v>
      </c>
      <c r="GX158">
        <v>19.1501</v>
      </c>
      <c r="GY158">
        <v>62.7974</v>
      </c>
      <c r="GZ158">
        <v>34.7556</v>
      </c>
      <c r="HA158">
        <v>1</v>
      </c>
      <c r="HB158">
        <v>0.106425</v>
      </c>
      <c r="HC158">
        <v>2.2507</v>
      </c>
      <c r="HD158">
        <v>20.3193</v>
      </c>
      <c r="HE158">
        <v>5.21729</v>
      </c>
      <c r="HF158">
        <v>12.0099</v>
      </c>
      <c r="HG158">
        <v>4.9887</v>
      </c>
      <c r="HH158">
        <v>3.28845</v>
      </c>
      <c r="HI158">
        <v>997.5</v>
      </c>
      <c r="HJ158">
        <v>9545.1</v>
      </c>
      <c r="HK158">
        <v>5139.4</v>
      </c>
      <c r="HL158">
        <v>24.9</v>
      </c>
      <c r="HM158">
        <v>1.86752</v>
      </c>
      <c r="HN158">
        <v>1.86646</v>
      </c>
      <c r="HO158">
        <v>1.866</v>
      </c>
      <c r="HP158">
        <v>1.86586</v>
      </c>
      <c r="HQ158">
        <v>1.86769</v>
      </c>
      <c r="HR158">
        <v>1.87015</v>
      </c>
      <c r="HS158">
        <v>1.86888</v>
      </c>
      <c r="HT158">
        <v>1.87024</v>
      </c>
      <c r="HU158">
        <v>0</v>
      </c>
      <c r="HV158">
        <v>0</v>
      </c>
      <c r="HW158">
        <v>0</v>
      </c>
      <c r="HX158">
        <v>0</v>
      </c>
      <c r="HY158" t="s">
        <v>421</v>
      </c>
      <c r="HZ158" t="s">
        <v>422</v>
      </c>
      <c r="IA158" t="s">
        <v>423</v>
      </c>
      <c r="IB158" t="s">
        <v>423</v>
      </c>
      <c r="IC158" t="s">
        <v>423</v>
      </c>
      <c r="ID158" t="s">
        <v>423</v>
      </c>
      <c r="IE158">
        <v>0</v>
      </c>
      <c r="IF158">
        <v>100</v>
      </c>
      <c r="IG158">
        <v>100</v>
      </c>
      <c r="IH158">
        <v>-1.483</v>
      </c>
      <c r="II158">
        <v>0.0181</v>
      </c>
      <c r="IJ158">
        <v>-0.2164499368582429</v>
      </c>
      <c r="IK158">
        <v>-0.002077099775823331</v>
      </c>
      <c r="IL158">
        <v>4.593143279902166E-07</v>
      </c>
      <c r="IM158">
        <v>-1.865383991892071E-10</v>
      </c>
      <c r="IN158">
        <v>-0.06087574426827484</v>
      </c>
      <c r="IO158">
        <v>-0.01129461987421345</v>
      </c>
      <c r="IP158">
        <v>0.00116580895745559</v>
      </c>
      <c r="IQ158">
        <v>-1.679085872906199E-05</v>
      </c>
      <c r="IR158">
        <v>2</v>
      </c>
      <c r="IS158">
        <v>2290</v>
      </c>
      <c r="IT158">
        <v>0</v>
      </c>
      <c r="IU158">
        <v>32</v>
      </c>
      <c r="IV158">
        <v>7.3</v>
      </c>
      <c r="IW158">
        <v>7</v>
      </c>
      <c r="IX158">
        <v>1.52344</v>
      </c>
      <c r="IY158">
        <v>2.21313</v>
      </c>
      <c r="IZ158">
        <v>1.39648</v>
      </c>
      <c r="JA158">
        <v>2.35718</v>
      </c>
      <c r="JB158">
        <v>1.49536</v>
      </c>
      <c r="JC158">
        <v>2.31323</v>
      </c>
      <c r="JD158">
        <v>38.4769</v>
      </c>
      <c r="JE158">
        <v>24.035</v>
      </c>
      <c r="JF158">
        <v>18</v>
      </c>
      <c r="JG158">
        <v>511.308</v>
      </c>
      <c r="JH158">
        <v>428.633</v>
      </c>
      <c r="JI158">
        <v>22.3266</v>
      </c>
      <c r="JJ158">
        <v>28.6732</v>
      </c>
      <c r="JK158">
        <v>30.0005</v>
      </c>
      <c r="JL158">
        <v>28.6359</v>
      </c>
      <c r="JM158">
        <v>28.575</v>
      </c>
      <c r="JN158">
        <v>30.3971</v>
      </c>
      <c r="JO158">
        <v>29.0427</v>
      </c>
      <c r="JP158">
        <v>0</v>
      </c>
      <c r="JQ158">
        <v>22.3001</v>
      </c>
      <c r="JR158">
        <v>667.898</v>
      </c>
      <c r="JS158">
        <v>13.6269</v>
      </c>
      <c r="JT158">
        <v>100.304</v>
      </c>
      <c r="JU158">
        <v>100.232</v>
      </c>
    </row>
    <row r="159" spans="1:281">
      <c r="A159">
        <v>143</v>
      </c>
      <c r="B159">
        <v>1651864683.6</v>
      </c>
      <c r="C159">
        <v>463</v>
      </c>
      <c r="D159" t="s">
        <v>706</v>
      </c>
      <c r="E159" t="s">
        <v>707</v>
      </c>
      <c r="F159">
        <v>2</v>
      </c>
      <c r="G159" t="s">
        <v>413</v>
      </c>
      <c r="H159" t="s">
        <v>414</v>
      </c>
      <c r="I159">
        <v>1651864682.225</v>
      </c>
      <c r="J159">
        <f>(K159)/1000</f>
        <v>0</v>
      </c>
      <c r="K159">
        <f>IF(CZ159, AN159, AH159)</f>
        <v>0</v>
      </c>
      <c r="L159">
        <f>IF(CZ159, AI159, AG159)</f>
        <v>0</v>
      </c>
      <c r="M159">
        <f>DB159 - IF(AU159&gt;1, L159*CV159*100.0/(AW159*DP159), 0)</f>
        <v>0</v>
      </c>
      <c r="N159">
        <f>((T159-J159/2)*M159-L159)/(T159+J159/2)</f>
        <v>0</v>
      </c>
      <c r="O159">
        <f>N159*(DI159+DJ159)/1000.0</f>
        <v>0</v>
      </c>
      <c r="P159">
        <f>(DB159 - IF(AU159&gt;1, L159*CV159*100.0/(AW159*DP159), 0))*(DI159+DJ159)/1000.0</f>
        <v>0</v>
      </c>
      <c r="Q159">
        <f>2.0/((1/S159-1/R159)+SIGN(S159)*SQRT((1/S159-1/R159)*(1/S159-1/R159) + 4*CW159/((CW159+1)*(CW159+1))*(2*1/S159*1/R159-1/R159*1/R159)))</f>
        <v>0</v>
      </c>
      <c r="R159">
        <f>IF(LEFT(CX159,1)&lt;&gt;"0",IF(LEFT(CX159,1)="1",3.0,CY159),$D$5+$E$5*(DP159*DI159/($K$5*1000))+$F$5*(DP159*DI159/($K$5*1000))*MAX(MIN(CV159,$J$5),$I$5)*MAX(MIN(CV159,$J$5),$I$5)+$G$5*MAX(MIN(CV159,$J$5),$I$5)*(DP159*DI159/($K$5*1000))+$H$5*(DP159*DI159/($K$5*1000))*(DP159*DI159/($K$5*1000)))</f>
        <v>0</v>
      </c>
      <c r="S159">
        <f>J159*(1000-(1000*0.61365*exp(17.502*W159/(240.97+W159))/(DI159+DJ159)+DD159)/2)/(1000*0.61365*exp(17.502*W159/(240.97+W159))/(DI159+DJ159)-DD159)</f>
        <v>0</v>
      </c>
      <c r="T159">
        <f>1/((CW159+1)/(Q159/1.6)+1/(R159/1.37)) + CW159/((CW159+1)/(Q159/1.6) + CW159/(R159/1.37))</f>
        <v>0</v>
      </c>
      <c r="U159">
        <f>(CR159*CU159)</f>
        <v>0</v>
      </c>
      <c r="V159">
        <f>(DK159+(U159+2*0.95*5.67E-8*(((DK159+$B$7)+273)^4-(DK159+273)^4)-44100*J159)/(1.84*29.3*R159+8*0.95*5.67E-8*(DK159+273)^3))</f>
        <v>0</v>
      </c>
      <c r="W159">
        <f>($C$7*DL159+$D$7*DM159+$E$7*V159)</f>
        <v>0</v>
      </c>
      <c r="X159">
        <f>0.61365*exp(17.502*W159/(240.97+W159))</f>
        <v>0</v>
      </c>
      <c r="Y159">
        <f>(Z159/AA159*100)</f>
        <v>0</v>
      </c>
      <c r="Z159">
        <f>DD159*(DI159+DJ159)/1000</f>
        <v>0</v>
      </c>
      <c r="AA159">
        <f>0.61365*exp(17.502*DK159/(240.97+DK159))</f>
        <v>0</v>
      </c>
      <c r="AB159">
        <f>(X159-DD159*(DI159+DJ159)/1000)</f>
        <v>0</v>
      </c>
      <c r="AC159">
        <f>(-J159*44100)</f>
        <v>0</v>
      </c>
      <c r="AD159">
        <f>2*29.3*R159*0.92*(DK159-W159)</f>
        <v>0</v>
      </c>
      <c r="AE159">
        <f>2*0.95*5.67E-8*(((DK159+$B$7)+273)^4-(W159+273)^4)</f>
        <v>0</v>
      </c>
      <c r="AF159">
        <f>U159+AE159+AC159+AD159</f>
        <v>0</v>
      </c>
      <c r="AG159">
        <f>DH159*AU159*(DC159-DB159*(1000-AU159*DE159)/(1000-AU159*DD159))/(100*CV159)</f>
        <v>0</v>
      </c>
      <c r="AH159">
        <f>1000*DH159*AU159*(DD159-DE159)/(100*CV159*(1000-AU159*DD159))</f>
        <v>0</v>
      </c>
      <c r="AI159">
        <f>(AJ159 - AK159 - DI159*1E3/(8.314*(DK159+273.15)) * AM159/DH159 * AL159) * DH159/(100*CV159) * (1000 - DE159)/1000</f>
        <v>0</v>
      </c>
      <c r="AJ159">
        <v>703.3183742805512</v>
      </c>
      <c r="AK159">
        <v>690.6590909090905</v>
      </c>
      <c r="AL159">
        <v>-3.306472155035059</v>
      </c>
      <c r="AM159">
        <v>66.38192812717227</v>
      </c>
      <c r="AN159">
        <f>(AP159 - AO159 + DI159*1E3/(8.314*(DK159+273.15)) * AR159/DH159 * AQ159) * DH159/(100*CV159) * 1000/(1000 - AP159)</f>
        <v>0</v>
      </c>
      <c r="AO159">
        <v>13.47405223608685</v>
      </c>
      <c r="AP159">
        <v>18.18474088235293</v>
      </c>
      <c r="AQ159">
        <v>1.750148542890735E-05</v>
      </c>
      <c r="AR159">
        <v>80.47224507511959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MAX(0,($B$13+$C$13*DP159)/(1+$D$13*DP159)*DI159/(DK159+273)*$E$13)</f>
        <v>0</v>
      </c>
      <c r="AX159" t="s">
        <v>417</v>
      </c>
      <c r="AY159" t="s">
        <v>417</v>
      </c>
      <c r="AZ159">
        <v>0</v>
      </c>
      <c r="BA159">
        <v>0</v>
      </c>
      <c r="BB159">
        <f>1-AZ159/BA159</f>
        <v>0</v>
      </c>
      <c r="BC159">
        <v>0</v>
      </c>
      <c r="BD159" t="s">
        <v>417</v>
      </c>
      <c r="BE159" t="s">
        <v>417</v>
      </c>
      <c r="BF159">
        <v>0</v>
      </c>
      <c r="BG159">
        <v>0</v>
      </c>
      <c r="BH159">
        <f>1-BF159/BG159</f>
        <v>0</v>
      </c>
      <c r="BI159">
        <v>0.5</v>
      </c>
      <c r="BJ159">
        <f>CS159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417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1248</v>
      </c>
      <c r="CA159">
        <v>300</v>
      </c>
      <c r="CB159">
        <v>300</v>
      </c>
      <c r="CC159">
        <v>300</v>
      </c>
      <c r="CD159">
        <v>10442</v>
      </c>
      <c r="CE159">
        <v>1293.69</v>
      </c>
      <c r="CF159">
        <v>-0.00735246</v>
      </c>
      <c r="CG159">
        <v>0.5</v>
      </c>
      <c r="CH159" t="s">
        <v>417</v>
      </c>
      <c r="CI159" t="s">
        <v>417</v>
      </c>
      <c r="CJ159" t="s">
        <v>417</v>
      </c>
      <c r="CK159" t="s">
        <v>417</v>
      </c>
      <c r="CL159" t="s">
        <v>417</v>
      </c>
      <c r="CM159" t="s">
        <v>417</v>
      </c>
      <c r="CN159" t="s">
        <v>417</v>
      </c>
      <c r="CO159" t="s">
        <v>417</v>
      </c>
      <c r="CP159" t="s">
        <v>417</v>
      </c>
      <c r="CQ159" t="s">
        <v>417</v>
      </c>
      <c r="CR159">
        <f>$B$11*DQ159+$C$11*DR159+$F$11*EC159*(1-EF159)</f>
        <v>0</v>
      </c>
      <c r="CS159">
        <f>CR159*CT159</f>
        <v>0</v>
      </c>
      <c r="CT159">
        <f>($B$11*$D$9+$C$11*$D$9+$F$11*((EP159+EH159)/MAX(EP159+EH159+EQ159, 0.1)*$I$9+EQ159/MAX(EP159+EH159+EQ159, 0.1)*$J$9))/($B$11+$C$11+$F$11)</f>
        <v>0</v>
      </c>
      <c r="CU159">
        <f>($B$11*$K$9+$C$11*$K$9+$F$11*((EP159+EH159)/MAX(EP159+EH159+EQ159, 0.1)*$P$9+EQ159/MAX(EP159+EH159+EQ159, 0.1)*$Q$9))/($B$11+$C$11+$F$11)</f>
        <v>0</v>
      </c>
      <c r="CV159">
        <v>6</v>
      </c>
      <c r="CW159">
        <v>0.5</v>
      </c>
      <c r="CX159" t="s">
        <v>418</v>
      </c>
      <c r="CY159">
        <v>2</v>
      </c>
      <c r="CZ159" t="b">
        <v>1</v>
      </c>
      <c r="DA159">
        <v>1651864682.225</v>
      </c>
      <c r="DB159">
        <v>680.937</v>
      </c>
      <c r="DC159">
        <v>689.2112500000001</v>
      </c>
      <c r="DD159">
        <v>18.18545</v>
      </c>
      <c r="DE159">
        <v>13.50805</v>
      </c>
      <c r="DF159">
        <v>682.41625</v>
      </c>
      <c r="DG159">
        <v>18.167425</v>
      </c>
      <c r="DH159">
        <v>500.0655</v>
      </c>
      <c r="DI159">
        <v>89.9391</v>
      </c>
      <c r="DJ159">
        <v>0.100078275</v>
      </c>
      <c r="DK159">
        <v>25.6794</v>
      </c>
      <c r="DL159">
        <v>25.015775</v>
      </c>
      <c r="DM159">
        <v>999.9</v>
      </c>
      <c r="DN159">
        <v>0</v>
      </c>
      <c r="DO159">
        <v>0</v>
      </c>
      <c r="DP159">
        <v>10013.425</v>
      </c>
      <c r="DQ159">
        <v>0</v>
      </c>
      <c r="DR159">
        <v>3.23193</v>
      </c>
      <c r="DS159">
        <v>-8.274215</v>
      </c>
      <c r="DT159">
        <v>693.54975</v>
      </c>
      <c r="DU159">
        <v>698.6487500000001</v>
      </c>
      <c r="DV159">
        <v>4.6773875</v>
      </c>
      <c r="DW159">
        <v>689.2112500000001</v>
      </c>
      <c r="DX159">
        <v>13.50805</v>
      </c>
      <c r="DY159">
        <v>1.6355825</v>
      </c>
      <c r="DZ159">
        <v>1.2149025</v>
      </c>
      <c r="EA159">
        <v>14.2982</v>
      </c>
      <c r="EB159">
        <v>9.785422499999999</v>
      </c>
      <c r="EC159">
        <v>1499.975</v>
      </c>
      <c r="ED159">
        <v>0.9730082499999999</v>
      </c>
      <c r="EE159">
        <v>0.02699174999999999</v>
      </c>
      <c r="EF159">
        <v>0</v>
      </c>
      <c r="EG159">
        <v>883.37175</v>
      </c>
      <c r="EH159">
        <v>5.00097</v>
      </c>
      <c r="EI159">
        <v>13123.35</v>
      </c>
      <c r="EJ159">
        <v>12491.425</v>
      </c>
      <c r="EK159">
        <v>37.25</v>
      </c>
      <c r="EL159">
        <v>38.687</v>
      </c>
      <c r="EM159">
        <v>37.67149999999999</v>
      </c>
      <c r="EN159">
        <v>38.437</v>
      </c>
      <c r="EO159">
        <v>38.125</v>
      </c>
      <c r="EP159">
        <v>1454.625</v>
      </c>
      <c r="EQ159">
        <v>40.35</v>
      </c>
      <c r="ER159">
        <v>0</v>
      </c>
      <c r="ES159">
        <v>462.6000001430511</v>
      </c>
      <c r="ET159">
        <v>0</v>
      </c>
      <c r="EU159">
        <v>887.1578</v>
      </c>
      <c r="EV159">
        <v>-39.9169999349804</v>
      </c>
      <c r="EW159">
        <v>-596.0153837166552</v>
      </c>
      <c r="EX159">
        <v>13179.884</v>
      </c>
      <c r="EY159">
        <v>15</v>
      </c>
      <c r="EZ159">
        <v>1651864261.1</v>
      </c>
      <c r="FA159" t="s">
        <v>419</v>
      </c>
      <c r="FB159">
        <v>1651864241.6</v>
      </c>
      <c r="FC159">
        <v>1651864261.1</v>
      </c>
      <c r="FD159">
        <v>7</v>
      </c>
      <c r="FE159">
        <v>0.438</v>
      </c>
      <c r="FF159">
        <v>0.002</v>
      </c>
      <c r="FG159">
        <v>-0.988</v>
      </c>
      <c r="FH159">
        <v>-0.066</v>
      </c>
      <c r="FI159">
        <v>400</v>
      </c>
      <c r="FJ159">
        <v>11</v>
      </c>
      <c r="FK159">
        <v>0.05</v>
      </c>
      <c r="FL159">
        <v>0.02</v>
      </c>
      <c r="FM159">
        <v>-8.9596745</v>
      </c>
      <c r="FN159">
        <v>4.626193170731717</v>
      </c>
      <c r="FO159">
        <v>0.4509634753056505</v>
      </c>
      <c r="FP159">
        <v>-1</v>
      </c>
      <c r="FQ159">
        <v>4.760156499999999</v>
      </c>
      <c r="FR159">
        <v>-0.5785400375234576</v>
      </c>
      <c r="FS159">
        <v>0.0562604954897306</v>
      </c>
      <c r="FT159">
        <v>-1</v>
      </c>
      <c r="FU159">
        <v>0</v>
      </c>
      <c r="FV159">
        <v>0</v>
      </c>
      <c r="FW159">
        <v>0</v>
      </c>
      <c r="FX159">
        <v>-1</v>
      </c>
      <c r="FY159">
        <v>0</v>
      </c>
      <c r="FZ159">
        <v>0</v>
      </c>
      <c r="GA159" t="s">
        <v>420</v>
      </c>
      <c r="GB159">
        <v>2.98048</v>
      </c>
      <c r="GC159">
        <v>2.7062</v>
      </c>
      <c r="GD159">
        <v>0.131942</v>
      </c>
      <c r="GE159">
        <v>0.131506</v>
      </c>
      <c r="GF159">
        <v>0.0871096</v>
      </c>
      <c r="GG159">
        <v>0.0693647</v>
      </c>
      <c r="GH159">
        <v>27394.8</v>
      </c>
      <c r="GI159">
        <v>27469.1</v>
      </c>
      <c r="GJ159">
        <v>29344.4</v>
      </c>
      <c r="GK159">
        <v>29259.2</v>
      </c>
      <c r="GL159">
        <v>35472.3</v>
      </c>
      <c r="GM159">
        <v>36266.5</v>
      </c>
      <c r="GN159">
        <v>41303.9</v>
      </c>
      <c r="GO159">
        <v>41762.2</v>
      </c>
      <c r="GP159">
        <v>1.9559</v>
      </c>
      <c r="GQ159">
        <v>1.8497</v>
      </c>
      <c r="GR159">
        <v>-0.0204667</v>
      </c>
      <c r="GS159">
        <v>0</v>
      </c>
      <c r="GT159">
        <v>25.3546</v>
      </c>
      <c r="GU159">
        <v>999.9</v>
      </c>
      <c r="GV159">
        <v>31.7</v>
      </c>
      <c r="GW159">
        <v>34.3</v>
      </c>
      <c r="GX159">
        <v>19.1484</v>
      </c>
      <c r="GY159">
        <v>62.5975</v>
      </c>
      <c r="GZ159">
        <v>34.8678</v>
      </c>
      <c r="HA159">
        <v>1</v>
      </c>
      <c r="HB159">
        <v>0.106626</v>
      </c>
      <c r="HC159">
        <v>2.28789</v>
      </c>
      <c r="HD159">
        <v>20.3188</v>
      </c>
      <c r="HE159">
        <v>5.21744</v>
      </c>
      <c r="HF159">
        <v>12.0099</v>
      </c>
      <c r="HG159">
        <v>4.98865</v>
      </c>
      <c r="HH159">
        <v>3.28848</v>
      </c>
      <c r="HI159">
        <v>997.5</v>
      </c>
      <c r="HJ159">
        <v>9545.1</v>
      </c>
      <c r="HK159">
        <v>5139.4</v>
      </c>
      <c r="HL159">
        <v>24.9</v>
      </c>
      <c r="HM159">
        <v>1.86751</v>
      </c>
      <c r="HN159">
        <v>1.86646</v>
      </c>
      <c r="HO159">
        <v>1.866</v>
      </c>
      <c r="HP159">
        <v>1.86585</v>
      </c>
      <c r="HQ159">
        <v>1.86769</v>
      </c>
      <c r="HR159">
        <v>1.87016</v>
      </c>
      <c r="HS159">
        <v>1.86885</v>
      </c>
      <c r="HT159">
        <v>1.87023</v>
      </c>
      <c r="HU159">
        <v>0</v>
      </c>
      <c r="HV159">
        <v>0</v>
      </c>
      <c r="HW159">
        <v>0</v>
      </c>
      <c r="HX159">
        <v>0</v>
      </c>
      <c r="HY159" t="s">
        <v>421</v>
      </c>
      <c r="HZ159" t="s">
        <v>422</v>
      </c>
      <c r="IA159" t="s">
        <v>423</v>
      </c>
      <c r="IB159" t="s">
        <v>423</v>
      </c>
      <c r="IC159" t="s">
        <v>423</v>
      </c>
      <c r="ID159" t="s">
        <v>423</v>
      </c>
      <c r="IE159">
        <v>0</v>
      </c>
      <c r="IF159">
        <v>100</v>
      </c>
      <c r="IG159">
        <v>100</v>
      </c>
      <c r="IH159">
        <v>-1.472</v>
      </c>
      <c r="II159">
        <v>0.0181</v>
      </c>
      <c r="IJ159">
        <v>-0.2164499368582429</v>
      </c>
      <c r="IK159">
        <v>-0.002077099775823331</v>
      </c>
      <c r="IL159">
        <v>4.593143279902166E-07</v>
      </c>
      <c r="IM159">
        <v>-1.865383991892071E-10</v>
      </c>
      <c r="IN159">
        <v>-0.06087574426827484</v>
      </c>
      <c r="IO159">
        <v>-0.01129461987421345</v>
      </c>
      <c r="IP159">
        <v>0.00116580895745559</v>
      </c>
      <c r="IQ159">
        <v>-1.679085872906199E-05</v>
      </c>
      <c r="IR159">
        <v>2</v>
      </c>
      <c r="IS159">
        <v>2290</v>
      </c>
      <c r="IT159">
        <v>0</v>
      </c>
      <c r="IU159">
        <v>32</v>
      </c>
      <c r="IV159">
        <v>7.4</v>
      </c>
      <c r="IW159">
        <v>7</v>
      </c>
      <c r="IX159">
        <v>1.51245</v>
      </c>
      <c r="IY159">
        <v>2.21069</v>
      </c>
      <c r="IZ159">
        <v>1.39648</v>
      </c>
      <c r="JA159">
        <v>2.35718</v>
      </c>
      <c r="JB159">
        <v>1.49536</v>
      </c>
      <c r="JC159">
        <v>2.37427</v>
      </c>
      <c r="JD159">
        <v>38.4769</v>
      </c>
      <c r="JE159">
        <v>24.035</v>
      </c>
      <c r="JF159">
        <v>18</v>
      </c>
      <c r="JG159">
        <v>511.368</v>
      </c>
      <c r="JH159">
        <v>428.648</v>
      </c>
      <c r="JI159">
        <v>22.3221</v>
      </c>
      <c r="JJ159">
        <v>28.6732</v>
      </c>
      <c r="JK159">
        <v>30.0005</v>
      </c>
      <c r="JL159">
        <v>28.6371</v>
      </c>
      <c r="JM159">
        <v>28.575</v>
      </c>
      <c r="JN159">
        <v>30.2378</v>
      </c>
      <c r="JO159">
        <v>29.0427</v>
      </c>
      <c r="JP159">
        <v>0</v>
      </c>
      <c r="JQ159">
        <v>22.3001</v>
      </c>
      <c r="JR159">
        <v>667.898</v>
      </c>
      <c r="JS159">
        <v>13.6451</v>
      </c>
      <c r="JT159">
        <v>100.306</v>
      </c>
      <c r="JU159">
        <v>100.232</v>
      </c>
    </row>
    <row r="160" spans="1:281">
      <c r="A160">
        <v>144</v>
      </c>
      <c r="B160">
        <v>1651864685.6</v>
      </c>
      <c r="C160">
        <v>465</v>
      </c>
      <c r="D160" t="s">
        <v>708</v>
      </c>
      <c r="E160" t="s">
        <v>709</v>
      </c>
      <c r="F160">
        <v>2</v>
      </c>
      <c r="G160" t="s">
        <v>413</v>
      </c>
      <c r="H160" t="s">
        <v>414</v>
      </c>
      <c r="I160">
        <v>1651864684.6</v>
      </c>
      <c r="J160">
        <f>(K160)/1000</f>
        <v>0</v>
      </c>
      <c r="K160">
        <f>IF(CZ160, AN160, AH160)</f>
        <v>0</v>
      </c>
      <c r="L160">
        <f>IF(CZ160, AI160, AG160)</f>
        <v>0</v>
      </c>
      <c r="M160">
        <f>DB160 - IF(AU160&gt;1, L160*CV160*100.0/(AW160*DP160), 0)</f>
        <v>0</v>
      </c>
      <c r="N160">
        <f>((T160-J160/2)*M160-L160)/(T160+J160/2)</f>
        <v>0</v>
      </c>
      <c r="O160">
        <f>N160*(DI160+DJ160)/1000.0</f>
        <v>0</v>
      </c>
      <c r="P160">
        <f>(DB160 - IF(AU160&gt;1, L160*CV160*100.0/(AW160*DP160), 0))*(DI160+DJ160)/1000.0</f>
        <v>0</v>
      </c>
      <c r="Q160">
        <f>2.0/((1/S160-1/R160)+SIGN(S160)*SQRT((1/S160-1/R160)*(1/S160-1/R160) + 4*CW160/((CW160+1)*(CW160+1))*(2*1/S160*1/R160-1/R160*1/R160)))</f>
        <v>0</v>
      </c>
      <c r="R160">
        <f>IF(LEFT(CX160,1)&lt;&gt;"0",IF(LEFT(CX160,1)="1",3.0,CY160),$D$5+$E$5*(DP160*DI160/($K$5*1000))+$F$5*(DP160*DI160/($K$5*1000))*MAX(MIN(CV160,$J$5),$I$5)*MAX(MIN(CV160,$J$5),$I$5)+$G$5*MAX(MIN(CV160,$J$5),$I$5)*(DP160*DI160/($K$5*1000))+$H$5*(DP160*DI160/($K$5*1000))*(DP160*DI160/($K$5*1000)))</f>
        <v>0</v>
      </c>
      <c r="S160">
        <f>J160*(1000-(1000*0.61365*exp(17.502*W160/(240.97+W160))/(DI160+DJ160)+DD160)/2)/(1000*0.61365*exp(17.502*W160/(240.97+W160))/(DI160+DJ160)-DD160)</f>
        <v>0</v>
      </c>
      <c r="T160">
        <f>1/((CW160+1)/(Q160/1.6)+1/(R160/1.37)) + CW160/((CW160+1)/(Q160/1.6) + CW160/(R160/1.37))</f>
        <v>0</v>
      </c>
      <c r="U160">
        <f>(CR160*CU160)</f>
        <v>0</v>
      </c>
      <c r="V160">
        <f>(DK160+(U160+2*0.95*5.67E-8*(((DK160+$B$7)+273)^4-(DK160+273)^4)-44100*J160)/(1.84*29.3*R160+8*0.95*5.67E-8*(DK160+273)^3))</f>
        <v>0</v>
      </c>
      <c r="W160">
        <f>($C$7*DL160+$D$7*DM160+$E$7*V160)</f>
        <v>0</v>
      </c>
      <c r="X160">
        <f>0.61365*exp(17.502*W160/(240.97+W160))</f>
        <v>0</v>
      </c>
      <c r="Y160">
        <f>(Z160/AA160*100)</f>
        <v>0</v>
      </c>
      <c r="Z160">
        <f>DD160*(DI160+DJ160)/1000</f>
        <v>0</v>
      </c>
      <c r="AA160">
        <f>0.61365*exp(17.502*DK160/(240.97+DK160))</f>
        <v>0</v>
      </c>
      <c r="AB160">
        <f>(X160-DD160*(DI160+DJ160)/1000)</f>
        <v>0</v>
      </c>
      <c r="AC160">
        <f>(-J160*44100)</f>
        <v>0</v>
      </c>
      <c r="AD160">
        <f>2*29.3*R160*0.92*(DK160-W160)</f>
        <v>0</v>
      </c>
      <c r="AE160">
        <f>2*0.95*5.67E-8*(((DK160+$B$7)+273)^4-(W160+273)^4)</f>
        <v>0</v>
      </c>
      <c r="AF160">
        <f>U160+AE160+AC160+AD160</f>
        <v>0</v>
      </c>
      <c r="AG160">
        <f>DH160*AU160*(DC160-DB160*(1000-AU160*DE160)/(1000-AU160*DD160))/(100*CV160)</f>
        <v>0</v>
      </c>
      <c r="AH160">
        <f>1000*DH160*AU160*(DD160-DE160)/(100*CV160*(1000-AU160*DD160))</f>
        <v>0</v>
      </c>
      <c r="AI160">
        <f>(AJ160 - AK160 - DI160*1E3/(8.314*(DK160+273.15)) * AM160/DH160 * AL160) * DH160/(100*CV160) * (1000 - DE160)/1000</f>
        <v>0</v>
      </c>
      <c r="AJ160">
        <v>696.6226854915777</v>
      </c>
      <c r="AK160">
        <v>684.0213212121208</v>
      </c>
      <c r="AL160">
        <v>-3.313632004750759</v>
      </c>
      <c r="AM160">
        <v>66.38192812717227</v>
      </c>
      <c r="AN160">
        <f>(AP160 - AO160 + DI160*1E3/(8.314*(DK160+273.15)) * AR160/DH160 * AQ160) * DH160/(100*CV160) * 1000/(1000 - AP160)</f>
        <v>0</v>
      </c>
      <c r="AO160">
        <v>13.4936739149092</v>
      </c>
      <c r="AP160">
        <v>18.18982176470588</v>
      </c>
      <c r="AQ160">
        <v>-1.323634562615737E-05</v>
      </c>
      <c r="AR160">
        <v>80.47224507511959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MAX(0,($B$13+$C$13*DP160)/(1+$D$13*DP160)*DI160/(DK160+273)*$E$13)</f>
        <v>0</v>
      </c>
      <c r="AX160" t="s">
        <v>417</v>
      </c>
      <c r="AY160" t="s">
        <v>417</v>
      </c>
      <c r="AZ160">
        <v>0</v>
      </c>
      <c r="BA160">
        <v>0</v>
      </c>
      <c r="BB160">
        <f>1-AZ160/BA160</f>
        <v>0</v>
      </c>
      <c r="BC160">
        <v>0</v>
      </c>
      <c r="BD160" t="s">
        <v>417</v>
      </c>
      <c r="BE160" t="s">
        <v>417</v>
      </c>
      <c r="BF160">
        <v>0</v>
      </c>
      <c r="BG160">
        <v>0</v>
      </c>
      <c r="BH160">
        <f>1-BF160/BG160</f>
        <v>0</v>
      </c>
      <c r="BI160">
        <v>0.5</v>
      </c>
      <c r="BJ160">
        <f>CS160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417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1248</v>
      </c>
      <c r="CA160">
        <v>300</v>
      </c>
      <c r="CB160">
        <v>300</v>
      </c>
      <c r="CC160">
        <v>300</v>
      </c>
      <c r="CD160">
        <v>10442</v>
      </c>
      <c r="CE160">
        <v>1293.69</v>
      </c>
      <c r="CF160">
        <v>-0.00735246</v>
      </c>
      <c r="CG160">
        <v>0.5</v>
      </c>
      <c r="CH160" t="s">
        <v>417</v>
      </c>
      <c r="CI160" t="s">
        <v>417</v>
      </c>
      <c r="CJ160" t="s">
        <v>417</v>
      </c>
      <c r="CK160" t="s">
        <v>417</v>
      </c>
      <c r="CL160" t="s">
        <v>417</v>
      </c>
      <c r="CM160" t="s">
        <v>417</v>
      </c>
      <c r="CN160" t="s">
        <v>417</v>
      </c>
      <c r="CO160" t="s">
        <v>417</v>
      </c>
      <c r="CP160" t="s">
        <v>417</v>
      </c>
      <c r="CQ160" t="s">
        <v>417</v>
      </c>
      <c r="CR160">
        <f>$B$11*DQ160+$C$11*DR160+$F$11*EC160*(1-EF160)</f>
        <v>0</v>
      </c>
      <c r="CS160">
        <f>CR160*CT160</f>
        <v>0</v>
      </c>
      <c r="CT160">
        <f>($B$11*$D$9+$C$11*$D$9+$F$11*((EP160+EH160)/MAX(EP160+EH160+EQ160, 0.1)*$I$9+EQ160/MAX(EP160+EH160+EQ160, 0.1)*$J$9))/($B$11+$C$11+$F$11)</f>
        <v>0</v>
      </c>
      <c r="CU160">
        <f>($B$11*$K$9+$C$11*$K$9+$F$11*((EP160+EH160)/MAX(EP160+EH160+EQ160, 0.1)*$P$9+EQ160/MAX(EP160+EH160+EQ160, 0.1)*$Q$9))/($B$11+$C$11+$F$11)</f>
        <v>0</v>
      </c>
      <c r="CV160">
        <v>6</v>
      </c>
      <c r="CW160">
        <v>0.5</v>
      </c>
      <c r="CX160" t="s">
        <v>418</v>
      </c>
      <c r="CY160">
        <v>2</v>
      </c>
      <c r="CZ160" t="b">
        <v>1</v>
      </c>
      <c r="DA160">
        <v>1651864684.6</v>
      </c>
      <c r="DB160">
        <v>673.2086666666667</v>
      </c>
      <c r="DC160">
        <v>681.2616666666667</v>
      </c>
      <c r="DD160">
        <v>18.1889</v>
      </c>
      <c r="DE160">
        <v>13.54913333333334</v>
      </c>
      <c r="DF160">
        <v>674.6746666666667</v>
      </c>
      <c r="DG160">
        <v>18.17083333333333</v>
      </c>
      <c r="DH160">
        <v>500.052</v>
      </c>
      <c r="DI160">
        <v>89.93859999999999</v>
      </c>
      <c r="DJ160">
        <v>0.09999373333333333</v>
      </c>
      <c r="DK160">
        <v>25.68033333333333</v>
      </c>
      <c r="DL160">
        <v>25.02233333333334</v>
      </c>
      <c r="DM160">
        <v>999.9</v>
      </c>
      <c r="DN160">
        <v>0</v>
      </c>
      <c r="DO160">
        <v>0</v>
      </c>
      <c r="DP160">
        <v>10006.23333333333</v>
      </c>
      <c r="DQ160">
        <v>0</v>
      </c>
      <c r="DR160">
        <v>3.23193</v>
      </c>
      <c r="DS160">
        <v>-8.052916666666667</v>
      </c>
      <c r="DT160">
        <v>685.6803333333334</v>
      </c>
      <c r="DU160">
        <v>690.6193333333334</v>
      </c>
      <c r="DV160">
        <v>4.63977</v>
      </c>
      <c r="DW160">
        <v>681.2616666666667</v>
      </c>
      <c r="DX160">
        <v>13.54913333333334</v>
      </c>
      <c r="DY160">
        <v>1.635883333333333</v>
      </c>
      <c r="DZ160">
        <v>1.21859</v>
      </c>
      <c r="EA160">
        <v>14.30106666666667</v>
      </c>
      <c r="EB160">
        <v>9.830623333333333</v>
      </c>
      <c r="EC160">
        <v>1500.09</v>
      </c>
      <c r="ED160">
        <v>0.9730103333333333</v>
      </c>
      <c r="EE160">
        <v>0.0269895</v>
      </c>
      <c r="EF160">
        <v>0</v>
      </c>
      <c r="EG160">
        <v>881.5036666666666</v>
      </c>
      <c r="EH160">
        <v>5.00097</v>
      </c>
      <c r="EI160">
        <v>13102</v>
      </c>
      <c r="EJ160">
        <v>12492.36666666667</v>
      </c>
      <c r="EK160">
        <v>37.25</v>
      </c>
      <c r="EL160">
        <v>38.729</v>
      </c>
      <c r="EM160">
        <v>37.625</v>
      </c>
      <c r="EN160">
        <v>38.437</v>
      </c>
      <c r="EO160">
        <v>38.125</v>
      </c>
      <c r="EP160">
        <v>1454.74</v>
      </c>
      <c r="EQ160">
        <v>40.35</v>
      </c>
      <c r="ER160">
        <v>0</v>
      </c>
      <c r="ES160">
        <v>464.4000000953674</v>
      </c>
      <c r="ET160">
        <v>0</v>
      </c>
      <c r="EU160">
        <v>886.1238846153848</v>
      </c>
      <c r="EV160">
        <v>-40.71408549611128</v>
      </c>
      <c r="EW160">
        <v>-593.9589747808477</v>
      </c>
      <c r="EX160">
        <v>13165.04230769231</v>
      </c>
      <c r="EY160">
        <v>15</v>
      </c>
      <c r="EZ160">
        <v>1651864261.1</v>
      </c>
      <c r="FA160" t="s">
        <v>419</v>
      </c>
      <c r="FB160">
        <v>1651864241.6</v>
      </c>
      <c r="FC160">
        <v>1651864261.1</v>
      </c>
      <c r="FD160">
        <v>7</v>
      </c>
      <c r="FE160">
        <v>0.438</v>
      </c>
      <c r="FF160">
        <v>0.002</v>
      </c>
      <c r="FG160">
        <v>-0.988</v>
      </c>
      <c r="FH160">
        <v>-0.066</v>
      </c>
      <c r="FI160">
        <v>400</v>
      </c>
      <c r="FJ160">
        <v>11</v>
      </c>
      <c r="FK160">
        <v>0.05</v>
      </c>
      <c r="FL160">
        <v>0.02</v>
      </c>
      <c r="FM160">
        <v>-8.870045853658537</v>
      </c>
      <c r="FN160">
        <v>4.786655331010451</v>
      </c>
      <c r="FO160">
        <v>0.4758672617339051</v>
      </c>
      <c r="FP160">
        <v>-1</v>
      </c>
      <c r="FQ160">
        <v>4.747418292682926</v>
      </c>
      <c r="FR160">
        <v>-0.5860578397212527</v>
      </c>
      <c r="FS160">
        <v>0.05839215453910917</v>
      </c>
      <c r="FT160">
        <v>-1</v>
      </c>
      <c r="FU160">
        <v>0</v>
      </c>
      <c r="FV160">
        <v>0</v>
      </c>
      <c r="FW160">
        <v>0</v>
      </c>
      <c r="FX160">
        <v>-1</v>
      </c>
      <c r="FY160">
        <v>0</v>
      </c>
      <c r="FZ160">
        <v>0</v>
      </c>
      <c r="GA160" t="s">
        <v>420</v>
      </c>
      <c r="GB160">
        <v>2.98061</v>
      </c>
      <c r="GC160">
        <v>2.70606</v>
      </c>
      <c r="GD160">
        <v>0.131064</v>
      </c>
      <c r="GE160">
        <v>0.130614</v>
      </c>
      <c r="GF160">
        <v>0.087128</v>
      </c>
      <c r="GG160">
        <v>0.06951499999999999</v>
      </c>
      <c r="GH160">
        <v>27422.3</v>
      </c>
      <c r="GI160">
        <v>27497.2</v>
      </c>
      <c r="GJ160">
        <v>29344.2</v>
      </c>
      <c r="GK160">
        <v>29259.2</v>
      </c>
      <c r="GL160">
        <v>35471.6</v>
      </c>
      <c r="GM160">
        <v>36260.4</v>
      </c>
      <c r="GN160">
        <v>41303.9</v>
      </c>
      <c r="GO160">
        <v>41762</v>
      </c>
      <c r="GP160">
        <v>1.95583</v>
      </c>
      <c r="GQ160">
        <v>1.84965</v>
      </c>
      <c r="GR160">
        <v>-0.0200272</v>
      </c>
      <c r="GS160">
        <v>0</v>
      </c>
      <c r="GT160">
        <v>25.3546</v>
      </c>
      <c r="GU160">
        <v>999.9</v>
      </c>
      <c r="GV160">
        <v>31.7</v>
      </c>
      <c r="GW160">
        <v>34.3</v>
      </c>
      <c r="GX160">
        <v>19.1508</v>
      </c>
      <c r="GY160">
        <v>62.7275</v>
      </c>
      <c r="GZ160">
        <v>34.8918</v>
      </c>
      <c r="HA160">
        <v>1</v>
      </c>
      <c r="HB160">
        <v>0.106712</v>
      </c>
      <c r="HC160">
        <v>2.32846</v>
      </c>
      <c r="HD160">
        <v>20.3182</v>
      </c>
      <c r="HE160">
        <v>5.21744</v>
      </c>
      <c r="HF160">
        <v>12.0099</v>
      </c>
      <c r="HG160">
        <v>4.98865</v>
      </c>
      <c r="HH160">
        <v>3.28853</v>
      </c>
      <c r="HI160">
        <v>997.5</v>
      </c>
      <c r="HJ160">
        <v>9545.1</v>
      </c>
      <c r="HK160">
        <v>5139.4</v>
      </c>
      <c r="HL160">
        <v>24.9</v>
      </c>
      <c r="HM160">
        <v>1.86752</v>
      </c>
      <c r="HN160">
        <v>1.86646</v>
      </c>
      <c r="HO160">
        <v>1.866</v>
      </c>
      <c r="HP160">
        <v>1.86586</v>
      </c>
      <c r="HQ160">
        <v>1.86768</v>
      </c>
      <c r="HR160">
        <v>1.87018</v>
      </c>
      <c r="HS160">
        <v>1.86886</v>
      </c>
      <c r="HT160">
        <v>1.87023</v>
      </c>
      <c r="HU160">
        <v>0</v>
      </c>
      <c r="HV160">
        <v>0</v>
      </c>
      <c r="HW160">
        <v>0</v>
      </c>
      <c r="HX160">
        <v>0</v>
      </c>
      <c r="HY160" t="s">
        <v>421</v>
      </c>
      <c r="HZ160" t="s">
        <v>422</v>
      </c>
      <c r="IA160" t="s">
        <v>423</v>
      </c>
      <c r="IB160" t="s">
        <v>423</v>
      </c>
      <c r="IC160" t="s">
        <v>423</v>
      </c>
      <c r="ID160" t="s">
        <v>423</v>
      </c>
      <c r="IE160">
        <v>0</v>
      </c>
      <c r="IF160">
        <v>100</v>
      </c>
      <c r="IG160">
        <v>100</v>
      </c>
      <c r="IH160">
        <v>-1.461</v>
      </c>
      <c r="II160">
        <v>0.0181</v>
      </c>
      <c r="IJ160">
        <v>-0.2164499368582429</v>
      </c>
      <c r="IK160">
        <v>-0.002077099775823331</v>
      </c>
      <c r="IL160">
        <v>4.593143279902166E-07</v>
      </c>
      <c r="IM160">
        <v>-1.865383991892071E-10</v>
      </c>
      <c r="IN160">
        <v>-0.06087574426827484</v>
      </c>
      <c r="IO160">
        <v>-0.01129461987421345</v>
      </c>
      <c r="IP160">
        <v>0.00116580895745559</v>
      </c>
      <c r="IQ160">
        <v>-1.679085872906199E-05</v>
      </c>
      <c r="IR160">
        <v>2</v>
      </c>
      <c r="IS160">
        <v>2290</v>
      </c>
      <c r="IT160">
        <v>0</v>
      </c>
      <c r="IU160">
        <v>32</v>
      </c>
      <c r="IV160">
        <v>7.4</v>
      </c>
      <c r="IW160">
        <v>7.1</v>
      </c>
      <c r="IX160">
        <v>1.50146</v>
      </c>
      <c r="IY160">
        <v>2.22168</v>
      </c>
      <c r="IZ160">
        <v>1.39648</v>
      </c>
      <c r="JA160">
        <v>2.35718</v>
      </c>
      <c r="JB160">
        <v>1.49536</v>
      </c>
      <c r="JC160">
        <v>2.28149</v>
      </c>
      <c r="JD160">
        <v>38.4769</v>
      </c>
      <c r="JE160">
        <v>24.035</v>
      </c>
      <c r="JF160">
        <v>18</v>
      </c>
      <c r="JG160">
        <v>511.321</v>
      </c>
      <c r="JH160">
        <v>428.618</v>
      </c>
      <c r="JI160">
        <v>22.3166</v>
      </c>
      <c r="JJ160">
        <v>28.6732</v>
      </c>
      <c r="JK160">
        <v>30.0005</v>
      </c>
      <c r="JL160">
        <v>28.6374</v>
      </c>
      <c r="JM160">
        <v>28.575</v>
      </c>
      <c r="JN160">
        <v>30.0228</v>
      </c>
      <c r="JO160">
        <v>29.0427</v>
      </c>
      <c r="JP160">
        <v>0</v>
      </c>
      <c r="JQ160">
        <v>22.2851</v>
      </c>
      <c r="JR160">
        <v>661.1420000000001</v>
      </c>
      <c r="JS160">
        <v>13.6592</v>
      </c>
      <c r="JT160">
        <v>100.305</v>
      </c>
      <c r="JU160">
        <v>100.232</v>
      </c>
    </row>
    <row r="161" spans="1:281">
      <c r="A161">
        <v>145</v>
      </c>
      <c r="B161">
        <v>1651864687.6</v>
      </c>
      <c r="C161">
        <v>467</v>
      </c>
      <c r="D161" t="s">
        <v>710</v>
      </c>
      <c r="E161" t="s">
        <v>711</v>
      </c>
      <c r="F161">
        <v>2</v>
      </c>
      <c r="G161" t="s">
        <v>413</v>
      </c>
      <c r="H161" t="s">
        <v>414</v>
      </c>
      <c r="I161">
        <v>1651864686.225</v>
      </c>
      <c r="J161">
        <f>(K161)/1000</f>
        <v>0</v>
      </c>
      <c r="K161">
        <f>IF(CZ161, AN161, AH161)</f>
        <v>0</v>
      </c>
      <c r="L161">
        <f>IF(CZ161, AI161, AG161)</f>
        <v>0</v>
      </c>
      <c r="M161">
        <f>DB161 - IF(AU161&gt;1, L161*CV161*100.0/(AW161*DP161), 0)</f>
        <v>0</v>
      </c>
      <c r="N161">
        <f>((T161-J161/2)*M161-L161)/(T161+J161/2)</f>
        <v>0</v>
      </c>
      <c r="O161">
        <f>N161*(DI161+DJ161)/1000.0</f>
        <v>0</v>
      </c>
      <c r="P161">
        <f>(DB161 - IF(AU161&gt;1, L161*CV161*100.0/(AW161*DP161), 0))*(DI161+DJ161)/1000.0</f>
        <v>0</v>
      </c>
      <c r="Q161">
        <f>2.0/((1/S161-1/R161)+SIGN(S161)*SQRT((1/S161-1/R161)*(1/S161-1/R161) + 4*CW161/((CW161+1)*(CW161+1))*(2*1/S161*1/R161-1/R161*1/R161)))</f>
        <v>0</v>
      </c>
      <c r="R161">
        <f>IF(LEFT(CX161,1)&lt;&gt;"0",IF(LEFT(CX161,1)="1",3.0,CY161),$D$5+$E$5*(DP161*DI161/($K$5*1000))+$F$5*(DP161*DI161/($K$5*1000))*MAX(MIN(CV161,$J$5),$I$5)*MAX(MIN(CV161,$J$5),$I$5)+$G$5*MAX(MIN(CV161,$J$5),$I$5)*(DP161*DI161/($K$5*1000))+$H$5*(DP161*DI161/($K$5*1000))*(DP161*DI161/($K$5*1000)))</f>
        <v>0</v>
      </c>
      <c r="S161">
        <f>J161*(1000-(1000*0.61365*exp(17.502*W161/(240.97+W161))/(DI161+DJ161)+DD161)/2)/(1000*0.61365*exp(17.502*W161/(240.97+W161))/(DI161+DJ161)-DD161)</f>
        <v>0</v>
      </c>
      <c r="T161">
        <f>1/((CW161+1)/(Q161/1.6)+1/(R161/1.37)) + CW161/((CW161+1)/(Q161/1.6) + CW161/(R161/1.37))</f>
        <v>0</v>
      </c>
      <c r="U161">
        <f>(CR161*CU161)</f>
        <v>0</v>
      </c>
      <c r="V161">
        <f>(DK161+(U161+2*0.95*5.67E-8*(((DK161+$B$7)+273)^4-(DK161+273)^4)-44100*J161)/(1.84*29.3*R161+8*0.95*5.67E-8*(DK161+273)^3))</f>
        <v>0</v>
      </c>
      <c r="W161">
        <f>($C$7*DL161+$D$7*DM161+$E$7*V161)</f>
        <v>0</v>
      </c>
      <c r="X161">
        <f>0.61365*exp(17.502*W161/(240.97+W161))</f>
        <v>0</v>
      </c>
      <c r="Y161">
        <f>(Z161/AA161*100)</f>
        <v>0</v>
      </c>
      <c r="Z161">
        <f>DD161*(DI161+DJ161)/1000</f>
        <v>0</v>
      </c>
      <c r="AA161">
        <f>0.61365*exp(17.502*DK161/(240.97+DK161))</f>
        <v>0</v>
      </c>
      <c r="AB161">
        <f>(X161-DD161*(DI161+DJ161)/1000)</f>
        <v>0</v>
      </c>
      <c r="AC161">
        <f>(-J161*44100)</f>
        <v>0</v>
      </c>
      <c r="AD161">
        <f>2*29.3*R161*0.92*(DK161-W161)</f>
        <v>0</v>
      </c>
      <c r="AE161">
        <f>2*0.95*5.67E-8*(((DK161+$B$7)+273)^4-(W161+273)^4)</f>
        <v>0</v>
      </c>
      <c r="AF161">
        <f>U161+AE161+AC161+AD161</f>
        <v>0</v>
      </c>
      <c r="AG161">
        <f>DH161*AU161*(DC161-DB161*(1000-AU161*DE161)/(1000-AU161*DD161))/(100*CV161)</f>
        <v>0</v>
      </c>
      <c r="AH161">
        <f>1000*DH161*AU161*(DD161-DE161)/(100*CV161*(1000-AU161*DD161))</f>
        <v>0</v>
      </c>
      <c r="AI161">
        <f>(AJ161 - AK161 - DI161*1E3/(8.314*(DK161+273.15)) * AM161/DH161 * AL161) * DH161/(100*CV161) * (1000 - DE161)/1000</f>
        <v>0</v>
      </c>
      <c r="AJ161">
        <v>689.8166647139897</v>
      </c>
      <c r="AK161">
        <v>677.3633636363635</v>
      </c>
      <c r="AL161">
        <v>-3.32435814549662</v>
      </c>
      <c r="AM161">
        <v>66.38192812717227</v>
      </c>
      <c r="AN161">
        <f>(AP161 - AO161 + DI161*1E3/(8.314*(DK161+273.15)) * AR161/DH161 * AQ161) * DH161/(100*CV161) * 1000/(1000 - AP161)</f>
        <v>0</v>
      </c>
      <c r="AO161">
        <v>13.52164366457651</v>
      </c>
      <c r="AP161">
        <v>18.19844911764706</v>
      </c>
      <c r="AQ161">
        <v>-8.751064226985189E-06</v>
      </c>
      <c r="AR161">
        <v>80.47224507511959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MAX(0,($B$13+$C$13*DP161)/(1+$D$13*DP161)*DI161/(DK161+273)*$E$13)</f>
        <v>0</v>
      </c>
      <c r="AX161" t="s">
        <v>417</v>
      </c>
      <c r="AY161" t="s">
        <v>417</v>
      </c>
      <c r="AZ161">
        <v>0</v>
      </c>
      <c r="BA161">
        <v>0</v>
      </c>
      <c r="BB161">
        <f>1-AZ161/BA161</f>
        <v>0</v>
      </c>
      <c r="BC161">
        <v>0</v>
      </c>
      <c r="BD161" t="s">
        <v>417</v>
      </c>
      <c r="BE161" t="s">
        <v>417</v>
      </c>
      <c r="BF161">
        <v>0</v>
      </c>
      <c r="BG161">
        <v>0</v>
      </c>
      <c r="BH161">
        <f>1-BF161/BG161</f>
        <v>0</v>
      </c>
      <c r="BI161">
        <v>0.5</v>
      </c>
      <c r="BJ161">
        <f>CS161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417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1248</v>
      </c>
      <c r="CA161">
        <v>300</v>
      </c>
      <c r="CB161">
        <v>300</v>
      </c>
      <c r="CC161">
        <v>300</v>
      </c>
      <c r="CD161">
        <v>10442</v>
      </c>
      <c r="CE161">
        <v>1293.69</v>
      </c>
      <c r="CF161">
        <v>-0.00735246</v>
      </c>
      <c r="CG161">
        <v>0.5</v>
      </c>
      <c r="CH161" t="s">
        <v>417</v>
      </c>
      <c r="CI161" t="s">
        <v>417</v>
      </c>
      <c r="CJ161" t="s">
        <v>417</v>
      </c>
      <c r="CK161" t="s">
        <v>417</v>
      </c>
      <c r="CL161" t="s">
        <v>417</v>
      </c>
      <c r="CM161" t="s">
        <v>417</v>
      </c>
      <c r="CN161" t="s">
        <v>417</v>
      </c>
      <c r="CO161" t="s">
        <v>417</v>
      </c>
      <c r="CP161" t="s">
        <v>417</v>
      </c>
      <c r="CQ161" t="s">
        <v>417</v>
      </c>
      <c r="CR161">
        <f>$B$11*DQ161+$C$11*DR161+$F$11*EC161*(1-EF161)</f>
        <v>0</v>
      </c>
      <c r="CS161">
        <f>CR161*CT161</f>
        <v>0</v>
      </c>
      <c r="CT161">
        <f>($B$11*$D$9+$C$11*$D$9+$F$11*((EP161+EH161)/MAX(EP161+EH161+EQ161, 0.1)*$I$9+EQ161/MAX(EP161+EH161+EQ161, 0.1)*$J$9))/($B$11+$C$11+$F$11)</f>
        <v>0</v>
      </c>
      <c r="CU161">
        <f>($B$11*$K$9+$C$11*$K$9+$F$11*((EP161+EH161)/MAX(EP161+EH161+EQ161, 0.1)*$P$9+EQ161/MAX(EP161+EH161+EQ161, 0.1)*$Q$9))/($B$11+$C$11+$F$11)</f>
        <v>0</v>
      </c>
      <c r="CV161">
        <v>6</v>
      </c>
      <c r="CW161">
        <v>0.5</v>
      </c>
      <c r="CX161" t="s">
        <v>418</v>
      </c>
      <c r="CY161">
        <v>2</v>
      </c>
      <c r="CZ161" t="b">
        <v>1</v>
      </c>
      <c r="DA161">
        <v>1651864686.225</v>
      </c>
      <c r="DB161">
        <v>667.8975</v>
      </c>
      <c r="DC161">
        <v>675.89275</v>
      </c>
      <c r="DD161">
        <v>18.194825</v>
      </c>
      <c r="DE161">
        <v>13.576875</v>
      </c>
      <c r="DF161">
        <v>669.3545</v>
      </c>
      <c r="DG161">
        <v>18.17665</v>
      </c>
      <c r="DH161">
        <v>500.03975</v>
      </c>
      <c r="DI161">
        <v>89.93792500000001</v>
      </c>
      <c r="DJ161">
        <v>0.099843375</v>
      </c>
      <c r="DK161">
        <v>25.68115</v>
      </c>
      <c r="DL161">
        <v>25.026825</v>
      </c>
      <c r="DM161">
        <v>999.9</v>
      </c>
      <c r="DN161">
        <v>0</v>
      </c>
      <c r="DO161">
        <v>0</v>
      </c>
      <c r="DP161">
        <v>10008.75</v>
      </c>
      <c r="DQ161">
        <v>0</v>
      </c>
      <c r="DR161">
        <v>3.23193</v>
      </c>
      <c r="DS161">
        <v>-7.994857499999999</v>
      </c>
      <c r="DT161">
        <v>680.2752499999999</v>
      </c>
      <c r="DU161">
        <v>685.1955</v>
      </c>
      <c r="DV161">
        <v>4.617952499999999</v>
      </c>
      <c r="DW161">
        <v>675.89275</v>
      </c>
      <c r="DX161">
        <v>13.576875</v>
      </c>
      <c r="DY161">
        <v>1.6364025</v>
      </c>
      <c r="DZ161">
        <v>1.221075</v>
      </c>
      <c r="EA161">
        <v>14.305925</v>
      </c>
      <c r="EB161">
        <v>9.860992500000002</v>
      </c>
      <c r="EC161">
        <v>1499.9725</v>
      </c>
      <c r="ED161">
        <v>0.97300325</v>
      </c>
      <c r="EE161">
        <v>0.026996825</v>
      </c>
      <c r="EF161">
        <v>0</v>
      </c>
      <c r="EG161">
        <v>880.7095000000002</v>
      </c>
      <c r="EH161">
        <v>5.00097</v>
      </c>
      <c r="EI161">
        <v>13083.7</v>
      </c>
      <c r="EJ161">
        <v>12491.375</v>
      </c>
      <c r="EK161">
        <v>37.25</v>
      </c>
      <c r="EL161">
        <v>38.73425</v>
      </c>
      <c r="EM161">
        <v>37.625</v>
      </c>
      <c r="EN161">
        <v>38.437</v>
      </c>
      <c r="EO161">
        <v>38.125</v>
      </c>
      <c r="EP161">
        <v>1454.615</v>
      </c>
      <c r="EQ161">
        <v>40.3575</v>
      </c>
      <c r="ER161">
        <v>0</v>
      </c>
      <c r="ES161">
        <v>466.2000000476837</v>
      </c>
      <c r="ET161">
        <v>0</v>
      </c>
      <c r="EU161">
        <v>884.7373600000001</v>
      </c>
      <c r="EV161">
        <v>-39.96038455070433</v>
      </c>
      <c r="EW161">
        <v>-593.1999990665518</v>
      </c>
      <c r="EX161">
        <v>13144.344</v>
      </c>
      <c r="EY161">
        <v>15</v>
      </c>
      <c r="EZ161">
        <v>1651864261.1</v>
      </c>
      <c r="FA161" t="s">
        <v>419</v>
      </c>
      <c r="FB161">
        <v>1651864241.6</v>
      </c>
      <c r="FC161">
        <v>1651864261.1</v>
      </c>
      <c r="FD161">
        <v>7</v>
      </c>
      <c r="FE161">
        <v>0.438</v>
      </c>
      <c r="FF161">
        <v>0.002</v>
      </c>
      <c r="FG161">
        <v>-0.988</v>
      </c>
      <c r="FH161">
        <v>-0.066</v>
      </c>
      <c r="FI161">
        <v>400</v>
      </c>
      <c r="FJ161">
        <v>11</v>
      </c>
      <c r="FK161">
        <v>0.05</v>
      </c>
      <c r="FL161">
        <v>0.02</v>
      </c>
      <c r="FM161">
        <v>-8.6652985</v>
      </c>
      <c r="FN161">
        <v>4.94177380863039</v>
      </c>
      <c r="FO161">
        <v>0.4784303887534215</v>
      </c>
      <c r="FP161">
        <v>-1</v>
      </c>
      <c r="FQ161">
        <v>4.71878875</v>
      </c>
      <c r="FR161">
        <v>-0.6233566604127715</v>
      </c>
      <c r="FS161">
        <v>0.0606819571696357</v>
      </c>
      <c r="FT161">
        <v>-1</v>
      </c>
      <c r="FU161">
        <v>0</v>
      </c>
      <c r="FV161">
        <v>0</v>
      </c>
      <c r="FW161">
        <v>0</v>
      </c>
      <c r="FX161">
        <v>-1</v>
      </c>
      <c r="FY161">
        <v>0</v>
      </c>
      <c r="FZ161">
        <v>0</v>
      </c>
      <c r="GA161" t="s">
        <v>420</v>
      </c>
      <c r="GB161">
        <v>2.98032</v>
      </c>
      <c r="GC161">
        <v>2.70618</v>
      </c>
      <c r="GD161">
        <v>0.130183</v>
      </c>
      <c r="GE161">
        <v>0.129769</v>
      </c>
      <c r="GF161">
        <v>0.0871497</v>
      </c>
      <c r="GG161">
        <v>0.0695906</v>
      </c>
      <c r="GH161">
        <v>27450</v>
      </c>
      <c r="GI161">
        <v>27523.8</v>
      </c>
      <c r="GJ161">
        <v>29344.1</v>
      </c>
      <c r="GK161">
        <v>29259</v>
      </c>
      <c r="GL161">
        <v>35470.5</v>
      </c>
      <c r="GM161">
        <v>36257.1</v>
      </c>
      <c r="GN161">
        <v>41303.7</v>
      </c>
      <c r="GO161">
        <v>41761.6</v>
      </c>
      <c r="GP161">
        <v>1.95562</v>
      </c>
      <c r="GQ161">
        <v>1.84973</v>
      </c>
      <c r="GR161">
        <v>-0.0199825</v>
      </c>
      <c r="GS161">
        <v>0</v>
      </c>
      <c r="GT161">
        <v>25.3538</v>
      </c>
      <c r="GU161">
        <v>999.9</v>
      </c>
      <c r="GV161">
        <v>31.7</v>
      </c>
      <c r="GW161">
        <v>34.3</v>
      </c>
      <c r="GX161">
        <v>19.152</v>
      </c>
      <c r="GY161">
        <v>62.6175</v>
      </c>
      <c r="GZ161">
        <v>35.0881</v>
      </c>
      <c r="HA161">
        <v>1</v>
      </c>
      <c r="HB161">
        <v>0.106989</v>
      </c>
      <c r="HC161">
        <v>2.36709</v>
      </c>
      <c r="HD161">
        <v>20.3176</v>
      </c>
      <c r="HE161">
        <v>5.21789</v>
      </c>
      <c r="HF161">
        <v>12.0099</v>
      </c>
      <c r="HG161">
        <v>4.989</v>
      </c>
      <c r="HH161">
        <v>3.28853</v>
      </c>
      <c r="HI161">
        <v>997.5</v>
      </c>
      <c r="HJ161">
        <v>9545.1</v>
      </c>
      <c r="HK161">
        <v>5139.4</v>
      </c>
      <c r="HL161">
        <v>24.9</v>
      </c>
      <c r="HM161">
        <v>1.86752</v>
      </c>
      <c r="HN161">
        <v>1.86646</v>
      </c>
      <c r="HO161">
        <v>1.866</v>
      </c>
      <c r="HP161">
        <v>1.86586</v>
      </c>
      <c r="HQ161">
        <v>1.86768</v>
      </c>
      <c r="HR161">
        <v>1.8702</v>
      </c>
      <c r="HS161">
        <v>1.86888</v>
      </c>
      <c r="HT161">
        <v>1.87024</v>
      </c>
      <c r="HU161">
        <v>0</v>
      </c>
      <c r="HV161">
        <v>0</v>
      </c>
      <c r="HW161">
        <v>0</v>
      </c>
      <c r="HX161">
        <v>0</v>
      </c>
      <c r="HY161" t="s">
        <v>421</v>
      </c>
      <c r="HZ161" t="s">
        <v>422</v>
      </c>
      <c r="IA161" t="s">
        <v>423</v>
      </c>
      <c r="IB161" t="s">
        <v>423</v>
      </c>
      <c r="IC161" t="s">
        <v>423</v>
      </c>
      <c r="ID161" t="s">
        <v>423</v>
      </c>
      <c r="IE161">
        <v>0</v>
      </c>
      <c r="IF161">
        <v>100</v>
      </c>
      <c r="IG161">
        <v>100</v>
      </c>
      <c r="IH161">
        <v>-1.45</v>
      </c>
      <c r="II161">
        <v>0.0183</v>
      </c>
      <c r="IJ161">
        <v>-0.2164499368582429</v>
      </c>
      <c r="IK161">
        <v>-0.002077099775823331</v>
      </c>
      <c r="IL161">
        <v>4.593143279902166E-07</v>
      </c>
      <c r="IM161">
        <v>-1.865383991892071E-10</v>
      </c>
      <c r="IN161">
        <v>-0.06087574426827484</v>
      </c>
      <c r="IO161">
        <v>-0.01129461987421345</v>
      </c>
      <c r="IP161">
        <v>0.00116580895745559</v>
      </c>
      <c r="IQ161">
        <v>-1.679085872906199E-05</v>
      </c>
      <c r="IR161">
        <v>2</v>
      </c>
      <c r="IS161">
        <v>2290</v>
      </c>
      <c r="IT161">
        <v>0</v>
      </c>
      <c r="IU161">
        <v>32</v>
      </c>
      <c r="IV161">
        <v>7.4</v>
      </c>
      <c r="IW161">
        <v>7.1</v>
      </c>
      <c r="IX161">
        <v>1.49048</v>
      </c>
      <c r="IY161">
        <v>2.21436</v>
      </c>
      <c r="IZ161">
        <v>1.39648</v>
      </c>
      <c r="JA161">
        <v>2.35596</v>
      </c>
      <c r="JB161">
        <v>1.49536</v>
      </c>
      <c r="JC161">
        <v>2.3645</v>
      </c>
      <c r="JD161">
        <v>38.4769</v>
      </c>
      <c r="JE161">
        <v>24.035</v>
      </c>
      <c r="JF161">
        <v>18</v>
      </c>
      <c r="JG161">
        <v>511.19</v>
      </c>
      <c r="JH161">
        <v>428.663</v>
      </c>
      <c r="JI161">
        <v>22.3084</v>
      </c>
      <c r="JJ161">
        <v>28.6732</v>
      </c>
      <c r="JK161">
        <v>30.0006</v>
      </c>
      <c r="JL161">
        <v>28.6374</v>
      </c>
      <c r="JM161">
        <v>28.575</v>
      </c>
      <c r="JN161">
        <v>29.7914</v>
      </c>
      <c r="JO161">
        <v>29.0427</v>
      </c>
      <c r="JP161">
        <v>0</v>
      </c>
      <c r="JQ161">
        <v>22.2851</v>
      </c>
      <c r="JR161">
        <v>654.463</v>
      </c>
      <c r="JS161">
        <v>13.6788</v>
      </c>
      <c r="JT161">
        <v>100.305</v>
      </c>
      <c r="JU161">
        <v>100.231</v>
      </c>
    </row>
    <row r="162" spans="1:281">
      <c r="A162">
        <v>146</v>
      </c>
      <c r="B162">
        <v>1651864689.6</v>
      </c>
      <c r="C162">
        <v>469</v>
      </c>
      <c r="D162" t="s">
        <v>712</v>
      </c>
      <c r="E162" t="s">
        <v>713</v>
      </c>
      <c r="F162">
        <v>2</v>
      </c>
      <c r="G162" t="s">
        <v>413</v>
      </c>
      <c r="H162" t="s">
        <v>414</v>
      </c>
      <c r="I162">
        <v>1651864688.6</v>
      </c>
      <c r="J162">
        <f>(K162)/1000</f>
        <v>0</v>
      </c>
      <c r="K162">
        <f>IF(CZ162, AN162, AH162)</f>
        <v>0</v>
      </c>
      <c r="L162">
        <f>IF(CZ162, AI162, AG162)</f>
        <v>0</v>
      </c>
      <c r="M162">
        <f>DB162 - IF(AU162&gt;1, L162*CV162*100.0/(AW162*DP162), 0)</f>
        <v>0</v>
      </c>
      <c r="N162">
        <f>((T162-J162/2)*M162-L162)/(T162+J162/2)</f>
        <v>0</v>
      </c>
      <c r="O162">
        <f>N162*(DI162+DJ162)/1000.0</f>
        <v>0</v>
      </c>
      <c r="P162">
        <f>(DB162 - IF(AU162&gt;1, L162*CV162*100.0/(AW162*DP162), 0))*(DI162+DJ162)/1000.0</f>
        <v>0</v>
      </c>
      <c r="Q162">
        <f>2.0/((1/S162-1/R162)+SIGN(S162)*SQRT((1/S162-1/R162)*(1/S162-1/R162) + 4*CW162/((CW162+1)*(CW162+1))*(2*1/S162*1/R162-1/R162*1/R162)))</f>
        <v>0</v>
      </c>
      <c r="R162">
        <f>IF(LEFT(CX162,1)&lt;&gt;"0",IF(LEFT(CX162,1)="1",3.0,CY162),$D$5+$E$5*(DP162*DI162/($K$5*1000))+$F$5*(DP162*DI162/($K$5*1000))*MAX(MIN(CV162,$J$5),$I$5)*MAX(MIN(CV162,$J$5),$I$5)+$G$5*MAX(MIN(CV162,$J$5),$I$5)*(DP162*DI162/($K$5*1000))+$H$5*(DP162*DI162/($K$5*1000))*(DP162*DI162/($K$5*1000)))</f>
        <v>0</v>
      </c>
      <c r="S162">
        <f>J162*(1000-(1000*0.61365*exp(17.502*W162/(240.97+W162))/(DI162+DJ162)+DD162)/2)/(1000*0.61365*exp(17.502*W162/(240.97+W162))/(DI162+DJ162)-DD162)</f>
        <v>0</v>
      </c>
      <c r="T162">
        <f>1/((CW162+1)/(Q162/1.6)+1/(R162/1.37)) + CW162/((CW162+1)/(Q162/1.6) + CW162/(R162/1.37))</f>
        <v>0</v>
      </c>
      <c r="U162">
        <f>(CR162*CU162)</f>
        <v>0</v>
      </c>
      <c r="V162">
        <f>(DK162+(U162+2*0.95*5.67E-8*(((DK162+$B$7)+273)^4-(DK162+273)^4)-44100*J162)/(1.84*29.3*R162+8*0.95*5.67E-8*(DK162+273)^3))</f>
        <v>0</v>
      </c>
      <c r="W162">
        <f>($C$7*DL162+$D$7*DM162+$E$7*V162)</f>
        <v>0</v>
      </c>
      <c r="X162">
        <f>0.61365*exp(17.502*W162/(240.97+W162))</f>
        <v>0</v>
      </c>
      <c r="Y162">
        <f>(Z162/AA162*100)</f>
        <v>0</v>
      </c>
      <c r="Z162">
        <f>DD162*(DI162+DJ162)/1000</f>
        <v>0</v>
      </c>
      <c r="AA162">
        <f>0.61365*exp(17.502*DK162/(240.97+DK162))</f>
        <v>0</v>
      </c>
      <c r="AB162">
        <f>(X162-DD162*(DI162+DJ162)/1000)</f>
        <v>0</v>
      </c>
      <c r="AC162">
        <f>(-J162*44100)</f>
        <v>0</v>
      </c>
      <c r="AD162">
        <f>2*29.3*R162*0.92*(DK162-W162)</f>
        <v>0</v>
      </c>
      <c r="AE162">
        <f>2*0.95*5.67E-8*(((DK162+$B$7)+273)^4-(W162+273)^4)</f>
        <v>0</v>
      </c>
      <c r="AF162">
        <f>U162+AE162+AC162+AD162</f>
        <v>0</v>
      </c>
      <c r="AG162">
        <f>DH162*AU162*(DC162-DB162*(1000-AU162*DE162)/(1000-AU162*DD162))/(100*CV162)</f>
        <v>0</v>
      </c>
      <c r="AH162">
        <f>1000*DH162*AU162*(DD162-DE162)/(100*CV162*(1000-AU162*DD162))</f>
        <v>0</v>
      </c>
      <c r="AI162">
        <f>(AJ162 - AK162 - DI162*1E3/(8.314*(DK162+273.15)) * AM162/DH162 * AL162) * DH162/(100*CV162) * (1000 - DE162)/1000</f>
        <v>0</v>
      </c>
      <c r="AJ162">
        <v>683.2172242684095</v>
      </c>
      <c r="AK162">
        <v>670.8458303030301</v>
      </c>
      <c r="AL162">
        <v>-3.283614779260028</v>
      </c>
      <c r="AM162">
        <v>66.38192812717227</v>
      </c>
      <c r="AN162">
        <f>(AP162 - AO162 + DI162*1E3/(8.314*(DK162+273.15)) * AR162/DH162 * AQ162) * DH162/(100*CV162) * 1000/(1000 - AP162)</f>
        <v>0</v>
      </c>
      <c r="AO162">
        <v>13.55972478658176</v>
      </c>
      <c r="AP162">
        <v>18.20570735294118</v>
      </c>
      <c r="AQ162">
        <v>1.849712712529382E-05</v>
      </c>
      <c r="AR162">
        <v>80.47224507511959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MAX(0,($B$13+$C$13*DP162)/(1+$D$13*DP162)*DI162/(DK162+273)*$E$13)</f>
        <v>0</v>
      </c>
      <c r="AX162" t="s">
        <v>417</v>
      </c>
      <c r="AY162" t="s">
        <v>417</v>
      </c>
      <c r="AZ162">
        <v>0</v>
      </c>
      <c r="BA162">
        <v>0</v>
      </c>
      <c r="BB162">
        <f>1-AZ162/BA162</f>
        <v>0</v>
      </c>
      <c r="BC162">
        <v>0</v>
      </c>
      <c r="BD162" t="s">
        <v>417</v>
      </c>
      <c r="BE162" t="s">
        <v>417</v>
      </c>
      <c r="BF162">
        <v>0</v>
      </c>
      <c r="BG162">
        <v>0</v>
      </c>
      <c r="BH162">
        <f>1-BF162/BG162</f>
        <v>0</v>
      </c>
      <c r="BI162">
        <v>0.5</v>
      </c>
      <c r="BJ162">
        <f>CS162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417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1248</v>
      </c>
      <c r="CA162">
        <v>300</v>
      </c>
      <c r="CB162">
        <v>300</v>
      </c>
      <c r="CC162">
        <v>300</v>
      </c>
      <c r="CD162">
        <v>10442</v>
      </c>
      <c r="CE162">
        <v>1293.69</v>
      </c>
      <c r="CF162">
        <v>-0.00735246</v>
      </c>
      <c r="CG162">
        <v>0.5</v>
      </c>
      <c r="CH162" t="s">
        <v>417</v>
      </c>
      <c r="CI162" t="s">
        <v>417</v>
      </c>
      <c r="CJ162" t="s">
        <v>417</v>
      </c>
      <c r="CK162" t="s">
        <v>417</v>
      </c>
      <c r="CL162" t="s">
        <v>417</v>
      </c>
      <c r="CM162" t="s">
        <v>417</v>
      </c>
      <c r="CN162" t="s">
        <v>417</v>
      </c>
      <c r="CO162" t="s">
        <v>417</v>
      </c>
      <c r="CP162" t="s">
        <v>417</v>
      </c>
      <c r="CQ162" t="s">
        <v>417</v>
      </c>
      <c r="CR162">
        <f>$B$11*DQ162+$C$11*DR162+$F$11*EC162*(1-EF162)</f>
        <v>0</v>
      </c>
      <c r="CS162">
        <f>CR162*CT162</f>
        <v>0</v>
      </c>
      <c r="CT162">
        <f>($B$11*$D$9+$C$11*$D$9+$F$11*((EP162+EH162)/MAX(EP162+EH162+EQ162, 0.1)*$I$9+EQ162/MAX(EP162+EH162+EQ162, 0.1)*$J$9))/($B$11+$C$11+$F$11)</f>
        <v>0</v>
      </c>
      <c r="CU162">
        <f>($B$11*$K$9+$C$11*$K$9+$F$11*((EP162+EH162)/MAX(EP162+EH162+EQ162, 0.1)*$P$9+EQ162/MAX(EP162+EH162+EQ162, 0.1)*$Q$9))/($B$11+$C$11+$F$11)</f>
        <v>0</v>
      </c>
      <c r="CV162">
        <v>6</v>
      </c>
      <c r="CW162">
        <v>0.5</v>
      </c>
      <c r="CX162" t="s">
        <v>418</v>
      </c>
      <c r="CY162">
        <v>2</v>
      </c>
      <c r="CZ162" t="b">
        <v>1</v>
      </c>
      <c r="DA162">
        <v>1651864688.6</v>
      </c>
      <c r="DB162">
        <v>660.2286666666668</v>
      </c>
      <c r="DC162">
        <v>668.449</v>
      </c>
      <c r="DD162">
        <v>18.2034</v>
      </c>
      <c r="DE162">
        <v>13.5928</v>
      </c>
      <c r="DF162">
        <v>661.6723333333333</v>
      </c>
      <c r="DG162">
        <v>18.1851</v>
      </c>
      <c r="DH162">
        <v>499.9973333333333</v>
      </c>
      <c r="DI162">
        <v>89.93643333333334</v>
      </c>
      <c r="DJ162">
        <v>0.09978756666666666</v>
      </c>
      <c r="DK162">
        <v>25.68173333333333</v>
      </c>
      <c r="DL162">
        <v>25.0249</v>
      </c>
      <c r="DM162">
        <v>999.9</v>
      </c>
      <c r="DN162">
        <v>0</v>
      </c>
      <c r="DO162">
        <v>0</v>
      </c>
      <c r="DP162">
        <v>10027.46666666667</v>
      </c>
      <c r="DQ162">
        <v>0</v>
      </c>
      <c r="DR162">
        <v>3.23193</v>
      </c>
      <c r="DS162">
        <v>-8.220093333333333</v>
      </c>
      <c r="DT162">
        <v>672.4700000000001</v>
      </c>
      <c r="DU162">
        <v>677.66</v>
      </c>
      <c r="DV162">
        <v>4.610606666666667</v>
      </c>
      <c r="DW162">
        <v>668.449</v>
      </c>
      <c r="DX162">
        <v>13.5928</v>
      </c>
      <c r="DY162">
        <v>1.63715</v>
      </c>
      <c r="DZ162">
        <v>1.22249</v>
      </c>
      <c r="EA162">
        <v>14.31296666666667</v>
      </c>
      <c r="EB162">
        <v>9.878273333333334</v>
      </c>
      <c r="EC162">
        <v>1500</v>
      </c>
      <c r="ED162">
        <v>0.973002</v>
      </c>
      <c r="EE162">
        <v>0.02699806666666667</v>
      </c>
      <c r="EF162">
        <v>0</v>
      </c>
      <c r="EG162">
        <v>879.073</v>
      </c>
      <c r="EH162">
        <v>5.00097</v>
      </c>
      <c r="EI162">
        <v>13061.8</v>
      </c>
      <c r="EJ162">
        <v>12491.6</v>
      </c>
      <c r="EK162">
        <v>37.25</v>
      </c>
      <c r="EL162">
        <v>38.708</v>
      </c>
      <c r="EM162">
        <v>37.625</v>
      </c>
      <c r="EN162">
        <v>38.437</v>
      </c>
      <c r="EO162">
        <v>38.125</v>
      </c>
      <c r="EP162">
        <v>1454.64</v>
      </c>
      <c r="EQ162">
        <v>40.36000000000001</v>
      </c>
      <c r="ER162">
        <v>0</v>
      </c>
      <c r="ES162">
        <v>468.6000001430511</v>
      </c>
      <c r="ET162">
        <v>0</v>
      </c>
      <c r="EU162">
        <v>883.1367600000002</v>
      </c>
      <c r="EV162">
        <v>-40.52369224804483</v>
      </c>
      <c r="EW162">
        <v>-590.4923068116806</v>
      </c>
      <c r="EX162">
        <v>13120.58</v>
      </c>
      <c r="EY162">
        <v>15</v>
      </c>
      <c r="EZ162">
        <v>1651864261.1</v>
      </c>
      <c r="FA162" t="s">
        <v>419</v>
      </c>
      <c r="FB162">
        <v>1651864241.6</v>
      </c>
      <c r="FC162">
        <v>1651864261.1</v>
      </c>
      <c r="FD162">
        <v>7</v>
      </c>
      <c r="FE162">
        <v>0.438</v>
      </c>
      <c r="FF162">
        <v>0.002</v>
      </c>
      <c r="FG162">
        <v>-0.988</v>
      </c>
      <c r="FH162">
        <v>-0.066</v>
      </c>
      <c r="FI162">
        <v>400</v>
      </c>
      <c r="FJ162">
        <v>11</v>
      </c>
      <c r="FK162">
        <v>0.05</v>
      </c>
      <c r="FL162">
        <v>0.02</v>
      </c>
      <c r="FM162">
        <v>-8.587653902439024</v>
      </c>
      <c r="FN162">
        <v>4.449005853658515</v>
      </c>
      <c r="FO162">
        <v>0.4505530245228881</v>
      </c>
      <c r="FP162">
        <v>-1</v>
      </c>
      <c r="FQ162">
        <v>4.705899512195121</v>
      </c>
      <c r="FR162">
        <v>-0.6167531707317063</v>
      </c>
      <c r="FS162">
        <v>0.06151637612432453</v>
      </c>
      <c r="FT162">
        <v>-1</v>
      </c>
      <c r="FU162">
        <v>0</v>
      </c>
      <c r="FV162">
        <v>0</v>
      </c>
      <c r="FW162">
        <v>0</v>
      </c>
      <c r="FX162">
        <v>-1</v>
      </c>
      <c r="FY162">
        <v>0</v>
      </c>
      <c r="FZ162">
        <v>0</v>
      </c>
      <c r="GA162" t="s">
        <v>420</v>
      </c>
      <c r="GB162">
        <v>2.9804</v>
      </c>
      <c r="GC162">
        <v>2.70629</v>
      </c>
      <c r="GD162">
        <v>0.129315</v>
      </c>
      <c r="GE162">
        <v>0.128948</v>
      </c>
      <c r="GF162">
        <v>0.08716939999999999</v>
      </c>
      <c r="GG162">
        <v>0.06960959999999999</v>
      </c>
      <c r="GH162">
        <v>27477.6</v>
      </c>
      <c r="GI162">
        <v>27549.4</v>
      </c>
      <c r="GJ162">
        <v>29344.4</v>
      </c>
      <c r="GK162">
        <v>29258.7</v>
      </c>
      <c r="GL162">
        <v>35470</v>
      </c>
      <c r="GM162">
        <v>36256</v>
      </c>
      <c r="GN162">
        <v>41304</v>
      </c>
      <c r="GO162">
        <v>41761.2</v>
      </c>
      <c r="GP162">
        <v>1.95565</v>
      </c>
      <c r="GQ162">
        <v>1.84985</v>
      </c>
      <c r="GR162">
        <v>-0.0200272</v>
      </c>
      <c r="GS162">
        <v>0</v>
      </c>
      <c r="GT162">
        <v>25.3528</v>
      </c>
      <c r="GU162">
        <v>999.9</v>
      </c>
      <c r="GV162">
        <v>31.7</v>
      </c>
      <c r="GW162">
        <v>34.3</v>
      </c>
      <c r="GX162">
        <v>19.1509</v>
      </c>
      <c r="GY162">
        <v>62.5675</v>
      </c>
      <c r="GZ162">
        <v>34.7877</v>
      </c>
      <c r="HA162">
        <v>1</v>
      </c>
      <c r="HB162">
        <v>0.107152</v>
      </c>
      <c r="HC162">
        <v>2.38266</v>
      </c>
      <c r="HD162">
        <v>20.3169</v>
      </c>
      <c r="HE162">
        <v>5.21804</v>
      </c>
      <c r="HF162">
        <v>12.0099</v>
      </c>
      <c r="HG162">
        <v>4.98915</v>
      </c>
      <c r="HH162">
        <v>3.2885</v>
      </c>
      <c r="HI162">
        <v>997.7</v>
      </c>
      <c r="HJ162">
        <v>9546.1</v>
      </c>
      <c r="HK162">
        <v>5139.4</v>
      </c>
      <c r="HL162">
        <v>24.9</v>
      </c>
      <c r="HM162">
        <v>1.86752</v>
      </c>
      <c r="HN162">
        <v>1.86646</v>
      </c>
      <c r="HO162">
        <v>1.866</v>
      </c>
      <c r="HP162">
        <v>1.86585</v>
      </c>
      <c r="HQ162">
        <v>1.86769</v>
      </c>
      <c r="HR162">
        <v>1.87019</v>
      </c>
      <c r="HS162">
        <v>1.86888</v>
      </c>
      <c r="HT162">
        <v>1.87024</v>
      </c>
      <c r="HU162">
        <v>0</v>
      </c>
      <c r="HV162">
        <v>0</v>
      </c>
      <c r="HW162">
        <v>0</v>
      </c>
      <c r="HX162">
        <v>0</v>
      </c>
      <c r="HY162" t="s">
        <v>421</v>
      </c>
      <c r="HZ162" t="s">
        <v>422</v>
      </c>
      <c r="IA162" t="s">
        <v>423</v>
      </c>
      <c r="IB162" t="s">
        <v>423</v>
      </c>
      <c r="IC162" t="s">
        <v>423</v>
      </c>
      <c r="ID162" t="s">
        <v>423</v>
      </c>
      <c r="IE162">
        <v>0</v>
      </c>
      <c r="IF162">
        <v>100</v>
      </c>
      <c r="IG162">
        <v>100</v>
      </c>
      <c r="IH162">
        <v>-1.438</v>
      </c>
      <c r="II162">
        <v>0.0183</v>
      </c>
      <c r="IJ162">
        <v>-0.2164499368582429</v>
      </c>
      <c r="IK162">
        <v>-0.002077099775823331</v>
      </c>
      <c r="IL162">
        <v>4.593143279902166E-07</v>
      </c>
      <c r="IM162">
        <v>-1.865383991892071E-10</v>
      </c>
      <c r="IN162">
        <v>-0.06087574426827484</v>
      </c>
      <c r="IO162">
        <v>-0.01129461987421345</v>
      </c>
      <c r="IP162">
        <v>0.00116580895745559</v>
      </c>
      <c r="IQ162">
        <v>-1.679085872906199E-05</v>
      </c>
      <c r="IR162">
        <v>2</v>
      </c>
      <c r="IS162">
        <v>2290</v>
      </c>
      <c r="IT162">
        <v>0</v>
      </c>
      <c r="IU162">
        <v>32</v>
      </c>
      <c r="IV162">
        <v>7.5</v>
      </c>
      <c r="IW162">
        <v>7.1</v>
      </c>
      <c r="IX162">
        <v>1.47827</v>
      </c>
      <c r="IY162">
        <v>2.21436</v>
      </c>
      <c r="IZ162">
        <v>1.39648</v>
      </c>
      <c r="JA162">
        <v>2.35596</v>
      </c>
      <c r="JB162">
        <v>1.49536</v>
      </c>
      <c r="JC162">
        <v>2.32788</v>
      </c>
      <c r="JD162">
        <v>38.4769</v>
      </c>
      <c r="JE162">
        <v>24.035</v>
      </c>
      <c r="JF162">
        <v>18</v>
      </c>
      <c r="JG162">
        <v>511.207</v>
      </c>
      <c r="JH162">
        <v>428.738</v>
      </c>
      <c r="JI162">
        <v>22.2991</v>
      </c>
      <c r="JJ162">
        <v>28.6741</v>
      </c>
      <c r="JK162">
        <v>30.0005</v>
      </c>
      <c r="JL162">
        <v>28.6374</v>
      </c>
      <c r="JM162">
        <v>28.575</v>
      </c>
      <c r="JN162">
        <v>29.5575</v>
      </c>
      <c r="JO162">
        <v>28.7675</v>
      </c>
      <c r="JP162">
        <v>0</v>
      </c>
      <c r="JQ162">
        <v>22.2595</v>
      </c>
      <c r="JR162">
        <v>647.785</v>
      </c>
      <c r="JS162">
        <v>13.6953</v>
      </c>
      <c r="JT162">
        <v>100.306</v>
      </c>
      <c r="JU162">
        <v>100.23</v>
      </c>
    </row>
    <row r="163" spans="1:281">
      <c r="A163">
        <v>147</v>
      </c>
      <c r="B163">
        <v>1651864691.6</v>
      </c>
      <c r="C163">
        <v>471</v>
      </c>
      <c r="D163" t="s">
        <v>714</v>
      </c>
      <c r="E163" t="s">
        <v>715</v>
      </c>
      <c r="F163">
        <v>2</v>
      </c>
      <c r="G163" t="s">
        <v>413</v>
      </c>
      <c r="H163" t="s">
        <v>414</v>
      </c>
      <c r="I163">
        <v>1651864690.225</v>
      </c>
      <c r="J163">
        <f>(K163)/1000</f>
        <v>0</v>
      </c>
      <c r="K163">
        <f>IF(CZ163, AN163, AH163)</f>
        <v>0</v>
      </c>
      <c r="L163">
        <f>IF(CZ163, AI163, AG163)</f>
        <v>0</v>
      </c>
      <c r="M163">
        <f>DB163 - IF(AU163&gt;1, L163*CV163*100.0/(AW163*DP163), 0)</f>
        <v>0</v>
      </c>
      <c r="N163">
        <f>((T163-J163/2)*M163-L163)/(T163+J163/2)</f>
        <v>0</v>
      </c>
      <c r="O163">
        <f>N163*(DI163+DJ163)/1000.0</f>
        <v>0</v>
      </c>
      <c r="P163">
        <f>(DB163 - IF(AU163&gt;1, L163*CV163*100.0/(AW163*DP163), 0))*(DI163+DJ163)/1000.0</f>
        <v>0</v>
      </c>
      <c r="Q163">
        <f>2.0/((1/S163-1/R163)+SIGN(S163)*SQRT((1/S163-1/R163)*(1/S163-1/R163) + 4*CW163/((CW163+1)*(CW163+1))*(2*1/S163*1/R163-1/R163*1/R163)))</f>
        <v>0</v>
      </c>
      <c r="R163">
        <f>IF(LEFT(CX163,1)&lt;&gt;"0",IF(LEFT(CX163,1)="1",3.0,CY163),$D$5+$E$5*(DP163*DI163/($K$5*1000))+$F$5*(DP163*DI163/($K$5*1000))*MAX(MIN(CV163,$J$5),$I$5)*MAX(MIN(CV163,$J$5),$I$5)+$G$5*MAX(MIN(CV163,$J$5),$I$5)*(DP163*DI163/($K$5*1000))+$H$5*(DP163*DI163/($K$5*1000))*(DP163*DI163/($K$5*1000)))</f>
        <v>0</v>
      </c>
      <c r="S163">
        <f>J163*(1000-(1000*0.61365*exp(17.502*W163/(240.97+W163))/(DI163+DJ163)+DD163)/2)/(1000*0.61365*exp(17.502*W163/(240.97+W163))/(DI163+DJ163)-DD163)</f>
        <v>0</v>
      </c>
      <c r="T163">
        <f>1/((CW163+1)/(Q163/1.6)+1/(R163/1.37)) + CW163/((CW163+1)/(Q163/1.6) + CW163/(R163/1.37))</f>
        <v>0</v>
      </c>
      <c r="U163">
        <f>(CR163*CU163)</f>
        <v>0</v>
      </c>
      <c r="V163">
        <f>(DK163+(U163+2*0.95*5.67E-8*(((DK163+$B$7)+273)^4-(DK163+273)^4)-44100*J163)/(1.84*29.3*R163+8*0.95*5.67E-8*(DK163+273)^3))</f>
        <v>0</v>
      </c>
      <c r="W163">
        <f>($C$7*DL163+$D$7*DM163+$E$7*V163)</f>
        <v>0</v>
      </c>
      <c r="X163">
        <f>0.61365*exp(17.502*W163/(240.97+W163))</f>
        <v>0</v>
      </c>
      <c r="Y163">
        <f>(Z163/AA163*100)</f>
        <v>0</v>
      </c>
      <c r="Z163">
        <f>DD163*(DI163+DJ163)/1000</f>
        <v>0</v>
      </c>
      <c r="AA163">
        <f>0.61365*exp(17.502*DK163/(240.97+DK163))</f>
        <v>0</v>
      </c>
      <c r="AB163">
        <f>(X163-DD163*(DI163+DJ163)/1000)</f>
        <v>0</v>
      </c>
      <c r="AC163">
        <f>(-J163*44100)</f>
        <v>0</v>
      </c>
      <c r="AD163">
        <f>2*29.3*R163*0.92*(DK163-W163)</f>
        <v>0</v>
      </c>
      <c r="AE163">
        <f>2*0.95*5.67E-8*(((DK163+$B$7)+273)^4-(W163+273)^4)</f>
        <v>0</v>
      </c>
      <c r="AF163">
        <f>U163+AE163+AC163+AD163</f>
        <v>0</v>
      </c>
      <c r="AG163">
        <f>DH163*AU163*(DC163-DB163*(1000-AU163*DE163)/(1000-AU163*DD163))/(100*CV163)</f>
        <v>0</v>
      </c>
      <c r="AH163">
        <f>1000*DH163*AU163*(DD163-DE163)/(100*CV163*(1000-AU163*DD163))</f>
        <v>0</v>
      </c>
      <c r="AI163">
        <f>(AJ163 - AK163 - DI163*1E3/(8.314*(DK163+273.15)) * AM163/DH163 * AL163) * DH163/(100*CV163) * (1000 - DE163)/1000</f>
        <v>0</v>
      </c>
      <c r="AJ163">
        <v>676.9573849334678</v>
      </c>
      <c r="AK163">
        <v>664.4435636363638</v>
      </c>
      <c r="AL163">
        <v>-3.220680978640746</v>
      </c>
      <c r="AM163">
        <v>66.38192812717227</v>
      </c>
      <c r="AN163">
        <f>(AP163 - AO163 + DI163*1E3/(8.314*(DK163+273.15)) * AR163/DH163 * AQ163) * DH163/(100*CV163) * 1000/(1000 - AP163)</f>
        <v>0</v>
      </c>
      <c r="AO163">
        <v>13.58569227454019</v>
      </c>
      <c r="AP163">
        <v>18.20800735294116</v>
      </c>
      <c r="AQ163">
        <v>4.47928256735217E-05</v>
      </c>
      <c r="AR163">
        <v>80.47224507511959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MAX(0,($B$13+$C$13*DP163)/(1+$D$13*DP163)*DI163/(DK163+273)*$E$13)</f>
        <v>0</v>
      </c>
      <c r="AX163" t="s">
        <v>417</v>
      </c>
      <c r="AY163" t="s">
        <v>417</v>
      </c>
      <c r="AZ163">
        <v>0</v>
      </c>
      <c r="BA163">
        <v>0</v>
      </c>
      <c r="BB163">
        <f>1-AZ163/BA163</f>
        <v>0</v>
      </c>
      <c r="BC163">
        <v>0</v>
      </c>
      <c r="BD163" t="s">
        <v>417</v>
      </c>
      <c r="BE163" t="s">
        <v>417</v>
      </c>
      <c r="BF163">
        <v>0</v>
      </c>
      <c r="BG163">
        <v>0</v>
      </c>
      <c r="BH163">
        <f>1-BF163/BG163</f>
        <v>0</v>
      </c>
      <c r="BI163">
        <v>0.5</v>
      </c>
      <c r="BJ163">
        <f>CS163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417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1248</v>
      </c>
      <c r="CA163">
        <v>300</v>
      </c>
      <c r="CB163">
        <v>300</v>
      </c>
      <c r="CC163">
        <v>300</v>
      </c>
      <c r="CD163">
        <v>10442</v>
      </c>
      <c r="CE163">
        <v>1293.69</v>
      </c>
      <c r="CF163">
        <v>-0.00735246</v>
      </c>
      <c r="CG163">
        <v>0.5</v>
      </c>
      <c r="CH163" t="s">
        <v>417</v>
      </c>
      <c r="CI163" t="s">
        <v>417</v>
      </c>
      <c r="CJ163" t="s">
        <v>417</v>
      </c>
      <c r="CK163" t="s">
        <v>417</v>
      </c>
      <c r="CL163" t="s">
        <v>417</v>
      </c>
      <c r="CM163" t="s">
        <v>417</v>
      </c>
      <c r="CN163" t="s">
        <v>417</v>
      </c>
      <c r="CO163" t="s">
        <v>417</v>
      </c>
      <c r="CP163" t="s">
        <v>417</v>
      </c>
      <c r="CQ163" t="s">
        <v>417</v>
      </c>
      <c r="CR163">
        <f>$B$11*DQ163+$C$11*DR163+$F$11*EC163*(1-EF163)</f>
        <v>0</v>
      </c>
      <c r="CS163">
        <f>CR163*CT163</f>
        <v>0</v>
      </c>
      <c r="CT163">
        <f>($B$11*$D$9+$C$11*$D$9+$F$11*((EP163+EH163)/MAX(EP163+EH163+EQ163, 0.1)*$I$9+EQ163/MAX(EP163+EH163+EQ163, 0.1)*$J$9))/($B$11+$C$11+$F$11)</f>
        <v>0</v>
      </c>
      <c r="CU163">
        <f>($B$11*$K$9+$C$11*$K$9+$F$11*((EP163+EH163)/MAX(EP163+EH163+EQ163, 0.1)*$P$9+EQ163/MAX(EP163+EH163+EQ163, 0.1)*$Q$9))/($B$11+$C$11+$F$11)</f>
        <v>0</v>
      </c>
      <c r="CV163">
        <v>6</v>
      </c>
      <c r="CW163">
        <v>0.5</v>
      </c>
      <c r="CX163" t="s">
        <v>418</v>
      </c>
      <c r="CY163">
        <v>2</v>
      </c>
      <c r="CZ163" t="b">
        <v>1</v>
      </c>
      <c r="DA163">
        <v>1651864690.225</v>
      </c>
      <c r="DB163">
        <v>655.08575</v>
      </c>
      <c r="DC163">
        <v>663.4382499999999</v>
      </c>
      <c r="DD163">
        <v>18.206375</v>
      </c>
      <c r="DE163">
        <v>13.596975</v>
      </c>
      <c r="DF163">
        <v>656.521</v>
      </c>
      <c r="DG163">
        <v>18.188075</v>
      </c>
      <c r="DH163">
        <v>500.02675</v>
      </c>
      <c r="DI163">
        <v>89.93582500000001</v>
      </c>
      <c r="DJ163">
        <v>0.099842525</v>
      </c>
      <c r="DK163">
        <v>25.682575</v>
      </c>
      <c r="DL163">
        <v>25.024775</v>
      </c>
      <c r="DM163">
        <v>999.9</v>
      </c>
      <c r="DN163">
        <v>0</v>
      </c>
      <c r="DO163">
        <v>0</v>
      </c>
      <c r="DP163">
        <v>10032.2</v>
      </c>
      <c r="DQ163">
        <v>0</v>
      </c>
      <c r="DR163">
        <v>3.23193</v>
      </c>
      <c r="DS163">
        <v>-8.352079999999999</v>
      </c>
      <c r="DT163">
        <v>667.23375</v>
      </c>
      <c r="DU163">
        <v>672.583</v>
      </c>
      <c r="DV163">
        <v>4.609412499999999</v>
      </c>
      <c r="DW163">
        <v>663.4382499999999</v>
      </c>
      <c r="DX163">
        <v>13.596975</v>
      </c>
      <c r="DY163">
        <v>1.637405</v>
      </c>
      <c r="DZ163">
        <v>1.2228575</v>
      </c>
      <c r="EA163">
        <v>14.3154</v>
      </c>
      <c r="EB163">
        <v>9.882742499999999</v>
      </c>
      <c r="EC163">
        <v>1499.9675</v>
      </c>
      <c r="ED163">
        <v>0.97300325</v>
      </c>
      <c r="EE163">
        <v>0.026996825</v>
      </c>
      <c r="EF163">
        <v>0</v>
      </c>
      <c r="EG163">
        <v>878.11625</v>
      </c>
      <c r="EH163">
        <v>5.00097</v>
      </c>
      <c r="EI163">
        <v>13045.275</v>
      </c>
      <c r="EJ163">
        <v>12491.325</v>
      </c>
      <c r="EK163">
        <v>37.25</v>
      </c>
      <c r="EL163">
        <v>38.687</v>
      </c>
      <c r="EM163">
        <v>37.625</v>
      </c>
      <c r="EN163">
        <v>38.437</v>
      </c>
      <c r="EO163">
        <v>38.125</v>
      </c>
      <c r="EP163">
        <v>1454.61</v>
      </c>
      <c r="EQ163">
        <v>40.3575</v>
      </c>
      <c r="ER163">
        <v>0</v>
      </c>
      <c r="ES163">
        <v>470.4000000953674</v>
      </c>
      <c r="ET163">
        <v>0</v>
      </c>
      <c r="EU163">
        <v>882.1477692307692</v>
      </c>
      <c r="EV163">
        <v>-39.8680342257349</v>
      </c>
      <c r="EW163">
        <v>-590.1504277538371</v>
      </c>
      <c r="EX163">
        <v>13105.89615384615</v>
      </c>
      <c r="EY163">
        <v>15</v>
      </c>
      <c r="EZ163">
        <v>1651864261.1</v>
      </c>
      <c r="FA163" t="s">
        <v>419</v>
      </c>
      <c r="FB163">
        <v>1651864241.6</v>
      </c>
      <c r="FC163">
        <v>1651864261.1</v>
      </c>
      <c r="FD163">
        <v>7</v>
      </c>
      <c r="FE163">
        <v>0.438</v>
      </c>
      <c r="FF163">
        <v>0.002</v>
      </c>
      <c r="FG163">
        <v>-0.988</v>
      </c>
      <c r="FH163">
        <v>-0.066</v>
      </c>
      <c r="FI163">
        <v>400</v>
      </c>
      <c r="FJ163">
        <v>11</v>
      </c>
      <c r="FK163">
        <v>0.05</v>
      </c>
      <c r="FL163">
        <v>0.02</v>
      </c>
      <c r="FM163">
        <v>-8.449465749999998</v>
      </c>
      <c r="FN163">
        <v>2.97487508442778</v>
      </c>
      <c r="FO163">
        <v>0.339741096961256</v>
      </c>
      <c r="FP163">
        <v>-1</v>
      </c>
      <c r="FQ163">
        <v>4.67949725</v>
      </c>
      <c r="FR163">
        <v>-0.5542035647279706</v>
      </c>
      <c r="FS163">
        <v>0.05431673609429692</v>
      </c>
      <c r="FT163">
        <v>-1</v>
      </c>
      <c r="FU163">
        <v>0</v>
      </c>
      <c r="FV163">
        <v>0</v>
      </c>
      <c r="FW163">
        <v>0</v>
      </c>
      <c r="FX163">
        <v>-1</v>
      </c>
      <c r="FY163">
        <v>0</v>
      </c>
      <c r="FZ163">
        <v>0</v>
      </c>
      <c r="GA163" t="s">
        <v>420</v>
      </c>
      <c r="GB163">
        <v>2.98053</v>
      </c>
      <c r="GC163">
        <v>2.70631</v>
      </c>
      <c r="GD163">
        <v>0.128462</v>
      </c>
      <c r="GE163">
        <v>0.128102</v>
      </c>
      <c r="GF163">
        <v>0.0871773</v>
      </c>
      <c r="GG163">
        <v>0.0696423</v>
      </c>
      <c r="GH163">
        <v>27504.2</v>
      </c>
      <c r="GI163">
        <v>27575.9</v>
      </c>
      <c r="GJ163">
        <v>29344.1</v>
      </c>
      <c r="GK163">
        <v>29258.3</v>
      </c>
      <c r="GL163">
        <v>35469.3</v>
      </c>
      <c r="GM163">
        <v>36254.5</v>
      </c>
      <c r="GN163">
        <v>41303.5</v>
      </c>
      <c r="GO163">
        <v>41761</v>
      </c>
      <c r="GP163">
        <v>1.95562</v>
      </c>
      <c r="GQ163">
        <v>1.84985</v>
      </c>
      <c r="GR163">
        <v>-0.019975</v>
      </c>
      <c r="GS163">
        <v>0</v>
      </c>
      <c r="GT163">
        <v>25.3524</v>
      </c>
      <c r="GU163">
        <v>999.9</v>
      </c>
      <c r="GV163">
        <v>31.7</v>
      </c>
      <c r="GW163">
        <v>34.3</v>
      </c>
      <c r="GX163">
        <v>19.149</v>
      </c>
      <c r="GY163">
        <v>62.5774</v>
      </c>
      <c r="GZ163">
        <v>35.1522</v>
      </c>
      <c r="HA163">
        <v>1</v>
      </c>
      <c r="HB163">
        <v>0.107274</v>
      </c>
      <c r="HC163">
        <v>2.43563</v>
      </c>
      <c r="HD163">
        <v>20.3162</v>
      </c>
      <c r="HE163">
        <v>5.21774</v>
      </c>
      <c r="HF163">
        <v>12.0099</v>
      </c>
      <c r="HG163">
        <v>4.989</v>
      </c>
      <c r="HH163">
        <v>3.2885</v>
      </c>
      <c r="HI163">
        <v>997.7</v>
      </c>
      <c r="HJ163">
        <v>9546.1</v>
      </c>
      <c r="HK163">
        <v>5139.4</v>
      </c>
      <c r="HL163">
        <v>24.9</v>
      </c>
      <c r="HM163">
        <v>1.86752</v>
      </c>
      <c r="HN163">
        <v>1.86646</v>
      </c>
      <c r="HO163">
        <v>1.866</v>
      </c>
      <c r="HP163">
        <v>1.86586</v>
      </c>
      <c r="HQ163">
        <v>1.86769</v>
      </c>
      <c r="HR163">
        <v>1.87018</v>
      </c>
      <c r="HS163">
        <v>1.86888</v>
      </c>
      <c r="HT163">
        <v>1.87023</v>
      </c>
      <c r="HU163">
        <v>0</v>
      </c>
      <c r="HV163">
        <v>0</v>
      </c>
      <c r="HW163">
        <v>0</v>
      </c>
      <c r="HX163">
        <v>0</v>
      </c>
      <c r="HY163" t="s">
        <v>421</v>
      </c>
      <c r="HZ163" t="s">
        <v>422</v>
      </c>
      <c r="IA163" t="s">
        <v>423</v>
      </c>
      <c r="IB163" t="s">
        <v>423</v>
      </c>
      <c r="IC163" t="s">
        <v>423</v>
      </c>
      <c r="ID163" t="s">
        <v>423</v>
      </c>
      <c r="IE163">
        <v>0</v>
      </c>
      <c r="IF163">
        <v>100</v>
      </c>
      <c r="IG163">
        <v>100</v>
      </c>
      <c r="IH163">
        <v>-1.428</v>
      </c>
      <c r="II163">
        <v>0.0183</v>
      </c>
      <c r="IJ163">
        <v>-0.2164499368582429</v>
      </c>
      <c r="IK163">
        <v>-0.002077099775823331</v>
      </c>
      <c r="IL163">
        <v>4.593143279902166E-07</v>
      </c>
      <c r="IM163">
        <v>-1.865383991892071E-10</v>
      </c>
      <c r="IN163">
        <v>-0.06087574426827484</v>
      </c>
      <c r="IO163">
        <v>-0.01129461987421345</v>
      </c>
      <c r="IP163">
        <v>0.00116580895745559</v>
      </c>
      <c r="IQ163">
        <v>-1.679085872906199E-05</v>
      </c>
      <c r="IR163">
        <v>2</v>
      </c>
      <c r="IS163">
        <v>2290</v>
      </c>
      <c r="IT163">
        <v>0</v>
      </c>
      <c r="IU163">
        <v>32</v>
      </c>
      <c r="IV163">
        <v>7.5</v>
      </c>
      <c r="IW163">
        <v>7.2</v>
      </c>
      <c r="IX163">
        <v>1.46606</v>
      </c>
      <c r="IY163">
        <v>2.21191</v>
      </c>
      <c r="IZ163">
        <v>1.39648</v>
      </c>
      <c r="JA163">
        <v>2.35718</v>
      </c>
      <c r="JB163">
        <v>1.49536</v>
      </c>
      <c r="JC163">
        <v>2.31567</v>
      </c>
      <c r="JD163">
        <v>38.4769</v>
      </c>
      <c r="JE163">
        <v>24.035</v>
      </c>
      <c r="JF163">
        <v>18</v>
      </c>
      <c r="JG163">
        <v>511.191</v>
      </c>
      <c r="JH163">
        <v>428.74</v>
      </c>
      <c r="JI163">
        <v>22.2897</v>
      </c>
      <c r="JJ163">
        <v>28.6754</v>
      </c>
      <c r="JK163">
        <v>30.0004</v>
      </c>
      <c r="JL163">
        <v>28.6374</v>
      </c>
      <c r="JM163">
        <v>28.5753</v>
      </c>
      <c r="JN163">
        <v>29.3188</v>
      </c>
      <c r="JO163">
        <v>28.7675</v>
      </c>
      <c r="JP163">
        <v>0</v>
      </c>
      <c r="JQ163">
        <v>22.2595</v>
      </c>
      <c r="JR163">
        <v>641.106</v>
      </c>
      <c r="JS163">
        <v>13.7131</v>
      </c>
      <c r="JT163">
        <v>100.305</v>
      </c>
      <c r="JU163">
        <v>100.229</v>
      </c>
    </row>
    <row r="164" spans="1:281">
      <c r="A164">
        <v>148</v>
      </c>
      <c r="B164">
        <v>1651864693.6</v>
      </c>
      <c r="C164">
        <v>473</v>
      </c>
      <c r="D164" t="s">
        <v>716</v>
      </c>
      <c r="E164" t="s">
        <v>717</v>
      </c>
      <c r="F164">
        <v>2</v>
      </c>
      <c r="G164" t="s">
        <v>413</v>
      </c>
      <c r="H164" t="s">
        <v>414</v>
      </c>
      <c r="I164">
        <v>1651864692.6</v>
      </c>
      <c r="J164">
        <f>(K164)/1000</f>
        <v>0</v>
      </c>
      <c r="K164">
        <f>IF(CZ164, AN164, AH164)</f>
        <v>0</v>
      </c>
      <c r="L164">
        <f>IF(CZ164, AI164, AG164)</f>
        <v>0</v>
      </c>
      <c r="M164">
        <f>DB164 - IF(AU164&gt;1, L164*CV164*100.0/(AW164*DP164), 0)</f>
        <v>0</v>
      </c>
      <c r="N164">
        <f>((T164-J164/2)*M164-L164)/(T164+J164/2)</f>
        <v>0</v>
      </c>
      <c r="O164">
        <f>N164*(DI164+DJ164)/1000.0</f>
        <v>0</v>
      </c>
      <c r="P164">
        <f>(DB164 - IF(AU164&gt;1, L164*CV164*100.0/(AW164*DP164), 0))*(DI164+DJ164)/1000.0</f>
        <v>0</v>
      </c>
      <c r="Q164">
        <f>2.0/((1/S164-1/R164)+SIGN(S164)*SQRT((1/S164-1/R164)*(1/S164-1/R164) + 4*CW164/((CW164+1)*(CW164+1))*(2*1/S164*1/R164-1/R164*1/R164)))</f>
        <v>0</v>
      </c>
      <c r="R164">
        <f>IF(LEFT(CX164,1)&lt;&gt;"0",IF(LEFT(CX164,1)="1",3.0,CY164),$D$5+$E$5*(DP164*DI164/($K$5*1000))+$F$5*(DP164*DI164/($K$5*1000))*MAX(MIN(CV164,$J$5),$I$5)*MAX(MIN(CV164,$J$5),$I$5)+$G$5*MAX(MIN(CV164,$J$5),$I$5)*(DP164*DI164/($K$5*1000))+$H$5*(DP164*DI164/($K$5*1000))*(DP164*DI164/($K$5*1000)))</f>
        <v>0</v>
      </c>
      <c r="S164">
        <f>J164*(1000-(1000*0.61365*exp(17.502*W164/(240.97+W164))/(DI164+DJ164)+DD164)/2)/(1000*0.61365*exp(17.502*W164/(240.97+W164))/(DI164+DJ164)-DD164)</f>
        <v>0</v>
      </c>
      <c r="T164">
        <f>1/((CW164+1)/(Q164/1.6)+1/(R164/1.37)) + CW164/((CW164+1)/(Q164/1.6) + CW164/(R164/1.37))</f>
        <v>0</v>
      </c>
      <c r="U164">
        <f>(CR164*CU164)</f>
        <v>0</v>
      </c>
      <c r="V164">
        <f>(DK164+(U164+2*0.95*5.67E-8*(((DK164+$B$7)+273)^4-(DK164+273)^4)-44100*J164)/(1.84*29.3*R164+8*0.95*5.67E-8*(DK164+273)^3))</f>
        <v>0</v>
      </c>
      <c r="W164">
        <f>($C$7*DL164+$D$7*DM164+$E$7*V164)</f>
        <v>0</v>
      </c>
      <c r="X164">
        <f>0.61365*exp(17.502*W164/(240.97+W164))</f>
        <v>0</v>
      </c>
      <c r="Y164">
        <f>(Z164/AA164*100)</f>
        <v>0</v>
      </c>
      <c r="Z164">
        <f>DD164*(DI164+DJ164)/1000</f>
        <v>0</v>
      </c>
      <c r="AA164">
        <f>0.61365*exp(17.502*DK164/(240.97+DK164))</f>
        <v>0</v>
      </c>
      <c r="AB164">
        <f>(X164-DD164*(DI164+DJ164)/1000)</f>
        <v>0</v>
      </c>
      <c r="AC164">
        <f>(-J164*44100)</f>
        <v>0</v>
      </c>
      <c r="AD164">
        <f>2*29.3*R164*0.92*(DK164-W164)</f>
        <v>0</v>
      </c>
      <c r="AE164">
        <f>2*0.95*5.67E-8*(((DK164+$B$7)+273)^4-(W164+273)^4)</f>
        <v>0</v>
      </c>
      <c r="AF164">
        <f>U164+AE164+AC164+AD164</f>
        <v>0</v>
      </c>
      <c r="AG164">
        <f>DH164*AU164*(DC164-DB164*(1000-AU164*DE164)/(1000-AU164*DD164))/(100*CV164)</f>
        <v>0</v>
      </c>
      <c r="AH164">
        <f>1000*DH164*AU164*(DD164-DE164)/(100*CV164*(1000-AU164*DD164))</f>
        <v>0</v>
      </c>
      <c r="AI164">
        <f>(AJ164 - AK164 - DI164*1E3/(8.314*(DK164+273.15)) * AM164/DH164 * AL164) * DH164/(100*CV164) * (1000 - DE164)/1000</f>
        <v>0</v>
      </c>
      <c r="AJ164">
        <v>670.6685274333679</v>
      </c>
      <c r="AK164">
        <v>658.1003575757574</v>
      </c>
      <c r="AL164">
        <v>-3.178002464753673</v>
      </c>
      <c r="AM164">
        <v>66.38192812717227</v>
      </c>
      <c r="AN164">
        <f>(AP164 - AO164 + DI164*1E3/(8.314*(DK164+273.15)) * AR164/DH164 * AQ164) * DH164/(100*CV164) * 1000/(1000 - AP164)</f>
        <v>0</v>
      </c>
      <c r="AO164">
        <v>13.59300889357208</v>
      </c>
      <c r="AP164">
        <v>18.20759088235294</v>
      </c>
      <c r="AQ164">
        <v>4.232061504220141E-05</v>
      </c>
      <c r="AR164">
        <v>80.47224507511959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MAX(0,($B$13+$C$13*DP164)/(1+$D$13*DP164)*DI164/(DK164+273)*$E$13)</f>
        <v>0</v>
      </c>
      <c r="AX164" t="s">
        <v>417</v>
      </c>
      <c r="AY164" t="s">
        <v>417</v>
      </c>
      <c r="AZ164">
        <v>0</v>
      </c>
      <c r="BA164">
        <v>0</v>
      </c>
      <c r="BB164">
        <f>1-AZ164/BA164</f>
        <v>0</v>
      </c>
      <c r="BC164">
        <v>0</v>
      </c>
      <c r="BD164" t="s">
        <v>417</v>
      </c>
      <c r="BE164" t="s">
        <v>417</v>
      </c>
      <c r="BF164">
        <v>0</v>
      </c>
      <c r="BG164">
        <v>0</v>
      </c>
      <c r="BH164">
        <f>1-BF164/BG164</f>
        <v>0</v>
      </c>
      <c r="BI164">
        <v>0.5</v>
      </c>
      <c r="BJ164">
        <f>CS164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417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1248</v>
      </c>
      <c r="CA164">
        <v>300</v>
      </c>
      <c r="CB164">
        <v>300</v>
      </c>
      <c r="CC164">
        <v>300</v>
      </c>
      <c r="CD164">
        <v>10442</v>
      </c>
      <c r="CE164">
        <v>1293.69</v>
      </c>
      <c r="CF164">
        <v>-0.00735246</v>
      </c>
      <c r="CG164">
        <v>0.5</v>
      </c>
      <c r="CH164" t="s">
        <v>417</v>
      </c>
      <c r="CI164" t="s">
        <v>417</v>
      </c>
      <c r="CJ164" t="s">
        <v>417</v>
      </c>
      <c r="CK164" t="s">
        <v>417</v>
      </c>
      <c r="CL164" t="s">
        <v>417</v>
      </c>
      <c r="CM164" t="s">
        <v>417</v>
      </c>
      <c r="CN164" t="s">
        <v>417</v>
      </c>
      <c r="CO164" t="s">
        <v>417</v>
      </c>
      <c r="CP164" t="s">
        <v>417</v>
      </c>
      <c r="CQ164" t="s">
        <v>417</v>
      </c>
      <c r="CR164">
        <f>$B$11*DQ164+$C$11*DR164+$F$11*EC164*(1-EF164)</f>
        <v>0</v>
      </c>
      <c r="CS164">
        <f>CR164*CT164</f>
        <v>0</v>
      </c>
      <c r="CT164">
        <f>($B$11*$D$9+$C$11*$D$9+$F$11*((EP164+EH164)/MAX(EP164+EH164+EQ164, 0.1)*$I$9+EQ164/MAX(EP164+EH164+EQ164, 0.1)*$J$9))/($B$11+$C$11+$F$11)</f>
        <v>0</v>
      </c>
      <c r="CU164">
        <f>($B$11*$K$9+$C$11*$K$9+$F$11*((EP164+EH164)/MAX(EP164+EH164+EQ164, 0.1)*$P$9+EQ164/MAX(EP164+EH164+EQ164, 0.1)*$Q$9))/($B$11+$C$11+$F$11)</f>
        <v>0</v>
      </c>
      <c r="CV164">
        <v>6</v>
      </c>
      <c r="CW164">
        <v>0.5</v>
      </c>
      <c r="CX164" t="s">
        <v>418</v>
      </c>
      <c r="CY164">
        <v>2</v>
      </c>
      <c r="CZ164" t="b">
        <v>1</v>
      </c>
      <c r="DA164">
        <v>1651864692.6</v>
      </c>
      <c r="DB164">
        <v>647.6696666666667</v>
      </c>
      <c r="DC164">
        <v>655.8759999999999</v>
      </c>
      <c r="DD164">
        <v>18.20766666666666</v>
      </c>
      <c r="DE164">
        <v>13.61316666666667</v>
      </c>
      <c r="DF164">
        <v>649.0916666666667</v>
      </c>
      <c r="DG164">
        <v>18.1893</v>
      </c>
      <c r="DH164">
        <v>500.064</v>
      </c>
      <c r="DI164">
        <v>89.93516666666666</v>
      </c>
      <c r="DJ164">
        <v>0.09998396666666666</v>
      </c>
      <c r="DK164">
        <v>25.68236666666667</v>
      </c>
      <c r="DL164">
        <v>25.02226666666667</v>
      </c>
      <c r="DM164">
        <v>999.9</v>
      </c>
      <c r="DN164">
        <v>0</v>
      </c>
      <c r="DO164">
        <v>0</v>
      </c>
      <c r="DP164">
        <v>10017.46666666667</v>
      </c>
      <c r="DQ164">
        <v>0</v>
      </c>
      <c r="DR164">
        <v>3.23193</v>
      </c>
      <c r="DS164">
        <v>-8.206519999999999</v>
      </c>
      <c r="DT164">
        <v>659.6809999999999</v>
      </c>
      <c r="DU164">
        <v>664.928</v>
      </c>
      <c r="DV164">
        <v>4.59453</v>
      </c>
      <c r="DW164">
        <v>655.8759999999999</v>
      </c>
      <c r="DX164">
        <v>13.61316666666667</v>
      </c>
      <c r="DY164">
        <v>1.63751</v>
      </c>
      <c r="DZ164">
        <v>1.2243</v>
      </c>
      <c r="EA164">
        <v>14.31636666666667</v>
      </c>
      <c r="EB164">
        <v>9.900350000000001</v>
      </c>
      <c r="EC164">
        <v>1499.88</v>
      </c>
      <c r="ED164">
        <v>0.973007</v>
      </c>
      <c r="EE164">
        <v>0.0269931</v>
      </c>
      <c r="EF164">
        <v>0</v>
      </c>
      <c r="EG164">
        <v>876.5096666666667</v>
      </c>
      <c r="EH164">
        <v>5.00097</v>
      </c>
      <c r="EI164">
        <v>13019.86666666667</v>
      </c>
      <c r="EJ164">
        <v>12490.6</v>
      </c>
      <c r="EK164">
        <v>37.25</v>
      </c>
      <c r="EL164">
        <v>38.687</v>
      </c>
      <c r="EM164">
        <v>37.625</v>
      </c>
      <c r="EN164">
        <v>38.437</v>
      </c>
      <c r="EO164">
        <v>38.125</v>
      </c>
      <c r="EP164">
        <v>1454.53</v>
      </c>
      <c r="EQ164">
        <v>40.35</v>
      </c>
      <c r="ER164">
        <v>0</v>
      </c>
      <c r="ES164">
        <v>472.2000000476837</v>
      </c>
      <c r="ET164">
        <v>0</v>
      </c>
      <c r="EU164">
        <v>880.76144</v>
      </c>
      <c r="EV164">
        <v>-39.22976918218291</v>
      </c>
      <c r="EW164">
        <v>-590.807691380935</v>
      </c>
      <c r="EX164">
        <v>13085.172</v>
      </c>
      <c r="EY164">
        <v>15</v>
      </c>
      <c r="EZ164">
        <v>1651864261.1</v>
      </c>
      <c r="FA164" t="s">
        <v>419</v>
      </c>
      <c r="FB164">
        <v>1651864241.6</v>
      </c>
      <c r="FC164">
        <v>1651864261.1</v>
      </c>
      <c r="FD164">
        <v>7</v>
      </c>
      <c r="FE164">
        <v>0.438</v>
      </c>
      <c r="FF164">
        <v>0.002</v>
      </c>
      <c r="FG164">
        <v>-0.988</v>
      </c>
      <c r="FH164">
        <v>-0.066</v>
      </c>
      <c r="FI164">
        <v>400</v>
      </c>
      <c r="FJ164">
        <v>11</v>
      </c>
      <c r="FK164">
        <v>0.05</v>
      </c>
      <c r="FL164">
        <v>0.02</v>
      </c>
      <c r="FM164">
        <v>-8.410095</v>
      </c>
      <c r="FN164">
        <v>2.524233996247651</v>
      </c>
      <c r="FO164">
        <v>0.3093905580088055</v>
      </c>
      <c r="FP164">
        <v>-1</v>
      </c>
      <c r="FQ164">
        <v>4.67081125</v>
      </c>
      <c r="FR164">
        <v>-0.5298561726078924</v>
      </c>
      <c r="FS164">
        <v>0.05210800875045507</v>
      </c>
      <c r="FT164">
        <v>-1</v>
      </c>
      <c r="FU164">
        <v>0</v>
      </c>
      <c r="FV164">
        <v>0</v>
      </c>
      <c r="FW164">
        <v>0</v>
      </c>
      <c r="FX164">
        <v>-1</v>
      </c>
      <c r="FY164">
        <v>0</v>
      </c>
      <c r="FZ164">
        <v>0</v>
      </c>
      <c r="GA164" t="s">
        <v>420</v>
      </c>
      <c r="GB164">
        <v>2.98064</v>
      </c>
      <c r="GC164">
        <v>2.7063</v>
      </c>
      <c r="GD164">
        <v>0.127612</v>
      </c>
      <c r="GE164">
        <v>0.127235</v>
      </c>
      <c r="GF164">
        <v>0.0871779</v>
      </c>
      <c r="GG164">
        <v>0.0697156</v>
      </c>
      <c r="GH164">
        <v>27530.5</v>
      </c>
      <c r="GI164">
        <v>27603.4</v>
      </c>
      <c r="GJ164">
        <v>29343.4</v>
      </c>
      <c r="GK164">
        <v>29258.4</v>
      </c>
      <c r="GL164">
        <v>35468.4</v>
      </c>
      <c r="GM164">
        <v>36251.8</v>
      </c>
      <c r="GN164">
        <v>41302.5</v>
      </c>
      <c r="GO164">
        <v>41761.2</v>
      </c>
      <c r="GP164">
        <v>1.95557</v>
      </c>
      <c r="GQ164">
        <v>1.84973</v>
      </c>
      <c r="GR164">
        <v>-0.0202283</v>
      </c>
      <c r="GS164">
        <v>0</v>
      </c>
      <c r="GT164">
        <v>25.3524</v>
      </c>
      <c r="GU164">
        <v>999.9</v>
      </c>
      <c r="GV164">
        <v>31.7</v>
      </c>
      <c r="GW164">
        <v>34.3</v>
      </c>
      <c r="GX164">
        <v>19.1487</v>
      </c>
      <c r="GY164">
        <v>62.4075</v>
      </c>
      <c r="GZ164">
        <v>34.7596</v>
      </c>
      <c r="HA164">
        <v>1</v>
      </c>
      <c r="HB164">
        <v>0.107424</v>
      </c>
      <c r="HC164">
        <v>2.45315</v>
      </c>
      <c r="HD164">
        <v>20.3162</v>
      </c>
      <c r="HE164">
        <v>5.21804</v>
      </c>
      <c r="HF164">
        <v>12.0099</v>
      </c>
      <c r="HG164">
        <v>4.98905</v>
      </c>
      <c r="HH164">
        <v>3.2885</v>
      </c>
      <c r="HI164">
        <v>997.7</v>
      </c>
      <c r="HJ164">
        <v>9546.1</v>
      </c>
      <c r="HK164">
        <v>5139.4</v>
      </c>
      <c r="HL164">
        <v>24.9</v>
      </c>
      <c r="HM164">
        <v>1.86752</v>
      </c>
      <c r="HN164">
        <v>1.86646</v>
      </c>
      <c r="HO164">
        <v>1.866</v>
      </c>
      <c r="HP164">
        <v>1.86587</v>
      </c>
      <c r="HQ164">
        <v>1.86769</v>
      </c>
      <c r="HR164">
        <v>1.87021</v>
      </c>
      <c r="HS164">
        <v>1.86888</v>
      </c>
      <c r="HT164">
        <v>1.87024</v>
      </c>
      <c r="HU164">
        <v>0</v>
      </c>
      <c r="HV164">
        <v>0</v>
      </c>
      <c r="HW164">
        <v>0</v>
      </c>
      <c r="HX164">
        <v>0</v>
      </c>
      <c r="HY164" t="s">
        <v>421</v>
      </c>
      <c r="HZ164" t="s">
        <v>422</v>
      </c>
      <c r="IA164" t="s">
        <v>423</v>
      </c>
      <c r="IB164" t="s">
        <v>423</v>
      </c>
      <c r="IC164" t="s">
        <v>423</v>
      </c>
      <c r="ID164" t="s">
        <v>423</v>
      </c>
      <c r="IE164">
        <v>0</v>
      </c>
      <c r="IF164">
        <v>100</v>
      </c>
      <c r="IG164">
        <v>100</v>
      </c>
      <c r="IH164">
        <v>-1.417</v>
      </c>
      <c r="II164">
        <v>0.0184</v>
      </c>
      <c r="IJ164">
        <v>-0.2164499368582429</v>
      </c>
      <c r="IK164">
        <v>-0.002077099775823331</v>
      </c>
      <c r="IL164">
        <v>4.593143279902166E-07</v>
      </c>
      <c r="IM164">
        <v>-1.865383991892071E-10</v>
      </c>
      <c r="IN164">
        <v>-0.06087574426827484</v>
      </c>
      <c r="IO164">
        <v>-0.01129461987421345</v>
      </c>
      <c r="IP164">
        <v>0.00116580895745559</v>
      </c>
      <c r="IQ164">
        <v>-1.679085872906199E-05</v>
      </c>
      <c r="IR164">
        <v>2</v>
      </c>
      <c r="IS164">
        <v>2290</v>
      </c>
      <c r="IT164">
        <v>0</v>
      </c>
      <c r="IU164">
        <v>32</v>
      </c>
      <c r="IV164">
        <v>7.5</v>
      </c>
      <c r="IW164">
        <v>7.2</v>
      </c>
      <c r="IX164">
        <v>1.45508</v>
      </c>
      <c r="IY164">
        <v>2.2168</v>
      </c>
      <c r="IZ164">
        <v>1.39648</v>
      </c>
      <c r="JA164">
        <v>2.35596</v>
      </c>
      <c r="JB164">
        <v>1.49536</v>
      </c>
      <c r="JC164">
        <v>2.35718</v>
      </c>
      <c r="JD164">
        <v>38.4769</v>
      </c>
      <c r="JE164">
        <v>24.035</v>
      </c>
      <c r="JF164">
        <v>18</v>
      </c>
      <c r="JG164">
        <v>511.16</v>
      </c>
      <c r="JH164">
        <v>428.673</v>
      </c>
      <c r="JI164">
        <v>22.2758</v>
      </c>
      <c r="JJ164">
        <v>28.6756</v>
      </c>
      <c r="JK164">
        <v>30.0005</v>
      </c>
      <c r="JL164">
        <v>28.6377</v>
      </c>
      <c r="JM164">
        <v>28.5765</v>
      </c>
      <c r="JN164">
        <v>29.0793</v>
      </c>
      <c r="JO164">
        <v>28.7675</v>
      </c>
      <c r="JP164">
        <v>0</v>
      </c>
      <c r="JQ164">
        <v>22.2595</v>
      </c>
      <c r="JR164">
        <v>634.428</v>
      </c>
      <c r="JS164">
        <v>13.7352</v>
      </c>
      <c r="JT164">
        <v>100.302</v>
      </c>
      <c r="JU164">
        <v>100.229</v>
      </c>
    </row>
    <row r="165" spans="1:281">
      <c r="A165">
        <v>149</v>
      </c>
      <c r="B165">
        <v>1651864695.6</v>
      </c>
      <c r="C165">
        <v>475</v>
      </c>
      <c r="D165" t="s">
        <v>718</v>
      </c>
      <c r="E165" t="s">
        <v>719</v>
      </c>
      <c r="F165">
        <v>2</v>
      </c>
      <c r="G165" t="s">
        <v>413</v>
      </c>
      <c r="H165" t="s">
        <v>414</v>
      </c>
      <c r="I165">
        <v>1651864694.225</v>
      </c>
      <c r="J165">
        <f>(K165)/1000</f>
        <v>0</v>
      </c>
      <c r="K165">
        <f>IF(CZ165, AN165, AH165)</f>
        <v>0</v>
      </c>
      <c r="L165">
        <f>IF(CZ165, AI165, AG165)</f>
        <v>0</v>
      </c>
      <c r="M165">
        <f>DB165 - IF(AU165&gt;1, L165*CV165*100.0/(AW165*DP165), 0)</f>
        <v>0</v>
      </c>
      <c r="N165">
        <f>((T165-J165/2)*M165-L165)/(T165+J165/2)</f>
        <v>0</v>
      </c>
      <c r="O165">
        <f>N165*(DI165+DJ165)/1000.0</f>
        <v>0</v>
      </c>
      <c r="P165">
        <f>(DB165 - IF(AU165&gt;1, L165*CV165*100.0/(AW165*DP165), 0))*(DI165+DJ165)/1000.0</f>
        <v>0</v>
      </c>
      <c r="Q165">
        <f>2.0/((1/S165-1/R165)+SIGN(S165)*SQRT((1/S165-1/R165)*(1/S165-1/R165) + 4*CW165/((CW165+1)*(CW165+1))*(2*1/S165*1/R165-1/R165*1/R165)))</f>
        <v>0</v>
      </c>
      <c r="R165">
        <f>IF(LEFT(CX165,1)&lt;&gt;"0",IF(LEFT(CX165,1)="1",3.0,CY165),$D$5+$E$5*(DP165*DI165/($K$5*1000))+$F$5*(DP165*DI165/($K$5*1000))*MAX(MIN(CV165,$J$5),$I$5)*MAX(MIN(CV165,$J$5),$I$5)+$G$5*MAX(MIN(CV165,$J$5),$I$5)*(DP165*DI165/($K$5*1000))+$H$5*(DP165*DI165/($K$5*1000))*(DP165*DI165/($K$5*1000)))</f>
        <v>0</v>
      </c>
      <c r="S165">
        <f>J165*(1000-(1000*0.61365*exp(17.502*W165/(240.97+W165))/(DI165+DJ165)+DD165)/2)/(1000*0.61365*exp(17.502*W165/(240.97+W165))/(DI165+DJ165)-DD165)</f>
        <v>0</v>
      </c>
      <c r="T165">
        <f>1/((CW165+1)/(Q165/1.6)+1/(R165/1.37)) + CW165/((CW165+1)/(Q165/1.6) + CW165/(R165/1.37))</f>
        <v>0</v>
      </c>
      <c r="U165">
        <f>(CR165*CU165)</f>
        <v>0</v>
      </c>
      <c r="V165">
        <f>(DK165+(U165+2*0.95*5.67E-8*(((DK165+$B$7)+273)^4-(DK165+273)^4)-44100*J165)/(1.84*29.3*R165+8*0.95*5.67E-8*(DK165+273)^3))</f>
        <v>0</v>
      </c>
      <c r="W165">
        <f>($C$7*DL165+$D$7*DM165+$E$7*V165)</f>
        <v>0</v>
      </c>
      <c r="X165">
        <f>0.61365*exp(17.502*W165/(240.97+W165))</f>
        <v>0</v>
      </c>
      <c r="Y165">
        <f>(Z165/AA165*100)</f>
        <v>0</v>
      </c>
      <c r="Z165">
        <f>DD165*(DI165+DJ165)/1000</f>
        <v>0</v>
      </c>
      <c r="AA165">
        <f>0.61365*exp(17.502*DK165/(240.97+DK165))</f>
        <v>0</v>
      </c>
      <c r="AB165">
        <f>(X165-DD165*(DI165+DJ165)/1000)</f>
        <v>0</v>
      </c>
      <c r="AC165">
        <f>(-J165*44100)</f>
        <v>0</v>
      </c>
      <c r="AD165">
        <f>2*29.3*R165*0.92*(DK165-W165)</f>
        <v>0</v>
      </c>
      <c r="AE165">
        <f>2*0.95*5.67E-8*(((DK165+$B$7)+273)^4-(W165+273)^4)</f>
        <v>0</v>
      </c>
      <c r="AF165">
        <f>U165+AE165+AC165+AD165</f>
        <v>0</v>
      </c>
      <c r="AG165">
        <f>DH165*AU165*(DC165-DB165*(1000-AU165*DE165)/(1000-AU165*DD165))/(100*CV165)</f>
        <v>0</v>
      </c>
      <c r="AH165">
        <f>1000*DH165*AU165*(DD165-DE165)/(100*CV165*(1000-AU165*DD165))</f>
        <v>0</v>
      </c>
      <c r="AI165">
        <f>(AJ165 - AK165 - DI165*1E3/(8.314*(DK165+273.15)) * AM165/DH165 * AL165) * DH165/(100*CV165) * (1000 - DE165)/1000</f>
        <v>0</v>
      </c>
      <c r="AJ165">
        <v>664.1730466274508</v>
      </c>
      <c r="AK165">
        <v>651.731315151515</v>
      </c>
      <c r="AL165">
        <v>-3.179280721992698</v>
      </c>
      <c r="AM165">
        <v>66.38192812717227</v>
      </c>
      <c r="AN165">
        <f>(AP165 - AO165 + DI165*1E3/(8.314*(DK165+273.15)) * AR165/DH165 * AQ165) * DH165/(100*CV165) * 1000/(1000 - AP165)</f>
        <v>0</v>
      </c>
      <c r="AO165">
        <v>13.60111602627883</v>
      </c>
      <c r="AP165">
        <v>18.20749411764706</v>
      </c>
      <c r="AQ165">
        <v>2.027997440164631E-05</v>
      </c>
      <c r="AR165">
        <v>80.47224507511959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MAX(0,($B$13+$C$13*DP165)/(1+$D$13*DP165)*DI165/(DK165+273)*$E$13)</f>
        <v>0</v>
      </c>
      <c r="AX165" t="s">
        <v>417</v>
      </c>
      <c r="AY165" t="s">
        <v>417</v>
      </c>
      <c r="AZ165">
        <v>0</v>
      </c>
      <c r="BA165">
        <v>0</v>
      </c>
      <c r="BB165">
        <f>1-AZ165/BA165</f>
        <v>0</v>
      </c>
      <c r="BC165">
        <v>0</v>
      </c>
      <c r="BD165" t="s">
        <v>417</v>
      </c>
      <c r="BE165" t="s">
        <v>417</v>
      </c>
      <c r="BF165">
        <v>0</v>
      </c>
      <c r="BG165">
        <v>0</v>
      </c>
      <c r="BH165">
        <f>1-BF165/BG165</f>
        <v>0</v>
      </c>
      <c r="BI165">
        <v>0.5</v>
      </c>
      <c r="BJ165">
        <f>CS165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417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1248</v>
      </c>
      <c r="CA165">
        <v>300</v>
      </c>
      <c r="CB165">
        <v>300</v>
      </c>
      <c r="CC165">
        <v>300</v>
      </c>
      <c r="CD165">
        <v>10442</v>
      </c>
      <c r="CE165">
        <v>1293.69</v>
      </c>
      <c r="CF165">
        <v>-0.00735246</v>
      </c>
      <c r="CG165">
        <v>0.5</v>
      </c>
      <c r="CH165" t="s">
        <v>417</v>
      </c>
      <c r="CI165" t="s">
        <v>417</v>
      </c>
      <c r="CJ165" t="s">
        <v>417</v>
      </c>
      <c r="CK165" t="s">
        <v>417</v>
      </c>
      <c r="CL165" t="s">
        <v>417</v>
      </c>
      <c r="CM165" t="s">
        <v>417</v>
      </c>
      <c r="CN165" t="s">
        <v>417</v>
      </c>
      <c r="CO165" t="s">
        <v>417</v>
      </c>
      <c r="CP165" t="s">
        <v>417</v>
      </c>
      <c r="CQ165" t="s">
        <v>417</v>
      </c>
      <c r="CR165">
        <f>$B$11*DQ165+$C$11*DR165+$F$11*EC165*(1-EF165)</f>
        <v>0</v>
      </c>
      <c r="CS165">
        <f>CR165*CT165</f>
        <v>0</v>
      </c>
      <c r="CT165">
        <f>($B$11*$D$9+$C$11*$D$9+$F$11*((EP165+EH165)/MAX(EP165+EH165+EQ165, 0.1)*$I$9+EQ165/MAX(EP165+EH165+EQ165, 0.1)*$J$9))/($B$11+$C$11+$F$11)</f>
        <v>0</v>
      </c>
      <c r="CU165">
        <f>($B$11*$K$9+$C$11*$K$9+$F$11*((EP165+EH165)/MAX(EP165+EH165+EQ165, 0.1)*$P$9+EQ165/MAX(EP165+EH165+EQ165, 0.1)*$Q$9))/($B$11+$C$11+$F$11)</f>
        <v>0</v>
      </c>
      <c r="CV165">
        <v>6</v>
      </c>
      <c r="CW165">
        <v>0.5</v>
      </c>
      <c r="CX165" t="s">
        <v>418</v>
      </c>
      <c r="CY165">
        <v>2</v>
      </c>
      <c r="CZ165" t="b">
        <v>1</v>
      </c>
      <c r="DA165">
        <v>1651864694.225</v>
      </c>
      <c r="DB165">
        <v>642.6010000000001</v>
      </c>
      <c r="DC165">
        <v>650.58</v>
      </c>
      <c r="DD165">
        <v>18.20795</v>
      </c>
      <c r="DE165">
        <v>13.628725</v>
      </c>
      <c r="DF165">
        <v>644.0142500000001</v>
      </c>
      <c r="DG165">
        <v>18.1896</v>
      </c>
      <c r="DH165">
        <v>500.1235</v>
      </c>
      <c r="DI165">
        <v>89.9359</v>
      </c>
      <c r="DJ165">
        <v>0.10031475</v>
      </c>
      <c r="DK165">
        <v>25.680875</v>
      </c>
      <c r="DL165">
        <v>25.0201</v>
      </c>
      <c r="DM165">
        <v>999.9</v>
      </c>
      <c r="DN165">
        <v>0</v>
      </c>
      <c r="DO165">
        <v>0</v>
      </c>
      <c r="DP165">
        <v>9973.125</v>
      </c>
      <c r="DQ165">
        <v>0</v>
      </c>
      <c r="DR165">
        <v>3.23193</v>
      </c>
      <c r="DS165">
        <v>-7.979109999999999</v>
      </c>
      <c r="DT165">
        <v>654.5182500000001</v>
      </c>
      <c r="DU165">
        <v>659.569</v>
      </c>
      <c r="DV165">
        <v>4.579264999999999</v>
      </c>
      <c r="DW165">
        <v>650.58</v>
      </c>
      <c r="DX165">
        <v>13.628725</v>
      </c>
      <c r="DY165">
        <v>1.63755</v>
      </c>
      <c r="DZ165">
        <v>1.22571</v>
      </c>
      <c r="EA165">
        <v>14.31675</v>
      </c>
      <c r="EB165">
        <v>9.9175275</v>
      </c>
      <c r="EC165">
        <v>1500.0375</v>
      </c>
      <c r="ED165">
        <v>0.97300325</v>
      </c>
      <c r="EE165">
        <v>0.026996825</v>
      </c>
      <c r="EF165">
        <v>0</v>
      </c>
      <c r="EG165">
        <v>875.5385000000001</v>
      </c>
      <c r="EH165">
        <v>5.00097</v>
      </c>
      <c r="EI165">
        <v>13007.625</v>
      </c>
      <c r="EJ165">
        <v>12491.9</v>
      </c>
      <c r="EK165">
        <v>37.25</v>
      </c>
      <c r="EL165">
        <v>38.687</v>
      </c>
      <c r="EM165">
        <v>37.6405</v>
      </c>
      <c r="EN165">
        <v>38.437</v>
      </c>
      <c r="EO165">
        <v>38.125</v>
      </c>
      <c r="EP165">
        <v>1454.6775</v>
      </c>
      <c r="EQ165">
        <v>40.36</v>
      </c>
      <c r="ER165">
        <v>0</v>
      </c>
      <c r="ES165">
        <v>474.6000001430511</v>
      </c>
      <c r="ET165">
        <v>0</v>
      </c>
      <c r="EU165">
        <v>879.1881999999999</v>
      </c>
      <c r="EV165">
        <v>-39.10984611388909</v>
      </c>
      <c r="EW165">
        <v>-577.5769222015409</v>
      </c>
      <c r="EX165">
        <v>13062.076</v>
      </c>
      <c r="EY165">
        <v>15</v>
      </c>
      <c r="EZ165">
        <v>1651864261.1</v>
      </c>
      <c r="FA165" t="s">
        <v>419</v>
      </c>
      <c r="FB165">
        <v>1651864241.6</v>
      </c>
      <c r="FC165">
        <v>1651864261.1</v>
      </c>
      <c r="FD165">
        <v>7</v>
      </c>
      <c r="FE165">
        <v>0.438</v>
      </c>
      <c r="FF165">
        <v>0.002</v>
      </c>
      <c r="FG165">
        <v>-0.988</v>
      </c>
      <c r="FH165">
        <v>-0.066</v>
      </c>
      <c r="FI165">
        <v>400</v>
      </c>
      <c r="FJ165">
        <v>11</v>
      </c>
      <c r="FK165">
        <v>0.05</v>
      </c>
      <c r="FL165">
        <v>0.02</v>
      </c>
      <c r="FM165">
        <v>-8.272299</v>
      </c>
      <c r="FN165">
        <v>1.737643452157602</v>
      </c>
      <c r="FO165">
        <v>0.2378227157127764</v>
      </c>
      <c r="FP165">
        <v>-1</v>
      </c>
      <c r="FQ165">
        <v>4.647040749999999</v>
      </c>
      <c r="FR165">
        <v>-0.5122206754221508</v>
      </c>
      <c r="FS165">
        <v>0.05053008214853309</v>
      </c>
      <c r="FT165">
        <v>-1</v>
      </c>
      <c r="FU165">
        <v>0</v>
      </c>
      <c r="FV165">
        <v>0</v>
      </c>
      <c r="FW165">
        <v>0</v>
      </c>
      <c r="FX165">
        <v>-1</v>
      </c>
      <c r="FY165">
        <v>0</v>
      </c>
      <c r="FZ165">
        <v>0</v>
      </c>
      <c r="GA165" t="s">
        <v>420</v>
      </c>
      <c r="GB165">
        <v>2.98064</v>
      </c>
      <c r="GC165">
        <v>2.70612</v>
      </c>
      <c r="GD165">
        <v>0.126751</v>
      </c>
      <c r="GE165">
        <v>0.126346</v>
      </c>
      <c r="GF165">
        <v>0.08717999999999999</v>
      </c>
      <c r="GG165">
        <v>0.06977360000000001</v>
      </c>
      <c r="GH165">
        <v>27557.5</v>
      </c>
      <c r="GI165">
        <v>27631.4</v>
      </c>
      <c r="GJ165">
        <v>29343.2</v>
      </c>
      <c r="GK165">
        <v>29258.3</v>
      </c>
      <c r="GL165">
        <v>35468</v>
      </c>
      <c r="GM165">
        <v>36249.4</v>
      </c>
      <c r="GN165">
        <v>41302.2</v>
      </c>
      <c r="GO165">
        <v>41761.1</v>
      </c>
      <c r="GP165">
        <v>1.9557</v>
      </c>
      <c r="GQ165">
        <v>1.84975</v>
      </c>
      <c r="GR165">
        <v>-0.0203475</v>
      </c>
      <c r="GS165">
        <v>0</v>
      </c>
      <c r="GT165">
        <v>25.3524</v>
      </c>
      <c r="GU165">
        <v>999.9</v>
      </c>
      <c r="GV165">
        <v>31.7</v>
      </c>
      <c r="GW165">
        <v>34.3</v>
      </c>
      <c r="GX165">
        <v>19.1498</v>
      </c>
      <c r="GY165">
        <v>62.5375</v>
      </c>
      <c r="GZ165">
        <v>35.008</v>
      </c>
      <c r="HA165">
        <v>1</v>
      </c>
      <c r="HB165">
        <v>0.107381</v>
      </c>
      <c r="HC165">
        <v>2.45736</v>
      </c>
      <c r="HD165">
        <v>20.3162</v>
      </c>
      <c r="HE165">
        <v>5.21819</v>
      </c>
      <c r="HF165">
        <v>12.0099</v>
      </c>
      <c r="HG165">
        <v>4.989</v>
      </c>
      <c r="HH165">
        <v>3.2885</v>
      </c>
      <c r="HI165">
        <v>997.7</v>
      </c>
      <c r="HJ165">
        <v>9546.1</v>
      </c>
      <c r="HK165">
        <v>5139.4</v>
      </c>
      <c r="HL165">
        <v>24.9</v>
      </c>
      <c r="HM165">
        <v>1.86752</v>
      </c>
      <c r="HN165">
        <v>1.86646</v>
      </c>
      <c r="HO165">
        <v>1.866</v>
      </c>
      <c r="HP165">
        <v>1.86586</v>
      </c>
      <c r="HQ165">
        <v>1.8677</v>
      </c>
      <c r="HR165">
        <v>1.87022</v>
      </c>
      <c r="HS165">
        <v>1.86888</v>
      </c>
      <c r="HT165">
        <v>1.87026</v>
      </c>
      <c r="HU165">
        <v>0</v>
      </c>
      <c r="HV165">
        <v>0</v>
      </c>
      <c r="HW165">
        <v>0</v>
      </c>
      <c r="HX165">
        <v>0</v>
      </c>
      <c r="HY165" t="s">
        <v>421</v>
      </c>
      <c r="HZ165" t="s">
        <v>422</v>
      </c>
      <c r="IA165" t="s">
        <v>423</v>
      </c>
      <c r="IB165" t="s">
        <v>423</v>
      </c>
      <c r="IC165" t="s">
        <v>423</v>
      </c>
      <c r="ID165" t="s">
        <v>423</v>
      </c>
      <c r="IE165">
        <v>0</v>
      </c>
      <c r="IF165">
        <v>100</v>
      </c>
      <c r="IG165">
        <v>100</v>
      </c>
      <c r="IH165">
        <v>-1.406</v>
      </c>
      <c r="II165">
        <v>0.0183</v>
      </c>
      <c r="IJ165">
        <v>-0.2164499368582429</v>
      </c>
      <c r="IK165">
        <v>-0.002077099775823331</v>
      </c>
      <c r="IL165">
        <v>4.593143279902166E-07</v>
      </c>
      <c r="IM165">
        <v>-1.865383991892071E-10</v>
      </c>
      <c r="IN165">
        <v>-0.06087574426827484</v>
      </c>
      <c r="IO165">
        <v>-0.01129461987421345</v>
      </c>
      <c r="IP165">
        <v>0.00116580895745559</v>
      </c>
      <c r="IQ165">
        <v>-1.679085872906199E-05</v>
      </c>
      <c r="IR165">
        <v>2</v>
      </c>
      <c r="IS165">
        <v>2290</v>
      </c>
      <c r="IT165">
        <v>0</v>
      </c>
      <c r="IU165">
        <v>32</v>
      </c>
      <c r="IV165">
        <v>7.6</v>
      </c>
      <c r="IW165">
        <v>7.2</v>
      </c>
      <c r="IX165">
        <v>1.44287</v>
      </c>
      <c r="IY165">
        <v>2.22046</v>
      </c>
      <c r="IZ165">
        <v>1.39648</v>
      </c>
      <c r="JA165">
        <v>2.35718</v>
      </c>
      <c r="JB165">
        <v>1.49536</v>
      </c>
      <c r="JC165">
        <v>2.29492</v>
      </c>
      <c r="JD165">
        <v>38.4769</v>
      </c>
      <c r="JE165">
        <v>24.0262</v>
      </c>
      <c r="JF165">
        <v>18</v>
      </c>
      <c r="JG165">
        <v>511.252</v>
      </c>
      <c r="JH165">
        <v>428.696</v>
      </c>
      <c r="JI165">
        <v>22.2629</v>
      </c>
      <c r="JJ165">
        <v>28.6756</v>
      </c>
      <c r="JK165">
        <v>30.0004</v>
      </c>
      <c r="JL165">
        <v>28.639</v>
      </c>
      <c r="JM165">
        <v>28.5774</v>
      </c>
      <c r="JN165">
        <v>28.8416</v>
      </c>
      <c r="JO165">
        <v>28.4769</v>
      </c>
      <c r="JP165">
        <v>0</v>
      </c>
      <c r="JQ165">
        <v>22.2363</v>
      </c>
      <c r="JR165">
        <v>627.75</v>
      </c>
      <c r="JS165">
        <v>13.7527</v>
      </c>
      <c r="JT165">
        <v>100.302</v>
      </c>
      <c r="JU165">
        <v>100.229</v>
      </c>
    </row>
    <row r="166" spans="1:281">
      <c r="A166">
        <v>150</v>
      </c>
      <c r="B166">
        <v>1651864697.6</v>
      </c>
      <c r="C166">
        <v>477</v>
      </c>
      <c r="D166" t="s">
        <v>720</v>
      </c>
      <c r="E166" t="s">
        <v>721</v>
      </c>
      <c r="F166">
        <v>2</v>
      </c>
      <c r="G166" t="s">
        <v>413</v>
      </c>
      <c r="H166" t="s">
        <v>414</v>
      </c>
      <c r="I166">
        <v>1651864696.6</v>
      </c>
      <c r="J166">
        <f>(K166)/1000</f>
        <v>0</v>
      </c>
      <c r="K166">
        <f>IF(CZ166, AN166, AH166)</f>
        <v>0</v>
      </c>
      <c r="L166">
        <f>IF(CZ166, AI166, AG166)</f>
        <v>0</v>
      </c>
      <c r="M166">
        <f>DB166 - IF(AU166&gt;1, L166*CV166*100.0/(AW166*DP166), 0)</f>
        <v>0</v>
      </c>
      <c r="N166">
        <f>((T166-J166/2)*M166-L166)/(T166+J166/2)</f>
        <v>0</v>
      </c>
      <c r="O166">
        <f>N166*(DI166+DJ166)/1000.0</f>
        <v>0</v>
      </c>
      <c r="P166">
        <f>(DB166 - IF(AU166&gt;1, L166*CV166*100.0/(AW166*DP166), 0))*(DI166+DJ166)/1000.0</f>
        <v>0</v>
      </c>
      <c r="Q166">
        <f>2.0/((1/S166-1/R166)+SIGN(S166)*SQRT((1/S166-1/R166)*(1/S166-1/R166) + 4*CW166/((CW166+1)*(CW166+1))*(2*1/S166*1/R166-1/R166*1/R166)))</f>
        <v>0</v>
      </c>
      <c r="R166">
        <f>IF(LEFT(CX166,1)&lt;&gt;"0",IF(LEFT(CX166,1)="1",3.0,CY166),$D$5+$E$5*(DP166*DI166/($K$5*1000))+$F$5*(DP166*DI166/($K$5*1000))*MAX(MIN(CV166,$J$5),$I$5)*MAX(MIN(CV166,$J$5),$I$5)+$G$5*MAX(MIN(CV166,$J$5),$I$5)*(DP166*DI166/($K$5*1000))+$H$5*(DP166*DI166/($K$5*1000))*(DP166*DI166/($K$5*1000)))</f>
        <v>0</v>
      </c>
      <c r="S166">
        <f>J166*(1000-(1000*0.61365*exp(17.502*W166/(240.97+W166))/(DI166+DJ166)+DD166)/2)/(1000*0.61365*exp(17.502*W166/(240.97+W166))/(DI166+DJ166)-DD166)</f>
        <v>0</v>
      </c>
      <c r="T166">
        <f>1/((CW166+1)/(Q166/1.6)+1/(R166/1.37)) + CW166/((CW166+1)/(Q166/1.6) + CW166/(R166/1.37))</f>
        <v>0</v>
      </c>
      <c r="U166">
        <f>(CR166*CU166)</f>
        <v>0</v>
      </c>
      <c r="V166">
        <f>(DK166+(U166+2*0.95*5.67E-8*(((DK166+$B$7)+273)^4-(DK166+273)^4)-44100*J166)/(1.84*29.3*R166+8*0.95*5.67E-8*(DK166+273)^3))</f>
        <v>0</v>
      </c>
      <c r="W166">
        <f>($C$7*DL166+$D$7*DM166+$E$7*V166)</f>
        <v>0</v>
      </c>
      <c r="X166">
        <f>0.61365*exp(17.502*W166/(240.97+W166))</f>
        <v>0</v>
      </c>
      <c r="Y166">
        <f>(Z166/AA166*100)</f>
        <v>0</v>
      </c>
      <c r="Z166">
        <f>DD166*(DI166+DJ166)/1000</f>
        <v>0</v>
      </c>
      <c r="AA166">
        <f>0.61365*exp(17.502*DK166/(240.97+DK166))</f>
        <v>0</v>
      </c>
      <c r="AB166">
        <f>(X166-DD166*(DI166+DJ166)/1000)</f>
        <v>0</v>
      </c>
      <c r="AC166">
        <f>(-J166*44100)</f>
        <v>0</v>
      </c>
      <c r="AD166">
        <f>2*29.3*R166*0.92*(DK166-W166)</f>
        <v>0</v>
      </c>
      <c r="AE166">
        <f>2*0.95*5.67E-8*(((DK166+$B$7)+273)^4-(W166+273)^4)</f>
        <v>0</v>
      </c>
      <c r="AF166">
        <f>U166+AE166+AC166+AD166</f>
        <v>0</v>
      </c>
      <c r="AG166">
        <f>DH166*AU166*(DC166-DB166*(1000-AU166*DE166)/(1000-AU166*DD166))/(100*CV166)</f>
        <v>0</v>
      </c>
      <c r="AH166">
        <f>1000*DH166*AU166*(DD166-DE166)/(100*CV166*(1000-AU166*DD166))</f>
        <v>0</v>
      </c>
      <c r="AI166">
        <f>(AJ166 - AK166 - DI166*1E3/(8.314*(DK166+273.15)) * AM166/DH166 * AL166) * DH166/(100*CV166) * (1000 - DE166)/1000</f>
        <v>0</v>
      </c>
      <c r="AJ166">
        <v>657.5549365500028</v>
      </c>
      <c r="AK166">
        <v>645.2997454545452</v>
      </c>
      <c r="AL166">
        <v>-3.205040461758783</v>
      </c>
      <c r="AM166">
        <v>66.38192812717227</v>
      </c>
      <c r="AN166">
        <f>(AP166 - AO166 + DI166*1E3/(8.314*(DK166+273.15)) * AR166/DH166 * AQ166) * DH166/(100*CV166) * 1000/(1000 - AP166)</f>
        <v>0</v>
      </c>
      <c r="AO166">
        <v>13.6184991696502</v>
      </c>
      <c r="AP166">
        <v>18.20901911764706</v>
      </c>
      <c r="AQ166">
        <v>3.188754971082413E-06</v>
      </c>
      <c r="AR166">
        <v>80.47224507511959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MAX(0,($B$13+$C$13*DP166)/(1+$D$13*DP166)*DI166/(DK166+273)*$E$13)</f>
        <v>0</v>
      </c>
      <c r="AX166" t="s">
        <v>417</v>
      </c>
      <c r="AY166" t="s">
        <v>417</v>
      </c>
      <c r="AZ166">
        <v>0</v>
      </c>
      <c r="BA166">
        <v>0</v>
      </c>
      <c r="BB166">
        <f>1-AZ166/BA166</f>
        <v>0</v>
      </c>
      <c r="BC166">
        <v>0</v>
      </c>
      <c r="BD166" t="s">
        <v>417</v>
      </c>
      <c r="BE166" t="s">
        <v>417</v>
      </c>
      <c r="BF166">
        <v>0</v>
      </c>
      <c r="BG166">
        <v>0</v>
      </c>
      <c r="BH166">
        <f>1-BF166/BG166</f>
        <v>0</v>
      </c>
      <c r="BI166">
        <v>0.5</v>
      </c>
      <c r="BJ166">
        <f>CS166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417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1248</v>
      </c>
      <c r="CA166">
        <v>300</v>
      </c>
      <c r="CB166">
        <v>300</v>
      </c>
      <c r="CC166">
        <v>300</v>
      </c>
      <c r="CD166">
        <v>10442</v>
      </c>
      <c r="CE166">
        <v>1293.69</v>
      </c>
      <c r="CF166">
        <v>-0.00735246</v>
      </c>
      <c r="CG166">
        <v>0.5</v>
      </c>
      <c r="CH166" t="s">
        <v>417</v>
      </c>
      <c r="CI166" t="s">
        <v>417</v>
      </c>
      <c r="CJ166" t="s">
        <v>417</v>
      </c>
      <c r="CK166" t="s">
        <v>417</v>
      </c>
      <c r="CL166" t="s">
        <v>417</v>
      </c>
      <c r="CM166" t="s">
        <v>417</v>
      </c>
      <c r="CN166" t="s">
        <v>417</v>
      </c>
      <c r="CO166" t="s">
        <v>417</v>
      </c>
      <c r="CP166" t="s">
        <v>417</v>
      </c>
      <c r="CQ166" t="s">
        <v>417</v>
      </c>
      <c r="CR166">
        <f>$B$11*DQ166+$C$11*DR166+$F$11*EC166*(1-EF166)</f>
        <v>0</v>
      </c>
      <c r="CS166">
        <f>CR166*CT166</f>
        <v>0</v>
      </c>
      <c r="CT166">
        <f>($B$11*$D$9+$C$11*$D$9+$F$11*((EP166+EH166)/MAX(EP166+EH166+EQ166, 0.1)*$I$9+EQ166/MAX(EP166+EH166+EQ166, 0.1)*$J$9))/($B$11+$C$11+$F$11)</f>
        <v>0</v>
      </c>
      <c r="CU166">
        <f>($B$11*$K$9+$C$11*$K$9+$F$11*((EP166+EH166)/MAX(EP166+EH166+EQ166, 0.1)*$P$9+EQ166/MAX(EP166+EH166+EQ166, 0.1)*$Q$9))/($B$11+$C$11+$F$11)</f>
        <v>0</v>
      </c>
      <c r="CV166">
        <v>6</v>
      </c>
      <c r="CW166">
        <v>0.5</v>
      </c>
      <c r="CX166" t="s">
        <v>418</v>
      </c>
      <c r="CY166">
        <v>2</v>
      </c>
      <c r="CZ166" t="b">
        <v>1</v>
      </c>
      <c r="DA166">
        <v>1651864696.6</v>
      </c>
      <c r="DB166">
        <v>635.1316666666667</v>
      </c>
      <c r="DC166">
        <v>642.718</v>
      </c>
      <c r="DD166">
        <v>18.20913333333333</v>
      </c>
      <c r="DE166">
        <v>13.64286666666667</v>
      </c>
      <c r="DF166">
        <v>636.5323333333333</v>
      </c>
      <c r="DG166">
        <v>18.19076666666666</v>
      </c>
      <c r="DH166">
        <v>500.03</v>
      </c>
      <c r="DI166">
        <v>89.93743333333333</v>
      </c>
      <c r="DJ166">
        <v>0.1002496666666667</v>
      </c>
      <c r="DK166">
        <v>25.68176666666666</v>
      </c>
      <c r="DL166">
        <v>25.0189</v>
      </c>
      <c r="DM166">
        <v>999.9</v>
      </c>
      <c r="DN166">
        <v>0</v>
      </c>
      <c r="DO166">
        <v>0</v>
      </c>
      <c r="DP166">
        <v>9955</v>
      </c>
      <c r="DQ166">
        <v>0</v>
      </c>
      <c r="DR166">
        <v>3.23193</v>
      </c>
      <c r="DS166">
        <v>-7.58602</v>
      </c>
      <c r="DT166">
        <v>646.9113333333333</v>
      </c>
      <c r="DU166">
        <v>651.6073333333333</v>
      </c>
      <c r="DV166">
        <v>4.566246666666666</v>
      </c>
      <c r="DW166">
        <v>642.718</v>
      </c>
      <c r="DX166">
        <v>13.64286666666667</v>
      </c>
      <c r="DY166">
        <v>1.637683333333333</v>
      </c>
      <c r="DZ166">
        <v>1.227006666666667</v>
      </c>
      <c r="EA166">
        <v>14.318</v>
      </c>
      <c r="EB166">
        <v>9.933313333333333</v>
      </c>
      <c r="EC166">
        <v>1499.87</v>
      </c>
      <c r="ED166">
        <v>0.973007</v>
      </c>
      <c r="EE166">
        <v>0.0269931</v>
      </c>
      <c r="EF166">
        <v>0</v>
      </c>
      <c r="EG166">
        <v>874.0363333333333</v>
      </c>
      <c r="EH166">
        <v>5.00097</v>
      </c>
      <c r="EI166">
        <v>12985.43333333333</v>
      </c>
      <c r="EJ166">
        <v>12490.5</v>
      </c>
      <c r="EK166">
        <v>37.25</v>
      </c>
      <c r="EL166">
        <v>38.687</v>
      </c>
      <c r="EM166">
        <v>37.625</v>
      </c>
      <c r="EN166">
        <v>38.437</v>
      </c>
      <c r="EO166">
        <v>38.125</v>
      </c>
      <c r="EP166">
        <v>1454.52</v>
      </c>
      <c r="EQ166">
        <v>40.35</v>
      </c>
      <c r="ER166">
        <v>0</v>
      </c>
      <c r="ES166">
        <v>476.4000000953674</v>
      </c>
      <c r="ET166">
        <v>0</v>
      </c>
      <c r="EU166">
        <v>878.1799999999998</v>
      </c>
      <c r="EV166">
        <v>-39.03692311574621</v>
      </c>
      <c r="EW166">
        <v>-570.1948721369769</v>
      </c>
      <c r="EX166">
        <v>13047.71538461538</v>
      </c>
      <c r="EY166">
        <v>15</v>
      </c>
      <c r="EZ166">
        <v>1651864261.1</v>
      </c>
      <c r="FA166" t="s">
        <v>419</v>
      </c>
      <c r="FB166">
        <v>1651864241.6</v>
      </c>
      <c r="FC166">
        <v>1651864261.1</v>
      </c>
      <c r="FD166">
        <v>7</v>
      </c>
      <c r="FE166">
        <v>0.438</v>
      </c>
      <c r="FF166">
        <v>0.002</v>
      </c>
      <c r="FG166">
        <v>-0.988</v>
      </c>
      <c r="FH166">
        <v>-0.066</v>
      </c>
      <c r="FI166">
        <v>400</v>
      </c>
      <c r="FJ166">
        <v>11</v>
      </c>
      <c r="FK166">
        <v>0.05</v>
      </c>
      <c r="FL166">
        <v>0.02</v>
      </c>
      <c r="FM166">
        <v>-8.201253658536585</v>
      </c>
      <c r="FN166">
        <v>1.850556376306597</v>
      </c>
      <c r="FO166">
        <v>0.2508514005245969</v>
      </c>
      <c r="FP166">
        <v>-1</v>
      </c>
      <c r="FQ166">
        <v>4.637630243902439</v>
      </c>
      <c r="FR166">
        <v>-0.5008716376306677</v>
      </c>
      <c r="FS166">
        <v>0.05070350608398599</v>
      </c>
      <c r="FT166">
        <v>-1</v>
      </c>
      <c r="FU166">
        <v>0</v>
      </c>
      <c r="FV166">
        <v>0</v>
      </c>
      <c r="FW166">
        <v>0</v>
      </c>
      <c r="FX166">
        <v>-1</v>
      </c>
      <c r="FY166">
        <v>0</v>
      </c>
      <c r="FZ166">
        <v>0</v>
      </c>
      <c r="GA166" t="s">
        <v>420</v>
      </c>
      <c r="GB166">
        <v>2.98042</v>
      </c>
      <c r="GC166">
        <v>2.70593</v>
      </c>
      <c r="GD166">
        <v>0.12588</v>
      </c>
      <c r="GE166">
        <v>0.125444</v>
      </c>
      <c r="GF166">
        <v>0.0871826</v>
      </c>
      <c r="GG166">
        <v>0.0698226</v>
      </c>
      <c r="GH166">
        <v>27585.1</v>
      </c>
      <c r="GI166">
        <v>27659.8</v>
      </c>
      <c r="GJ166">
        <v>29343.3</v>
      </c>
      <c r="GK166">
        <v>29258.2</v>
      </c>
      <c r="GL166">
        <v>35467.9</v>
      </c>
      <c r="GM166">
        <v>36247.3</v>
      </c>
      <c r="GN166">
        <v>41302.2</v>
      </c>
      <c r="GO166">
        <v>41760.9</v>
      </c>
      <c r="GP166">
        <v>1.95555</v>
      </c>
      <c r="GQ166">
        <v>1.84985</v>
      </c>
      <c r="GR166">
        <v>-0.0203028</v>
      </c>
      <c r="GS166">
        <v>0</v>
      </c>
      <c r="GT166">
        <v>25.3524</v>
      </c>
      <c r="GU166">
        <v>999.9</v>
      </c>
      <c r="GV166">
        <v>31.7</v>
      </c>
      <c r="GW166">
        <v>34.3</v>
      </c>
      <c r="GX166">
        <v>19.1501</v>
      </c>
      <c r="GY166">
        <v>62.4875</v>
      </c>
      <c r="GZ166">
        <v>34.9359</v>
      </c>
      <c r="HA166">
        <v>1</v>
      </c>
      <c r="HB166">
        <v>0.107622</v>
      </c>
      <c r="HC166">
        <v>2.4827</v>
      </c>
      <c r="HD166">
        <v>20.3159</v>
      </c>
      <c r="HE166">
        <v>5.21819</v>
      </c>
      <c r="HF166">
        <v>12.0099</v>
      </c>
      <c r="HG166">
        <v>4.98895</v>
      </c>
      <c r="HH166">
        <v>3.28848</v>
      </c>
      <c r="HI166">
        <v>997.7</v>
      </c>
      <c r="HJ166">
        <v>9546.1</v>
      </c>
      <c r="HK166">
        <v>5139.4</v>
      </c>
      <c r="HL166">
        <v>24.9</v>
      </c>
      <c r="HM166">
        <v>1.86752</v>
      </c>
      <c r="HN166">
        <v>1.86646</v>
      </c>
      <c r="HO166">
        <v>1.866</v>
      </c>
      <c r="HP166">
        <v>1.86585</v>
      </c>
      <c r="HQ166">
        <v>1.86769</v>
      </c>
      <c r="HR166">
        <v>1.87021</v>
      </c>
      <c r="HS166">
        <v>1.86889</v>
      </c>
      <c r="HT166">
        <v>1.87025</v>
      </c>
      <c r="HU166">
        <v>0</v>
      </c>
      <c r="HV166">
        <v>0</v>
      </c>
      <c r="HW166">
        <v>0</v>
      </c>
      <c r="HX166">
        <v>0</v>
      </c>
      <c r="HY166" t="s">
        <v>421</v>
      </c>
      <c r="HZ166" t="s">
        <v>422</v>
      </c>
      <c r="IA166" t="s">
        <v>423</v>
      </c>
      <c r="IB166" t="s">
        <v>423</v>
      </c>
      <c r="IC166" t="s">
        <v>423</v>
      </c>
      <c r="ID166" t="s">
        <v>423</v>
      </c>
      <c r="IE166">
        <v>0</v>
      </c>
      <c r="IF166">
        <v>100</v>
      </c>
      <c r="IG166">
        <v>100</v>
      </c>
      <c r="IH166">
        <v>-1.395</v>
      </c>
      <c r="II166">
        <v>0.0184</v>
      </c>
      <c r="IJ166">
        <v>-0.2164499368582429</v>
      </c>
      <c r="IK166">
        <v>-0.002077099775823331</v>
      </c>
      <c r="IL166">
        <v>4.593143279902166E-07</v>
      </c>
      <c r="IM166">
        <v>-1.865383991892071E-10</v>
      </c>
      <c r="IN166">
        <v>-0.06087574426827484</v>
      </c>
      <c r="IO166">
        <v>-0.01129461987421345</v>
      </c>
      <c r="IP166">
        <v>0.00116580895745559</v>
      </c>
      <c r="IQ166">
        <v>-1.679085872906199E-05</v>
      </c>
      <c r="IR166">
        <v>2</v>
      </c>
      <c r="IS166">
        <v>2290</v>
      </c>
      <c r="IT166">
        <v>0</v>
      </c>
      <c r="IU166">
        <v>32</v>
      </c>
      <c r="IV166">
        <v>7.6</v>
      </c>
      <c r="IW166">
        <v>7.3</v>
      </c>
      <c r="IX166">
        <v>1.43066</v>
      </c>
      <c r="IY166">
        <v>2.21069</v>
      </c>
      <c r="IZ166">
        <v>1.39648</v>
      </c>
      <c r="JA166">
        <v>2.35596</v>
      </c>
      <c r="JB166">
        <v>1.49536</v>
      </c>
      <c r="JC166">
        <v>2.37549</v>
      </c>
      <c r="JD166">
        <v>38.4769</v>
      </c>
      <c r="JE166">
        <v>24.0437</v>
      </c>
      <c r="JF166">
        <v>18</v>
      </c>
      <c r="JG166">
        <v>511.162</v>
      </c>
      <c r="JH166">
        <v>428.756</v>
      </c>
      <c r="JI166">
        <v>22.2517</v>
      </c>
      <c r="JJ166">
        <v>28.6756</v>
      </c>
      <c r="JK166">
        <v>30.0004</v>
      </c>
      <c r="JL166">
        <v>28.6398</v>
      </c>
      <c r="JM166">
        <v>28.5774</v>
      </c>
      <c r="JN166">
        <v>28.5987</v>
      </c>
      <c r="JO166">
        <v>28.4769</v>
      </c>
      <c r="JP166">
        <v>0</v>
      </c>
      <c r="JQ166">
        <v>22.2363</v>
      </c>
      <c r="JR166">
        <v>621.066</v>
      </c>
      <c r="JS166">
        <v>13.7735</v>
      </c>
      <c r="JT166">
        <v>100.302</v>
      </c>
      <c r="JU166">
        <v>100.229</v>
      </c>
    </row>
    <row r="167" spans="1:281">
      <c r="A167">
        <v>151</v>
      </c>
      <c r="B167">
        <v>1651864699.6</v>
      </c>
      <c r="C167">
        <v>479</v>
      </c>
      <c r="D167" t="s">
        <v>722</v>
      </c>
      <c r="E167" t="s">
        <v>723</v>
      </c>
      <c r="F167">
        <v>2</v>
      </c>
      <c r="G167" t="s">
        <v>413</v>
      </c>
      <c r="H167" t="s">
        <v>414</v>
      </c>
      <c r="I167">
        <v>1651864698.225</v>
      </c>
      <c r="J167">
        <f>(K167)/1000</f>
        <v>0</v>
      </c>
      <c r="K167">
        <f>IF(CZ167, AN167, AH167)</f>
        <v>0</v>
      </c>
      <c r="L167">
        <f>IF(CZ167, AI167, AG167)</f>
        <v>0</v>
      </c>
      <c r="M167">
        <f>DB167 - IF(AU167&gt;1, L167*CV167*100.0/(AW167*DP167), 0)</f>
        <v>0</v>
      </c>
      <c r="N167">
        <f>((T167-J167/2)*M167-L167)/(T167+J167/2)</f>
        <v>0</v>
      </c>
      <c r="O167">
        <f>N167*(DI167+DJ167)/1000.0</f>
        <v>0</v>
      </c>
      <c r="P167">
        <f>(DB167 - IF(AU167&gt;1, L167*CV167*100.0/(AW167*DP167), 0))*(DI167+DJ167)/1000.0</f>
        <v>0</v>
      </c>
      <c r="Q167">
        <f>2.0/((1/S167-1/R167)+SIGN(S167)*SQRT((1/S167-1/R167)*(1/S167-1/R167) + 4*CW167/((CW167+1)*(CW167+1))*(2*1/S167*1/R167-1/R167*1/R167)))</f>
        <v>0</v>
      </c>
      <c r="R167">
        <f>IF(LEFT(CX167,1)&lt;&gt;"0",IF(LEFT(CX167,1)="1",3.0,CY167),$D$5+$E$5*(DP167*DI167/($K$5*1000))+$F$5*(DP167*DI167/($K$5*1000))*MAX(MIN(CV167,$J$5),$I$5)*MAX(MIN(CV167,$J$5),$I$5)+$G$5*MAX(MIN(CV167,$J$5),$I$5)*(DP167*DI167/($K$5*1000))+$H$5*(DP167*DI167/($K$5*1000))*(DP167*DI167/($K$5*1000)))</f>
        <v>0</v>
      </c>
      <c r="S167">
        <f>J167*(1000-(1000*0.61365*exp(17.502*W167/(240.97+W167))/(DI167+DJ167)+DD167)/2)/(1000*0.61365*exp(17.502*W167/(240.97+W167))/(DI167+DJ167)-DD167)</f>
        <v>0</v>
      </c>
      <c r="T167">
        <f>1/((CW167+1)/(Q167/1.6)+1/(R167/1.37)) + CW167/((CW167+1)/(Q167/1.6) + CW167/(R167/1.37))</f>
        <v>0</v>
      </c>
      <c r="U167">
        <f>(CR167*CU167)</f>
        <v>0</v>
      </c>
      <c r="V167">
        <f>(DK167+(U167+2*0.95*5.67E-8*(((DK167+$B$7)+273)^4-(DK167+273)^4)-44100*J167)/(1.84*29.3*R167+8*0.95*5.67E-8*(DK167+273)^3))</f>
        <v>0</v>
      </c>
      <c r="W167">
        <f>($C$7*DL167+$D$7*DM167+$E$7*V167)</f>
        <v>0</v>
      </c>
      <c r="X167">
        <f>0.61365*exp(17.502*W167/(240.97+W167))</f>
        <v>0</v>
      </c>
      <c r="Y167">
        <f>(Z167/AA167*100)</f>
        <v>0</v>
      </c>
      <c r="Z167">
        <f>DD167*(DI167+DJ167)/1000</f>
        <v>0</v>
      </c>
      <c r="AA167">
        <f>0.61365*exp(17.502*DK167/(240.97+DK167))</f>
        <v>0</v>
      </c>
      <c r="AB167">
        <f>(X167-DD167*(DI167+DJ167)/1000)</f>
        <v>0</v>
      </c>
      <c r="AC167">
        <f>(-J167*44100)</f>
        <v>0</v>
      </c>
      <c r="AD167">
        <f>2*29.3*R167*0.92*(DK167-W167)</f>
        <v>0</v>
      </c>
      <c r="AE167">
        <f>2*0.95*5.67E-8*(((DK167+$B$7)+273)^4-(W167+273)^4)</f>
        <v>0</v>
      </c>
      <c r="AF167">
        <f>U167+AE167+AC167+AD167</f>
        <v>0</v>
      </c>
      <c r="AG167">
        <f>DH167*AU167*(DC167-DB167*(1000-AU167*DE167)/(1000-AU167*DD167))/(100*CV167)</f>
        <v>0</v>
      </c>
      <c r="AH167">
        <f>1000*DH167*AU167*(DD167-DE167)/(100*CV167*(1000-AU167*DD167))</f>
        <v>0</v>
      </c>
      <c r="AI167">
        <f>(AJ167 - AK167 - DI167*1E3/(8.314*(DK167+273.15)) * AM167/DH167 * AL167) * DH167/(100*CV167) * (1000 - DE167)/1000</f>
        <v>0</v>
      </c>
      <c r="AJ167">
        <v>650.8325529705528</v>
      </c>
      <c r="AK167">
        <v>638.8536969696966</v>
      </c>
      <c r="AL167">
        <v>-3.221827533416482</v>
      </c>
      <c r="AM167">
        <v>66.38192812717227</v>
      </c>
      <c r="AN167">
        <f>(AP167 - AO167 + DI167*1E3/(8.314*(DK167+273.15)) * AR167/DH167 * AQ167) * DH167/(100*CV167) * 1000/(1000 - AP167)</f>
        <v>0</v>
      </c>
      <c r="AO167">
        <v>13.63427518582268</v>
      </c>
      <c r="AP167">
        <v>18.21068911764704</v>
      </c>
      <c r="AQ167">
        <v>8.529003991875303E-07</v>
      </c>
      <c r="AR167">
        <v>80.47224507511959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MAX(0,($B$13+$C$13*DP167)/(1+$D$13*DP167)*DI167/(DK167+273)*$E$13)</f>
        <v>0</v>
      </c>
      <c r="AX167" t="s">
        <v>417</v>
      </c>
      <c r="AY167" t="s">
        <v>417</v>
      </c>
      <c r="AZ167">
        <v>0</v>
      </c>
      <c r="BA167">
        <v>0</v>
      </c>
      <c r="BB167">
        <f>1-AZ167/BA167</f>
        <v>0</v>
      </c>
      <c r="BC167">
        <v>0</v>
      </c>
      <c r="BD167" t="s">
        <v>417</v>
      </c>
      <c r="BE167" t="s">
        <v>417</v>
      </c>
      <c r="BF167">
        <v>0</v>
      </c>
      <c r="BG167">
        <v>0</v>
      </c>
      <c r="BH167">
        <f>1-BF167/BG167</f>
        <v>0</v>
      </c>
      <c r="BI167">
        <v>0.5</v>
      </c>
      <c r="BJ167">
        <f>CS167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417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1248</v>
      </c>
      <c r="CA167">
        <v>300</v>
      </c>
      <c r="CB167">
        <v>300</v>
      </c>
      <c r="CC167">
        <v>300</v>
      </c>
      <c r="CD167">
        <v>10442</v>
      </c>
      <c r="CE167">
        <v>1293.69</v>
      </c>
      <c r="CF167">
        <v>-0.00735246</v>
      </c>
      <c r="CG167">
        <v>0.5</v>
      </c>
      <c r="CH167" t="s">
        <v>417</v>
      </c>
      <c r="CI167" t="s">
        <v>417</v>
      </c>
      <c r="CJ167" t="s">
        <v>417</v>
      </c>
      <c r="CK167" t="s">
        <v>417</v>
      </c>
      <c r="CL167" t="s">
        <v>417</v>
      </c>
      <c r="CM167" t="s">
        <v>417</v>
      </c>
      <c r="CN167" t="s">
        <v>417</v>
      </c>
      <c r="CO167" t="s">
        <v>417</v>
      </c>
      <c r="CP167" t="s">
        <v>417</v>
      </c>
      <c r="CQ167" t="s">
        <v>417</v>
      </c>
      <c r="CR167">
        <f>$B$11*DQ167+$C$11*DR167+$F$11*EC167*(1-EF167)</f>
        <v>0</v>
      </c>
      <c r="CS167">
        <f>CR167*CT167</f>
        <v>0</v>
      </c>
      <c r="CT167">
        <f>($B$11*$D$9+$C$11*$D$9+$F$11*((EP167+EH167)/MAX(EP167+EH167+EQ167, 0.1)*$I$9+EQ167/MAX(EP167+EH167+EQ167, 0.1)*$J$9))/($B$11+$C$11+$F$11)</f>
        <v>0</v>
      </c>
      <c r="CU167">
        <f>($B$11*$K$9+$C$11*$K$9+$F$11*((EP167+EH167)/MAX(EP167+EH167+EQ167, 0.1)*$P$9+EQ167/MAX(EP167+EH167+EQ167, 0.1)*$Q$9))/($B$11+$C$11+$F$11)</f>
        <v>0</v>
      </c>
      <c r="CV167">
        <v>6</v>
      </c>
      <c r="CW167">
        <v>0.5</v>
      </c>
      <c r="CX167" t="s">
        <v>418</v>
      </c>
      <c r="CY167">
        <v>2</v>
      </c>
      <c r="CZ167" t="b">
        <v>1</v>
      </c>
      <c r="DA167">
        <v>1651864698.225</v>
      </c>
      <c r="DB167">
        <v>629.9955</v>
      </c>
      <c r="DC167">
        <v>637.34275</v>
      </c>
      <c r="DD167">
        <v>18.209975</v>
      </c>
      <c r="DE167">
        <v>13.657225</v>
      </c>
      <c r="DF167">
        <v>631.38725</v>
      </c>
      <c r="DG167">
        <v>18.1916</v>
      </c>
      <c r="DH167">
        <v>500.0050000000001</v>
      </c>
      <c r="DI167">
        <v>89.93677500000001</v>
      </c>
      <c r="DJ167">
        <v>0.09986397499999999</v>
      </c>
      <c r="DK167">
        <v>25.682025</v>
      </c>
      <c r="DL167">
        <v>25.0193</v>
      </c>
      <c r="DM167">
        <v>999.9</v>
      </c>
      <c r="DN167">
        <v>0</v>
      </c>
      <c r="DO167">
        <v>0</v>
      </c>
      <c r="DP167">
        <v>9990.950000000001</v>
      </c>
      <c r="DQ167">
        <v>0</v>
      </c>
      <c r="DR167">
        <v>3.23193</v>
      </c>
      <c r="DS167">
        <v>-7.34694</v>
      </c>
      <c r="DT167">
        <v>641.68025</v>
      </c>
      <c r="DU167">
        <v>646.16725</v>
      </c>
      <c r="DV167">
        <v>4.55274</v>
      </c>
      <c r="DW167">
        <v>637.34275</v>
      </c>
      <c r="DX167">
        <v>13.657225</v>
      </c>
      <c r="DY167">
        <v>1.637745</v>
      </c>
      <c r="DZ167">
        <v>1.2282875</v>
      </c>
      <c r="EA167">
        <v>14.318625</v>
      </c>
      <c r="EB167">
        <v>9.9488825</v>
      </c>
      <c r="EC167">
        <v>1500.02</v>
      </c>
      <c r="ED167">
        <v>0.9730045</v>
      </c>
      <c r="EE167">
        <v>0.026995475</v>
      </c>
      <c r="EF167">
        <v>0</v>
      </c>
      <c r="EG167">
        <v>872.84225</v>
      </c>
      <c r="EH167">
        <v>5.00097</v>
      </c>
      <c r="EI167">
        <v>12971.6</v>
      </c>
      <c r="EJ167">
        <v>12491.8</v>
      </c>
      <c r="EK167">
        <v>37.25</v>
      </c>
      <c r="EL167">
        <v>38.70274999999999</v>
      </c>
      <c r="EM167">
        <v>37.625</v>
      </c>
      <c r="EN167">
        <v>38.437</v>
      </c>
      <c r="EO167">
        <v>38.125</v>
      </c>
      <c r="EP167">
        <v>1454.6625</v>
      </c>
      <c r="EQ167">
        <v>40.3575</v>
      </c>
      <c r="ER167">
        <v>0</v>
      </c>
      <c r="ES167">
        <v>478.2000000476837</v>
      </c>
      <c r="ET167">
        <v>0</v>
      </c>
      <c r="EU167">
        <v>876.8358800000001</v>
      </c>
      <c r="EV167">
        <v>-38.6644614952678</v>
      </c>
      <c r="EW167">
        <v>-558.5384606596045</v>
      </c>
      <c r="EX167">
        <v>13027.98</v>
      </c>
      <c r="EY167">
        <v>15</v>
      </c>
      <c r="EZ167">
        <v>1651864261.1</v>
      </c>
      <c r="FA167" t="s">
        <v>419</v>
      </c>
      <c r="FB167">
        <v>1651864241.6</v>
      </c>
      <c r="FC167">
        <v>1651864261.1</v>
      </c>
      <c r="FD167">
        <v>7</v>
      </c>
      <c r="FE167">
        <v>0.438</v>
      </c>
      <c r="FF167">
        <v>0.002</v>
      </c>
      <c r="FG167">
        <v>-0.988</v>
      </c>
      <c r="FH167">
        <v>-0.066</v>
      </c>
      <c r="FI167">
        <v>400</v>
      </c>
      <c r="FJ167">
        <v>11</v>
      </c>
      <c r="FK167">
        <v>0.05</v>
      </c>
      <c r="FL167">
        <v>0.02</v>
      </c>
      <c r="FM167">
        <v>-8.04097125</v>
      </c>
      <c r="FN167">
        <v>2.500758911819888</v>
      </c>
      <c r="FO167">
        <v>0.3264715837036012</v>
      </c>
      <c r="FP167">
        <v>-1</v>
      </c>
      <c r="FQ167">
        <v>4.6148695</v>
      </c>
      <c r="FR167">
        <v>-0.4505826641651143</v>
      </c>
      <c r="FS167">
        <v>0.04465977356357732</v>
      </c>
      <c r="FT167">
        <v>-1</v>
      </c>
      <c r="FU167">
        <v>0</v>
      </c>
      <c r="FV167">
        <v>0</v>
      </c>
      <c r="FW167">
        <v>0</v>
      </c>
      <c r="FX167">
        <v>-1</v>
      </c>
      <c r="FY167">
        <v>0</v>
      </c>
      <c r="FZ167">
        <v>0</v>
      </c>
      <c r="GA167" t="s">
        <v>420</v>
      </c>
      <c r="GB167">
        <v>2.98054</v>
      </c>
      <c r="GC167">
        <v>2.70597</v>
      </c>
      <c r="GD167">
        <v>0.124997</v>
      </c>
      <c r="GE167">
        <v>0.124538</v>
      </c>
      <c r="GF167">
        <v>0.0871876</v>
      </c>
      <c r="GG167">
        <v>0.0698915</v>
      </c>
      <c r="GH167">
        <v>27612.9</v>
      </c>
      <c r="GI167">
        <v>27688.4</v>
      </c>
      <c r="GJ167">
        <v>29343.3</v>
      </c>
      <c r="GK167">
        <v>29258</v>
      </c>
      <c r="GL167">
        <v>35467.7</v>
      </c>
      <c r="GM167">
        <v>36244.7</v>
      </c>
      <c r="GN167">
        <v>41302.2</v>
      </c>
      <c r="GO167">
        <v>41761</v>
      </c>
      <c r="GP167">
        <v>1.95543</v>
      </c>
      <c r="GQ167">
        <v>1.8499</v>
      </c>
      <c r="GR167">
        <v>-0.0201836</v>
      </c>
      <c r="GS167">
        <v>0</v>
      </c>
      <c r="GT167">
        <v>25.3524</v>
      </c>
      <c r="GU167">
        <v>999.9</v>
      </c>
      <c r="GV167">
        <v>31.7</v>
      </c>
      <c r="GW167">
        <v>34.3</v>
      </c>
      <c r="GX167">
        <v>19.1497</v>
      </c>
      <c r="GY167">
        <v>62.3775</v>
      </c>
      <c r="GZ167">
        <v>34.7756</v>
      </c>
      <c r="HA167">
        <v>1</v>
      </c>
      <c r="HB167">
        <v>0.107797</v>
      </c>
      <c r="HC167">
        <v>2.46715</v>
      </c>
      <c r="HD167">
        <v>20.3161</v>
      </c>
      <c r="HE167">
        <v>5.21759</v>
      </c>
      <c r="HF167">
        <v>12.0099</v>
      </c>
      <c r="HG167">
        <v>4.989</v>
      </c>
      <c r="HH167">
        <v>3.28845</v>
      </c>
      <c r="HI167">
        <v>997.7</v>
      </c>
      <c r="HJ167">
        <v>9546.1</v>
      </c>
      <c r="HK167">
        <v>5139.4</v>
      </c>
      <c r="HL167">
        <v>24.9</v>
      </c>
      <c r="HM167">
        <v>1.86752</v>
      </c>
      <c r="HN167">
        <v>1.86646</v>
      </c>
      <c r="HO167">
        <v>1.866</v>
      </c>
      <c r="HP167">
        <v>1.86586</v>
      </c>
      <c r="HQ167">
        <v>1.8677</v>
      </c>
      <c r="HR167">
        <v>1.87021</v>
      </c>
      <c r="HS167">
        <v>1.8689</v>
      </c>
      <c r="HT167">
        <v>1.87025</v>
      </c>
      <c r="HU167">
        <v>0</v>
      </c>
      <c r="HV167">
        <v>0</v>
      </c>
      <c r="HW167">
        <v>0</v>
      </c>
      <c r="HX167">
        <v>0</v>
      </c>
      <c r="HY167" t="s">
        <v>421</v>
      </c>
      <c r="HZ167" t="s">
        <v>422</v>
      </c>
      <c r="IA167" t="s">
        <v>423</v>
      </c>
      <c r="IB167" t="s">
        <v>423</v>
      </c>
      <c r="IC167" t="s">
        <v>423</v>
      </c>
      <c r="ID167" t="s">
        <v>423</v>
      </c>
      <c r="IE167">
        <v>0</v>
      </c>
      <c r="IF167">
        <v>100</v>
      </c>
      <c r="IG167">
        <v>100</v>
      </c>
      <c r="IH167">
        <v>-1.384</v>
      </c>
      <c r="II167">
        <v>0.0184</v>
      </c>
      <c r="IJ167">
        <v>-0.2164499368582429</v>
      </c>
      <c r="IK167">
        <v>-0.002077099775823331</v>
      </c>
      <c r="IL167">
        <v>4.593143279902166E-07</v>
      </c>
      <c r="IM167">
        <v>-1.865383991892071E-10</v>
      </c>
      <c r="IN167">
        <v>-0.06087574426827484</v>
      </c>
      <c r="IO167">
        <v>-0.01129461987421345</v>
      </c>
      <c r="IP167">
        <v>0.00116580895745559</v>
      </c>
      <c r="IQ167">
        <v>-1.679085872906199E-05</v>
      </c>
      <c r="IR167">
        <v>2</v>
      </c>
      <c r="IS167">
        <v>2290</v>
      </c>
      <c r="IT167">
        <v>0</v>
      </c>
      <c r="IU167">
        <v>32</v>
      </c>
      <c r="IV167">
        <v>7.6</v>
      </c>
      <c r="IW167">
        <v>7.3</v>
      </c>
      <c r="IX167">
        <v>1.41846</v>
      </c>
      <c r="IY167">
        <v>2.21924</v>
      </c>
      <c r="IZ167">
        <v>1.39648</v>
      </c>
      <c r="JA167">
        <v>2.35596</v>
      </c>
      <c r="JB167">
        <v>1.49536</v>
      </c>
      <c r="JC167">
        <v>2.31079</v>
      </c>
      <c r="JD167">
        <v>38.4769</v>
      </c>
      <c r="JE167">
        <v>24.035</v>
      </c>
      <c r="JF167">
        <v>18</v>
      </c>
      <c r="JG167">
        <v>511.081</v>
      </c>
      <c r="JH167">
        <v>428.786</v>
      </c>
      <c r="JI167">
        <v>22.2396</v>
      </c>
      <c r="JJ167">
        <v>28.6756</v>
      </c>
      <c r="JK167">
        <v>30.0004</v>
      </c>
      <c r="JL167">
        <v>28.6398</v>
      </c>
      <c r="JM167">
        <v>28.5774</v>
      </c>
      <c r="JN167">
        <v>28.3609</v>
      </c>
      <c r="JO167">
        <v>28.2062</v>
      </c>
      <c r="JP167">
        <v>0</v>
      </c>
      <c r="JQ167">
        <v>22.2172</v>
      </c>
      <c r="JR167">
        <v>614.385</v>
      </c>
      <c r="JS167">
        <v>13.7926</v>
      </c>
      <c r="JT167">
        <v>100.302</v>
      </c>
      <c r="JU167">
        <v>100.229</v>
      </c>
    </row>
    <row r="168" spans="1:281">
      <c r="A168">
        <v>152</v>
      </c>
      <c r="B168">
        <v>1651864701.6</v>
      </c>
      <c r="C168">
        <v>481</v>
      </c>
      <c r="D168" t="s">
        <v>724</v>
      </c>
      <c r="E168" t="s">
        <v>725</v>
      </c>
      <c r="F168">
        <v>2</v>
      </c>
      <c r="G168" t="s">
        <v>413</v>
      </c>
      <c r="H168" t="s">
        <v>414</v>
      </c>
      <c r="I168">
        <v>1651864700.6</v>
      </c>
      <c r="J168">
        <f>(K168)/1000</f>
        <v>0</v>
      </c>
      <c r="K168">
        <f>IF(CZ168, AN168, AH168)</f>
        <v>0</v>
      </c>
      <c r="L168">
        <f>IF(CZ168, AI168, AG168)</f>
        <v>0</v>
      </c>
      <c r="M168">
        <f>DB168 - IF(AU168&gt;1, L168*CV168*100.0/(AW168*DP168), 0)</f>
        <v>0</v>
      </c>
      <c r="N168">
        <f>((T168-J168/2)*M168-L168)/(T168+J168/2)</f>
        <v>0</v>
      </c>
      <c r="O168">
        <f>N168*(DI168+DJ168)/1000.0</f>
        <v>0</v>
      </c>
      <c r="P168">
        <f>(DB168 - IF(AU168&gt;1, L168*CV168*100.0/(AW168*DP168), 0))*(DI168+DJ168)/1000.0</f>
        <v>0</v>
      </c>
      <c r="Q168">
        <f>2.0/((1/S168-1/R168)+SIGN(S168)*SQRT((1/S168-1/R168)*(1/S168-1/R168) + 4*CW168/((CW168+1)*(CW168+1))*(2*1/S168*1/R168-1/R168*1/R168)))</f>
        <v>0</v>
      </c>
      <c r="R168">
        <f>IF(LEFT(CX168,1)&lt;&gt;"0",IF(LEFT(CX168,1)="1",3.0,CY168),$D$5+$E$5*(DP168*DI168/($K$5*1000))+$F$5*(DP168*DI168/($K$5*1000))*MAX(MIN(CV168,$J$5),$I$5)*MAX(MIN(CV168,$J$5),$I$5)+$G$5*MAX(MIN(CV168,$J$5),$I$5)*(DP168*DI168/($K$5*1000))+$H$5*(DP168*DI168/($K$5*1000))*(DP168*DI168/($K$5*1000)))</f>
        <v>0</v>
      </c>
      <c r="S168">
        <f>J168*(1000-(1000*0.61365*exp(17.502*W168/(240.97+W168))/(DI168+DJ168)+DD168)/2)/(1000*0.61365*exp(17.502*W168/(240.97+W168))/(DI168+DJ168)-DD168)</f>
        <v>0</v>
      </c>
      <c r="T168">
        <f>1/((CW168+1)/(Q168/1.6)+1/(R168/1.37)) + CW168/((CW168+1)/(Q168/1.6) + CW168/(R168/1.37))</f>
        <v>0</v>
      </c>
      <c r="U168">
        <f>(CR168*CU168)</f>
        <v>0</v>
      </c>
      <c r="V168">
        <f>(DK168+(U168+2*0.95*5.67E-8*(((DK168+$B$7)+273)^4-(DK168+273)^4)-44100*J168)/(1.84*29.3*R168+8*0.95*5.67E-8*(DK168+273)^3))</f>
        <v>0</v>
      </c>
      <c r="W168">
        <f>($C$7*DL168+$D$7*DM168+$E$7*V168)</f>
        <v>0</v>
      </c>
      <c r="X168">
        <f>0.61365*exp(17.502*W168/(240.97+W168))</f>
        <v>0</v>
      </c>
      <c r="Y168">
        <f>(Z168/AA168*100)</f>
        <v>0</v>
      </c>
      <c r="Z168">
        <f>DD168*(DI168+DJ168)/1000</f>
        <v>0</v>
      </c>
      <c r="AA168">
        <f>0.61365*exp(17.502*DK168/(240.97+DK168))</f>
        <v>0</v>
      </c>
      <c r="AB168">
        <f>(X168-DD168*(DI168+DJ168)/1000)</f>
        <v>0</v>
      </c>
      <c r="AC168">
        <f>(-J168*44100)</f>
        <v>0</v>
      </c>
      <c r="AD168">
        <f>2*29.3*R168*0.92*(DK168-W168)</f>
        <v>0</v>
      </c>
      <c r="AE168">
        <f>2*0.95*5.67E-8*(((DK168+$B$7)+273)^4-(W168+273)^4)</f>
        <v>0</v>
      </c>
      <c r="AF168">
        <f>U168+AE168+AC168+AD168</f>
        <v>0</v>
      </c>
      <c r="AG168">
        <f>DH168*AU168*(DC168-DB168*(1000-AU168*DE168)/(1000-AU168*DD168))/(100*CV168)</f>
        <v>0</v>
      </c>
      <c r="AH168">
        <f>1000*DH168*AU168*(DD168-DE168)/(100*CV168*(1000-AU168*DD168))</f>
        <v>0</v>
      </c>
      <c r="AI168">
        <f>(AJ168 - AK168 - DI168*1E3/(8.314*(DK168+273.15)) * AM168/DH168 * AL168) * DH168/(100*CV168) * (1000 - DE168)/1000</f>
        <v>0</v>
      </c>
      <c r="AJ168">
        <v>644.1382065938474</v>
      </c>
      <c r="AK168">
        <v>632.3810484848483</v>
      </c>
      <c r="AL168">
        <v>-3.235147031323092</v>
      </c>
      <c r="AM168">
        <v>66.38192812717227</v>
      </c>
      <c r="AN168">
        <f>(AP168 - AO168 + DI168*1E3/(8.314*(DK168+273.15)) * AR168/DH168 * AQ168) * DH168/(100*CV168) * 1000/(1000 - AP168)</f>
        <v>0</v>
      </c>
      <c r="AO168">
        <v>13.6470028093016</v>
      </c>
      <c r="AP168">
        <v>18.21167911764706</v>
      </c>
      <c r="AQ168">
        <v>5.032727140489322E-06</v>
      </c>
      <c r="AR168">
        <v>80.47224507511959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MAX(0,($B$13+$C$13*DP168)/(1+$D$13*DP168)*DI168/(DK168+273)*$E$13)</f>
        <v>0</v>
      </c>
      <c r="AX168" t="s">
        <v>417</v>
      </c>
      <c r="AY168" t="s">
        <v>417</v>
      </c>
      <c r="AZ168">
        <v>0</v>
      </c>
      <c r="BA168">
        <v>0</v>
      </c>
      <c r="BB168">
        <f>1-AZ168/BA168</f>
        <v>0</v>
      </c>
      <c r="BC168">
        <v>0</v>
      </c>
      <c r="BD168" t="s">
        <v>417</v>
      </c>
      <c r="BE168" t="s">
        <v>417</v>
      </c>
      <c r="BF168">
        <v>0</v>
      </c>
      <c r="BG168">
        <v>0</v>
      </c>
      <c r="BH168">
        <f>1-BF168/BG168</f>
        <v>0</v>
      </c>
      <c r="BI168">
        <v>0.5</v>
      </c>
      <c r="BJ168">
        <f>CS168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417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1248</v>
      </c>
      <c r="CA168">
        <v>300</v>
      </c>
      <c r="CB168">
        <v>300</v>
      </c>
      <c r="CC168">
        <v>300</v>
      </c>
      <c r="CD168">
        <v>10442</v>
      </c>
      <c r="CE168">
        <v>1293.69</v>
      </c>
      <c r="CF168">
        <v>-0.00735246</v>
      </c>
      <c r="CG168">
        <v>0.5</v>
      </c>
      <c r="CH168" t="s">
        <v>417</v>
      </c>
      <c r="CI168" t="s">
        <v>417</v>
      </c>
      <c r="CJ168" t="s">
        <v>417</v>
      </c>
      <c r="CK168" t="s">
        <v>417</v>
      </c>
      <c r="CL168" t="s">
        <v>417</v>
      </c>
      <c r="CM168" t="s">
        <v>417</v>
      </c>
      <c r="CN168" t="s">
        <v>417</v>
      </c>
      <c r="CO168" t="s">
        <v>417</v>
      </c>
      <c r="CP168" t="s">
        <v>417</v>
      </c>
      <c r="CQ168" t="s">
        <v>417</v>
      </c>
      <c r="CR168">
        <f>$B$11*DQ168+$C$11*DR168+$F$11*EC168*(1-EF168)</f>
        <v>0</v>
      </c>
      <c r="CS168">
        <f>CR168*CT168</f>
        <v>0</v>
      </c>
      <c r="CT168">
        <f>($B$11*$D$9+$C$11*$D$9+$F$11*((EP168+EH168)/MAX(EP168+EH168+EQ168, 0.1)*$I$9+EQ168/MAX(EP168+EH168+EQ168, 0.1)*$J$9))/($B$11+$C$11+$F$11)</f>
        <v>0</v>
      </c>
      <c r="CU168">
        <f>($B$11*$K$9+$C$11*$K$9+$F$11*((EP168+EH168)/MAX(EP168+EH168+EQ168, 0.1)*$P$9+EQ168/MAX(EP168+EH168+EQ168, 0.1)*$Q$9))/($B$11+$C$11+$F$11)</f>
        <v>0</v>
      </c>
      <c r="CV168">
        <v>6</v>
      </c>
      <c r="CW168">
        <v>0.5</v>
      </c>
      <c r="CX168" t="s">
        <v>418</v>
      </c>
      <c r="CY168">
        <v>2</v>
      </c>
      <c r="CZ168" t="b">
        <v>1</v>
      </c>
      <c r="DA168">
        <v>1651864700.6</v>
      </c>
      <c r="DB168">
        <v>622.456</v>
      </c>
      <c r="DC168">
        <v>629.5106666666667</v>
      </c>
      <c r="DD168">
        <v>18.2113</v>
      </c>
      <c r="DE168">
        <v>13.67936666666667</v>
      </c>
      <c r="DF168">
        <v>623.835</v>
      </c>
      <c r="DG168">
        <v>18.1929</v>
      </c>
      <c r="DH168">
        <v>500.0216666666667</v>
      </c>
      <c r="DI168">
        <v>89.93733333333334</v>
      </c>
      <c r="DJ168">
        <v>0.09977436666666667</v>
      </c>
      <c r="DK168">
        <v>25.6806</v>
      </c>
      <c r="DL168">
        <v>25.0209</v>
      </c>
      <c r="DM168">
        <v>999.9</v>
      </c>
      <c r="DN168">
        <v>0</v>
      </c>
      <c r="DO168">
        <v>0</v>
      </c>
      <c r="DP168">
        <v>10010</v>
      </c>
      <c r="DQ168">
        <v>0</v>
      </c>
      <c r="DR168">
        <v>3.23193</v>
      </c>
      <c r="DS168">
        <v>-7.054623333333333</v>
      </c>
      <c r="DT168">
        <v>634.0023333333332</v>
      </c>
      <c r="DU168">
        <v>638.2416666666667</v>
      </c>
      <c r="DV168">
        <v>4.531913333333333</v>
      </c>
      <c r="DW168">
        <v>629.5106666666667</v>
      </c>
      <c r="DX168">
        <v>13.67936666666667</v>
      </c>
      <c r="DY168">
        <v>1.637876666666666</v>
      </c>
      <c r="DZ168">
        <v>1.23029</v>
      </c>
      <c r="EA168">
        <v>14.31983333333334</v>
      </c>
      <c r="EB168">
        <v>9.973186666666669</v>
      </c>
      <c r="EC168">
        <v>1499.963333333333</v>
      </c>
      <c r="ED168">
        <v>0.9730086666666665</v>
      </c>
      <c r="EE168">
        <v>0.0269913</v>
      </c>
      <c r="EF168">
        <v>0</v>
      </c>
      <c r="EG168">
        <v>871.7866666666667</v>
      </c>
      <c r="EH168">
        <v>5.00097</v>
      </c>
      <c r="EI168">
        <v>12952.06666666667</v>
      </c>
      <c r="EJ168">
        <v>12491.33333333333</v>
      </c>
      <c r="EK168">
        <v>37.25</v>
      </c>
      <c r="EL168">
        <v>38.687</v>
      </c>
      <c r="EM168">
        <v>37.625</v>
      </c>
      <c r="EN168">
        <v>38.437</v>
      </c>
      <c r="EO168">
        <v>38.125</v>
      </c>
      <c r="EP168">
        <v>1454.613333333333</v>
      </c>
      <c r="EQ168">
        <v>40.35</v>
      </c>
      <c r="ER168">
        <v>0</v>
      </c>
      <c r="ES168">
        <v>480.6000001430511</v>
      </c>
      <c r="ET168">
        <v>0</v>
      </c>
      <c r="EU168">
        <v>875.33068</v>
      </c>
      <c r="EV168">
        <v>-37.97784612111045</v>
      </c>
      <c r="EW168">
        <v>-544.2769222697202</v>
      </c>
      <c r="EX168">
        <v>13005.788</v>
      </c>
      <c r="EY168">
        <v>15</v>
      </c>
      <c r="EZ168">
        <v>1651864261.1</v>
      </c>
      <c r="FA168" t="s">
        <v>419</v>
      </c>
      <c r="FB168">
        <v>1651864241.6</v>
      </c>
      <c r="FC168">
        <v>1651864261.1</v>
      </c>
      <c r="FD168">
        <v>7</v>
      </c>
      <c r="FE168">
        <v>0.438</v>
      </c>
      <c r="FF168">
        <v>0.002</v>
      </c>
      <c r="FG168">
        <v>-0.988</v>
      </c>
      <c r="FH168">
        <v>-0.066</v>
      </c>
      <c r="FI168">
        <v>400</v>
      </c>
      <c r="FJ168">
        <v>11</v>
      </c>
      <c r="FK168">
        <v>0.05</v>
      </c>
      <c r="FL168">
        <v>0.02</v>
      </c>
      <c r="FM168">
        <v>-7.97779075</v>
      </c>
      <c r="FN168">
        <v>2.954399662288934</v>
      </c>
      <c r="FO168">
        <v>0.3720368473914076</v>
      </c>
      <c r="FP168">
        <v>-1</v>
      </c>
      <c r="FQ168">
        <v>4.6066075</v>
      </c>
      <c r="FR168">
        <v>-0.4310971857410842</v>
      </c>
      <c r="FS168">
        <v>0.04261122843512023</v>
      </c>
      <c r="FT168">
        <v>-1</v>
      </c>
      <c r="FU168">
        <v>0</v>
      </c>
      <c r="FV168">
        <v>0</v>
      </c>
      <c r="FW168">
        <v>0</v>
      </c>
      <c r="FX168">
        <v>-1</v>
      </c>
      <c r="FY168">
        <v>0</v>
      </c>
      <c r="FZ168">
        <v>0</v>
      </c>
      <c r="GA168" t="s">
        <v>420</v>
      </c>
      <c r="GB168">
        <v>2.98026</v>
      </c>
      <c r="GC168">
        <v>2.70606</v>
      </c>
      <c r="GD168">
        <v>0.124106</v>
      </c>
      <c r="GE168">
        <v>0.123637</v>
      </c>
      <c r="GF168">
        <v>0.08719399999999999</v>
      </c>
      <c r="GG168">
        <v>0.069981</v>
      </c>
      <c r="GH168">
        <v>27641.3</v>
      </c>
      <c r="GI168">
        <v>27717.2</v>
      </c>
      <c r="GJ168">
        <v>29343.5</v>
      </c>
      <c r="GK168">
        <v>29258.3</v>
      </c>
      <c r="GL168">
        <v>35467.7</v>
      </c>
      <c r="GM168">
        <v>36241.4</v>
      </c>
      <c r="GN168">
        <v>41302.5</v>
      </c>
      <c r="GO168">
        <v>41761.3</v>
      </c>
      <c r="GP168">
        <v>1.95548</v>
      </c>
      <c r="GQ168">
        <v>1.85005</v>
      </c>
      <c r="GR168">
        <v>-0.0204369</v>
      </c>
      <c r="GS168">
        <v>0</v>
      </c>
      <c r="GT168">
        <v>25.3524</v>
      </c>
      <c r="GU168">
        <v>999.9</v>
      </c>
      <c r="GV168">
        <v>31.7</v>
      </c>
      <c r="GW168">
        <v>34.3</v>
      </c>
      <c r="GX168">
        <v>19.1484</v>
      </c>
      <c r="GY168">
        <v>62.3275</v>
      </c>
      <c r="GZ168">
        <v>35.2684</v>
      </c>
      <c r="HA168">
        <v>1</v>
      </c>
      <c r="HB168">
        <v>0.107754</v>
      </c>
      <c r="HC168">
        <v>2.47633</v>
      </c>
      <c r="HD168">
        <v>20.316</v>
      </c>
      <c r="HE168">
        <v>5.21729</v>
      </c>
      <c r="HF168">
        <v>12.0099</v>
      </c>
      <c r="HG168">
        <v>4.9891</v>
      </c>
      <c r="HH168">
        <v>3.28855</v>
      </c>
      <c r="HI168">
        <v>997.9</v>
      </c>
      <c r="HJ168">
        <v>9547</v>
      </c>
      <c r="HK168">
        <v>5139.4</v>
      </c>
      <c r="HL168">
        <v>24.9</v>
      </c>
      <c r="HM168">
        <v>1.86751</v>
      </c>
      <c r="HN168">
        <v>1.86646</v>
      </c>
      <c r="HO168">
        <v>1.866</v>
      </c>
      <c r="HP168">
        <v>1.86586</v>
      </c>
      <c r="HQ168">
        <v>1.86769</v>
      </c>
      <c r="HR168">
        <v>1.8702</v>
      </c>
      <c r="HS168">
        <v>1.86889</v>
      </c>
      <c r="HT168">
        <v>1.87024</v>
      </c>
      <c r="HU168">
        <v>0</v>
      </c>
      <c r="HV168">
        <v>0</v>
      </c>
      <c r="HW168">
        <v>0</v>
      </c>
      <c r="HX168">
        <v>0</v>
      </c>
      <c r="HY168" t="s">
        <v>421</v>
      </c>
      <c r="HZ168" t="s">
        <v>422</v>
      </c>
      <c r="IA168" t="s">
        <v>423</v>
      </c>
      <c r="IB168" t="s">
        <v>423</v>
      </c>
      <c r="IC168" t="s">
        <v>423</v>
      </c>
      <c r="ID168" t="s">
        <v>423</v>
      </c>
      <c r="IE168">
        <v>0</v>
      </c>
      <c r="IF168">
        <v>100</v>
      </c>
      <c r="IG168">
        <v>100</v>
      </c>
      <c r="IH168">
        <v>-1.373</v>
      </c>
      <c r="II168">
        <v>0.0184</v>
      </c>
      <c r="IJ168">
        <v>-0.2164499368582429</v>
      </c>
      <c r="IK168">
        <v>-0.002077099775823331</v>
      </c>
      <c r="IL168">
        <v>4.593143279902166E-07</v>
      </c>
      <c r="IM168">
        <v>-1.865383991892071E-10</v>
      </c>
      <c r="IN168">
        <v>-0.06087574426827484</v>
      </c>
      <c r="IO168">
        <v>-0.01129461987421345</v>
      </c>
      <c r="IP168">
        <v>0.00116580895745559</v>
      </c>
      <c r="IQ168">
        <v>-1.679085872906199E-05</v>
      </c>
      <c r="IR168">
        <v>2</v>
      </c>
      <c r="IS168">
        <v>2290</v>
      </c>
      <c r="IT168">
        <v>0</v>
      </c>
      <c r="IU168">
        <v>32</v>
      </c>
      <c r="IV168">
        <v>7.7</v>
      </c>
      <c r="IW168">
        <v>7.3</v>
      </c>
      <c r="IX168">
        <v>1.40625</v>
      </c>
      <c r="IY168">
        <v>2.21436</v>
      </c>
      <c r="IZ168">
        <v>1.39648</v>
      </c>
      <c r="JA168">
        <v>2.35596</v>
      </c>
      <c r="JB168">
        <v>1.49536</v>
      </c>
      <c r="JC168">
        <v>2.34619</v>
      </c>
      <c r="JD168">
        <v>38.4769</v>
      </c>
      <c r="JE168">
        <v>24.035</v>
      </c>
      <c r="JF168">
        <v>18</v>
      </c>
      <c r="JG168">
        <v>511.113</v>
      </c>
      <c r="JH168">
        <v>428.876</v>
      </c>
      <c r="JI168">
        <v>22.2298</v>
      </c>
      <c r="JJ168">
        <v>28.6756</v>
      </c>
      <c r="JK168">
        <v>30.0003</v>
      </c>
      <c r="JL168">
        <v>28.6398</v>
      </c>
      <c r="JM168">
        <v>28.5774</v>
      </c>
      <c r="JN168">
        <v>28.1135</v>
      </c>
      <c r="JO168">
        <v>28.2062</v>
      </c>
      <c r="JP168">
        <v>0</v>
      </c>
      <c r="JQ168">
        <v>22.2172</v>
      </c>
      <c r="JR168">
        <v>607.706</v>
      </c>
      <c r="JS168">
        <v>13.8081</v>
      </c>
      <c r="JT168">
        <v>100.302</v>
      </c>
      <c r="JU168">
        <v>100.23</v>
      </c>
    </row>
    <row r="169" spans="1:281">
      <c r="A169">
        <v>153</v>
      </c>
      <c r="B169">
        <v>1651864703.6</v>
      </c>
      <c r="C169">
        <v>483</v>
      </c>
      <c r="D169" t="s">
        <v>726</v>
      </c>
      <c r="E169" t="s">
        <v>727</v>
      </c>
      <c r="F169">
        <v>2</v>
      </c>
      <c r="G169" t="s">
        <v>413</v>
      </c>
      <c r="H169" t="s">
        <v>414</v>
      </c>
      <c r="I169">
        <v>1651864702.225</v>
      </c>
      <c r="J169">
        <f>(K169)/1000</f>
        <v>0</v>
      </c>
      <c r="K169">
        <f>IF(CZ169, AN169, AH169)</f>
        <v>0</v>
      </c>
      <c r="L169">
        <f>IF(CZ169, AI169, AG169)</f>
        <v>0</v>
      </c>
      <c r="M169">
        <f>DB169 - IF(AU169&gt;1, L169*CV169*100.0/(AW169*DP169), 0)</f>
        <v>0</v>
      </c>
      <c r="N169">
        <f>((T169-J169/2)*M169-L169)/(T169+J169/2)</f>
        <v>0</v>
      </c>
      <c r="O169">
        <f>N169*(DI169+DJ169)/1000.0</f>
        <v>0</v>
      </c>
      <c r="P169">
        <f>(DB169 - IF(AU169&gt;1, L169*CV169*100.0/(AW169*DP169), 0))*(DI169+DJ169)/1000.0</f>
        <v>0</v>
      </c>
      <c r="Q169">
        <f>2.0/((1/S169-1/R169)+SIGN(S169)*SQRT((1/S169-1/R169)*(1/S169-1/R169) + 4*CW169/((CW169+1)*(CW169+1))*(2*1/S169*1/R169-1/R169*1/R169)))</f>
        <v>0</v>
      </c>
      <c r="R169">
        <f>IF(LEFT(CX169,1)&lt;&gt;"0",IF(LEFT(CX169,1)="1",3.0,CY169),$D$5+$E$5*(DP169*DI169/($K$5*1000))+$F$5*(DP169*DI169/($K$5*1000))*MAX(MIN(CV169,$J$5),$I$5)*MAX(MIN(CV169,$J$5),$I$5)+$G$5*MAX(MIN(CV169,$J$5),$I$5)*(DP169*DI169/($K$5*1000))+$H$5*(DP169*DI169/($K$5*1000))*(DP169*DI169/($K$5*1000)))</f>
        <v>0</v>
      </c>
      <c r="S169">
        <f>J169*(1000-(1000*0.61365*exp(17.502*W169/(240.97+W169))/(DI169+DJ169)+DD169)/2)/(1000*0.61365*exp(17.502*W169/(240.97+W169))/(DI169+DJ169)-DD169)</f>
        <v>0</v>
      </c>
      <c r="T169">
        <f>1/((CW169+1)/(Q169/1.6)+1/(R169/1.37)) + CW169/((CW169+1)/(Q169/1.6) + CW169/(R169/1.37))</f>
        <v>0</v>
      </c>
      <c r="U169">
        <f>(CR169*CU169)</f>
        <v>0</v>
      </c>
      <c r="V169">
        <f>(DK169+(U169+2*0.95*5.67E-8*(((DK169+$B$7)+273)^4-(DK169+273)^4)-44100*J169)/(1.84*29.3*R169+8*0.95*5.67E-8*(DK169+273)^3))</f>
        <v>0</v>
      </c>
      <c r="W169">
        <f>($C$7*DL169+$D$7*DM169+$E$7*V169)</f>
        <v>0</v>
      </c>
      <c r="X169">
        <f>0.61365*exp(17.502*W169/(240.97+W169))</f>
        <v>0</v>
      </c>
      <c r="Y169">
        <f>(Z169/AA169*100)</f>
        <v>0</v>
      </c>
      <c r="Z169">
        <f>DD169*(DI169+DJ169)/1000</f>
        <v>0</v>
      </c>
      <c r="AA169">
        <f>0.61365*exp(17.502*DK169/(240.97+DK169))</f>
        <v>0</v>
      </c>
      <c r="AB169">
        <f>(X169-DD169*(DI169+DJ169)/1000)</f>
        <v>0</v>
      </c>
      <c r="AC169">
        <f>(-J169*44100)</f>
        <v>0</v>
      </c>
      <c r="AD169">
        <f>2*29.3*R169*0.92*(DK169-W169)</f>
        <v>0</v>
      </c>
      <c r="AE169">
        <f>2*0.95*5.67E-8*(((DK169+$B$7)+273)^4-(W169+273)^4)</f>
        <v>0</v>
      </c>
      <c r="AF169">
        <f>U169+AE169+AC169+AD169</f>
        <v>0</v>
      </c>
      <c r="AG169">
        <f>DH169*AU169*(DC169-DB169*(1000-AU169*DE169)/(1000-AU169*DD169))/(100*CV169)</f>
        <v>0</v>
      </c>
      <c r="AH169">
        <f>1000*DH169*AU169*(DD169-DE169)/(100*CV169*(1000-AU169*DD169))</f>
        <v>0</v>
      </c>
      <c r="AI169">
        <f>(AJ169 - AK169 - DI169*1E3/(8.314*(DK169+273.15)) * AM169/DH169 * AL169) * DH169/(100*CV169) * (1000 - DE169)/1000</f>
        <v>0</v>
      </c>
      <c r="AJ169">
        <v>637.4668097847174</v>
      </c>
      <c r="AK169">
        <v>625.8292787878787</v>
      </c>
      <c r="AL169">
        <v>-3.260441011506911</v>
      </c>
      <c r="AM169">
        <v>66.38192812717227</v>
      </c>
      <c r="AN169">
        <f>(AP169 - AO169 + DI169*1E3/(8.314*(DK169+273.15)) * AR169/DH169 * AQ169) * DH169/(100*CV169) * 1000/(1000 - AP169)</f>
        <v>0</v>
      </c>
      <c r="AO169">
        <v>13.66385631248411</v>
      </c>
      <c r="AP169">
        <v>18.21354970588235</v>
      </c>
      <c r="AQ169">
        <v>3.306408868642546E-06</v>
      </c>
      <c r="AR169">
        <v>80.47224507511959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MAX(0,($B$13+$C$13*DP169)/(1+$D$13*DP169)*DI169/(DK169+273)*$E$13)</f>
        <v>0</v>
      </c>
      <c r="AX169" t="s">
        <v>417</v>
      </c>
      <c r="AY169" t="s">
        <v>417</v>
      </c>
      <c r="AZ169">
        <v>0</v>
      </c>
      <c r="BA169">
        <v>0</v>
      </c>
      <c r="BB169">
        <f>1-AZ169/BA169</f>
        <v>0</v>
      </c>
      <c r="BC169">
        <v>0</v>
      </c>
      <c r="BD169" t="s">
        <v>417</v>
      </c>
      <c r="BE169" t="s">
        <v>417</v>
      </c>
      <c r="BF169">
        <v>0</v>
      </c>
      <c r="BG169">
        <v>0</v>
      </c>
      <c r="BH169">
        <f>1-BF169/BG169</f>
        <v>0</v>
      </c>
      <c r="BI169">
        <v>0.5</v>
      </c>
      <c r="BJ169">
        <f>CS169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417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1248</v>
      </c>
      <c r="CA169">
        <v>300</v>
      </c>
      <c r="CB169">
        <v>300</v>
      </c>
      <c r="CC169">
        <v>300</v>
      </c>
      <c r="CD169">
        <v>10442</v>
      </c>
      <c r="CE169">
        <v>1293.69</v>
      </c>
      <c r="CF169">
        <v>-0.00735246</v>
      </c>
      <c r="CG169">
        <v>0.5</v>
      </c>
      <c r="CH169" t="s">
        <v>417</v>
      </c>
      <c r="CI169" t="s">
        <v>417</v>
      </c>
      <c r="CJ169" t="s">
        <v>417</v>
      </c>
      <c r="CK169" t="s">
        <v>417</v>
      </c>
      <c r="CL169" t="s">
        <v>417</v>
      </c>
      <c r="CM169" t="s">
        <v>417</v>
      </c>
      <c r="CN169" t="s">
        <v>417</v>
      </c>
      <c r="CO169" t="s">
        <v>417</v>
      </c>
      <c r="CP169" t="s">
        <v>417</v>
      </c>
      <c r="CQ169" t="s">
        <v>417</v>
      </c>
      <c r="CR169">
        <f>$B$11*DQ169+$C$11*DR169+$F$11*EC169*(1-EF169)</f>
        <v>0</v>
      </c>
      <c r="CS169">
        <f>CR169*CT169</f>
        <v>0</v>
      </c>
      <c r="CT169">
        <f>($B$11*$D$9+$C$11*$D$9+$F$11*((EP169+EH169)/MAX(EP169+EH169+EQ169, 0.1)*$I$9+EQ169/MAX(EP169+EH169+EQ169, 0.1)*$J$9))/($B$11+$C$11+$F$11)</f>
        <v>0</v>
      </c>
      <c r="CU169">
        <f>($B$11*$K$9+$C$11*$K$9+$F$11*((EP169+EH169)/MAX(EP169+EH169+EQ169, 0.1)*$P$9+EQ169/MAX(EP169+EH169+EQ169, 0.1)*$Q$9))/($B$11+$C$11+$F$11)</f>
        <v>0</v>
      </c>
      <c r="CV169">
        <v>6</v>
      </c>
      <c r="CW169">
        <v>0.5</v>
      </c>
      <c r="CX169" t="s">
        <v>418</v>
      </c>
      <c r="CY169">
        <v>2</v>
      </c>
      <c r="CZ169" t="b">
        <v>1</v>
      </c>
      <c r="DA169">
        <v>1651864702.225</v>
      </c>
      <c r="DB169">
        <v>617.2465</v>
      </c>
      <c r="DC169">
        <v>624.1672500000001</v>
      </c>
      <c r="DD169">
        <v>18.212625</v>
      </c>
      <c r="DE169">
        <v>13.705575</v>
      </c>
      <c r="DF169">
        <v>618.616</v>
      </c>
      <c r="DG169">
        <v>18.194225</v>
      </c>
      <c r="DH169">
        <v>499.98975</v>
      </c>
      <c r="DI169">
        <v>89.93895000000001</v>
      </c>
      <c r="DJ169">
        <v>0.09983400000000001</v>
      </c>
      <c r="DK169">
        <v>25.68095</v>
      </c>
      <c r="DL169">
        <v>25.0153</v>
      </c>
      <c r="DM169">
        <v>999.9</v>
      </c>
      <c r="DN169">
        <v>0</v>
      </c>
      <c r="DO169">
        <v>0</v>
      </c>
      <c r="DP169">
        <v>10001.2375</v>
      </c>
      <c r="DQ169">
        <v>0</v>
      </c>
      <c r="DR169">
        <v>3.23193</v>
      </c>
      <c r="DS169">
        <v>-6.920975</v>
      </c>
      <c r="DT169">
        <v>628.69675</v>
      </c>
      <c r="DU169">
        <v>632.8405</v>
      </c>
      <c r="DV169">
        <v>4.507055</v>
      </c>
      <c r="DW169">
        <v>624.1672500000001</v>
      </c>
      <c r="DX169">
        <v>13.705575</v>
      </c>
      <c r="DY169">
        <v>1.638025</v>
      </c>
      <c r="DZ169">
        <v>1.232665</v>
      </c>
      <c r="EA169">
        <v>14.321225</v>
      </c>
      <c r="EB169">
        <v>10.002</v>
      </c>
      <c r="EC169">
        <v>1500.155</v>
      </c>
      <c r="ED169">
        <v>0.9730094999999999</v>
      </c>
      <c r="EE169">
        <v>0.0269904</v>
      </c>
      <c r="EF169">
        <v>0</v>
      </c>
      <c r="EG169">
        <v>870.89575</v>
      </c>
      <c r="EH169">
        <v>5.00097</v>
      </c>
      <c r="EI169">
        <v>12940.5</v>
      </c>
      <c r="EJ169">
        <v>12492.925</v>
      </c>
      <c r="EK169">
        <v>37.25</v>
      </c>
      <c r="EL169">
        <v>38.687</v>
      </c>
      <c r="EM169">
        <v>37.625</v>
      </c>
      <c r="EN169">
        <v>38.437</v>
      </c>
      <c r="EO169">
        <v>38.125</v>
      </c>
      <c r="EP169">
        <v>1454.8</v>
      </c>
      <c r="EQ169">
        <v>40.355</v>
      </c>
      <c r="ER169">
        <v>0</v>
      </c>
      <c r="ES169">
        <v>482.4000000953674</v>
      </c>
      <c r="ET169">
        <v>0</v>
      </c>
      <c r="EU169">
        <v>874.4121923076923</v>
      </c>
      <c r="EV169">
        <v>-37.01692312802699</v>
      </c>
      <c r="EW169">
        <v>-532.8854704938278</v>
      </c>
      <c r="EX169">
        <v>12992.52692307692</v>
      </c>
      <c r="EY169">
        <v>15</v>
      </c>
      <c r="EZ169">
        <v>1651864261.1</v>
      </c>
      <c r="FA169" t="s">
        <v>419</v>
      </c>
      <c r="FB169">
        <v>1651864241.6</v>
      </c>
      <c r="FC169">
        <v>1651864261.1</v>
      </c>
      <c r="FD169">
        <v>7</v>
      </c>
      <c r="FE169">
        <v>0.438</v>
      </c>
      <c r="FF169">
        <v>0.002</v>
      </c>
      <c r="FG169">
        <v>-0.988</v>
      </c>
      <c r="FH169">
        <v>-0.066</v>
      </c>
      <c r="FI169">
        <v>400</v>
      </c>
      <c r="FJ169">
        <v>11</v>
      </c>
      <c r="FK169">
        <v>0.05</v>
      </c>
      <c r="FL169">
        <v>0.02</v>
      </c>
      <c r="FM169">
        <v>-7.7750885</v>
      </c>
      <c r="FN169">
        <v>4.314450506566617</v>
      </c>
      <c r="FO169">
        <v>0.4903725597724142</v>
      </c>
      <c r="FP169">
        <v>-1</v>
      </c>
      <c r="FQ169">
        <v>4.581325</v>
      </c>
      <c r="FR169">
        <v>-0.4127257035647423</v>
      </c>
      <c r="FS169">
        <v>0.0406188433488695</v>
      </c>
      <c r="FT169">
        <v>-1</v>
      </c>
      <c r="FU169">
        <v>0</v>
      </c>
      <c r="FV169">
        <v>0</v>
      </c>
      <c r="FW169">
        <v>0</v>
      </c>
      <c r="FX169">
        <v>-1</v>
      </c>
      <c r="FY169">
        <v>0</v>
      </c>
      <c r="FZ169">
        <v>0</v>
      </c>
      <c r="GA169" t="s">
        <v>420</v>
      </c>
      <c r="GB169">
        <v>2.98037</v>
      </c>
      <c r="GC169">
        <v>2.70605</v>
      </c>
      <c r="GD169">
        <v>0.123211</v>
      </c>
      <c r="GE169">
        <v>0.122743</v>
      </c>
      <c r="GF169">
        <v>0.0872064</v>
      </c>
      <c r="GG169">
        <v>0.0701301</v>
      </c>
      <c r="GH169">
        <v>27669.8</v>
      </c>
      <c r="GI169">
        <v>27745.8</v>
      </c>
      <c r="GJ169">
        <v>29343.8</v>
      </c>
      <c r="GK169">
        <v>29258.8</v>
      </c>
      <c r="GL169">
        <v>35467.4</v>
      </c>
      <c r="GM169">
        <v>36235.9</v>
      </c>
      <c r="GN169">
        <v>41302.7</v>
      </c>
      <c r="GO169">
        <v>41761.6</v>
      </c>
      <c r="GP169">
        <v>1.95562</v>
      </c>
      <c r="GQ169">
        <v>1.84997</v>
      </c>
      <c r="GR169">
        <v>-0.0207126</v>
      </c>
      <c r="GS169">
        <v>0</v>
      </c>
      <c r="GT169">
        <v>25.3524</v>
      </c>
      <c r="GU169">
        <v>999.9</v>
      </c>
      <c r="GV169">
        <v>31.7</v>
      </c>
      <c r="GW169">
        <v>34.3</v>
      </c>
      <c r="GX169">
        <v>19.1521</v>
      </c>
      <c r="GY169">
        <v>62.6375</v>
      </c>
      <c r="GZ169">
        <v>34.7716</v>
      </c>
      <c r="HA169">
        <v>1</v>
      </c>
      <c r="HB169">
        <v>0.107744</v>
      </c>
      <c r="HC169">
        <v>2.47202</v>
      </c>
      <c r="HD169">
        <v>20.316</v>
      </c>
      <c r="HE169">
        <v>5.21744</v>
      </c>
      <c r="HF169">
        <v>12.0099</v>
      </c>
      <c r="HG169">
        <v>4.98885</v>
      </c>
      <c r="HH169">
        <v>3.28858</v>
      </c>
      <c r="HI169">
        <v>997.9</v>
      </c>
      <c r="HJ169">
        <v>9547</v>
      </c>
      <c r="HK169">
        <v>5139.4</v>
      </c>
      <c r="HL169">
        <v>24.9</v>
      </c>
      <c r="HM169">
        <v>1.86752</v>
      </c>
      <c r="HN169">
        <v>1.86646</v>
      </c>
      <c r="HO169">
        <v>1.866</v>
      </c>
      <c r="HP169">
        <v>1.86586</v>
      </c>
      <c r="HQ169">
        <v>1.86768</v>
      </c>
      <c r="HR169">
        <v>1.87019</v>
      </c>
      <c r="HS169">
        <v>1.86888</v>
      </c>
      <c r="HT169">
        <v>1.87025</v>
      </c>
      <c r="HU169">
        <v>0</v>
      </c>
      <c r="HV169">
        <v>0</v>
      </c>
      <c r="HW169">
        <v>0</v>
      </c>
      <c r="HX169">
        <v>0</v>
      </c>
      <c r="HY169" t="s">
        <v>421</v>
      </c>
      <c r="HZ169" t="s">
        <v>422</v>
      </c>
      <c r="IA169" t="s">
        <v>423</v>
      </c>
      <c r="IB169" t="s">
        <v>423</v>
      </c>
      <c r="IC169" t="s">
        <v>423</v>
      </c>
      <c r="ID169" t="s">
        <v>423</v>
      </c>
      <c r="IE169">
        <v>0</v>
      </c>
      <c r="IF169">
        <v>100</v>
      </c>
      <c r="IG169">
        <v>100</v>
      </c>
      <c r="IH169">
        <v>-1.362</v>
      </c>
      <c r="II169">
        <v>0.0185</v>
      </c>
      <c r="IJ169">
        <v>-0.2164499368582429</v>
      </c>
      <c r="IK169">
        <v>-0.002077099775823331</v>
      </c>
      <c r="IL169">
        <v>4.593143279902166E-07</v>
      </c>
      <c r="IM169">
        <v>-1.865383991892071E-10</v>
      </c>
      <c r="IN169">
        <v>-0.06087574426827484</v>
      </c>
      <c r="IO169">
        <v>-0.01129461987421345</v>
      </c>
      <c r="IP169">
        <v>0.00116580895745559</v>
      </c>
      <c r="IQ169">
        <v>-1.679085872906199E-05</v>
      </c>
      <c r="IR169">
        <v>2</v>
      </c>
      <c r="IS169">
        <v>2290</v>
      </c>
      <c r="IT169">
        <v>0</v>
      </c>
      <c r="IU169">
        <v>32</v>
      </c>
      <c r="IV169">
        <v>7.7</v>
      </c>
      <c r="IW169">
        <v>7.4</v>
      </c>
      <c r="IX169">
        <v>1.39404</v>
      </c>
      <c r="IY169">
        <v>2.22046</v>
      </c>
      <c r="IZ169">
        <v>1.39648</v>
      </c>
      <c r="JA169">
        <v>2.35596</v>
      </c>
      <c r="JB169">
        <v>1.49536</v>
      </c>
      <c r="JC169">
        <v>2.36572</v>
      </c>
      <c r="JD169">
        <v>38.4769</v>
      </c>
      <c r="JE169">
        <v>24.035</v>
      </c>
      <c r="JF169">
        <v>18</v>
      </c>
      <c r="JG169">
        <v>511.211</v>
      </c>
      <c r="JH169">
        <v>428.832</v>
      </c>
      <c r="JI169">
        <v>22.2196</v>
      </c>
      <c r="JJ169">
        <v>28.6766</v>
      </c>
      <c r="JK169">
        <v>30.0002</v>
      </c>
      <c r="JL169">
        <v>28.6398</v>
      </c>
      <c r="JM169">
        <v>28.5777</v>
      </c>
      <c r="JN169">
        <v>27.8642</v>
      </c>
      <c r="JO169">
        <v>28.2062</v>
      </c>
      <c r="JP169">
        <v>0</v>
      </c>
      <c r="JQ169">
        <v>22.2172</v>
      </c>
      <c r="JR169">
        <v>601.027</v>
      </c>
      <c r="JS169">
        <v>13.8205</v>
      </c>
      <c r="JT169">
        <v>100.303</v>
      </c>
      <c r="JU169">
        <v>100.231</v>
      </c>
    </row>
    <row r="170" spans="1:281">
      <c r="A170">
        <v>154</v>
      </c>
      <c r="B170">
        <v>1651864705.6</v>
      </c>
      <c r="C170">
        <v>485</v>
      </c>
      <c r="D170" t="s">
        <v>728</v>
      </c>
      <c r="E170" t="s">
        <v>729</v>
      </c>
      <c r="F170">
        <v>2</v>
      </c>
      <c r="G170" t="s">
        <v>413</v>
      </c>
      <c r="H170" t="s">
        <v>414</v>
      </c>
      <c r="I170">
        <v>1651864704.6</v>
      </c>
      <c r="J170">
        <f>(K170)/1000</f>
        <v>0</v>
      </c>
      <c r="K170">
        <f>IF(CZ170, AN170, AH170)</f>
        <v>0</v>
      </c>
      <c r="L170">
        <f>IF(CZ170, AI170, AG170)</f>
        <v>0</v>
      </c>
      <c r="M170">
        <f>DB170 - IF(AU170&gt;1, L170*CV170*100.0/(AW170*DP170), 0)</f>
        <v>0</v>
      </c>
      <c r="N170">
        <f>((T170-J170/2)*M170-L170)/(T170+J170/2)</f>
        <v>0</v>
      </c>
      <c r="O170">
        <f>N170*(DI170+DJ170)/1000.0</f>
        <v>0</v>
      </c>
      <c r="P170">
        <f>(DB170 - IF(AU170&gt;1, L170*CV170*100.0/(AW170*DP170), 0))*(DI170+DJ170)/1000.0</f>
        <v>0</v>
      </c>
      <c r="Q170">
        <f>2.0/((1/S170-1/R170)+SIGN(S170)*SQRT((1/S170-1/R170)*(1/S170-1/R170) + 4*CW170/((CW170+1)*(CW170+1))*(2*1/S170*1/R170-1/R170*1/R170)))</f>
        <v>0</v>
      </c>
      <c r="R170">
        <f>IF(LEFT(CX170,1)&lt;&gt;"0",IF(LEFT(CX170,1)="1",3.0,CY170),$D$5+$E$5*(DP170*DI170/($K$5*1000))+$F$5*(DP170*DI170/($K$5*1000))*MAX(MIN(CV170,$J$5),$I$5)*MAX(MIN(CV170,$J$5),$I$5)+$G$5*MAX(MIN(CV170,$J$5),$I$5)*(DP170*DI170/($K$5*1000))+$H$5*(DP170*DI170/($K$5*1000))*(DP170*DI170/($K$5*1000)))</f>
        <v>0</v>
      </c>
      <c r="S170">
        <f>J170*(1000-(1000*0.61365*exp(17.502*W170/(240.97+W170))/(DI170+DJ170)+DD170)/2)/(1000*0.61365*exp(17.502*W170/(240.97+W170))/(DI170+DJ170)-DD170)</f>
        <v>0</v>
      </c>
      <c r="T170">
        <f>1/((CW170+1)/(Q170/1.6)+1/(R170/1.37)) + CW170/((CW170+1)/(Q170/1.6) + CW170/(R170/1.37))</f>
        <v>0</v>
      </c>
      <c r="U170">
        <f>(CR170*CU170)</f>
        <v>0</v>
      </c>
      <c r="V170">
        <f>(DK170+(U170+2*0.95*5.67E-8*(((DK170+$B$7)+273)^4-(DK170+273)^4)-44100*J170)/(1.84*29.3*R170+8*0.95*5.67E-8*(DK170+273)^3))</f>
        <v>0</v>
      </c>
      <c r="W170">
        <f>($C$7*DL170+$D$7*DM170+$E$7*V170)</f>
        <v>0</v>
      </c>
      <c r="X170">
        <f>0.61365*exp(17.502*W170/(240.97+W170))</f>
        <v>0</v>
      </c>
      <c r="Y170">
        <f>(Z170/AA170*100)</f>
        <v>0</v>
      </c>
      <c r="Z170">
        <f>DD170*(DI170+DJ170)/1000</f>
        <v>0</v>
      </c>
      <c r="AA170">
        <f>0.61365*exp(17.502*DK170/(240.97+DK170))</f>
        <v>0</v>
      </c>
      <c r="AB170">
        <f>(X170-DD170*(DI170+DJ170)/1000)</f>
        <v>0</v>
      </c>
      <c r="AC170">
        <f>(-J170*44100)</f>
        <v>0</v>
      </c>
      <c r="AD170">
        <f>2*29.3*R170*0.92*(DK170-W170)</f>
        <v>0</v>
      </c>
      <c r="AE170">
        <f>2*0.95*5.67E-8*(((DK170+$B$7)+273)^4-(W170+273)^4)</f>
        <v>0</v>
      </c>
      <c r="AF170">
        <f>U170+AE170+AC170+AD170</f>
        <v>0</v>
      </c>
      <c r="AG170">
        <f>DH170*AU170*(DC170-DB170*(1000-AU170*DE170)/(1000-AU170*DD170))/(100*CV170)</f>
        <v>0</v>
      </c>
      <c r="AH170">
        <f>1000*DH170*AU170*(DD170-DE170)/(100*CV170*(1000-AU170*DD170))</f>
        <v>0</v>
      </c>
      <c r="AI170">
        <f>(AJ170 - AK170 - DI170*1E3/(8.314*(DK170+273.15)) * AM170/DH170 * AL170) * DH170/(100*CV170) * (1000 - DE170)/1000</f>
        <v>0</v>
      </c>
      <c r="AJ170">
        <v>630.8482710613423</v>
      </c>
      <c r="AK170">
        <v>619.3044666666666</v>
      </c>
      <c r="AL170">
        <v>-3.267267353851859</v>
      </c>
      <c r="AM170">
        <v>66.38192812717227</v>
      </c>
      <c r="AN170">
        <f>(AP170 - AO170 + DI170*1E3/(8.314*(DK170+273.15)) * AR170/DH170 * AQ170) * DH170/(100*CV170) * 1000/(1000 - AP170)</f>
        <v>0</v>
      </c>
      <c r="AO170">
        <v>13.68675682186496</v>
      </c>
      <c r="AP170">
        <v>18.22127617647059</v>
      </c>
      <c r="AQ170">
        <v>-5.753841938312411E-06</v>
      </c>
      <c r="AR170">
        <v>80.47224507511959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MAX(0,($B$13+$C$13*DP170)/(1+$D$13*DP170)*DI170/(DK170+273)*$E$13)</f>
        <v>0</v>
      </c>
      <c r="AX170" t="s">
        <v>417</v>
      </c>
      <c r="AY170" t="s">
        <v>417</v>
      </c>
      <c r="AZ170">
        <v>0</v>
      </c>
      <c r="BA170">
        <v>0</v>
      </c>
      <c r="BB170">
        <f>1-AZ170/BA170</f>
        <v>0</v>
      </c>
      <c r="BC170">
        <v>0</v>
      </c>
      <c r="BD170" t="s">
        <v>417</v>
      </c>
      <c r="BE170" t="s">
        <v>417</v>
      </c>
      <c r="BF170">
        <v>0</v>
      </c>
      <c r="BG170">
        <v>0</v>
      </c>
      <c r="BH170">
        <f>1-BF170/BG170</f>
        <v>0</v>
      </c>
      <c r="BI170">
        <v>0.5</v>
      </c>
      <c r="BJ170">
        <f>CS170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417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1248</v>
      </c>
      <c r="CA170">
        <v>300</v>
      </c>
      <c r="CB170">
        <v>300</v>
      </c>
      <c r="CC170">
        <v>300</v>
      </c>
      <c r="CD170">
        <v>10442</v>
      </c>
      <c r="CE170">
        <v>1293.69</v>
      </c>
      <c r="CF170">
        <v>-0.00735246</v>
      </c>
      <c r="CG170">
        <v>0.5</v>
      </c>
      <c r="CH170" t="s">
        <v>417</v>
      </c>
      <c r="CI170" t="s">
        <v>417</v>
      </c>
      <c r="CJ170" t="s">
        <v>417</v>
      </c>
      <c r="CK170" t="s">
        <v>417</v>
      </c>
      <c r="CL170" t="s">
        <v>417</v>
      </c>
      <c r="CM170" t="s">
        <v>417</v>
      </c>
      <c r="CN170" t="s">
        <v>417</v>
      </c>
      <c r="CO170" t="s">
        <v>417</v>
      </c>
      <c r="CP170" t="s">
        <v>417</v>
      </c>
      <c r="CQ170" t="s">
        <v>417</v>
      </c>
      <c r="CR170">
        <f>$B$11*DQ170+$C$11*DR170+$F$11*EC170*(1-EF170)</f>
        <v>0</v>
      </c>
      <c r="CS170">
        <f>CR170*CT170</f>
        <v>0</v>
      </c>
      <c r="CT170">
        <f>($B$11*$D$9+$C$11*$D$9+$F$11*((EP170+EH170)/MAX(EP170+EH170+EQ170, 0.1)*$I$9+EQ170/MAX(EP170+EH170+EQ170, 0.1)*$J$9))/($B$11+$C$11+$F$11)</f>
        <v>0</v>
      </c>
      <c r="CU170">
        <f>($B$11*$K$9+$C$11*$K$9+$F$11*((EP170+EH170)/MAX(EP170+EH170+EQ170, 0.1)*$P$9+EQ170/MAX(EP170+EH170+EQ170, 0.1)*$Q$9))/($B$11+$C$11+$F$11)</f>
        <v>0</v>
      </c>
      <c r="CV170">
        <v>6</v>
      </c>
      <c r="CW170">
        <v>0.5</v>
      </c>
      <c r="CX170" t="s">
        <v>418</v>
      </c>
      <c r="CY170">
        <v>2</v>
      </c>
      <c r="CZ170" t="b">
        <v>1</v>
      </c>
      <c r="DA170">
        <v>1651864704.6</v>
      </c>
      <c r="DB170">
        <v>609.6239999999999</v>
      </c>
      <c r="DC170">
        <v>616.3743333333333</v>
      </c>
      <c r="DD170">
        <v>18.2197</v>
      </c>
      <c r="DE170">
        <v>13.75106666666667</v>
      </c>
      <c r="DF170">
        <v>610.9803333333333</v>
      </c>
      <c r="DG170">
        <v>18.20116666666667</v>
      </c>
      <c r="DH170">
        <v>500.0393333333333</v>
      </c>
      <c r="DI170">
        <v>89.93849999999999</v>
      </c>
      <c r="DJ170">
        <v>0.09989956666666666</v>
      </c>
      <c r="DK170">
        <v>25.67973333333333</v>
      </c>
      <c r="DL170">
        <v>25.01636666666667</v>
      </c>
      <c r="DM170">
        <v>999.9</v>
      </c>
      <c r="DN170">
        <v>0</v>
      </c>
      <c r="DO170">
        <v>0</v>
      </c>
      <c r="DP170">
        <v>10012.53333333333</v>
      </c>
      <c r="DQ170">
        <v>0</v>
      </c>
      <c r="DR170">
        <v>3.23193</v>
      </c>
      <c r="DS170">
        <v>-6.750186666666667</v>
      </c>
      <c r="DT170">
        <v>620.9376666666667</v>
      </c>
      <c r="DU170">
        <v>624.9683333333332</v>
      </c>
      <c r="DV170">
        <v>4.468603333333333</v>
      </c>
      <c r="DW170">
        <v>616.3743333333333</v>
      </c>
      <c r="DX170">
        <v>13.75106666666667</v>
      </c>
      <c r="DY170">
        <v>1.638653333333333</v>
      </c>
      <c r="DZ170">
        <v>1.236753333333333</v>
      </c>
      <c r="EA170">
        <v>14.32716666666667</v>
      </c>
      <c r="EB170">
        <v>10.05146666666667</v>
      </c>
      <c r="EC170">
        <v>1499.963333333333</v>
      </c>
      <c r="ED170">
        <v>0.9730086666666665</v>
      </c>
      <c r="EE170">
        <v>0.0269913</v>
      </c>
      <c r="EF170">
        <v>0</v>
      </c>
      <c r="EG170">
        <v>869.3473333333333</v>
      </c>
      <c r="EH170">
        <v>5.00097</v>
      </c>
      <c r="EI170">
        <v>12917.83333333333</v>
      </c>
      <c r="EJ170">
        <v>12491.3</v>
      </c>
      <c r="EK170">
        <v>37.25</v>
      </c>
      <c r="EL170">
        <v>38.687</v>
      </c>
      <c r="EM170">
        <v>37.625</v>
      </c>
      <c r="EN170">
        <v>38.437</v>
      </c>
      <c r="EO170">
        <v>38.125</v>
      </c>
      <c r="EP170">
        <v>1454.613333333333</v>
      </c>
      <c r="EQ170">
        <v>40.35</v>
      </c>
      <c r="ER170">
        <v>0</v>
      </c>
      <c r="ES170">
        <v>484.2000000476837</v>
      </c>
      <c r="ET170">
        <v>0</v>
      </c>
      <c r="EU170">
        <v>873.1618000000001</v>
      </c>
      <c r="EV170">
        <v>-36.45153843011105</v>
      </c>
      <c r="EW170">
        <v>-519.223076201679</v>
      </c>
      <c r="EX170">
        <v>12973.936</v>
      </c>
      <c r="EY170">
        <v>15</v>
      </c>
      <c r="EZ170">
        <v>1651864261.1</v>
      </c>
      <c r="FA170" t="s">
        <v>419</v>
      </c>
      <c r="FB170">
        <v>1651864241.6</v>
      </c>
      <c r="FC170">
        <v>1651864261.1</v>
      </c>
      <c r="FD170">
        <v>7</v>
      </c>
      <c r="FE170">
        <v>0.438</v>
      </c>
      <c r="FF170">
        <v>0.002</v>
      </c>
      <c r="FG170">
        <v>-0.988</v>
      </c>
      <c r="FH170">
        <v>-0.066</v>
      </c>
      <c r="FI170">
        <v>400</v>
      </c>
      <c r="FJ170">
        <v>11</v>
      </c>
      <c r="FK170">
        <v>0.05</v>
      </c>
      <c r="FL170">
        <v>0.02</v>
      </c>
      <c r="FM170">
        <v>-7.70867025</v>
      </c>
      <c r="FN170">
        <v>4.778461575984996</v>
      </c>
      <c r="FO170">
        <v>0.5241143421501051</v>
      </c>
      <c r="FP170">
        <v>-1</v>
      </c>
      <c r="FQ170">
        <v>4.572568</v>
      </c>
      <c r="FR170">
        <v>-0.4329903939962549</v>
      </c>
      <c r="FS170">
        <v>0.04297598778387762</v>
      </c>
      <c r="FT170">
        <v>-1</v>
      </c>
      <c r="FU170">
        <v>0</v>
      </c>
      <c r="FV170">
        <v>0</v>
      </c>
      <c r="FW170">
        <v>0</v>
      </c>
      <c r="FX170">
        <v>-1</v>
      </c>
      <c r="FY170">
        <v>0</v>
      </c>
      <c r="FZ170">
        <v>0</v>
      </c>
      <c r="GA170" t="s">
        <v>420</v>
      </c>
      <c r="GB170">
        <v>2.9805</v>
      </c>
      <c r="GC170">
        <v>2.70625</v>
      </c>
      <c r="GD170">
        <v>0.1223</v>
      </c>
      <c r="GE170">
        <v>0.121822</v>
      </c>
      <c r="GF170">
        <v>0.08723549999999999</v>
      </c>
      <c r="GG170">
        <v>0.07023359999999999</v>
      </c>
      <c r="GH170">
        <v>27698.4</v>
      </c>
      <c r="GI170">
        <v>27774.7</v>
      </c>
      <c r="GJ170">
        <v>29343.7</v>
      </c>
      <c r="GK170">
        <v>29258.5</v>
      </c>
      <c r="GL170">
        <v>35466.3</v>
      </c>
      <c r="GM170">
        <v>36231.5</v>
      </c>
      <c r="GN170">
        <v>41302.8</v>
      </c>
      <c r="GO170">
        <v>41761.3</v>
      </c>
      <c r="GP170">
        <v>1.95553</v>
      </c>
      <c r="GQ170">
        <v>1.84993</v>
      </c>
      <c r="GR170">
        <v>-0.0202358</v>
      </c>
      <c r="GS170">
        <v>0</v>
      </c>
      <c r="GT170">
        <v>25.3527</v>
      </c>
      <c r="GU170">
        <v>999.9</v>
      </c>
      <c r="GV170">
        <v>31.7</v>
      </c>
      <c r="GW170">
        <v>34.3</v>
      </c>
      <c r="GX170">
        <v>19.1499</v>
      </c>
      <c r="GY170">
        <v>62.4375</v>
      </c>
      <c r="GZ170">
        <v>35.1442</v>
      </c>
      <c r="HA170">
        <v>1</v>
      </c>
      <c r="HB170">
        <v>0.107744</v>
      </c>
      <c r="HC170">
        <v>2.4616</v>
      </c>
      <c r="HD170">
        <v>20.3162</v>
      </c>
      <c r="HE170">
        <v>5.21789</v>
      </c>
      <c r="HF170">
        <v>12.0099</v>
      </c>
      <c r="HG170">
        <v>4.9888</v>
      </c>
      <c r="HH170">
        <v>3.28858</v>
      </c>
      <c r="HI170">
        <v>997.9</v>
      </c>
      <c r="HJ170">
        <v>9547</v>
      </c>
      <c r="HK170">
        <v>5139.4</v>
      </c>
      <c r="HL170">
        <v>24.9</v>
      </c>
      <c r="HM170">
        <v>1.86752</v>
      </c>
      <c r="HN170">
        <v>1.86646</v>
      </c>
      <c r="HO170">
        <v>1.866</v>
      </c>
      <c r="HP170">
        <v>1.86586</v>
      </c>
      <c r="HQ170">
        <v>1.86769</v>
      </c>
      <c r="HR170">
        <v>1.87021</v>
      </c>
      <c r="HS170">
        <v>1.86888</v>
      </c>
      <c r="HT170">
        <v>1.87026</v>
      </c>
      <c r="HU170">
        <v>0</v>
      </c>
      <c r="HV170">
        <v>0</v>
      </c>
      <c r="HW170">
        <v>0</v>
      </c>
      <c r="HX170">
        <v>0</v>
      </c>
      <c r="HY170" t="s">
        <v>421</v>
      </c>
      <c r="HZ170" t="s">
        <v>422</v>
      </c>
      <c r="IA170" t="s">
        <v>423</v>
      </c>
      <c r="IB170" t="s">
        <v>423</v>
      </c>
      <c r="IC170" t="s">
        <v>423</v>
      </c>
      <c r="ID170" t="s">
        <v>423</v>
      </c>
      <c r="IE170">
        <v>0</v>
      </c>
      <c r="IF170">
        <v>100</v>
      </c>
      <c r="IG170">
        <v>100</v>
      </c>
      <c r="IH170">
        <v>-1.351</v>
      </c>
      <c r="II170">
        <v>0.0185</v>
      </c>
      <c r="IJ170">
        <v>-0.2164499368582429</v>
      </c>
      <c r="IK170">
        <v>-0.002077099775823331</v>
      </c>
      <c r="IL170">
        <v>4.593143279902166E-07</v>
      </c>
      <c r="IM170">
        <v>-1.865383991892071E-10</v>
      </c>
      <c r="IN170">
        <v>-0.06087574426827484</v>
      </c>
      <c r="IO170">
        <v>-0.01129461987421345</v>
      </c>
      <c r="IP170">
        <v>0.00116580895745559</v>
      </c>
      <c r="IQ170">
        <v>-1.679085872906199E-05</v>
      </c>
      <c r="IR170">
        <v>2</v>
      </c>
      <c r="IS170">
        <v>2290</v>
      </c>
      <c r="IT170">
        <v>0</v>
      </c>
      <c r="IU170">
        <v>32</v>
      </c>
      <c r="IV170">
        <v>7.7</v>
      </c>
      <c r="IW170">
        <v>7.4</v>
      </c>
      <c r="IX170">
        <v>1.38184</v>
      </c>
      <c r="IY170">
        <v>2.22168</v>
      </c>
      <c r="IZ170">
        <v>1.39648</v>
      </c>
      <c r="JA170">
        <v>2.35596</v>
      </c>
      <c r="JB170">
        <v>1.49536</v>
      </c>
      <c r="JC170">
        <v>2.30591</v>
      </c>
      <c r="JD170">
        <v>38.4769</v>
      </c>
      <c r="JE170">
        <v>24.0262</v>
      </c>
      <c r="JF170">
        <v>18</v>
      </c>
      <c r="JG170">
        <v>511.146</v>
      </c>
      <c r="JH170">
        <v>428.811</v>
      </c>
      <c r="JI170">
        <v>22.2115</v>
      </c>
      <c r="JJ170">
        <v>28.6778</v>
      </c>
      <c r="JK170">
        <v>30.0002</v>
      </c>
      <c r="JL170">
        <v>28.6398</v>
      </c>
      <c r="JM170">
        <v>28.5789</v>
      </c>
      <c r="JN170">
        <v>27.618</v>
      </c>
      <c r="JO170">
        <v>28.2062</v>
      </c>
      <c r="JP170">
        <v>0</v>
      </c>
      <c r="JQ170">
        <v>22.2003</v>
      </c>
      <c r="JR170">
        <v>594.328</v>
      </c>
      <c r="JS170">
        <v>13.832</v>
      </c>
      <c r="JT170">
        <v>100.303</v>
      </c>
      <c r="JU170">
        <v>100.23</v>
      </c>
    </row>
    <row r="171" spans="1:281">
      <c r="A171">
        <v>155</v>
      </c>
      <c r="B171">
        <v>1651864707.6</v>
      </c>
      <c r="C171">
        <v>487</v>
      </c>
      <c r="D171" t="s">
        <v>730</v>
      </c>
      <c r="E171" t="s">
        <v>731</v>
      </c>
      <c r="F171">
        <v>2</v>
      </c>
      <c r="G171" t="s">
        <v>413</v>
      </c>
      <c r="H171" t="s">
        <v>414</v>
      </c>
      <c r="I171">
        <v>1651864706.225</v>
      </c>
      <c r="J171">
        <f>(K171)/1000</f>
        <v>0</v>
      </c>
      <c r="K171">
        <f>IF(CZ171, AN171, AH171)</f>
        <v>0</v>
      </c>
      <c r="L171">
        <f>IF(CZ171, AI171, AG171)</f>
        <v>0</v>
      </c>
      <c r="M171">
        <f>DB171 - IF(AU171&gt;1, L171*CV171*100.0/(AW171*DP171), 0)</f>
        <v>0</v>
      </c>
      <c r="N171">
        <f>((T171-J171/2)*M171-L171)/(T171+J171/2)</f>
        <v>0</v>
      </c>
      <c r="O171">
        <f>N171*(DI171+DJ171)/1000.0</f>
        <v>0</v>
      </c>
      <c r="P171">
        <f>(DB171 - IF(AU171&gt;1, L171*CV171*100.0/(AW171*DP171), 0))*(DI171+DJ171)/1000.0</f>
        <v>0</v>
      </c>
      <c r="Q171">
        <f>2.0/((1/S171-1/R171)+SIGN(S171)*SQRT((1/S171-1/R171)*(1/S171-1/R171) + 4*CW171/((CW171+1)*(CW171+1))*(2*1/S171*1/R171-1/R171*1/R171)))</f>
        <v>0</v>
      </c>
      <c r="R171">
        <f>IF(LEFT(CX171,1)&lt;&gt;"0",IF(LEFT(CX171,1)="1",3.0,CY171),$D$5+$E$5*(DP171*DI171/($K$5*1000))+$F$5*(DP171*DI171/($K$5*1000))*MAX(MIN(CV171,$J$5),$I$5)*MAX(MIN(CV171,$J$5),$I$5)+$G$5*MAX(MIN(CV171,$J$5),$I$5)*(DP171*DI171/($K$5*1000))+$H$5*(DP171*DI171/($K$5*1000))*(DP171*DI171/($K$5*1000)))</f>
        <v>0</v>
      </c>
      <c r="S171">
        <f>J171*(1000-(1000*0.61365*exp(17.502*W171/(240.97+W171))/(DI171+DJ171)+DD171)/2)/(1000*0.61365*exp(17.502*W171/(240.97+W171))/(DI171+DJ171)-DD171)</f>
        <v>0</v>
      </c>
      <c r="T171">
        <f>1/((CW171+1)/(Q171/1.6)+1/(R171/1.37)) + CW171/((CW171+1)/(Q171/1.6) + CW171/(R171/1.37))</f>
        <v>0</v>
      </c>
      <c r="U171">
        <f>(CR171*CU171)</f>
        <v>0</v>
      </c>
      <c r="V171">
        <f>(DK171+(U171+2*0.95*5.67E-8*(((DK171+$B$7)+273)^4-(DK171+273)^4)-44100*J171)/(1.84*29.3*R171+8*0.95*5.67E-8*(DK171+273)^3))</f>
        <v>0</v>
      </c>
      <c r="W171">
        <f>($C$7*DL171+$D$7*DM171+$E$7*V171)</f>
        <v>0</v>
      </c>
      <c r="X171">
        <f>0.61365*exp(17.502*W171/(240.97+W171))</f>
        <v>0</v>
      </c>
      <c r="Y171">
        <f>(Z171/AA171*100)</f>
        <v>0</v>
      </c>
      <c r="Z171">
        <f>DD171*(DI171+DJ171)/1000</f>
        <v>0</v>
      </c>
      <c r="AA171">
        <f>0.61365*exp(17.502*DK171/(240.97+DK171))</f>
        <v>0</v>
      </c>
      <c r="AB171">
        <f>(X171-DD171*(DI171+DJ171)/1000)</f>
        <v>0</v>
      </c>
      <c r="AC171">
        <f>(-J171*44100)</f>
        <v>0</v>
      </c>
      <c r="AD171">
        <f>2*29.3*R171*0.92*(DK171-W171)</f>
        <v>0</v>
      </c>
      <c r="AE171">
        <f>2*0.95*5.67E-8*(((DK171+$B$7)+273)^4-(W171+273)^4)</f>
        <v>0</v>
      </c>
      <c r="AF171">
        <f>U171+AE171+AC171+AD171</f>
        <v>0</v>
      </c>
      <c r="AG171">
        <f>DH171*AU171*(DC171-DB171*(1000-AU171*DE171)/(1000-AU171*DD171))/(100*CV171)</f>
        <v>0</v>
      </c>
      <c r="AH171">
        <f>1000*DH171*AU171*(DD171-DE171)/(100*CV171*(1000-AU171*DD171))</f>
        <v>0</v>
      </c>
      <c r="AI171">
        <f>(AJ171 - AK171 - DI171*1E3/(8.314*(DK171+273.15)) * AM171/DH171 * AL171) * DH171/(100*CV171) * (1000 - DE171)/1000</f>
        <v>0</v>
      </c>
      <c r="AJ171">
        <v>624.2101739287107</v>
      </c>
      <c r="AK171">
        <v>612.762509090909</v>
      </c>
      <c r="AL171">
        <v>-3.272194346707422</v>
      </c>
      <c r="AM171">
        <v>66.38192812717227</v>
      </c>
      <c r="AN171">
        <f>(AP171 - AO171 + DI171*1E3/(8.314*(DK171+273.15)) * AR171/DH171 * AQ171) * DH171/(100*CV171) * 1000/(1000 - AP171)</f>
        <v>0</v>
      </c>
      <c r="AO171">
        <v>13.72418833201148</v>
      </c>
      <c r="AP171">
        <v>18.23211235294116</v>
      </c>
      <c r="AQ171">
        <v>2.620554110262234E-06</v>
      </c>
      <c r="AR171">
        <v>80.47224507511959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MAX(0,($B$13+$C$13*DP171)/(1+$D$13*DP171)*DI171/(DK171+273)*$E$13)</f>
        <v>0</v>
      </c>
      <c r="AX171" t="s">
        <v>417</v>
      </c>
      <c r="AY171" t="s">
        <v>417</v>
      </c>
      <c r="AZ171">
        <v>0</v>
      </c>
      <c r="BA171">
        <v>0</v>
      </c>
      <c r="BB171">
        <f>1-AZ171/BA171</f>
        <v>0</v>
      </c>
      <c r="BC171">
        <v>0</v>
      </c>
      <c r="BD171" t="s">
        <v>417</v>
      </c>
      <c r="BE171" t="s">
        <v>417</v>
      </c>
      <c r="BF171">
        <v>0</v>
      </c>
      <c r="BG171">
        <v>0</v>
      </c>
      <c r="BH171">
        <f>1-BF171/BG171</f>
        <v>0</v>
      </c>
      <c r="BI171">
        <v>0.5</v>
      </c>
      <c r="BJ171">
        <f>CS171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417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1248</v>
      </c>
      <c r="CA171">
        <v>300</v>
      </c>
      <c r="CB171">
        <v>300</v>
      </c>
      <c r="CC171">
        <v>300</v>
      </c>
      <c r="CD171">
        <v>10442</v>
      </c>
      <c r="CE171">
        <v>1293.69</v>
      </c>
      <c r="CF171">
        <v>-0.00735246</v>
      </c>
      <c r="CG171">
        <v>0.5</v>
      </c>
      <c r="CH171" t="s">
        <v>417</v>
      </c>
      <c r="CI171" t="s">
        <v>417</v>
      </c>
      <c r="CJ171" t="s">
        <v>417</v>
      </c>
      <c r="CK171" t="s">
        <v>417</v>
      </c>
      <c r="CL171" t="s">
        <v>417</v>
      </c>
      <c r="CM171" t="s">
        <v>417</v>
      </c>
      <c r="CN171" t="s">
        <v>417</v>
      </c>
      <c r="CO171" t="s">
        <v>417</v>
      </c>
      <c r="CP171" t="s">
        <v>417</v>
      </c>
      <c r="CQ171" t="s">
        <v>417</v>
      </c>
      <c r="CR171">
        <f>$B$11*DQ171+$C$11*DR171+$F$11*EC171*(1-EF171)</f>
        <v>0</v>
      </c>
      <c r="CS171">
        <f>CR171*CT171</f>
        <v>0</v>
      </c>
      <c r="CT171">
        <f>($B$11*$D$9+$C$11*$D$9+$F$11*((EP171+EH171)/MAX(EP171+EH171+EQ171, 0.1)*$I$9+EQ171/MAX(EP171+EH171+EQ171, 0.1)*$J$9))/($B$11+$C$11+$F$11)</f>
        <v>0</v>
      </c>
      <c r="CU171">
        <f>($B$11*$K$9+$C$11*$K$9+$F$11*((EP171+EH171)/MAX(EP171+EH171+EQ171, 0.1)*$P$9+EQ171/MAX(EP171+EH171+EQ171, 0.1)*$Q$9))/($B$11+$C$11+$F$11)</f>
        <v>0</v>
      </c>
      <c r="CV171">
        <v>6</v>
      </c>
      <c r="CW171">
        <v>0.5</v>
      </c>
      <c r="CX171" t="s">
        <v>418</v>
      </c>
      <c r="CY171">
        <v>2</v>
      </c>
      <c r="CZ171" t="b">
        <v>1</v>
      </c>
      <c r="DA171">
        <v>1651864706.225</v>
      </c>
      <c r="DB171">
        <v>604.4057499999999</v>
      </c>
      <c r="DC171">
        <v>611.0074999999999</v>
      </c>
      <c r="DD171">
        <v>18.2274</v>
      </c>
      <c r="DE171">
        <v>13.762425</v>
      </c>
      <c r="DF171">
        <v>605.75325</v>
      </c>
      <c r="DG171">
        <v>18.208775</v>
      </c>
      <c r="DH171">
        <v>500.0445</v>
      </c>
      <c r="DI171">
        <v>89.93705</v>
      </c>
      <c r="DJ171">
        <v>0.1000532</v>
      </c>
      <c r="DK171">
        <v>25.67735</v>
      </c>
      <c r="DL171">
        <v>25.022775</v>
      </c>
      <c r="DM171">
        <v>999.9</v>
      </c>
      <c r="DN171">
        <v>0</v>
      </c>
      <c r="DO171">
        <v>0</v>
      </c>
      <c r="DP171">
        <v>10018.125</v>
      </c>
      <c r="DQ171">
        <v>0</v>
      </c>
      <c r="DR171">
        <v>3.23193</v>
      </c>
      <c r="DS171">
        <v>-6.60158</v>
      </c>
      <c r="DT171">
        <v>615.627</v>
      </c>
      <c r="DU171">
        <v>619.5335</v>
      </c>
      <c r="DV171">
        <v>4.4649775</v>
      </c>
      <c r="DW171">
        <v>611.0074999999999</v>
      </c>
      <c r="DX171">
        <v>13.762425</v>
      </c>
      <c r="DY171">
        <v>1.63932</v>
      </c>
      <c r="DZ171">
        <v>1.2377525</v>
      </c>
      <c r="EA171">
        <v>14.333475</v>
      </c>
      <c r="EB171">
        <v>10.06355</v>
      </c>
      <c r="EC171">
        <v>1499.9475</v>
      </c>
      <c r="ED171">
        <v>0.9730030000000001</v>
      </c>
      <c r="EE171">
        <v>0.02699695</v>
      </c>
      <c r="EF171">
        <v>0</v>
      </c>
      <c r="EG171">
        <v>868.62175</v>
      </c>
      <c r="EH171">
        <v>5.00097</v>
      </c>
      <c r="EI171">
        <v>12906.1</v>
      </c>
      <c r="EJ171">
        <v>12491.15</v>
      </c>
      <c r="EK171">
        <v>37.25</v>
      </c>
      <c r="EL171">
        <v>38.687</v>
      </c>
      <c r="EM171">
        <v>37.625</v>
      </c>
      <c r="EN171">
        <v>38.437</v>
      </c>
      <c r="EO171">
        <v>38.125</v>
      </c>
      <c r="EP171">
        <v>1454.59</v>
      </c>
      <c r="EQ171">
        <v>40.3575</v>
      </c>
      <c r="ER171">
        <v>0</v>
      </c>
      <c r="ES171">
        <v>486.6000001430511</v>
      </c>
      <c r="ET171">
        <v>0</v>
      </c>
      <c r="EU171">
        <v>871.74148</v>
      </c>
      <c r="EV171">
        <v>-34.11746150462574</v>
      </c>
      <c r="EW171">
        <v>-505.1461531316401</v>
      </c>
      <c r="EX171">
        <v>12953.5</v>
      </c>
      <c r="EY171">
        <v>15</v>
      </c>
      <c r="EZ171">
        <v>1651864261.1</v>
      </c>
      <c r="FA171" t="s">
        <v>419</v>
      </c>
      <c r="FB171">
        <v>1651864241.6</v>
      </c>
      <c r="FC171">
        <v>1651864261.1</v>
      </c>
      <c r="FD171">
        <v>7</v>
      </c>
      <c r="FE171">
        <v>0.438</v>
      </c>
      <c r="FF171">
        <v>0.002</v>
      </c>
      <c r="FG171">
        <v>-0.988</v>
      </c>
      <c r="FH171">
        <v>-0.066</v>
      </c>
      <c r="FI171">
        <v>400</v>
      </c>
      <c r="FJ171">
        <v>11</v>
      </c>
      <c r="FK171">
        <v>0.05</v>
      </c>
      <c r="FL171">
        <v>0.02</v>
      </c>
      <c r="FM171">
        <v>-7.504829750000001</v>
      </c>
      <c r="FN171">
        <v>6.359565590994374</v>
      </c>
      <c r="FO171">
        <v>0.6271099563413401</v>
      </c>
      <c r="FP171">
        <v>-1</v>
      </c>
      <c r="FQ171">
        <v>4.54897675</v>
      </c>
      <c r="FR171">
        <v>-0.5225082551594793</v>
      </c>
      <c r="FS171">
        <v>0.05131198643531058</v>
      </c>
      <c r="FT171">
        <v>-1</v>
      </c>
      <c r="FU171">
        <v>0</v>
      </c>
      <c r="FV171">
        <v>0</v>
      </c>
      <c r="FW171">
        <v>0</v>
      </c>
      <c r="FX171">
        <v>-1</v>
      </c>
      <c r="FY171">
        <v>0</v>
      </c>
      <c r="FZ171">
        <v>0</v>
      </c>
      <c r="GA171" t="s">
        <v>420</v>
      </c>
      <c r="GB171">
        <v>2.98045</v>
      </c>
      <c r="GC171">
        <v>2.70635</v>
      </c>
      <c r="GD171">
        <v>0.121382</v>
      </c>
      <c r="GE171">
        <v>0.120894</v>
      </c>
      <c r="GF171">
        <v>0.0872622</v>
      </c>
      <c r="GG171">
        <v>0.0702496</v>
      </c>
      <c r="GH171">
        <v>27727.1</v>
      </c>
      <c r="GI171">
        <v>27804.2</v>
      </c>
      <c r="GJ171">
        <v>29343.4</v>
      </c>
      <c r="GK171">
        <v>29258.6</v>
      </c>
      <c r="GL171">
        <v>35464.7</v>
      </c>
      <c r="GM171">
        <v>36230.7</v>
      </c>
      <c r="GN171">
        <v>41302.2</v>
      </c>
      <c r="GO171">
        <v>41761.2</v>
      </c>
      <c r="GP171">
        <v>1.9555</v>
      </c>
      <c r="GQ171">
        <v>1.85005</v>
      </c>
      <c r="GR171">
        <v>-0.0200123</v>
      </c>
      <c r="GS171">
        <v>0</v>
      </c>
      <c r="GT171">
        <v>25.3537</v>
      </c>
      <c r="GU171">
        <v>999.9</v>
      </c>
      <c r="GV171">
        <v>31.7</v>
      </c>
      <c r="GW171">
        <v>34.3</v>
      </c>
      <c r="GX171">
        <v>19.1488</v>
      </c>
      <c r="GY171">
        <v>62.3274</v>
      </c>
      <c r="GZ171">
        <v>34.9599</v>
      </c>
      <c r="HA171">
        <v>1</v>
      </c>
      <c r="HB171">
        <v>0.107843</v>
      </c>
      <c r="HC171">
        <v>2.47477</v>
      </c>
      <c r="HD171">
        <v>20.316</v>
      </c>
      <c r="HE171">
        <v>5.21819</v>
      </c>
      <c r="HF171">
        <v>12.0099</v>
      </c>
      <c r="HG171">
        <v>4.98905</v>
      </c>
      <c r="HH171">
        <v>3.28865</v>
      </c>
      <c r="HI171">
        <v>997.9</v>
      </c>
      <c r="HJ171">
        <v>9547</v>
      </c>
      <c r="HK171">
        <v>5139.4</v>
      </c>
      <c r="HL171">
        <v>24.9</v>
      </c>
      <c r="HM171">
        <v>1.86752</v>
      </c>
      <c r="HN171">
        <v>1.86646</v>
      </c>
      <c r="HO171">
        <v>1.866</v>
      </c>
      <c r="HP171">
        <v>1.86586</v>
      </c>
      <c r="HQ171">
        <v>1.8677</v>
      </c>
      <c r="HR171">
        <v>1.87025</v>
      </c>
      <c r="HS171">
        <v>1.86889</v>
      </c>
      <c r="HT171">
        <v>1.87026</v>
      </c>
      <c r="HU171">
        <v>0</v>
      </c>
      <c r="HV171">
        <v>0</v>
      </c>
      <c r="HW171">
        <v>0</v>
      </c>
      <c r="HX171">
        <v>0</v>
      </c>
      <c r="HY171" t="s">
        <v>421</v>
      </c>
      <c r="HZ171" t="s">
        <v>422</v>
      </c>
      <c r="IA171" t="s">
        <v>423</v>
      </c>
      <c r="IB171" t="s">
        <v>423</v>
      </c>
      <c r="IC171" t="s">
        <v>423</v>
      </c>
      <c r="ID171" t="s">
        <v>423</v>
      </c>
      <c r="IE171">
        <v>0</v>
      </c>
      <c r="IF171">
        <v>100</v>
      </c>
      <c r="IG171">
        <v>100</v>
      </c>
      <c r="IH171">
        <v>-1.339</v>
      </c>
      <c r="II171">
        <v>0.0187</v>
      </c>
      <c r="IJ171">
        <v>-0.2164499368582429</v>
      </c>
      <c r="IK171">
        <v>-0.002077099775823331</v>
      </c>
      <c r="IL171">
        <v>4.593143279902166E-07</v>
      </c>
      <c r="IM171">
        <v>-1.865383991892071E-10</v>
      </c>
      <c r="IN171">
        <v>-0.06087574426827484</v>
      </c>
      <c r="IO171">
        <v>-0.01129461987421345</v>
      </c>
      <c r="IP171">
        <v>0.00116580895745559</v>
      </c>
      <c r="IQ171">
        <v>-1.679085872906199E-05</v>
      </c>
      <c r="IR171">
        <v>2</v>
      </c>
      <c r="IS171">
        <v>2290</v>
      </c>
      <c r="IT171">
        <v>0</v>
      </c>
      <c r="IU171">
        <v>32</v>
      </c>
      <c r="IV171">
        <v>7.8</v>
      </c>
      <c r="IW171">
        <v>7.4</v>
      </c>
      <c r="IX171">
        <v>1.36841</v>
      </c>
      <c r="IY171">
        <v>2.21802</v>
      </c>
      <c r="IZ171">
        <v>1.39648</v>
      </c>
      <c r="JA171">
        <v>2.35596</v>
      </c>
      <c r="JB171">
        <v>1.49536</v>
      </c>
      <c r="JC171">
        <v>2.36938</v>
      </c>
      <c r="JD171">
        <v>38.4769</v>
      </c>
      <c r="JE171">
        <v>24.035</v>
      </c>
      <c r="JF171">
        <v>18</v>
      </c>
      <c r="JG171">
        <v>511.132</v>
      </c>
      <c r="JH171">
        <v>428.893</v>
      </c>
      <c r="JI171">
        <v>22.2053</v>
      </c>
      <c r="JJ171">
        <v>28.678</v>
      </c>
      <c r="JK171">
        <v>30.0003</v>
      </c>
      <c r="JL171">
        <v>28.6402</v>
      </c>
      <c r="JM171">
        <v>28.5799</v>
      </c>
      <c r="JN171">
        <v>27.3622</v>
      </c>
      <c r="JO171">
        <v>28.2062</v>
      </c>
      <c r="JP171">
        <v>0</v>
      </c>
      <c r="JQ171">
        <v>22.2003</v>
      </c>
      <c r="JR171">
        <v>587.345</v>
      </c>
      <c r="JS171">
        <v>13.8474</v>
      </c>
      <c r="JT171">
        <v>100.302</v>
      </c>
      <c r="JU171">
        <v>100.23</v>
      </c>
    </row>
    <row r="172" spans="1:281">
      <c r="A172">
        <v>156</v>
      </c>
      <c r="B172">
        <v>1651864709.6</v>
      </c>
      <c r="C172">
        <v>489</v>
      </c>
      <c r="D172" t="s">
        <v>732</v>
      </c>
      <c r="E172" t="s">
        <v>733</v>
      </c>
      <c r="F172">
        <v>2</v>
      </c>
      <c r="G172" t="s">
        <v>413</v>
      </c>
      <c r="H172" t="s">
        <v>414</v>
      </c>
      <c r="I172">
        <v>1651864708.6</v>
      </c>
      <c r="J172">
        <f>(K172)/1000</f>
        <v>0</v>
      </c>
      <c r="K172">
        <f>IF(CZ172, AN172, AH172)</f>
        <v>0</v>
      </c>
      <c r="L172">
        <f>IF(CZ172, AI172, AG172)</f>
        <v>0</v>
      </c>
      <c r="M172">
        <f>DB172 - IF(AU172&gt;1, L172*CV172*100.0/(AW172*DP172), 0)</f>
        <v>0</v>
      </c>
      <c r="N172">
        <f>((T172-J172/2)*M172-L172)/(T172+J172/2)</f>
        <v>0</v>
      </c>
      <c r="O172">
        <f>N172*(DI172+DJ172)/1000.0</f>
        <v>0</v>
      </c>
      <c r="P172">
        <f>(DB172 - IF(AU172&gt;1, L172*CV172*100.0/(AW172*DP172), 0))*(DI172+DJ172)/1000.0</f>
        <v>0</v>
      </c>
      <c r="Q172">
        <f>2.0/((1/S172-1/R172)+SIGN(S172)*SQRT((1/S172-1/R172)*(1/S172-1/R172) + 4*CW172/((CW172+1)*(CW172+1))*(2*1/S172*1/R172-1/R172*1/R172)))</f>
        <v>0</v>
      </c>
      <c r="R172">
        <f>IF(LEFT(CX172,1)&lt;&gt;"0",IF(LEFT(CX172,1)="1",3.0,CY172),$D$5+$E$5*(DP172*DI172/($K$5*1000))+$F$5*(DP172*DI172/($K$5*1000))*MAX(MIN(CV172,$J$5),$I$5)*MAX(MIN(CV172,$J$5),$I$5)+$G$5*MAX(MIN(CV172,$J$5),$I$5)*(DP172*DI172/($K$5*1000))+$H$5*(DP172*DI172/($K$5*1000))*(DP172*DI172/($K$5*1000)))</f>
        <v>0</v>
      </c>
      <c r="S172">
        <f>J172*(1000-(1000*0.61365*exp(17.502*W172/(240.97+W172))/(DI172+DJ172)+DD172)/2)/(1000*0.61365*exp(17.502*W172/(240.97+W172))/(DI172+DJ172)-DD172)</f>
        <v>0</v>
      </c>
      <c r="T172">
        <f>1/((CW172+1)/(Q172/1.6)+1/(R172/1.37)) + CW172/((CW172+1)/(Q172/1.6) + CW172/(R172/1.37))</f>
        <v>0</v>
      </c>
      <c r="U172">
        <f>(CR172*CU172)</f>
        <v>0</v>
      </c>
      <c r="V172">
        <f>(DK172+(U172+2*0.95*5.67E-8*(((DK172+$B$7)+273)^4-(DK172+273)^4)-44100*J172)/(1.84*29.3*R172+8*0.95*5.67E-8*(DK172+273)^3))</f>
        <v>0</v>
      </c>
      <c r="W172">
        <f>($C$7*DL172+$D$7*DM172+$E$7*V172)</f>
        <v>0</v>
      </c>
      <c r="X172">
        <f>0.61365*exp(17.502*W172/(240.97+W172))</f>
        <v>0</v>
      </c>
      <c r="Y172">
        <f>(Z172/AA172*100)</f>
        <v>0</v>
      </c>
      <c r="Z172">
        <f>DD172*(DI172+DJ172)/1000</f>
        <v>0</v>
      </c>
      <c r="AA172">
        <f>0.61365*exp(17.502*DK172/(240.97+DK172))</f>
        <v>0</v>
      </c>
      <c r="AB172">
        <f>(X172-DD172*(DI172+DJ172)/1000)</f>
        <v>0</v>
      </c>
      <c r="AC172">
        <f>(-J172*44100)</f>
        <v>0</v>
      </c>
      <c r="AD172">
        <f>2*29.3*R172*0.92*(DK172-W172)</f>
        <v>0</v>
      </c>
      <c r="AE172">
        <f>2*0.95*5.67E-8*(((DK172+$B$7)+273)^4-(W172+273)^4)</f>
        <v>0</v>
      </c>
      <c r="AF172">
        <f>U172+AE172+AC172+AD172</f>
        <v>0</v>
      </c>
      <c r="AG172">
        <f>DH172*AU172*(DC172-DB172*(1000-AU172*DE172)/(1000-AU172*DD172))/(100*CV172)</f>
        <v>0</v>
      </c>
      <c r="AH172">
        <f>1000*DH172*AU172*(DD172-DE172)/(100*CV172*(1000-AU172*DD172))</f>
        <v>0</v>
      </c>
      <c r="AI172">
        <f>(AJ172 - AK172 - DI172*1E3/(8.314*(DK172+273.15)) * AM172/DH172 * AL172) * DH172/(100*CV172) * (1000 - DE172)/1000</f>
        <v>0</v>
      </c>
      <c r="AJ172">
        <v>617.5051370828546</v>
      </c>
      <c r="AK172">
        <v>606.1799333333333</v>
      </c>
      <c r="AL172">
        <v>-3.283467573751041</v>
      </c>
      <c r="AM172">
        <v>66.38192812717227</v>
      </c>
      <c r="AN172">
        <f>(AP172 - AO172 + DI172*1E3/(8.314*(DK172+273.15)) * AR172/DH172 * AQ172) * DH172/(100*CV172) * 1000/(1000 - AP172)</f>
        <v>0</v>
      </c>
      <c r="AO172">
        <v>13.75545111569018</v>
      </c>
      <c r="AP172">
        <v>18.23717529411764</v>
      </c>
      <c r="AQ172">
        <v>3.860058638010597E-05</v>
      </c>
      <c r="AR172">
        <v>80.47224507511959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MAX(0,($B$13+$C$13*DP172)/(1+$D$13*DP172)*DI172/(DK172+273)*$E$13)</f>
        <v>0</v>
      </c>
      <c r="AX172" t="s">
        <v>417</v>
      </c>
      <c r="AY172" t="s">
        <v>417</v>
      </c>
      <c r="AZ172">
        <v>0</v>
      </c>
      <c r="BA172">
        <v>0</v>
      </c>
      <c r="BB172">
        <f>1-AZ172/BA172</f>
        <v>0</v>
      </c>
      <c r="BC172">
        <v>0</v>
      </c>
      <c r="BD172" t="s">
        <v>417</v>
      </c>
      <c r="BE172" t="s">
        <v>417</v>
      </c>
      <c r="BF172">
        <v>0</v>
      </c>
      <c r="BG172">
        <v>0</v>
      </c>
      <c r="BH172">
        <f>1-BF172/BG172</f>
        <v>0</v>
      </c>
      <c r="BI172">
        <v>0.5</v>
      </c>
      <c r="BJ172">
        <f>CS172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417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1248</v>
      </c>
      <c r="CA172">
        <v>300</v>
      </c>
      <c r="CB172">
        <v>300</v>
      </c>
      <c r="CC172">
        <v>300</v>
      </c>
      <c r="CD172">
        <v>10442</v>
      </c>
      <c r="CE172">
        <v>1293.69</v>
      </c>
      <c r="CF172">
        <v>-0.00735246</v>
      </c>
      <c r="CG172">
        <v>0.5</v>
      </c>
      <c r="CH172" t="s">
        <v>417</v>
      </c>
      <c r="CI172" t="s">
        <v>417</v>
      </c>
      <c r="CJ172" t="s">
        <v>417</v>
      </c>
      <c r="CK172" t="s">
        <v>417</v>
      </c>
      <c r="CL172" t="s">
        <v>417</v>
      </c>
      <c r="CM172" t="s">
        <v>417</v>
      </c>
      <c r="CN172" t="s">
        <v>417</v>
      </c>
      <c r="CO172" t="s">
        <v>417</v>
      </c>
      <c r="CP172" t="s">
        <v>417</v>
      </c>
      <c r="CQ172" t="s">
        <v>417</v>
      </c>
      <c r="CR172">
        <f>$B$11*DQ172+$C$11*DR172+$F$11*EC172*(1-EF172)</f>
        <v>0</v>
      </c>
      <c r="CS172">
        <f>CR172*CT172</f>
        <v>0</v>
      </c>
      <c r="CT172">
        <f>($B$11*$D$9+$C$11*$D$9+$F$11*((EP172+EH172)/MAX(EP172+EH172+EQ172, 0.1)*$I$9+EQ172/MAX(EP172+EH172+EQ172, 0.1)*$J$9))/($B$11+$C$11+$F$11)</f>
        <v>0</v>
      </c>
      <c r="CU172">
        <f>($B$11*$K$9+$C$11*$K$9+$F$11*((EP172+EH172)/MAX(EP172+EH172+EQ172, 0.1)*$P$9+EQ172/MAX(EP172+EH172+EQ172, 0.1)*$Q$9))/($B$11+$C$11+$F$11)</f>
        <v>0</v>
      </c>
      <c r="CV172">
        <v>6</v>
      </c>
      <c r="CW172">
        <v>0.5</v>
      </c>
      <c r="CX172" t="s">
        <v>418</v>
      </c>
      <c r="CY172">
        <v>2</v>
      </c>
      <c r="CZ172" t="b">
        <v>1</v>
      </c>
      <c r="DA172">
        <v>1651864708.6</v>
      </c>
      <c r="DB172">
        <v>596.7403333333333</v>
      </c>
      <c r="DC172">
        <v>603.1616666666666</v>
      </c>
      <c r="DD172">
        <v>18.23506666666666</v>
      </c>
      <c r="DE172">
        <v>13.76646666666667</v>
      </c>
      <c r="DF172">
        <v>598.0746666666668</v>
      </c>
      <c r="DG172">
        <v>18.21633333333333</v>
      </c>
      <c r="DH172">
        <v>500.057</v>
      </c>
      <c r="DI172">
        <v>89.93593333333332</v>
      </c>
      <c r="DJ172">
        <v>0.1002093333333333</v>
      </c>
      <c r="DK172">
        <v>25.67546666666667</v>
      </c>
      <c r="DL172">
        <v>25.0232</v>
      </c>
      <c r="DM172">
        <v>999.9</v>
      </c>
      <c r="DN172">
        <v>0</v>
      </c>
      <c r="DO172">
        <v>0</v>
      </c>
      <c r="DP172">
        <v>9998.733333333334</v>
      </c>
      <c r="DQ172">
        <v>0</v>
      </c>
      <c r="DR172">
        <v>3.23193</v>
      </c>
      <c r="DS172">
        <v>-6.42139</v>
      </c>
      <c r="DT172">
        <v>607.8236666666668</v>
      </c>
      <c r="DU172">
        <v>611.581</v>
      </c>
      <c r="DV172">
        <v>4.468593333333334</v>
      </c>
      <c r="DW172">
        <v>603.1616666666666</v>
      </c>
      <c r="DX172">
        <v>13.76646666666667</v>
      </c>
      <c r="DY172">
        <v>1.639983333333333</v>
      </c>
      <c r="DZ172">
        <v>1.2381</v>
      </c>
      <c r="EA172">
        <v>14.33976666666667</v>
      </c>
      <c r="EB172">
        <v>10.06773333333333</v>
      </c>
      <c r="EC172">
        <v>1500.063333333334</v>
      </c>
      <c r="ED172">
        <v>0.9730103333333333</v>
      </c>
      <c r="EE172">
        <v>0.0269895</v>
      </c>
      <c r="EF172">
        <v>0</v>
      </c>
      <c r="EG172">
        <v>867.418</v>
      </c>
      <c r="EH172">
        <v>5.00097</v>
      </c>
      <c r="EI172">
        <v>12889.93333333333</v>
      </c>
      <c r="EJ172">
        <v>12492.16666666667</v>
      </c>
      <c r="EK172">
        <v>37.25</v>
      </c>
      <c r="EL172">
        <v>38.687</v>
      </c>
      <c r="EM172">
        <v>37.625</v>
      </c>
      <c r="EN172">
        <v>38.437</v>
      </c>
      <c r="EO172">
        <v>38.125</v>
      </c>
      <c r="EP172">
        <v>1454.713333333333</v>
      </c>
      <c r="EQ172">
        <v>40.35</v>
      </c>
      <c r="ER172">
        <v>0</v>
      </c>
      <c r="ES172">
        <v>488.4000000953674</v>
      </c>
      <c r="ET172">
        <v>0</v>
      </c>
      <c r="EU172">
        <v>870.8808461538459</v>
      </c>
      <c r="EV172">
        <v>-32.52724789543484</v>
      </c>
      <c r="EW172">
        <v>-492.7863251312314</v>
      </c>
      <c r="EX172">
        <v>12941.26923076923</v>
      </c>
      <c r="EY172">
        <v>15</v>
      </c>
      <c r="EZ172">
        <v>1651864261.1</v>
      </c>
      <c r="FA172" t="s">
        <v>419</v>
      </c>
      <c r="FB172">
        <v>1651864241.6</v>
      </c>
      <c r="FC172">
        <v>1651864261.1</v>
      </c>
      <c r="FD172">
        <v>7</v>
      </c>
      <c r="FE172">
        <v>0.438</v>
      </c>
      <c r="FF172">
        <v>0.002</v>
      </c>
      <c r="FG172">
        <v>-0.988</v>
      </c>
      <c r="FH172">
        <v>-0.066</v>
      </c>
      <c r="FI172">
        <v>400</v>
      </c>
      <c r="FJ172">
        <v>11</v>
      </c>
      <c r="FK172">
        <v>0.05</v>
      </c>
      <c r="FL172">
        <v>0.02</v>
      </c>
      <c r="FM172">
        <v>-7.42275875</v>
      </c>
      <c r="FN172">
        <v>6.648925666041295</v>
      </c>
      <c r="FO172">
        <v>0.6477301322548902</v>
      </c>
      <c r="FP172">
        <v>-1</v>
      </c>
      <c r="FQ172">
        <v>4.541866</v>
      </c>
      <c r="FR172">
        <v>-0.5342956097561082</v>
      </c>
      <c r="FS172">
        <v>0.05221175264248459</v>
      </c>
      <c r="FT172">
        <v>-1</v>
      </c>
      <c r="FU172">
        <v>0</v>
      </c>
      <c r="FV172">
        <v>0</v>
      </c>
      <c r="FW172">
        <v>0</v>
      </c>
      <c r="FX172">
        <v>-1</v>
      </c>
      <c r="FY172">
        <v>0</v>
      </c>
      <c r="FZ172">
        <v>0</v>
      </c>
      <c r="GA172" t="s">
        <v>420</v>
      </c>
      <c r="GB172">
        <v>2.98063</v>
      </c>
      <c r="GC172">
        <v>2.70629</v>
      </c>
      <c r="GD172">
        <v>0.120463</v>
      </c>
      <c r="GE172">
        <v>0.119962</v>
      </c>
      <c r="GF172">
        <v>0.087271</v>
      </c>
      <c r="GG172">
        <v>0.0702554</v>
      </c>
      <c r="GH172">
        <v>27756.3</v>
      </c>
      <c r="GI172">
        <v>27833.8</v>
      </c>
      <c r="GJ172">
        <v>29343.6</v>
      </c>
      <c r="GK172">
        <v>29258.7</v>
      </c>
      <c r="GL172">
        <v>35464.3</v>
      </c>
      <c r="GM172">
        <v>36230.5</v>
      </c>
      <c r="GN172">
        <v>41302.2</v>
      </c>
      <c r="GO172">
        <v>41761.2</v>
      </c>
      <c r="GP172">
        <v>1.95555</v>
      </c>
      <c r="GQ172">
        <v>1.84995</v>
      </c>
      <c r="GR172">
        <v>-0.0203922</v>
      </c>
      <c r="GS172">
        <v>0</v>
      </c>
      <c r="GT172">
        <v>25.3546</v>
      </c>
      <c r="GU172">
        <v>999.9</v>
      </c>
      <c r="GV172">
        <v>31.7</v>
      </c>
      <c r="GW172">
        <v>34.3</v>
      </c>
      <c r="GX172">
        <v>19.1493</v>
      </c>
      <c r="GY172">
        <v>62.3374</v>
      </c>
      <c r="GZ172">
        <v>34.7396</v>
      </c>
      <c r="HA172">
        <v>1</v>
      </c>
      <c r="HB172">
        <v>0.108018</v>
      </c>
      <c r="HC172">
        <v>2.46704</v>
      </c>
      <c r="HD172">
        <v>20.3162</v>
      </c>
      <c r="HE172">
        <v>5.21819</v>
      </c>
      <c r="HF172">
        <v>12.0099</v>
      </c>
      <c r="HG172">
        <v>4.98915</v>
      </c>
      <c r="HH172">
        <v>3.28865</v>
      </c>
      <c r="HI172">
        <v>997.9</v>
      </c>
      <c r="HJ172">
        <v>9547</v>
      </c>
      <c r="HK172">
        <v>5139.4</v>
      </c>
      <c r="HL172">
        <v>24.9</v>
      </c>
      <c r="HM172">
        <v>1.86752</v>
      </c>
      <c r="HN172">
        <v>1.86646</v>
      </c>
      <c r="HO172">
        <v>1.866</v>
      </c>
      <c r="HP172">
        <v>1.86586</v>
      </c>
      <c r="HQ172">
        <v>1.8677</v>
      </c>
      <c r="HR172">
        <v>1.87025</v>
      </c>
      <c r="HS172">
        <v>1.86888</v>
      </c>
      <c r="HT172">
        <v>1.87026</v>
      </c>
      <c r="HU172">
        <v>0</v>
      </c>
      <c r="HV172">
        <v>0</v>
      </c>
      <c r="HW172">
        <v>0</v>
      </c>
      <c r="HX172">
        <v>0</v>
      </c>
      <c r="HY172" t="s">
        <v>421</v>
      </c>
      <c r="HZ172" t="s">
        <v>422</v>
      </c>
      <c r="IA172" t="s">
        <v>423</v>
      </c>
      <c r="IB172" t="s">
        <v>423</v>
      </c>
      <c r="IC172" t="s">
        <v>423</v>
      </c>
      <c r="ID172" t="s">
        <v>423</v>
      </c>
      <c r="IE172">
        <v>0</v>
      </c>
      <c r="IF172">
        <v>100</v>
      </c>
      <c r="IG172">
        <v>100</v>
      </c>
      <c r="IH172">
        <v>-1.329</v>
      </c>
      <c r="II172">
        <v>0.0187</v>
      </c>
      <c r="IJ172">
        <v>-0.2164499368582429</v>
      </c>
      <c r="IK172">
        <v>-0.002077099775823331</v>
      </c>
      <c r="IL172">
        <v>4.593143279902166E-07</v>
      </c>
      <c r="IM172">
        <v>-1.865383991892071E-10</v>
      </c>
      <c r="IN172">
        <v>-0.06087574426827484</v>
      </c>
      <c r="IO172">
        <v>-0.01129461987421345</v>
      </c>
      <c r="IP172">
        <v>0.00116580895745559</v>
      </c>
      <c r="IQ172">
        <v>-1.679085872906199E-05</v>
      </c>
      <c r="IR172">
        <v>2</v>
      </c>
      <c r="IS172">
        <v>2290</v>
      </c>
      <c r="IT172">
        <v>0</v>
      </c>
      <c r="IU172">
        <v>32</v>
      </c>
      <c r="IV172">
        <v>7.8</v>
      </c>
      <c r="IW172">
        <v>7.5</v>
      </c>
      <c r="IX172">
        <v>1.3562</v>
      </c>
      <c r="IY172">
        <v>2.22168</v>
      </c>
      <c r="IZ172">
        <v>1.39648</v>
      </c>
      <c r="JA172">
        <v>2.35596</v>
      </c>
      <c r="JB172">
        <v>1.49536</v>
      </c>
      <c r="JC172">
        <v>2.31812</v>
      </c>
      <c r="JD172">
        <v>38.4769</v>
      </c>
      <c r="JE172">
        <v>24.0262</v>
      </c>
      <c r="JF172">
        <v>18</v>
      </c>
      <c r="JG172">
        <v>511.175</v>
      </c>
      <c r="JH172">
        <v>428.833</v>
      </c>
      <c r="JI172">
        <v>22.1977</v>
      </c>
      <c r="JJ172">
        <v>28.678</v>
      </c>
      <c r="JK172">
        <v>30.0002</v>
      </c>
      <c r="JL172">
        <v>28.6414</v>
      </c>
      <c r="JM172">
        <v>28.5799</v>
      </c>
      <c r="JN172">
        <v>27.11</v>
      </c>
      <c r="JO172">
        <v>27.9139</v>
      </c>
      <c r="JP172">
        <v>0</v>
      </c>
      <c r="JQ172">
        <v>22.1779</v>
      </c>
      <c r="JR172">
        <v>580.636</v>
      </c>
      <c r="JS172">
        <v>13.8634</v>
      </c>
      <c r="JT172">
        <v>100.302</v>
      </c>
      <c r="JU172">
        <v>100.23</v>
      </c>
    </row>
    <row r="173" spans="1:281">
      <c r="A173">
        <v>157</v>
      </c>
      <c r="B173">
        <v>1651864711.6</v>
      </c>
      <c r="C173">
        <v>491</v>
      </c>
      <c r="D173" t="s">
        <v>734</v>
      </c>
      <c r="E173" t="s">
        <v>735</v>
      </c>
      <c r="F173">
        <v>2</v>
      </c>
      <c r="G173" t="s">
        <v>413</v>
      </c>
      <c r="H173" t="s">
        <v>414</v>
      </c>
      <c r="I173">
        <v>1651864710.225</v>
      </c>
      <c r="J173">
        <f>(K173)/1000</f>
        <v>0</v>
      </c>
      <c r="K173">
        <f>IF(CZ173, AN173, AH173)</f>
        <v>0</v>
      </c>
      <c r="L173">
        <f>IF(CZ173, AI173, AG173)</f>
        <v>0</v>
      </c>
      <c r="M173">
        <f>DB173 - IF(AU173&gt;1, L173*CV173*100.0/(AW173*DP173), 0)</f>
        <v>0</v>
      </c>
      <c r="N173">
        <f>((T173-J173/2)*M173-L173)/(T173+J173/2)</f>
        <v>0</v>
      </c>
      <c r="O173">
        <f>N173*(DI173+DJ173)/1000.0</f>
        <v>0</v>
      </c>
      <c r="P173">
        <f>(DB173 - IF(AU173&gt;1, L173*CV173*100.0/(AW173*DP173), 0))*(DI173+DJ173)/1000.0</f>
        <v>0</v>
      </c>
      <c r="Q173">
        <f>2.0/((1/S173-1/R173)+SIGN(S173)*SQRT((1/S173-1/R173)*(1/S173-1/R173) + 4*CW173/((CW173+1)*(CW173+1))*(2*1/S173*1/R173-1/R173*1/R173)))</f>
        <v>0</v>
      </c>
      <c r="R173">
        <f>IF(LEFT(CX173,1)&lt;&gt;"0",IF(LEFT(CX173,1)="1",3.0,CY173),$D$5+$E$5*(DP173*DI173/($K$5*1000))+$F$5*(DP173*DI173/($K$5*1000))*MAX(MIN(CV173,$J$5),$I$5)*MAX(MIN(CV173,$J$5),$I$5)+$G$5*MAX(MIN(CV173,$J$5),$I$5)*(DP173*DI173/($K$5*1000))+$H$5*(DP173*DI173/($K$5*1000))*(DP173*DI173/($K$5*1000)))</f>
        <v>0</v>
      </c>
      <c r="S173">
        <f>J173*(1000-(1000*0.61365*exp(17.502*W173/(240.97+W173))/(DI173+DJ173)+DD173)/2)/(1000*0.61365*exp(17.502*W173/(240.97+W173))/(DI173+DJ173)-DD173)</f>
        <v>0</v>
      </c>
      <c r="T173">
        <f>1/((CW173+1)/(Q173/1.6)+1/(R173/1.37)) + CW173/((CW173+1)/(Q173/1.6) + CW173/(R173/1.37))</f>
        <v>0</v>
      </c>
      <c r="U173">
        <f>(CR173*CU173)</f>
        <v>0</v>
      </c>
      <c r="V173">
        <f>(DK173+(U173+2*0.95*5.67E-8*(((DK173+$B$7)+273)^4-(DK173+273)^4)-44100*J173)/(1.84*29.3*R173+8*0.95*5.67E-8*(DK173+273)^3))</f>
        <v>0</v>
      </c>
      <c r="W173">
        <f>($C$7*DL173+$D$7*DM173+$E$7*V173)</f>
        <v>0</v>
      </c>
      <c r="X173">
        <f>0.61365*exp(17.502*W173/(240.97+W173))</f>
        <v>0</v>
      </c>
      <c r="Y173">
        <f>(Z173/AA173*100)</f>
        <v>0</v>
      </c>
      <c r="Z173">
        <f>DD173*(DI173+DJ173)/1000</f>
        <v>0</v>
      </c>
      <c r="AA173">
        <f>0.61365*exp(17.502*DK173/(240.97+DK173))</f>
        <v>0</v>
      </c>
      <c r="AB173">
        <f>(X173-DD173*(DI173+DJ173)/1000)</f>
        <v>0</v>
      </c>
      <c r="AC173">
        <f>(-J173*44100)</f>
        <v>0</v>
      </c>
      <c r="AD173">
        <f>2*29.3*R173*0.92*(DK173-W173)</f>
        <v>0</v>
      </c>
      <c r="AE173">
        <f>2*0.95*5.67E-8*(((DK173+$B$7)+273)^4-(W173+273)^4)</f>
        <v>0</v>
      </c>
      <c r="AF173">
        <f>U173+AE173+AC173+AD173</f>
        <v>0</v>
      </c>
      <c r="AG173">
        <f>DH173*AU173*(DC173-DB173*(1000-AU173*DE173)/(1000-AU173*DD173))/(100*CV173)</f>
        <v>0</v>
      </c>
      <c r="AH173">
        <f>1000*DH173*AU173*(DD173-DE173)/(100*CV173*(1000-AU173*DD173))</f>
        <v>0</v>
      </c>
      <c r="AI173">
        <f>(AJ173 - AK173 - DI173*1E3/(8.314*(DK173+273.15)) * AM173/DH173 * AL173) * DH173/(100*CV173) * (1000 - DE173)/1000</f>
        <v>0</v>
      </c>
      <c r="AJ173">
        <v>610.8077438402078</v>
      </c>
      <c r="AK173">
        <v>599.5983272727273</v>
      </c>
      <c r="AL173">
        <v>-3.287583644845009</v>
      </c>
      <c r="AM173">
        <v>66.38192812717227</v>
      </c>
      <c r="AN173">
        <f>(AP173 - AO173 + DI173*1E3/(8.314*(DK173+273.15)) * AR173/DH173 * AQ173) * DH173/(100*CV173) * 1000/(1000 - AP173)</f>
        <v>0</v>
      </c>
      <c r="AO173">
        <v>13.76462614652768</v>
      </c>
      <c r="AP173">
        <v>18.23512176470588</v>
      </c>
      <c r="AQ173">
        <v>0.005964944424445497</v>
      </c>
      <c r="AR173">
        <v>80.47224507511959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MAX(0,($B$13+$C$13*DP173)/(1+$D$13*DP173)*DI173/(DK173+273)*$E$13)</f>
        <v>0</v>
      </c>
      <c r="AX173" t="s">
        <v>417</v>
      </c>
      <c r="AY173" t="s">
        <v>417</v>
      </c>
      <c r="AZ173">
        <v>0</v>
      </c>
      <c r="BA173">
        <v>0</v>
      </c>
      <c r="BB173">
        <f>1-AZ173/BA173</f>
        <v>0</v>
      </c>
      <c r="BC173">
        <v>0</v>
      </c>
      <c r="BD173" t="s">
        <v>417</v>
      </c>
      <c r="BE173" t="s">
        <v>417</v>
      </c>
      <c r="BF173">
        <v>0</v>
      </c>
      <c r="BG173">
        <v>0</v>
      </c>
      <c r="BH173">
        <f>1-BF173/BG173</f>
        <v>0</v>
      </c>
      <c r="BI173">
        <v>0.5</v>
      </c>
      <c r="BJ173">
        <f>CS173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417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1248</v>
      </c>
      <c r="CA173">
        <v>300</v>
      </c>
      <c r="CB173">
        <v>300</v>
      </c>
      <c r="CC173">
        <v>300</v>
      </c>
      <c r="CD173">
        <v>10442</v>
      </c>
      <c r="CE173">
        <v>1293.69</v>
      </c>
      <c r="CF173">
        <v>-0.00735246</v>
      </c>
      <c r="CG173">
        <v>0.5</v>
      </c>
      <c r="CH173" t="s">
        <v>417</v>
      </c>
      <c r="CI173" t="s">
        <v>417</v>
      </c>
      <c r="CJ173" t="s">
        <v>417</v>
      </c>
      <c r="CK173" t="s">
        <v>417</v>
      </c>
      <c r="CL173" t="s">
        <v>417</v>
      </c>
      <c r="CM173" t="s">
        <v>417</v>
      </c>
      <c r="CN173" t="s">
        <v>417</v>
      </c>
      <c r="CO173" t="s">
        <v>417</v>
      </c>
      <c r="CP173" t="s">
        <v>417</v>
      </c>
      <c r="CQ173" t="s">
        <v>417</v>
      </c>
      <c r="CR173">
        <f>$B$11*DQ173+$C$11*DR173+$F$11*EC173*(1-EF173)</f>
        <v>0</v>
      </c>
      <c r="CS173">
        <f>CR173*CT173</f>
        <v>0</v>
      </c>
      <c r="CT173">
        <f>($B$11*$D$9+$C$11*$D$9+$F$11*((EP173+EH173)/MAX(EP173+EH173+EQ173, 0.1)*$I$9+EQ173/MAX(EP173+EH173+EQ173, 0.1)*$J$9))/($B$11+$C$11+$F$11)</f>
        <v>0</v>
      </c>
      <c r="CU173">
        <f>($B$11*$K$9+$C$11*$K$9+$F$11*((EP173+EH173)/MAX(EP173+EH173+EQ173, 0.1)*$P$9+EQ173/MAX(EP173+EH173+EQ173, 0.1)*$Q$9))/($B$11+$C$11+$F$11)</f>
        <v>0</v>
      </c>
      <c r="CV173">
        <v>6</v>
      </c>
      <c r="CW173">
        <v>0.5</v>
      </c>
      <c r="CX173" t="s">
        <v>418</v>
      </c>
      <c r="CY173">
        <v>2</v>
      </c>
      <c r="CZ173" t="b">
        <v>1</v>
      </c>
      <c r="DA173">
        <v>1651864710.225</v>
      </c>
      <c r="DB173">
        <v>591.49425</v>
      </c>
      <c r="DC173">
        <v>597.68325</v>
      </c>
      <c r="DD173">
        <v>18.2354</v>
      </c>
      <c r="DE173">
        <v>13.76805</v>
      </c>
      <c r="DF173">
        <v>592.81975</v>
      </c>
      <c r="DG173">
        <v>18.21665</v>
      </c>
      <c r="DH173">
        <v>500.09425</v>
      </c>
      <c r="DI173">
        <v>89.93577500000001</v>
      </c>
      <c r="DJ173">
        <v>0.10007775</v>
      </c>
      <c r="DK173">
        <v>25.67505</v>
      </c>
      <c r="DL173">
        <v>25.0188</v>
      </c>
      <c r="DM173">
        <v>999.9</v>
      </c>
      <c r="DN173">
        <v>0</v>
      </c>
      <c r="DO173">
        <v>0</v>
      </c>
      <c r="DP173">
        <v>9998.424999999999</v>
      </c>
      <c r="DQ173">
        <v>0</v>
      </c>
      <c r="DR173">
        <v>3.23193</v>
      </c>
      <c r="DS173">
        <v>-6.1889675</v>
      </c>
      <c r="DT173">
        <v>602.481</v>
      </c>
      <c r="DU173">
        <v>606.02725</v>
      </c>
      <c r="DV173">
        <v>4.4673325</v>
      </c>
      <c r="DW173">
        <v>597.68325</v>
      </c>
      <c r="DX173">
        <v>13.76805</v>
      </c>
      <c r="DY173">
        <v>1.640015</v>
      </c>
      <c r="DZ173">
        <v>1.2382425</v>
      </c>
      <c r="EA173">
        <v>14.34</v>
      </c>
      <c r="EB173">
        <v>10.069425</v>
      </c>
      <c r="EC173">
        <v>1500.0175</v>
      </c>
      <c r="ED173">
        <v>0.9730094999999999</v>
      </c>
      <c r="EE173">
        <v>0.0269904</v>
      </c>
      <c r="EF173">
        <v>0</v>
      </c>
      <c r="EG173">
        <v>866.4285</v>
      </c>
      <c r="EH173">
        <v>5.00097</v>
      </c>
      <c r="EI173">
        <v>12876.95</v>
      </c>
      <c r="EJ173">
        <v>12491.75</v>
      </c>
      <c r="EK173">
        <v>37.25</v>
      </c>
      <c r="EL173">
        <v>38.687</v>
      </c>
      <c r="EM173">
        <v>37.625</v>
      </c>
      <c r="EN173">
        <v>38.437</v>
      </c>
      <c r="EO173">
        <v>38.125</v>
      </c>
      <c r="EP173">
        <v>1454.6675</v>
      </c>
      <c r="EQ173">
        <v>40.35</v>
      </c>
      <c r="ER173">
        <v>0</v>
      </c>
      <c r="ES173">
        <v>490.2000000476837</v>
      </c>
      <c r="ET173">
        <v>0</v>
      </c>
      <c r="EU173">
        <v>869.70952</v>
      </c>
      <c r="EV173">
        <v>-31.75899996515365</v>
      </c>
      <c r="EW173">
        <v>-474.3999993410143</v>
      </c>
      <c r="EX173">
        <v>12924.312</v>
      </c>
      <c r="EY173">
        <v>15</v>
      </c>
      <c r="EZ173">
        <v>1651864261.1</v>
      </c>
      <c r="FA173" t="s">
        <v>419</v>
      </c>
      <c r="FB173">
        <v>1651864241.6</v>
      </c>
      <c r="FC173">
        <v>1651864261.1</v>
      </c>
      <c r="FD173">
        <v>7</v>
      </c>
      <c r="FE173">
        <v>0.438</v>
      </c>
      <c r="FF173">
        <v>0.002</v>
      </c>
      <c r="FG173">
        <v>-0.988</v>
      </c>
      <c r="FH173">
        <v>-0.066</v>
      </c>
      <c r="FI173">
        <v>400</v>
      </c>
      <c r="FJ173">
        <v>11</v>
      </c>
      <c r="FK173">
        <v>0.05</v>
      </c>
      <c r="FL173">
        <v>0.02</v>
      </c>
      <c r="FM173">
        <v>-7.11036925</v>
      </c>
      <c r="FN173">
        <v>6.569989080675444</v>
      </c>
      <c r="FO173">
        <v>0.6387062808341072</v>
      </c>
      <c r="FP173">
        <v>-1</v>
      </c>
      <c r="FQ173">
        <v>4.52055275</v>
      </c>
      <c r="FR173">
        <v>-0.4929733958724299</v>
      </c>
      <c r="FS173">
        <v>0.0489923309808535</v>
      </c>
      <c r="FT173">
        <v>-1</v>
      </c>
      <c r="FU173">
        <v>0</v>
      </c>
      <c r="FV173">
        <v>0</v>
      </c>
      <c r="FW173">
        <v>0</v>
      </c>
      <c r="FX173">
        <v>-1</v>
      </c>
      <c r="FY173">
        <v>0</v>
      </c>
      <c r="FZ173">
        <v>0</v>
      </c>
      <c r="GA173" t="s">
        <v>420</v>
      </c>
      <c r="GB173">
        <v>2.98053</v>
      </c>
      <c r="GC173">
        <v>2.70623</v>
      </c>
      <c r="GD173">
        <v>0.119533</v>
      </c>
      <c r="GE173">
        <v>0.118992</v>
      </c>
      <c r="GF173">
        <v>0.0872677</v>
      </c>
      <c r="GG173">
        <v>0.07027509999999999</v>
      </c>
      <c r="GH173">
        <v>27786.1</v>
      </c>
      <c r="GI173">
        <v>27864.4</v>
      </c>
      <c r="GJ173">
        <v>29344</v>
      </c>
      <c r="GK173">
        <v>29258.6</v>
      </c>
      <c r="GL173">
        <v>35465.1</v>
      </c>
      <c r="GM173">
        <v>36229.8</v>
      </c>
      <c r="GN173">
        <v>41303</v>
      </c>
      <c r="GO173">
        <v>41761.3</v>
      </c>
      <c r="GP173">
        <v>1.95565</v>
      </c>
      <c r="GQ173">
        <v>1.84988</v>
      </c>
      <c r="GR173">
        <v>-0.0205562</v>
      </c>
      <c r="GS173">
        <v>0</v>
      </c>
      <c r="GT173">
        <v>25.3546</v>
      </c>
      <c r="GU173">
        <v>999.9</v>
      </c>
      <c r="GV173">
        <v>31.7</v>
      </c>
      <c r="GW173">
        <v>34.3</v>
      </c>
      <c r="GX173">
        <v>19.1503</v>
      </c>
      <c r="GY173">
        <v>62.4974</v>
      </c>
      <c r="GZ173">
        <v>35.1442</v>
      </c>
      <c r="HA173">
        <v>1</v>
      </c>
      <c r="HB173">
        <v>0.108064</v>
      </c>
      <c r="HC173">
        <v>2.48926</v>
      </c>
      <c r="HD173">
        <v>20.3159</v>
      </c>
      <c r="HE173">
        <v>5.21849</v>
      </c>
      <c r="HF173">
        <v>12.0099</v>
      </c>
      <c r="HG173">
        <v>4.9893</v>
      </c>
      <c r="HH173">
        <v>3.28858</v>
      </c>
      <c r="HI173">
        <v>998.1</v>
      </c>
      <c r="HJ173">
        <v>9548</v>
      </c>
      <c r="HK173">
        <v>5139.4</v>
      </c>
      <c r="HL173">
        <v>24.9</v>
      </c>
      <c r="HM173">
        <v>1.86752</v>
      </c>
      <c r="HN173">
        <v>1.86646</v>
      </c>
      <c r="HO173">
        <v>1.866</v>
      </c>
      <c r="HP173">
        <v>1.86586</v>
      </c>
      <c r="HQ173">
        <v>1.86769</v>
      </c>
      <c r="HR173">
        <v>1.87022</v>
      </c>
      <c r="HS173">
        <v>1.86889</v>
      </c>
      <c r="HT173">
        <v>1.87026</v>
      </c>
      <c r="HU173">
        <v>0</v>
      </c>
      <c r="HV173">
        <v>0</v>
      </c>
      <c r="HW173">
        <v>0</v>
      </c>
      <c r="HX173">
        <v>0</v>
      </c>
      <c r="HY173" t="s">
        <v>421</v>
      </c>
      <c r="HZ173" t="s">
        <v>422</v>
      </c>
      <c r="IA173" t="s">
        <v>423</v>
      </c>
      <c r="IB173" t="s">
        <v>423</v>
      </c>
      <c r="IC173" t="s">
        <v>423</v>
      </c>
      <c r="ID173" t="s">
        <v>423</v>
      </c>
      <c r="IE173">
        <v>0</v>
      </c>
      <c r="IF173">
        <v>100</v>
      </c>
      <c r="IG173">
        <v>100</v>
      </c>
      <c r="IH173">
        <v>-1.317</v>
      </c>
      <c r="II173">
        <v>0.0188</v>
      </c>
      <c r="IJ173">
        <v>-0.2164499368582429</v>
      </c>
      <c r="IK173">
        <v>-0.002077099775823331</v>
      </c>
      <c r="IL173">
        <v>4.593143279902166E-07</v>
      </c>
      <c r="IM173">
        <v>-1.865383991892071E-10</v>
      </c>
      <c r="IN173">
        <v>-0.06087574426827484</v>
      </c>
      <c r="IO173">
        <v>-0.01129461987421345</v>
      </c>
      <c r="IP173">
        <v>0.00116580895745559</v>
      </c>
      <c r="IQ173">
        <v>-1.679085872906199E-05</v>
      </c>
      <c r="IR173">
        <v>2</v>
      </c>
      <c r="IS173">
        <v>2290</v>
      </c>
      <c r="IT173">
        <v>0</v>
      </c>
      <c r="IU173">
        <v>32</v>
      </c>
      <c r="IV173">
        <v>7.8</v>
      </c>
      <c r="IW173">
        <v>7.5</v>
      </c>
      <c r="IX173">
        <v>1.34399</v>
      </c>
      <c r="IY173">
        <v>2.21802</v>
      </c>
      <c r="IZ173">
        <v>1.39648</v>
      </c>
      <c r="JA173">
        <v>2.35474</v>
      </c>
      <c r="JB173">
        <v>1.49536</v>
      </c>
      <c r="JC173">
        <v>2.33154</v>
      </c>
      <c r="JD173">
        <v>38.4769</v>
      </c>
      <c r="JE173">
        <v>24.035</v>
      </c>
      <c r="JF173">
        <v>18</v>
      </c>
      <c r="JG173">
        <v>511.248</v>
      </c>
      <c r="JH173">
        <v>428.789</v>
      </c>
      <c r="JI173">
        <v>22.1903</v>
      </c>
      <c r="JJ173">
        <v>28.678</v>
      </c>
      <c r="JK173">
        <v>30.0001</v>
      </c>
      <c r="JL173">
        <v>28.6422</v>
      </c>
      <c r="JM173">
        <v>28.5799</v>
      </c>
      <c r="JN173">
        <v>26.8644</v>
      </c>
      <c r="JO173">
        <v>27.9139</v>
      </c>
      <c r="JP173">
        <v>0</v>
      </c>
      <c r="JQ173">
        <v>22.1779</v>
      </c>
      <c r="JR173">
        <v>573.933</v>
      </c>
      <c r="JS173">
        <v>13.8792</v>
      </c>
      <c r="JT173">
        <v>100.304</v>
      </c>
      <c r="JU173">
        <v>100.23</v>
      </c>
    </row>
    <row r="174" spans="1:281">
      <c r="A174">
        <v>158</v>
      </c>
      <c r="B174">
        <v>1651864713.6</v>
      </c>
      <c r="C174">
        <v>493</v>
      </c>
      <c r="D174" t="s">
        <v>736</v>
      </c>
      <c r="E174" t="s">
        <v>737</v>
      </c>
      <c r="F174">
        <v>2</v>
      </c>
      <c r="G174" t="s">
        <v>413</v>
      </c>
      <c r="H174" t="s">
        <v>414</v>
      </c>
      <c r="I174">
        <v>1651864712.6</v>
      </c>
      <c r="J174">
        <f>(K174)/1000</f>
        <v>0</v>
      </c>
      <c r="K174">
        <f>IF(CZ174, AN174, AH174)</f>
        <v>0</v>
      </c>
      <c r="L174">
        <f>IF(CZ174, AI174, AG174)</f>
        <v>0</v>
      </c>
      <c r="M174">
        <f>DB174 - IF(AU174&gt;1, L174*CV174*100.0/(AW174*DP174), 0)</f>
        <v>0</v>
      </c>
      <c r="N174">
        <f>((T174-J174/2)*M174-L174)/(T174+J174/2)</f>
        <v>0</v>
      </c>
      <c r="O174">
        <f>N174*(DI174+DJ174)/1000.0</f>
        <v>0</v>
      </c>
      <c r="P174">
        <f>(DB174 - IF(AU174&gt;1, L174*CV174*100.0/(AW174*DP174), 0))*(DI174+DJ174)/1000.0</f>
        <v>0</v>
      </c>
      <c r="Q174">
        <f>2.0/((1/S174-1/R174)+SIGN(S174)*SQRT((1/S174-1/R174)*(1/S174-1/R174) + 4*CW174/((CW174+1)*(CW174+1))*(2*1/S174*1/R174-1/R174*1/R174)))</f>
        <v>0</v>
      </c>
      <c r="R174">
        <f>IF(LEFT(CX174,1)&lt;&gt;"0",IF(LEFT(CX174,1)="1",3.0,CY174),$D$5+$E$5*(DP174*DI174/($K$5*1000))+$F$5*(DP174*DI174/($K$5*1000))*MAX(MIN(CV174,$J$5),$I$5)*MAX(MIN(CV174,$J$5),$I$5)+$G$5*MAX(MIN(CV174,$J$5),$I$5)*(DP174*DI174/($K$5*1000))+$H$5*(DP174*DI174/($K$5*1000))*(DP174*DI174/($K$5*1000)))</f>
        <v>0</v>
      </c>
      <c r="S174">
        <f>J174*(1000-(1000*0.61365*exp(17.502*W174/(240.97+W174))/(DI174+DJ174)+DD174)/2)/(1000*0.61365*exp(17.502*W174/(240.97+W174))/(DI174+DJ174)-DD174)</f>
        <v>0</v>
      </c>
      <c r="T174">
        <f>1/((CW174+1)/(Q174/1.6)+1/(R174/1.37)) + CW174/((CW174+1)/(Q174/1.6) + CW174/(R174/1.37))</f>
        <v>0</v>
      </c>
      <c r="U174">
        <f>(CR174*CU174)</f>
        <v>0</v>
      </c>
      <c r="V174">
        <f>(DK174+(U174+2*0.95*5.67E-8*(((DK174+$B$7)+273)^4-(DK174+273)^4)-44100*J174)/(1.84*29.3*R174+8*0.95*5.67E-8*(DK174+273)^3))</f>
        <v>0</v>
      </c>
      <c r="W174">
        <f>($C$7*DL174+$D$7*DM174+$E$7*V174)</f>
        <v>0</v>
      </c>
      <c r="X174">
        <f>0.61365*exp(17.502*W174/(240.97+W174))</f>
        <v>0</v>
      </c>
      <c r="Y174">
        <f>(Z174/AA174*100)</f>
        <v>0</v>
      </c>
      <c r="Z174">
        <f>DD174*(DI174+DJ174)/1000</f>
        <v>0</v>
      </c>
      <c r="AA174">
        <f>0.61365*exp(17.502*DK174/(240.97+DK174))</f>
        <v>0</v>
      </c>
      <c r="AB174">
        <f>(X174-DD174*(DI174+DJ174)/1000)</f>
        <v>0</v>
      </c>
      <c r="AC174">
        <f>(-J174*44100)</f>
        <v>0</v>
      </c>
      <c r="AD174">
        <f>2*29.3*R174*0.92*(DK174-W174)</f>
        <v>0</v>
      </c>
      <c r="AE174">
        <f>2*0.95*5.67E-8*(((DK174+$B$7)+273)^4-(W174+273)^4)</f>
        <v>0</v>
      </c>
      <c r="AF174">
        <f>U174+AE174+AC174+AD174</f>
        <v>0</v>
      </c>
      <c r="AG174">
        <f>DH174*AU174*(DC174-DB174*(1000-AU174*DE174)/(1000-AU174*DD174))/(100*CV174)</f>
        <v>0</v>
      </c>
      <c r="AH174">
        <f>1000*DH174*AU174*(DD174-DE174)/(100*CV174*(1000-AU174*DD174))</f>
        <v>0</v>
      </c>
      <c r="AI174">
        <f>(AJ174 - AK174 - DI174*1E3/(8.314*(DK174+273.15)) * AM174/DH174 * AL174) * DH174/(100*CV174) * (1000 - DE174)/1000</f>
        <v>0</v>
      </c>
      <c r="AJ174">
        <v>603.928249807624</v>
      </c>
      <c r="AK174">
        <v>592.9240121212119</v>
      </c>
      <c r="AL174">
        <v>-3.322709987115724</v>
      </c>
      <c r="AM174">
        <v>66.38192812717227</v>
      </c>
      <c r="AN174">
        <f>(AP174 - AO174 + DI174*1E3/(8.314*(DK174+273.15)) * AR174/DH174 * AQ174) * DH174/(100*CV174) * 1000/(1000 - AP174)</f>
        <v>0</v>
      </c>
      <c r="AO174">
        <v>13.76591781304814</v>
      </c>
      <c r="AP174">
        <v>18.2324744117647</v>
      </c>
      <c r="AQ174">
        <v>0.002000859622663037</v>
      </c>
      <c r="AR174">
        <v>80.47224507511959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MAX(0,($B$13+$C$13*DP174)/(1+$D$13*DP174)*DI174/(DK174+273)*$E$13)</f>
        <v>0</v>
      </c>
      <c r="AX174" t="s">
        <v>417</v>
      </c>
      <c r="AY174" t="s">
        <v>417</v>
      </c>
      <c r="AZ174">
        <v>0</v>
      </c>
      <c r="BA174">
        <v>0</v>
      </c>
      <c r="BB174">
        <f>1-AZ174/BA174</f>
        <v>0</v>
      </c>
      <c r="BC174">
        <v>0</v>
      </c>
      <c r="BD174" t="s">
        <v>417</v>
      </c>
      <c r="BE174" t="s">
        <v>417</v>
      </c>
      <c r="BF174">
        <v>0</v>
      </c>
      <c r="BG174">
        <v>0</v>
      </c>
      <c r="BH174">
        <f>1-BF174/BG174</f>
        <v>0</v>
      </c>
      <c r="BI174">
        <v>0.5</v>
      </c>
      <c r="BJ174">
        <f>CS174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417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1248</v>
      </c>
      <c r="CA174">
        <v>300</v>
      </c>
      <c r="CB174">
        <v>300</v>
      </c>
      <c r="CC174">
        <v>300</v>
      </c>
      <c r="CD174">
        <v>10442</v>
      </c>
      <c r="CE174">
        <v>1293.69</v>
      </c>
      <c r="CF174">
        <v>-0.00735246</v>
      </c>
      <c r="CG174">
        <v>0.5</v>
      </c>
      <c r="CH174" t="s">
        <v>417</v>
      </c>
      <c r="CI174" t="s">
        <v>417</v>
      </c>
      <c r="CJ174" t="s">
        <v>417</v>
      </c>
      <c r="CK174" t="s">
        <v>417</v>
      </c>
      <c r="CL174" t="s">
        <v>417</v>
      </c>
      <c r="CM174" t="s">
        <v>417</v>
      </c>
      <c r="CN174" t="s">
        <v>417</v>
      </c>
      <c r="CO174" t="s">
        <v>417</v>
      </c>
      <c r="CP174" t="s">
        <v>417</v>
      </c>
      <c r="CQ174" t="s">
        <v>417</v>
      </c>
      <c r="CR174">
        <f>$B$11*DQ174+$C$11*DR174+$F$11*EC174*(1-EF174)</f>
        <v>0</v>
      </c>
      <c r="CS174">
        <f>CR174*CT174</f>
        <v>0</v>
      </c>
      <c r="CT174">
        <f>($B$11*$D$9+$C$11*$D$9+$F$11*((EP174+EH174)/MAX(EP174+EH174+EQ174, 0.1)*$I$9+EQ174/MAX(EP174+EH174+EQ174, 0.1)*$J$9))/($B$11+$C$11+$F$11)</f>
        <v>0</v>
      </c>
      <c r="CU174">
        <f>($B$11*$K$9+$C$11*$K$9+$F$11*((EP174+EH174)/MAX(EP174+EH174+EQ174, 0.1)*$P$9+EQ174/MAX(EP174+EH174+EQ174, 0.1)*$Q$9))/($B$11+$C$11+$F$11)</f>
        <v>0</v>
      </c>
      <c r="CV174">
        <v>6</v>
      </c>
      <c r="CW174">
        <v>0.5</v>
      </c>
      <c r="CX174" t="s">
        <v>418</v>
      </c>
      <c r="CY174">
        <v>2</v>
      </c>
      <c r="CZ174" t="b">
        <v>1</v>
      </c>
      <c r="DA174">
        <v>1651864712.6</v>
      </c>
      <c r="DB174">
        <v>583.7616666666668</v>
      </c>
      <c r="DC174">
        <v>589.486</v>
      </c>
      <c r="DD174">
        <v>18.23373333333333</v>
      </c>
      <c r="DE174">
        <v>13.7809</v>
      </c>
      <c r="DF174">
        <v>585.0733333333333</v>
      </c>
      <c r="DG174">
        <v>18.215</v>
      </c>
      <c r="DH174">
        <v>500.0526666666667</v>
      </c>
      <c r="DI174">
        <v>89.9354</v>
      </c>
      <c r="DJ174">
        <v>0.09988900000000001</v>
      </c>
      <c r="DK174">
        <v>25.67463333333333</v>
      </c>
      <c r="DL174">
        <v>25.01956666666667</v>
      </c>
      <c r="DM174">
        <v>999.9</v>
      </c>
      <c r="DN174">
        <v>0</v>
      </c>
      <c r="DO174">
        <v>0</v>
      </c>
      <c r="DP174">
        <v>10010.03333333333</v>
      </c>
      <c r="DQ174">
        <v>0</v>
      </c>
      <c r="DR174">
        <v>3.23193</v>
      </c>
      <c r="DS174">
        <v>-5.724383333333333</v>
      </c>
      <c r="DT174">
        <v>594.6033333333334</v>
      </c>
      <c r="DU174">
        <v>597.723</v>
      </c>
      <c r="DV174">
        <v>4.45283</v>
      </c>
      <c r="DW174">
        <v>589.486</v>
      </c>
      <c r="DX174">
        <v>13.7809</v>
      </c>
      <c r="DY174">
        <v>1.639856666666667</v>
      </c>
      <c r="DZ174">
        <v>1.23939</v>
      </c>
      <c r="EA174">
        <v>14.33853333333333</v>
      </c>
      <c r="EB174">
        <v>10.08333333333333</v>
      </c>
      <c r="EC174">
        <v>1499.96</v>
      </c>
      <c r="ED174">
        <v>0.9730086666666665</v>
      </c>
      <c r="EE174">
        <v>0.0269913</v>
      </c>
      <c r="EF174">
        <v>0</v>
      </c>
      <c r="EG174">
        <v>865.4789999999999</v>
      </c>
      <c r="EH174">
        <v>5.00097</v>
      </c>
      <c r="EI174">
        <v>12860.7</v>
      </c>
      <c r="EJ174">
        <v>12491.3</v>
      </c>
      <c r="EK174">
        <v>37.25</v>
      </c>
      <c r="EL174">
        <v>38.729</v>
      </c>
      <c r="EM174">
        <v>37.625</v>
      </c>
      <c r="EN174">
        <v>38.437</v>
      </c>
      <c r="EO174">
        <v>38.125</v>
      </c>
      <c r="EP174">
        <v>1454.61</v>
      </c>
      <c r="EQ174">
        <v>40.35</v>
      </c>
      <c r="ER174">
        <v>0</v>
      </c>
      <c r="ES174">
        <v>492.6000001430511</v>
      </c>
      <c r="ET174">
        <v>0</v>
      </c>
      <c r="EU174">
        <v>868.50656</v>
      </c>
      <c r="EV174">
        <v>-30.91253841809239</v>
      </c>
      <c r="EW174">
        <v>-458.3846147598589</v>
      </c>
      <c r="EX174">
        <v>12905.56</v>
      </c>
      <c r="EY174">
        <v>15</v>
      </c>
      <c r="EZ174">
        <v>1651864261.1</v>
      </c>
      <c r="FA174" t="s">
        <v>419</v>
      </c>
      <c r="FB174">
        <v>1651864241.6</v>
      </c>
      <c r="FC174">
        <v>1651864261.1</v>
      </c>
      <c r="FD174">
        <v>7</v>
      </c>
      <c r="FE174">
        <v>0.438</v>
      </c>
      <c r="FF174">
        <v>0.002</v>
      </c>
      <c r="FG174">
        <v>-0.988</v>
      </c>
      <c r="FH174">
        <v>-0.066</v>
      </c>
      <c r="FI174">
        <v>400</v>
      </c>
      <c r="FJ174">
        <v>11</v>
      </c>
      <c r="FK174">
        <v>0.05</v>
      </c>
      <c r="FL174">
        <v>0.02</v>
      </c>
      <c r="FM174">
        <v>-6.988488000000001</v>
      </c>
      <c r="FN174">
        <v>6.538586791744837</v>
      </c>
      <c r="FO174">
        <v>0.6353875463966853</v>
      </c>
      <c r="FP174">
        <v>-1</v>
      </c>
      <c r="FQ174">
        <v>4.513474</v>
      </c>
      <c r="FR174">
        <v>-0.4677667542214052</v>
      </c>
      <c r="FS174">
        <v>0.04692640870554658</v>
      </c>
      <c r="FT174">
        <v>-1</v>
      </c>
      <c r="FU174">
        <v>0</v>
      </c>
      <c r="FV174">
        <v>0</v>
      </c>
      <c r="FW174">
        <v>0</v>
      </c>
      <c r="FX174">
        <v>-1</v>
      </c>
      <c r="FY174">
        <v>0</v>
      </c>
      <c r="FZ174">
        <v>0</v>
      </c>
      <c r="GA174" t="s">
        <v>420</v>
      </c>
      <c r="GB174">
        <v>2.98053</v>
      </c>
      <c r="GC174">
        <v>2.70607</v>
      </c>
      <c r="GD174">
        <v>0.118584</v>
      </c>
      <c r="GE174">
        <v>0.118015</v>
      </c>
      <c r="GF174">
        <v>0.08726299999999999</v>
      </c>
      <c r="GG174">
        <v>0.070341</v>
      </c>
      <c r="GH174">
        <v>27816.1</v>
      </c>
      <c r="GI174">
        <v>27895.1</v>
      </c>
      <c r="GJ174">
        <v>29344.1</v>
      </c>
      <c r="GK174">
        <v>29258.5</v>
      </c>
      <c r="GL174">
        <v>35465.7</v>
      </c>
      <c r="GM174">
        <v>36227.1</v>
      </c>
      <c r="GN174">
        <v>41303.4</v>
      </c>
      <c r="GO174">
        <v>41761.2</v>
      </c>
      <c r="GP174">
        <v>1.95575</v>
      </c>
      <c r="GQ174">
        <v>1.84973</v>
      </c>
      <c r="GR174">
        <v>-0.0202507</v>
      </c>
      <c r="GS174">
        <v>0</v>
      </c>
      <c r="GT174">
        <v>25.3546</v>
      </c>
      <c r="GU174">
        <v>999.9</v>
      </c>
      <c r="GV174">
        <v>31.7</v>
      </c>
      <c r="GW174">
        <v>34.3</v>
      </c>
      <c r="GX174">
        <v>19.1494</v>
      </c>
      <c r="GY174">
        <v>62.4174</v>
      </c>
      <c r="GZ174">
        <v>34.8878</v>
      </c>
      <c r="HA174">
        <v>1</v>
      </c>
      <c r="HB174">
        <v>0.108028</v>
      </c>
      <c r="HC174">
        <v>2.49219</v>
      </c>
      <c r="HD174">
        <v>20.3157</v>
      </c>
      <c r="HE174">
        <v>5.21819</v>
      </c>
      <c r="HF174">
        <v>12.0099</v>
      </c>
      <c r="HG174">
        <v>4.98905</v>
      </c>
      <c r="HH174">
        <v>3.28858</v>
      </c>
      <c r="HI174">
        <v>998.1</v>
      </c>
      <c r="HJ174">
        <v>9548</v>
      </c>
      <c r="HK174">
        <v>5139.4</v>
      </c>
      <c r="HL174">
        <v>24.9</v>
      </c>
      <c r="HM174">
        <v>1.86752</v>
      </c>
      <c r="HN174">
        <v>1.86646</v>
      </c>
      <c r="HO174">
        <v>1.866</v>
      </c>
      <c r="HP174">
        <v>1.86585</v>
      </c>
      <c r="HQ174">
        <v>1.86769</v>
      </c>
      <c r="HR174">
        <v>1.87021</v>
      </c>
      <c r="HS174">
        <v>1.8689</v>
      </c>
      <c r="HT174">
        <v>1.87027</v>
      </c>
      <c r="HU174">
        <v>0</v>
      </c>
      <c r="HV174">
        <v>0</v>
      </c>
      <c r="HW174">
        <v>0</v>
      </c>
      <c r="HX174">
        <v>0</v>
      </c>
      <c r="HY174" t="s">
        <v>421</v>
      </c>
      <c r="HZ174" t="s">
        <v>422</v>
      </c>
      <c r="IA174" t="s">
        <v>423</v>
      </c>
      <c r="IB174" t="s">
        <v>423</v>
      </c>
      <c r="IC174" t="s">
        <v>423</v>
      </c>
      <c r="ID174" t="s">
        <v>423</v>
      </c>
      <c r="IE174">
        <v>0</v>
      </c>
      <c r="IF174">
        <v>100</v>
      </c>
      <c r="IG174">
        <v>100</v>
      </c>
      <c r="IH174">
        <v>-1.306</v>
      </c>
      <c r="II174">
        <v>0.0187</v>
      </c>
      <c r="IJ174">
        <v>-0.2164499368582429</v>
      </c>
      <c r="IK174">
        <v>-0.002077099775823331</v>
      </c>
      <c r="IL174">
        <v>4.593143279902166E-07</v>
      </c>
      <c r="IM174">
        <v>-1.865383991892071E-10</v>
      </c>
      <c r="IN174">
        <v>-0.06087574426827484</v>
      </c>
      <c r="IO174">
        <v>-0.01129461987421345</v>
      </c>
      <c r="IP174">
        <v>0.00116580895745559</v>
      </c>
      <c r="IQ174">
        <v>-1.679085872906199E-05</v>
      </c>
      <c r="IR174">
        <v>2</v>
      </c>
      <c r="IS174">
        <v>2290</v>
      </c>
      <c r="IT174">
        <v>0</v>
      </c>
      <c r="IU174">
        <v>32</v>
      </c>
      <c r="IV174">
        <v>7.9</v>
      </c>
      <c r="IW174">
        <v>7.5</v>
      </c>
      <c r="IX174">
        <v>1.33179</v>
      </c>
      <c r="IY174">
        <v>2.21802</v>
      </c>
      <c r="IZ174">
        <v>1.39648</v>
      </c>
      <c r="JA174">
        <v>2.35596</v>
      </c>
      <c r="JB174">
        <v>1.49536</v>
      </c>
      <c r="JC174">
        <v>2.3645</v>
      </c>
      <c r="JD174">
        <v>38.4769</v>
      </c>
      <c r="JE174">
        <v>24.035</v>
      </c>
      <c r="JF174">
        <v>18</v>
      </c>
      <c r="JG174">
        <v>511.313</v>
      </c>
      <c r="JH174">
        <v>428.699</v>
      </c>
      <c r="JI174">
        <v>22.1806</v>
      </c>
      <c r="JJ174">
        <v>28.678</v>
      </c>
      <c r="JK174">
        <v>30</v>
      </c>
      <c r="JL174">
        <v>28.6422</v>
      </c>
      <c r="JM174">
        <v>28.5799</v>
      </c>
      <c r="JN174">
        <v>26.6177</v>
      </c>
      <c r="JO174">
        <v>27.9139</v>
      </c>
      <c r="JP174">
        <v>0</v>
      </c>
      <c r="JQ174">
        <v>22.1779</v>
      </c>
      <c r="JR174">
        <v>567.224</v>
      </c>
      <c r="JS174">
        <v>13.8986</v>
      </c>
      <c r="JT174">
        <v>100.305</v>
      </c>
      <c r="JU174">
        <v>100.23</v>
      </c>
    </row>
    <row r="175" spans="1:281">
      <c r="A175">
        <v>159</v>
      </c>
      <c r="B175">
        <v>1651864715.6</v>
      </c>
      <c r="C175">
        <v>495</v>
      </c>
      <c r="D175" t="s">
        <v>738</v>
      </c>
      <c r="E175" t="s">
        <v>739</v>
      </c>
      <c r="F175">
        <v>2</v>
      </c>
      <c r="G175" t="s">
        <v>413</v>
      </c>
      <c r="H175" t="s">
        <v>414</v>
      </c>
      <c r="I175">
        <v>1651864714.225</v>
      </c>
      <c r="J175">
        <f>(K175)/1000</f>
        <v>0</v>
      </c>
      <c r="K175">
        <f>IF(CZ175, AN175, AH175)</f>
        <v>0</v>
      </c>
      <c r="L175">
        <f>IF(CZ175, AI175, AG175)</f>
        <v>0</v>
      </c>
      <c r="M175">
        <f>DB175 - IF(AU175&gt;1, L175*CV175*100.0/(AW175*DP175), 0)</f>
        <v>0</v>
      </c>
      <c r="N175">
        <f>((T175-J175/2)*M175-L175)/(T175+J175/2)</f>
        <v>0</v>
      </c>
      <c r="O175">
        <f>N175*(DI175+DJ175)/1000.0</f>
        <v>0</v>
      </c>
      <c r="P175">
        <f>(DB175 - IF(AU175&gt;1, L175*CV175*100.0/(AW175*DP175), 0))*(DI175+DJ175)/1000.0</f>
        <v>0</v>
      </c>
      <c r="Q175">
        <f>2.0/((1/S175-1/R175)+SIGN(S175)*SQRT((1/S175-1/R175)*(1/S175-1/R175) + 4*CW175/((CW175+1)*(CW175+1))*(2*1/S175*1/R175-1/R175*1/R175)))</f>
        <v>0</v>
      </c>
      <c r="R175">
        <f>IF(LEFT(CX175,1)&lt;&gt;"0",IF(LEFT(CX175,1)="1",3.0,CY175),$D$5+$E$5*(DP175*DI175/($K$5*1000))+$F$5*(DP175*DI175/($K$5*1000))*MAX(MIN(CV175,$J$5),$I$5)*MAX(MIN(CV175,$J$5),$I$5)+$G$5*MAX(MIN(CV175,$J$5),$I$5)*(DP175*DI175/($K$5*1000))+$H$5*(DP175*DI175/($K$5*1000))*(DP175*DI175/($K$5*1000)))</f>
        <v>0</v>
      </c>
      <c r="S175">
        <f>J175*(1000-(1000*0.61365*exp(17.502*W175/(240.97+W175))/(DI175+DJ175)+DD175)/2)/(1000*0.61365*exp(17.502*W175/(240.97+W175))/(DI175+DJ175)-DD175)</f>
        <v>0</v>
      </c>
      <c r="T175">
        <f>1/((CW175+1)/(Q175/1.6)+1/(R175/1.37)) + CW175/((CW175+1)/(Q175/1.6) + CW175/(R175/1.37))</f>
        <v>0</v>
      </c>
      <c r="U175">
        <f>(CR175*CU175)</f>
        <v>0</v>
      </c>
      <c r="V175">
        <f>(DK175+(U175+2*0.95*5.67E-8*(((DK175+$B$7)+273)^4-(DK175+273)^4)-44100*J175)/(1.84*29.3*R175+8*0.95*5.67E-8*(DK175+273)^3))</f>
        <v>0</v>
      </c>
      <c r="W175">
        <f>($C$7*DL175+$D$7*DM175+$E$7*V175)</f>
        <v>0</v>
      </c>
      <c r="X175">
        <f>0.61365*exp(17.502*W175/(240.97+W175))</f>
        <v>0</v>
      </c>
      <c r="Y175">
        <f>(Z175/AA175*100)</f>
        <v>0</v>
      </c>
      <c r="Z175">
        <f>DD175*(DI175+DJ175)/1000</f>
        <v>0</v>
      </c>
      <c r="AA175">
        <f>0.61365*exp(17.502*DK175/(240.97+DK175))</f>
        <v>0</v>
      </c>
      <c r="AB175">
        <f>(X175-DD175*(DI175+DJ175)/1000)</f>
        <v>0</v>
      </c>
      <c r="AC175">
        <f>(-J175*44100)</f>
        <v>0</v>
      </c>
      <c r="AD175">
        <f>2*29.3*R175*0.92*(DK175-W175)</f>
        <v>0</v>
      </c>
      <c r="AE175">
        <f>2*0.95*5.67E-8*(((DK175+$B$7)+273)^4-(W175+273)^4)</f>
        <v>0</v>
      </c>
      <c r="AF175">
        <f>U175+AE175+AC175+AD175</f>
        <v>0</v>
      </c>
      <c r="AG175">
        <f>DH175*AU175*(DC175-DB175*(1000-AU175*DE175)/(1000-AU175*DD175))/(100*CV175)</f>
        <v>0</v>
      </c>
      <c r="AH175">
        <f>1000*DH175*AU175*(DD175-DE175)/(100*CV175*(1000-AU175*DD175))</f>
        <v>0</v>
      </c>
      <c r="AI175">
        <f>(AJ175 - AK175 - DI175*1E3/(8.314*(DK175+273.15)) * AM175/DH175 * AL175) * DH175/(100*CV175) * (1000 - DE175)/1000</f>
        <v>0</v>
      </c>
      <c r="AJ175">
        <v>596.9170894330368</v>
      </c>
      <c r="AK175">
        <v>586.1325030303028</v>
      </c>
      <c r="AL175">
        <v>-3.377248891279598</v>
      </c>
      <c r="AM175">
        <v>66.38192812717227</v>
      </c>
      <c r="AN175">
        <f>(AP175 - AO175 + DI175*1E3/(8.314*(DK175+273.15)) * AR175/DH175 * AQ175) * DH175/(100*CV175) * 1000/(1000 - AP175)</f>
        <v>0</v>
      </c>
      <c r="AO175">
        <v>13.77058680715333</v>
      </c>
      <c r="AP175">
        <v>18.23339382352941</v>
      </c>
      <c r="AQ175">
        <v>-6.917409719937061E-05</v>
      </c>
      <c r="AR175">
        <v>80.47224507511959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MAX(0,($B$13+$C$13*DP175)/(1+$D$13*DP175)*DI175/(DK175+273)*$E$13)</f>
        <v>0</v>
      </c>
      <c r="AX175" t="s">
        <v>417</v>
      </c>
      <c r="AY175" t="s">
        <v>417</v>
      </c>
      <c r="AZ175">
        <v>0</v>
      </c>
      <c r="BA175">
        <v>0</v>
      </c>
      <c r="BB175">
        <f>1-AZ175/BA175</f>
        <v>0</v>
      </c>
      <c r="BC175">
        <v>0</v>
      </c>
      <c r="BD175" t="s">
        <v>417</v>
      </c>
      <c r="BE175" t="s">
        <v>417</v>
      </c>
      <c r="BF175">
        <v>0</v>
      </c>
      <c r="BG175">
        <v>0</v>
      </c>
      <c r="BH175">
        <f>1-BF175/BG175</f>
        <v>0</v>
      </c>
      <c r="BI175">
        <v>0.5</v>
      </c>
      <c r="BJ175">
        <f>CS175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417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1248</v>
      </c>
      <c r="CA175">
        <v>300</v>
      </c>
      <c r="CB175">
        <v>300</v>
      </c>
      <c r="CC175">
        <v>300</v>
      </c>
      <c r="CD175">
        <v>10442</v>
      </c>
      <c r="CE175">
        <v>1293.69</v>
      </c>
      <c r="CF175">
        <v>-0.00735246</v>
      </c>
      <c r="CG175">
        <v>0.5</v>
      </c>
      <c r="CH175" t="s">
        <v>417</v>
      </c>
      <c r="CI175" t="s">
        <v>417</v>
      </c>
      <c r="CJ175" t="s">
        <v>417</v>
      </c>
      <c r="CK175" t="s">
        <v>417</v>
      </c>
      <c r="CL175" t="s">
        <v>417</v>
      </c>
      <c r="CM175" t="s">
        <v>417</v>
      </c>
      <c r="CN175" t="s">
        <v>417</v>
      </c>
      <c r="CO175" t="s">
        <v>417</v>
      </c>
      <c r="CP175" t="s">
        <v>417</v>
      </c>
      <c r="CQ175" t="s">
        <v>417</v>
      </c>
      <c r="CR175">
        <f>$B$11*DQ175+$C$11*DR175+$F$11*EC175*(1-EF175)</f>
        <v>0</v>
      </c>
      <c r="CS175">
        <f>CR175*CT175</f>
        <v>0</v>
      </c>
      <c r="CT175">
        <f>($B$11*$D$9+$C$11*$D$9+$F$11*((EP175+EH175)/MAX(EP175+EH175+EQ175, 0.1)*$I$9+EQ175/MAX(EP175+EH175+EQ175, 0.1)*$J$9))/($B$11+$C$11+$F$11)</f>
        <v>0</v>
      </c>
      <c r="CU175">
        <f>($B$11*$K$9+$C$11*$K$9+$F$11*((EP175+EH175)/MAX(EP175+EH175+EQ175, 0.1)*$P$9+EQ175/MAX(EP175+EH175+EQ175, 0.1)*$Q$9))/($B$11+$C$11+$F$11)</f>
        <v>0</v>
      </c>
      <c r="CV175">
        <v>6</v>
      </c>
      <c r="CW175">
        <v>0.5</v>
      </c>
      <c r="CX175" t="s">
        <v>418</v>
      </c>
      <c r="CY175">
        <v>2</v>
      </c>
      <c r="CZ175" t="b">
        <v>1</v>
      </c>
      <c r="DA175">
        <v>1651864714.225</v>
      </c>
      <c r="DB175">
        <v>578.3605</v>
      </c>
      <c r="DC175">
        <v>583.93675</v>
      </c>
      <c r="DD175">
        <v>18.233775</v>
      </c>
      <c r="DE175">
        <v>13.796575</v>
      </c>
      <c r="DF175">
        <v>579.6632500000001</v>
      </c>
      <c r="DG175">
        <v>18.21505</v>
      </c>
      <c r="DH175">
        <v>500.0435000000001</v>
      </c>
      <c r="DI175">
        <v>89.93655000000001</v>
      </c>
      <c r="DJ175">
        <v>0.099841875</v>
      </c>
      <c r="DK175">
        <v>25.675225</v>
      </c>
      <c r="DL175">
        <v>25.021975</v>
      </c>
      <c r="DM175">
        <v>999.9</v>
      </c>
      <c r="DN175">
        <v>0</v>
      </c>
      <c r="DO175">
        <v>0</v>
      </c>
      <c r="DP175">
        <v>10019.875</v>
      </c>
      <c r="DQ175">
        <v>0</v>
      </c>
      <c r="DR175">
        <v>3.23193</v>
      </c>
      <c r="DS175">
        <v>-5.576035</v>
      </c>
      <c r="DT175">
        <v>589.10225</v>
      </c>
      <c r="DU175">
        <v>592.1055</v>
      </c>
      <c r="DV175">
        <v>4.437222500000001</v>
      </c>
      <c r="DW175">
        <v>583.93675</v>
      </c>
      <c r="DX175">
        <v>13.796575</v>
      </c>
      <c r="DY175">
        <v>1.639885</v>
      </c>
      <c r="DZ175">
        <v>1.240815</v>
      </c>
      <c r="EA175">
        <v>14.338775</v>
      </c>
      <c r="EB175">
        <v>10.1005</v>
      </c>
      <c r="EC175">
        <v>1499.935</v>
      </c>
      <c r="ED175">
        <v>0.9730082499999999</v>
      </c>
      <c r="EE175">
        <v>0.02699174999999999</v>
      </c>
      <c r="EF175">
        <v>0</v>
      </c>
      <c r="EG175">
        <v>864.6675</v>
      </c>
      <c r="EH175">
        <v>5.00097</v>
      </c>
      <c r="EI175">
        <v>12849.425</v>
      </c>
      <c r="EJ175">
        <v>12491.05</v>
      </c>
      <c r="EK175">
        <v>37.25</v>
      </c>
      <c r="EL175">
        <v>38.70274999999999</v>
      </c>
      <c r="EM175">
        <v>37.625</v>
      </c>
      <c r="EN175">
        <v>38.437</v>
      </c>
      <c r="EO175">
        <v>38.125</v>
      </c>
      <c r="EP175">
        <v>1454.585</v>
      </c>
      <c r="EQ175">
        <v>40.35</v>
      </c>
      <c r="ER175">
        <v>0</v>
      </c>
      <c r="ES175">
        <v>494.4000000953674</v>
      </c>
      <c r="ET175">
        <v>0</v>
      </c>
      <c r="EU175">
        <v>867.7245769230769</v>
      </c>
      <c r="EV175">
        <v>-30.10854702953853</v>
      </c>
      <c r="EW175">
        <v>-446.1982909510295</v>
      </c>
      <c r="EX175">
        <v>12894.37307692308</v>
      </c>
      <c r="EY175">
        <v>15</v>
      </c>
      <c r="EZ175">
        <v>1651864261.1</v>
      </c>
      <c r="FA175" t="s">
        <v>419</v>
      </c>
      <c r="FB175">
        <v>1651864241.6</v>
      </c>
      <c r="FC175">
        <v>1651864261.1</v>
      </c>
      <c r="FD175">
        <v>7</v>
      </c>
      <c r="FE175">
        <v>0.438</v>
      </c>
      <c r="FF175">
        <v>0.002</v>
      </c>
      <c r="FG175">
        <v>-0.988</v>
      </c>
      <c r="FH175">
        <v>-0.066</v>
      </c>
      <c r="FI175">
        <v>400</v>
      </c>
      <c r="FJ175">
        <v>11</v>
      </c>
      <c r="FK175">
        <v>0.05</v>
      </c>
      <c r="FL175">
        <v>0.02</v>
      </c>
      <c r="FM175">
        <v>-6.624433249999998</v>
      </c>
      <c r="FN175">
        <v>6.468189230769267</v>
      </c>
      <c r="FO175">
        <v>0.6280146476253062</v>
      </c>
      <c r="FP175">
        <v>-1</v>
      </c>
      <c r="FQ175">
        <v>4.49218025</v>
      </c>
      <c r="FR175">
        <v>-0.4196943714821827</v>
      </c>
      <c r="FS175">
        <v>0.04269945599697378</v>
      </c>
      <c r="FT175">
        <v>-1</v>
      </c>
      <c r="FU175">
        <v>0</v>
      </c>
      <c r="FV175">
        <v>0</v>
      </c>
      <c r="FW175">
        <v>0</v>
      </c>
      <c r="FX175">
        <v>-1</v>
      </c>
      <c r="FY175">
        <v>0</v>
      </c>
      <c r="FZ175">
        <v>0</v>
      </c>
      <c r="GA175" t="s">
        <v>420</v>
      </c>
      <c r="GB175">
        <v>2.98048</v>
      </c>
      <c r="GC175">
        <v>2.70623</v>
      </c>
      <c r="GD175">
        <v>0.117623</v>
      </c>
      <c r="GE175">
        <v>0.117054</v>
      </c>
      <c r="GF175">
        <v>0.0872682</v>
      </c>
      <c r="GG175">
        <v>0.0704085</v>
      </c>
      <c r="GH175">
        <v>27846.3</v>
      </c>
      <c r="GI175">
        <v>27925.3</v>
      </c>
      <c r="GJ175">
        <v>29343.9</v>
      </c>
      <c r="GK175">
        <v>29258.3</v>
      </c>
      <c r="GL175">
        <v>35465.2</v>
      </c>
      <c r="GM175">
        <v>36224.3</v>
      </c>
      <c r="GN175">
        <v>41303.1</v>
      </c>
      <c r="GO175">
        <v>41761.1</v>
      </c>
      <c r="GP175">
        <v>1.95543</v>
      </c>
      <c r="GQ175">
        <v>1.84982</v>
      </c>
      <c r="GR175">
        <v>-0.0204369</v>
      </c>
      <c r="GS175">
        <v>0</v>
      </c>
      <c r="GT175">
        <v>25.3546</v>
      </c>
      <c r="GU175">
        <v>999.9</v>
      </c>
      <c r="GV175">
        <v>31.7</v>
      </c>
      <c r="GW175">
        <v>34.3</v>
      </c>
      <c r="GX175">
        <v>19.15</v>
      </c>
      <c r="GY175">
        <v>62.4574</v>
      </c>
      <c r="GZ175">
        <v>34.9439</v>
      </c>
      <c r="HA175">
        <v>1</v>
      </c>
      <c r="HB175">
        <v>0.107792</v>
      </c>
      <c r="HC175">
        <v>2.4861</v>
      </c>
      <c r="HD175">
        <v>20.3156</v>
      </c>
      <c r="HE175">
        <v>5.21804</v>
      </c>
      <c r="HF175">
        <v>12.0099</v>
      </c>
      <c r="HG175">
        <v>4.98905</v>
      </c>
      <c r="HH175">
        <v>3.28865</v>
      </c>
      <c r="HI175">
        <v>998.1</v>
      </c>
      <c r="HJ175">
        <v>9548</v>
      </c>
      <c r="HK175">
        <v>5139.4</v>
      </c>
      <c r="HL175">
        <v>24.9</v>
      </c>
      <c r="HM175">
        <v>1.86752</v>
      </c>
      <c r="HN175">
        <v>1.86646</v>
      </c>
      <c r="HO175">
        <v>1.866</v>
      </c>
      <c r="HP175">
        <v>1.86585</v>
      </c>
      <c r="HQ175">
        <v>1.8677</v>
      </c>
      <c r="HR175">
        <v>1.87021</v>
      </c>
      <c r="HS175">
        <v>1.8689</v>
      </c>
      <c r="HT175">
        <v>1.87027</v>
      </c>
      <c r="HU175">
        <v>0</v>
      </c>
      <c r="HV175">
        <v>0</v>
      </c>
      <c r="HW175">
        <v>0</v>
      </c>
      <c r="HX175">
        <v>0</v>
      </c>
      <c r="HY175" t="s">
        <v>421</v>
      </c>
      <c r="HZ175" t="s">
        <v>422</v>
      </c>
      <c r="IA175" t="s">
        <v>423</v>
      </c>
      <c r="IB175" t="s">
        <v>423</v>
      </c>
      <c r="IC175" t="s">
        <v>423</v>
      </c>
      <c r="ID175" t="s">
        <v>423</v>
      </c>
      <c r="IE175">
        <v>0</v>
      </c>
      <c r="IF175">
        <v>100</v>
      </c>
      <c r="IG175">
        <v>100</v>
      </c>
      <c r="IH175">
        <v>-1.294</v>
      </c>
      <c r="II175">
        <v>0.0187</v>
      </c>
      <c r="IJ175">
        <v>-0.2164499368582429</v>
      </c>
      <c r="IK175">
        <v>-0.002077099775823331</v>
      </c>
      <c r="IL175">
        <v>4.593143279902166E-07</v>
      </c>
      <c r="IM175">
        <v>-1.865383991892071E-10</v>
      </c>
      <c r="IN175">
        <v>-0.06087574426827484</v>
      </c>
      <c r="IO175">
        <v>-0.01129461987421345</v>
      </c>
      <c r="IP175">
        <v>0.00116580895745559</v>
      </c>
      <c r="IQ175">
        <v>-1.679085872906199E-05</v>
      </c>
      <c r="IR175">
        <v>2</v>
      </c>
      <c r="IS175">
        <v>2290</v>
      </c>
      <c r="IT175">
        <v>0</v>
      </c>
      <c r="IU175">
        <v>32</v>
      </c>
      <c r="IV175">
        <v>7.9</v>
      </c>
      <c r="IW175">
        <v>7.6</v>
      </c>
      <c r="IX175">
        <v>1.31958</v>
      </c>
      <c r="IY175">
        <v>2.22656</v>
      </c>
      <c r="IZ175">
        <v>1.39648</v>
      </c>
      <c r="JA175">
        <v>2.35596</v>
      </c>
      <c r="JB175">
        <v>1.49536</v>
      </c>
      <c r="JC175">
        <v>2.26929</v>
      </c>
      <c r="JD175">
        <v>38.4769</v>
      </c>
      <c r="JE175">
        <v>24.0262</v>
      </c>
      <c r="JF175">
        <v>18</v>
      </c>
      <c r="JG175">
        <v>511.101</v>
      </c>
      <c r="JH175">
        <v>428.758</v>
      </c>
      <c r="JI175">
        <v>22.1723</v>
      </c>
      <c r="JJ175">
        <v>28.678</v>
      </c>
      <c r="JK175">
        <v>30</v>
      </c>
      <c r="JL175">
        <v>28.6422</v>
      </c>
      <c r="JM175">
        <v>28.5799</v>
      </c>
      <c r="JN175">
        <v>26.3708</v>
      </c>
      <c r="JO175">
        <v>27.6319</v>
      </c>
      <c r="JP175">
        <v>0</v>
      </c>
      <c r="JQ175">
        <v>22.1583</v>
      </c>
      <c r="JR175">
        <v>560.525</v>
      </c>
      <c r="JS175">
        <v>13.9121</v>
      </c>
      <c r="JT175">
        <v>100.304</v>
      </c>
      <c r="JU175">
        <v>100.229</v>
      </c>
    </row>
    <row r="176" spans="1:281">
      <c r="A176">
        <v>160</v>
      </c>
      <c r="B176">
        <v>1651864717.6</v>
      </c>
      <c r="C176">
        <v>497</v>
      </c>
      <c r="D176" t="s">
        <v>740</v>
      </c>
      <c r="E176" t="s">
        <v>741</v>
      </c>
      <c r="F176">
        <v>2</v>
      </c>
      <c r="G176" t="s">
        <v>413</v>
      </c>
      <c r="H176" t="s">
        <v>414</v>
      </c>
      <c r="I176">
        <v>1651864716.6</v>
      </c>
      <c r="J176">
        <f>(K176)/1000</f>
        <v>0</v>
      </c>
      <c r="K176">
        <f>IF(CZ176, AN176, AH176)</f>
        <v>0</v>
      </c>
      <c r="L176">
        <f>IF(CZ176, AI176, AG176)</f>
        <v>0</v>
      </c>
      <c r="M176">
        <f>DB176 - IF(AU176&gt;1, L176*CV176*100.0/(AW176*DP176), 0)</f>
        <v>0</v>
      </c>
      <c r="N176">
        <f>((T176-J176/2)*M176-L176)/(T176+J176/2)</f>
        <v>0</v>
      </c>
      <c r="O176">
        <f>N176*(DI176+DJ176)/1000.0</f>
        <v>0</v>
      </c>
      <c r="P176">
        <f>(DB176 - IF(AU176&gt;1, L176*CV176*100.0/(AW176*DP176), 0))*(DI176+DJ176)/1000.0</f>
        <v>0</v>
      </c>
      <c r="Q176">
        <f>2.0/((1/S176-1/R176)+SIGN(S176)*SQRT((1/S176-1/R176)*(1/S176-1/R176) + 4*CW176/((CW176+1)*(CW176+1))*(2*1/S176*1/R176-1/R176*1/R176)))</f>
        <v>0</v>
      </c>
      <c r="R176">
        <f>IF(LEFT(CX176,1)&lt;&gt;"0",IF(LEFT(CX176,1)="1",3.0,CY176),$D$5+$E$5*(DP176*DI176/($K$5*1000))+$F$5*(DP176*DI176/($K$5*1000))*MAX(MIN(CV176,$J$5),$I$5)*MAX(MIN(CV176,$J$5),$I$5)+$G$5*MAX(MIN(CV176,$J$5),$I$5)*(DP176*DI176/($K$5*1000))+$H$5*(DP176*DI176/($K$5*1000))*(DP176*DI176/($K$5*1000)))</f>
        <v>0</v>
      </c>
      <c r="S176">
        <f>J176*(1000-(1000*0.61365*exp(17.502*W176/(240.97+W176))/(DI176+DJ176)+DD176)/2)/(1000*0.61365*exp(17.502*W176/(240.97+W176))/(DI176+DJ176)-DD176)</f>
        <v>0</v>
      </c>
      <c r="T176">
        <f>1/((CW176+1)/(Q176/1.6)+1/(R176/1.37)) + CW176/((CW176+1)/(Q176/1.6) + CW176/(R176/1.37))</f>
        <v>0</v>
      </c>
      <c r="U176">
        <f>(CR176*CU176)</f>
        <v>0</v>
      </c>
      <c r="V176">
        <f>(DK176+(U176+2*0.95*5.67E-8*(((DK176+$B$7)+273)^4-(DK176+273)^4)-44100*J176)/(1.84*29.3*R176+8*0.95*5.67E-8*(DK176+273)^3))</f>
        <v>0</v>
      </c>
      <c r="W176">
        <f>($C$7*DL176+$D$7*DM176+$E$7*V176)</f>
        <v>0</v>
      </c>
      <c r="X176">
        <f>0.61365*exp(17.502*W176/(240.97+W176))</f>
        <v>0</v>
      </c>
      <c r="Y176">
        <f>(Z176/AA176*100)</f>
        <v>0</v>
      </c>
      <c r="Z176">
        <f>DD176*(DI176+DJ176)/1000</f>
        <v>0</v>
      </c>
      <c r="AA176">
        <f>0.61365*exp(17.502*DK176/(240.97+DK176))</f>
        <v>0</v>
      </c>
      <c r="AB176">
        <f>(X176-DD176*(DI176+DJ176)/1000)</f>
        <v>0</v>
      </c>
      <c r="AC176">
        <f>(-J176*44100)</f>
        <v>0</v>
      </c>
      <c r="AD176">
        <f>2*29.3*R176*0.92*(DK176-W176)</f>
        <v>0</v>
      </c>
      <c r="AE176">
        <f>2*0.95*5.67E-8*(((DK176+$B$7)+273)^4-(W176+273)^4)</f>
        <v>0</v>
      </c>
      <c r="AF176">
        <f>U176+AE176+AC176+AD176</f>
        <v>0</v>
      </c>
      <c r="AG176">
        <f>DH176*AU176*(DC176-DB176*(1000-AU176*DE176)/(1000-AU176*DD176))/(100*CV176)</f>
        <v>0</v>
      </c>
      <c r="AH176">
        <f>1000*DH176*AU176*(DD176-DE176)/(100*CV176*(1000-AU176*DD176))</f>
        <v>0</v>
      </c>
      <c r="AI176">
        <f>(AJ176 - AK176 - DI176*1E3/(8.314*(DK176+273.15)) * AM176/DH176 * AL176) * DH176/(100*CV176) * (1000 - DE176)/1000</f>
        <v>0</v>
      </c>
      <c r="AJ176">
        <v>590.0288525349013</v>
      </c>
      <c r="AK176">
        <v>579.4034181818181</v>
      </c>
      <c r="AL176">
        <v>-3.374718618309736</v>
      </c>
      <c r="AM176">
        <v>66.38192812717227</v>
      </c>
      <c r="AN176">
        <f>(AP176 - AO176 + DI176*1E3/(8.314*(DK176+273.15)) * AR176/DH176 * AQ176) * DH176/(100*CV176) * 1000/(1000 - AP176)</f>
        <v>0</v>
      </c>
      <c r="AO176">
        <v>13.78624075651747</v>
      </c>
      <c r="AP176">
        <v>18.23581823529411</v>
      </c>
      <c r="AQ176">
        <v>-0.0003135569732388937</v>
      </c>
      <c r="AR176">
        <v>80.47224507511959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MAX(0,($B$13+$C$13*DP176)/(1+$D$13*DP176)*DI176/(DK176+273)*$E$13)</f>
        <v>0</v>
      </c>
      <c r="AX176" t="s">
        <v>417</v>
      </c>
      <c r="AY176" t="s">
        <v>417</v>
      </c>
      <c r="AZ176">
        <v>0</v>
      </c>
      <c r="BA176">
        <v>0</v>
      </c>
      <c r="BB176">
        <f>1-AZ176/BA176</f>
        <v>0</v>
      </c>
      <c r="BC176">
        <v>0</v>
      </c>
      <c r="BD176" t="s">
        <v>417</v>
      </c>
      <c r="BE176" t="s">
        <v>417</v>
      </c>
      <c r="BF176">
        <v>0</v>
      </c>
      <c r="BG176">
        <v>0</v>
      </c>
      <c r="BH176">
        <f>1-BF176/BG176</f>
        <v>0</v>
      </c>
      <c r="BI176">
        <v>0.5</v>
      </c>
      <c r="BJ176">
        <f>CS176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417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1248</v>
      </c>
      <c r="CA176">
        <v>300</v>
      </c>
      <c r="CB176">
        <v>300</v>
      </c>
      <c r="CC176">
        <v>300</v>
      </c>
      <c r="CD176">
        <v>10442</v>
      </c>
      <c r="CE176">
        <v>1293.69</v>
      </c>
      <c r="CF176">
        <v>-0.00735246</v>
      </c>
      <c r="CG176">
        <v>0.5</v>
      </c>
      <c r="CH176" t="s">
        <v>417</v>
      </c>
      <c r="CI176" t="s">
        <v>417</v>
      </c>
      <c r="CJ176" t="s">
        <v>417</v>
      </c>
      <c r="CK176" t="s">
        <v>417</v>
      </c>
      <c r="CL176" t="s">
        <v>417</v>
      </c>
      <c r="CM176" t="s">
        <v>417</v>
      </c>
      <c r="CN176" t="s">
        <v>417</v>
      </c>
      <c r="CO176" t="s">
        <v>417</v>
      </c>
      <c r="CP176" t="s">
        <v>417</v>
      </c>
      <c r="CQ176" t="s">
        <v>417</v>
      </c>
      <c r="CR176">
        <f>$B$11*DQ176+$C$11*DR176+$F$11*EC176*(1-EF176)</f>
        <v>0</v>
      </c>
      <c r="CS176">
        <f>CR176*CT176</f>
        <v>0</v>
      </c>
      <c r="CT176">
        <f>($B$11*$D$9+$C$11*$D$9+$F$11*((EP176+EH176)/MAX(EP176+EH176+EQ176, 0.1)*$I$9+EQ176/MAX(EP176+EH176+EQ176, 0.1)*$J$9))/($B$11+$C$11+$F$11)</f>
        <v>0</v>
      </c>
      <c r="CU176">
        <f>($B$11*$K$9+$C$11*$K$9+$F$11*((EP176+EH176)/MAX(EP176+EH176+EQ176, 0.1)*$P$9+EQ176/MAX(EP176+EH176+EQ176, 0.1)*$Q$9))/($B$11+$C$11+$F$11)</f>
        <v>0</v>
      </c>
      <c r="CV176">
        <v>6</v>
      </c>
      <c r="CW176">
        <v>0.5</v>
      </c>
      <c r="CX176" t="s">
        <v>418</v>
      </c>
      <c r="CY176">
        <v>2</v>
      </c>
      <c r="CZ176" t="b">
        <v>1</v>
      </c>
      <c r="DA176">
        <v>1651864716.6</v>
      </c>
      <c r="DB176">
        <v>570.4846666666666</v>
      </c>
      <c r="DC176">
        <v>575.9586666666667</v>
      </c>
      <c r="DD176">
        <v>18.23523333333334</v>
      </c>
      <c r="DE176">
        <v>13.81066666666667</v>
      </c>
      <c r="DF176">
        <v>571.7733333333333</v>
      </c>
      <c r="DG176">
        <v>18.21653333333333</v>
      </c>
      <c r="DH176">
        <v>500.0153333333333</v>
      </c>
      <c r="DI176">
        <v>89.93799999999999</v>
      </c>
      <c r="DJ176">
        <v>0.100036</v>
      </c>
      <c r="DK176">
        <v>25.6757</v>
      </c>
      <c r="DL176">
        <v>25.01823333333333</v>
      </c>
      <c r="DM176">
        <v>999.9</v>
      </c>
      <c r="DN176">
        <v>0</v>
      </c>
      <c r="DO176">
        <v>0</v>
      </c>
      <c r="DP176">
        <v>10011.26666666667</v>
      </c>
      <c r="DQ176">
        <v>0</v>
      </c>
      <c r="DR176">
        <v>3.23193</v>
      </c>
      <c r="DS176">
        <v>-5.474283333333333</v>
      </c>
      <c r="DT176">
        <v>581.081</v>
      </c>
      <c r="DU176">
        <v>584.0246666666666</v>
      </c>
      <c r="DV176">
        <v>4.424586666666666</v>
      </c>
      <c r="DW176">
        <v>575.9586666666667</v>
      </c>
      <c r="DX176">
        <v>13.81066666666667</v>
      </c>
      <c r="DY176">
        <v>1.640043333333333</v>
      </c>
      <c r="DZ176">
        <v>1.242103333333333</v>
      </c>
      <c r="EA176">
        <v>14.34026666666667</v>
      </c>
      <c r="EB176">
        <v>10.116</v>
      </c>
      <c r="EC176">
        <v>1500.076666666667</v>
      </c>
      <c r="ED176">
        <v>0.9729953333333333</v>
      </c>
      <c r="EE176">
        <v>0.02700466666666667</v>
      </c>
      <c r="EF176">
        <v>0</v>
      </c>
      <c r="EG176">
        <v>863.7923333333333</v>
      </c>
      <c r="EH176">
        <v>5.00097</v>
      </c>
      <c r="EI176">
        <v>12833.96666666667</v>
      </c>
      <c r="EJ176">
        <v>12492.23333333333</v>
      </c>
      <c r="EK176">
        <v>37.25</v>
      </c>
      <c r="EL176">
        <v>38.687</v>
      </c>
      <c r="EM176">
        <v>37.625</v>
      </c>
      <c r="EN176">
        <v>38.437</v>
      </c>
      <c r="EO176">
        <v>38.125</v>
      </c>
      <c r="EP176">
        <v>1454.703333333333</v>
      </c>
      <c r="EQ176">
        <v>40.37333333333333</v>
      </c>
      <c r="ER176">
        <v>0</v>
      </c>
      <c r="ES176">
        <v>496.2000000476837</v>
      </c>
      <c r="ET176">
        <v>0</v>
      </c>
      <c r="EU176">
        <v>866.7086800000001</v>
      </c>
      <c r="EV176">
        <v>-28.54792302191894</v>
      </c>
      <c r="EW176">
        <v>-427.3692301372726</v>
      </c>
      <c r="EX176">
        <v>12878.996</v>
      </c>
      <c r="EY176">
        <v>15</v>
      </c>
      <c r="EZ176">
        <v>1651864261.1</v>
      </c>
      <c r="FA176" t="s">
        <v>419</v>
      </c>
      <c r="FB176">
        <v>1651864241.6</v>
      </c>
      <c r="FC176">
        <v>1651864261.1</v>
      </c>
      <c r="FD176">
        <v>7</v>
      </c>
      <c r="FE176">
        <v>0.438</v>
      </c>
      <c r="FF176">
        <v>0.002</v>
      </c>
      <c r="FG176">
        <v>-0.988</v>
      </c>
      <c r="FH176">
        <v>-0.066</v>
      </c>
      <c r="FI176">
        <v>400</v>
      </c>
      <c r="FJ176">
        <v>11</v>
      </c>
      <c r="FK176">
        <v>0.05</v>
      </c>
      <c r="FL176">
        <v>0.02</v>
      </c>
      <c r="FM176">
        <v>-6.514349999999999</v>
      </c>
      <c r="FN176">
        <v>6.412347917448425</v>
      </c>
      <c r="FO176">
        <v>0.6225790500289903</v>
      </c>
      <c r="FP176">
        <v>-1</v>
      </c>
      <c r="FQ176">
        <v>4.485004</v>
      </c>
      <c r="FR176">
        <v>-0.4027121200750448</v>
      </c>
      <c r="FS176">
        <v>0.04108403459982964</v>
      </c>
      <c r="FT176">
        <v>-1</v>
      </c>
      <c r="FU176">
        <v>0</v>
      </c>
      <c r="FV176">
        <v>0</v>
      </c>
      <c r="FW176">
        <v>0</v>
      </c>
      <c r="FX176">
        <v>-1</v>
      </c>
      <c r="FY176">
        <v>0</v>
      </c>
      <c r="FZ176">
        <v>0</v>
      </c>
      <c r="GA176" t="s">
        <v>420</v>
      </c>
      <c r="GB176">
        <v>2.98033</v>
      </c>
      <c r="GC176">
        <v>2.70634</v>
      </c>
      <c r="GD176">
        <v>0.116662</v>
      </c>
      <c r="GE176">
        <v>0.116094</v>
      </c>
      <c r="GF176">
        <v>0.08727650000000001</v>
      </c>
      <c r="GG176">
        <v>0.07044789999999999</v>
      </c>
      <c r="GH176">
        <v>27876.5</v>
      </c>
      <c r="GI176">
        <v>27955.7</v>
      </c>
      <c r="GJ176">
        <v>29343.8</v>
      </c>
      <c r="GK176">
        <v>29258.3</v>
      </c>
      <c r="GL176">
        <v>35464.6</v>
      </c>
      <c r="GM176">
        <v>36222.6</v>
      </c>
      <c r="GN176">
        <v>41302.8</v>
      </c>
      <c r="GO176">
        <v>41760.9</v>
      </c>
      <c r="GP176">
        <v>1.9552</v>
      </c>
      <c r="GQ176">
        <v>1.8502</v>
      </c>
      <c r="GR176">
        <v>-0.0203028</v>
      </c>
      <c r="GS176">
        <v>0</v>
      </c>
      <c r="GT176">
        <v>25.3546</v>
      </c>
      <c r="GU176">
        <v>999.9</v>
      </c>
      <c r="GV176">
        <v>31.7</v>
      </c>
      <c r="GW176">
        <v>34.3</v>
      </c>
      <c r="GX176">
        <v>19.1498</v>
      </c>
      <c r="GY176">
        <v>62.3774</v>
      </c>
      <c r="GZ176">
        <v>35.1362</v>
      </c>
      <c r="HA176">
        <v>1</v>
      </c>
      <c r="HB176">
        <v>0.107835</v>
      </c>
      <c r="HC176">
        <v>2.50145</v>
      </c>
      <c r="HD176">
        <v>20.3154</v>
      </c>
      <c r="HE176">
        <v>5.21849</v>
      </c>
      <c r="HF176">
        <v>12.0099</v>
      </c>
      <c r="HG176">
        <v>4.9892</v>
      </c>
      <c r="HH176">
        <v>3.28865</v>
      </c>
      <c r="HI176">
        <v>998.1</v>
      </c>
      <c r="HJ176">
        <v>9548</v>
      </c>
      <c r="HK176">
        <v>5139.4</v>
      </c>
      <c r="HL176">
        <v>24.9</v>
      </c>
      <c r="HM176">
        <v>1.86752</v>
      </c>
      <c r="HN176">
        <v>1.86646</v>
      </c>
      <c r="HO176">
        <v>1.866</v>
      </c>
      <c r="HP176">
        <v>1.86585</v>
      </c>
      <c r="HQ176">
        <v>1.8677</v>
      </c>
      <c r="HR176">
        <v>1.87021</v>
      </c>
      <c r="HS176">
        <v>1.86889</v>
      </c>
      <c r="HT176">
        <v>1.87027</v>
      </c>
      <c r="HU176">
        <v>0</v>
      </c>
      <c r="HV176">
        <v>0</v>
      </c>
      <c r="HW176">
        <v>0</v>
      </c>
      <c r="HX176">
        <v>0</v>
      </c>
      <c r="HY176" t="s">
        <v>421</v>
      </c>
      <c r="HZ176" t="s">
        <v>422</v>
      </c>
      <c r="IA176" t="s">
        <v>423</v>
      </c>
      <c r="IB176" t="s">
        <v>423</v>
      </c>
      <c r="IC176" t="s">
        <v>423</v>
      </c>
      <c r="ID176" t="s">
        <v>423</v>
      </c>
      <c r="IE176">
        <v>0</v>
      </c>
      <c r="IF176">
        <v>100</v>
      </c>
      <c r="IG176">
        <v>100</v>
      </c>
      <c r="IH176">
        <v>-1.283</v>
      </c>
      <c r="II176">
        <v>0.0188</v>
      </c>
      <c r="IJ176">
        <v>-0.2164499368582429</v>
      </c>
      <c r="IK176">
        <v>-0.002077099775823331</v>
      </c>
      <c r="IL176">
        <v>4.593143279902166E-07</v>
      </c>
      <c r="IM176">
        <v>-1.865383991892071E-10</v>
      </c>
      <c r="IN176">
        <v>-0.06087574426827484</v>
      </c>
      <c r="IO176">
        <v>-0.01129461987421345</v>
      </c>
      <c r="IP176">
        <v>0.00116580895745559</v>
      </c>
      <c r="IQ176">
        <v>-1.679085872906199E-05</v>
      </c>
      <c r="IR176">
        <v>2</v>
      </c>
      <c r="IS176">
        <v>2290</v>
      </c>
      <c r="IT176">
        <v>0</v>
      </c>
      <c r="IU176">
        <v>32</v>
      </c>
      <c r="IV176">
        <v>7.9</v>
      </c>
      <c r="IW176">
        <v>7.6</v>
      </c>
      <c r="IX176">
        <v>1.30615</v>
      </c>
      <c r="IY176">
        <v>2.2168</v>
      </c>
      <c r="IZ176">
        <v>1.39648</v>
      </c>
      <c r="JA176">
        <v>2.35596</v>
      </c>
      <c r="JB176">
        <v>1.49536</v>
      </c>
      <c r="JC176">
        <v>2.3584</v>
      </c>
      <c r="JD176">
        <v>38.4769</v>
      </c>
      <c r="JE176">
        <v>24.035</v>
      </c>
      <c r="JF176">
        <v>18</v>
      </c>
      <c r="JG176">
        <v>510.954</v>
      </c>
      <c r="JH176">
        <v>428.983</v>
      </c>
      <c r="JI176">
        <v>22.1648</v>
      </c>
      <c r="JJ176">
        <v>28.679</v>
      </c>
      <c r="JK176">
        <v>30.0002</v>
      </c>
      <c r="JL176">
        <v>28.6422</v>
      </c>
      <c r="JM176">
        <v>28.5799</v>
      </c>
      <c r="JN176">
        <v>26.1217</v>
      </c>
      <c r="JO176">
        <v>27.6319</v>
      </c>
      <c r="JP176">
        <v>0</v>
      </c>
      <c r="JQ176">
        <v>22.1583</v>
      </c>
      <c r="JR176">
        <v>553.741</v>
      </c>
      <c r="JS176">
        <v>13.9252</v>
      </c>
      <c r="JT176">
        <v>100.303</v>
      </c>
      <c r="JU176">
        <v>100.229</v>
      </c>
    </row>
    <row r="177" spans="1:281">
      <c r="A177">
        <v>161</v>
      </c>
      <c r="B177">
        <v>1651864719.6</v>
      </c>
      <c r="C177">
        <v>499</v>
      </c>
      <c r="D177" t="s">
        <v>742</v>
      </c>
      <c r="E177" t="s">
        <v>743</v>
      </c>
      <c r="F177">
        <v>2</v>
      </c>
      <c r="G177" t="s">
        <v>413</v>
      </c>
      <c r="H177" t="s">
        <v>414</v>
      </c>
      <c r="I177">
        <v>1651864718.225</v>
      </c>
      <c r="J177">
        <f>(K177)/1000</f>
        <v>0</v>
      </c>
      <c r="K177">
        <f>IF(CZ177, AN177, AH177)</f>
        <v>0</v>
      </c>
      <c r="L177">
        <f>IF(CZ177, AI177, AG177)</f>
        <v>0</v>
      </c>
      <c r="M177">
        <f>DB177 - IF(AU177&gt;1, L177*CV177*100.0/(AW177*DP177), 0)</f>
        <v>0</v>
      </c>
      <c r="N177">
        <f>((T177-J177/2)*M177-L177)/(T177+J177/2)</f>
        <v>0</v>
      </c>
      <c r="O177">
        <f>N177*(DI177+DJ177)/1000.0</f>
        <v>0</v>
      </c>
      <c r="P177">
        <f>(DB177 - IF(AU177&gt;1, L177*CV177*100.0/(AW177*DP177), 0))*(DI177+DJ177)/1000.0</f>
        <v>0</v>
      </c>
      <c r="Q177">
        <f>2.0/((1/S177-1/R177)+SIGN(S177)*SQRT((1/S177-1/R177)*(1/S177-1/R177) + 4*CW177/((CW177+1)*(CW177+1))*(2*1/S177*1/R177-1/R177*1/R177)))</f>
        <v>0</v>
      </c>
      <c r="R177">
        <f>IF(LEFT(CX177,1)&lt;&gt;"0",IF(LEFT(CX177,1)="1",3.0,CY177),$D$5+$E$5*(DP177*DI177/($K$5*1000))+$F$5*(DP177*DI177/($K$5*1000))*MAX(MIN(CV177,$J$5),$I$5)*MAX(MIN(CV177,$J$5),$I$5)+$G$5*MAX(MIN(CV177,$J$5),$I$5)*(DP177*DI177/($K$5*1000))+$H$5*(DP177*DI177/($K$5*1000))*(DP177*DI177/($K$5*1000)))</f>
        <v>0</v>
      </c>
      <c r="S177">
        <f>J177*(1000-(1000*0.61365*exp(17.502*W177/(240.97+W177))/(DI177+DJ177)+DD177)/2)/(1000*0.61365*exp(17.502*W177/(240.97+W177))/(DI177+DJ177)-DD177)</f>
        <v>0</v>
      </c>
      <c r="T177">
        <f>1/((CW177+1)/(Q177/1.6)+1/(R177/1.37)) + CW177/((CW177+1)/(Q177/1.6) + CW177/(R177/1.37))</f>
        <v>0</v>
      </c>
      <c r="U177">
        <f>(CR177*CU177)</f>
        <v>0</v>
      </c>
      <c r="V177">
        <f>(DK177+(U177+2*0.95*5.67E-8*(((DK177+$B$7)+273)^4-(DK177+273)^4)-44100*J177)/(1.84*29.3*R177+8*0.95*5.67E-8*(DK177+273)^3))</f>
        <v>0</v>
      </c>
      <c r="W177">
        <f>($C$7*DL177+$D$7*DM177+$E$7*V177)</f>
        <v>0</v>
      </c>
      <c r="X177">
        <f>0.61365*exp(17.502*W177/(240.97+W177))</f>
        <v>0</v>
      </c>
      <c r="Y177">
        <f>(Z177/AA177*100)</f>
        <v>0</v>
      </c>
      <c r="Z177">
        <f>DD177*(DI177+DJ177)/1000</f>
        <v>0</v>
      </c>
      <c r="AA177">
        <f>0.61365*exp(17.502*DK177/(240.97+DK177))</f>
        <v>0</v>
      </c>
      <c r="AB177">
        <f>(X177-DD177*(DI177+DJ177)/1000)</f>
        <v>0</v>
      </c>
      <c r="AC177">
        <f>(-J177*44100)</f>
        <v>0</v>
      </c>
      <c r="AD177">
        <f>2*29.3*R177*0.92*(DK177-W177)</f>
        <v>0</v>
      </c>
      <c r="AE177">
        <f>2*0.95*5.67E-8*(((DK177+$B$7)+273)^4-(W177+273)^4)</f>
        <v>0</v>
      </c>
      <c r="AF177">
        <f>U177+AE177+AC177+AD177</f>
        <v>0</v>
      </c>
      <c r="AG177">
        <f>DH177*AU177*(DC177-DB177*(1000-AU177*DE177)/(1000-AU177*DD177))/(100*CV177)</f>
        <v>0</v>
      </c>
      <c r="AH177">
        <f>1000*DH177*AU177*(DD177-DE177)/(100*CV177*(1000-AU177*DD177))</f>
        <v>0</v>
      </c>
      <c r="AI177">
        <f>(AJ177 - AK177 - DI177*1E3/(8.314*(DK177+273.15)) * AM177/DH177 * AL177) * DH177/(100*CV177) * (1000 - DE177)/1000</f>
        <v>0</v>
      </c>
      <c r="AJ177">
        <v>583.2400537523298</v>
      </c>
      <c r="AK177">
        <v>572.7261818181818</v>
      </c>
      <c r="AL177">
        <v>-3.35007514204924</v>
      </c>
      <c r="AM177">
        <v>66.38192812717227</v>
      </c>
      <c r="AN177">
        <f>(AP177 - AO177 + DI177*1E3/(8.314*(DK177+273.15)) * AR177/DH177 * AQ177) * DH177/(100*CV177) * 1000/(1000 - AP177)</f>
        <v>0</v>
      </c>
      <c r="AO177">
        <v>13.80172613556978</v>
      </c>
      <c r="AP177">
        <v>18.23843794117647</v>
      </c>
      <c r="AQ177">
        <v>-2.924752907425861E-05</v>
      </c>
      <c r="AR177">
        <v>80.47224507511959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MAX(0,($B$13+$C$13*DP177)/(1+$D$13*DP177)*DI177/(DK177+273)*$E$13)</f>
        <v>0</v>
      </c>
      <c r="AX177" t="s">
        <v>417</v>
      </c>
      <c r="AY177" t="s">
        <v>417</v>
      </c>
      <c r="AZ177">
        <v>0</v>
      </c>
      <c r="BA177">
        <v>0</v>
      </c>
      <c r="BB177">
        <f>1-AZ177/BA177</f>
        <v>0</v>
      </c>
      <c r="BC177">
        <v>0</v>
      </c>
      <c r="BD177" t="s">
        <v>417</v>
      </c>
      <c r="BE177" t="s">
        <v>417</v>
      </c>
      <c r="BF177">
        <v>0</v>
      </c>
      <c r="BG177">
        <v>0</v>
      </c>
      <c r="BH177">
        <f>1-BF177/BG177</f>
        <v>0</v>
      </c>
      <c r="BI177">
        <v>0.5</v>
      </c>
      <c r="BJ177">
        <f>CS177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417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1248</v>
      </c>
      <c r="CA177">
        <v>300</v>
      </c>
      <c r="CB177">
        <v>300</v>
      </c>
      <c r="CC177">
        <v>300</v>
      </c>
      <c r="CD177">
        <v>10442</v>
      </c>
      <c r="CE177">
        <v>1293.69</v>
      </c>
      <c r="CF177">
        <v>-0.00735246</v>
      </c>
      <c r="CG177">
        <v>0.5</v>
      </c>
      <c r="CH177" t="s">
        <v>417</v>
      </c>
      <c r="CI177" t="s">
        <v>417</v>
      </c>
      <c r="CJ177" t="s">
        <v>417</v>
      </c>
      <c r="CK177" t="s">
        <v>417</v>
      </c>
      <c r="CL177" t="s">
        <v>417</v>
      </c>
      <c r="CM177" t="s">
        <v>417</v>
      </c>
      <c r="CN177" t="s">
        <v>417</v>
      </c>
      <c r="CO177" t="s">
        <v>417</v>
      </c>
      <c r="CP177" t="s">
        <v>417</v>
      </c>
      <c r="CQ177" t="s">
        <v>417</v>
      </c>
      <c r="CR177">
        <f>$B$11*DQ177+$C$11*DR177+$F$11*EC177*(1-EF177)</f>
        <v>0</v>
      </c>
      <c r="CS177">
        <f>CR177*CT177</f>
        <v>0</v>
      </c>
      <c r="CT177">
        <f>($B$11*$D$9+$C$11*$D$9+$F$11*((EP177+EH177)/MAX(EP177+EH177+EQ177, 0.1)*$I$9+EQ177/MAX(EP177+EH177+EQ177, 0.1)*$J$9))/($B$11+$C$11+$F$11)</f>
        <v>0</v>
      </c>
      <c r="CU177">
        <f>($B$11*$K$9+$C$11*$K$9+$F$11*((EP177+EH177)/MAX(EP177+EH177+EQ177, 0.1)*$P$9+EQ177/MAX(EP177+EH177+EQ177, 0.1)*$Q$9))/($B$11+$C$11+$F$11)</f>
        <v>0</v>
      </c>
      <c r="CV177">
        <v>6</v>
      </c>
      <c r="CW177">
        <v>0.5</v>
      </c>
      <c r="CX177" t="s">
        <v>418</v>
      </c>
      <c r="CY177">
        <v>2</v>
      </c>
      <c r="CZ177" t="b">
        <v>1</v>
      </c>
      <c r="DA177">
        <v>1651864718.225</v>
      </c>
      <c r="DB177">
        <v>565.15</v>
      </c>
      <c r="DC177">
        <v>570.5237499999999</v>
      </c>
      <c r="DD177">
        <v>18.237125</v>
      </c>
      <c r="DE177">
        <v>13.82865</v>
      </c>
      <c r="DF177">
        <v>566.42975</v>
      </c>
      <c r="DG177">
        <v>18.218375</v>
      </c>
      <c r="DH177">
        <v>500.0265</v>
      </c>
      <c r="DI177">
        <v>89.937725</v>
      </c>
      <c r="DJ177">
        <v>0.10008725</v>
      </c>
      <c r="DK177">
        <v>25.67395</v>
      </c>
      <c r="DL177">
        <v>25.023625</v>
      </c>
      <c r="DM177">
        <v>999.9</v>
      </c>
      <c r="DN177">
        <v>0</v>
      </c>
      <c r="DO177">
        <v>0</v>
      </c>
      <c r="DP177">
        <v>10005.455</v>
      </c>
      <c r="DQ177">
        <v>0</v>
      </c>
      <c r="DR177">
        <v>3.23193</v>
      </c>
      <c r="DS177">
        <v>-5.37355</v>
      </c>
      <c r="DT177">
        <v>575.6485</v>
      </c>
      <c r="DU177">
        <v>578.5237499999999</v>
      </c>
      <c r="DV177">
        <v>4.408495</v>
      </c>
      <c r="DW177">
        <v>570.5237499999999</v>
      </c>
      <c r="DX177">
        <v>13.82865</v>
      </c>
      <c r="DY177">
        <v>1.6402075</v>
      </c>
      <c r="DZ177">
        <v>1.243715</v>
      </c>
      <c r="EA177">
        <v>14.3418</v>
      </c>
      <c r="EB177">
        <v>10.135375</v>
      </c>
      <c r="EC177">
        <v>1500.0125</v>
      </c>
      <c r="ED177">
        <v>0.9730045</v>
      </c>
      <c r="EE177">
        <v>0.026995475</v>
      </c>
      <c r="EF177">
        <v>0</v>
      </c>
      <c r="EG177">
        <v>862.95375</v>
      </c>
      <c r="EH177">
        <v>5.00097</v>
      </c>
      <c r="EI177">
        <v>12824</v>
      </c>
      <c r="EJ177">
        <v>12491.75</v>
      </c>
      <c r="EK177">
        <v>37.25</v>
      </c>
      <c r="EL177">
        <v>38.687</v>
      </c>
      <c r="EM177">
        <v>37.625</v>
      </c>
      <c r="EN177">
        <v>38.437</v>
      </c>
      <c r="EO177">
        <v>38.125</v>
      </c>
      <c r="EP177">
        <v>1454.655</v>
      </c>
      <c r="EQ177">
        <v>40.3575</v>
      </c>
      <c r="ER177">
        <v>0</v>
      </c>
      <c r="ES177">
        <v>498.6000001430511</v>
      </c>
      <c r="ET177">
        <v>0</v>
      </c>
      <c r="EU177">
        <v>865.56628</v>
      </c>
      <c r="EV177">
        <v>-27.67599993708632</v>
      </c>
      <c r="EW177">
        <v>-410.9692300809212</v>
      </c>
      <c r="EX177">
        <v>12862.016</v>
      </c>
      <c r="EY177">
        <v>15</v>
      </c>
      <c r="EZ177">
        <v>1651864261.1</v>
      </c>
      <c r="FA177" t="s">
        <v>419</v>
      </c>
      <c r="FB177">
        <v>1651864241.6</v>
      </c>
      <c r="FC177">
        <v>1651864261.1</v>
      </c>
      <c r="FD177">
        <v>7</v>
      </c>
      <c r="FE177">
        <v>0.438</v>
      </c>
      <c r="FF177">
        <v>0.002</v>
      </c>
      <c r="FG177">
        <v>-0.988</v>
      </c>
      <c r="FH177">
        <v>-0.066</v>
      </c>
      <c r="FI177">
        <v>400</v>
      </c>
      <c r="FJ177">
        <v>11</v>
      </c>
      <c r="FK177">
        <v>0.05</v>
      </c>
      <c r="FL177">
        <v>0.02</v>
      </c>
      <c r="FM177">
        <v>-6.21405825</v>
      </c>
      <c r="FN177">
        <v>6.216496998123818</v>
      </c>
      <c r="FO177">
        <v>0.6048322630981564</v>
      </c>
      <c r="FP177">
        <v>-1</v>
      </c>
      <c r="FQ177">
        <v>4.46354875</v>
      </c>
      <c r="FR177">
        <v>-0.3485273921200797</v>
      </c>
      <c r="FS177">
        <v>0.0355070551572149</v>
      </c>
      <c r="FT177">
        <v>-1</v>
      </c>
      <c r="FU177">
        <v>0</v>
      </c>
      <c r="FV177">
        <v>0</v>
      </c>
      <c r="FW177">
        <v>0</v>
      </c>
      <c r="FX177">
        <v>-1</v>
      </c>
      <c r="FY177">
        <v>0</v>
      </c>
      <c r="FZ177">
        <v>0</v>
      </c>
      <c r="GA177" t="s">
        <v>420</v>
      </c>
      <c r="GB177">
        <v>2.9805</v>
      </c>
      <c r="GC177">
        <v>2.70623</v>
      </c>
      <c r="GD177">
        <v>0.115698</v>
      </c>
      <c r="GE177">
        <v>0.115133</v>
      </c>
      <c r="GF177">
        <v>0.08728610000000001</v>
      </c>
      <c r="GG177">
        <v>0.0705783</v>
      </c>
      <c r="GH177">
        <v>27907</v>
      </c>
      <c r="GI177">
        <v>27986.1</v>
      </c>
      <c r="GJ177">
        <v>29343.9</v>
      </c>
      <c r="GK177">
        <v>29258.3</v>
      </c>
      <c r="GL177">
        <v>35464.5</v>
      </c>
      <c r="GM177">
        <v>36217.4</v>
      </c>
      <c r="GN177">
        <v>41303.1</v>
      </c>
      <c r="GO177">
        <v>41760.9</v>
      </c>
      <c r="GP177">
        <v>1.95532</v>
      </c>
      <c r="GQ177">
        <v>1.84985</v>
      </c>
      <c r="GR177">
        <v>-0.0199825</v>
      </c>
      <c r="GS177">
        <v>0</v>
      </c>
      <c r="GT177">
        <v>25.3546</v>
      </c>
      <c r="GU177">
        <v>999.9</v>
      </c>
      <c r="GV177">
        <v>31.7</v>
      </c>
      <c r="GW177">
        <v>34.3</v>
      </c>
      <c r="GX177">
        <v>19.1492</v>
      </c>
      <c r="GY177">
        <v>62.4774</v>
      </c>
      <c r="GZ177">
        <v>34.7236</v>
      </c>
      <c r="HA177">
        <v>1</v>
      </c>
      <c r="HB177">
        <v>0.108082</v>
      </c>
      <c r="HC177">
        <v>2.49105</v>
      </c>
      <c r="HD177">
        <v>20.3157</v>
      </c>
      <c r="HE177">
        <v>5.21849</v>
      </c>
      <c r="HF177">
        <v>12.0099</v>
      </c>
      <c r="HG177">
        <v>4.989</v>
      </c>
      <c r="HH177">
        <v>3.28858</v>
      </c>
      <c r="HI177">
        <v>998.1</v>
      </c>
      <c r="HJ177">
        <v>9548</v>
      </c>
      <c r="HK177">
        <v>5139.4</v>
      </c>
      <c r="HL177">
        <v>24.9</v>
      </c>
      <c r="HM177">
        <v>1.86752</v>
      </c>
      <c r="HN177">
        <v>1.86646</v>
      </c>
      <c r="HO177">
        <v>1.866</v>
      </c>
      <c r="HP177">
        <v>1.86586</v>
      </c>
      <c r="HQ177">
        <v>1.8677</v>
      </c>
      <c r="HR177">
        <v>1.87022</v>
      </c>
      <c r="HS177">
        <v>1.86889</v>
      </c>
      <c r="HT177">
        <v>1.87026</v>
      </c>
      <c r="HU177">
        <v>0</v>
      </c>
      <c r="HV177">
        <v>0</v>
      </c>
      <c r="HW177">
        <v>0</v>
      </c>
      <c r="HX177">
        <v>0</v>
      </c>
      <c r="HY177" t="s">
        <v>421</v>
      </c>
      <c r="HZ177" t="s">
        <v>422</v>
      </c>
      <c r="IA177" t="s">
        <v>423</v>
      </c>
      <c r="IB177" t="s">
        <v>423</v>
      </c>
      <c r="IC177" t="s">
        <v>423</v>
      </c>
      <c r="ID177" t="s">
        <v>423</v>
      </c>
      <c r="IE177">
        <v>0</v>
      </c>
      <c r="IF177">
        <v>100</v>
      </c>
      <c r="IG177">
        <v>100</v>
      </c>
      <c r="IH177">
        <v>-1.271</v>
      </c>
      <c r="II177">
        <v>0.0188</v>
      </c>
      <c r="IJ177">
        <v>-0.2164499368582429</v>
      </c>
      <c r="IK177">
        <v>-0.002077099775823331</v>
      </c>
      <c r="IL177">
        <v>4.593143279902166E-07</v>
      </c>
      <c r="IM177">
        <v>-1.865383991892071E-10</v>
      </c>
      <c r="IN177">
        <v>-0.06087574426827484</v>
      </c>
      <c r="IO177">
        <v>-0.01129461987421345</v>
      </c>
      <c r="IP177">
        <v>0.00116580895745559</v>
      </c>
      <c r="IQ177">
        <v>-1.679085872906199E-05</v>
      </c>
      <c r="IR177">
        <v>2</v>
      </c>
      <c r="IS177">
        <v>2290</v>
      </c>
      <c r="IT177">
        <v>0</v>
      </c>
      <c r="IU177">
        <v>32</v>
      </c>
      <c r="IV177">
        <v>8</v>
      </c>
      <c r="IW177">
        <v>7.6</v>
      </c>
      <c r="IX177">
        <v>1.29395</v>
      </c>
      <c r="IY177">
        <v>2.2229</v>
      </c>
      <c r="IZ177">
        <v>1.39648</v>
      </c>
      <c r="JA177">
        <v>2.35596</v>
      </c>
      <c r="JB177">
        <v>1.49536</v>
      </c>
      <c r="JC177">
        <v>2.34375</v>
      </c>
      <c r="JD177">
        <v>38.4769</v>
      </c>
      <c r="JE177">
        <v>24.035</v>
      </c>
      <c r="JF177">
        <v>18</v>
      </c>
      <c r="JG177">
        <v>511.036</v>
      </c>
      <c r="JH177">
        <v>428.775</v>
      </c>
      <c r="JI177">
        <v>22.1561</v>
      </c>
      <c r="JJ177">
        <v>28.6803</v>
      </c>
      <c r="JK177">
        <v>30.0002</v>
      </c>
      <c r="JL177">
        <v>28.6422</v>
      </c>
      <c r="JM177">
        <v>28.5801</v>
      </c>
      <c r="JN177">
        <v>25.8711</v>
      </c>
      <c r="JO177">
        <v>27.6319</v>
      </c>
      <c r="JP177">
        <v>0</v>
      </c>
      <c r="JQ177">
        <v>22.1368</v>
      </c>
      <c r="JR177">
        <v>546.984</v>
      </c>
      <c r="JS177">
        <v>13.9381</v>
      </c>
      <c r="JT177">
        <v>100.304</v>
      </c>
      <c r="JU177">
        <v>100.229</v>
      </c>
    </row>
    <row r="178" spans="1:281">
      <c r="A178">
        <v>162</v>
      </c>
      <c r="B178">
        <v>1651864721.6</v>
      </c>
      <c r="C178">
        <v>501</v>
      </c>
      <c r="D178" t="s">
        <v>744</v>
      </c>
      <c r="E178" t="s">
        <v>745</v>
      </c>
      <c r="F178">
        <v>2</v>
      </c>
      <c r="G178" t="s">
        <v>413</v>
      </c>
      <c r="H178" t="s">
        <v>414</v>
      </c>
      <c r="I178">
        <v>1651864720.6</v>
      </c>
      <c r="J178">
        <f>(K178)/1000</f>
        <v>0</v>
      </c>
      <c r="K178">
        <f>IF(CZ178, AN178, AH178)</f>
        <v>0</v>
      </c>
      <c r="L178">
        <f>IF(CZ178, AI178, AG178)</f>
        <v>0</v>
      </c>
      <c r="M178">
        <f>DB178 - IF(AU178&gt;1, L178*CV178*100.0/(AW178*DP178), 0)</f>
        <v>0</v>
      </c>
      <c r="N178">
        <f>((T178-J178/2)*M178-L178)/(T178+J178/2)</f>
        <v>0</v>
      </c>
      <c r="O178">
        <f>N178*(DI178+DJ178)/1000.0</f>
        <v>0</v>
      </c>
      <c r="P178">
        <f>(DB178 - IF(AU178&gt;1, L178*CV178*100.0/(AW178*DP178), 0))*(DI178+DJ178)/1000.0</f>
        <v>0</v>
      </c>
      <c r="Q178">
        <f>2.0/((1/S178-1/R178)+SIGN(S178)*SQRT((1/S178-1/R178)*(1/S178-1/R178) + 4*CW178/((CW178+1)*(CW178+1))*(2*1/S178*1/R178-1/R178*1/R178)))</f>
        <v>0</v>
      </c>
      <c r="R178">
        <f>IF(LEFT(CX178,1)&lt;&gt;"0",IF(LEFT(CX178,1)="1",3.0,CY178),$D$5+$E$5*(DP178*DI178/($K$5*1000))+$F$5*(DP178*DI178/($K$5*1000))*MAX(MIN(CV178,$J$5),$I$5)*MAX(MIN(CV178,$J$5),$I$5)+$G$5*MAX(MIN(CV178,$J$5),$I$5)*(DP178*DI178/($K$5*1000))+$H$5*(DP178*DI178/($K$5*1000))*(DP178*DI178/($K$5*1000)))</f>
        <v>0</v>
      </c>
      <c r="S178">
        <f>J178*(1000-(1000*0.61365*exp(17.502*W178/(240.97+W178))/(DI178+DJ178)+DD178)/2)/(1000*0.61365*exp(17.502*W178/(240.97+W178))/(DI178+DJ178)-DD178)</f>
        <v>0</v>
      </c>
      <c r="T178">
        <f>1/((CW178+1)/(Q178/1.6)+1/(R178/1.37)) + CW178/((CW178+1)/(Q178/1.6) + CW178/(R178/1.37))</f>
        <v>0</v>
      </c>
      <c r="U178">
        <f>(CR178*CU178)</f>
        <v>0</v>
      </c>
      <c r="V178">
        <f>(DK178+(U178+2*0.95*5.67E-8*(((DK178+$B$7)+273)^4-(DK178+273)^4)-44100*J178)/(1.84*29.3*R178+8*0.95*5.67E-8*(DK178+273)^3))</f>
        <v>0</v>
      </c>
      <c r="W178">
        <f>($C$7*DL178+$D$7*DM178+$E$7*V178)</f>
        <v>0</v>
      </c>
      <c r="X178">
        <f>0.61365*exp(17.502*W178/(240.97+W178))</f>
        <v>0</v>
      </c>
      <c r="Y178">
        <f>(Z178/AA178*100)</f>
        <v>0</v>
      </c>
      <c r="Z178">
        <f>DD178*(DI178+DJ178)/1000</f>
        <v>0</v>
      </c>
      <c r="AA178">
        <f>0.61365*exp(17.502*DK178/(240.97+DK178))</f>
        <v>0</v>
      </c>
      <c r="AB178">
        <f>(X178-DD178*(DI178+DJ178)/1000)</f>
        <v>0</v>
      </c>
      <c r="AC178">
        <f>(-J178*44100)</f>
        <v>0</v>
      </c>
      <c r="AD178">
        <f>2*29.3*R178*0.92*(DK178-W178)</f>
        <v>0</v>
      </c>
      <c r="AE178">
        <f>2*0.95*5.67E-8*(((DK178+$B$7)+273)^4-(W178+273)^4)</f>
        <v>0</v>
      </c>
      <c r="AF178">
        <f>U178+AE178+AC178+AD178</f>
        <v>0</v>
      </c>
      <c r="AG178">
        <f>DH178*AU178*(DC178-DB178*(1000-AU178*DE178)/(1000-AU178*DD178))/(100*CV178)</f>
        <v>0</v>
      </c>
      <c r="AH178">
        <f>1000*DH178*AU178*(DD178-DE178)/(100*CV178*(1000-AU178*DD178))</f>
        <v>0</v>
      </c>
      <c r="AI178">
        <f>(AJ178 - AK178 - DI178*1E3/(8.314*(DK178+273.15)) * AM178/DH178 * AL178) * DH178/(100*CV178) * (1000 - DE178)/1000</f>
        <v>0</v>
      </c>
      <c r="AJ178">
        <v>576.4809168738921</v>
      </c>
      <c r="AK178">
        <v>566.091109090909</v>
      </c>
      <c r="AL178">
        <v>-3.32638898666328</v>
      </c>
      <c r="AM178">
        <v>66.38192812717227</v>
      </c>
      <c r="AN178">
        <f>(AP178 - AO178 + DI178*1E3/(8.314*(DK178+273.15)) * AR178/DH178 * AQ178) * DH178/(100*CV178) * 1000/(1000 - AP178)</f>
        <v>0</v>
      </c>
      <c r="AO178">
        <v>13.81442784862598</v>
      </c>
      <c r="AP178">
        <v>18.24460470588236</v>
      </c>
      <c r="AQ178">
        <v>-4.911029185162696E-06</v>
      </c>
      <c r="AR178">
        <v>80.47224507511959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MAX(0,($B$13+$C$13*DP178)/(1+$D$13*DP178)*DI178/(DK178+273)*$E$13)</f>
        <v>0</v>
      </c>
      <c r="AX178" t="s">
        <v>417</v>
      </c>
      <c r="AY178" t="s">
        <v>417</v>
      </c>
      <c r="AZ178">
        <v>0</v>
      </c>
      <c r="BA178">
        <v>0</v>
      </c>
      <c r="BB178">
        <f>1-AZ178/BA178</f>
        <v>0</v>
      </c>
      <c r="BC178">
        <v>0</v>
      </c>
      <c r="BD178" t="s">
        <v>417</v>
      </c>
      <c r="BE178" t="s">
        <v>417</v>
      </c>
      <c r="BF178">
        <v>0</v>
      </c>
      <c r="BG178">
        <v>0</v>
      </c>
      <c r="BH178">
        <f>1-BF178/BG178</f>
        <v>0</v>
      </c>
      <c r="BI178">
        <v>0.5</v>
      </c>
      <c r="BJ178">
        <f>CS178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417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1248</v>
      </c>
      <c r="CA178">
        <v>300</v>
      </c>
      <c r="CB178">
        <v>300</v>
      </c>
      <c r="CC178">
        <v>300</v>
      </c>
      <c r="CD178">
        <v>10442</v>
      </c>
      <c r="CE178">
        <v>1293.69</v>
      </c>
      <c r="CF178">
        <v>-0.00735246</v>
      </c>
      <c r="CG178">
        <v>0.5</v>
      </c>
      <c r="CH178" t="s">
        <v>417</v>
      </c>
      <c r="CI178" t="s">
        <v>417</v>
      </c>
      <c r="CJ178" t="s">
        <v>417</v>
      </c>
      <c r="CK178" t="s">
        <v>417</v>
      </c>
      <c r="CL178" t="s">
        <v>417</v>
      </c>
      <c r="CM178" t="s">
        <v>417</v>
      </c>
      <c r="CN178" t="s">
        <v>417</v>
      </c>
      <c r="CO178" t="s">
        <v>417</v>
      </c>
      <c r="CP178" t="s">
        <v>417</v>
      </c>
      <c r="CQ178" t="s">
        <v>417</v>
      </c>
      <c r="CR178">
        <f>$B$11*DQ178+$C$11*DR178+$F$11*EC178*(1-EF178)</f>
        <v>0</v>
      </c>
      <c r="CS178">
        <f>CR178*CT178</f>
        <v>0</v>
      </c>
      <c r="CT178">
        <f>($B$11*$D$9+$C$11*$D$9+$F$11*((EP178+EH178)/MAX(EP178+EH178+EQ178, 0.1)*$I$9+EQ178/MAX(EP178+EH178+EQ178, 0.1)*$J$9))/($B$11+$C$11+$F$11)</f>
        <v>0</v>
      </c>
      <c r="CU178">
        <f>($B$11*$K$9+$C$11*$K$9+$F$11*((EP178+EH178)/MAX(EP178+EH178+EQ178, 0.1)*$P$9+EQ178/MAX(EP178+EH178+EQ178, 0.1)*$Q$9))/($B$11+$C$11+$F$11)</f>
        <v>0</v>
      </c>
      <c r="CV178">
        <v>6</v>
      </c>
      <c r="CW178">
        <v>0.5</v>
      </c>
      <c r="CX178" t="s">
        <v>418</v>
      </c>
      <c r="CY178">
        <v>2</v>
      </c>
      <c r="CZ178" t="b">
        <v>1</v>
      </c>
      <c r="DA178">
        <v>1651864720.6</v>
      </c>
      <c r="DB178">
        <v>557.3903333333333</v>
      </c>
      <c r="DC178">
        <v>562.6356666666667</v>
      </c>
      <c r="DD178">
        <v>18.24333333333334</v>
      </c>
      <c r="DE178">
        <v>13.8734</v>
      </c>
      <c r="DF178">
        <v>558.6566666666666</v>
      </c>
      <c r="DG178">
        <v>18.2245</v>
      </c>
      <c r="DH178">
        <v>500.055</v>
      </c>
      <c r="DI178">
        <v>89.9379</v>
      </c>
      <c r="DJ178">
        <v>0.09991836666666666</v>
      </c>
      <c r="DK178">
        <v>25.67026666666666</v>
      </c>
      <c r="DL178">
        <v>25.02553333333333</v>
      </c>
      <c r="DM178">
        <v>999.9</v>
      </c>
      <c r="DN178">
        <v>0</v>
      </c>
      <c r="DO178">
        <v>0</v>
      </c>
      <c r="DP178">
        <v>10010.63333333333</v>
      </c>
      <c r="DQ178">
        <v>0</v>
      </c>
      <c r="DR178">
        <v>3.23193</v>
      </c>
      <c r="DS178">
        <v>-5.245443333333334</v>
      </c>
      <c r="DT178">
        <v>567.748</v>
      </c>
      <c r="DU178">
        <v>570.5513333333334</v>
      </c>
      <c r="DV178">
        <v>4.369940000000001</v>
      </c>
      <c r="DW178">
        <v>562.6356666666667</v>
      </c>
      <c r="DX178">
        <v>13.8734</v>
      </c>
      <c r="DY178">
        <v>1.64077</v>
      </c>
      <c r="DZ178">
        <v>1.247746666666667</v>
      </c>
      <c r="EA178">
        <v>14.34713333333333</v>
      </c>
      <c r="EB178">
        <v>10.18373333333333</v>
      </c>
      <c r="EC178">
        <v>1499.966666666666</v>
      </c>
      <c r="ED178">
        <v>0.973002</v>
      </c>
      <c r="EE178">
        <v>0.02699806666666667</v>
      </c>
      <c r="EF178">
        <v>0</v>
      </c>
      <c r="EG178">
        <v>862.2683333333334</v>
      </c>
      <c r="EH178">
        <v>5.00097</v>
      </c>
      <c r="EI178">
        <v>12809.7</v>
      </c>
      <c r="EJ178">
        <v>12491.36666666667</v>
      </c>
      <c r="EK178">
        <v>37.25</v>
      </c>
      <c r="EL178">
        <v>38.729</v>
      </c>
      <c r="EM178">
        <v>37.625</v>
      </c>
      <c r="EN178">
        <v>38.437</v>
      </c>
      <c r="EO178">
        <v>38.125</v>
      </c>
      <c r="EP178">
        <v>1454.606666666667</v>
      </c>
      <c r="EQ178">
        <v>40.36000000000001</v>
      </c>
      <c r="ER178">
        <v>0</v>
      </c>
      <c r="ES178">
        <v>500.4000000953674</v>
      </c>
      <c r="ET178">
        <v>0</v>
      </c>
      <c r="EU178">
        <v>864.8814230769232</v>
      </c>
      <c r="EV178">
        <v>-26.81733333451043</v>
      </c>
      <c r="EW178">
        <v>-402.9948720448409</v>
      </c>
      <c r="EX178">
        <v>12852.04615384615</v>
      </c>
      <c r="EY178">
        <v>15</v>
      </c>
      <c r="EZ178">
        <v>1651864261.1</v>
      </c>
      <c r="FA178" t="s">
        <v>419</v>
      </c>
      <c r="FB178">
        <v>1651864241.6</v>
      </c>
      <c r="FC178">
        <v>1651864261.1</v>
      </c>
      <c r="FD178">
        <v>7</v>
      </c>
      <c r="FE178">
        <v>0.438</v>
      </c>
      <c r="FF178">
        <v>0.002</v>
      </c>
      <c r="FG178">
        <v>-0.988</v>
      </c>
      <c r="FH178">
        <v>-0.066</v>
      </c>
      <c r="FI178">
        <v>400</v>
      </c>
      <c r="FJ178">
        <v>11</v>
      </c>
      <c r="FK178">
        <v>0.05</v>
      </c>
      <c r="FL178">
        <v>0.02</v>
      </c>
      <c r="FM178">
        <v>-6.12260925</v>
      </c>
      <c r="FN178">
        <v>6.139626754221404</v>
      </c>
      <c r="FO178">
        <v>0.5983375706170702</v>
      </c>
      <c r="FP178">
        <v>-1</v>
      </c>
      <c r="FQ178">
        <v>4.455692000000001</v>
      </c>
      <c r="FR178">
        <v>-0.3472464540337811</v>
      </c>
      <c r="FS178">
        <v>0.03535390064759471</v>
      </c>
      <c r="FT178">
        <v>-1</v>
      </c>
      <c r="FU178">
        <v>0</v>
      </c>
      <c r="FV178">
        <v>0</v>
      </c>
      <c r="FW178">
        <v>0</v>
      </c>
      <c r="FX178">
        <v>-1</v>
      </c>
      <c r="FY178">
        <v>0</v>
      </c>
      <c r="FZ178">
        <v>0</v>
      </c>
      <c r="GA178" t="s">
        <v>420</v>
      </c>
      <c r="GB178">
        <v>2.9805</v>
      </c>
      <c r="GC178">
        <v>2.70619</v>
      </c>
      <c r="GD178">
        <v>0.114736</v>
      </c>
      <c r="GE178">
        <v>0.11417</v>
      </c>
      <c r="GF178">
        <v>0.0873138</v>
      </c>
      <c r="GG178">
        <v>0.0707111</v>
      </c>
      <c r="GH178">
        <v>27937.4</v>
      </c>
      <c r="GI178">
        <v>28016.6</v>
      </c>
      <c r="GJ178">
        <v>29344</v>
      </c>
      <c r="GK178">
        <v>29258.3</v>
      </c>
      <c r="GL178">
        <v>35463.7</v>
      </c>
      <c r="GM178">
        <v>36212.3</v>
      </c>
      <c r="GN178">
        <v>41303.5</v>
      </c>
      <c r="GO178">
        <v>41761</v>
      </c>
      <c r="GP178">
        <v>1.95543</v>
      </c>
      <c r="GQ178">
        <v>1.84953</v>
      </c>
      <c r="GR178">
        <v>-0.0203401</v>
      </c>
      <c r="GS178">
        <v>0</v>
      </c>
      <c r="GT178">
        <v>25.3546</v>
      </c>
      <c r="GU178">
        <v>999.9</v>
      </c>
      <c r="GV178">
        <v>31.7</v>
      </c>
      <c r="GW178">
        <v>34.3</v>
      </c>
      <c r="GX178">
        <v>19.1495</v>
      </c>
      <c r="GY178">
        <v>62.3374</v>
      </c>
      <c r="GZ178">
        <v>35.1923</v>
      </c>
      <c r="HA178">
        <v>1</v>
      </c>
      <c r="HB178">
        <v>0.108069</v>
      </c>
      <c r="HC178">
        <v>2.51195</v>
      </c>
      <c r="HD178">
        <v>20.3155</v>
      </c>
      <c r="HE178">
        <v>5.21789</v>
      </c>
      <c r="HF178">
        <v>12.0099</v>
      </c>
      <c r="HG178">
        <v>4.98895</v>
      </c>
      <c r="HH178">
        <v>3.28858</v>
      </c>
      <c r="HI178">
        <v>998.3</v>
      </c>
      <c r="HJ178">
        <v>9548.9</v>
      </c>
      <c r="HK178">
        <v>5139.4</v>
      </c>
      <c r="HL178">
        <v>24.9</v>
      </c>
      <c r="HM178">
        <v>1.86751</v>
      </c>
      <c r="HN178">
        <v>1.86646</v>
      </c>
      <c r="HO178">
        <v>1.866</v>
      </c>
      <c r="HP178">
        <v>1.86586</v>
      </c>
      <c r="HQ178">
        <v>1.8677</v>
      </c>
      <c r="HR178">
        <v>1.87021</v>
      </c>
      <c r="HS178">
        <v>1.86889</v>
      </c>
      <c r="HT178">
        <v>1.87026</v>
      </c>
      <c r="HU178">
        <v>0</v>
      </c>
      <c r="HV178">
        <v>0</v>
      </c>
      <c r="HW178">
        <v>0</v>
      </c>
      <c r="HX178">
        <v>0</v>
      </c>
      <c r="HY178" t="s">
        <v>421</v>
      </c>
      <c r="HZ178" t="s">
        <v>422</v>
      </c>
      <c r="IA178" t="s">
        <v>423</v>
      </c>
      <c r="IB178" t="s">
        <v>423</v>
      </c>
      <c r="IC178" t="s">
        <v>423</v>
      </c>
      <c r="ID178" t="s">
        <v>423</v>
      </c>
      <c r="IE178">
        <v>0</v>
      </c>
      <c r="IF178">
        <v>100</v>
      </c>
      <c r="IG178">
        <v>100</v>
      </c>
      <c r="IH178">
        <v>-1.26</v>
      </c>
      <c r="II178">
        <v>0.0189</v>
      </c>
      <c r="IJ178">
        <v>-0.2164499368582429</v>
      </c>
      <c r="IK178">
        <v>-0.002077099775823331</v>
      </c>
      <c r="IL178">
        <v>4.593143279902166E-07</v>
      </c>
      <c r="IM178">
        <v>-1.865383991892071E-10</v>
      </c>
      <c r="IN178">
        <v>-0.06087574426827484</v>
      </c>
      <c r="IO178">
        <v>-0.01129461987421345</v>
      </c>
      <c r="IP178">
        <v>0.00116580895745559</v>
      </c>
      <c r="IQ178">
        <v>-1.679085872906199E-05</v>
      </c>
      <c r="IR178">
        <v>2</v>
      </c>
      <c r="IS178">
        <v>2290</v>
      </c>
      <c r="IT178">
        <v>0</v>
      </c>
      <c r="IU178">
        <v>32</v>
      </c>
      <c r="IV178">
        <v>8</v>
      </c>
      <c r="IW178">
        <v>7.7</v>
      </c>
      <c r="IX178">
        <v>1.28174</v>
      </c>
      <c r="IY178">
        <v>2.21924</v>
      </c>
      <c r="IZ178">
        <v>1.39648</v>
      </c>
      <c r="JA178">
        <v>2.35596</v>
      </c>
      <c r="JB178">
        <v>1.49536</v>
      </c>
      <c r="JC178">
        <v>2.30591</v>
      </c>
      <c r="JD178">
        <v>38.4769</v>
      </c>
      <c r="JE178">
        <v>24.035</v>
      </c>
      <c r="JF178">
        <v>18</v>
      </c>
      <c r="JG178">
        <v>511.104</v>
      </c>
      <c r="JH178">
        <v>428.589</v>
      </c>
      <c r="JI178">
        <v>22.1488</v>
      </c>
      <c r="JJ178">
        <v>28.6805</v>
      </c>
      <c r="JK178">
        <v>30.0001</v>
      </c>
      <c r="JL178">
        <v>28.6426</v>
      </c>
      <c r="JM178">
        <v>28.5814</v>
      </c>
      <c r="JN178">
        <v>25.6194</v>
      </c>
      <c r="JO178">
        <v>27.6319</v>
      </c>
      <c r="JP178">
        <v>0</v>
      </c>
      <c r="JQ178">
        <v>22.1368</v>
      </c>
      <c r="JR178">
        <v>540.308</v>
      </c>
      <c r="JS178">
        <v>13.9438</v>
      </c>
      <c r="JT178">
        <v>100.304</v>
      </c>
      <c r="JU178">
        <v>100.229</v>
      </c>
    </row>
    <row r="179" spans="1:281">
      <c r="A179">
        <v>163</v>
      </c>
      <c r="B179">
        <v>1651864723.6</v>
      </c>
      <c r="C179">
        <v>503</v>
      </c>
      <c r="D179" t="s">
        <v>746</v>
      </c>
      <c r="E179" t="s">
        <v>747</v>
      </c>
      <c r="F179">
        <v>2</v>
      </c>
      <c r="G179" t="s">
        <v>413</v>
      </c>
      <c r="H179" t="s">
        <v>414</v>
      </c>
      <c r="I179">
        <v>1651864722.225</v>
      </c>
      <c r="J179">
        <f>(K179)/1000</f>
        <v>0</v>
      </c>
      <c r="K179">
        <f>IF(CZ179, AN179, AH179)</f>
        <v>0</v>
      </c>
      <c r="L179">
        <f>IF(CZ179, AI179, AG179)</f>
        <v>0</v>
      </c>
      <c r="M179">
        <f>DB179 - IF(AU179&gt;1, L179*CV179*100.0/(AW179*DP179), 0)</f>
        <v>0</v>
      </c>
      <c r="N179">
        <f>((T179-J179/2)*M179-L179)/(T179+J179/2)</f>
        <v>0</v>
      </c>
      <c r="O179">
        <f>N179*(DI179+DJ179)/1000.0</f>
        <v>0</v>
      </c>
      <c r="P179">
        <f>(DB179 - IF(AU179&gt;1, L179*CV179*100.0/(AW179*DP179), 0))*(DI179+DJ179)/1000.0</f>
        <v>0</v>
      </c>
      <c r="Q179">
        <f>2.0/((1/S179-1/R179)+SIGN(S179)*SQRT((1/S179-1/R179)*(1/S179-1/R179) + 4*CW179/((CW179+1)*(CW179+1))*(2*1/S179*1/R179-1/R179*1/R179)))</f>
        <v>0</v>
      </c>
      <c r="R179">
        <f>IF(LEFT(CX179,1)&lt;&gt;"0",IF(LEFT(CX179,1)="1",3.0,CY179),$D$5+$E$5*(DP179*DI179/($K$5*1000))+$F$5*(DP179*DI179/($K$5*1000))*MAX(MIN(CV179,$J$5),$I$5)*MAX(MIN(CV179,$J$5),$I$5)+$G$5*MAX(MIN(CV179,$J$5),$I$5)*(DP179*DI179/($K$5*1000))+$H$5*(DP179*DI179/($K$5*1000))*(DP179*DI179/($K$5*1000)))</f>
        <v>0</v>
      </c>
      <c r="S179">
        <f>J179*(1000-(1000*0.61365*exp(17.502*W179/(240.97+W179))/(DI179+DJ179)+DD179)/2)/(1000*0.61365*exp(17.502*W179/(240.97+W179))/(DI179+DJ179)-DD179)</f>
        <v>0</v>
      </c>
      <c r="T179">
        <f>1/((CW179+1)/(Q179/1.6)+1/(R179/1.37)) + CW179/((CW179+1)/(Q179/1.6) + CW179/(R179/1.37))</f>
        <v>0</v>
      </c>
      <c r="U179">
        <f>(CR179*CU179)</f>
        <v>0</v>
      </c>
      <c r="V179">
        <f>(DK179+(U179+2*0.95*5.67E-8*(((DK179+$B$7)+273)^4-(DK179+273)^4)-44100*J179)/(1.84*29.3*R179+8*0.95*5.67E-8*(DK179+273)^3))</f>
        <v>0</v>
      </c>
      <c r="W179">
        <f>($C$7*DL179+$D$7*DM179+$E$7*V179)</f>
        <v>0</v>
      </c>
      <c r="X179">
        <f>0.61365*exp(17.502*W179/(240.97+W179))</f>
        <v>0</v>
      </c>
      <c r="Y179">
        <f>(Z179/AA179*100)</f>
        <v>0</v>
      </c>
      <c r="Z179">
        <f>DD179*(DI179+DJ179)/1000</f>
        <v>0</v>
      </c>
      <c r="AA179">
        <f>0.61365*exp(17.502*DK179/(240.97+DK179))</f>
        <v>0</v>
      </c>
      <c r="AB179">
        <f>(X179-DD179*(DI179+DJ179)/1000)</f>
        <v>0</v>
      </c>
      <c r="AC179">
        <f>(-J179*44100)</f>
        <v>0</v>
      </c>
      <c r="AD179">
        <f>2*29.3*R179*0.92*(DK179-W179)</f>
        <v>0</v>
      </c>
      <c r="AE179">
        <f>2*0.95*5.67E-8*(((DK179+$B$7)+273)^4-(W179+273)^4)</f>
        <v>0</v>
      </c>
      <c r="AF179">
        <f>U179+AE179+AC179+AD179</f>
        <v>0</v>
      </c>
      <c r="AG179">
        <f>DH179*AU179*(DC179-DB179*(1000-AU179*DE179)/(1000-AU179*DD179))/(100*CV179)</f>
        <v>0</v>
      </c>
      <c r="AH179">
        <f>1000*DH179*AU179*(DD179-DE179)/(100*CV179*(1000-AU179*DD179))</f>
        <v>0</v>
      </c>
      <c r="AI179">
        <f>(AJ179 - AK179 - DI179*1E3/(8.314*(DK179+273.15)) * AM179/DH179 * AL179) * DH179/(100*CV179) * (1000 - DE179)/1000</f>
        <v>0</v>
      </c>
      <c r="AJ179">
        <v>569.7864170060411</v>
      </c>
      <c r="AK179">
        <v>559.4350424242424</v>
      </c>
      <c r="AL179">
        <v>-3.320194841480722</v>
      </c>
      <c r="AM179">
        <v>66.38192812717227</v>
      </c>
      <c r="AN179">
        <f>(AP179 - AO179 + DI179*1E3/(8.314*(DK179+273.15)) * AR179/DH179 * AQ179) * DH179/(100*CV179) * 1000/(1000 - AP179)</f>
        <v>0</v>
      </c>
      <c r="AO179">
        <v>13.84515401107905</v>
      </c>
      <c r="AP179">
        <v>18.25572852941176</v>
      </c>
      <c r="AQ179">
        <v>2.459822189559889E-05</v>
      </c>
      <c r="AR179">
        <v>80.47224507511959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MAX(0,($B$13+$C$13*DP179)/(1+$D$13*DP179)*DI179/(DK179+273)*$E$13)</f>
        <v>0</v>
      </c>
      <c r="AX179" t="s">
        <v>417</v>
      </c>
      <c r="AY179" t="s">
        <v>417</v>
      </c>
      <c r="AZ179">
        <v>0</v>
      </c>
      <c r="BA179">
        <v>0</v>
      </c>
      <c r="BB179">
        <f>1-AZ179/BA179</f>
        <v>0</v>
      </c>
      <c r="BC179">
        <v>0</v>
      </c>
      <c r="BD179" t="s">
        <v>417</v>
      </c>
      <c r="BE179" t="s">
        <v>417</v>
      </c>
      <c r="BF179">
        <v>0</v>
      </c>
      <c r="BG179">
        <v>0</v>
      </c>
      <c r="BH179">
        <f>1-BF179/BG179</f>
        <v>0</v>
      </c>
      <c r="BI179">
        <v>0.5</v>
      </c>
      <c r="BJ179">
        <f>CS179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417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1248</v>
      </c>
      <c r="CA179">
        <v>300</v>
      </c>
      <c r="CB179">
        <v>300</v>
      </c>
      <c r="CC179">
        <v>300</v>
      </c>
      <c r="CD179">
        <v>10442</v>
      </c>
      <c r="CE179">
        <v>1293.69</v>
      </c>
      <c r="CF179">
        <v>-0.00735246</v>
      </c>
      <c r="CG179">
        <v>0.5</v>
      </c>
      <c r="CH179" t="s">
        <v>417</v>
      </c>
      <c r="CI179" t="s">
        <v>417</v>
      </c>
      <c r="CJ179" t="s">
        <v>417</v>
      </c>
      <c r="CK179" t="s">
        <v>417</v>
      </c>
      <c r="CL179" t="s">
        <v>417</v>
      </c>
      <c r="CM179" t="s">
        <v>417</v>
      </c>
      <c r="CN179" t="s">
        <v>417</v>
      </c>
      <c r="CO179" t="s">
        <v>417</v>
      </c>
      <c r="CP179" t="s">
        <v>417</v>
      </c>
      <c r="CQ179" t="s">
        <v>417</v>
      </c>
      <c r="CR179">
        <f>$B$11*DQ179+$C$11*DR179+$F$11*EC179*(1-EF179)</f>
        <v>0</v>
      </c>
      <c r="CS179">
        <f>CR179*CT179</f>
        <v>0</v>
      </c>
      <c r="CT179">
        <f>($B$11*$D$9+$C$11*$D$9+$F$11*((EP179+EH179)/MAX(EP179+EH179+EQ179, 0.1)*$I$9+EQ179/MAX(EP179+EH179+EQ179, 0.1)*$J$9))/($B$11+$C$11+$F$11)</f>
        <v>0</v>
      </c>
      <c r="CU179">
        <f>($B$11*$K$9+$C$11*$K$9+$F$11*((EP179+EH179)/MAX(EP179+EH179+EQ179, 0.1)*$P$9+EQ179/MAX(EP179+EH179+EQ179, 0.1)*$Q$9))/($B$11+$C$11+$F$11)</f>
        <v>0</v>
      </c>
      <c r="CV179">
        <v>6</v>
      </c>
      <c r="CW179">
        <v>0.5</v>
      </c>
      <c r="CX179" t="s">
        <v>418</v>
      </c>
      <c r="CY179">
        <v>2</v>
      </c>
      <c r="CZ179" t="b">
        <v>1</v>
      </c>
      <c r="DA179">
        <v>1651864722.225</v>
      </c>
      <c r="DB179">
        <v>552.07925</v>
      </c>
      <c r="DC179">
        <v>557.2257500000001</v>
      </c>
      <c r="DD179">
        <v>18.25105</v>
      </c>
      <c r="DE179">
        <v>13.891375</v>
      </c>
      <c r="DF179">
        <v>553.336</v>
      </c>
      <c r="DG179">
        <v>18.2321</v>
      </c>
      <c r="DH179">
        <v>500.04125</v>
      </c>
      <c r="DI179">
        <v>89.938525</v>
      </c>
      <c r="DJ179">
        <v>0.0999536</v>
      </c>
      <c r="DK179">
        <v>25.667025</v>
      </c>
      <c r="DL179">
        <v>25.019825</v>
      </c>
      <c r="DM179">
        <v>999.9</v>
      </c>
      <c r="DN179">
        <v>0</v>
      </c>
      <c r="DO179">
        <v>0</v>
      </c>
      <c r="DP179">
        <v>10005.775</v>
      </c>
      <c r="DQ179">
        <v>0</v>
      </c>
      <c r="DR179">
        <v>3.23193</v>
      </c>
      <c r="DS179">
        <v>-5.14615</v>
      </c>
      <c r="DT179">
        <v>562.34275</v>
      </c>
      <c r="DU179">
        <v>565.07525</v>
      </c>
      <c r="DV179">
        <v>4.3597225</v>
      </c>
      <c r="DW179">
        <v>557.2257500000001</v>
      </c>
      <c r="DX179">
        <v>13.891375</v>
      </c>
      <c r="DY179">
        <v>1.641475</v>
      </c>
      <c r="DZ179">
        <v>1.2493675</v>
      </c>
      <c r="EA179">
        <v>14.35375</v>
      </c>
      <c r="EB179">
        <v>10.203175</v>
      </c>
      <c r="EC179">
        <v>1500.02</v>
      </c>
      <c r="ED179">
        <v>0.9729995</v>
      </c>
      <c r="EE179">
        <v>0.02700055</v>
      </c>
      <c r="EF179">
        <v>0</v>
      </c>
      <c r="EG179">
        <v>861.52925</v>
      </c>
      <c r="EH179">
        <v>5.00097</v>
      </c>
      <c r="EI179">
        <v>12800.05</v>
      </c>
      <c r="EJ179">
        <v>12491.775</v>
      </c>
      <c r="EK179">
        <v>37.25</v>
      </c>
      <c r="EL179">
        <v>38.70274999999999</v>
      </c>
      <c r="EM179">
        <v>37.625</v>
      </c>
      <c r="EN179">
        <v>38.437</v>
      </c>
      <c r="EO179">
        <v>38.125</v>
      </c>
      <c r="EP179">
        <v>1454.655</v>
      </c>
      <c r="EQ179">
        <v>40.365</v>
      </c>
      <c r="ER179">
        <v>0</v>
      </c>
      <c r="ES179">
        <v>502.2000000476837</v>
      </c>
      <c r="ET179">
        <v>0</v>
      </c>
      <c r="EU179">
        <v>863.9660799999999</v>
      </c>
      <c r="EV179">
        <v>-25.22230763182696</v>
      </c>
      <c r="EW179">
        <v>-387.6615378274406</v>
      </c>
      <c r="EX179">
        <v>12838.112</v>
      </c>
      <c r="EY179">
        <v>15</v>
      </c>
      <c r="EZ179">
        <v>1651864261.1</v>
      </c>
      <c r="FA179" t="s">
        <v>419</v>
      </c>
      <c r="FB179">
        <v>1651864241.6</v>
      </c>
      <c r="FC179">
        <v>1651864261.1</v>
      </c>
      <c r="FD179">
        <v>7</v>
      </c>
      <c r="FE179">
        <v>0.438</v>
      </c>
      <c r="FF179">
        <v>0.002</v>
      </c>
      <c r="FG179">
        <v>-0.988</v>
      </c>
      <c r="FH179">
        <v>-0.066</v>
      </c>
      <c r="FI179">
        <v>400</v>
      </c>
      <c r="FJ179">
        <v>11</v>
      </c>
      <c r="FK179">
        <v>0.05</v>
      </c>
      <c r="FL179">
        <v>0.02</v>
      </c>
      <c r="FM179">
        <v>-5.855846</v>
      </c>
      <c r="FN179">
        <v>5.757269268292683</v>
      </c>
      <c r="FO179">
        <v>0.5659780205308329</v>
      </c>
      <c r="FP179">
        <v>-1</v>
      </c>
      <c r="FQ179">
        <v>4.43288625</v>
      </c>
      <c r="FR179">
        <v>-0.3827467542213919</v>
      </c>
      <c r="FS179">
        <v>0.03928596999486584</v>
      </c>
      <c r="FT179">
        <v>-1</v>
      </c>
      <c r="FU179">
        <v>0</v>
      </c>
      <c r="FV179">
        <v>0</v>
      </c>
      <c r="FW179">
        <v>0</v>
      </c>
      <c r="FX179">
        <v>-1</v>
      </c>
      <c r="FY179">
        <v>0</v>
      </c>
      <c r="FZ179">
        <v>0</v>
      </c>
      <c r="GA179" t="s">
        <v>420</v>
      </c>
      <c r="GB179">
        <v>2.9804</v>
      </c>
      <c r="GC179">
        <v>2.70623</v>
      </c>
      <c r="GD179">
        <v>0.11377</v>
      </c>
      <c r="GE179">
        <v>0.113191</v>
      </c>
      <c r="GF179">
        <v>0.0873492</v>
      </c>
      <c r="GG179">
        <v>0.07073980000000001</v>
      </c>
      <c r="GH179">
        <v>27968.2</v>
      </c>
      <c r="GI179">
        <v>28047.4</v>
      </c>
      <c r="GJ179">
        <v>29344.2</v>
      </c>
      <c r="GK179">
        <v>29258.2</v>
      </c>
      <c r="GL179">
        <v>35462.5</v>
      </c>
      <c r="GM179">
        <v>36211.1</v>
      </c>
      <c r="GN179">
        <v>41303.7</v>
      </c>
      <c r="GO179">
        <v>41760.9</v>
      </c>
      <c r="GP179">
        <v>1.95543</v>
      </c>
      <c r="GQ179">
        <v>1.84988</v>
      </c>
      <c r="GR179">
        <v>-0.020504</v>
      </c>
      <c r="GS179">
        <v>0</v>
      </c>
      <c r="GT179">
        <v>25.3546</v>
      </c>
      <c r="GU179">
        <v>999.9</v>
      </c>
      <c r="GV179">
        <v>31.6</v>
      </c>
      <c r="GW179">
        <v>34.3</v>
      </c>
      <c r="GX179">
        <v>19.0892</v>
      </c>
      <c r="GY179">
        <v>62.1974</v>
      </c>
      <c r="GZ179">
        <v>34.992</v>
      </c>
      <c r="HA179">
        <v>1</v>
      </c>
      <c r="HB179">
        <v>0.108145</v>
      </c>
      <c r="HC179">
        <v>2.51474</v>
      </c>
      <c r="HD179">
        <v>20.3156</v>
      </c>
      <c r="HE179">
        <v>5.21789</v>
      </c>
      <c r="HF179">
        <v>12.0099</v>
      </c>
      <c r="HG179">
        <v>4.989</v>
      </c>
      <c r="HH179">
        <v>3.28865</v>
      </c>
      <c r="HI179">
        <v>998.3</v>
      </c>
      <c r="HJ179">
        <v>9548.9</v>
      </c>
      <c r="HK179">
        <v>5139.4</v>
      </c>
      <c r="HL179">
        <v>24.9</v>
      </c>
      <c r="HM179">
        <v>1.86751</v>
      </c>
      <c r="HN179">
        <v>1.86646</v>
      </c>
      <c r="HO179">
        <v>1.866</v>
      </c>
      <c r="HP179">
        <v>1.86584</v>
      </c>
      <c r="HQ179">
        <v>1.86769</v>
      </c>
      <c r="HR179">
        <v>1.87022</v>
      </c>
      <c r="HS179">
        <v>1.86889</v>
      </c>
      <c r="HT179">
        <v>1.87026</v>
      </c>
      <c r="HU179">
        <v>0</v>
      </c>
      <c r="HV179">
        <v>0</v>
      </c>
      <c r="HW179">
        <v>0</v>
      </c>
      <c r="HX179">
        <v>0</v>
      </c>
      <c r="HY179" t="s">
        <v>421</v>
      </c>
      <c r="HZ179" t="s">
        <v>422</v>
      </c>
      <c r="IA179" t="s">
        <v>423</v>
      </c>
      <c r="IB179" t="s">
        <v>423</v>
      </c>
      <c r="IC179" t="s">
        <v>423</v>
      </c>
      <c r="ID179" t="s">
        <v>423</v>
      </c>
      <c r="IE179">
        <v>0</v>
      </c>
      <c r="IF179">
        <v>100</v>
      </c>
      <c r="IG179">
        <v>100</v>
      </c>
      <c r="IH179">
        <v>-1.249</v>
      </c>
      <c r="II179">
        <v>0.019</v>
      </c>
      <c r="IJ179">
        <v>-0.2164499368582429</v>
      </c>
      <c r="IK179">
        <v>-0.002077099775823331</v>
      </c>
      <c r="IL179">
        <v>4.593143279902166E-07</v>
      </c>
      <c r="IM179">
        <v>-1.865383991892071E-10</v>
      </c>
      <c r="IN179">
        <v>-0.06087574426827484</v>
      </c>
      <c r="IO179">
        <v>-0.01129461987421345</v>
      </c>
      <c r="IP179">
        <v>0.00116580895745559</v>
      </c>
      <c r="IQ179">
        <v>-1.679085872906199E-05</v>
      </c>
      <c r="IR179">
        <v>2</v>
      </c>
      <c r="IS179">
        <v>2290</v>
      </c>
      <c r="IT179">
        <v>0</v>
      </c>
      <c r="IU179">
        <v>32</v>
      </c>
      <c r="IV179">
        <v>8</v>
      </c>
      <c r="IW179">
        <v>7.7</v>
      </c>
      <c r="IX179">
        <v>1.26953</v>
      </c>
      <c r="IY179">
        <v>2.21802</v>
      </c>
      <c r="IZ179">
        <v>1.39648</v>
      </c>
      <c r="JA179">
        <v>2.35596</v>
      </c>
      <c r="JB179">
        <v>1.49536</v>
      </c>
      <c r="JC179">
        <v>2.38281</v>
      </c>
      <c r="JD179">
        <v>38.4769</v>
      </c>
      <c r="JE179">
        <v>24.035</v>
      </c>
      <c r="JF179">
        <v>18</v>
      </c>
      <c r="JG179">
        <v>511.114</v>
      </c>
      <c r="JH179">
        <v>428.806</v>
      </c>
      <c r="JI179">
        <v>22.1395</v>
      </c>
      <c r="JJ179">
        <v>28.6805</v>
      </c>
      <c r="JK179">
        <v>30.0002</v>
      </c>
      <c r="JL179">
        <v>28.6438</v>
      </c>
      <c r="JM179">
        <v>28.5823</v>
      </c>
      <c r="JN179">
        <v>25.3689</v>
      </c>
      <c r="JO179">
        <v>27.6319</v>
      </c>
      <c r="JP179">
        <v>0</v>
      </c>
      <c r="JQ179">
        <v>22.1368</v>
      </c>
      <c r="JR179">
        <v>533.628</v>
      </c>
      <c r="JS179">
        <v>13.9499</v>
      </c>
      <c r="JT179">
        <v>100.305</v>
      </c>
      <c r="JU179">
        <v>100.229</v>
      </c>
    </row>
    <row r="180" spans="1:281">
      <c r="A180">
        <v>164</v>
      </c>
      <c r="B180">
        <v>1651864725.6</v>
      </c>
      <c r="C180">
        <v>505</v>
      </c>
      <c r="D180" t="s">
        <v>748</v>
      </c>
      <c r="E180" t="s">
        <v>749</v>
      </c>
      <c r="F180">
        <v>2</v>
      </c>
      <c r="G180" t="s">
        <v>413</v>
      </c>
      <c r="H180" t="s">
        <v>414</v>
      </c>
      <c r="I180">
        <v>1651864724.6</v>
      </c>
      <c r="J180">
        <f>(K180)/1000</f>
        <v>0</v>
      </c>
      <c r="K180">
        <f>IF(CZ180, AN180, AH180)</f>
        <v>0</v>
      </c>
      <c r="L180">
        <f>IF(CZ180, AI180, AG180)</f>
        <v>0</v>
      </c>
      <c r="M180">
        <f>DB180 - IF(AU180&gt;1, L180*CV180*100.0/(AW180*DP180), 0)</f>
        <v>0</v>
      </c>
      <c r="N180">
        <f>((T180-J180/2)*M180-L180)/(T180+J180/2)</f>
        <v>0</v>
      </c>
      <c r="O180">
        <f>N180*(DI180+DJ180)/1000.0</f>
        <v>0</v>
      </c>
      <c r="P180">
        <f>(DB180 - IF(AU180&gt;1, L180*CV180*100.0/(AW180*DP180), 0))*(DI180+DJ180)/1000.0</f>
        <v>0</v>
      </c>
      <c r="Q180">
        <f>2.0/((1/S180-1/R180)+SIGN(S180)*SQRT((1/S180-1/R180)*(1/S180-1/R180) + 4*CW180/((CW180+1)*(CW180+1))*(2*1/S180*1/R180-1/R180*1/R180)))</f>
        <v>0</v>
      </c>
      <c r="R180">
        <f>IF(LEFT(CX180,1)&lt;&gt;"0",IF(LEFT(CX180,1)="1",3.0,CY180),$D$5+$E$5*(DP180*DI180/($K$5*1000))+$F$5*(DP180*DI180/($K$5*1000))*MAX(MIN(CV180,$J$5),$I$5)*MAX(MIN(CV180,$J$5),$I$5)+$G$5*MAX(MIN(CV180,$J$5),$I$5)*(DP180*DI180/($K$5*1000))+$H$5*(DP180*DI180/($K$5*1000))*(DP180*DI180/($K$5*1000)))</f>
        <v>0</v>
      </c>
      <c r="S180">
        <f>J180*(1000-(1000*0.61365*exp(17.502*W180/(240.97+W180))/(DI180+DJ180)+DD180)/2)/(1000*0.61365*exp(17.502*W180/(240.97+W180))/(DI180+DJ180)-DD180)</f>
        <v>0</v>
      </c>
      <c r="T180">
        <f>1/((CW180+1)/(Q180/1.6)+1/(R180/1.37)) + CW180/((CW180+1)/(Q180/1.6) + CW180/(R180/1.37))</f>
        <v>0</v>
      </c>
      <c r="U180">
        <f>(CR180*CU180)</f>
        <v>0</v>
      </c>
      <c r="V180">
        <f>(DK180+(U180+2*0.95*5.67E-8*(((DK180+$B$7)+273)^4-(DK180+273)^4)-44100*J180)/(1.84*29.3*R180+8*0.95*5.67E-8*(DK180+273)^3))</f>
        <v>0</v>
      </c>
      <c r="W180">
        <f>($C$7*DL180+$D$7*DM180+$E$7*V180)</f>
        <v>0</v>
      </c>
      <c r="X180">
        <f>0.61365*exp(17.502*W180/(240.97+W180))</f>
        <v>0</v>
      </c>
      <c r="Y180">
        <f>(Z180/AA180*100)</f>
        <v>0</v>
      </c>
      <c r="Z180">
        <f>DD180*(DI180+DJ180)/1000</f>
        <v>0</v>
      </c>
      <c r="AA180">
        <f>0.61365*exp(17.502*DK180/(240.97+DK180))</f>
        <v>0</v>
      </c>
      <c r="AB180">
        <f>(X180-DD180*(DI180+DJ180)/1000)</f>
        <v>0</v>
      </c>
      <c r="AC180">
        <f>(-J180*44100)</f>
        <v>0</v>
      </c>
      <c r="AD180">
        <f>2*29.3*R180*0.92*(DK180-W180)</f>
        <v>0</v>
      </c>
      <c r="AE180">
        <f>2*0.95*5.67E-8*(((DK180+$B$7)+273)^4-(W180+273)^4)</f>
        <v>0</v>
      </c>
      <c r="AF180">
        <f>U180+AE180+AC180+AD180</f>
        <v>0</v>
      </c>
      <c r="AG180">
        <f>DH180*AU180*(DC180-DB180*(1000-AU180*DE180)/(1000-AU180*DD180))/(100*CV180)</f>
        <v>0</v>
      </c>
      <c r="AH180">
        <f>1000*DH180*AU180*(DD180-DE180)/(100*CV180*(1000-AU180*DD180))</f>
        <v>0</v>
      </c>
      <c r="AI180">
        <f>(AJ180 - AK180 - DI180*1E3/(8.314*(DK180+273.15)) * AM180/DH180 * AL180) * DH180/(100*CV180) * (1000 - DE180)/1000</f>
        <v>0</v>
      </c>
      <c r="AJ180">
        <v>563.025727631363</v>
      </c>
      <c r="AK180">
        <v>552.7741333333332</v>
      </c>
      <c r="AL180">
        <v>-3.327335312426624</v>
      </c>
      <c r="AM180">
        <v>66.38192812717227</v>
      </c>
      <c r="AN180">
        <f>(AP180 - AO180 + DI180*1E3/(8.314*(DK180+273.15)) * AR180/DH180 * AQ180) * DH180/(100*CV180) * 1000/(1000 - AP180)</f>
        <v>0</v>
      </c>
      <c r="AO180">
        <v>13.88061587317007</v>
      </c>
      <c r="AP180">
        <v>18.26457470588235</v>
      </c>
      <c r="AQ180">
        <v>0.0003884070243059566</v>
      </c>
      <c r="AR180">
        <v>80.47224507511959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MAX(0,($B$13+$C$13*DP180)/(1+$D$13*DP180)*DI180/(DK180+273)*$E$13)</f>
        <v>0</v>
      </c>
      <c r="AX180" t="s">
        <v>417</v>
      </c>
      <c r="AY180" t="s">
        <v>417</v>
      </c>
      <c r="AZ180">
        <v>0</v>
      </c>
      <c r="BA180">
        <v>0</v>
      </c>
      <c r="BB180">
        <f>1-AZ180/BA180</f>
        <v>0</v>
      </c>
      <c r="BC180">
        <v>0</v>
      </c>
      <c r="BD180" t="s">
        <v>417</v>
      </c>
      <c r="BE180" t="s">
        <v>417</v>
      </c>
      <c r="BF180">
        <v>0</v>
      </c>
      <c r="BG180">
        <v>0</v>
      </c>
      <c r="BH180">
        <f>1-BF180/BG180</f>
        <v>0</v>
      </c>
      <c r="BI180">
        <v>0.5</v>
      </c>
      <c r="BJ180">
        <f>CS180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417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1248</v>
      </c>
      <c r="CA180">
        <v>300</v>
      </c>
      <c r="CB180">
        <v>300</v>
      </c>
      <c r="CC180">
        <v>300</v>
      </c>
      <c r="CD180">
        <v>10442</v>
      </c>
      <c r="CE180">
        <v>1293.69</v>
      </c>
      <c r="CF180">
        <v>-0.00735246</v>
      </c>
      <c r="CG180">
        <v>0.5</v>
      </c>
      <c r="CH180" t="s">
        <v>417</v>
      </c>
      <c r="CI180" t="s">
        <v>417</v>
      </c>
      <c r="CJ180" t="s">
        <v>417</v>
      </c>
      <c r="CK180" t="s">
        <v>417</v>
      </c>
      <c r="CL180" t="s">
        <v>417</v>
      </c>
      <c r="CM180" t="s">
        <v>417</v>
      </c>
      <c r="CN180" t="s">
        <v>417</v>
      </c>
      <c r="CO180" t="s">
        <v>417</v>
      </c>
      <c r="CP180" t="s">
        <v>417</v>
      </c>
      <c r="CQ180" t="s">
        <v>417</v>
      </c>
      <c r="CR180">
        <f>$B$11*DQ180+$C$11*DR180+$F$11*EC180*(1-EF180)</f>
        <v>0</v>
      </c>
      <c r="CS180">
        <f>CR180*CT180</f>
        <v>0</v>
      </c>
      <c r="CT180">
        <f>($B$11*$D$9+$C$11*$D$9+$F$11*((EP180+EH180)/MAX(EP180+EH180+EQ180, 0.1)*$I$9+EQ180/MAX(EP180+EH180+EQ180, 0.1)*$J$9))/($B$11+$C$11+$F$11)</f>
        <v>0</v>
      </c>
      <c r="CU180">
        <f>($B$11*$K$9+$C$11*$K$9+$F$11*((EP180+EH180)/MAX(EP180+EH180+EQ180, 0.1)*$P$9+EQ180/MAX(EP180+EH180+EQ180, 0.1)*$Q$9))/($B$11+$C$11+$F$11)</f>
        <v>0</v>
      </c>
      <c r="CV180">
        <v>6</v>
      </c>
      <c r="CW180">
        <v>0.5</v>
      </c>
      <c r="CX180" t="s">
        <v>418</v>
      </c>
      <c r="CY180">
        <v>2</v>
      </c>
      <c r="CZ180" t="b">
        <v>1</v>
      </c>
      <c r="DA180">
        <v>1651864724.6</v>
      </c>
      <c r="DB180">
        <v>544.3146666666667</v>
      </c>
      <c r="DC180">
        <v>549.2493333333333</v>
      </c>
      <c r="DD180">
        <v>18.2615</v>
      </c>
      <c r="DE180">
        <v>13.89663333333333</v>
      </c>
      <c r="DF180">
        <v>545.558</v>
      </c>
      <c r="DG180">
        <v>18.24236666666667</v>
      </c>
      <c r="DH180">
        <v>500.0823333333333</v>
      </c>
      <c r="DI180">
        <v>89.93793333333333</v>
      </c>
      <c r="DJ180">
        <v>0.1000963333333333</v>
      </c>
      <c r="DK180">
        <v>25.6647</v>
      </c>
      <c r="DL180">
        <v>25.0177</v>
      </c>
      <c r="DM180">
        <v>999.9</v>
      </c>
      <c r="DN180">
        <v>0</v>
      </c>
      <c r="DO180">
        <v>0</v>
      </c>
      <c r="DP180">
        <v>9997.280000000001</v>
      </c>
      <c r="DQ180">
        <v>0</v>
      </c>
      <c r="DR180">
        <v>3.23193</v>
      </c>
      <c r="DS180">
        <v>-4.934426666666667</v>
      </c>
      <c r="DT180">
        <v>554.4399999999999</v>
      </c>
      <c r="DU180">
        <v>556.9893333333333</v>
      </c>
      <c r="DV180">
        <v>4.364870000000001</v>
      </c>
      <c r="DW180">
        <v>549.2493333333333</v>
      </c>
      <c r="DX180">
        <v>13.89663333333333</v>
      </c>
      <c r="DY180">
        <v>1.6424</v>
      </c>
      <c r="DZ180">
        <v>1.249836666666667</v>
      </c>
      <c r="EA180">
        <v>14.36246666666666</v>
      </c>
      <c r="EB180">
        <v>10.20876666666667</v>
      </c>
      <c r="EC180">
        <v>1500.053333333333</v>
      </c>
      <c r="ED180">
        <v>0.9730086666666665</v>
      </c>
      <c r="EE180">
        <v>0.0269913</v>
      </c>
      <c r="EF180">
        <v>0</v>
      </c>
      <c r="EG180">
        <v>860.54</v>
      </c>
      <c r="EH180">
        <v>5.00097</v>
      </c>
      <c r="EI180">
        <v>12787.4</v>
      </c>
      <c r="EJ180">
        <v>12492.06666666667</v>
      </c>
      <c r="EK180">
        <v>37.25</v>
      </c>
      <c r="EL180">
        <v>38.687</v>
      </c>
      <c r="EM180">
        <v>37.625</v>
      </c>
      <c r="EN180">
        <v>38.437</v>
      </c>
      <c r="EO180">
        <v>38.125</v>
      </c>
      <c r="EP180">
        <v>1454.7</v>
      </c>
      <c r="EQ180">
        <v>40.35333333333333</v>
      </c>
      <c r="ER180">
        <v>0</v>
      </c>
      <c r="ES180">
        <v>504.6000001430511</v>
      </c>
      <c r="ET180">
        <v>0</v>
      </c>
      <c r="EU180">
        <v>862.9681199999999</v>
      </c>
      <c r="EV180">
        <v>-24.78707686612719</v>
      </c>
      <c r="EW180">
        <v>-367.6615378279861</v>
      </c>
      <c r="EX180">
        <v>12823.064</v>
      </c>
      <c r="EY180">
        <v>15</v>
      </c>
      <c r="EZ180">
        <v>1651864261.1</v>
      </c>
      <c r="FA180" t="s">
        <v>419</v>
      </c>
      <c r="FB180">
        <v>1651864241.6</v>
      </c>
      <c r="FC180">
        <v>1651864261.1</v>
      </c>
      <c r="FD180">
        <v>7</v>
      </c>
      <c r="FE180">
        <v>0.438</v>
      </c>
      <c r="FF180">
        <v>0.002</v>
      </c>
      <c r="FG180">
        <v>-0.988</v>
      </c>
      <c r="FH180">
        <v>-0.066</v>
      </c>
      <c r="FI180">
        <v>400</v>
      </c>
      <c r="FJ180">
        <v>11</v>
      </c>
      <c r="FK180">
        <v>0.05</v>
      </c>
      <c r="FL180">
        <v>0.02</v>
      </c>
      <c r="FM180">
        <v>-5.76488375</v>
      </c>
      <c r="FN180">
        <v>5.576550731707331</v>
      </c>
      <c r="FO180">
        <v>0.5496130860100017</v>
      </c>
      <c r="FP180">
        <v>-1</v>
      </c>
      <c r="FQ180">
        <v>4.427111500000001</v>
      </c>
      <c r="FR180">
        <v>-0.3999532457786049</v>
      </c>
      <c r="FS180">
        <v>0.04066347332373365</v>
      </c>
      <c r="FT180">
        <v>-1</v>
      </c>
      <c r="FU180">
        <v>0</v>
      </c>
      <c r="FV180">
        <v>0</v>
      </c>
      <c r="FW180">
        <v>0</v>
      </c>
      <c r="FX180">
        <v>-1</v>
      </c>
      <c r="FY180">
        <v>0</v>
      </c>
      <c r="FZ180">
        <v>0</v>
      </c>
      <c r="GA180" t="s">
        <v>420</v>
      </c>
      <c r="GB180">
        <v>2.9806</v>
      </c>
      <c r="GC180">
        <v>2.70626</v>
      </c>
      <c r="GD180">
        <v>0.112793</v>
      </c>
      <c r="GE180">
        <v>0.112204</v>
      </c>
      <c r="GF180">
        <v>0.0873695</v>
      </c>
      <c r="GG180">
        <v>0.0707414</v>
      </c>
      <c r="GH180">
        <v>27998.9</v>
      </c>
      <c r="GI180">
        <v>28078.7</v>
      </c>
      <c r="GJ180">
        <v>29344.2</v>
      </c>
      <c r="GK180">
        <v>29258.2</v>
      </c>
      <c r="GL180">
        <v>35461.4</v>
      </c>
      <c r="GM180">
        <v>36210.9</v>
      </c>
      <c r="GN180">
        <v>41303.4</v>
      </c>
      <c r="GO180">
        <v>41760.8</v>
      </c>
      <c r="GP180">
        <v>1.95555</v>
      </c>
      <c r="GQ180">
        <v>1.8501</v>
      </c>
      <c r="GR180">
        <v>-0.0206679</v>
      </c>
      <c r="GS180">
        <v>0</v>
      </c>
      <c r="GT180">
        <v>25.3553</v>
      </c>
      <c r="GU180">
        <v>999.9</v>
      </c>
      <c r="GV180">
        <v>31.6</v>
      </c>
      <c r="GW180">
        <v>34.3</v>
      </c>
      <c r="GX180">
        <v>19.0908</v>
      </c>
      <c r="GY180">
        <v>62.4774</v>
      </c>
      <c r="GZ180">
        <v>34.7756</v>
      </c>
      <c r="HA180">
        <v>1</v>
      </c>
      <c r="HB180">
        <v>0.10813</v>
      </c>
      <c r="HC180">
        <v>2.51421</v>
      </c>
      <c r="HD180">
        <v>20.3155</v>
      </c>
      <c r="HE180">
        <v>5.21789</v>
      </c>
      <c r="HF180">
        <v>12.0099</v>
      </c>
      <c r="HG180">
        <v>4.98885</v>
      </c>
      <c r="HH180">
        <v>3.28865</v>
      </c>
      <c r="HI180">
        <v>998.3</v>
      </c>
      <c r="HJ180">
        <v>9548.9</v>
      </c>
      <c r="HK180">
        <v>5139.4</v>
      </c>
      <c r="HL180">
        <v>24.9</v>
      </c>
      <c r="HM180">
        <v>1.86752</v>
      </c>
      <c r="HN180">
        <v>1.86646</v>
      </c>
      <c r="HO180">
        <v>1.866</v>
      </c>
      <c r="HP180">
        <v>1.86584</v>
      </c>
      <c r="HQ180">
        <v>1.86768</v>
      </c>
      <c r="HR180">
        <v>1.87023</v>
      </c>
      <c r="HS180">
        <v>1.86889</v>
      </c>
      <c r="HT180">
        <v>1.87026</v>
      </c>
      <c r="HU180">
        <v>0</v>
      </c>
      <c r="HV180">
        <v>0</v>
      </c>
      <c r="HW180">
        <v>0</v>
      </c>
      <c r="HX180">
        <v>0</v>
      </c>
      <c r="HY180" t="s">
        <v>421</v>
      </c>
      <c r="HZ180" t="s">
        <v>422</v>
      </c>
      <c r="IA180" t="s">
        <v>423</v>
      </c>
      <c r="IB180" t="s">
        <v>423</v>
      </c>
      <c r="IC180" t="s">
        <v>423</v>
      </c>
      <c r="ID180" t="s">
        <v>423</v>
      </c>
      <c r="IE180">
        <v>0</v>
      </c>
      <c r="IF180">
        <v>100</v>
      </c>
      <c r="IG180">
        <v>100</v>
      </c>
      <c r="IH180">
        <v>-1.237</v>
      </c>
      <c r="II180">
        <v>0.0192</v>
      </c>
      <c r="IJ180">
        <v>-0.2164499368582429</v>
      </c>
      <c r="IK180">
        <v>-0.002077099775823331</v>
      </c>
      <c r="IL180">
        <v>4.593143279902166E-07</v>
      </c>
      <c r="IM180">
        <v>-1.865383991892071E-10</v>
      </c>
      <c r="IN180">
        <v>-0.06087574426827484</v>
      </c>
      <c r="IO180">
        <v>-0.01129461987421345</v>
      </c>
      <c r="IP180">
        <v>0.00116580895745559</v>
      </c>
      <c r="IQ180">
        <v>-1.679085872906199E-05</v>
      </c>
      <c r="IR180">
        <v>2</v>
      </c>
      <c r="IS180">
        <v>2290</v>
      </c>
      <c r="IT180">
        <v>0</v>
      </c>
      <c r="IU180">
        <v>32</v>
      </c>
      <c r="IV180">
        <v>8.1</v>
      </c>
      <c r="IW180">
        <v>7.7</v>
      </c>
      <c r="IX180">
        <v>1.25732</v>
      </c>
      <c r="IY180">
        <v>2.22412</v>
      </c>
      <c r="IZ180">
        <v>1.39648</v>
      </c>
      <c r="JA180">
        <v>2.35596</v>
      </c>
      <c r="JB180">
        <v>1.49536</v>
      </c>
      <c r="JC180">
        <v>2.31689</v>
      </c>
      <c r="JD180">
        <v>38.4769</v>
      </c>
      <c r="JE180">
        <v>24.0262</v>
      </c>
      <c r="JF180">
        <v>18</v>
      </c>
      <c r="JG180">
        <v>511.203</v>
      </c>
      <c r="JH180">
        <v>428.941</v>
      </c>
      <c r="JI180">
        <v>22.1315</v>
      </c>
      <c r="JJ180">
        <v>28.6805</v>
      </c>
      <c r="JK180">
        <v>30.0001</v>
      </c>
      <c r="JL180">
        <v>28.6447</v>
      </c>
      <c r="JM180">
        <v>28.5823</v>
      </c>
      <c r="JN180">
        <v>25.1186</v>
      </c>
      <c r="JO180">
        <v>27.6319</v>
      </c>
      <c r="JP180">
        <v>0</v>
      </c>
      <c r="JQ180">
        <v>22.1151</v>
      </c>
      <c r="JR180">
        <v>526.933</v>
      </c>
      <c r="JS180">
        <v>13.9612</v>
      </c>
      <c r="JT180">
        <v>100.305</v>
      </c>
      <c r="JU180">
        <v>100.229</v>
      </c>
    </row>
    <row r="181" spans="1:281">
      <c r="A181">
        <v>165</v>
      </c>
      <c r="B181">
        <v>1651864727.6</v>
      </c>
      <c r="C181">
        <v>507</v>
      </c>
      <c r="D181" t="s">
        <v>750</v>
      </c>
      <c r="E181" t="s">
        <v>751</v>
      </c>
      <c r="F181">
        <v>2</v>
      </c>
      <c r="G181" t="s">
        <v>413</v>
      </c>
      <c r="H181" t="s">
        <v>414</v>
      </c>
      <c r="I181">
        <v>1651864726.225</v>
      </c>
      <c r="J181">
        <f>(K181)/1000</f>
        <v>0</v>
      </c>
      <c r="K181">
        <f>IF(CZ181, AN181, AH181)</f>
        <v>0</v>
      </c>
      <c r="L181">
        <f>IF(CZ181, AI181, AG181)</f>
        <v>0</v>
      </c>
      <c r="M181">
        <f>DB181 - IF(AU181&gt;1, L181*CV181*100.0/(AW181*DP181), 0)</f>
        <v>0</v>
      </c>
      <c r="N181">
        <f>((T181-J181/2)*M181-L181)/(T181+J181/2)</f>
        <v>0</v>
      </c>
      <c r="O181">
        <f>N181*(DI181+DJ181)/1000.0</f>
        <v>0</v>
      </c>
      <c r="P181">
        <f>(DB181 - IF(AU181&gt;1, L181*CV181*100.0/(AW181*DP181), 0))*(DI181+DJ181)/1000.0</f>
        <v>0</v>
      </c>
      <c r="Q181">
        <f>2.0/((1/S181-1/R181)+SIGN(S181)*SQRT((1/S181-1/R181)*(1/S181-1/R181) + 4*CW181/((CW181+1)*(CW181+1))*(2*1/S181*1/R181-1/R181*1/R181)))</f>
        <v>0</v>
      </c>
      <c r="R181">
        <f>IF(LEFT(CX181,1)&lt;&gt;"0",IF(LEFT(CX181,1)="1",3.0,CY181),$D$5+$E$5*(DP181*DI181/($K$5*1000))+$F$5*(DP181*DI181/($K$5*1000))*MAX(MIN(CV181,$J$5),$I$5)*MAX(MIN(CV181,$J$5),$I$5)+$G$5*MAX(MIN(CV181,$J$5),$I$5)*(DP181*DI181/($K$5*1000))+$H$5*(DP181*DI181/($K$5*1000))*(DP181*DI181/($K$5*1000)))</f>
        <v>0</v>
      </c>
      <c r="S181">
        <f>J181*(1000-(1000*0.61365*exp(17.502*W181/(240.97+W181))/(DI181+DJ181)+DD181)/2)/(1000*0.61365*exp(17.502*W181/(240.97+W181))/(DI181+DJ181)-DD181)</f>
        <v>0</v>
      </c>
      <c r="T181">
        <f>1/((CW181+1)/(Q181/1.6)+1/(R181/1.37)) + CW181/((CW181+1)/(Q181/1.6) + CW181/(R181/1.37))</f>
        <v>0</v>
      </c>
      <c r="U181">
        <f>(CR181*CU181)</f>
        <v>0</v>
      </c>
      <c r="V181">
        <f>(DK181+(U181+2*0.95*5.67E-8*(((DK181+$B$7)+273)^4-(DK181+273)^4)-44100*J181)/(1.84*29.3*R181+8*0.95*5.67E-8*(DK181+273)^3))</f>
        <v>0</v>
      </c>
      <c r="W181">
        <f>($C$7*DL181+$D$7*DM181+$E$7*V181)</f>
        <v>0</v>
      </c>
      <c r="X181">
        <f>0.61365*exp(17.502*W181/(240.97+W181))</f>
        <v>0</v>
      </c>
      <c r="Y181">
        <f>(Z181/AA181*100)</f>
        <v>0</v>
      </c>
      <c r="Z181">
        <f>DD181*(DI181+DJ181)/1000</f>
        <v>0</v>
      </c>
      <c r="AA181">
        <f>0.61365*exp(17.502*DK181/(240.97+DK181))</f>
        <v>0</v>
      </c>
      <c r="AB181">
        <f>(X181-DD181*(DI181+DJ181)/1000)</f>
        <v>0</v>
      </c>
      <c r="AC181">
        <f>(-J181*44100)</f>
        <v>0</v>
      </c>
      <c r="AD181">
        <f>2*29.3*R181*0.92*(DK181-W181)</f>
        <v>0</v>
      </c>
      <c r="AE181">
        <f>2*0.95*5.67E-8*(((DK181+$B$7)+273)^4-(W181+273)^4)</f>
        <v>0</v>
      </c>
      <c r="AF181">
        <f>U181+AE181+AC181+AD181</f>
        <v>0</v>
      </c>
      <c r="AG181">
        <f>DH181*AU181*(DC181-DB181*(1000-AU181*DE181)/(1000-AU181*DD181))/(100*CV181)</f>
        <v>0</v>
      </c>
      <c r="AH181">
        <f>1000*DH181*AU181*(DD181-DE181)/(100*CV181*(1000-AU181*DD181))</f>
        <v>0</v>
      </c>
      <c r="AI181">
        <f>(AJ181 - AK181 - DI181*1E3/(8.314*(DK181+273.15)) * AM181/DH181 * AL181) * DH181/(100*CV181) * (1000 - DE181)/1000</f>
        <v>0</v>
      </c>
      <c r="AJ181">
        <v>556.2107844554506</v>
      </c>
      <c r="AK181">
        <v>546.1491939393941</v>
      </c>
      <c r="AL181">
        <v>-3.321846628199116</v>
      </c>
      <c r="AM181">
        <v>66.38192812717227</v>
      </c>
      <c r="AN181">
        <f>(AP181 - AO181 + DI181*1E3/(8.314*(DK181+273.15)) * AR181/DH181 * AQ181) * DH181/(100*CV181) * 1000/(1000 - AP181)</f>
        <v>0</v>
      </c>
      <c r="AO181">
        <v>13.89508597718859</v>
      </c>
      <c r="AP181">
        <v>18.26641382352941</v>
      </c>
      <c r="AQ181">
        <v>0.00596649969031812</v>
      </c>
      <c r="AR181">
        <v>80.47224507511959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MAX(0,($B$13+$C$13*DP181)/(1+$D$13*DP181)*DI181/(DK181+273)*$E$13)</f>
        <v>0</v>
      </c>
      <c r="AX181" t="s">
        <v>417</v>
      </c>
      <c r="AY181" t="s">
        <v>417</v>
      </c>
      <c r="AZ181">
        <v>0</v>
      </c>
      <c r="BA181">
        <v>0</v>
      </c>
      <c r="BB181">
        <f>1-AZ181/BA181</f>
        <v>0</v>
      </c>
      <c r="BC181">
        <v>0</v>
      </c>
      <c r="BD181" t="s">
        <v>417</v>
      </c>
      <c r="BE181" t="s">
        <v>417</v>
      </c>
      <c r="BF181">
        <v>0</v>
      </c>
      <c r="BG181">
        <v>0</v>
      </c>
      <c r="BH181">
        <f>1-BF181/BG181</f>
        <v>0</v>
      </c>
      <c r="BI181">
        <v>0.5</v>
      </c>
      <c r="BJ181">
        <f>CS181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417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1248</v>
      </c>
      <c r="CA181">
        <v>300</v>
      </c>
      <c r="CB181">
        <v>300</v>
      </c>
      <c r="CC181">
        <v>300</v>
      </c>
      <c r="CD181">
        <v>10442</v>
      </c>
      <c r="CE181">
        <v>1293.69</v>
      </c>
      <c r="CF181">
        <v>-0.00735246</v>
      </c>
      <c r="CG181">
        <v>0.5</v>
      </c>
      <c r="CH181" t="s">
        <v>417</v>
      </c>
      <c r="CI181" t="s">
        <v>417</v>
      </c>
      <c r="CJ181" t="s">
        <v>417</v>
      </c>
      <c r="CK181" t="s">
        <v>417</v>
      </c>
      <c r="CL181" t="s">
        <v>417</v>
      </c>
      <c r="CM181" t="s">
        <v>417</v>
      </c>
      <c r="CN181" t="s">
        <v>417</v>
      </c>
      <c r="CO181" t="s">
        <v>417</v>
      </c>
      <c r="CP181" t="s">
        <v>417</v>
      </c>
      <c r="CQ181" t="s">
        <v>417</v>
      </c>
      <c r="CR181">
        <f>$B$11*DQ181+$C$11*DR181+$F$11*EC181*(1-EF181)</f>
        <v>0</v>
      </c>
      <c r="CS181">
        <f>CR181*CT181</f>
        <v>0</v>
      </c>
      <c r="CT181">
        <f>($B$11*$D$9+$C$11*$D$9+$F$11*((EP181+EH181)/MAX(EP181+EH181+EQ181, 0.1)*$I$9+EQ181/MAX(EP181+EH181+EQ181, 0.1)*$J$9))/($B$11+$C$11+$F$11)</f>
        <v>0</v>
      </c>
      <c r="CU181">
        <f>($B$11*$K$9+$C$11*$K$9+$F$11*((EP181+EH181)/MAX(EP181+EH181+EQ181, 0.1)*$P$9+EQ181/MAX(EP181+EH181+EQ181, 0.1)*$Q$9))/($B$11+$C$11+$F$11)</f>
        <v>0</v>
      </c>
      <c r="CV181">
        <v>6</v>
      </c>
      <c r="CW181">
        <v>0.5</v>
      </c>
      <c r="CX181" t="s">
        <v>418</v>
      </c>
      <c r="CY181">
        <v>2</v>
      </c>
      <c r="CZ181" t="b">
        <v>1</v>
      </c>
      <c r="DA181">
        <v>1651864726.225</v>
      </c>
      <c r="DB181">
        <v>539.0219999999999</v>
      </c>
      <c r="DC181">
        <v>543.80575</v>
      </c>
      <c r="DD181">
        <v>18.2648</v>
      </c>
      <c r="DE181">
        <v>13.897225</v>
      </c>
      <c r="DF181">
        <v>540.25625</v>
      </c>
      <c r="DG181">
        <v>18.2456</v>
      </c>
      <c r="DH181">
        <v>500.0665</v>
      </c>
      <c r="DI181">
        <v>89.93702499999999</v>
      </c>
      <c r="DJ181">
        <v>0.100070225</v>
      </c>
      <c r="DK181">
        <v>25.66625</v>
      </c>
      <c r="DL181">
        <v>25.01635</v>
      </c>
      <c r="DM181">
        <v>999.9</v>
      </c>
      <c r="DN181">
        <v>0</v>
      </c>
      <c r="DO181">
        <v>0</v>
      </c>
      <c r="DP181">
        <v>9998.735000000001</v>
      </c>
      <c r="DQ181">
        <v>0</v>
      </c>
      <c r="DR181">
        <v>3.23193</v>
      </c>
      <c r="DS181">
        <v>-4.783445</v>
      </c>
      <c r="DT181">
        <v>549.05075</v>
      </c>
      <c r="DU181">
        <v>551.4695</v>
      </c>
      <c r="DV181">
        <v>4.367545</v>
      </c>
      <c r="DW181">
        <v>543.80575</v>
      </c>
      <c r="DX181">
        <v>13.897225</v>
      </c>
      <c r="DY181">
        <v>1.64268</v>
      </c>
      <c r="DZ181">
        <v>1.249875</v>
      </c>
      <c r="EA181">
        <v>14.365075</v>
      </c>
      <c r="EB181">
        <v>10.209275</v>
      </c>
      <c r="EC181">
        <v>1499.87</v>
      </c>
      <c r="ED181">
        <v>0.973007</v>
      </c>
      <c r="EE181">
        <v>0.0269931</v>
      </c>
      <c r="EF181">
        <v>0</v>
      </c>
      <c r="EG181">
        <v>860.1395</v>
      </c>
      <c r="EH181">
        <v>5.00097</v>
      </c>
      <c r="EI181">
        <v>12776.7</v>
      </c>
      <c r="EJ181">
        <v>12490.5</v>
      </c>
      <c r="EK181">
        <v>37.25</v>
      </c>
      <c r="EL181">
        <v>38.687</v>
      </c>
      <c r="EM181">
        <v>37.625</v>
      </c>
      <c r="EN181">
        <v>38.437</v>
      </c>
      <c r="EO181">
        <v>38.125</v>
      </c>
      <c r="EP181">
        <v>1454.52</v>
      </c>
      <c r="EQ181">
        <v>40.35</v>
      </c>
      <c r="ER181">
        <v>0</v>
      </c>
      <c r="ES181">
        <v>506.4000000953674</v>
      </c>
      <c r="ET181">
        <v>0</v>
      </c>
      <c r="EU181">
        <v>862.3867307692307</v>
      </c>
      <c r="EV181">
        <v>-24.44940171461527</v>
      </c>
      <c r="EW181">
        <v>-357.8769232287276</v>
      </c>
      <c r="EX181">
        <v>12813.96538461538</v>
      </c>
      <c r="EY181">
        <v>15</v>
      </c>
      <c r="EZ181">
        <v>1651864261.1</v>
      </c>
      <c r="FA181" t="s">
        <v>419</v>
      </c>
      <c r="FB181">
        <v>1651864241.6</v>
      </c>
      <c r="FC181">
        <v>1651864261.1</v>
      </c>
      <c r="FD181">
        <v>7</v>
      </c>
      <c r="FE181">
        <v>0.438</v>
      </c>
      <c r="FF181">
        <v>0.002</v>
      </c>
      <c r="FG181">
        <v>-0.988</v>
      </c>
      <c r="FH181">
        <v>-0.066</v>
      </c>
      <c r="FI181">
        <v>400</v>
      </c>
      <c r="FJ181">
        <v>11</v>
      </c>
      <c r="FK181">
        <v>0.05</v>
      </c>
      <c r="FL181">
        <v>0.02</v>
      </c>
      <c r="FM181">
        <v>-5.491969249999999</v>
      </c>
      <c r="FN181">
        <v>5.035767692307705</v>
      </c>
      <c r="FO181">
        <v>0.4974426055304647</v>
      </c>
      <c r="FP181">
        <v>-1</v>
      </c>
      <c r="FQ181">
        <v>4.41239425</v>
      </c>
      <c r="FR181">
        <v>-0.4194307317073338</v>
      </c>
      <c r="FS181">
        <v>0.04196541128640941</v>
      </c>
      <c r="FT181">
        <v>-1</v>
      </c>
      <c r="FU181">
        <v>0</v>
      </c>
      <c r="FV181">
        <v>0</v>
      </c>
      <c r="FW181">
        <v>0</v>
      </c>
      <c r="FX181">
        <v>-1</v>
      </c>
      <c r="FY181">
        <v>0</v>
      </c>
      <c r="FZ181">
        <v>0</v>
      </c>
      <c r="GA181" t="s">
        <v>420</v>
      </c>
      <c r="GB181">
        <v>2.98052</v>
      </c>
      <c r="GC181">
        <v>2.7061</v>
      </c>
      <c r="GD181">
        <v>0.111811</v>
      </c>
      <c r="GE181">
        <v>0.111211</v>
      </c>
      <c r="GF181">
        <v>0.0873714</v>
      </c>
      <c r="GG181">
        <v>0.0707435</v>
      </c>
      <c r="GH181">
        <v>28029.6</v>
      </c>
      <c r="GI181">
        <v>28110.1</v>
      </c>
      <c r="GJ181">
        <v>29343.8</v>
      </c>
      <c r="GK181">
        <v>29258.1</v>
      </c>
      <c r="GL181">
        <v>35460.8</v>
      </c>
      <c r="GM181">
        <v>36210.8</v>
      </c>
      <c r="GN181">
        <v>41302.8</v>
      </c>
      <c r="GO181">
        <v>41760.7</v>
      </c>
      <c r="GP181">
        <v>1.95557</v>
      </c>
      <c r="GQ181">
        <v>1.84997</v>
      </c>
      <c r="GR181">
        <v>-0.0207126</v>
      </c>
      <c r="GS181">
        <v>0</v>
      </c>
      <c r="GT181">
        <v>25.3564</v>
      </c>
      <c r="GU181">
        <v>999.9</v>
      </c>
      <c r="GV181">
        <v>31.6</v>
      </c>
      <c r="GW181">
        <v>34.3</v>
      </c>
      <c r="GX181">
        <v>19.0901</v>
      </c>
      <c r="GY181">
        <v>62.4274</v>
      </c>
      <c r="GZ181">
        <v>35.2003</v>
      </c>
      <c r="HA181">
        <v>1</v>
      </c>
      <c r="HB181">
        <v>0.10812</v>
      </c>
      <c r="HC181">
        <v>2.5377</v>
      </c>
      <c r="HD181">
        <v>20.3153</v>
      </c>
      <c r="HE181">
        <v>5.21759</v>
      </c>
      <c r="HF181">
        <v>12.0099</v>
      </c>
      <c r="HG181">
        <v>4.9888</v>
      </c>
      <c r="HH181">
        <v>3.28858</v>
      </c>
      <c r="HI181">
        <v>998.3</v>
      </c>
      <c r="HJ181">
        <v>9548.9</v>
      </c>
      <c r="HK181">
        <v>5139.4</v>
      </c>
      <c r="HL181">
        <v>24.9</v>
      </c>
      <c r="HM181">
        <v>1.86752</v>
      </c>
      <c r="HN181">
        <v>1.86646</v>
      </c>
      <c r="HO181">
        <v>1.866</v>
      </c>
      <c r="HP181">
        <v>1.86586</v>
      </c>
      <c r="HQ181">
        <v>1.86768</v>
      </c>
      <c r="HR181">
        <v>1.87024</v>
      </c>
      <c r="HS181">
        <v>1.8689</v>
      </c>
      <c r="HT181">
        <v>1.87026</v>
      </c>
      <c r="HU181">
        <v>0</v>
      </c>
      <c r="HV181">
        <v>0</v>
      </c>
      <c r="HW181">
        <v>0</v>
      </c>
      <c r="HX181">
        <v>0</v>
      </c>
      <c r="HY181" t="s">
        <v>421</v>
      </c>
      <c r="HZ181" t="s">
        <v>422</v>
      </c>
      <c r="IA181" t="s">
        <v>423</v>
      </c>
      <c r="IB181" t="s">
        <v>423</v>
      </c>
      <c r="IC181" t="s">
        <v>423</v>
      </c>
      <c r="ID181" t="s">
        <v>423</v>
      </c>
      <c r="IE181">
        <v>0</v>
      </c>
      <c r="IF181">
        <v>100</v>
      </c>
      <c r="IG181">
        <v>100</v>
      </c>
      <c r="IH181">
        <v>-1.226</v>
      </c>
      <c r="II181">
        <v>0.0192</v>
      </c>
      <c r="IJ181">
        <v>-0.2164499368582429</v>
      </c>
      <c r="IK181">
        <v>-0.002077099775823331</v>
      </c>
      <c r="IL181">
        <v>4.593143279902166E-07</v>
      </c>
      <c r="IM181">
        <v>-1.865383991892071E-10</v>
      </c>
      <c r="IN181">
        <v>-0.06087574426827484</v>
      </c>
      <c r="IO181">
        <v>-0.01129461987421345</v>
      </c>
      <c r="IP181">
        <v>0.00116580895745559</v>
      </c>
      <c r="IQ181">
        <v>-1.679085872906199E-05</v>
      </c>
      <c r="IR181">
        <v>2</v>
      </c>
      <c r="IS181">
        <v>2290</v>
      </c>
      <c r="IT181">
        <v>0</v>
      </c>
      <c r="IU181">
        <v>32</v>
      </c>
      <c r="IV181">
        <v>8.1</v>
      </c>
      <c r="IW181">
        <v>7.8</v>
      </c>
      <c r="IX181">
        <v>1.2439</v>
      </c>
      <c r="IY181">
        <v>2.21802</v>
      </c>
      <c r="IZ181">
        <v>1.39648</v>
      </c>
      <c r="JA181">
        <v>2.35596</v>
      </c>
      <c r="JB181">
        <v>1.49536</v>
      </c>
      <c r="JC181">
        <v>2.32422</v>
      </c>
      <c r="JD181">
        <v>38.5014</v>
      </c>
      <c r="JE181">
        <v>24.035</v>
      </c>
      <c r="JF181">
        <v>18</v>
      </c>
      <c r="JG181">
        <v>511.22</v>
      </c>
      <c r="JH181">
        <v>428.866</v>
      </c>
      <c r="JI181">
        <v>22.124</v>
      </c>
      <c r="JJ181">
        <v>28.6805</v>
      </c>
      <c r="JK181">
        <v>30.0001</v>
      </c>
      <c r="JL181">
        <v>28.6447</v>
      </c>
      <c r="JM181">
        <v>28.5823</v>
      </c>
      <c r="JN181">
        <v>24.8696</v>
      </c>
      <c r="JO181">
        <v>27.6319</v>
      </c>
      <c r="JP181">
        <v>0</v>
      </c>
      <c r="JQ181">
        <v>22.1151</v>
      </c>
      <c r="JR181">
        <v>520.25</v>
      </c>
      <c r="JS181">
        <v>13.9756</v>
      </c>
      <c r="JT181">
        <v>100.303</v>
      </c>
      <c r="JU181">
        <v>100.228</v>
      </c>
    </row>
    <row r="182" spans="1:281">
      <c r="A182">
        <v>166</v>
      </c>
      <c r="B182">
        <v>1651864729.6</v>
      </c>
      <c r="C182">
        <v>509</v>
      </c>
      <c r="D182" t="s">
        <v>752</v>
      </c>
      <c r="E182" t="s">
        <v>753</v>
      </c>
      <c r="F182">
        <v>2</v>
      </c>
      <c r="G182" t="s">
        <v>413</v>
      </c>
      <c r="H182" t="s">
        <v>414</v>
      </c>
      <c r="I182">
        <v>1651864728.6</v>
      </c>
      <c r="J182">
        <f>(K182)/1000</f>
        <v>0</v>
      </c>
      <c r="K182">
        <f>IF(CZ182, AN182, AH182)</f>
        <v>0</v>
      </c>
      <c r="L182">
        <f>IF(CZ182, AI182, AG182)</f>
        <v>0</v>
      </c>
      <c r="M182">
        <f>DB182 - IF(AU182&gt;1, L182*CV182*100.0/(AW182*DP182), 0)</f>
        <v>0</v>
      </c>
      <c r="N182">
        <f>((T182-J182/2)*M182-L182)/(T182+J182/2)</f>
        <v>0</v>
      </c>
      <c r="O182">
        <f>N182*(DI182+DJ182)/1000.0</f>
        <v>0</v>
      </c>
      <c r="P182">
        <f>(DB182 - IF(AU182&gt;1, L182*CV182*100.0/(AW182*DP182), 0))*(DI182+DJ182)/1000.0</f>
        <v>0</v>
      </c>
      <c r="Q182">
        <f>2.0/((1/S182-1/R182)+SIGN(S182)*SQRT((1/S182-1/R182)*(1/S182-1/R182) + 4*CW182/((CW182+1)*(CW182+1))*(2*1/S182*1/R182-1/R182*1/R182)))</f>
        <v>0</v>
      </c>
      <c r="R182">
        <f>IF(LEFT(CX182,1)&lt;&gt;"0",IF(LEFT(CX182,1)="1",3.0,CY182),$D$5+$E$5*(DP182*DI182/($K$5*1000))+$F$5*(DP182*DI182/($K$5*1000))*MAX(MIN(CV182,$J$5),$I$5)*MAX(MIN(CV182,$J$5),$I$5)+$G$5*MAX(MIN(CV182,$J$5),$I$5)*(DP182*DI182/($K$5*1000))+$H$5*(DP182*DI182/($K$5*1000))*(DP182*DI182/($K$5*1000)))</f>
        <v>0</v>
      </c>
      <c r="S182">
        <f>J182*(1000-(1000*0.61365*exp(17.502*W182/(240.97+W182))/(DI182+DJ182)+DD182)/2)/(1000*0.61365*exp(17.502*W182/(240.97+W182))/(DI182+DJ182)-DD182)</f>
        <v>0</v>
      </c>
      <c r="T182">
        <f>1/((CW182+1)/(Q182/1.6)+1/(R182/1.37)) + CW182/((CW182+1)/(Q182/1.6) + CW182/(R182/1.37))</f>
        <v>0</v>
      </c>
      <c r="U182">
        <f>(CR182*CU182)</f>
        <v>0</v>
      </c>
      <c r="V182">
        <f>(DK182+(U182+2*0.95*5.67E-8*(((DK182+$B$7)+273)^4-(DK182+273)^4)-44100*J182)/(1.84*29.3*R182+8*0.95*5.67E-8*(DK182+273)^3))</f>
        <v>0</v>
      </c>
      <c r="W182">
        <f>($C$7*DL182+$D$7*DM182+$E$7*V182)</f>
        <v>0</v>
      </c>
      <c r="X182">
        <f>0.61365*exp(17.502*W182/(240.97+W182))</f>
        <v>0</v>
      </c>
      <c r="Y182">
        <f>(Z182/AA182*100)</f>
        <v>0</v>
      </c>
      <c r="Z182">
        <f>DD182*(DI182+DJ182)/1000</f>
        <v>0</v>
      </c>
      <c r="AA182">
        <f>0.61365*exp(17.502*DK182/(240.97+DK182))</f>
        <v>0</v>
      </c>
      <c r="AB182">
        <f>(X182-DD182*(DI182+DJ182)/1000)</f>
        <v>0</v>
      </c>
      <c r="AC182">
        <f>(-J182*44100)</f>
        <v>0</v>
      </c>
      <c r="AD182">
        <f>2*29.3*R182*0.92*(DK182-W182)</f>
        <v>0</v>
      </c>
      <c r="AE182">
        <f>2*0.95*5.67E-8*(((DK182+$B$7)+273)^4-(W182+273)^4)</f>
        <v>0</v>
      </c>
      <c r="AF182">
        <f>U182+AE182+AC182+AD182</f>
        <v>0</v>
      </c>
      <c r="AG182">
        <f>DH182*AU182*(DC182-DB182*(1000-AU182*DE182)/(1000-AU182*DD182))/(100*CV182)</f>
        <v>0</v>
      </c>
      <c r="AH182">
        <f>1000*DH182*AU182*(DD182-DE182)/(100*CV182*(1000-AU182*DD182))</f>
        <v>0</v>
      </c>
      <c r="AI182">
        <f>(AJ182 - AK182 - DI182*1E3/(8.314*(DK182+273.15)) * AM182/DH182 * AL182) * DH182/(100*CV182) * (1000 - DE182)/1000</f>
        <v>0</v>
      </c>
      <c r="AJ182">
        <v>549.4157423739649</v>
      </c>
      <c r="AK182">
        <v>539.496424242424</v>
      </c>
      <c r="AL182">
        <v>-3.322673556892692</v>
      </c>
      <c r="AM182">
        <v>66.38192812717227</v>
      </c>
      <c r="AN182">
        <f>(AP182 - AO182 + DI182*1E3/(8.314*(DK182+273.15)) * AR182/DH182 * AQ182) * DH182/(100*CV182) * 1000/(1000 - AP182)</f>
        <v>0</v>
      </c>
      <c r="AO182">
        <v>13.89676996657153</v>
      </c>
      <c r="AP182">
        <v>18.26410911764706</v>
      </c>
      <c r="AQ182">
        <v>0.005323009646627519</v>
      </c>
      <c r="AR182">
        <v>80.47224507511959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MAX(0,($B$13+$C$13*DP182)/(1+$D$13*DP182)*DI182/(DK182+273)*$E$13)</f>
        <v>0</v>
      </c>
      <c r="AX182" t="s">
        <v>417</v>
      </c>
      <c r="AY182" t="s">
        <v>417</v>
      </c>
      <c r="AZ182">
        <v>0</v>
      </c>
      <c r="BA182">
        <v>0</v>
      </c>
      <c r="BB182">
        <f>1-AZ182/BA182</f>
        <v>0</v>
      </c>
      <c r="BC182">
        <v>0</v>
      </c>
      <c r="BD182" t="s">
        <v>417</v>
      </c>
      <c r="BE182" t="s">
        <v>417</v>
      </c>
      <c r="BF182">
        <v>0</v>
      </c>
      <c r="BG182">
        <v>0</v>
      </c>
      <c r="BH182">
        <f>1-BF182/BG182</f>
        <v>0</v>
      </c>
      <c r="BI182">
        <v>0.5</v>
      </c>
      <c r="BJ182">
        <f>CS182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417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1248</v>
      </c>
      <c r="CA182">
        <v>300</v>
      </c>
      <c r="CB182">
        <v>300</v>
      </c>
      <c r="CC182">
        <v>300</v>
      </c>
      <c r="CD182">
        <v>10442</v>
      </c>
      <c r="CE182">
        <v>1293.69</v>
      </c>
      <c r="CF182">
        <v>-0.00735246</v>
      </c>
      <c r="CG182">
        <v>0.5</v>
      </c>
      <c r="CH182" t="s">
        <v>417</v>
      </c>
      <c r="CI182" t="s">
        <v>417</v>
      </c>
      <c r="CJ182" t="s">
        <v>417</v>
      </c>
      <c r="CK182" t="s">
        <v>417</v>
      </c>
      <c r="CL182" t="s">
        <v>417</v>
      </c>
      <c r="CM182" t="s">
        <v>417</v>
      </c>
      <c r="CN182" t="s">
        <v>417</v>
      </c>
      <c r="CO182" t="s">
        <v>417</v>
      </c>
      <c r="CP182" t="s">
        <v>417</v>
      </c>
      <c r="CQ182" t="s">
        <v>417</v>
      </c>
      <c r="CR182">
        <f>$B$11*DQ182+$C$11*DR182+$F$11*EC182*(1-EF182)</f>
        <v>0</v>
      </c>
      <c r="CS182">
        <f>CR182*CT182</f>
        <v>0</v>
      </c>
      <c r="CT182">
        <f>($B$11*$D$9+$C$11*$D$9+$F$11*((EP182+EH182)/MAX(EP182+EH182+EQ182, 0.1)*$I$9+EQ182/MAX(EP182+EH182+EQ182, 0.1)*$J$9))/($B$11+$C$11+$F$11)</f>
        <v>0</v>
      </c>
      <c r="CU182">
        <f>($B$11*$K$9+$C$11*$K$9+$F$11*((EP182+EH182)/MAX(EP182+EH182+EQ182, 0.1)*$P$9+EQ182/MAX(EP182+EH182+EQ182, 0.1)*$Q$9))/($B$11+$C$11+$F$11)</f>
        <v>0</v>
      </c>
      <c r="CV182">
        <v>6</v>
      </c>
      <c r="CW182">
        <v>0.5</v>
      </c>
      <c r="CX182" t="s">
        <v>418</v>
      </c>
      <c r="CY182">
        <v>2</v>
      </c>
      <c r="CZ182" t="b">
        <v>1</v>
      </c>
      <c r="DA182">
        <v>1651864728.6</v>
      </c>
      <c r="DB182">
        <v>531.2756666666668</v>
      </c>
      <c r="DC182">
        <v>535.8870000000001</v>
      </c>
      <c r="DD182">
        <v>18.26486666666667</v>
      </c>
      <c r="DE182">
        <v>13.89876666666667</v>
      </c>
      <c r="DF182">
        <v>532.4956666666666</v>
      </c>
      <c r="DG182">
        <v>18.24566666666666</v>
      </c>
      <c r="DH182">
        <v>500.0073333333333</v>
      </c>
      <c r="DI182">
        <v>89.93549999999999</v>
      </c>
      <c r="DJ182">
        <v>0.09990510000000001</v>
      </c>
      <c r="DK182">
        <v>25.6649</v>
      </c>
      <c r="DL182">
        <v>25.01923333333333</v>
      </c>
      <c r="DM182">
        <v>999.9</v>
      </c>
      <c r="DN182">
        <v>0</v>
      </c>
      <c r="DO182">
        <v>0</v>
      </c>
      <c r="DP182">
        <v>10002.69333333333</v>
      </c>
      <c r="DQ182">
        <v>0</v>
      </c>
      <c r="DR182">
        <v>3.23193</v>
      </c>
      <c r="DS182">
        <v>-4.611960000000001</v>
      </c>
      <c r="DT182">
        <v>541.1593333333334</v>
      </c>
      <c r="DU182">
        <v>543.4403333333333</v>
      </c>
      <c r="DV182">
        <v>4.366093333333333</v>
      </c>
      <c r="DW182">
        <v>535.8870000000001</v>
      </c>
      <c r="DX182">
        <v>13.89876666666667</v>
      </c>
      <c r="DY182">
        <v>1.64266</v>
      </c>
      <c r="DZ182">
        <v>1.249993333333333</v>
      </c>
      <c r="EA182">
        <v>14.3649</v>
      </c>
      <c r="EB182">
        <v>10.21066666666667</v>
      </c>
      <c r="EC182">
        <v>1499.86</v>
      </c>
      <c r="ED182">
        <v>0.973007</v>
      </c>
      <c r="EE182">
        <v>0.0269931</v>
      </c>
      <c r="EF182">
        <v>0</v>
      </c>
      <c r="EG182">
        <v>859.0999999999999</v>
      </c>
      <c r="EH182">
        <v>5.00097</v>
      </c>
      <c r="EI182">
        <v>12763.2</v>
      </c>
      <c r="EJ182">
        <v>12490.5</v>
      </c>
      <c r="EK182">
        <v>37.25</v>
      </c>
      <c r="EL182">
        <v>38.687</v>
      </c>
      <c r="EM182">
        <v>37.625</v>
      </c>
      <c r="EN182">
        <v>38.437</v>
      </c>
      <c r="EO182">
        <v>38.125</v>
      </c>
      <c r="EP182">
        <v>1454.51</v>
      </c>
      <c r="EQ182">
        <v>40.35</v>
      </c>
      <c r="ER182">
        <v>0</v>
      </c>
      <c r="ES182">
        <v>508.2000000476837</v>
      </c>
      <c r="ET182">
        <v>0</v>
      </c>
      <c r="EU182">
        <v>861.53432</v>
      </c>
      <c r="EV182">
        <v>-22.94753841724156</v>
      </c>
      <c r="EW182">
        <v>-350.5846147318572</v>
      </c>
      <c r="EX182">
        <v>12801.428</v>
      </c>
      <c r="EY182">
        <v>15</v>
      </c>
      <c r="EZ182">
        <v>1651864261.1</v>
      </c>
      <c r="FA182" t="s">
        <v>419</v>
      </c>
      <c r="FB182">
        <v>1651864241.6</v>
      </c>
      <c r="FC182">
        <v>1651864261.1</v>
      </c>
      <c r="FD182">
        <v>7</v>
      </c>
      <c r="FE182">
        <v>0.438</v>
      </c>
      <c r="FF182">
        <v>0.002</v>
      </c>
      <c r="FG182">
        <v>-0.988</v>
      </c>
      <c r="FH182">
        <v>-0.066</v>
      </c>
      <c r="FI182">
        <v>400</v>
      </c>
      <c r="FJ182">
        <v>11</v>
      </c>
      <c r="FK182">
        <v>0.05</v>
      </c>
      <c r="FL182">
        <v>0.02</v>
      </c>
      <c r="FM182">
        <v>-5.400630250000001</v>
      </c>
      <c r="FN182">
        <v>4.813893545966231</v>
      </c>
      <c r="FO182">
        <v>0.4742841821128315</v>
      </c>
      <c r="FP182">
        <v>-1</v>
      </c>
      <c r="FQ182">
        <v>4.407356999999999</v>
      </c>
      <c r="FR182">
        <v>-0.4059133958724219</v>
      </c>
      <c r="FS182">
        <v>0.04105316615073676</v>
      </c>
      <c r="FT182">
        <v>-1</v>
      </c>
      <c r="FU182">
        <v>0</v>
      </c>
      <c r="FV182">
        <v>0</v>
      </c>
      <c r="FW182">
        <v>0</v>
      </c>
      <c r="FX182">
        <v>-1</v>
      </c>
      <c r="FY182">
        <v>0</v>
      </c>
      <c r="FZ182">
        <v>0</v>
      </c>
      <c r="GA182" t="s">
        <v>420</v>
      </c>
      <c r="GB182">
        <v>2.9805</v>
      </c>
      <c r="GC182">
        <v>2.70606</v>
      </c>
      <c r="GD182">
        <v>0.110825</v>
      </c>
      <c r="GE182">
        <v>0.110221</v>
      </c>
      <c r="GF182">
        <v>0.08736770000000001</v>
      </c>
      <c r="GG182">
        <v>0.0707479</v>
      </c>
      <c r="GH182">
        <v>28060.7</v>
      </c>
      <c r="GI182">
        <v>28141.3</v>
      </c>
      <c r="GJ182">
        <v>29343.7</v>
      </c>
      <c r="GK182">
        <v>29258.1</v>
      </c>
      <c r="GL182">
        <v>35461</v>
      </c>
      <c r="GM182">
        <v>36210.5</v>
      </c>
      <c r="GN182">
        <v>41302.9</v>
      </c>
      <c r="GO182">
        <v>41760.7</v>
      </c>
      <c r="GP182">
        <v>1.95553</v>
      </c>
      <c r="GQ182">
        <v>1.84988</v>
      </c>
      <c r="GR182">
        <v>-0.0203848</v>
      </c>
      <c r="GS182">
        <v>0</v>
      </c>
      <c r="GT182">
        <v>25.3567</v>
      </c>
      <c r="GU182">
        <v>999.9</v>
      </c>
      <c r="GV182">
        <v>31.6</v>
      </c>
      <c r="GW182">
        <v>34.3</v>
      </c>
      <c r="GX182">
        <v>19.0913</v>
      </c>
      <c r="GY182">
        <v>62.3774</v>
      </c>
      <c r="GZ182">
        <v>34.8357</v>
      </c>
      <c r="HA182">
        <v>1</v>
      </c>
      <c r="HB182">
        <v>0.108201</v>
      </c>
      <c r="HC182">
        <v>2.52752</v>
      </c>
      <c r="HD182">
        <v>20.3155</v>
      </c>
      <c r="HE182">
        <v>5.21759</v>
      </c>
      <c r="HF182">
        <v>12.0099</v>
      </c>
      <c r="HG182">
        <v>4.989</v>
      </c>
      <c r="HH182">
        <v>3.28858</v>
      </c>
      <c r="HI182">
        <v>998.3</v>
      </c>
      <c r="HJ182">
        <v>9548.9</v>
      </c>
      <c r="HK182">
        <v>5139.4</v>
      </c>
      <c r="HL182">
        <v>24.9</v>
      </c>
      <c r="HM182">
        <v>1.86752</v>
      </c>
      <c r="HN182">
        <v>1.86646</v>
      </c>
      <c r="HO182">
        <v>1.866</v>
      </c>
      <c r="HP182">
        <v>1.86587</v>
      </c>
      <c r="HQ182">
        <v>1.86768</v>
      </c>
      <c r="HR182">
        <v>1.87022</v>
      </c>
      <c r="HS182">
        <v>1.8689</v>
      </c>
      <c r="HT182">
        <v>1.87026</v>
      </c>
      <c r="HU182">
        <v>0</v>
      </c>
      <c r="HV182">
        <v>0</v>
      </c>
      <c r="HW182">
        <v>0</v>
      </c>
      <c r="HX182">
        <v>0</v>
      </c>
      <c r="HY182" t="s">
        <v>421</v>
      </c>
      <c r="HZ182" t="s">
        <v>422</v>
      </c>
      <c r="IA182" t="s">
        <v>423</v>
      </c>
      <c r="IB182" t="s">
        <v>423</v>
      </c>
      <c r="IC182" t="s">
        <v>423</v>
      </c>
      <c r="ID182" t="s">
        <v>423</v>
      </c>
      <c r="IE182">
        <v>0</v>
      </c>
      <c r="IF182">
        <v>100</v>
      </c>
      <c r="IG182">
        <v>100</v>
      </c>
      <c r="IH182">
        <v>-1.215</v>
      </c>
      <c r="II182">
        <v>0.0191</v>
      </c>
      <c r="IJ182">
        <v>-0.2164499368582429</v>
      </c>
      <c r="IK182">
        <v>-0.002077099775823331</v>
      </c>
      <c r="IL182">
        <v>4.593143279902166E-07</v>
      </c>
      <c r="IM182">
        <v>-1.865383991892071E-10</v>
      </c>
      <c r="IN182">
        <v>-0.06087574426827484</v>
      </c>
      <c r="IO182">
        <v>-0.01129461987421345</v>
      </c>
      <c r="IP182">
        <v>0.00116580895745559</v>
      </c>
      <c r="IQ182">
        <v>-1.679085872906199E-05</v>
      </c>
      <c r="IR182">
        <v>2</v>
      </c>
      <c r="IS182">
        <v>2290</v>
      </c>
      <c r="IT182">
        <v>0</v>
      </c>
      <c r="IU182">
        <v>32</v>
      </c>
      <c r="IV182">
        <v>8.1</v>
      </c>
      <c r="IW182">
        <v>7.8</v>
      </c>
      <c r="IX182">
        <v>1.23169</v>
      </c>
      <c r="IY182">
        <v>2.22046</v>
      </c>
      <c r="IZ182">
        <v>1.39648</v>
      </c>
      <c r="JA182">
        <v>2.35596</v>
      </c>
      <c r="JB182">
        <v>1.49536</v>
      </c>
      <c r="JC182">
        <v>2.37305</v>
      </c>
      <c r="JD182">
        <v>38.4769</v>
      </c>
      <c r="JE182">
        <v>24.035</v>
      </c>
      <c r="JF182">
        <v>18</v>
      </c>
      <c r="JG182">
        <v>511.187</v>
      </c>
      <c r="JH182">
        <v>428.806</v>
      </c>
      <c r="JI182">
        <v>22.1148</v>
      </c>
      <c r="JJ182">
        <v>28.6805</v>
      </c>
      <c r="JK182">
        <v>30.0002</v>
      </c>
      <c r="JL182">
        <v>28.6447</v>
      </c>
      <c r="JM182">
        <v>28.5823</v>
      </c>
      <c r="JN182">
        <v>24.618</v>
      </c>
      <c r="JO182">
        <v>27.6319</v>
      </c>
      <c r="JP182">
        <v>0</v>
      </c>
      <c r="JQ182">
        <v>22.0978</v>
      </c>
      <c r="JR182">
        <v>513.573</v>
      </c>
      <c r="JS182">
        <v>13.987</v>
      </c>
      <c r="JT182">
        <v>100.303</v>
      </c>
      <c r="JU182">
        <v>100.228</v>
      </c>
    </row>
    <row r="183" spans="1:281">
      <c r="A183">
        <v>167</v>
      </c>
      <c r="B183">
        <v>1651864731.6</v>
      </c>
      <c r="C183">
        <v>511</v>
      </c>
      <c r="D183" t="s">
        <v>754</v>
      </c>
      <c r="E183" t="s">
        <v>755</v>
      </c>
      <c r="F183">
        <v>2</v>
      </c>
      <c r="G183" t="s">
        <v>413</v>
      </c>
      <c r="H183" t="s">
        <v>414</v>
      </c>
      <c r="I183">
        <v>1651864730.225</v>
      </c>
      <c r="J183">
        <f>(K183)/1000</f>
        <v>0</v>
      </c>
      <c r="K183">
        <f>IF(CZ183, AN183, AH183)</f>
        <v>0</v>
      </c>
      <c r="L183">
        <f>IF(CZ183, AI183, AG183)</f>
        <v>0</v>
      </c>
      <c r="M183">
        <f>DB183 - IF(AU183&gt;1, L183*CV183*100.0/(AW183*DP183), 0)</f>
        <v>0</v>
      </c>
      <c r="N183">
        <f>((T183-J183/2)*M183-L183)/(T183+J183/2)</f>
        <v>0</v>
      </c>
      <c r="O183">
        <f>N183*(DI183+DJ183)/1000.0</f>
        <v>0</v>
      </c>
      <c r="P183">
        <f>(DB183 - IF(AU183&gt;1, L183*CV183*100.0/(AW183*DP183), 0))*(DI183+DJ183)/1000.0</f>
        <v>0</v>
      </c>
      <c r="Q183">
        <f>2.0/((1/S183-1/R183)+SIGN(S183)*SQRT((1/S183-1/R183)*(1/S183-1/R183) + 4*CW183/((CW183+1)*(CW183+1))*(2*1/S183*1/R183-1/R183*1/R183)))</f>
        <v>0</v>
      </c>
      <c r="R183">
        <f>IF(LEFT(CX183,1)&lt;&gt;"0",IF(LEFT(CX183,1)="1",3.0,CY183),$D$5+$E$5*(DP183*DI183/($K$5*1000))+$F$5*(DP183*DI183/($K$5*1000))*MAX(MIN(CV183,$J$5),$I$5)*MAX(MIN(CV183,$J$5),$I$5)+$G$5*MAX(MIN(CV183,$J$5),$I$5)*(DP183*DI183/($K$5*1000))+$H$5*(DP183*DI183/($K$5*1000))*(DP183*DI183/($K$5*1000)))</f>
        <v>0</v>
      </c>
      <c r="S183">
        <f>J183*(1000-(1000*0.61365*exp(17.502*W183/(240.97+W183))/(DI183+DJ183)+DD183)/2)/(1000*0.61365*exp(17.502*W183/(240.97+W183))/(DI183+DJ183)-DD183)</f>
        <v>0</v>
      </c>
      <c r="T183">
        <f>1/((CW183+1)/(Q183/1.6)+1/(R183/1.37)) + CW183/((CW183+1)/(Q183/1.6) + CW183/(R183/1.37))</f>
        <v>0</v>
      </c>
      <c r="U183">
        <f>(CR183*CU183)</f>
        <v>0</v>
      </c>
      <c r="V183">
        <f>(DK183+(U183+2*0.95*5.67E-8*(((DK183+$B$7)+273)^4-(DK183+273)^4)-44100*J183)/(1.84*29.3*R183+8*0.95*5.67E-8*(DK183+273)^3))</f>
        <v>0</v>
      </c>
      <c r="W183">
        <f>($C$7*DL183+$D$7*DM183+$E$7*V183)</f>
        <v>0</v>
      </c>
      <c r="X183">
        <f>0.61365*exp(17.502*W183/(240.97+W183))</f>
        <v>0</v>
      </c>
      <c r="Y183">
        <f>(Z183/AA183*100)</f>
        <v>0</v>
      </c>
      <c r="Z183">
        <f>DD183*(DI183+DJ183)/1000</f>
        <v>0</v>
      </c>
      <c r="AA183">
        <f>0.61365*exp(17.502*DK183/(240.97+DK183))</f>
        <v>0</v>
      </c>
      <c r="AB183">
        <f>(X183-DD183*(DI183+DJ183)/1000)</f>
        <v>0</v>
      </c>
      <c r="AC183">
        <f>(-J183*44100)</f>
        <v>0</v>
      </c>
      <c r="AD183">
        <f>2*29.3*R183*0.92*(DK183-W183)</f>
        <v>0</v>
      </c>
      <c r="AE183">
        <f>2*0.95*5.67E-8*(((DK183+$B$7)+273)^4-(W183+273)^4)</f>
        <v>0</v>
      </c>
      <c r="AF183">
        <f>U183+AE183+AC183+AD183</f>
        <v>0</v>
      </c>
      <c r="AG183">
        <f>DH183*AU183*(DC183-DB183*(1000-AU183*DE183)/(1000-AU183*DD183))/(100*CV183)</f>
        <v>0</v>
      </c>
      <c r="AH183">
        <f>1000*DH183*AU183*(DD183-DE183)/(100*CV183*(1000-AU183*DD183))</f>
        <v>0</v>
      </c>
      <c r="AI183">
        <f>(AJ183 - AK183 - DI183*1E3/(8.314*(DK183+273.15)) * AM183/DH183 * AL183) * DH183/(100*CV183) * (1000 - DE183)/1000</f>
        <v>0</v>
      </c>
      <c r="AJ183">
        <v>542.6601479711261</v>
      </c>
      <c r="AK183">
        <v>532.8745939393938</v>
      </c>
      <c r="AL183">
        <v>-3.31471403702583</v>
      </c>
      <c r="AM183">
        <v>66.38192812717227</v>
      </c>
      <c r="AN183">
        <f>(AP183 - AO183 + DI183*1E3/(8.314*(DK183+273.15)) * AR183/DH183 * AQ183) * DH183/(100*CV183) * 1000/(1000 - AP183)</f>
        <v>0</v>
      </c>
      <c r="AO183">
        <v>13.89782719591872</v>
      </c>
      <c r="AP183">
        <v>18.26449088235294</v>
      </c>
      <c r="AQ183">
        <v>0.0008860067581247718</v>
      </c>
      <c r="AR183">
        <v>80.47224507511959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MAX(0,($B$13+$C$13*DP183)/(1+$D$13*DP183)*DI183/(DK183+273)*$E$13)</f>
        <v>0</v>
      </c>
      <c r="AX183" t="s">
        <v>417</v>
      </c>
      <c r="AY183" t="s">
        <v>417</v>
      </c>
      <c r="AZ183">
        <v>0</v>
      </c>
      <c r="BA183">
        <v>0</v>
      </c>
      <c r="BB183">
        <f>1-AZ183/BA183</f>
        <v>0</v>
      </c>
      <c r="BC183">
        <v>0</v>
      </c>
      <c r="BD183" t="s">
        <v>417</v>
      </c>
      <c r="BE183" t="s">
        <v>417</v>
      </c>
      <c r="BF183">
        <v>0</v>
      </c>
      <c r="BG183">
        <v>0</v>
      </c>
      <c r="BH183">
        <f>1-BF183/BG183</f>
        <v>0</v>
      </c>
      <c r="BI183">
        <v>0.5</v>
      </c>
      <c r="BJ183">
        <f>CS183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417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1248</v>
      </c>
      <c r="CA183">
        <v>300</v>
      </c>
      <c r="CB183">
        <v>300</v>
      </c>
      <c r="CC183">
        <v>300</v>
      </c>
      <c r="CD183">
        <v>10442</v>
      </c>
      <c r="CE183">
        <v>1293.69</v>
      </c>
      <c r="CF183">
        <v>-0.00735246</v>
      </c>
      <c r="CG183">
        <v>0.5</v>
      </c>
      <c r="CH183" t="s">
        <v>417</v>
      </c>
      <c r="CI183" t="s">
        <v>417</v>
      </c>
      <c r="CJ183" t="s">
        <v>417</v>
      </c>
      <c r="CK183" t="s">
        <v>417</v>
      </c>
      <c r="CL183" t="s">
        <v>417</v>
      </c>
      <c r="CM183" t="s">
        <v>417</v>
      </c>
      <c r="CN183" t="s">
        <v>417</v>
      </c>
      <c r="CO183" t="s">
        <v>417</v>
      </c>
      <c r="CP183" t="s">
        <v>417</v>
      </c>
      <c r="CQ183" t="s">
        <v>417</v>
      </c>
      <c r="CR183">
        <f>$B$11*DQ183+$C$11*DR183+$F$11*EC183*(1-EF183)</f>
        <v>0</v>
      </c>
      <c r="CS183">
        <f>CR183*CT183</f>
        <v>0</v>
      </c>
      <c r="CT183">
        <f>($B$11*$D$9+$C$11*$D$9+$F$11*((EP183+EH183)/MAX(EP183+EH183+EQ183, 0.1)*$I$9+EQ183/MAX(EP183+EH183+EQ183, 0.1)*$J$9))/($B$11+$C$11+$F$11)</f>
        <v>0</v>
      </c>
      <c r="CU183">
        <f>($B$11*$K$9+$C$11*$K$9+$F$11*((EP183+EH183)/MAX(EP183+EH183+EQ183, 0.1)*$P$9+EQ183/MAX(EP183+EH183+EQ183, 0.1)*$Q$9))/($B$11+$C$11+$F$11)</f>
        <v>0</v>
      </c>
      <c r="CV183">
        <v>6</v>
      </c>
      <c r="CW183">
        <v>0.5</v>
      </c>
      <c r="CX183" t="s">
        <v>418</v>
      </c>
      <c r="CY183">
        <v>2</v>
      </c>
      <c r="CZ183" t="b">
        <v>1</v>
      </c>
      <c r="DA183">
        <v>1651864730.225</v>
      </c>
      <c r="DB183">
        <v>525.98675</v>
      </c>
      <c r="DC183">
        <v>530.5062499999999</v>
      </c>
      <c r="DD183">
        <v>18.2652</v>
      </c>
      <c r="DE183">
        <v>13.8994</v>
      </c>
      <c r="DF183">
        <v>527.1975</v>
      </c>
      <c r="DG183">
        <v>18.246025</v>
      </c>
      <c r="DH183">
        <v>500.02925</v>
      </c>
      <c r="DI183">
        <v>89.93415</v>
      </c>
      <c r="DJ183">
        <v>0.100024975</v>
      </c>
      <c r="DK183">
        <v>25.66285</v>
      </c>
      <c r="DL183">
        <v>25.020775</v>
      </c>
      <c r="DM183">
        <v>999.9</v>
      </c>
      <c r="DN183">
        <v>0</v>
      </c>
      <c r="DO183">
        <v>0</v>
      </c>
      <c r="DP183">
        <v>9990.314999999999</v>
      </c>
      <c r="DQ183">
        <v>0</v>
      </c>
      <c r="DR183">
        <v>3.23193</v>
      </c>
      <c r="DS183">
        <v>-4.519745</v>
      </c>
      <c r="DT183">
        <v>535.7725</v>
      </c>
      <c r="DU183">
        <v>537.98375</v>
      </c>
      <c r="DV183">
        <v>4.3657825</v>
      </c>
      <c r="DW183">
        <v>530.5062499999999</v>
      </c>
      <c r="DX183">
        <v>13.8994</v>
      </c>
      <c r="DY183">
        <v>1.642665</v>
      </c>
      <c r="DZ183">
        <v>1.2500325</v>
      </c>
      <c r="EA183">
        <v>14.364975</v>
      </c>
      <c r="EB183">
        <v>10.211125</v>
      </c>
      <c r="EC183">
        <v>1499.9425</v>
      </c>
      <c r="ED183">
        <v>0.9730019999999999</v>
      </c>
      <c r="EE183">
        <v>0.02699805</v>
      </c>
      <c r="EF183">
        <v>0</v>
      </c>
      <c r="EG183">
        <v>858.5477500000001</v>
      </c>
      <c r="EH183">
        <v>5.00097</v>
      </c>
      <c r="EI183">
        <v>12755.275</v>
      </c>
      <c r="EJ183">
        <v>12491.15</v>
      </c>
      <c r="EK183">
        <v>37.25</v>
      </c>
      <c r="EL183">
        <v>38.687</v>
      </c>
      <c r="EM183">
        <v>37.625</v>
      </c>
      <c r="EN183">
        <v>38.437</v>
      </c>
      <c r="EO183">
        <v>38.125</v>
      </c>
      <c r="EP183">
        <v>1454.5825</v>
      </c>
      <c r="EQ183">
        <v>40.36</v>
      </c>
      <c r="ER183">
        <v>0</v>
      </c>
      <c r="ES183">
        <v>510.6000001430511</v>
      </c>
      <c r="ET183">
        <v>0</v>
      </c>
      <c r="EU183">
        <v>860.6368000000001</v>
      </c>
      <c r="EV183">
        <v>-21.98846149778082</v>
      </c>
      <c r="EW183">
        <v>-331.6384609862916</v>
      </c>
      <c r="EX183">
        <v>12787.876</v>
      </c>
      <c r="EY183">
        <v>15</v>
      </c>
      <c r="EZ183">
        <v>1651864261.1</v>
      </c>
      <c r="FA183" t="s">
        <v>419</v>
      </c>
      <c r="FB183">
        <v>1651864241.6</v>
      </c>
      <c r="FC183">
        <v>1651864261.1</v>
      </c>
      <c r="FD183">
        <v>7</v>
      </c>
      <c r="FE183">
        <v>0.438</v>
      </c>
      <c r="FF183">
        <v>0.002</v>
      </c>
      <c r="FG183">
        <v>-0.988</v>
      </c>
      <c r="FH183">
        <v>-0.066</v>
      </c>
      <c r="FI183">
        <v>400</v>
      </c>
      <c r="FJ183">
        <v>11</v>
      </c>
      <c r="FK183">
        <v>0.05</v>
      </c>
      <c r="FL183">
        <v>0.02</v>
      </c>
      <c r="FM183">
        <v>-5.1444395</v>
      </c>
      <c r="FN183">
        <v>4.139495459662295</v>
      </c>
      <c r="FO183">
        <v>0.4006070952438936</v>
      </c>
      <c r="FP183">
        <v>-1</v>
      </c>
      <c r="FQ183">
        <v>4.39205175</v>
      </c>
      <c r="FR183">
        <v>-0.313347354596631</v>
      </c>
      <c r="FS183">
        <v>0.03409151792510127</v>
      </c>
      <c r="FT183">
        <v>-1</v>
      </c>
      <c r="FU183">
        <v>0</v>
      </c>
      <c r="FV183">
        <v>0</v>
      </c>
      <c r="FW183">
        <v>0</v>
      </c>
      <c r="FX183">
        <v>-1</v>
      </c>
      <c r="FY183">
        <v>0</v>
      </c>
      <c r="FZ183">
        <v>0</v>
      </c>
      <c r="GA183" t="s">
        <v>420</v>
      </c>
      <c r="GB183">
        <v>2.98056</v>
      </c>
      <c r="GC183">
        <v>2.70607</v>
      </c>
      <c r="GD183">
        <v>0.109835</v>
      </c>
      <c r="GE183">
        <v>0.109232</v>
      </c>
      <c r="GF183">
        <v>0.087371</v>
      </c>
      <c r="GG183">
        <v>0.0707478</v>
      </c>
      <c r="GH183">
        <v>28091.7</v>
      </c>
      <c r="GI183">
        <v>28172.8</v>
      </c>
      <c r="GJ183">
        <v>29343.5</v>
      </c>
      <c r="GK183">
        <v>29258.3</v>
      </c>
      <c r="GL183">
        <v>35461</v>
      </c>
      <c r="GM183">
        <v>36210.8</v>
      </c>
      <c r="GN183">
        <v>41303.1</v>
      </c>
      <c r="GO183">
        <v>41761</v>
      </c>
      <c r="GP183">
        <v>1.9555</v>
      </c>
      <c r="GQ183">
        <v>1.84982</v>
      </c>
      <c r="GR183">
        <v>-0.0208467</v>
      </c>
      <c r="GS183">
        <v>0</v>
      </c>
      <c r="GT183">
        <v>25.3569</v>
      </c>
      <c r="GU183">
        <v>999.9</v>
      </c>
      <c r="GV183">
        <v>31.6</v>
      </c>
      <c r="GW183">
        <v>34.3</v>
      </c>
      <c r="GX183">
        <v>19.0897</v>
      </c>
      <c r="GY183">
        <v>62.3574</v>
      </c>
      <c r="GZ183">
        <v>34.9639</v>
      </c>
      <c r="HA183">
        <v>1</v>
      </c>
      <c r="HB183">
        <v>0.108237</v>
      </c>
      <c r="HC183">
        <v>2.53705</v>
      </c>
      <c r="HD183">
        <v>20.3154</v>
      </c>
      <c r="HE183">
        <v>5.21774</v>
      </c>
      <c r="HF183">
        <v>12.0099</v>
      </c>
      <c r="HG183">
        <v>4.98895</v>
      </c>
      <c r="HH183">
        <v>3.28858</v>
      </c>
      <c r="HI183">
        <v>998.5</v>
      </c>
      <c r="HJ183">
        <v>9549.799999999999</v>
      </c>
      <c r="HK183">
        <v>5139.4</v>
      </c>
      <c r="HL183">
        <v>24.9</v>
      </c>
      <c r="HM183">
        <v>1.86751</v>
      </c>
      <c r="HN183">
        <v>1.86646</v>
      </c>
      <c r="HO183">
        <v>1.866</v>
      </c>
      <c r="HP183">
        <v>1.86585</v>
      </c>
      <c r="HQ183">
        <v>1.8677</v>
      </c>
      <c r="HR183">
        <v>1.87021</v>
      </c>
      <c r="HS183">
        <v>1.8689</v>
      </c>
      <c r="HT183">
        <v>1.87026</v>
      </c>
      <c r="HU183">
        <v>0</v>
      </c>
      <c r="HV183">
        <v>0</v>
      </c>
      <c r="HW183">
        <v>0</v>
      </c>
      <c r="HX183">
        <v>0</v>
      </c>
      <c r="HY183" t="s">
        <v>421</v>
      </c>
      <c r="HZ183" t="s">
        <v>422</v>
      </c>
      <c r="IA183" t="s">
        <v>423</v>
      </c>
      <c r="IB183" t="s">
        <v>423</v>
      </c>
      <c r="IC183" t="s">
        <v>423</v>
      </c>
      <c r="ID183" t="s">
        <v>423</v>
      </c>
      <c r="IE183">
        <v>0</v>
      </c>
      <c r="IF183">
        <v>100</v>
      </c>
      <c r="IG183">
        <v>100</v>
      </c>
      <c r="IH183">
        <v>-1.204</v>
      </c>
      <c r="II183">
        <v>0.0192</v>
      </c>
      <c r="IJ183">
        <v>-0.2164499368582429</v>
      </c>
      <c r="IK183">
        <v>-0.002077099775823331</v>
      </c>
      <c r="IL183">
        <v>4.593143279902166E-07</v>
      </c>
      <c r="IM183">
        <v>-1.865383991892071E-10</v>
      </c>
      <c r="IN183">
        <v>-0.06087574426827484</v>
      </c>
      <c r="IO183">
        <v>-0.01129461987421345</v>
      </c>
      <c r="IP183">
        <v>0.00116580895745559</v>
      </c>
      <c r="IQ183">
        <v>-1.679085872906199E-05</v>
      </c>
      <c r="IR183">
        <v>2</v>
      </c>
      <c r="IS183">
        <v>2290</v>
      </c>
      <c r="IT183">
        <v>0</v>
      </c>
      <c r="IU183">
        <v>32</v>
      </c>
      <c r="IV183">
        <v>8.199999999999999</v>
      </c>
      <c r="IW183">
        <v>7.8</v>
      </c>
      <c r="IX183">
        <v>1.21948</v>
      </c>
      <c r="IY183">
        <v>2.22778</v>
      </c>
      <c r="IZ183">
        <v>1.39648</v>
      </c>
      <c r="JA183">
        <v>2.35718</v>
      </c>
      <c r="JB183">
        <v>1.49536</v>
      </c>
      <c r="JC183">
        <v>2.27661</v>
      </c>
      <c r="JD183">
        <v>38.4769</v>
      </c>
      <c r="JE183">
        <v>24.0262</v>
      </c>
      <c r="JF183">
        <v>18</v>
      </c>
      <c r="JG183">
        <v>511.171</v>
      </c>
      <c r="JH183">
        <v>428.777</v>
      </c>
      <c r="JI183">
        <v>22.1072</v>
      </c>
      <c r="JJ183">
        <v>28.6809</v>
      </c>
      <c r="JK183">
        <v>30.0003</v>
      </c>
      <c r="JL183">
        <v>28.6447</v>
      </c>
      <c r="JM183">
        <v>28.5823</v>
      </c>
      <c r="JN183">
        <v>24.3661</v>
      </c>
      <c r="JO183">
        <v>27.3501</v>
      </c>
      <c r="JP183">
        <v>0</v>
      </c>
      <c r="JQ183">
        <v>22.0978</v>
      </c>
      <c r="JR183">
        <v>506.89</v>
      </c>
      <c r="JS183">
        <v>13.9991</v>
      </c>
      <c r="JT183">
        <v>100.303</v>
      </c>
      <c r="JU183">
        <v>100.229</v>
      </c>
    </row>
    <row r="184" spans="1:281">
      <c r="A184">
        <v>168</v>
      </c>
      <c r="B184">
        <v>1651864733.6</v>
      </c>
      <c r="C184">
        <v>513</v>
      </c>
      <c r="D184" t="s">
        <v>756</v>
      </c>
      <c r="E184" t="s">
        <v>757</v>
      </c>
      <c r="F184">
        <v>2</v>
      </c>
      <c r="G184" t="s">
        <v>413</v>
      </c>
      <c r="H184" t="s">
        <v>414</v>
      </c>
      <c r="I184">
        <v>1651864732.6</v>
      </c>
      <c r="J184">
        <f>(K184)/1000</f>
        <v>0</v>
      </c>
      <c r="K184">
        <f>IF(CZ184, AN184, AH184)</f>
        <v>0</v>
      </c>
      <c r="L184">
        <f>IF(CZ184, AI184, AG184)</f>
        <v>0</v>
      </c>
      <c r="M184">
        <f>DB184 - IF(AU184&gt;1, L184*CV184*100.0/(AW184*DP184), 0)</f>
        <v>0</v>
      </c>
      <c r="N184">
        <f>((T184-J184/2)*M184-L184)/(T184+J184/2)</f>
        <v>0</v>
      </c>
      <c r="O184">
        <f>N184*(DI184+DJ184)/1000.0</f>
        <v>0</v>
      </c>
      <c r="P184">
        <f>(DB184 - IF(AU184&gt;1, L184*CV184*100.0/(AW184*DP184), 0))*(DI184+DJ184)/1000.0</f>
        <v>0</v>
      </c>
      <c r="Q184">
        <f>2.0/((1/S184-1/R184)+SIGN(S184)*SQRT((1/S184-1/R184)*(1/S184-1/R184) + 4*CW184/((CW184+1)*(CW184+1))*(2*1/S184*1/R184-1/R184*1/R184)))</f>
        <v>0</v>
      </c>
      <c r="R184">
        <f>IF(LEFT(CX184,1)&lt;&gt;"0",IF(LEFT(CX184,1)="1",3.0,CY184),$D$5+$E$5*(DP184*DI184/($K$5*1000))+$F$5*(DP184*DI184/($K$5*1000))*MAX(MIN(CV184,$J$5),$I$5)*MAX(MIN(CV184,$J$5),$I$5)+$G$5*MAX(MIN(CV184,$J$5),$I$5)*(DP184*DI184/($K$5*1000))+$H$5*(DP184*DI184/($K$5*1000))*(DP184*DI184/($K$5*1000)))</f>
        <v>0</v>
      </c>
      <c r="S184">
        <f>J184*(1000-(1000*0.61365*exp(17.502*W184/(240.97+W184))/(DI184+DJ184)+DD184)/2)/(1000*0.61365*exp(17.502*W184/(240.97+W184))/(DI184+DJ184)-DD184)</f>
        <v>0</v>
      </c>
      <c r="T184">
        <f>1/((CW184+1)/(Q184/1.6)+1/(R184/1.37)) + CW184/((CW184+1)/(Q184/1.6) + CW184/(R184/1.37))</f>
        <v>0</v>
      </c>
      <c r="U184">
        <f>(CR184*CU184)</f>
        <v>0</v>
      </c>
      <c r="V184">
        <f>(DK184+(U184+2*0.95*5.67E-8*(((DK184+$B$7)+273)^4-(DK184+273)^4)-44100*J184)/(1.84*29.3*R184+8*0.95*5.67E-8*(DK184+273)^3))</f>
        <v>0</v>
      </c>
      <c r="W184">
        <f>($C$7*DL184+$D$7*DM184+$E$7*V184)</f>
        <v>0</v>
      </c>
      <c r="X184">
        <f>0.61365*exp(17.502*W184/(240.97+W184))</f>
        <v>0</v>
      </c>
      <c r="Y184">
        <f>(Z184/AA184*100)</f>
        <v>0</v>
      </c>
      <c r="Z184">
        <f>DD184*(DI184+DJ184)/1000</f>
        <v>0</v>
      </c>
      <c r="AA184">
        <f>0.61365*exp(17.502*DK184/(240.97+DK184))</f>
        <v>0</v>
      </c>
      <c r="AB184">
        <f>(X184-DD184*(DI184+DJ184)/1000)</f>
        <v>0</v>
      </c>
      <c r="AC184">
        <f>(-J184*44100)</f>
        <v>0</v>
      </c>
      <c r="AD184">
        <f>2*29.3*R184*0.92*(DK184-W184)</f>
        <v>0</v>
      </c>
      <c r="AE184">
        <f>2*0.95*5.67E-8*(((DK184+$B$7)+273)^4-(W184+273)^4)</f>
        <v>0</v>
      </c>
      <c r="AF184">
        <f>U184+AE184+AC184+AD184</f>
        <v>0</v>
      </c>
      <c r="AG184">
        <f>DH184*AU184*(DC184-DB184*(1000-AU184*DE184)/(1000-AU184*DD184))/(100*CV184)</f>
        <v>0</v>
      </c>
      <c r="AH184">
        <f>1000*DH184*AU184*(DD184-DE184)/(100*CV184*(1000-AU184*DD184))</f>
        <v>0</v>
      </c>
      <c r="AI184">
        <f>(AJ184 - AK184 - DI184*1E3/(8.314*(DK184+273.15)) * AM184/DH184 * AL184) * DH184/(100*CV184) * (1000 - DE184)/1000</f>
        <v>0</v>
      </c>
      <c r="AJ184">
        <v>535.9543430052395</v>
      </c>
      <c r="AK184">
        <v>526.249127272727</v>
      </c>
      <c r="AL184">
        <v>-3.312047865132447</v>
      </c>
      <c r="AM184">
        <v>66.38192812717227</v>
      </c>
      <c r="AN184">
        <f>(AP184 - AO184 + DI184*1E3/(8.314*(DK184+273.15)) * AR184/DH184 * AQ184) * DH184/(100*CV184) * 1000/(1000 - AP184)</f>
        <v>0</v>
      </c>
      <c r="AO184">
        <v>13.89865456791821</v>
      </c>
      <c r="AP184">
        <v>18.26434588235294</v>
      </c>
      <c r="AQ184">
        <v>2.957657093025647E-05</v>
      </c>
      <c r="AR184">
        <v>80.47224507511959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MAX(0,($B$13+$C$13*DP184)/(1+$D$13*DP184)*DI184/(DK184+273)*$E$13)</f>
        <v>0</v>
      </c>
      <c r="AX184" t="s">
        <v>417</v>
      </c>
      <c r="AY184" t="s">
        <v>417</v>
      </c>
      <c r="AZ184">
        <v>0</v>
      </c>
      <c r="BA184">
        <v>0</v>
      </c>
      <c r="BB184">
        <f>1-AZ184/BA184</f>
        <v>0</v>
      </c>
      <c r="BC184">
        <v>0</v>
      </c>
      <c r="BD184" t="s">
        <v>417</v>
      </c>
      <c r="BE184" t="s">
        <v>417</v>
      </c>
      <c r="BF184">
        <v>0</v>
      </c>
      <c r="BG184">
        <v>0</v>
      </c>
      <c r="BH184">
        <f>1-BF184/BG184</f>
        <v>0</v>
      </c>
      <c r="BI184">
        <v>0.5</v>
      </c>
      <c r="BJ184">
        <f>CS184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417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1248</v>
      </c>
      <c r="CA184">
        <v>300</v>
      </c>
      <c r="CB184">
        <v>300</v>
      </c>
      <c r="CC184">
        <v>300</v>
      </c>
      <c r="CD184">
        <v>10442</v>
      </c>
      <c r="CE184">
        <v>1293.69</v>
      </c>
      <c r="CF184">
        <v>-0.00735246</v>
      </c>
      <c r="CG184">
        <v>0.5</v>
      </c>
      <c r="CH184" t="s">
        <v>417</v>
      </c>
      <c r="CI184" t="s">
        <v>417</v>
      </c>
      <c r="CJ184" t="s">
        <v>417</v>
      </c>
      <c r="CK184" t="s">
        <v>417</v>
      </c>
      <c r="CL184" t="s">
        <v>417</v>
      </c>
      <c r="CM184" t="s">
        <v>417</v>
      </c>
      <c r="CN184" t="s">
        <v>417</v>
      </c>
      <c r="CO184" t="s">
        <v>417</v>
      </c>
      <c r="CP184" t="s">
        <v>417</v>
      </c>
      <c r="CQ184" t="s">
        <v>417</v>
      </c>
      <c r="CR184">
        <f>$B$11*DQ184+$C$11*DR184+$F$11*EC184*(1-EF184)</f>
        <v>0</v>
      </c>
      <c r="CS184">
        <f>CR184*CT184</f>
        <v>0</v>
      </c>
      <c r="CT184">
        <f>($B$11*$D$9+$C$11*$D$9+$F$11*((EP184+EH184)/MAX(EP184+EH184+EQ184, 0.1)*$I$9+EQ184/MAX(EP184+EH184+EQ184, 0.1)*$J$9))/($B$11+$C$11+$F$11)</f>
        <v>0</v>
      </c>
      <c r="CU184">
        <f>($B$11*$K$9+$C$11*$K$9+$F$11*((EP184+EH184)/MAX(EP184+EH184+EQ184, 0.1)*$P$9+EQ184/MAX(EP184+EH184+EQ184, 0.1)*$Q$9))/($B$11+$C$11+$F$11)</f>
        <v>0</v>
      </c>
      <c r="CV184">
        <v>6</v>
      </c>
      <c r="CW184">
        <v>0.5</v>
      </c>
      <c r="CX184" t="s">
        <v>418</v>
      </c>
      <c r="CY184">
        <v>2</v>
      </c>
      <c r="CZ184" t="b">
        <v>1</v>
      </c>
      <c r="DA184">
        <v>1651864732.6</v>
      </c>
      <c r="DB184">
        <v>518.2633333333333</v>
      </c>
      <c r="DC184">
        <v>522.6256666666667</v>
      </c>
      <c r="DD184">
        <v>18.26436666666666</v>
      </c>
      <c r="DE184">
        <v>13.902</v>
      </c>
      <c r="DF184">
        <v>519.4613333333333</v>
      </c>
      <c r="DG184">
        <v>18.2452</v>
      </c>
      <c r="DH184">
        <v>500.0333333333333</v>
      </c>
      <c r="DI184">
        <v>89.93509999999999</v>
      </c>
      <c r="DJ184">
        <v>0.09999696666666667</v>
      </c>
      <c r="DK184">
        <v>25.663</v>
      </c>
      <c r="DL184">
        <v>25.0103</v>
      </c>
      <c r="DM184">
        <v>999.9</v>
      </c>
      <c r="DN184">
        <v>0</v>
      </c>
      <c r="DO184">
        <v>0</v>
      </c>
      <c r="DP184">
        <v>9985.833333333334</v>
      </c>
      <c r="DQ184">
        <v>0</v>
      </c>
      <c r="DR184">
        <v>3.23193</v>
      </c>
      <c r="DS184">
        <v>-4.361916666666667</v>
      </c>
      <c r="DT184">
        <v>527.9053333333333</v>
      </c>
      <c r="DU184">
        <v>529.9933333333333</v>
      </c>
      <c r="DV184">
        <v>4.36235</v>
      </c>
      <c r="DW184">
        <v>522.6256666666667</v>
      </c>
      <c r="DX184">
        <v>13.902</v>
      </c>
      <c r="DY184">
        <v>1.642606666666667</v>
      </c>
      <c r="DZ184">
        <v>1.25028</v>
      </c>
      <c r="EA184">
        <v>14.36443333333333</v>
      </c>
      <c r="EB184">
        <v>10.21406666666667</v>
      </c>
      <c r="EC184">
        <v>1499.953333333333</v>
      </c>
      <c r="ED184">
        <v>0.9730086666666665</v>
      </c>
      <c r="EE184">
        <v>0.0269913</v>
      </c>
      <c r="EF184">
        <v>0</v>
      </c>
      <c r="EG184">
        <v>858.2136666666667</v>
      </c>
      <c r="EH184">
        <v>5.00097</v>
      </c>
      <c r="EI184">
        <v>12745.03333333333</v>
      </c>
      <c r="EJ184">
        <v>12491.23333333333</v>
      </c>
      <c r="EK184">
        <v>37.25</v>
      </c>
      <c r="EL184">
        <v>38.687</v>
      </c>
      <c r="EM184">
        <v>37.625</v>
      </c>
      <c r="EN184">
        <v>38.437</v>
      </c>
      <c r="EO184">
        <v>38.125</v>
      </c>
      <c r="EP184">
        <v>1454.603333333333</v>
      </c>
      <c r="EQ184">
        <v>40.35</v>
      </c>
      <c r="ER184">
        <v>0</v>
      </c>
      <c r="ES184">
        <v>512.4000000953674</v>
      </c>
      <c r="ET184">
        <v>0</v>
      </c>
      <c r="EU184">
        <v>860.1226923076924</v>
      </c>
      <c r="EV184">
        <v>-20.9686837736495</v>
      </c>
      <c r="EW184">
        <v>-324.2290600327714</v>
      </c>
      <c r="EX184">
        <v>12779.63461538462</v>
      </c>
      <c r="EY184">
        <v>15</v>
      </c>
      <c r="EZ184">
        <v>1651864261.1</v>
      </c>
      <c r="FA184" t="s">
        <v>419</v>
      </c>
      <c r="FB184">
        <v>1651864241.6</v>
      </c>
      <c r="FC184">
        <v>1651864261.1</v>
      </c>
      <c r="FD184">
        <v>7</v>
      </c>
      <c r="FE184">
        <v>0.438</v>
      </c>
      <c r="FF184">
        <v>0.002</v>
      </c>
      <c r="FG184">
        <v>-0.988</v>
      </c>
      <c r="FH184">
        <v>-0.066</v>
      </c>
      <c r="FI184">
        <v>400</v>
      </c>
      <c r="FJ184">
        <v>11</v>
      </c>
      <c r="FK184">
        <v>0.05</v>
      </c>
      <c r="FL184">
        <v>0.02</v>
      </c>
      <c r="FM184">
        <v>-5.07334575</v>
      </c>
      <c r="FN184">
        <v>4.086846866791761</v>
      </c>
      <c r="FO184">
        <v>0.3952840880043586</v>
      </c>
      <c r="FP184">
        <v>-1</v>
      </c>
      <c r="FQ184">
        <v>4.38732925</v>
      </c>
      <c r="FR184">
        <v>-0.2713451031894887</v>
      </c>
      <c r="FS184">
        <v>0.03069126580865474</v>
      </c>
      <c r="FT184">
        <v>-1</v>
      </c>
      <c r="FU184">
        <v>0</v>
      </c>
      <c r="FV184">
        <v>0</v>
      </c>
      <c r="FW184">
        <v>0</v>
      </c>
      <c r="FX184">
        <v>-1</v>
      </c>
      <c r="FY184">
        <v>0</v>
      </c>
      <c r="FZ184">
        <v>0</v>
      </c>
      <c r="GA184" t="s">
        <v>420</v>
      </c>
      <c r="GB184">
        <v>2.98042</v>
      </c>
      <c r="GC184">
        <v>2.7061</v>
      </c>
      <c r="GD184">
        <v>0.108845</v>
      </c>
      <c r="GE184">
        <v>0.10823</v>
      </c>
      <c r="GF184">
        <v>0.0873616</v>
      </c>
      <c r="GG184">
        <v>0.070784</v>
      </c>
      <c r="GH184">
        <v>28122.7</v>
      </c>
      <c r="GI184">
        <v>28204.6</v>
      </c>
      <c r="GJ184">
        <v>29343.2</v>
      </c>
      <c r="GK184">
        <v>29258.4</v>
      </c>
      <c r="GL184">
        <v>35461</v>
      </c>
      <c r="GM184">
        <v>36209.5</v>
      </c>
      <c r="GN184">
        <v>41302.7</v>
      </c>
      <c r="GO184">
        <v>41761.2</v>
      </c>
      <c r="GP184">
        <v>1.95545</v>
      </c>
      <c r="GQ184">
        <v>1.84975</v>
      </c>
      <c r="GR184">
        <v>-0.0214204</v>
      </c>
      <c r="GS184">
        <v>0</v>
      </c>
      <c r="GT184">
        <v>25.358</v>
      </c>
      <c r="GU184">
        <v>999.9</v>
      </c>
      <c r="GV184">
        <v>31.6</v>
      </c>
      <c r="GW184">
        <v>34.3</v>
      </c>
      <c r="GX184">
        <v>19.0899</v>
      </c>
      <c r="GY184">
        <v>62.3974</v>
      </c>
      <c r="GZ184">
        <v>35.0841</v>
      </c>
      <c r="HA184">
        <v>1</v>
      </c>
      <c r="HB184">
        <v>0.108313</v>
      </c>
      <c r="HC184">
        <v>2.53364</v>
      </c>
      <c r="HD184">
        <v>20.3154</v>
      </c>
      <c r="HE184">
        <v>5.21789</v>
      </c>
      <c r="HF184">
        <v>12.0099</v>
      </c>
      <c r="HG184">
        <v>4.98885</v>
      </c>
      <c r="HH184">
        <v>3.2885</v>
      </c>
      <c r="HI184">
        <v>998.5</v>
      </c>
      <c r="HJ184">
        <v>9549.799999999999</v>
      </c>
      <c r="HK184">
        <v>5139.4</v>
      </c>
      <c r="HL184">
        <v>24.9</v>
      </c>
      <c r="HM184">
        <v>1.86752</v>
      </c>
      <c r="HN184">
        <v>1.86646</v>
      </c>
      <c r="HO184">
        <v>1.866</v>
      </c>
      <c r="HP184">
        <v>1.86586</v>
      </c>
      <c r="HQ184">
        <v>1.86769</v>
      </c>
      <c r="HR184">
        <v>1.87023</v>
      </c>
      <c r="HS184">
        <v>1.8689</v>
      </c>
      <c r="HT184">
        <v>1.87025</v>
      </c>
      <c r="HU184">
        <v>0</v>
      </c>
      <c r="HV184">
        <v>0</v>
      </c>
      <c r="HW184">
        <v>0</v>
      </c>
      <c r="HX184">
        <v>0</v>
      </c>
      <c r="HY184" t="s">
        <v>421</v>
      </c>
      <c r="HZ184" t="s">
        <v>422</v>
      </c>
      <c r="IA184" t="s">
        <v>423</v>
      </c>
      <c r="IB184" t="s">
        <v>423</v>
      </c>
      <c r="IC184" t="s">
        <v>423</v>
      </c>
      <c r="ID184" t="s">
        <v>423</v>
      </c>
      <c r="IE184">
        <v>0</v>
      </c>
      <c r="IF184">
        <v>100</v>
      </c>
      <c r="IG184">
        <v>100</v>
      </c>
      <c r="IH184">
        <v>-1.192</v>
      </c>
      <c r="II184">
        <v>0.0191</v>
      </c>
      <c r="IJ184">
        <v>-0.2164499368582429</v>
      </c>
      <c r="IK184">
        <v>-0.002077099775823331</v>
      </c>
      <c r="IL184">
        <v>4.593143279902166E-07</v>
      </c>
      <c r="IM184">
        <v>-1.865383991892071E-10</v>
      </c>
      <c r="IN184">
        <v>-0.06087574426827484</v>
      </c>
      <c r="IO184">
        <v>-0.01129461987421345</v>
      </c>
      <c r="IP184">
        <v>0.00116580895745559</v>
      </c>
      <c r="IQ184">
        <v>-1.679085872906199E-05</v>
      </c>
      <c r="IR184">
        <v>2</v>
      </c>
      <c r="IS184">
        <v>2290</v>
      </c>
      <c r="IT184">
        <v>0</v>
      </c>
      <c r="IU184">
        <v>32</v>
      </c>
      <c r="IV184">
        <v>8.199999999999999</v>
      </c>
      <c r="IW184">
        <v>7.9</v>
      </c>
      <c r="IX184">
        <v>1.20605</v>
      </c>
      <c r="IY184">
        <v>2.21924</v>
      </c>
      <c r="IZ184">
        <v>1.39648</v>
      </c>
      <c r="JA184">
        <v>2.35596</v>
      </c>
      <c r="JB184">
        <v>1.49536</v>
      </c>
      <c r="JC184">
        <v>2.35107</v>
      </c>
      <c r="JD184">
        <v>38.5014</v>
      </c>
      <c r="JE184">
        <v>24.035</v>
      </c>
      <c r="JF184">
        <v>18</v>
      </c>
      <c r="JG184">
        <v>511.138</v>
      </c>
      <c r="JH184">
        <v>428.732</v>
      </c>
      <c r="JI184">
        <v>22.0987</v>
      </c>
      <c r="JJ184">
        <v>28.6821</v>
      </c>
      <c r="JK184">
        <v>30.0003</v>
      </c>
      <c r="JL184">
        <v>28.6447</v>
      </c>
      <c r="JM184">
        <v>28.5823</v>
      </c>
      <c r="JN184">
        <v>24.1137</v>
      </c>
      <c r="JO184">
        <v>27.3501</v>
      </c>
      <c r="JP184">
        <v>0</v>
      </c>
      <c r="JQ184">
        <v>22.0978</v>
      </c>
      <c r="JR184">
        <v>500.212</v>
      </c>
      <c r="JS184">
        <v>14.0177</v>
      </c>
      <c r="JT184">
        <v>100.302</v>
      </c>
      <c r="JU184">
        <v>100.229</v>
      </c>
    </row>
    <row r="185" spans="1:281">
      <c r="A185">
        <v>169</v>
      </c>
      <c r="B185">
        <v>1651864735.6</v>
      </c>
      <c r="C185">
        <v>515</v>
      </c>
      <c r="D185" t="s">
        <v>758</v>
      </c>
      <c r="E185" t="s">
        <v>759</v>
      </c>
      <c r="F185">
        <v>2</v>
      </c>
      <c r="G185" t="s">
        <v>413</v>
      </c>
      <c r="H185" t="s">
        <v>414</v>
      </c>
      <c r="I185">
        <v>1651864734.225</v>
      </c>
      <c r="J185">
        <f>(K185)/1000</f>
        <v>0</v>
      </c>
      <c r="K185">
        <f>IF(CZ185, AN185, AH185)</f>
        <v>0</v>
      </c>
      <c r="L185">
        <f>IF(CZ185, AI185, AG185)</f>
        <v>0</v>
      </c>
      <c r="M185">
        <f>DB185 - IF(AU185&gt;1, L185*CV185*100.0/(AW185*DP185), 0)</f>
        <v>0</v>
      </c>
      <c r="N185">
        <f>((T185-J185/2)*M185-L185)/(T185+J185/2)</f>
        <v>0</v>
      </c>
      <c r="O185">
        <f>N185*(DI185+DJ185)/1000.0</f>
        <v>0</v>
      </c>
      <c r="P185">
        <f>(DB185 - IF(AU185&gt;1, L185*CV185*100.0/(AW185*DP185), 0))*(DI185+DJ185)/1000.0</f>
        <v>0</v>
      </c>
      <c r="Q185">
        <f>2.0/((1/S185-1/R185)+SIGN(S185)*SQRT((1/S185-1/R185)*(1/S185-1/R185) + 4*CW185/((CW185+1)*(CW185+1))*(2*1/S185*1/R185-1/R185*1/R185)))</f>
        <v>0</v>
      </c>
      <c r="R185">
        <f>IF(LEFT(CX185,1)&lt;&gt;"0",IF(LEFT(CX185,1)="1",3.0,CY185),$D$5+$E$5*(DP185*DI185/($K$5*1000))+$F$5*(DP185*DI185/($K$5*1000))*MAX(MIN(CV185,$J$5),$I$5)*MAX(MIN(CV185,$J$5),$I$5)+$G$5*MAX(MIN(CV185,$J$5),$I$5)*(DP185*DI185/($K$5*1000))+$H$5*(DP185*DI185/($K$5*1000))*(DP185*DI185/($K$5*1000)))</f>
        <v>0</v>
      </c>
      <c r="S185">
        <f>J185*(1000-(1000*0.61365*exp(17.502*W185/(240.97+W185))/(DI185+DJ185)+DD185)/2)/(1000*0.61365*exp(17.502*W185/(240.97+W185))/(DI185+DJ185)-DD185)</f>
        <v>0</v>
      </c>
      <c r="T185">
        <f>1/((CW185+1)/(Q185/1.6)+1/(R185/1.37)) + CW185/((CW185+1)/(Q185/1.6) + CW185/(R185/1.37))</f>
        <v>0</v>
      </c>
      <c r="U185">
        <f>(CR185*CU185)</f>
        <v>0</v>
      </c>
      <c r="V185">
        <f>(DK185+(U185+2*0.95*5.67E-8*(((DK185+$B$7)+273)^4-(DK185+273)^4)-44100*J185)/(1.84*29.3*R185+8*0.95*5.67E-8*(DK185+273)^3))</f>
        <v>0</v>
      </c>
      <c r="W185">
        <f>($C$7*DL185+$D$7*DM185+$E$7*V185)</f>
        <v>0</v>
      </c>
      <c r="X185">
        <f>0.61365*exp(17.502*W185/(240.97+W185))</f>
        <v>0</v>
      </c>
      <c r="Y185">
        <f>(Z185/AA185*100)</f>
        <v>0</v>
      </c>
      <c r="Z185">
        <f>DD185*(DI185+DJ185)/1000</f>
        <v>0</v>
      </c>
      <c r="AA185">
        <f>0.61365*exp(17.502*DK185/(240.97+DK185))</f>
        <v>0</v>
      </c>
      <c r="AB185">
        <f>(X185-DD185*(DI185+DJ185)/1000)</f>
        <v>0</v>
      </c>
      <c r="AC185">
        <f>(-J185*44100)</f>
        <v>0</v>
      </c>
      <c r="AD185">
        <f>2*29.3*R185*0.92*(DK185-W185)</f>
        <v>0</v>
      </c>
      <c r="AE185">
        <f>2*0.95*5.67E-8*(((DK185+$B$7)+273)^4-(W185+273)^4)</f>
        <v>0</v>
      </c>
      <c r="AF185">
        <f>U185+AE185+AC185+AD185</f>
        <v>0</v>
      </c>
      <c r="AG185">
        <f>DH185*AU185*(DC185-DB185*(1000-AU185*DE185)/(1000-AU185*DD185))/(100*CV185)</f>
        <v>0</v>
      </c>
      <c r="AH185">
        <f>1000*DH185*AU185*(DD185-DE185)/(100*CV185*(1000-AU185*DD185))</f>
        <v>0</v>
      </c>
      <c r="AI185">
        <f>(AJ185 - AK185 - DI185*1E3/(8.314*(DK185+273.15)) * AM185/DH185 * AL185) * DH185/(100*CV185) * (1000 - DE185)/1000</f>
        <v>0</v>
      </c>
      <c r="AJ185">
        <v>529.2157763002627</v>
      </c>
      <c r="AK185">
        <v>519.6790848484848</v>
      </c>
      <c r="AL185">
        <v>-3.294450907121552</v>
      </c>
      <c r="AM185">
        <v>66.38192812717227</v>
      </c>
      <c r="AN185">
        <f>(AP185 - AO185 + DI185*1E3/(8.314*(DK185+273.15)) * AR185/DH185 * AQ185) * DH185/(100*CV185) * 1000/(1000 - AP185)</f>
        <v>0</v>
      </c>
      <c r="AO185">
        <v>13.89859245606874</v>
      </c>
      <c r="AP185">
        <v>18.26081941176469</v>
      </c>
      <c r="AQ185">
        <v>0.0001517842101778801</v>
      </c>
      <c r="AR185">
        <v>80.47224507511959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MAX(0,($B$13+$C$13*DP185)/(1+$D$13*DP185)*DI185/(DK185+273)*$E$13)</f>
        <v>0</v>
      </c>
      <c r="AX185" t="s">
        <v>417</v>
      </c>
      <c r="AY185" t="s">
        <v>417</v>
      </c>
      <c r="AZ185">
        <v>0</v>
      </c>
      <c r="BA185">
        <v>0</v>
      </c>
      <c r="BB185">
        <f>1-AZ185/BA185</f>
        <v>0</v>
      </c>
      <c r="BC185">
        <v>0</v>
      </c>
      <c r="BD185" t="s">
        <v>417</v>
      </c>
      <c r="BE185" t="s">
        <v>417</v>
      </c>
      <c r="BF185">
        <v>0</v>
      </c>
      <c r="BG185">
        <v>0</v>
      </c>
      <c r="BH185">
        <f>1-BF185/BG185</f>
        <v>0</v>
      </c>
      <c r="BI185">
        <v>0.5</v>
      </c>
      <c r="BJ185">
        <f>CS185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417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1248</v>
      </c>
      <c r="CA185">
        <v>300</v>
      </c>
      <c r="CB185">
        <v>300</v>
      </c>
      <c r="CC185">
        <v>300</v>
      </c>
      <c r="CD185">
        <v>10442</v>
      </c>
      <c r="CE185">
        <v>1293.69</v>
      </c>
      <c r="CF185">
        <v>-0.00735246</v>
      </c>
      <c r="CG185">
        <v>0.5</v>
      </c>
      <c r="CH185" t="s">
        <v>417</v>
      </c>
      <c r="CI185" t="s">
        <v>417</v>
      </c>
      <c r="CJ185" t="s">
        <v>417</v>
      </c>
      <c r="CK185" t="s">
        <v>417</v>
      </c>
      <c r="CL185" t="s">
        <v>417</v>
      </c>
      <c r="CM185" t="s">
        <v>417</v>
      </c>
      <c r="CN185" t="s">
        <v>417</v>
      </c>
      <c r="CO185" t="s">
        <v>417</v>
      </c>
      <c r="CP185" t="s">
        <v>417</v>
      </c>
      <c r="CQ185" t="s">
        <v>417</v>
      </c>
      <c r="CR185">
        <f>$B$11*DQ185+$C$11*DR185+$F$11*EC185*(1-EF185)</f>
        <v>0</v>
      </c>
      <c r="CS185">
        <f>CR185*CT185</f>
        <v>0</v>
      </c>
      <c r="CT185">
        <f>($B$11*$D$9+$C$11*$D$9+$F$11*((EP185+EH185)/MAX(EP185+EH185+EQ185, 0.1)*$I$9+EQ185/MAX(EP185+EH185+EQ185, 0.1)*$J$9))/($B$11+$C$11+$F$11)</f>
        <v>0</v>
      </c>
      <c r="CU185">
        <f>($B$11*$K$9+$C$11*$K$9+$F$11*((EP185+EH185)/MAX(EP185+EH185+EQ185, 0.1)*$P$9+EQ185/MAX(EP185+EH185+EQ185, 0.1)*$Q$9))/($B$11+$C$11+$F$11)</f>
        <v>0</v>
      </c>
      <c r="CV185">
        <v>6</v>
      </c>
      <c r="CW185">
        <v>0.5</v>
      </c>
      <c r="CX185" t="s">
        <v>418</v>
      </c>
      <c r="CY185">
        <v>2</v>
      </c>
      <c r="CZ185" t="b">
        <v>1</v>
      </c>
      <c r="DA185">
        <v>1651864734.225</v>
      </c>
      <c r="DB185">
        <v>513.00825</v>
      </c>
      <c r="DC185">
        <v>517.21225</v>
      </c>
      <c r="DD185">
        <v>18.262175</v>
      </c>
      <c r="DE185">
        <v>13.9153</v>
      </c>
      <c r="DF185">
        <v>514.19675</v>
      </c>
      <c r="DG185">
        <v>18.243025</v>
      </c>
      <c r="DH185">
        <v>500.04225</v>
      </c>
      <c r="DI185">
        <v>89.93575000000001</v>
      </c>
      <c r="DJ185">
        <v>0.099935975</v>
      </c>
      <c r="DK185">
        <v>25.662925</v>
      </c>
      <c r="DL185">
        <v>25.0073</v>
      </c>
      <c r="DM185">
        <v>999.9</v>
      </c>
      <c r="DN185">
        <v>0</v>
      </c>
      <c r="DO185">
        <v>0</v>
      </c>
      <c r="DP185">
        <v>10005</v>
      </c>
      <c r="DQ185">
        <v>0</v>
      </c>
      <c r="DR185">
        <v>3.23193</v>
      </c>
      <c r="DS185">
        <v>-4.204095</v>
      </c>
      <c r="DT185">
        <v>522.551</v>
      </c>
      <c r="DU185">
        <v>524.511</v>
      </c>
      <c r="DV185">
        <v>4.3468625</v>
      </c>
      <c r="DW185">
        <v>517.21225</v>
      </c>
      <c r="DX185">
        <v>13.9153</v>
      </c>
      <c r="DY185">
        <v>1.64242</v>
      </c>
      <c r="DZ185">
        <v>1.2514825</v>
      </c>
      <c r="EA185">
        <v>14.362675</v>
      </c>
      <c r="EB185">
        <v>10.22845</v>
      </c>
      <c r="EC185">
        <v>1500.005</v>
      </c>
      <c r="ED185">
        <v>0.9730095</v>
      </c>
      <c r="EE185">
        <v>0.0269904</v>
      </c>
      <c r="EF185">
        <v>0</v>
      </c>
      <c r="EG185">
        <v>857.2017500000001</v>
      </c>
      <c r="EH185">
        <v>5.00097</v>
      </c>
      <c r="EI185">
        <v>12737.175</v>
      </c>
      <c r="EJ185">
        <v>12491.675</v>
      </c>
      <c r="EK185">
        <v>37.25</v>
      </c>
      <c r="EL185">
        <v>38.687</v>
      </c>
      <c r="EM185">
        <v>37.625</v>
      </c>
      <c r="EN185">
        <v>38.437</v>
      </c>
      <c r="EO185">
        <v>38.125</v>
      </c>
      <c r="EP185">
        <v>1454.655</v>
      </c>
      <c r="EQ185">
        <v>40.35</v>
      </c>
      <c r="ER185">
        <v>0</v>
      </c>
      <c r="ES185">
        <v>514.2000000476837</v>
      </c>
      <c r="ET185">
        <v>0</v>
      </c>
      <c r="EU185">
        <v>859.35288</v>
      </c>
      <c r="EV185">
        <v>-20.66153842740556</v>
      </c>
      <c r="EW185">
        <v>-315.9846148614272</v>
      </c>
      <c r="EX185">
        <v>12768.44</v>
      </c>
      <c r="EY185">
        <v>15</v>
      </c>
      <c r="EZ185">
        <v>1651864261.1</v>
      </c>
      <c r="FA185" t="s">
        <v>419</v>
      </c>
      <c r="FB185">
        <v>1651864241.6</v>
      </c>
      <c r="FC185">
        <v>1651864261.1</v>
      </c>
      <c r="FD185">
        <v>7</v>
      </c>
      <c r="FE185">
        <v>0.438</v>
      </c>
      <c r="FF185">
        <v>0.002</v>
      </c>
      <c r="FG185">
        <v>-0.988</v>
      </c>
      <c r="FH185">
        <v>-0.066</v>
      </c>
      <c r="FI185">
        <v>400</v>
      </c>
      <c r="FJ185">
        <v>11</v>
      </c>
      <c r="FK185">
        <v>0.05</v>
      </c>
      <c r="FL185">
        <v>0.02</v>
      </c>
      <c r="FM185">
        <v>-4.86907575</v>
      </c>
      <c r="FN185">
        <v>4.352243864915586</v>
      </c>
      <c r="FO185">
        <v>0.4200017100970395</v>
      </c>
      <c r="FP185">
        <v>-1</v>
      </c>
      <c r="FQ185">
        <v>4.3738185</v>
      </c>
      <c r="FR185">
        <v>-0.1897121200750534</v>
      </c>
      <c r="FS185">
        <v>0.02312944244356098</v>
      </c>
      <c r="FT185">
        <v>-1</v>
      </c>
      <c r="FU185">
        <v>0</v>
      </c>
      <c r="FV185">
        <v>0</v>
      </c>
      <c r="FW185">
        <v>0</v>
      </c>
      <c r="FX185">
        <v>-1</v>
      </c>
      <c r="FY185">
        <v>0</v>
      </c>
      <c r="FZ185">
        <v>0</v>
      </c>
      <c r="GA185" t="s">
        <v>420</v>
      </c>
      <c r="GB185">
        <v>2.98043</v>
      </c>
      <c r="GC185">
        <v>2.7064</v>
      </c>
      <c r="GD185">
        <v>0.107853</v>
      </c>
      <c r="GE185">
        <v>0.107221</v>
      </c>
      <c r="GF185">
        <v>0.08735320000000001</v>
      </c>
      <c r="GG185">
        <v>0.0708582</v>
      </c>
      <c r="GH185">
        <v>28154.1</v>
      </c>
      <c r="GI185">
        <v>28236.6</v>
      </c>
      <c r="GJ185">
        <v>29343.4</v>
      </c>
      <c r="GK185">
        <v>29258.5</v>
      </c>
      <c r="GL185">
        <v>35461.1</v>
      </c>
      <c r="GM185">
        <v>36206.7</v>
      </c>
      <c r="GN185">
        <v>41302.5</v>
      </c>
      <c r="GO185">
        <v>41761.4</v>
      </c>
      <c r="GP185">
        <v>1.95532</v>
      </c>
      <c r="GQ185">
        <v>1.84985</v>
      </c>
      <c r="GR185">
        <v>-0.0212714</v>
      </c>
      <c r="GS185">
        <v>0</v>
      </c>
      <c r="GT185">
        <v>25.3588</v>
      </c>
      <c r="GU185">
        <v>999.9</v>
      </c>
      <c r="GV185">
        <v>31.6</v>
      </c>
      <c r="GW185">
        <v>34.3</v>
      </c>
      <c r="GX185">
        <v>19.0891</v>
      </c>
      <c r="GY185">
        <v>62.3175</v>
      </c>
      <c r="GZ185">
        <v>34.7436</v>
      </c>
      <c r="HA185">
        <v>1</v>
      </c>
      <c r="HB185">
        <v>0.108308</v>
      </c>
      <c r="HC185">
        <v>2.52271</v>
      </c>
      <c r="HD185">
        <v>20.3156</v>
      </c>
      <c r="HE185">
        <v>5.21849</v>
      </c>
      <c r="HF185">
        <v>12.0099</v>
      </c>
      <c r="HG185">
        <v>4.9892</v>
      </c>
      <c r="HH185">
        <v>3.28858</v>
      </c>
      <c r="HI185">
        <v>998.5</v>
      </c>
      <c r="HJ185">
        <v>9549.799999999999</v>
      </c>
      <c r="HK185">
        <v>5139.4</v>
      </c>
      <c r="HL185">
        <v>24.9</v>
      </c>
      <c r="HM185">
        <v>1.86752</v>
      </c>
      <c r="HN185">
        <v>1.86646</v>
      </c>
      <c r="HO185">
        <v>1.866</v>
      </c>
      <c r="HP185">
        <v>1.86586</v>
      </c>
      <c r="HQ185">
        <v>1.8677</v>
      </c>
      <c r="HR185">
        <v>1.87022</v>
      </c>
      <c r="HS185">
        <v>1.8689</v>
      </c>
      <c r="HT185">
        <v>1.87026</v>
      </c>
      <c r="HU185">
        <v>0</v>
      </c>
      <c r="HV185">
        <v>0</v>
      </c>
      <c r="HW185">
        <v>0</v>
      </c>
      <c r="HX185">
        <v>0</v>
      </c>
      <c r="HY185" t="s">
        <v>421</v>
      </c>
      <c r="HZ185" t="s">
        <v>422</v>
      </c>
      <c r="IA185" t="s">
        <v>423</v>
      </c>
      <c r="IB185" t="s">
        <v>423</v>
      </c>
      <c r="IC185" t="s">
        <v>423</v>
      </c>
      <c r="ID185" t="s">
        <v>423</v>
      </c>
      <c r="IE185">
        <v>0</v>
      </c>
      <c r="IF185">
        <v>100</v>
      </c>
      <c r="IG185">
        <v>100</v>
      </c>
      <c r="IH185">
        <v>-1.181</v>
      </c>
      <c r="II185">
        <v>0.0191</v>
      </c>
      <c r="IJ185">
        <v>-0.2164499368582429</v>
      </c>
      <c r="IK185">
        <v>-0.002077099775823331</v>
      </c>
      <c r="IL185">
        <v>4.593143279902166E-07</v>
      </c>
      <c r="IM185">
        <v>-1.865383991892071E-10</v>
      </c>
      <c r="IN185">
        <v>-0.06087574426827484</v>
      </c>
      <c r="IO185">
        <v>-0.01129461987421345</v>
      </c>
      <c r="IP185">
        <v>0.00116580895745559</v>
      </c>
      <c r="IQ185">
        <v>-1.679085872906199E-05</v>
      </c>
      <c r="IR185">
        <v>2</v>
      </c>
      <c r="IS185">
        <v>2290</v>
      </c>
      <c r="IT185">
        <v>0</v>
      </c>
      <c r="IU185">
        <v>32</v>
      </c>
      <c r="IV185">
        <v>8.199999999999999</v>
      </c>
      <c r="IW185">
        <v>7.9</v>
      </c>
      <c r="IX185">
        <v>1.19385</v>
      </c>
      <c r="IY185">
        <v>2.22534</v>
      </c>
      <c r="IZ185">
        <v>1.39648</v>
      </c>
      <c r="JA185">
        <v>2.35596</v>
      </c>
      <c r="JB185">
        <v>1.49536</v>
      </c>
      <c r="JC185">
        <v>2.34741</v>
      </c>
      <c r="JD185">
        <v>38.5014</v>
      </c>
      <c r="JE185">
        <v>24.035</v>
      </c>
      <c r="JF185">
        <v>18</v>
      </c>
      <c r="JG185">
        <v>511.057</v>
      </c>
      <c r="JH185">
        <v>428.791</v>
      </c>
      <c r="JI185">
        <v>22.092</v>
      </c>
      <c r="JJ185">
        <v>28.683</v>
      </c>
      <c r="JK185">
        <v>30.0002</v>
      </c>
      <c r="JL185">
        <v>28.6447</v>
      </c>
      <c r="JM185">
        <v>28.5823</v>
      </c>
      <c r="JN185">
        <v>23.8614</v>
      </c>
      <c r="JO185">
        <v>27.3501</v>
      </c>
      <c r="JP185">
        <v>0</v>
      </c>
      <c r="JQ185">
        <v>22.0835</v>
      </c>
      <c r="JR185">
        <v>493.518</v>
      </c>
      <c r="JS185">
        <v>14.0295</v>
      </c>
      <c r="JT185">
        <v>100.302</v>
      </c>
      <c r="JU185">
        <v>100.23</v>
      </c>
    </row>
    <row r="186" spans="1:281">
      <c r="A186">
        <v>170</v>
      </c>
      <c r="B186">
        <v>1651864737.6</v>
      </c>
      <c r="C186">
        <v>517</v>
      </c>
      <c r="D186" t="s">
        <v>760</v>
      </c>
      <c r="E186" t="s">
        <v>761</v>
      </c>
      <c r="F186">
        <v>2</v>
      </c>
      <c r="G186" t="s">
        <v>413</v>
      </c>
      <c r="H186" t="s">
        <v>414</v>
      </c>
      <c r="I186">
        <v>1651864736.6</v>
      </c>
      <c r="J186">
        <f>(K186)/1000</f>
        <v>0</v>
      </c>
      <c r="K186">
        <f>IF(CZ186, AN186, AH186)</f>
        <v>0</v>
      </c>
      <c r="L186">
        <f>IF(CZ186, AI186, AG186)</f>
        <v>0</v>
      </c>
      <c r="M186">
        <f>DB186 - IF(AU186&gt;1, L186*CV186*100.0/(AW186*DP186), 0)</f>
        <v>0</v>
      </c>
      <c r="N186">
        <f>((T186-J186/2)*M186-L186)/(T186+J186/2)</f>
        <v>0</v>
      </c>
      <c r="O186">
        <f>N186*(DI186+DJ186)/1000.0</f>
        <v>0</v>
      </c>
      <c r="P186">
        <f>(DB186 - IF(AU186&gt;1, L186*CV186*100.0/(AW186*DP186), 0))*(DI186+DJ186)/1000.0</f>
        <v>0</v>
      </c>
      <c r="Q186">
        <f>2.0/((1/S186-1/R186)+SIGN(S186)*SQRT((1/S186-1/R186)*(1/S186-1/R186) + 4*CW186/((CW186+1)*(CW186+1))*(2*1/S186*1/R186-1/R186*1/R186)))</f>
        <v>0</v>
      </c>
      <c r="R186">
        <f>IF(LEFT(CX186,1)&lt;&gt;"0",IF(LEFT(CX186,1)="1",3.0,CY186),$D$5+$E$5*(DP186*DI186/($K$5*1000))+$F$5*(DP186*DI186/($K$5*1000))*MAX(MIN(CV186,$J$5),$I$5)*MAX(MIN(CV186,$J$5),$I$5)+$G$5*MAX(MIN(CV186,$J$5),$I$5)*(DP186*DI186/($K$5*1000))+$H$5*(DP186*DI186/($K$5*1000))*(DP186*DI186/($K$5*1000)))</f>
        <v>0</v>
      </c>
      <c r="S186">
        <f>J186*(1000-(1000*0.61365*exp(17.502*W186/(240.97+W186))/(DI186+DJ186)+DD186)/2)/(1000*0.61365*exp(17.502*W186/(240.97+W186))/(DI186+DJ186)-DD186)</f>
        <v>0</v>
      </c>
      <c r="T186">
        <f>1/((CW186+1)/(Q186/1.6)+1/(R186/1.37)) + CW186/((CW186+1)/(Q186/1.6) + CW186/(R186/1.37))</f>
        <v>0</v>
      </c>
      <c r="U186">
        <f>(CR186*CU186)</f>
        <v>0</v>
      </c>
      <c r="V186">
        <f>(DK186+(U186+2*0.95*5.67E-8*(((DK186+$B$7)+273)^4-(DK186+273)^4)-44100*J186)/(1.84*29.3*R186+8*0.95*5.67E-8*(DK186+273)^3))</f>
        <v>0</v>
      </c>
      <c r="W186">
        <f>($C$7*DL186+$D$7*DM186+$E$7*V186)</f>
        <v>0</v>
      </c>
      <c r="X186">
        <f>0.61365*exp(17.502*W186/(240.97+W186))</f>
        <v>0</v>
      </c>
      <c r="Y186">
        <f>(Z186/AA186*100)</f>
        <v>0</v>
      </c>
      <c r="Z186">
        <f>DD186*(DI186+DJ186)/1000</f>
        <v>0</v>
      </c>
      <c r="AA186">
        <f>0.61365*exp(17.502*DK186/(240.97+DK186))</f>
        <v>0</v>
      </c>
      <c r="AB186">
        <f>(X186-DD186*(DI186+DJ186)/1000)</f>
        <v>0</v>
      </c>
      <c r="AC186">
        <f>(-J186*44100)</f>
        <v>0</v>
      </c>
      <c r="AD186">
        <f>2*29.3*R186*0.92*(DK186-W186)</f>
        <v>0</v>
      </c>
      <c r="AE186">
        <f>2*0.95*5.67E-8*(((DK186+$B$7)+273)^4-(W186+273)^4)</f>
        <v>0</v>
      </c>
      <c r="AF186">
        <f>U186+AE186+AC186+AD186</f>
        <v>0</v>
      </c>
      <c r="AG186">
        <f>DH186*AU186*(DC186-DB186*(1000-AU186*DE186)/(1000-AU186*DD186))/(100*CV186)</f>
        <v>0</v>
      </c>
      <c r="AH186">
        <f>1000*DH186*AU186*(DD186-DE186)/(100*CV186*(1000-AU186*DD186))</f>
        <v>0</v>
      </c>
      <c r="AI186">
        <f>(AJ186 - AK186 - DI186*1E3/(8.314*(DK186+273.15)) * AM186/DH186 * AL186) * DH186/(100*CV186) * (1000 - DE186)/1000</f>
        <v>0</v>
      </c>
      <c r="AJ186">
        <v>522.4708767529321</v>
      </c>
      <c r="AK186">
        <v>513.0589272727274</v>
      </c>
      <c r="AL186">
        <v>-3.299985321576663</v>
      </c>
      <c r="AM186">
        <v>66.38192812717227</v>
      </c>
      <c r="AN186">
        <f>(AP186 - AO186 + DI186*1E3/(8.314*(DK186+273.15)) * AR186/DH186 * AQ186) * DH186/(100*CV186) * 1000/(1000 - AP186)</f>
        <v>0</v>
      </c>
      <c r="AO186">
        <v>13.90599220907507</v>
      </c>
      <c r="AP186">
        <v>18.25999852941176</v>
      </c>
      <c r="AQ186">
        <v>-0.0001877062511736407</v>
      </c>
      <c r="AR186">
        <v>80.47224507511959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MAX(0,($B$13+$C$13*DP186)/(1+$D$13*DP186)*DI186/(DK186+273)*$E$13)</f>
        <v>0</v>
      </c>
      <c r="AX186" t="s">
        <v>417</v>
      </c>
      <c r="AY186" t="s">
        <v>417</v>
      </c>
      <c r="AZ186">
        <v>0</v>
      </c>
      <c r="BA186">
        <v>0</v>
      </c>
      <c r="BB186">
        <f>1-AZ186/BA186</f>
        <v>0</v>
      </c>
      <c r="BC186">
        <v>0</v>
      </c>
      <c r="BD186" t="s">
        <v>417</v>
      </c>
      <c r="BE186" t="s">
        <v>417</v>
      </c>
      <c r="BF186">
        <v>0</v>
      </c>
      <c r="BG186">
        <v>0</v>
      </c>
      <c r="BH186">
        <f>1-BF186/BG186</f>
        <v>0</v>
      </c>
      <c r="BI186">
        <v>0.5</v>
      </c>
      <c r="BJ186">
        <f>CS186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417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1248</v>
      </c>
      <c r="CA186">
        <v>300</v>
      </c>
      <c r="CB186">
        <v>300</v>
      </c>
      <c r="CC186">
        <v>300</v>
      </c>
      <c r="CD186">
        <v>10442</v>
      </c>
      <c r="CE186">
        <v>1293.69</v>
      </c>
      <c r="CF186">
        <v>-0.00735246</v>
      </c>
      <c r="CG186">
        <v>0.5</v>
      </c>
      <c r="CH186" t="s">
        <v>417</v>
      </c>
      <c r="CI186" t="s">
        <v>417</v>
      </c>
      <c r="CJ186" t="s">
        <v>417</v>
      </c>
      <c r="CK186" t="s">
        <v>417</v>
      </c>
      <c r="CL186" t="s">
        <v>417</v>
      </c>
      <c r="CM186" t="s">
        <v>417</v>
      </c>
      <c r="CN186" t="s">
        <v>417</v>
      </c>
      <c r="CO186" t="s">
        <v>417</v>
      </c>
      <c r="CP186" t="s">
        <v>417</v>
      </c>
      <c r="CQ186" t="s">
        <v>417</v>
      </c>
      <c r="CR186">
        <f>$B$11*DQ186+$C$11*DR186+$F$11*EC186*(1-EF186)</f>
        <v>0</v>
      </c>
      <c r="CS186">
        <f>CR186*CT186</f>
        <v>0</v>
      </c>
      <c r="CT186">
        <f>($B$11*$D$9+$C$11*$D$9+$F$11*((EP186+EH186)/MAX(EP186+EH186+EQ186, 0.1)*$I$9+EQ186/MAX(EP186+EH186+EQ186, 0.1)*$J$9))/($B$11+$C$11+$F$11)</f>
        <v>0</v>
      </c>
      <c r="CU186">
        <f>($B$11*$K$9+$C$11*$K$9+$F$11*((EP186+EH186)/MAX(EP186+EH186+EQ186, 0.1)*$P$9+EQ186/MAX(EP186+EH186+EQ186, 0.1)*$Q$9))/($B$11+$C$11+$F$11)</f>
        <v>0</v>
      </c>
      <c r="CV186">
        <v>6</v>
      </c>
      <c r="CW186">
        <v>0.5</v>
      </c>
      <c r="CX186" t="s">
        <v>418</v>
      </c>
      <c r="CY186">
        <v>2</v>
      </c>
      <c r="CZ186" t="b">
        <v>1</v>
      </c>
      <c r="DA186">
        <v>1651864736.6</v>
      </c>
      <c r="DB186">
        <v>505.316</v>
      </c>
      <c r="DC186">
        <v>509.294</v>
      </c>
      <c r="DD186">
        <v>18.26073333333333</v>
      </c>
      <c r="DE186">
        <v>13.9361</v>
      </c>
      <c r="DF186">
        <v>506.4906666666666</v>
      </c>
      <c r="DG186">
        <v>18.24163333333333</v>
      </c>
      <c r="DH186">
        <v>500.0583333333334</v>
      </c>
      <c r="DI186">
        <v>89.93546666666667</v>
      </c>
      <c r="DJ186">
        <v>0.1001986666666667</v>
      </c>
      <c r="DK186">
        <v>25.66053333333333</v>
      </c>
      <c r="DL186">
        <v>25.01233333333333</v>
      </c>
      <c r="DM186">
        <v>999.9</v>
      </c>
      <c r="DN186">
        <v>0</v>
      </c>
      <c r="DO186">
        <v>0</v>
      </c>
      <c r="DP186">
        <v>10008.96666666667</v>
      </c>
      <c r="DQ186">
        <v>0</v>
      </c>
      <c r="DR186">
        <v>3.23193</v>
      </c>
      <c r="DS186">
        <v>-3.977763333333333</v>
      </c>
      <c r="DT186">
        <v>514.715</v>
      </c>
      <c r="DU186">
        <v>516.4916666666667</v>
      </c>
      <c r="DV186">
        <v>4.32465</v>
      </c>
      <c r="DW186">
        <v>509.294</v>
      </c>
      <c r="DX186">
        <v>13.9361</v>
      </c>
      <c r="DY186">
        <v>1.642286666666666</v>
      </c>
      <c r="DZ186">
        <v>1.253343333333333</v>
      </c>
      <c r="EA186">
        <v>14.3614</v>
      </c>
      <c r="EB186">
        <v>10.25076666666667</v>
      </c>
      <c r="EC186">
        <v>1500.05</v>
      </c>
      <c r="ED186">
        <v>0.9730086666666665</v>
      </c>
      <c r="EE186">
        <v>0.0269913</v>
      </c>
      <c r="EF186">
        <v>0</v>
      </c>
      <c r="EG186">
        <v>856.5406666666667</v>
      </c>
      <c r="EH186">
        <v>5.00097</v>
      </c>
      <c r="EI186">
        <v>12727.13333333333</v>
      </c>
      <c r="EJ186">
        <v>12492.06666666667</v>
      </c>
      <c r="EK186">
        <v>37.25</v>
      </c>
      <c r="EL186">
        <v>38.687</v>
      </c>
      <c r="EM186">
        <v>37.625</v>
      </c>
      <c r="EN186">
        <v>38.437</v>
      </c>
      <c r="EO186">
        <v>38.125</v>
      </c>
      <c r="EP186">
        <v>1454.696666666667</v>
      </c>
      <c r="EQ186">
        <v>40.35333333333333</v>
      </c>
      <c r="ER186">
        <v>0</v>
      </c>
      <c r="ES186">
        <v>516.6000001430511</v>
      </c>
      <c r="ET186">
        <v>0</v>
      </c>
      <c r="EU186">
        <v>858.5127199999999</v>
      </c>
      <c r="EV186">
        <v>-20.01246151288548</v>
      </c>
      <c r="EW186">
        <v>-299.853845638898</v>
      </c>
      <c r="EX186">
        <v>12756.184</v>
      </c>
      <c r="EY186">
        <v>15</v>
      </c>
      <c r="EZ186">
        <v>1651864261.1</v>
      </c>
      <c r="FA186" t="s">
        <v>419</v>
      </c>
      <c r="FB186">
        <v>1651864241.6</v>
      </c>
      <c r="FC186">
        <v>1651864261.1</v>
      </c>
      <c r="FD186">
        <v>7</v>
      </c>
      <c r="FE186">
        <v>0.438</v>
      </c>
      <c r="FF186">
        <v>0.002</v>
      </c>
      <c r="FG186">
        <v>-0.988</v>
      </c>
      <c r="FH186">
        <v>-0.066</v>
      </c>
      <c r="FI186">
        <v>400</v>
      </c>
      <c r="FJ186">
        <v>11</v>
      </c>
      <c r="FK186">
        <v>0.05</v>
      </c>
      <c r="FL186">
        <v>0.02</v>
      </c>
      <c r="FM186">
        <v>-4.79600325</v>
      </c>
      <c r="FN186">
        <v>4.468623602251428</v>
      </c>
      <c r="FO186">
        <v>0.431073088880456</v>
      </c>
      <c r="FP186">
        <v>-1</v>
      </c>
      <c r="FQ186">
        <v>4.368973250000001</v>
      </c>
      <c r="FR186">
        <v>-0.1782019136960644</v>
      </c>
      <c r="FS186">
        <v>0.02174948716493104</v>
      </c>
      <c r="FT186">
        <v>-1</v>
      </c>
      <c r="FU186">
        <v>0</v>
      </c>
      <c r="FV186">
        <v>0</v>
      </c>
      <c r="FW186">
        <v>0</v>
      </c>
      <c r="FX186">
        <v>-1</v>
      </c>
      <c r="FY186">
        <v>0</v>
      </c>
      <c r="FZ186">
        <v>0</v>
      </c>
      <c r="GA186" t="s">
        <v>420</v>
      </c>
      <c r="GB186">
        <v>2.98047</v>
      </c>
      <c r="GC186">
        <v>2.70641</v>
      </c>
      <c r="GD186">
        <v>0.106847</v>
      </c>
      <c r="GE186">
        <v>0.106205</v>
      </c>
      <c r="GF186">
        <v>0.0873582</v>
      </c>
      <c r="GG186">
        <v>0.0708955</v>
      </c>
      <c r="GH186">
        <v>28185.7</v>
      </c>
      <c r="GI186">
        <v>28268.9</v>
      </c>
      <c r="GJ186">
        <v>29343.2</v>
      </c>
      <c r="GK186">
        <v>29258.7</v>
      </c>
      <c r="GL186">
        <v>35460.9</v>
      </c>
      <c r="GM186">
        <v>36205.3</v>
      </c>
      <c r="GN186">
        <v>41302.4</v>
      </c>
      <c r="GO186">
        <v>41761.4</v>
      </c>
      <c r="GP186">
        <v>1.9553</v>
      </c>
      <c r="GQ186">
        <v>1.84985</v>
      </c>
      <c r="GR186">
        <v>-0.0210702</v>
      </c>
      <c r="GS186">
        <v>0</v>
      </c>
      <c r="GT186">
        <v>25.3588</v>
      </c>
      <c r="GU186">
        <v>999.9</v>
      </c>
      <c r="GV186">
        <v>31.6</v>
      </c>
      <c r="GW186">
        <v>34.3</v>
      </c>
      <c r="GX186">
        <v>19.0894</v>
      </c>
      <c r="GY186">
        <v>62.3275</v>
      </c>
      <c r="GZ186">
        <v>35.1803</v>
      </c>
      <c r="HA186">
        <v>1</v>
      </c>
      <c r="HB186">
        <v>0.108338</v>
      </c>
      <c r="HC186">
        <v>2.53004</v>
      </c>
      <c r="HD186">
        <v>20.3154</v>
      </c>
      <c r="HE186">
        <v>5.21834</v>
      </c>
      <c r="HF186">
        <v>12.0099</v>
      </c>
      <c r="HG186">
        <v>4.98915</v>
      </c>
      <c r="HH186">
        <v>3.28865</v>
      </c>
      <c r="HI186">
        <v>998.5</v>
      </c>
      <c r="HJ186">
        <v>9549.799999999999</v>
      </c>
      <c r="HK186">
        <v>5139.4</v>
      </c>
      <c r="HL186">
        <v>24.9</v>
      </c>
      <c r="HM186">
        <v>1.86752</v>
      </c>
      <c r="HN186">
        <v>1.86646</v>
      </c>
      <c r="HO186">
        <v>1.866</v>
      </c>
      <c r="HP186">
        <v>1.86585</v>
      </c>
      <c r="HQ186">
        <v>1.86771</v>
      </c>
      <c r="HR186">
        <v>1.87021</v>
      </c>
      <c r="HS186">
        <v>1.8689</v>
      </c>
      <c r="HT186">
        <v>1.87026</v>
      </c>
      <c r="HU186">
        <v>0</v>
      </c>
      <c r="HV186">
        <v>0</v>
      </c>
      <c r="HW186">
        <v>0</v>
      </c>
      <c r="HX186">
        <v>0</v>
      </c>
      <c r="HY186" t="s">
        <v>421</v>
      </c>
      <c r="HZ186" t="s">
        <v>422</v>
      </c>
      <c r="IA186" t="s">
        <v>423</v>
      </c>
      <c r="IB186" t="s">
        <v>423</v>
      </c>
      <c r="IC186" t="s">
        <v>423</v>
      </c>
      <c r="ID186" t="s">
        <v>423</v>
      </c>
      <c r="IE186">
        <v>0</v>
      </c>
      <c r="IF186">
        <v>100</v>
      </c>
      <c r="IG186">
        <v>100</v>
      </c>
      <c r="IH186">
        <v>-1.169</v>
      </c>
      <c r="II186">
        <v>0.0191</v>
      </c>
      <c r="IJ186">
        <v>-0.2164499368582429</v>
      </c>
      <c r="IK186">
        <v>-0.002077099775823331</v>
      </c>
      <c r="IL186">
        <v>4.593143279902166E-07</v>
      </c>
      <c r="IM186">
        <v>-1.865383991892071E-10</v>
      </c>
      <c r="IN186">
        <v>-0.06087574426827484</v>
      </c>
      <c r="IO186">
        <v>-0.01129461987421345</v>
      </c>
      <c r="IP186">
        <v>0.00116580895745559</v>
      </c>
      <c r="IQ186">
        <v>-1.679085872906199E-05</v>
      </c>
      <c r="IR186">
        <v>2</v>
      </c>
      <c r="IS186">
        <v>2290</v>
      </c>
      <c r="IT186">
        <v>0</v>
      </c>
      <c r="IU186">
        <v>32</v>
      </c>
      <c r="IV186">
        <v>8.300000000000001</v>
      </c>
      <c r="IW186">
        <v>7.9</v>
      </c>
      <c r="IX186">
        <v>1.18042</v>
      </c>
      <c r="IY186">
        <v>2.2229</v>
      </c>
      <c r="IZ186">
        <v>1.39648</v>
      </c>
      <c r="JA186">
        <v>2.35596</v>
      </c>
      <c r="JB186">
        <v>1.49536</v>
      </c>
      <c r="JC186">
        <v>2.31323</v>
      </c>
      <c r="JD186">
        <v>38.5014</v>
      </c>
      <c r="JE186">
        <v>24.035</v>
      </c>
      <c r="JF186">
        <v>18</v>
      </c>
      <c r="JG186">
        <v>511.043</v>
      </c>
      <c r="JH186">
        <v>428.797</v>
      </c>
      <c r="JI186">
        <v>22.0864</v>
      </c>
      <c r="JJ186">
        <v>28.683</v>
      </c>
      <c r="JK186">
        <v>30.0002</v>
      </c>
      <c r="JL186">
        <v>28.6451</v>
      </c>
      <c r="JM186">
        <v>28.5832</v>
      </c>
      <c r="JN186">
        <v>23.6069</v>
      </c>
      <c r="JO186">
        <v>27.0684</v>
      </c>
      <c r="JP186">
        <v>0</v>
      </c>
      <c r="JQ186">
        <v>22.0835</v>
      </c>
      <c r="JR186">
        <v>486.796</v>
      </c>
      <c r="JS186">
        <v>14.0381</v>
      </c>
      <c r="JT186">
        <v>100.302</v>
      </c>
      <c r="JU186">
        <v>100.23</v>
      </c>
    </row>
    <row r="187" spans="1:281">
      <c r="A187">
        <v>171</v>
      </c>
      <c r="B187">
        <v>1651864739.6</v>
      </c>
      <c r="C187">
        <v>519</v>
      </c>
      <c r="D187" t="s">
        <v>762</v>
      </c>
      <c r="E187" t="s">
        <v>763</v>
      </c>
      <c r="F187">
        <v>2</v>
      </c>
      <c r="G187" t="s">
        <v>413</v>
      </c>
      <c r="H187" t="s">
        <v>414</v>
      </c>
      <c r="I187">
        <v>1651864738.225</v>
      </c>
      <c r="J187">
        <f>(K187)/1000</f>
        <v>0</v>
      </c>
      <c r="K187">
        <f>IF(CZ187, AN187, AH187)</f>
        <v>0</v>
      </c>
      <c r="L187">
        <f>IF(CZ187, AI187, AG187)</f>
        <v>0</v>
      </c>
      <c r="M187">
        <f>DB187 - IF(AU187&gt;1, L187*CV187*100.0/(AW187*DP187), 0)</f>
        <v>0</v>
      </c>
      <c r="N187">
        <f>((T187-J187/2)*M187-L187)/(T187+J187/2)</f>
        <v>0</v>
      </c>
      <c r="O187">
        <f>N187*(DI187+DJ187)/1000.0</f>
        <v>0</v>
      </c>
      <c r="P187">
        <f>(DB187 - IF(AU187&gt;1, L187*CV187*100.0/(AW187*DP187), 0))*(DI187+DJ187)/1000.0</f>
        <v>0</v>
      </c>
      <c r="Q187">
        <f>2.0/((1/S187-1/R187)+SIGN(S187)*SQRT((1/S187-1/R187)*(1/S187-1/R187) + 4*CW187/((CW187+1)*(CW187+1))*(2*1/S187*1/R187-1/R187*1/R187)))</f>
        <v>0</v>
      </c>
      <c r="R187">
        <f>IF(LEFT(CX187,1)&lt;&gt;"0",IF(LEFT(CX187,1)="1",3.0,CY187),$D$5+$E$5*(DP187*DI187/($K$5*1000))+$F$5*(DP187*DI187/($K$5*1000))*MAX(MIN(CV187,$J$5),$I$5)*MAX(MIN(CV187,$J$5),$I$5)+$G$5*MAX(MIN(CV187,$J$5),$I$5)*(DP187*DI187/($K$5*1000))+$H$5*(DP187*DI187/($K$5*1000))*(DP187*DI187/($K$5*1000)))</f>
        <v>0</v>
      </c>
      <c r="S187">
        <f>J187*(1000-(1000*0.61365*exp(17.502*W187/(240.97+W187))/(DI187+DJ187)+DD187)/2)/(1000*0.61365*exp(17.502*W187/(240.97+W187))/(DI187+DJ187)-DD187)</f>
        <v>0</v>
      </c>
      <c r="T187">
        <f>1/((CW187+1)/(Q187/1.6)+1/(R187/1.37)) + CW187/((CW187+1)/(Q187/1.6) + CW187/(R187/1.37))</f>
        <v>0</v>
      </c>
      <c r="U187">
        <f>(CR187*CU187)</f>
        <v>0</v>
      </c>
      <c r="V187">
        <f>(DK187+(U187+2*0.95*5.67E-8*(((DK187+$B$7)+273)^4-(DK187+273)^4)-44100*J187)/(1.84*29.3*R187+8*0.95*5.67E-8*(DK187+273)^3))</f>
        <v>0</v>
      </c>
      <c r="W187">
        <f>($C$7*DL187+$D$7*DM187+$E$7*V187)</f>
        <v>0</v>
      </c>
      <c r="X187">
        <f>0.61365*exp(17.502*W187/(240.97+W187))</f>
        <v>0</v>
      </c>
      <c r="Y187">
        <f>(Z187/AA187*100)</f>
        <v>0</v>
      </c>
      <c r="Z187">
        <f>DD187*(DI187+DJ187)/1000</f>
        <v>0</v>
      </c>
      <c r="AA187">
        <f>0.61365*exp(17.502*DK187/(240.97+DK187))</f>
        <v>0</v>
      </c>
      <c r="AB187">
        <f>(X187-DD187*(DI187+DJ187)/1000)</f>
        <v>0</v>
      </c>
      <c r="AC187">
        <f>(-J187*44100)</f>
        <v>0</v>
      </c>
      <c r="AD187">
        <f>2*29.3*R187*0.92*(DK187-W187)</f>
        <v>0</v>
      </c>
      <c r="AE187">
        <f>2*0.95*5.67E-8*(((DK187+$B$7)+273)^4-(W187+273)^4)</f>
        <v>0</v>
      </c>
      <c r="AF187">
        <f>U187+AE187+AC187+AD187</f>
        <v>0</v>
      </c>
      <c r="AG187">
        <f>DH187*AU187*(DC187-DB187*(1000-AU187*DE187)/(1000-AU187*DD187))/(100*CV187)</f>
        <v>0</v>
      </c>
      <c r="AH187">
        <f>1000*DH187*AU187*(DD187-DE187)/(100*CV187*(1000-AU187*DD187))</f>
        <v>0</v>
      </c>
      <c r="AI187">
        <f>(AJ187 - AK187 - DI187*1E3/(8.314*(DK187+273.15)) * AM187/DH187 * AL187) * DH187/(100*CV187) * (1000 - DE187)/1000</f>
        <v>0</v>
      </c>
      <c r="AJ187">
        <v>515.72082903741</v>
      </c>
      <c r="AK187">
        <v>506.4331757575757</v>
      </c>
      <c r="AL187">
        <v>-3.312460683525185</v>
      </c>
      <c r="AM187">
        <v>66.38192812717227</v>
      </c>
      <c r="AN187">
        <f>(AP187 - AO187 + DI187*1E3/(8.314*(DK187+273.15)) * AR187/DH187 * AQ187) * DH187/(100*CV187) * 1000/(1000 - AP187)</f>
        <v>0</v>
      </c>
      <c r="AO187">
        <v>13.92365031118156</v>
      </c>
      <c r="AP187">
        <v>18.26326558823528</v>
      </c>
      <c r="AQ187">
        <v>-0.0003398885826405974</v>
      </c>
      <c r="AR187">
        <v>80.47224507511959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MAX(0,($B$13+$C$13*DP187)/(1+$D$13*DP187)*DI187/(DK187+273)*$E$13)</f>
        <v>0</v>
      </c>
      <c r="AX187" t="s">
        <v>417</v>
      </c>
      <c r="AY187" t="s">
        <v>417</v>
      </c>
      <c r="AZ187">
        <v>0</v>
      </c>
      <c r="BA187">
        <v>0</v>
      </c>
      <c r="BB187">
        <f>1-AZ187/BA187</f>
        <v>0</v>
      </c>
      <c r="BC187">
        <v>0</v>
      </c>
      <c r="BD187" t="s">
        <v>417</v>
      </c>
      <c r="BE187" t="s">
        <v>417</v>
      </c>
      <c r="BF187">
        <v>0</v>
      </c>
      <c r="BG187">
        <v>0</v>
      </c>
      <c r="BH187">
        <f>1-BF187/BG187</f>
        <v>0</v>
      </c>
      <c r="BI187">
        <v>0.5</v>
      </c>
      <c r="BJ187">
        <f>CS187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417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1248</v>
      </c>
      <c r="CA187">
        <v>300</v>
      </c>
      <c r="CB187">
        <v>300</v>
      </c>
      <c r="CC187">
        <v>300</v>
      </c>
      <c r="CD187">
        <v>10442</v>
      </c>
      <c r="CE187">
        <v>1293.69</v>
      </c>
      <c r="CF187">
        <v>-0.00735246</v>
      </c>
      <c r="CG187">
        <v>0.5</v>
      </c>
      <c r="CH187" t="s">
        <v>417</v>
      </c>
      <c r="CI187" t="s">
        <v>417</v>
      </c>
      <c r="CJ187" t="s">
        <v>417</v>
      </c>
      <c r="CK187" t="s">
        <v>417</v>
      </c>
      <c r="CL187" t="s">
        <v>417</v>
      </c>
      <c r="CM187" t="s">
        <v>417</v>
      </c>
      <c r="CN187" t="s">
        <v>417</v>
      </c>
      <c r="CO187" t="s">
        <v>417</v>
      </c>
      <c r="CP187" t="s">
        <v>417</v>
      </c>
      <c r="CQ187" t="s">
        <v>417</v>
      </c>
      <c r="CR187">
        <f>$B$11*DQ187+$C$11*DR187+$F$11*EC187*(1-EF187)</f>
        <v>0</v>
      </c>
      <c r="CS187">
        <f>CR187*CT187</f>
        <v>0</v>
      </c>
      <c r="CT187">
        <f>($B$11*$D$9+$C$11*$D$9+$F$11*((EP187+EH187)/MAX(EP187+EH187+EQ187, 0.1)*$I$9+EQ187/MAX(EP187+EH187+EQ187, 0.1)*$J$9))/($B$11+$C$11+$F$11)</f>
        <v>0</v>
      </c>
      <c r="CU187">
        <f>($B$11*$K$9+$C$11*$K$9+$F$11*((EP187+EH187)/MAX(EP187+EH187+EQ187, 0.1)*$P$9+EQ187/MAX(EP187+EH187+EQ187, 0.1)*$Q$9))/($B$11+$C$11+$F$11)</f>
        <v>0</v>
      </c>
      <c r="CV187">
        <v>6</v>
      </c>
      <c r="CW187">
        <v>0.5</v>
      </c>
      <c r="CX187" t="s">
        <v>418</v>
      </c>
      <c r="CY187">
        <v>2</v>
      </c>
      <c r="CZ187" t="b">
        <v>1</v>
      </c>
      <c r="DA187">
        <v>1651864738.225</v>
      </c>
      <c r="DB187">
        <v>500.02925</v>
      </c>
      <c r="DC187">
        <v>503.87875</v>
      </c>
      <c r="DD187">
        <v>18.26205</v>
      </c>
      <c r="DE187">
        <v>13.943</v>
      </c>
      <c r="DF187">
        <v>501.19475</v>
      </c>
      <c r="DG187">
        <v>18.24295</v>
      </c>
      <c r="DH187">
        <v>500.061</v>
      </c>
      <c r="DI187">
        <v>89.935575</v>
      </c>
      <c r="DJ187">
        <v>0.1001535</v>
      </c>
      <c r="DK187">
        <v>25.659325</v>
      </c>
      <c r="DL187">
        <v>25.0128</v>
      </c>
      <c r="DM187">
        <v>999.9</v>
      </c>
      <c r="DN187">
        <v>0</v>
      </c>
      <c r="DO187">
        <v>0</v>
      </c>
      <c r="DP187">
        <v>9995.625</v>
      </c>
      <c r="DQ187">
        <v>0</v>
      </c>
      <c r="DR187">
        <v>3.23193</v>
      </c>
      <c r="DS187">
        <v>-3.8495875</v>
      </c>
      <c r="DT187">
        <v>509.33075</v>
      </c>
      <c r="DU187">
        <v>511.00375</v>
      </c>
      <c r="DV187">
        <v>4.31904</v>
      </c>
      <c r="DW187">
        <v>503.87875</v>
      </c>
      <c r="DX187">
        <v>13.943</v>
      </c>
      <c r="DY187">
        <v>1.64241</v>
      </c>
      <c r="DZ187">
        <v>1.2539725</v>
      </c>
      <c r="EA187">
        <v>14.36255</v>
      </c>
      <c r="EB187">
        <v>10.25825</v>
      </c>
      <c r="EC187">
        <v>1499.855</v>
      </c>
      <c r="ED187">
        <v>0.973007</v>
      </c>
      <c r="EE187">
        <v>0.0269931</v>
      </c>
      <c r="EF187">
        <v>0</v>
      </c>
      <c r="EG187">
        <v>855.85725</v>
      </c>
      <c r="EH187">
        <v>5.00097</v>
      </c>
      <c r="EI187">
        <v>12717.725</v>
      </c>
      <c r="EJ187">
        <v>12490.45</v>
      </c>
      <c r="EK187">
        <v>37.25</v>
      </c>
      <c r="EL187">
        <v>38.687</v>
      </c>
      <c r="EM187">
        <v>37.625</v>
      </c>
      <c r="EN187">
        <v>38.437</v>
      </c>
      <c r="EO187">
        <v>38.125</v>
      </c>
      <c r="EP187">
        <v>1454.505</v>
      </c>
      <c r="EQ187">
        <v>40.35</v>
      </c>
      <c r="ER187">
        <v>0</v>
      </c>
      <c r="ES187">
        <v>518.4000000953674</v>
      </c>
      <c r="ET187">
        <v>0</v>
      </c>
      <c r="EU187">
        <v>858.0036153846153</v>
      </c>
      <c r="EV187">
        <v>-20.03528206560791</v>
      </c>
      <c r="EW187">
        <v>-294.8341881346392</v>
      </c>
      <c r="EX187">
        <v>12748.67307692308</v>
      </c>
      <c r="EY187">
        <v>15</v>
      </c>
      <c r="EZ187">
        <v>1651864261.1</v>
      </c>
      <c r="FA187" t="s">
        <v>419</v>
      </c>
      <c r="FB187">
        <v>1651864241.6</v>
      </c>
      <c r="FC187">
        <v>1651864261.1</v>
      </c>
      <c r="FD187">
        <v>7</v>
      </c>
      <c r="FE187">
        <v>0.438</v>
      </c>
      <c r="FF187">
        <v>0.002</v>
      </c>
      <c r="FG187">
        <v>-0.988</v>
      </c>
      <c r="FH187">
        <v>-0.066</v>
      </c>
      <c r="FI187">
        <v>400</v>
      </c>
      <c r="FJ187">
        <v>11</v>
      </c>
      <c r="FK187">
        <v>0.05</v>
      </c>
      <c r="FL187">
        <v>0.02</v>
      </c>
      <c r="FM187">
        <v>-4.568452</v>
      </c>
      <c r="FN187">
        <v>4.71336787992498</v>
      </c>
      <c r="FO187">
        <v>0.4543311352097719</v>
      </c>
      <c r="FP187">
        <v>-1</v>
      </c>
      <c r="FQ187">
        <v>4.35511275</v>
      </c>
      <c r="FR187">
        <v>-0.1513070544090175</v>
      </c>
      <c r="FS187">
        <v>0.01812771331242582</v>
      </c>
      <c r="FT187">
        <v>-1</v>
      </c>
      <c r="FU187">
        <v>0</v>
      </c>
      <c r="FV187">
        <v>0</v>
      </c>
      <c r="FW187">
        <v>0</v>
      </c>
      <c r="FX187">
        <v>-1</v>
      </c>
      <c r="FY187">
        <v>0</v>
      </c>
      <c r="FZ187">
        <v>0</v>
      </c>
      <c r="GA187" t="s">
        <v>420</v>
      </c>
      <c r="GB187">
        <v>2.98055</v>
      </c>
      <c r="GC187">
        <v>2.70603</v>
      </c>
      <c r="GD187">
        <v>0.105836</v>
      </c>
      <c r="GE187">
        <v>0.10518</v>
      </c>
      <c r="GF187">
        <v>0.0873669</v>
      </c>
      <c r="GG187">
        <v>0.0709678</v>
      </c>
      <c r="GH187">
        <v>28217.3</v>
      </c>
      <c r="GI187">
        <v>28301.5</v>
      </c>
      <c r="GJ187">
        <v>29342.9</v>
      </c>
      <c r="GK187">
        <v>29258.8</v>
      </c>
      <c r="GL187">
        <v>35460.2</v>
      </c>
      <c r="GM187">
        <v>36202.6</v>
      </c>
      <c r="GN187">
        <v>41302</v>
      </c>
      <c r="GO187">
        <v>41761.6</v>
      </c>
      <c r="GP187">
        <v>1.95545</v>
      </c>
      <c r="GQ187">
        <v>1.84962</v>
      </c>
      <c r="GR187">
        <v>-0.0212789</v>
      </c>
      <c r="GS187">
        <v>0</v>
      </c>
      <c r="GT187">
        <v>25.3588</v>
      </c>
      <c r="GU187">
        <v>999.9</v>
      </c>
      <c r="GV187">
        <v>31.6</v>
      </c>
      <c r="GW187">
        <v>34.3</v>
      </c>
      <c r="GX187">
        <v>19.0881</v>
      </c>
      <c r="GY187">
        <v>62.4275</v>
      </c>
      <c r="GZ187">
        <v>34.8638</v>
      </c>
      <c r="HA187">
        <v>1</v>
      </c>
      <c r="HB187">
        <v>0.108361</v>
      </c>
      <c r="HC187">
        <v>2.51651</v>
      </c>
      <c r="HD187">
        <v>20.3154</v>
      </c>
      <c r="HE187">
        <v>5.21819</v>
      </c>
      <c r="HF187">
        <v>12.0099</v>
      </c>
      <c r="HG187">
        <v>4.989</v>
      </c>
      <c r="HH187">
        <v>3.28865</v>
      </c>
      <c r="HI187">
        <v>998.5</v>
      </c>
      <c r="HJ187">
        <v>9549.799999999999</v>
      </c>
      <c r="HK187">
        <v>5139.4</v>
      </c>
      <c r="HL187">
        <v>24.9</v>
      </c>
      <c r="HM187">
        <v>1.86752</v>
      </c>
      <c r="HN187">
        <v>1.86646</v>
      </c>
      <c r="HO187">
        <v>1.866</v>
      </c>
      <c r="HP187">
        <v>1.86586</v>
      </c>
      <c r="HQ187">
        <v>1.8677</v>
      </c>
      <c r="HR187">
        <v>1.8702</v>
      </c>
      <c r="HS187">
        <v>1.86889</v>
      </c>
      <c r="HT187">
        <v>1.87025</v>
      </c>
      <c r="HU187">
        <v>0</v>
      </c>
      <c r="HV187">
        <v>0</v>
      </c>
      <c r="HW187">
        <v>0</v>
      </c>
      <c r="HX187">
        <v>0</v>
      </c>
      <c r="HY187" t="s">
        <v>421</v>
      </c>
      <c r="HZ187" t="s">
        <v>422</v>
      </c>
      <c r="IA187" t="s">
        <v>423</v>
      </c>
      <c r="IB187" t="s">
        <v>423</v>
      </c>
      <c r="IC187" t="s">
        <v>423</v>
      </c>
      <c r="ID187" t="s">
        <v>423</v>
      </c>
      <c r="IE187">
        <v>0</v>
      </c>
      <c r="IF187">
        <v>100</v>
      </c>
      <c r="IG187">
        <v>100</v>
      </c>
      <c r="IH187">
        <v>-1.158</v>
      </c>
      <c r="II187">
        <v>0.0191</v>
      </c>
      <c r="IJ187">
        <v>-0.2164499368582429</v>
      </c>
      <c r="IK187">
        <v>-0.002077099775823331</v>
      </c>
      <c r="IL187">
        <v>4.593143279902166E-07</v>
      </c>
      <c r="IM187">
        <v>-1.865383991892071E-10</v>
      </c>
      <c r="IN187">
        <v>-0.06087574426827484</v>
      </c>
      <c r="IO187">
        <v>-0.01129461987421345</v>
      </c>
      <c r="IP187">
        <v>0.00116580895745559</v>
      </c>
      <c r="IQ187">
        <v>-1.679085872906199E-05</v>
      </c>
      <c r="IR187">
        <v>2</v>
      </c>
      <c r="IS187">
        <v>2290</v>
      </c>
      <c r="IT187">
        <v>0</v>
      </c>
      <c r="IU187">
        <v>32</v>
      </c>
      <c r="IV187">
        <v>8.300000000000001</v>
      </c>
      <c r="IW187">
        <v>8</v>
      </c>
      <c r="IX187">
        <v>1.16821</v>
      </c>
      <c r="IY187">
        <v>2.2229</v>
      </c>
      <c r="IZ187">
        <v>1.39648</v>
      </c>
      <c r="JA187">
        <v>2.35596</v>
      </c>
      <c r="JB187">
        <v>1.49536</v>
      </c>
      <c r="JC187">
        <v>2.3645</v>
      </c>
      <c r="JD187">
        <v>38.5014</v>
      </c>
      <c r="JE187">
        <v>24.035</v>
      </c>
      <c r="JF187">
        <v>18</v>
      </c>
      <c r="JG187">
        <v>511.151</v>
      </c>
      <c r="JH187">
        <v>428.671</v>
      </c>
      <c r="JI187">
        <v>22.0801</v>
      </c>
      <c r="JJ187">
        <v>28.683</v>
      </c>
      <c r="JK187">
        <v>30.0002</v>
      </c>
      <c r="JL187">
        <v>28.6463</v>
      </c>
      <c r="JM187">
        <v>28.5844</v>
      </c>
      <c r="JN187">
        <v>23.3538</v>
      </c>
      <c r="JO187">
        <v>27.0684</v>
      </c>
      <c r="JP187">
        <v>0</v>
      </c>
      <c r="JQ187">
        <v>22.0722</v>
      </c>
      <c r="JR187">
        <v>480.117</v>
      </c>
      <c r="JS187">
        <v>14.0531</v>
      </c>
      <c r="JT187">
        <v>100.301</v>
      </c>
      <c r="JU187">
        <v>100.231</v>
      </c>
    </row>
    <row r="188" spans="1:281">
      <c r="A188">
        <v>172</v>
      </c>
      <c r="B188">
        <v>1651864741.6</v>
      </c>
      <c r="C188">
        <v>521</v>
      </c>
      <c r="D188" t="s">
        <v>764</v>
      </c>
      <c r="E188" t="s">
        <v>765</v>
      </c>
      <c r="F188">
        <v>2</v>
      </c>
      <c r="G188" t="s">
        <v>413</v>
      </c>
      <c r="H188" t="s">
        <v>414</v>
      </c>
      <c r="I188">
        <v>1651864740.6</v>
      </c>
      <c r="J188">
        <f>(K188)/1000</f>
        <v>0</v>
      </c>
      <c r="K188">
        <f>IF(CZ188, AN188, AH188)</f>
        <v>0</v>
      </c>
      <c r="L188">
        <f>IF(CZ188, AI188, AG188)</f>
        <v>0</v>
      </c>
      <c r="M188">
        <f>DB188 - IF(AU188&gt;1, L188*CV188*100.0/(AW188*DP188), 0)</f>
        <v>0</v>
      </c>
      <c r="N188">
        <f>((T188-J188/2)*M188-L188)/(T188+J188/2)</f>
        <v>0</v>
      </c>
      <c r="O188">
        <f>N188*(DI188+DJ188)/1000.0</f>
        <v>0</v>
      </c>
      <c r="P188">
        <f>(DB188 - IF(AU188&gt;1, L188*CV188*100.0/(AW188*DP188), 0))*(DI188+DJ188)/1000.0</f>
        <v>0</v>
      </c>
      <c r="Q188">
        <f>2.0/((1/S188-1/R188)+SIGN(S188)*SQRT((1/S188-1/R188)*(1/S188-1/R188) + 4*CW188/((CW188+1)*(CW188+1))*(2*1/S188*1/R188-1/R188*1/R188)))</f>
        <v>0</v>
      </c>
      <c r="R188">
        <f>IF(LEFT(CX188,1)&lt;&gt;"0",IF(LEFT(CX188,1)="1",3.0,CY188),$D$5+$E$5*(DP188*DI188/($K$5*1000))+$F$5*(DP188*DI188/($K$5*1000))*MAX(MIN(CV188,$J$5),$I$5)*MAX(MIN(CV188,$J$5),$I$5)+$G$5*MAX(MIN(CV188,$J$5),$I$5)*(DP188*DI188/($K$5*1000))+$H$5*(DP188*DI188/($K$5*1000))*(DP188*DI188/($K$5*1000)))</f>
        <v>0</v>
      </c>
      <c r="S188">
        <f>J188*(1000-(1000*0.61365*exp(17.502*W188/(240.97+W188))/(DI188+DJ188)+DD188)/2)/(1000*0.61365*exp(17.502*W188/(240.97+W188))/(DI188+DJ188)-DD188)</f>
        <v>0</v>
      </c>
      <c r="T188">
        <f>1/((CW188+1)/(Q188/1.6)+1/(R188/1.37)) + CW188/((CW188+1)/(Q188/1.6) + CW188/(R188/1.37))</f>
        <v>0</v>
      </c>
      <c r="U188">
        <f>(CR188*CU188)</f>
        <v>0</v>
      </c>
      <c r="V188">
        <f>(DK188+(U188+2*0.95*5.67E-8*(((DK188+$B$7)+273)^4-(DK188+273)^4)-44100*J188)/(1.84*29.3*R188+8*0.95*5.67E-8*(DK188+273)^3))</f>
        <v>0</v>
      </c>
      <c r="W188">
        <f>($C$7*DL188+$D$7*DM188+$E$7*V188)</f>
        <v>0</v>
      </c>
      <c r="X188">
        <f>0.61365*exp(17.502*W188/(240.97+W188))</f>
        <v>0</v>
      </c>
      <c r="Y188">
        <f>(Z188/AA188*100)</f>
        <v>0</v>
      </c>
      <c r="Z188">
        <f>DD188*(DI188+DJ188)/1000</f>
        <v>0</v>
      </c>
      <c r="AA188">
        <f>0.61365*exp(17.502*DK188/(240.97+DK188))</f>
        <v>0</v>
      </c>
      <c r="AB188">
        <f>(X188-DD188*(DI188+DJ188)/1000)</f>
        <v>0</v>
      </c>
      <c r="AC188">
        <f>(-J188*44100)</f>
        <v>0</v>
      </c>
      <c r="AD188">
        <f>2*29.3*R188*0.92*(DK188-W188)</f>
        <v>0</v>
      </c>
      <c r="AE188">
        <f>2*0.95*5.67E-8*(((DK188+$B$7)+273)^4-(W188+273)^4)</f>
        <v>0</v>
      </c>
      <c r="AF188">
        <f>U188+AE188+AC188+AD188</f>
        <v>0</v>
      </c>
      <c r="AG188">
        <f>DH188*AU188*(DC188-DB188*(1000-AU188*DE188)/(1000-AU188*DD188))/(100*CV188)</f>
        <v>0</v>
      </c>
      <c r="AH188">
        <f>1000*DH188*AU188*(DD188-DE188)/(100*CV188*(1000-AU188*DD188))</f>
        <v>0</v>
      </c>
      <c r="AI188">
        <f>(AJ188 - AK188 - DI188*1E3/(8.314*(DK188+273.15)) * AM188/DH188 * AL188) * DH188/(100*CV188) * (1000 - DE188)/1000</f>
        <v>0</v>
      </c>
      <c r="AJ188">
        <v>508.9556554824889</v>
      </c>
      <c r="AK188">
        <v>499.8853818181819</v>
      </c>
      <c r="AL188">
        <v>-3.288273602754432</v>
      </c>
      <c r="AM188">
        <v>66.38192812717227</v>
      </c>
      <c r="AN188">
        <f>(AP188 - AO188 + DI188*1E3/(8.314*(DK188+273.15)) * AR188/DH188 * AQ188) * DH188/(100*CV188) * 1000/(1000 - AP188)</f>
        <v>0</v>
      </c>
      <c r="AO188">
        <v>13.9359194024315</v>
      </c>
      <c r="AP188">
        <v>18.26705970588234</v>
      </c>
      <c r="AQ188">
        <v>-0.0001262331950467673</v>
      </c>
      <c r="AR188">
        <v>80.47224507511959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MAX(0,($B$13+$C$13*DP188)/(1+$D$13*DP188)*DI188/(DK188+273)*$E$13)</f>
        <v>0</v>
      </c>
      <c r="AX188" t="s">
        <v>417</v>
      </c>
      <c r="AY188" t="s">
        <v>417</v>
      </c>
      <c r="AZ188">
        <v>0</v>
      </c>
      <c r="BA188">
        <v>0</v>
      </c>
      <c r="BB188">
        <f>1-AZ188/BA188</f>
        <v>0</v>
      </c>
      <c r="BC188">
        <v>0</v>
      </c>
      <c r="BD188" t="s">
        <v>417</v>
      </c>
      <c r="BE188" t="s">
        <v>417</v>
      </c>
      <c r="BF188">
        <v>0</v>
      </c>
      <c r="BG188">
        <v>0</v>
      </c>
      <c r="BH188">
        <f>1-BF188/BG188</f>
        <v>0</v>
      </c>
      <c r="BI188">
        <v>0.5</v>
      </c>
      <c r="BJ188">
        <f>CS188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417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1248</v>
      </c>
      <c r="CA188">
        <v>300</v>
      </c>
      <c r="CB188">
        <v>300</v>
      </c>
      <c r="CC188">
        <v>300</v>
      </c>
      <c r="CD188">
        <v>10442</v>
      </c>
      <c r="CE188">
        <v>1293.69</v>
      </c>
      <c r="CF188">
        <v>-0.00735246</v>
      </c>
      <c r="CG188">
        <v>0.5</v>
      </c>
      <c r="CH188" t="s">
        <v>417</v>
      </c>
      <c r="CI188" t="s">
        <v>417</v>
      </c>
      <c r="CJ188" t="s">
        <v>417</v>
      </c>
      <c r="CK188" t="s">
        <v>417</v>
      </c>
      <c r="CL188" t="s">
        <v>417</v>
      </c>
      <c r="CM188" t="s">
        <v>417</v>
      </c>
      <c r="CN188" t="s">
        <v>417</v>
      </c>
      <c r="CO188" t="s">
        <v>417</v>
      </c>
      <c r="CP188" t="s">
        <v>417</v>
      </c>
      <c r="CQ188" t="s">
        <v>417</v>
      </c>
      <c r="CR188">
        <f>$B$11*DQ188+$C$11*DR188+$F$11*EC188*(1-EF188)</f>
        <v>0</v>
      </c>
      <c r="CS188">
        <f>CR188*CT188</f>
        <v>0</v>
      </c>
      <c r="CT188">
        <f>($B$11*$D$9+$C$11*$D$9+$F$11*((EP188+EH188)/MAX(EP188+EH188+EQ188, 0.1)*$I$9+EQ188/MAX(EP188+EH188+EQ188, 0.1)*$J$9))/($B$11+$C$11+$F$11)</f>
        <v>0</v>
      </c>
      <c r="CU188">
        <f>($B$11*$K$9+$C$11*$K$9+$F$11*((EP188+EH188)/MAX(EP188+EH188+EQ188, 0.1)*$P$9+EQ188/MAX(EP188+EH188+EQ188, 0.1)*$Q$9))/($B$11+$C$11+$F$11)</f>
        <v>0</v>
      </c>
      <c r="CV188">
        <v>6</v>
      </c>
      <c r="CW188">
        <v>0.5</v>
      </c>
      <c r="CX188" t="s">
        <v>418</v>
      </c>
      <c r="CY188">
        <v>2</v>
      </c>
      <c r="CZ188" t="b">
        <v>1</v>
      </c>
      <c r="DA188">
        <v>1651864740.6</v>
      </c>
      <c r="DB188">
        <v>492.3573333333333</v>
      </c>
      <c r="DC188">
        <v>495.973</v>
      </c>
      <c r="DD188">
        <v>18.26563333333333</v>
      </c>
      <c r="DE188">
        <v>13.97566666666667</v>
      </c>
      <c r="DF188">
        <v>493.5093333333334</v>
      </c>
      <c r="DG188">
        <v>18.24646666666667</v>
      </c>
      <c r="DH188">
        <v>500.0566666666666</v>
      </c>
      <c r="DI188">
        <v>89.93643333333334</v>
      </c>
      <c r="DJ188">
        <v>0.09988649999999999</v>
      </c>
      <c r="DK188">
        <v>25.65756666666667</v>
      </c>
      <c r="DL188">
        <v>25.00856666666667</v>
      </c>
      <c r="DM188">
        <v>999.9</v>
      </c>
      <c r="DN188">
        <v>0</v>
      </c>
      <c r="DO188">
        <v>0</v>
      </c>
      <c r="DP188">
        <v>10006.43333333333</v>
      </c>
      <c r="DQ188">
        <v>0</v>
      </c>
      <c r="DR188">
        <v>3.23193</v>
      </c>
      <c r="DS188">
        <v>-3.615256666666667</v>
      </c>
      <c r="DT188">
        <v>501.518</v>
      </c>
      <c r="DU188">
        <v>503.002</v>
      </c>
      <c r="DV188">
        <v>4.289996666666667</v>
      </c>
      <c r="DW188">
        <v>495.973</v>
      </c>
      <c r="DX188">
        <v>13.97566666666667</v>
      </c>
      <c r="DY188">
        <v>1.642746666666667</v>
      </c>
      <c r="DZ188">
        <v>1.25692</v>
      </c>
      <c r="EA188">
        <v>14.36573333333333</v>
      </c>
      <c r="EB188">
        <v>10.29333333333333</v>
      </c>
      <c r="EC188">
        <v>1500.04</v>
      </c>
      <c r="ED188">
        <v>0.9730086666666665</v>
      </c>
      <c r="EE188">
        <v>0.0269913</v>
      </c>
      <c r="EF188">
        <v>0</v>
      </c>
      <c r="EG188">
        <v>855.1253333333334</v>
      </c>
      <c r="EH188">
        <v>5.00097</v>
      </c>
      <c r="EI188">
        <v>12708.06666666667</v>
      </c>
      <c r="EJ188">
        <v>12491.96666666667</v>
      </c>
      <c r="EK188">
        <v>37.25</v>
      </c>
      <c r="EL188">
        <v>38.687</v>
      </c>
      <c r="EM188">
        <v>37.625</v>
      </c>
      <c r="EN188">
        <v>38.437</v>
      </c>
      <c r="EO188">
        <v>38.125</v>
      </c>
      <c r="EP188">
        <v>1454.686666666666</v>
      </c>
      <c r="EQ188">
        <v>40.35333333333333</v>
      </c>
      <c r="ER188">
        <v>0</v>
      </c>
      <c r="ES188">
        <v>520.2000000476837</v>
      </c>
      <c r="ET188">
        <v>0</v>
      </c>
      <c r="EU188">
        <v>857.3056799999999</v>
      </c>
      <c r="EV188">
        <v>-19.98946150081744</v>
      </c>
      <c r="EW188">
        <v>-283.8230764064837</v>
      </c>
      <c r="EX188">
        <v>12738.432</v>
      </c>
      <c r="EY188">
        <v>15</v>
      </c>
      <c r="EZ188">
        <v>1651864261.1</v>
      </c>
      <c r="FA188" t="s">
        <v>419</v>
      </c>
      <c r="FB188">
        <v>1651864241.6</v>
      </c>
      <c r="FC188">
        <v>1651864261.1</v>
      </c>
      <c r="FD188">
        <v>7</v>
      </c>
      <c r="FE188">
        <v>0.438</v>
      </c>
      <c r="FF188">
        <v>0.002</v>
      </c>
      <c r="FG188">
        <v>-0.988</v>
      </c>
      <c r="FH188">
        <v>-0.066</v>
      </c>
      <c r="FI188">
        <v>400</v>
      </c>
      <c r="FJ188">
        <v>11</v>
      </c>
      <c r="FK188">
        <v>0.05</v>
      </c>
      <c r="FL188">
        <v>0.02</v>
      </c>
      <c r="FM188">
        <v>-4.48802225</v>
      </c>
      <c r="FN188">
        <v>4.777984277673544</v>
      </c>
      <c r="FO188">
        <v>0.4606383731219508</v>
      </c>
      <c r="FP188">
        <v>-1</v>
      </c>
      <c r="FQ188">
        <v>4.351109750000001</v>
      </c>
      <c r="FR188">
        <v>-0.1717351969981318</v>
      </c>
      <c r="FS188">
        <v>0.02047682879348022</v>
      </c>
      <c r="FT188">
        <v>-1</v>
      </c>
      <c r="FU188">
        <v>0</v>
      </c>
      <c r="FV188">
        <v>0</v>
      </c>
      <c r="FW188">
        <v>0</v>
      </c>
      <c r="FX188">
        <v>-1</v>
      </c>
      <c r="FY188">
        <v>0</v>
      </c>
      <c r="FZ188">
        <v>0</v>
      </c>
      <c r="GA188" t="s">
        <v>420</v>
      </c>
      <c r="GB188">
        <v>2.98064</v>
      </c>
      <c r="GC188">
        <v>2.70603</v>
      </c>
      <c r="GD188">
        <v>0.104829</v>
      </c>
      <c r="GE188">
        <v>0.104157</v>
      </c>
      <c r="GF188">
        <v>0.0873844</v>
      </c>
      <c r="GG188">
        <v>0.0711029</v>
      </c>
      <c r="GH188">
        <v>28249.3</v>
      </c>
      <c r="GI188">
        <v>28333.8</v>
      </c>
      <c r="GJ188">
        <v>29343</v>
      </c>
      <c r="GK188">
        <v>29258.8</v>
      </c>
      <c r="GL188">
        <v>35459.5</v>
      </c>
      <c r="GM188">
        <v>36197.4</v>
      </c>
      <c r="GN188">
        <v>41302</v>
      </c>
      <c r="GO188">
        <v>41761.7</v>
      </c>
      <c r="GP188">
        <v>1.95543</v>
      </c>
      <c r="GQ188">
        <v>1.84953</v>
      </c>
      <c r="GR188">
        <v>-0.0213459</v>
      </c>
      <c r="GS188">
        <v>0</v>
      </c>
      <c r="GT188">
        <v>25.3588</v>
      </c>
      <c r="GU188">
        <v>999.9</v>
      </c>
      <c r="GV188">
        <v>31.6</v>
      </c>
      <c r="GW188">
        <v>34.3</v>
      </c>
      <c r="GX188">
        <v>19.0911</v>
      </c>
      <c r="GY188">
        <v>62.3175</v>
      </c>
      <c r="GZ188">
        <v>34.8438</v>
      </c>
      <c r="HA188">
        <v>1</v>
      </c>
      <c r="HB188">
        <v>0.108384</v>
      </c>
      <c r="HC188">
        <v>2.52201</v>
      </c>
      <c r="HD188">
        <v>20.3152</v>
      </c>
      <c r="HE188">
        <v>5.21849</v>
      </c>
      <c r="HF188">
        <v>12.0099</v>
      </c>
      <c r="HG188">
        <v>4.98895</v>
      </c>
      <c r="HH188">
        <v>3.28865</v>
      </c>
      <c r="HI188">
        <v>998.5</v>
      </c>
      <c r="HJ188">
        <v>9549.799999999999</v>
      </c>
      <c r="HK188">
        <v>5139.4</v>
      </c>
      <c r="HL188">
        <v>24.9</v>
      </c>
      <c r="HM188">
        <v>1.86752</v>
      </c>
      <c r="HN188">
        <v>1.86646</v>
      </c>
      <c r="HO188">
        <v>1.866</v>
      </c>
      <c r="HP188">
        <v>1.86586</v>
      </c>
      <c r="HQ188">
        <v>1.86769</v>
      </c>
      <c r="HR188">
        <v>1.87021</v>
      </c>
      <c r="HS188">
        <v>1.86889</v>
      </c>
      <c r="HT188">
        <v>1.87026</v>
      </c>
      <c r="HU188">
        <v>0</v>
      </c>
      <c r="HV188">
        <v>0</v>
      </c>
      <c r="HW188">
        <v>0</v>
      </c>
      <c r="HX188">
        <v>0</v>
      </c>
      <c r="HY188" t="s">
        <v>421</v>
      </c>
      <c r="HZ188" t="s">
        <v>422</v>
      </c>
      <c r="IA188" t="s">
        <v>423</v>
      </c>
      <c r="IB188" t="s">
        <v>423</v>
      </c>
      <c r="IC188" t="s">
        <v>423</v>
      </c>
      <c r="ID188" t="s">
        <v>423</v>
      </c>
      <c r="IE188">
        <v>0</v>
      </c>
      <c r="IF188">
        <v>100</v>
      </c>
      <c r="IG188">
        <v>100</v>
      </c>
      <c r="IH188">
        <v>-1.147</v>
      </c>
      <c r="II188">
        <v>0.0192</v>
      </c>
      <c r="IJ188">
        <v>-0.2164499368582429</v>
      </c>
      <c r="IK188">
        <v>-0.002077099775823331</v>
      </c>
      <c r="IL188">
        <v>4.593143279902166E-07</v>
      </c>
      <c r="IM188">
        <v>-1.865383991892071E-10</v>
      </c>
      <c r="IN188">
        <v>-0.06087574426827484</v>
      </c>
      <c r="IO188">
        <v>-0.01129461987421345</v>
      </c>
      <c r="IP188">
        <v>0.00116580895745559</v>
      </c>
      <c r="IQ188">
        <v>-1.679085872906199E-05</v>
      </c>
      <c r="IR188">
        <v>2</v>
      </c>
      <c r="IS188">
        <v>2290</v>
      </c>
      <c r="IT188">
        <v>0</v>
      </c>
      <c r="IU188">
        <v>32</v>
      </c>
      <c r="IV188">
        <v>8.300000000000001</v>
      </c>
      <c r="IW188">
        <v>8</v>
      </c>
      <c r="IX188">
        <v>1.15601</v>
      </c>
      <c r="IY188">
        <v>2.22778</v>
      </c>
      <c r="IZ188">
        <v>1.39648</v>
      </c>
      <c r="JA188">
        <v>2.35596</v>
      </c>
      <c r="JB188">
        <v>1.49536</v>
      </c>
      <c r="JC188">
        <v>2.28638</v>
      </c>
      <c r="JD188">
        <v>38.4769</v>
      </c>
      <c r="JE188">
        <v>24.035</v>
      </c>
      <c r="JF188">
        <v>18</v>
      </c>
      <c r="JG188">
        <v>511.142</v>
      </c>
      <c r="JH188">
        <v>428.614</v>
      </c>
      <c r="JI188">
        <v>22.0761</v>
      </c>
      <c r="JJ188">
        <v>28.683</v>
      </c>
      <c r="JK188">
        <v>30.0002</v>
      </c>
      <c r="JL188">
        <v>28.6471</v>
      </c>
      <c r="JM188">
        <v>28.5847</v>
      </c>
      <c r="JN188">
        <v>23.0984</v>
      </c>
      <c r="JO188">
        <v>27.0684</v>
      </c>
      <c r="JP188">
        <v>0</v>
      </c>
      <c r="JQ188">
        <v>22.0722</v>
      </c>
      <c r="JR188">
        <v>473.438</v>
      </c>
      <c r="JS188">
        <v>14.0551</v>
      </c>
      <c r="JT188">
        <v>100.301</v>
      </c>
      <c r="JU188">
        <v>100.231</v>
      </c>
    </row>
    <row r="189" spans="1:281">
      <c r="A189">
        <v>173</v>
      </c>
      <c r="B189">
        <v>1651864743.6</v>
      </c>
      <c r="C189">
        <v>523</v>
      </c>
      <c r="D189" t="s">
        <v>766</v>
      </c>
      <c r="E189" t="s">
        <v>767</v>
      </c>
      <c r="F189">
        <v>2</v>
      </c>
      <c r="G189" t="s">
        <v>413</v>
      </c>
      <c r="H189" t="s">
        <v>414</v>
      </c>
      <c r="I189">
        <v>1651864742.225</v>
      </c>
      <c r="J189">
        <f>(K189)/1000</f>
        <v>0</v>
      </c>
      <c r="K189">
        <f>IF(CZ189, AN189, AH189)</f>
        <v>0</v>
      </c>
      <c r="L189">
        <f>IF(CZ189, AI189, AG189)</f>
        <v>0</v>
      </c>
      <c r="M189">
        <f>DB189 - IF(AU189&gt;1, L189*CV189*100.0/(AW189*DP189), 0)</f>
        <v>0</v>
      </c>
      <c r="N189">
        <f>((T189-J189/2)*M189-L189)/(T189+J189/2)</f>
        <v>0</v>
      </c>
      <c r="O189">
        <f>N189*(DI189+DJ189)/1000.0</f>
        <v>0</v>
      </c>
      <c r="P189">
        <f>(DB189 - IF(AU189&gt;1, L189*CV189*100.0/(AW189*DP189), 0))*(DI189+DJ189)/1000.0</f>
        <v>0</v>
      </c>
      <c r="Q189">
        <f>2.0/((1/S189-1/R189)+SIGN(S189)*SQRT((1/S189-1/R189)*(1/S189-1/R189) + 4*CW189/((CW189+1)*(CW189+1))*(2*1/S189*1/R189-1/R189*1/R189)))</f>
        <v>0</v>
      </c>
      <c r="R189">
        <f>IF(LEFT(CX189,1)&lt;&gt;"0",IF(LEFT(CX189,1)="1",3.0,CY189),$D$5+$E$5*(DP189*DI189/($K$5*1000))+$F$5*(DP189*DI189/($K$5*1000))*MAX(MIN(CV189,$J$5),$I$5)*MAX(MIN(CV189,$J$5),$I$5)+$G$5*MAX(MIN(CV189,$J$5),$I$5)*(DP189*DI189/($K$5*1000))+$H$5*(DP189*DI189/($K$5*1000))*(DP189*DI189/($K$5*1000)))</f>
        <v>0</v>
      </c>
      <c r="S189">
        <f>J189*(1000-(1000*0.61365*exp(17.502*W189/(240.97+W189))/(DI189+DJ189)+DD189)/2)/(1000*0.61365*exp(17.502*W189/(240.97+W189))/(DI189+DJ189)-DD189)</f>
        <v>0</v>
      </c>
      <c r="T189">
        <f>1/((CW189+1)/(Q189/1.6)+1/(R189/1.37)) + CW189/((CW189+1)/(Q189/1.6) + CW189/(R189/1.37))</f>
        <v>0</v>
      </c>
      <c r="U189">
        <f>(CR189*CU189)</f>
        <v>0</v>
      </c>
      <c r="V189">
        <f>(DK189+(U189+2*0.95*5.67E-8*(((DK189+$B$7)+273)^4-(DK189+273)^4)-44100*J189)/(1.84*29.3*R189+8*0.95*5.67E-8*(DK189+273)^3))</f>
        <v>0</v>
      </c>
      <c r="W189">
        <f>($C$7*DL189+$D$7*DM189+$E$7*V189)</f>
        <v>0</v>
      </c>
      <c r="X189">
        <f>0.61365*exp(17.502*W189/(240.97+W189))</f>
        <v>0</v>
      </c>
      <c r="Y189">
        <f>(Z189/AA189*100)</f>
        <v>0</v>
      </c>
      <c r="Z189">
        <f>DD189*(DI189+DJ189)/1000</f>
        <v>0</v>
      </c>
      <c r="AA189">
        <f>0.61365*exp(17.502*DK189/(240.97+DK189))</f>
        <v>0</v>
      </c>
      <c r="AB189">
        <f>(X189-DD189*(DI189+DJ189)/1000)</f>
        <v>0</v>
      </c>
      <c r="AC189">
        <f>(-J189*44100)</f>
        <v>0</v>
      </c>
      <c r="AD189">
        <f>2*29.3*R189*0.92*(DK189-W189)</f>
        <v>0</v>
      </c>
      <c r="AE189">
        <f>2*0.95*5.67E-8*(((DK189+$B$7)+273)^4-(W189+273)^4)</f>
        <v>0</v>
      </c>
      <c r="AF189">
        <f>U189+AE189+AC189+AD189</f>
        <v>0</v>
      </c>
      <c r="AG189">
        <f>DH189*AU189*(DC189-DB189*(1000-AU189*DE189)/(1000-AU189*DD189))/(100*CV189)</f>
        <v>0</v>
      </c>
      <c r="AH189">
        <f>1000*DH189*AU189*(DD189-DE189)/(100*CV189*(1000-AU189*DD189))</f>
        <v>0</v>
      </c>
      <c r="AI189">
        <f>(AJ189 - AK189 - DI189*1E3/(8.314*(DK189+273.15)) * AM189/DH189 * AL189) * DH189/(100*CV189) * (1000 - DE189)/1000</f>
        <v>0</v>
      </c>
      <c r="AJ189">
        <v>502.2288597191397</v>
      </c>
      <c r="AK189">
        <v>493.3221454545455</v>
      </c>
      <c r="AL189">
        <v>-3.27796978193087</v>
      </c>
      <c r="AM189">
        <v>66.38192812717227</v>
      </c>
      <c r="AN189">
        <f>(AP189 - AO189 + DI189*1E3/(8.314*(DK189+273.15)) * AR189/DH189 * AQ189) * DH189/(100*CV189) * 1000/(1000 - AP189)</f>
        <v>0</v>
      </c>
      <c r="AO189">
        <v>13.95207342186752</v>
      </c>
      <c r="AP189">
        <v>18.27311029411764</v>
      </c>
      <c r="AQ189">
        <v>3.328954955016036E-05</v>
      </c>
      <c r="AR189">
        <v>80.47224507511959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MAX(0,($B$13+$C$13*DP189)/(1+$D$13*DP189)*DI189/(DK189+273)*$E$13)</f>
        <v>0</v>
      </c>
      <c r="AX189" t="s">
        <v>417</v>
      </c>
      <c r="AY189" t="s">
        <v>417</v>
      </c>
      <c r="AZ189">
        <v>0</v>
      </c>
      <c r="BA189">
        <v>0</v>
      </c>
      <c r="BB189">
        <f>1-AZ189/BA189</f>
        <v>0</v>
      </c>
      <c r="BC189">
        <v>0</v>
      </c>
      <c r="BD189" t="s">
        <v>417</v>
      </c>
      <c r="BE189" t="s">
        <v>417</v>
      </c>
      <c r="BF189">
        <v>0</v>
      </c>
      <c r="BG189">
        <v>0</v>
      </c>
      <c r="BH189">
        <f>1-BF189/BG189</f>
        <v>0</v>
      </c>
      <c r="BI189">
        <v>0.5</v>
      </c>
      <c r="BJ189">
        <f>CS189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417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1248</v>
      </c>
      <c r="CA189">
        <v>300</v>
      </c>
      <c r="CB189">
        <v>300</v>
      </c>
      <c r="CC189">
        <v>300</v>
      </c>
      <c r="CD189">
        <v>10442</v>
      </c>
      <c r="CE189">
        <v>1293.69</v>
      </c>
      <c r="CF189">
        <v>-0.00735246</v>
      </c>
      <c r="CG189">
        <v>0.5</v>
      </c>
      <c r="CH189" t="s">
        <v>417</v>
      </c>
      <c r="CI189" t="s">
        <v>417</v>
      </c>
      <c r="CJ189" t="s">
        <v>417</v>
      </c>
      <c r="CK189" t="s">
        <v>417</v>
      </c>
      <c r="CL189" t="s">
        <v>417</v>
      </c>
      <c r="CM189" t="s">
        <v>417</v>
      </c>
      <c r="CN189" t="s">
        <v>417</v>
      </c>
      <c r="CO189" t="s">
        <v>417</v>
      </c>
      <c r="CP189" t="s">
        <v>417</v>
      </c>
      <c r="CQ189" t="s">
        <v>417</v>
      </c>
      <c r="CR189">
        <f>$B$11*DQ189+$C$11*DR189+$F$11*EC189*(1-EF189)</f>
        <v>0</v>
      </c>
      <c r="CS189">
        <f>CR189*CT189</f>
        <v>0</v>
      </c>
      <c r="CT189">
        <f>($B$11*$D$9+$C$11*$D$9+$F$11*((EP189+EH189)/MAX(EP189+EH189+EQ189, 0.1)*$I$9+EQ189/MAX(EP189+EH189+EQ189, 0.1)*$J$9))/($B$11+$C$11+$F$11)</f>
        <v>0</v>
      </c>
      <c r="CU189">
        <f>($B$11*$K$9+$C$11*$K$9+$F$11*((EP189+EH189)/MAX(EP189+EH189+EQ189, 0.1)*$P$9+EQ189/MAX(EP189+EH189+EQ189, 0.1)*$Q$9))/($B$11+$C$11+$F$11)</f>
        <v>0</v>
      </c>
      <c r="CV189">
        <v>6</v>
      </c>
      <c r="CW189">
        <v>0.5</v>
      </c>
      <c r="CX189" t="s">
        <v>418</v>
      </c>
      <c r="CY189">
        <v>2</v>
      </c>
      <c r="CZ189" t="b">
        <v>1</v>
      </c>
      <c r="DA189">
        <v>1651864742.225</v>
      </c>
      <c r="DB189">
        <v>487.12575</v>
      </c>
      <c r="DC189">
        <v>490.5554999999999</v>
      </c>
      <c r="DD189">
        <v>18.270375</v>
      </c>
      <c r="DE189">
        <v>14.001625</v>
      </c>
      <c r="DF189">
        <v>488.2685</v>
      </c>
      <c r="DG189">
        <v>18.251125</v>
      </c>
      <c r="DH189">
        <v>500.047</v>
      </c>
      <c r="DI189">
        <v>89.93774999999999</v>
      </c>
      <c r="DJ189">
        <v>0.09999079999999999</v>
      </c>
      <c r="DK189">
        <v>25.65455</v>
      </c>
      <c r="DL189">
        <v>25.010525</v>
      </c>
      <c r="DM189">
        <v>999.9</v>
      </c>
      <c r="DN189">
        <v>0</v>
      </c>
      <c r="DO189">
        <v>0</v>
      </c>
      <c r="DP189">
        <v>9993.575000000001</v>
      </c>
      <c r="DQ189">
        <v>0</v>
      </c>
      <c r="DR189">
        <v>3.23193</v>
      </c>
      <c r="DS189">
        <v>-3.4296575</v>
      </c>
      <c r="DT189">
        <v>496.1915</v>
      </c>
      <c r="DU189">
        <v>497.5215</v>
      </c>
      <c r="DV189">
        <v>4.26874</v>
      </c>
      <c r="DW189">
        <v>490.5554999999999</v>
      </c>
      <c r="DX189">
        <v>14.001625</v>
      </c>
      <c r="DY189">
        <v>1.643195</v>
      </c>
      <c r="DZ189">
        <v>1.259275</v>
      </c>
      <c r="EA189">
        <v>14.369975</v>
      </c>
      <c r="EB189">
        <v>10.321375</v>
      </c>
      <c r="EC189">
        <v>1500.0025</v>
      </c>
      <c r="ED189">
        <v>0.9730032499999999</v>
      </c>
      <c r="EE189">
        <v>0.0269967</v>
      </c>
      <c r="EF189">
        <v>0</v>
      </c>
      <c r="EG189">
        <v>854.7865</v>
      </c>
      <c r="EH189">
        <v>5.00097</v>
      </c>
      <c r="EI189">
        <v>12700.125</v>
      </c>
      <c r="EJ189">
        <v>12491.65</v>
      </c>
      <c r="EK189">
        <v>37.25</v>
      </c>
      <c r="EL189">
        <v>38.687</v>
      </c>
      <c r="EM189">
        <v>37.625</v>
      </c>
      <c r="EN189">
        <v>38.437</v>
      </c>
      <c r="EO189">
        <v>38.125</v>
      </c>
      <c r="EP189">
        <v>1454.6425</v>
      </c>
      <c r="EQ189">
        <v>40.36</v>
      </c>
      <c r="ER189">
        <v>0</v>
      </c>
      <c r="ES189">
        <v>522.6000001430511</v>
      </c>
      <c r="ET189">
        <v>0</v>
      </c>
      <c r="EU189">
        <v>856.5525600000001</v>
      </c>
      <c r="EV189">
        <v>-19.42576919597114</v>
      </c>
      <c r="EW189">
        <v>-278.0923071754062</v>
      </c>
      <c r="EX189">
        <v>12727.144</v>
      </c>
      <c r="EY189">
        <v>15</v>
      </c>
      <c r="EZ189">
        <v>1651864261.1</v>
      </c>
      <c r="FA189" t="s">
        <v>419</v>
      </c>
      <c r="FB189">
        <v>1651864241.6</v>
      </c>
      <c r="FC189">
        <v>1651864261.1</v>
      </c>
      <c r="FD189">
        <v>7</v>
      </c>
      <c r="FE189">
        <v>0.438</v>
      </c>
      <c r="FF189">
        <v>0.002</v>
      </c>
      <c r="FG189">
        <v>-0.988</v>
      </c>
      <c r="FH189">
        <v>-0.066</v>
      </c>
      <c r="FI189">
        <v>400</v>
      </c>
      <c r="FJ189">
        <v>11</v>
      </c>
      <c r="FK189">
        <v>0.05</v>
      </c>
      <c r="FL189">
        <v>0.02</v>
      </c>
      <c r="FM189">
        <v>-4.2337635</v>
      </c>
      <c r="FN189">
        <v>4.990675947467175</v>
      </c>
      <c r="FO189">
        <v>0.48189591189151</v>
      </c>
      <c r="FP189">
        <v>-1</v>
      </c>
      <c r="FQ189">
        <v>4.337905000000001</v>
      </c>
      <c r="FR189">
        <v>-0.3208541088180185</v>
      </c>
      <c r="FS189">
        <v>0.03396392740835484</v>
      </c>
      <c r="FT189">
        <v>-1</v>
      </c>
      <c r="FU189">
        <v>0</v>
      </c>
      <c r="FV189">
        <v>0</v>
      </c>
      <c r="FW189">
        <v>0</v>
      </c>
      <c r="FX189">
        <v>-1</v>
      </c>
      <c r="FY189">
        <v>0</v>
      </c>
      <c r="FZ189">
        <v>0</v>
      </c>
      <c r="GA189" t="s">
        <v>420</v>
      </c>
      <c r="GB189">
        <v>2.98047</v>
      </c>
      <c r="GC189">
        <v>2.70614</v>
      </c>
      <c r="GD189">
        <v>0.103816</v>
      </c>
      <c r="GE189">
        <v>0.103122</v>
      </c>
      <c r="GF189">
        <v>0.08741160000000001</v>
      </c>
      <c r="GG189">
        <v>0.0711764</v>
      </c>
      <c r="GH189">
        <v>28281.5</v>
      </c>
      <c r="GI189">
        <v>28366.5</v>
      </c>
      <c r="GJ189">
        <v>29343.3</v>
      </c>
      <c r="GK189">
        <v>29258.7</v>
      </c>
      <c r="GL189">
        <v>35458.6</v>
      </c>
      <c r="GM189">
        <v>36194.3</v>
      </c>
      <c r="GN189">
        <v>41302.3</v>
      </c>
      <c r="GO189">
        <v>41761.6</v>
      </c>
      <c r="GP189">
        <v>1.95518</v>
      </c>
      <c r="GQ189">
        <v>1.8497</v>
      </c>
      <c r="GR189">
        <v>-0.0209287</v>
      </c>
      <c r="GS189">
        <v>0</v>
      </c>
      <c r="GT189">
        <v>25.3588</v>
      </c>
      <c r="GU189">
        <v>999.9</v>
      </c>
      <c r="GV189">
        <v>31.6</v>
      </c>
      <c r="GW189">
        <v>34.3</v>
      </c>
      <c r="GX189">
        <v>19.0892</v>
      </c>
      <c r="GY189">
        <v>62.4475</v>
      </c>
      <c r="GZ189">
        <v>35.0841</v>
      </c>
      <c r="HA189">
        <v>1</v>
      </c>
      <c r="HB189">
        <v>0.1086</v>
      </c>
      <c r="HC189">
        <v>2.52158</v>
      </c>
      <c r="HD189">
        <v>20.3152</v>
      </c>
      <c r="HE189">
        <v>5.21819</v>
      </c>
      <c r="HF189">
        <v>12.0099</v>
      </c>
      <c r="HG189">
        <v>4.9891</v>
      </c>
      <c r="HH189">
        <v>3.28865</v>
      </c>
      <c r="HI189">
        <v>998.7</v>
      </c>
      <c r="HJ189">
        <v>9550.700000000001</v>
      </c>
      <c r="HK189">
        <v>5139.4</v>
      </c>
      <c r="HL189">
        <v>24.9</v>
      </c>
      <c r="HM189">
        <v>1.86752</v>
      </c>
      <c r="HN189">
        <v>1.86646</v>
      </c>
      <c r="HO189">
        <v>1.866</v>
      </c>
      <c r="HP189">
        <v>1.86586</v>
      </c>
      <c r="HQ189">
        <v>1.86769</v>
      </c>
      <c r="HR189">
        <v>1.87019</v>
      </c>
      <c r="HS189">
        <v>1.86889</v>
      </c>
      <c r="HT189">
        <v>1.87026</v>
      </c>
      <c r="HU189">
        <v>0</v>
      </c>
      <c r="HV189">
        <v>0</v>
      </c>
      <c r="HW189">
        <v>0</v>
      </c>
      <c r="HX189">
        <v>0</v>
      </c>
      <c r="HY189" t="s">
        <v>421</v>
      </c>
      <c r="HZ189" t="s">
        <v>422</v>
      </c>
      <c r="IA189" t="s">
        <v>423</v>
      </c>
      <c r="IB189" t="s">
        <v>423</v>
      </c>
      <c r="IC189" t="s">
        <v>423</v>
      </c>
      <c r="ID189" t="s">
        <v>423</v>
      </c>
      <c r="IE189">
        <v>0</v>
      </c>
      <c r="IF189">
        <v>100</v>
      </c>
      <c r="IG189">
        <v>100</v>
      </c>
      <c r="IH189">
        <v>-1.135</v>
      </c>
      <c r="II189">
        <v>0.0193</v>
      </c>
      <c r="IJ189">
        <v>-0.2164499368582429</v>
      </c>
      <c r="IK189">
        <v>-0.002077099775823331</v>
      </c>
      <c r="IL189">
        <v>4.593143279902166E-07</v>
      </c>
      <c r="IM189">
        <v>-1.865383991892071E-10</v>
      </c>
      <c r="IN189">
        <v>-0.06087574426827484</v>
      </c>
      <c r="IO189">
        <v>-0.01129461987421345</v>
      </c>
      <c r="IP189">
        <v>0.00116580895745559</v>
      </c>
      <c r="IQ189">
        <v>-1.679085872906199E-05</v>
      </c>
      <c r="IR189">
        <v>2</v>
      </c>
      <c r="IS189">
        <v>2290</v>
      </c>
      <c r="IT189">
        <v>0</v>
      </c>
      <c r="IU189">
        <v>32</v>
      </c>
      <c r="IV189">
        <v>8.4</v>
      </c>
      <c r="IW189">
        <v>8</v>
      </c>
      <c r="IX189">
        <v>1.14258</v>
      </c>
      <c r="IY189">
        <v>2.2229</v>
      </c>
      <c r="IZ189">
        <v>1.39648</v>
      </c>
      <c r="JA189">
        <v>2.35596</v>
      </c>
      <c r="JB189">
        <v>1.49536</v>
      </c>
      <c r="JC189">
        <v>2.35229</v>
      </c>
      <c r="JD189">
        <v>38.5014</v>
      </c>
      <c r="JE189">
        <v>24.035</v>
      </c>
      <c r="JF189">
        <v>18</v>
      </c>
      <c r="JG189">
        <v>510.979</v>
      </c>
      <c r="JH189">
        <v>428.719</v>
      </c>
      <c r="JI189">
        <v>22.0716</v>
      </c>
      <c r="JJ189">
        <v>28.683</v>
      </c>
      <c r="JK189">
        <v>30.0002</v>
      </c>
      <c r="JL189">
        <v>28.6471</v>
      </c>
      <c r="JM189">
        <v>28.5847</v>
      </c>
      <c r="JN189">
        <v>22.8438</v>
      </c>
      <c r="JO189">
        <v>27.0684</v>
      </c>
      <c r="JP189">
        <v>0</v>
      </c>
      <c r="JQ189">
        <v>22.0722</v>
      </c>
      <c r="JR189">
        <v>466.71</v>
      </c>
      <c r="JS189">
        <v>14.0586</v>
      </c>
      <c r="JT189">
        <v>100.302</v>
      </c>
      <c r="JU189">
        <v>100.23</v>
      </c>
    </row>
    <row r="190" spans="1:281">
      <c r="A190">
        <v>174</v>
      </c>
      <c r="B190">
        <v>1651864745.6</v>
      </c>
      <c r="C190">
        <v>525</v>
      </c>
      <c r="D190" t="s">
        <v>768</v>
      </c>
      <c r="E190" t="s">
        <v>769</v>
      </c>
      <c r="F190">
        <v>2</v>
      </c>
      <c r="G190" t="s">
        <v>413</v>
      </c>
      <c r="H190" t="s">
        <v>414</v>
      </c>
      <c r="I190">
        <v>1651864744.6</v>
      </c>
      <c r="J190">
        <f>(K190)/1000</f>
        <v>0</v>
      </c>
      <c r="K190">
        <f>IF(CZ190, AN190, AH190)</f>
        <v>0</v>
      </c>
      <c r="L190">
        <f>IF(CZ190, AI190, AG190)</f>
        <v>0</v>
      </c>
      <c r="M190">
        <f>DB190 - IF(AU190&gt;1, L190*CV190*100.0/(AW190*DP190), 0)</f>
        <v>0</v>
      </c>
      <c r="N190">
        <f>((T190-J190/2)*M190-L190)/(T190+J190/2)</f>
        <v>0</v>
      </c>
      <c r="O190">
        <f>N190*(DI190+DJ190)/1000.0</f>
        <v>0</v>
      </c>
      <c r="P190">
        <f>(DB190 - IF(AU190&gt;1, L190*CV190*100.0/(AW190*DP190), 0))*(DI190+DJ190)/1000.0</f>
        <v>0</v>
      </c>
      <c r="Q190">
        <f>2.0/((1/S190-1/R190)+SIGN(S190)*SQRT((1/S190-1/R190)*(1/S190-1/R190) + 4*CW190/((CW190+1)*(CW190+1))*(2*1/S190*1/R190-1/R190*1/R190)))</f>
        <v>0</v>
      </c>
      <c r="R190">
        <f>IF(LEFT(CX190,1)&lt;&gt;"0",IF(LEFT(CX190,1)="1",3.0,CY190),$D$5+$E$5*(DP190*DI190/($K$5*1000))+$F$5*(DP190*DI190/($K$5*1000))*MAX(MIN(CV190,$J$5),$I$5)*MAX(MIN(CV190,$J$5),$I$5)+$G$5*MAX(MIN(CV190,$J$5),$I$5)*(DP190*DI190/($K$5*1000))+$H$5*(DP190*DI190/($K$5*1000))*(DP190*DI190/($K$5*1000)))</f>
        <v>0</v>
      </c>
      <c r="S190">
        <f>J190*(1000-(1000*0.61365*exp(17.502*W190/(240.97+W190))/(DI190+DJ190)+DD190)/2)/(1000*0.61365*exp(17.502*W190/(240.97+W190))/(DI190+DJ190)-DD190)</f>
        <v>0</v>
      </c>
      <c r="T190">
        <f>1/((CW190+1)/(Q190/1.6)+1/(R190/1.37)) + CW190/((CW190+1)/(Q190/1.6) + CW190/(R190/1.37))</f>
        <v>0</v>
      </c>
      <c r="U190">
        <f>(CR190*CU190)</f>
        <v>0</v>
      </c>
      <c r="V190">
        <f>(DK190+(U190+2*0.95*5.67E-8*(((DK190+$B$7)+273)^4-(DK190+273)^4)-44100*J190)/(1.84*29.3*R190+8*0.95*5.67E-8*(DK190+273)^3))</f>
        <v>0</v>
      </c>
      <c r="W190">
        <f>($C$7*DL190+$D$7*DM190+$E$7*V190)</f>
        <v>0</v>
      </c>
      <c r="X190">
        <f>0.61365*exp(17.502*W190/(240.97+W190))</f>
        <v>0</v>
      </c>
      <c r="Y190">
        <f>(Z190/AA190*100)</f>
        <v>0</v>
      </c>
      <c r="Z190">
        <f>DD190*(DI190+DJ190)/1000</f>
        <v>0</v>
      </c>
      <c r="AA190">
        <f>0.61365*exp(17.502*DK190/(240.97+DK190))</f>
        <v>0</v>
      </c>
      <c r="AB190">
        <f>(X190-DD190*(DI190+DJ190)/1000)</f>
        <v>0</v>
      </c>
      <c r="AC190">
        <f>(-J190*44100)</f>
        <v>0</v>
      </c>
      <c r="AD190">
        <f>2*29.3*R190*0.92*(DK190-W190)</f>
        <v>0</v>
      </c>
      <c r="AE190">
        <f>2*0.95*5.67E-8*(((DK190+$B$7)+273)^4-(W190+273)^4)</f>
        <v>0</v>
      </c>
      <c r="AF190">
        <f>U190+AE190+AC190+AD190</f>
        <v>0</v>
      </c>
      <c r="AG190">
        <f>DH190*AU190*(DC190-DB190*(1000-AU190*DE190)/(1000-AU190*DD190))/(100*CV190)</f>
        <v>0</v>
      </c>
      <c r="AH190">
        <f>1000*DH190*AU190*(DD190-DE190)/(100*CV190*(1000-AU190*DD190))</f>
        <v>0</v>
      </c>
      <c r="AI190">
        <f>(AJ190 - AK190 - DI190*1E3/(8.314*(DK190+273.15)) * AM190/DH190 * AL190) * DH190/(100*CV190) * (1000 - DE190)/1000</f>
        <v>0</v>
      </c>
      <c r="AJ190">
        <v>495.479638961617</v>
      </c>
      <c r="AK190">
        <v>486.7638848484848</v>
      </c>
      <c r="AL190">
        <v>-3.279387951254712</v>
      </c>
      <c r="AM190">
        <v>66.38192812717227</v>
      </c>
      <c r="AN190">
        <f>(AP190 - AO190 + DI190*1E3/(8.314*(DK190+273.15)) * AR190/DH190 * AQ190) * DH190/(100*CV190) * 1000/(1000 - AP190)</f>
        <v>0</v>
      </c>
      <c r="AO190">
        <v>13.98566669846378</v>
      </c>
      <c r="AP190">
        <v>18.2847544117647</v>
      </c>
      <c r="AQ190">
        <v>7.712583188993467E-05</v>
      </c>
      <c r="AR190">
        <v>80.47224507511959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MAX(0,($B$13+$C$13*DP190)/(1+$D$13*DP190)*DI190/(DK190+273)*$E$13)</f>
        <v>0</v>
      </c>
      <c r="AX190" t="s">
        <v>417</v>
      </c>
      <c r="AY190" t="s">
        <v>417</v>
      </c>
      <c r="AZ190">
        <v>0</v>
      </c>
      <c r="BA190">
        <v>0</v>
      </c>
      <c r="BB190">
        <f>1-AZ190/BA190</f>
        <v>0</v>
      </c>
      <c r="BC190">
        <v>0</v>
      </c>
      <c r="BD190" t="s">
        <v>417</v>
      </c>
      <c r="BE190" t="s">
        <v>417</v>
      </c>
      <c r="BF190">
        <v>0</v>
      </c>
      <c r="BG190">
        <v>0</v>
      </c>
      <c r="BH190">
        <f>1-BF190/BG190</f>
        <v>0</v>
      </c>
      <c r="BI190">
        <v>0.5</v>
      </c>
      <c r="BJ190">
        <f>CS190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417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1248</v>
      </c>
      <c r="CA190">
        <v>300</v>
      </c>
      <c r="CB190">
        <v>300</v>
      </c>
      <c r="CC190">
        <v>300</v>
      </c>
      <c r="CD190">
        <v>10442</v>
      </c>
      <c r="CE190">
        <v>1293.69</v>
      </c>
      <c r="CF190">
        <v>-0.00735246</v>
      </c>
      <c r="CG190">
        <v>0.5</v>
      </c>
      <c r="CH190" t="s">
        <v>417</v>
      </c>
      <c r="CI190" t="s">
        <v>417</v>
      </c>
      <c r="CJ190" t="s">
        <v>417</v>
      </c>
      <c r="CK190" t="s">
        <v>417</v>
      </c>
      <c r="CL190" t="s">
        <v>417</v>
      </c>
      <c r="CM190" t="s">
        <v>417</v>
      </c>
      <c r="CN190" t="s">
        <v>417</v>
      </c>
      <c r="CO190" t="s">
        <v>417</v>
      </c>
      <c r="CP190" t="s">
        <v>417</v>
      </c>
      <c r="CQ190" t="s">
        <v>417</v>
      </c>
      <c r="CR190">
        <f>$B$11*DQ190+$C$11*DR190+$F$11*EC190*(1-EF190)</f>
        <v>0</v>
      </c>
      <c r="CS190">
        <f>CR190*CT190</f>
        <v>0</v>
      </c>
      <c r="CT190">
        <f>($B$11*$D$9+$C$11*$D$9+$F$11*((EP190+EH190)/MAX(EP190+EH190+EQ190, 0.1)*$I$9+EQ190/MAX(EP190+EH190+EQ190, 0.1)*$J$9))/($B$11+$C$11+$F$11)</f>
        <v>0</v>
      </c>
      <c r="CU190">
        <f>($B$11*$K$9+$C$11*$K$9+$F$11*((EP190+EH190)/MAX(EP190+EH190+EQ190, 0.1)*$P$9+EQ190/MAX(EP190+EH190+EQ190, 0.1)*$Q$9))/($B$11+$C$11+$F$11)</f>
        <v>0</v>
      </c>
      <c r="CV190">
        <v>6</v>
      </c>
      <c r="CW190">
        <v>0.5</v>
      </c>
      <c r="CX190" t="s">
        <v>418</v>
      </c>
      <c r="CY190">
        <v>2</v>
      </c>
      <c r="CZ190" t="b">
        <v>1</v>
      </c>
      <c r="DA190">
        <v>1651864744.6</v>
      </c>
      <c r="DB190">
        <v>479.4743333333333</v>
      </c>
      <c r="DC190">
        <v>482.6626666666667</v>
      </c>
      <c r="DD190">
        <v>18.2821</v>
      </c>
      <c r="DE190">
        <v>14.01556666666667</v>
      </c>
      <c r="DF190">
        <v>480.6033333333334</v>
      </c>
      <c r="DG190">
        <v>18.2627</v>
      </c>
      <c r="DH190">
        <v>500.0633333333333</v>
      </c>
      <c r="DI190">
        <v>89.93853333333334</v>
      </c>
      <c r="DJ190">
        <v>0.1000466666666667</v>
      </c>
      <c r="DK190">
        <v>25.65246666666667</v>
      </c>
      <c r="DL190">
        <v>25.0148</v>
      </c>
      <c r="DM190">
        <v>999.9</v>
      </c>
      <c r="DN190">
        <v>0</v>
      </c>
      <c r="DO190">
        <v>0</v>
      </c>
      <c r="DP190">
        <v>9980</v>
      </c>
      <c r="DQ190">
        <v>0</v>
      </c>
      <c r="DR190">
        <v>3.23193</v>
      </c>
      <c r="DS190">
        <v>-3.18871</v>
      </c>
      <c r="DT190">
        <v>488.403</v>
      </c>
      <c r="DU190">
        <v>489.5236666666667</v>
      </c>
      <c r="DV190">
        <v>4.266553333333333</v>
      </c>
      <c r="DW190">
        <v>482.6626666666667</v>
      </c>
      <c r="DX190">
        <v>14.01556666666667</v>
      </c>
      <c r="DY190">
        <v>1.644266666666667</v>
      </c>
      <c r="DZ190">
        <v>1.260536666666667</v>
      </c>
      <c r="EA190">
        <v>14.38003333333333</v>
      </c>
      <c r="EB190">
        <v>10.33643333333333</v>
      </c>
      <c r="EC190">
        <v>1499.95</v>
      </c>
      <c r="ED190">
        <v>0.973002</v>
      </c>
      <c r="EE190">
        <v>0.02699806666666667</v>
      </c>
      <c r="EF190">
        <v>0</v>
      </c>
      <c r="EG190">
        <v>854.125</v>
      </c>
      <c r="EH190">
        <v>5.00097</v>
      </c>
      <c r="EI190">
        <v>12689.86666666667</v>
      </c>
      <c r="EJ190">
        <v>12491.2</v>
      </c>
      <c r="EK190">
        <v>37.25</v>
      </c>
      <c r="EL190">
        <v>38.687</v>
      </c>
      <c r="EM190">
        <v>37.625</v>
      </c>
      <c r="EN190">
        <v>38.41633333333333</v>
      </c>
      <c r="EO190">
        <v>38.125</v>
      </c>
      <c r="EP190">
        <v>1454.59</v>
      </c>
      <c r="EQ190">
        <v>40.36000000000001</v>
      </c>
      <c r="ER190">
        <v>0</v>
      </c>
      <c r="ES190">
        <v>524.4000000953674</v>
      </c>
      <c r="ET190">
        <v>0</v>
      </c>
      <c r="EU190">
        <v>856.0811153846154</v>
      </c>
      <c r="EV190">
        <v>-19.31558975497306</v>
      </c>
      <c r="EW190">
        <v>-276.0307693357574</v>
      </c>
      <c r="EX190">
        <v>12720.11153846154</v>
      </c>
      <c r="EY190">
        <v>15</v>
      </c>
      <c r="EZ190">
        <v>1651864261.1</v>
      </c>
      <c r="FA190" t="s">
        <v>419</v>
      </c>
      <c r="FB190">
        <v>1651864241.6</v>
      </c>
      <c r="FC190">
        <v>1651864261.1</v>
      </c>
      <c r="FD190">
        <v>7</v>
      </c>
      <c r="FE190">
        <v>0.438</v>
      </c>
      <c r="FF190">
        <v>0.002</v>
      </c>
      <c r="FG190">
        <v>-0.988</v>
      </c>
      <c r="FH190">
        <v>-0.066</v>
      </c>
      <c r="FI190">
        <v>400</v>
      </c>
      <c r="FJ190">
        <v>11</v>
      </c>
      <c r="FK190">
        <v>0.05</v>
      </c>
      <c r="FL190">
        <v>0.02</v>
      </c>
      <c r="FM190">
        <v>-4.146376500000001</v>
      </c>
      <c r="FN190">
        <v>5.10417973733584</v>
      </c>
      <c r="FO190">
        <v>0.4931911114342492</v>
      </c>
      <c r="FP190">
        <v>-1</v>
      </c>
      <c r="FQ190">
        <v>4.33295225</v>
      </c>
      <c r="FR190">
        <v>-0.361069756097572</v>
      </c>
      <c r="FS190">
        <v>0.03707677025359003</v>
      </c>
      <c r="FT190">
        <v>-1</v>
      </c>
      <c r="FU190">
        <v>0</v>
      </c>
      <c r="FV190">
        <v>0</v>
      </c>
      <c r="FW190">
        <v>0</v>
      </c>
      <c r="FX190">
        <v>-1</v>
      </c>
      <c r="FY190">
        <v>0</v>
      </c>
      <c r="FZ190">
        <v>0</v>
      </c>
      <c r="GA190" t="s">
        <v>420</v>
      </c>
      <c r="GB190">
        <v>2.98049</v>
      </c>
      <c r="GC190">
        <v>2.70599</v>
      </c>
      <c r="GD190">
        <v>0.10279</v>
      </c>
      <c r="GE190">
        <v>0.102082</v>
      </c>
      <c r="GF190">
        <v>0.08744689999999999</v>
      </c>
      <c r="GG190">
        <v>0.0711866</v>
      </c>
      <c r="GH190">
        <v>28313.9</v>
      </c>
      <c r="GI190">
        <v>28399.2</v>
      </c>
      <c r="GJ190">
        <v>29343.3</v>
      </c>
      <c r="GK190">
        <v>29258.5</v>
      </c>
      <c r="GL190">
        <v>35457.4</v>
      </c>
      <c r="GM190">
        <v>36193.7</v>
      </c>
      <c r="GN190">
        <v>41302.5</v>
      </c>
      <c r="GO190">
        <v>41761.3</v>
      </c>
      <c r="GP190">
        <v>1.95527</v>
      </c>
      <c r="GQ190">
        <v>1.84997</v>
      </c>
      <c r="GR190">
        <v>-0.0211298</v>
      </c>
      <c r="GS190">
        <v>0</v>
      </c>
      <c r="GT190">
        <v>25.3588</v>
      </c>
      <c r="GU190">
        <v>999.9</v>
      </c>
      <c r="GV190">
        <v>31.6</v>
      </c>
      <c r="GW190">
        <v>34.3</v>
      </c>
      <c r="GX190">
        <v>19.0901</v>
      </c>
      <c r="GY190">
        <v>62.2775</v>
      </c>
      <c r="GZ190">
        <v>34.7316</v>
      </c>
      <c r="HA190">
        <v>1</v>
      </c>
      <c r="HB190">
        <v>0.10845</v>
      </c>
      <c r="HC190">
        <v>2.51519</v>
      </c>
      <c r="HD190">
        <v>20.3154</v>
      </c>
      <c r="HE190">
        <v>5.21759</v>
      </c>
      <c r="HF190">
        <v>12.0099</v>
      </c>
      <c r="HG190">
        <v>4.98915</v>
      </c>
      <c r="HH190">
        <v>3.28858</v>
      </c>
      <c r="HI190">
        <v>998.7</v>
      </c>
      <c r="HJ190">
        <v>9550.700000000001</v>
      </c>
      <c r="HK190">
        <v>5139.4</v>
      </c>
      <c r="HL190">
        <v>24.9</v>
      </c>
      <c r="HM190">
        <v>1.86752</v>
      </c>
      <c r="HN190">
        <v>1.86646</v>
      </c>
      <c r="HO190">
        <v>1.866</v>
      </c>
      <c r="HP190">
        <v>1.86586</v>
      </c>
      <c r="HQ190">
        <v>1.86768</v>
      </c>
      <c r="HR190">
        <v>1.87017</v>
      </c>
      <c r="HS190">
        <v>1.86889</v>
      </c>
      <c r="HT190">
        <v>1.87027</v>
      </c>
      <c r="HU190">
        <v>0</v>
      </c>
      <c r="HV190">
        <v>0</v>
      </c>
      <c r="HW190">
        <v>0</v>
      </c>
      <c r="HX190">
        <v>0</v>
      </c>
      <c r="HY190" t="s">
        <v>421</v>
      </c>
      <c r="HZ190" t="s">
        <v>422</v>
      </c>
      <c r="IA190" t="s">
        <v>423</v>
      </c>
      <c r="IB190" t="s">
        <v>423</v>
      </c>
      <c r="IC190" t="s">
        <v>423</v>
      </c>
      <c r="ID190" t="s">
        <v>423</v>
      </c>
      <c r="IE190">
        <v>0</v>
      </c>
      <c r="IF190">
        <v>100</v>
      </c>
      <c r="IG190">
        <v>100</v>
      </c>
      <c r="IH190">
        <v>-1.123</v>
      </c>
      <c r="II190">
        <v>0.0195</v>
      </c>
      <c r="IJ190">
        <v>-0.2164499368582429</v>
      </c>
      <c r="IK190">
        <v>-0.002077099775823331</v>
      </c>
      <c r="IL190">
        <v>4.593143279902166E-07</v>
      </c>
      <c r="IM190">
        <v>-1.865383991892071E-10</v>
      </c>
      <c r="IN190">
        <v>-0.06087574426827484</v>
      </c>
      <c r="IO190">
        <v>-0.01129461987421345</v>
      </c>
      <c r="IP190">
        <v>0.00116580895745559</v>
      </c>
      <c r="IQ190">
        <v>-1.679085872906199E-05</v>
      </c>
      <c r="IR190">
        <v>2</v>
      </c>
      <c r="IS190">
        <v>2290</v>
      </c>
      <c r="IT190">
        <v>0</v>
      </c>
      <c r="IU190">
        <v>32</v>
      </c>
      <c r="IV190">
        <v>8.4</v>
      </c>
      <c r="IW190">
        <v>8.1</v>
      </c>
      <c r="IX190">
        <v>1.13037</v>
      </c>
      <c r="IY190">
        <v>2.22534</v>
      </c>
      <c r="IZ190">
        <v>1.39648</v>
      </c>
      <c r="JA190">
        <v>2.35596</v>
      </c>
      <c r="JB190">
        <v>1.49536</v>
      </c>
      <c r="JC190">
        <v>2.34253</v>
      </c>
      <c r="JD190">
        <v>38.5014</v>
      </c>
      <c r="JE190">
        <v>24.035</v>
      </c>
      <c r="JF190">
        <v>18</v>
      </c>
      <c r="JG190">
        <v>511.044</v>
      </c>
      <c r="JH190">
        <v>428.884</v>
      </c>
      <c r="JI190">
        <v>22.0672</v>
      </c>
      <c r="JJ190">
        <v>28.683</v>
      </c>
      <c r="JK190">
        <v>30</v>
      </c>
      <c r="JL190">
        <v>28.6471</v>
      </c>
      <c r="JM190">
        <v>28.5847</v>
      </c>
      <c r="JN190">
        <v>22.5864</v>
      </c>
      <c r="JO190">
        <v>27.0684</v>
      </c>
      <c r="JP190">
        <v>0</v>
      </c>
      <c r="JQ190">
        <v>22.0612</v>
      </c>
      <c r="JR190">
        <v>460.03</v>
      </c>
      <c r="JS190">
        <v>14.0602</v>
      </c>
      <c r="JT190">
        <v>100.302</v>
      </c>
      <c r="JU190">
        <v>100.23</v>
      </c>
    </row>
    <row r="191" spans="1:281">
      <c r="A191">
        <v>175</v>
      </c>
      <c r="B191">
        <v>1651864747.6</v>
      </c>
      <c r="C191">
        <v>527</v>
      </c>
      <c r="D191" t="s">
        <v>770</v>
      </c>
      <c r="E191" t="s">
        <v>771</v>
      </c>
      <c r="F191">
        <v>2</v>
      </c>
      <c r="G191" t="s">
        <v>413</v>
      </c>
      <c r="H191" t="s">
        <v>414</v>
      </c>
      <c r="I191">
        <v>1651864746.225</v>
      </c>
      <c r="J191">
        <f>(K191)/1000</f>
        <v>0</v>
      </c>
      <c r="K191">
        <f>IF(CZ191, AN191, AH191)</f>
        <v>0</v>
      </c>
      <c r="L191">
        <f>IF(CZ191, AI191, AG191)</f>
        <v>0</v>
      </c>
      <c r="M191">
        <f>DB191 - IF(AU191&gt;1, L191*CV191*100.0/(AW191*DP191), 0)</f>
        <v>0</v>
      </c>
      <c r="N191">
        <f>((T191-J191/2)*M191-L191)/(T191+J191/2)</f>
        <v>0</v>
      </c>
      <c r="O191">
        <f>N191*(DI191+DJ191)/1000.0</f>
        <v>0</v>
      </c>
      <c r="P191">
        <f>(DB191 - IF(AU191&gt;1, L191*CV191*100.0/(AW191*DP191), 0))*(DI191+DJ191)/1000.0</f>
        <v>0</v>
      </c>
      <c r="Q191">
        <f>2.0/((1/S191-1/R191)+SIGN(S191)*SQRT((1/S191-1/R191)*(1/S191-1/R191) + 4*CW191/((CW191+1)*(CW191+1))*(2*1/S191*1/R191-1/R191*1/R191)))</f>
        <v>0</v>
      </c>
      <c r="R191">
        <f>IF(LEFT(CX191,1)&lt;&gt;"0",IF(LEFT(CX191,1)="1",3.0,CY191),$D$5+$E$5*(DP191*DI191/($K$5*1000))+$F$5*(DP191*DI191/($K$5*1000))*MAX(MIN(CV191,$J$5),$I$5)*MAX(MIN(CV191,$J$5),$I$5)+$G$5*MAX(MIN(CV191,$J$5),$I$5)*(DP191*DI191/($K$5*1000))+$H$5*(DP191*DI191/($K$5*1000))*(DP191*DI191/($K$5*1000)))</f>
        <v>0</v>
      </c>
      <c r="S191">
        <f>J191*(1000-(1000*0.61365*exp(17.502*W191/(240.97+W191))/(DI191+DJ191)+DD191)/2)/(1000*0.61365*exp(17.502*W191/(240.97+W191))/(DI191+DJ191)-DD191)</f>
        <v>0</v>
      </c>
      <c r="T191">
        <f>1/((CW191+1)/(Q191/1.6)+1/(R191/1.37)) + CW191/((CW191+1)/(Q191/1.6) + CW191/(R191/1.37))</f>
        <v>0</v>
      </c>
      <c r="U191">
        <f>(CR191*CU191)</f>
        <v>0</v>
      </c>
      <c r="V191">
        <f>(DK191+(U191+2*0.95*5.67E-8*(((DK191+$B$7)+273)^4-(DK191+273)^4)-44100*J191)/(1.84*29.3*R191+8*0.95*5.67E-8*(DK191+273)^3))</f>
        <v>0</v>
      </c>
      <c r="W191">
        <f>($C$7*DL191+$D$7*DM191+$E$7*V191)</f>
        <v>0</v>
      </c>
      <c r="X191">
        <f>0.61365*exp(17.502*W191/(240.97+W191))</f>
        <v>0</v>
      </c>
      <c r="Y191">
        <f>(Z191/AA191*100)</f>
        <v>0</v>
      </c>
      <c r="Z191">
        <f>DD191*(DI191+DJ191)/1000</f>
        <v>0</v>
      </c>
      <c r="AA191">
        <f>0.61365*exp(17.502*DK191/(240.97+DK191))</f>
        <v>0</v>
      </c>
      <c r="AB191">
        <f>(X191-DD191*(DI191+DJ191)/1000)</f>
        <v>0</v>
      </c>
      <c r="AC191">
        <f>(-J191*44100)</f>
        <v>0</v>
      </c>
      <c r="AD191">
        <f>2*29.3*R191*0.92*(DK191-W191)</f>
        <v>0</v>
      </c>
      <c r="AE191">
        <f>2*0.95*5.67E-8*(((DK191+$B$7)+273)^4-(W191+273)^4)</f>
        <v>0</v>
      </c>
      <c r="AF191">
        <f>U191+AE191+AC191+AD191</f>
        <v>0</v>
      </c>
      <c r="AG191">
        <f>DH191*AU191*(DC191-DB191*(1000-AU191*DE191)/(1000-AU191*DD191))/(100*CV191)</f>
        <v>0</v>
      </c>
      <c r="AH191">
        <f>1000*DH191*AU191*(DD191-DE191)/(100*CV191*(1000-AU191*DD191))</f>
        <v>0</v>
      </c>
      <c r="AI191">
        <f>(AJ191 - AK191 - DI191*1E3/(8.314*(DK191+273.15)) * AM191/DH191 * AL191) * DH191/(100*CV191) * (1000 - DE191)/1000</f>
        <v>0</v>
      </c>
      <c r="AJ191">
        <v>488.7455518992644</v>
      </c>
      <c r="AK191">
        <v>480.2398424242426</v>
      </c>
      <c r="AL191">
        <v>-3.269723996728148</v>
      </c>
      <c r="AM191">
        <v>66.38192812717227</v>
      </c>
      <c r="AN191">
        <f>(AP191 - AO191 + DI191*1E3/(8.314*(DK191+273.15)) * AR191/DH191 * AQ191) * DH191/(100*CV191) * 1000/(1000 - AP191)</f>
        <v>0</v>
      </c>
      <c r="AO191">
        <v>14.01008974133946</v>
      </c>
      <c r="AP191">
        <v>18.29610117647058</v>
      </c>
      <c r="AQ191">
        <v>0.0002927920973739903</v>
      </c>
      <c r="AR191">
        <v>80.47224507511959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MAX(0,($B$13+$C$13*DP191)/(1+$D$13*DP191)*DI191/(DK191+273)*$E$13)</f>
        <v>0</v>
      </c>
      <c r="AX191" t="s">
        <v>417</v>
      </c>
      <c r="AY191" t="s">
        <v>417</v>
      </c>
      <c r="AZ191">
        <v>0</v>
      </c>
      <c r="BA191">
        <v>0</v>
      </c>
      <c r="BB191">
        <f>1-AZ191/BA191</f>
        <v>0</v>
      </c>
      <c r="BC191">
        <v>0</v>
      </c>
      <c r="BD191" t="s">
        <v>417</v>
      </c>
      <c r="BE191" t="s">
        <v>417</v>
      </c>
      <c r="BF191">
        <v>0</v>
      </c>
      <c r="BG191">
        <v>0</v>
      </c>
      <c r="BH191">
        <f>1-BF191/BG191</f>
        <v>0</v>
      </c>
      <c r="BI191">
        <v>0.5</v>
      </c>
      <c r="BJ191">
        <f>CS191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417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1248</v>
      </c>
      <c r="CA191">
        <v>300</v>
      </c>
      <c r="CB191">
        <v>300</v>
      </c>
      <c r="CC191">
        <v>300</v>
      </c>
      <c r="CD191">
        <v>10442</v>
      </c>
      <c r="CE191">
        <v>1293.69</v>
      </c>
      <c r="CF191">
        <v>-0.00735246</v>
      </c>
      <c r="CG191">
        <v>0.5</v>
      </c>
      <c r="CH191" t="s">
        <v>417</v>
      </c>
      <c r="CI191" t="s">
        <v>417</v>
      </c>
      <c r="CJ191" t="s">
        <v>417</v>
      </c>
      <c r="CK191" t="s">
        <v>417</v>
      </c>
      <c r="CL191" t="s">
        <v>417</v>
      </c>
      <c r="CM191" t="s">
        <v>417</v>
      </c>
      <c r="CN191" t="s">
        <v>417</v>
      </c>
      <c r="CO191" t="s">
        <v>417</v>
      </c>
      <c r="CP191" t="s">
        <v>417</v>
      </c>
      <c r="CQ191" t="s">
        <v>417</v>
      </c>
      <c r="CR191">
        <f>$B$11*DQ191+$C$11*DR191+$F$11*EC191*(1-EF191)</f>
        <v>0</v>
      </c>
      <c r="CS191">
        <f>CR191*CT191</f>
        <v>0</v>
      </c>
      <c r="CT191">
        <f>($B$11*$D$9+$C$11*$D$9+$F$11*((EP191+EH191)/MAX(EP191+EH191+EQ191, 0.1)*$I$9+EQ191/MAX(EP191+EH191+EQ191, 0.1)*$J$9))/($B$11+$C$11+$F$11)</f>
        <v>0</v>
      </c>
      <c r="CU191">
        <f>($B$11*$K$9+$C$11*$K$9+$F$11*((EP191+EH191)/MAX(EP191+EH191+EQ191, 0.1)*$P$9+EQ191/MAX(EP191+EH191+EQ191, 0.1)*$Q$9))/($B$11+$C$11+$F$11)</f>
        <v>0</v>
      </c>
      <c r="CV191">
        <v>6</v>
      </c>
      <c r="CW191">
        <v>0.5</v>
      </c>
      <c r="CX191" t="s">
        <v>418</v>
      </c>
      <c r="CY191">
        <v>2</v>
      </c>
      <c r="CZ191" t="b">
        <v>1</v>
      </c>
      <c r="DA191">
        <v>1651864746.225</v>
      </c>
      <c r="DB191">
        <v>474.25625</v>
      </c>
      <c r="DC191">
        <v>477.29575</v>
      </c>
      <c r="DD191">
        <v>18.290775</v>
      </c>
      <c r="DE191">
        <v>14.016825</v>
      </c>
      <c r="DF191">
        <v>475.37625</v>
      </c>
      <c r="DG191">
        <v>18.27125</v>
      </c>
      <c r="DH191">
        <v>500.078</v>
      </c>
      <c r="DI191">
        <v>89.93685000000001</v>
      </c>
      <c r="DJ191">
        <v>0.09994985000000001</v>
      </c>
      <c r="DK191">
        <v>25.6522</v>
      </c>
      <c r="DL191">
        <v>25.01065</v>
      </c>
      <c r="DM191">
        <v>999.9</v>
      </c>
      <c r="DN191">
        <v>0</v>
      </c>
      <c r="DO191">
        <v>0</v>
      </c>
      <c r="DP191">
        <v>9986.25</v>
      </c>
      <c r="DQ191">
        <v>0</v>
      </c>
      <c r="DR191">
        <v>3.23193</v>
      </c>
      <c r="DS191">
        <v>-3.039635</v>
      </c>
      <c r="DT191">
        <v>483.0925</v>
      </c>
      <c r="DU191">
        <v>484.08125</v>
      </c>
      <c r="DV191">
        <v>4.27394</v>
      </c>
      <c r="DW191">
        <v>477.29575</v>
      </c>
      <c r="DX191">
        <v>14.016825</v>
      </c>
      <c r="DY191">
        <v>1.645015</v>
      </c>
      <c r="DZ191">
        <v>1.2606275</v>
      </c>
      <c r="EA191">
        <v>14.38705</v>
      </c>
      <c r="EB191">
        <v>10.3375</v>
      </c>
      <c r="EC191">
        <v>1500.0175</v>
      </c>
      <c r="ED191">
        <v>0.9729995</v>
      </c>
      <c r="EE191">
        <v>0.02700055</v>
      </c>
      <c r="EF191">
        <v>0</v>
      </c>
      <c r="EG191">
        <v>853.5977499999999</v>
      </c>
      <c r="EH191">
        <v>5.00097</v>
      </c>
      <c r="EI191">
        <v>12682.725</v>
      </c>
      <c r="EJ191">
        <v>12491.725</v>
      </c>
      <c r="EK191">
        <v>37.25</v>
      </c>
      <c r="EL191">
        <v>38.687</v>
      </c>
      <c r="EM191">
        <v>37.625</v>
      </c>
      <c r="EN191">
        <v>38.437</v>
      </c>
      <c r="EO191">
        <v>38.125</v>
      </c>
      <c r="EP191">
        <v>1454.6525</v>
      </c>
      <c r="EQ191">
        <v>40.365</v>
      </c>
      <c r="ER191">
        <v>0</v>
      </c>
      <c r="ES191">
        <v>526.2000000476837</v>
      </c>
      <c r="ET191">
        <v>0</v>
      </c>
      <c r="EU191">
        <v>855.4050000000002</v>
      </c>
      <c r="EV191">
        <v>-18.22776920154564</v>
      </c>
      <c r="EW191">
        <v>-273.5384610110785</v>
      </c>
      <c r="EX191">
        <v>12710.38</v>
      </c>
      <c r="EY191">
        <v>15</v>
      </c>
      <c r="EZ191">
        <v>1651864261.1</v>
      </c>
      <c r="FA191" t="s">
        <v>419</v>
      </c>
      <c r="FB191">
        <v>1651864241.6</v>
      </c>
      <c r="FC191">
        <v>1651864261.1</v>
      </c>
      <c r="FD191">
        <v>7</v>
      </c>
      <c r="FE191">
        <v>0.438</v>
      </c>
      <c r="FF191">
        <v>0.002</v>
      </c>
      <c r="FG191">
        <v>-0.988</v>
      </c>
      <c r="FH191">
        <v>-0.066</v>
      </c>
      <c r="FI191">
        <v>400</v>
      </c>
      <c r="FJ191">
        <v>11</v>
      </c>
      <c r="FK191">
        <v>0.05</v>
      </c>
      <c r="FL191">
        <v>0.02</v>
      </c>
      <c r="FM191">
        <v>-3.884484</v>
      </c>
      <c r="FN191">
        <v>5.480533058161369</v>
      </c>
      <c r="FO191">
        <v>0.5288878569498452</v>
      </c>
      <c r="FP191">
        <v>-1</v>
      </c>
      <c r="FQ191">
        <v>4.31872925</v>
      </c>
      <c r="FR191">
        <v>-0.3939655159474815</v>
      </c>
      <c r="FS191">
        <v>0.03941440462492742</v>
      </c>
      <c r="FT191">
        <v>-1</v>
      </c>
      <c r="FU191">
        <v>0</v>
      </c>
      <c r="FV191">
        <v>0</v>
      </c>
      <c r="FW191">
        <v>0</v>
      </c>
      <c r="FX191">
        <v>-1</v>
      </c>
      <c r="FY191">
        <v>0</v>
      </c>
      <c r="FZ191">
        <v>0</v>
      </c>
      <c r="GA191" t="s">
        <v>420</v>
      </c>
      <c r="GB191">
        <v>2.98047</v>
      </c>
      <c r="GC191">
        <v>2.70588</v>
      </c>
      <c r="GD191">
        <v>0.101759</v>
      </c>
      <c r="GE191">
        <v>0.101041</v>
      </c>
      <c r="GF191">
        <v>0.0874738</v>
      </c>
      <c r="GG191">
        <v>0.07118620000000001</v>
      </c>
      <c r="GH191">
        <v>28346.2</v>
      </c>
      <c r="GI191">
        <v>28431.8</v>
      </c>
      <c r="GJ191">
        <v>29343.1</v>
      </c>
      <c r="GK191">
        <v>29258.2</v>
      </c>
      <c r="GL191">
        <v>35456.2</v>
      </c>
      <c r="GM191">
        <v>36193.5</v>
      </c>
      <c r="GN191">
        <v>41302.4</v>
      </c>
      <c r="GO191">
        <v>41761.1</v>
      </c>
      <c r="GP191">
        <v>1.95537</v>
      </c>
      <c r="GQ191">
        <v>1.85017</v>
      </c>
      <c r="GR191">
        <v>-0.0212938</v>
      </c>
      <c r="GS191">
        <v>0</v>
      </c>
      <c r="GT191">
        <v>25.3588</v>
      </c>
      <c r="GU191">
        <v>999.9</v>
      </c>
      <c r="GV191">
        <v>31.6</v>
      </c>
      <c r="GW191">
        <v>34.3</v>
      </c>
      <c r="GX191">
        <v>19.0906</v>
      </c>
      <c r="GY191">
        <v>62.4075</v>
      </c>
      <c r="GZ191">
        <v>35.1362</v>
      </c>
      <c r="HA191">
        <v>1</v>
      </c>
      <c r="HB191">
        <v>0.108346</v>
      </c>
      <c r="HC191">
        <v>2.52146</v>
      </c>
      <c r="HD191">
        <v>20.3155</v>
      </c>
      <c r="HE191">
        <v>5.21759</v>
      </c>
      <c r="HF191">
        <v>12.0099</v>
      </c>
      <c r="HG191">
        <v>4.989</v>
      </c>
      <c r="HH191">
        <v>3.2885</v>
      </c>
      <c r="HI191">
        <v>998.7</v>
      </c>
      <c r="HJ191">
        <v>9550.700000000001</v>
      </c>
      <c r="HK191">
        <v>5139.4</v>
      </c>
      <c r="HL191">
        <v>24.9</v>
      </c>
      <c r="HM191">
        <v>1.86752</v>
      </c>
      <c r="HN191">
        <v>1.86646</v>
      </c>
      <c r="HO191">
        <v>1.866</v>
      </c>
      <c r="HP191">
        <v>1.86586</v>
      </c>
      <c r="HQ191">
        <v>1.86768</v>
      </c>
      <c r="HR191">
        <v>1.87018</v>
      </c>
      <c r="HS191">
        <v>1.8689</v>
      </c>
      <c r="HT191">
        <v>1.87027</v>
      </c>
      <c r="HU191">
        <v>0</v>
      </c>
      <c r="HV191">
        <v>0</v>
      </c>
      <c r="HW191">
        <v>0</v>
      </c>
      <c r="HX191">
        <v>0</v>
      </c>
      <c r="HY191" t="s">
        <v>421</v>
      </c>
      <c r="HZ191" t="s">
        <v>422</v>
      </c>
      <c r="IA191" t="s">
        <v>423</v>
      </c>
      <c r="IB191" t="s">
        <v>423</v>
      </c>
      <c r="IC191" t="s">
        <v>423</v>
      </c>
      <c r="ID191" t="s">
        <v>423</v>
      </c>
      <c r="IE191">
        <v>0</v>
      </c>
      <c r="IF191">
        <v>100</v>
      </c>
      <c r="IG191">
        <v>100</v>
      </c>
      <c r="IH191">
        <v>-1.112</v>
      </c>
      <c r="II191">
        <v>0.0196</v>
      </c>
      <c r="IJ191">
        <v>-0.2164499368582429</v>
      </c>
      <c r="IK191">
        <v>-0.002077099775823331</v>
      </c>
      <c r="IL191">
        <v>4.593143279902166E-07</v>
      </c>
      <c r="IM191">
        <v>-1.865383991892071E-10</v>
      </c>
      <c r="IN191">
        <v>-0.06087574426827484</v>
      </c>
      <c r="IO191">
        <v>-0.01129461987421345</v>
      </c>
      <c r="IP191">
        <v>0.00116580895745559</v>
      </c>
      <c r="IQ191">
        <v>-1.679085872906199E-05</v>
      </c>
      <c r="IR191">
        <v>2</v>
      </c>
      <c r="IS191">
        <v>2290</v>
      </c>
      <c r="IT191">
        <v>0</v>
      </c>
      <c r="IU191">
        <v>32</v>
      </c>
      <c r="IV191">
        <v>8.4</v>
      </c>
      <c r="IW191">
        <v>8.1</v>
      </c>
      <c r="IX191">
        <v>1.11694</v>
      </c>
      <c r="IY191">
        <v>2.22656</v>
      </c>
      <c r="IZ191">
        <v>1.39648</v>
      </c>
      <c r="JA191">
        <v>2.35596</v>
      </c>
      <c r="JB191">
        <v>1.49536</v>
      </c>
      <c r="JC191">
        <v>2.31689</v>
      </c>
      <c r="JD191">
        <v>38.5014</v>
      </c>
      <c r="JE191">
        <v>24.035</v>
      </c>
      <c r="JF191">
        <v>18</v>
      </c>
      <c r="JG191">
        <v>511.11</v>
      </c>
      <c r="JH191">
        <v>429.004</v>
      </c>
      <c r="JI191">
        <v>22.0632</v>
      </c>
      <c r="JJ191">
        <v>28.6833</v>
      </c>
      <c r="JK191">
        <v>30.0001</v>
      </c>
      <c r="JL191">
        <v>28.6471</v>
      </c>
      <c r="JM191">
        <v>28.5847</v>
      </c>
      <c r="JN191">
        <v>22.3291</v>
      </c>
      <c r="JO191">
        <v>27.0684</v>
      </c>
      <c r="JP191">
        <v>0</v>
      </c>
      <c r="JQ191">
        <v>22.0612</v>
      </c>
      <c r="JR191">
        <v>453.35</v>
      </c>
      <c r="JS191">
        <v>14.0698</v>
      </c>
      <c r="JT191">
        <v>100.302</v>
      </c>
      <c r="JU191">
        <v>100.229</v>
      </c>
    </row>
    <row r="192" spans="1:281">
      <c r="A192">
        <v>176</v>
      </c>
      <c r="B192">
        <v>1651864749.6</v>
      </c>
      <c r="C192">
        <v>529</v>
      </c>
      <c r="D192" t="s">
        <v>772</v>
      </c>
      <c r="E192" t="s">
        <v>773</v>
      </c>
      <c r="F192">
        <v>2</v>
      </c>
      <c r="G192" t="s">
        <v>413</v>
      </c>
      <c r="H192" t="s">
        <v>414</v>
      </c>
      <c r="I192">
        <v>1651864748.6</v>
      </c>
      <c r="J192">
        <f>(K192)/1000</f>
        <v>0</v>
      </c>
      <c r="K192">
        <f>IF(CZ192, AN192, AH192)</f>
        <v>0</v>
      </c>
      <c r="L192">
        <f>IF(CZ192, AI192, AG192)</f>
        <v>0</v>
      </c>
      <c r="M192">
        <f>DB192 - IF(AU192&gt;1, L192*CV192*100.0/(AW192*DP192), 0)</f>
        <v>0</v>
      </c>
      <c r="N192">
        <f>((T192-J192/2)*M192-L192)/(T192+J192/2)</f>
        <v>0</v>
      </c>
      <c r="O192">
        <f>N192*(DI192+DJ192)/1000.0</f>
        <v>0</v>
      </c>
      <c r="P192">
        <f>(DB192 - IF(AU192&gt;1, L192*CV192*100.0/(AW192*DP192), 0))*(DI192+DJ192)/1000.0</f>
        <v>0</v>
      </c>
      <c r="Q192">
        <f>2.0/((1/S192-1/R192)+SIGN(S192)*SQRT((1/S192-1/R192)*(1/S192-1/R192) + 4*CW192/((CW192+1)*(CW192+1))*(2*1/S192*1/R192-1/R192*1/R192)))</f>
        <v>0</v>
      </c>
      <c r="R192">
        <f>IF(LEFT(CX192,1)&lt;&gt;"0",IF(LEFT(CX192,1)="1",3.0,CY192),$D$5+$E$5*(DP192*DI192/($K$5*1000))+$F$5*(DP192*DI192/($K$5*1000))*MAX(MIN(CV192,$J$5),$I$5)*MAX(MIN(CV192,$J$5),$I$5)+$G$5*MAX(MIN(CV192,$J$5),$I$5)*(DP192*DI192/($K$5*1000))+$H$5*(DP192*DI192/($K$5*1000))*(DP192*DI192/($K$5*1000)))</f>
        <v>0</v>
      </c>
      <c r="S192">
        <f>J192*(1000-(1000*0.61365*exp(17.502*W192/(240.97+W192))/(DI192+DJ192)+DD192)/2)/(1000*0.61365*exp(17.502*W192/(240.97+W192))/(DI192+DJ192)-DD192)</f>
        <v>0</v>
      </c>
      <c r="T192">
        <f>1/((CW192+1)/(Q192/1.6)+1/(R192/1.37)) + CW192/((CW192+1)/(Q192/1.6) + CW192/(R192/1.37))</f>
        <v>0</v>
      </c>
      <c r="U192">
        <f>(CR192*CU192)</f>
        <v>0</v>
      </c>
      <c r="V192">
        <f>(DK192+(U192+2*0.95*5.67E-8*(((DK192+$B$7)+273)^4-(DK192+273)^4)-44100*J192)/(1.84*29.3*R192+8*0.95*5.67E-8*(DK192+273)^3))</f>
        <v>0</v>
      </c>
      <c r="W192">
        <f>($C$7*DL192+$D$7*DM192+$E$7*V192)</f>
        <v>0</v>
      </c>
      <c r="X192">
        <f>0.61365*exp(17.502*W192/(240.97+W192))</f>
        <v>0</v>
      </c>
      <c r="Y192">
        <f>(Z192/AA192*100)</f>
        <v>0</v>
      </c>
      <c r="Z192">
        <f>DD192*(DI192+DJ192)/1000</f>
        <v>0</v>
      </c>
      <c r="AA192">
        <f>0.61365*exp(17.502*DK192/(240.97+DK192))</f>
        <v>0</v>
      </c>
      <c r="AB192">
        <f>(X192-DD192*(DI192+DJ192)/1000)</f>
        <v>0</v>
      </c>
      <c r="AC192">
        <f>(-J192*44100)</f>
        <v>0</v>
      </c>
      <c r="AD192">
        <f>2*29.3*R192*0.92*(DK192-W192)</f>
        <v>0</v>
      </c>
      <c r="AE192">
        <f>2*0.95*5.67E-8*(((DK192+$B$7)+273)^4-(W192+273)^4)</f>
        <v>0</v>
      </c>
      <c r="AF192">
        <f>U192+AE192+AC192+AD192</f>
        <v>0</v>
      </c>
      <c r="AG192">
        <f>DH192*AU192*(DC192-DB192*(1000-AU192*DE192)/(1000-AU192*DD192))/(100*CV192)</f>
        <v>0</v>
      </c>
      <c r="AH192">
        <f>1000*DH192*AU192*(DD192-DE192)/(100*CV192*(1000-AU192*DD192))</f>
        <v>0</v>
      </c>
      <c r="AI192">
        <f>(AJ192 - AK192 - DI192*1E3/(8.314*(DK192+273.15)) * AM192/DH192 * AL192) * DH192/(100*CV192) * (1000 - DE192)/1000</f>
        <v>0</v>
      </c>
      <c r="AJ192">
        <v>482.0576860960439</v>
      </c>
      <c r="AK192">
        <v>473.7277030303027</v>
      </c>
      <c r="AL192">
        <v>-3.256573923416235</v>
      </c>
      <c r="AM192">
        <v>66.38192812717227</v>
      </c>
      <c r="AN192">
        <f>(AP192 - AO192 + DI192*1E3/(8.314*(DK192+273.15)) * AR192/DH192 * AQ192) * DH192/(100*CV192) * 1000/(1000 - AP192)</f>
        <v>0</v>
      </c>
      <c r="AO192">
        <v>14.01598675672891</v>
      </c>
      <c r="AP192">
        <v>18.29894617647058</v>
      </c>
      <c r="AQ192">
        <v>0.006521556461387259</v>
      </c>
      <c r="AR192">
        <v>80.47224507511959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MAX(0,($B$13+$C$13*DP192)/(1+$D$13*DP192)*DI192/(DK192+273)*$E$13)</f>
        <v>0</v>
      </c>
      <c r="AX192" t="s">
        <v>417</v>
      </c>
      <c r="AY192" t="s">
        <v>417</v>
      </c>
      <c r="AZ192">
        <v>0</v>
      </c>
      <c r="BA192">
        <v>0</v>
      </c>
      <c r="BB192">
        <f>1-AZ192/BA192</f>
        <v>0</v>
      </c>
      <c r="BC192">
        <v>0</v>
      </c>
      <c r="BD192" t="s">
        <v>417</v>
      </c>
      <c r="BE192" t="s">
        <v>417</v>
      </c>
      <c r="BF192">
        <v>0</v>
      </c>
      <c r="BG192">
        <v>0</v>
      </c>
      <c r="BH192">
        <f>1-BF192/BG192</f>
        <v>0</v>
      </c>
      <c r="BI192">
        <v>0.5</v>
      </c>
      <c r="BJ192">
        <f>CS192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417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1248</v>
      </c>
      <c r="CA192">
        <v>300</v>
      </c>
      <c r="CB192">
        <v>300</v>
      </c>
      <c r="CC192">
        <v>300</v>
      </c>
      <c r="CD192">
        <v>10442</v>
      </c>
      <c r="CE192">
        <v>1293.69</v>
      </c>
      <c r="CF192">
        <v>-0.00735246</v>
      </c>
      <c r="CG192">
        <v>0.5</v>
      </c>
      <c r="CH192" t="s">
        <v>417</v>
      </c>
      <c r="CI192" t="s">
        <v>417</v>
      </c>
      <c r="CJ192" t="s">
        <v>417</v>
      </c>
      <c r="CK192" t="s">
        <v>417</v>
      </c>
      <c r="CL192" t="s">
        <v>417</v>
      </c>
      <c r="CM192" t="s">
        <v>417</v>
      </c>
      <c r="CN192" t="s">
        <v>417</v>
      </c>
      <c r="CO192" t="s">
        <v>417</v>
      </c>
      <c r="CP192" t="s">
        <v>417</v>
      </c>
      <c r="CQ192" t="s">
        <v>417</v>
      </c>
      <c r="CR192">
        <f>$B$11*DQ192+$C$11*DR192+$F$11*EC192*(1-EF192)</f>
        <v>0</v>
      </c>
      <c r="CS192">
        <f>CR192*CT192</f>
        <v>0</v>
      </c>
      <c r="CT192">
        <f>($B$11*$D$9+$C$11*$D$9+$F$11*((EP192+EH192)/MAX(EP192+EH192+EQ192, 0.1)*$I$9+EQ192/MAX(EP192+EH192+EQ192, 0.1)*$J$9))/($B$11+$C$11+$F$11)</f>
        <v>0</v>
      </c>
      <c r="CU192">
        <f>($B$11*$K$9+$C$11*$K$9+$F$11*((EP192+EH192)/MAX(EP192+EH192+EQ192, 0.1)*$P$9+EQ192/MAX(EP192+EH192+EQ192, 0.1)*$Q$9))/($B$11+$C$11+$F$11)</f>
        <v>0</v>
      </c>
      <c r="CV192">
        <v>6</v>
      </c>
      <c r="CW192">
        <v>0.5</v>
      </c>
      <c r="CX192" t="s">
        <v>418</v>
      </c>
      <c r="CY192">
        <v>2</v>
      </c>
      <c r="CZ192" t="b">
        <v>1</v>
      </c>
      <c r="DA192">
        <v>1651864748.6</v>
      </c>
      <c r="DB192">
        <v>466.658</v>
      </c>
      <c r="DC192">
        <v>469.4506666666666</v>
      </c>
      <c r="DD192">
        <v>18.2973</v>
      </c>
      <c r="DE192">
        <v>14.01756666666667</v>
      </c>
      <c r="DF192">
        <v>467.7646666666666</v>
      </c>
      <c r="DG192">
        <v>18.2777</v>
      </c>
      <c r="DH192">
        <v>499.9876666666667</v>
      </c>
      <c r="DI192">
        <v>89.93266666666666</v>
      </c>
      <c r="DJ192">
        <v>0.09991270000000001</v>
      </c>
      <c r="DK192">
        <v>25.65096666666667</v>
      </c>
      <c r="DL192">
        <v>25.01013333333333</v>
      </c>
      <c r="DM192">
        <v>999.9</v>
      </c>
      <c r="DN192">
        <v>0</v>
      </c>
      <c r="DO192">
        <v>0</v>
      </c>
      <c r="DP192">
        <v>9979.376666666665</v>
      </c>
      <c r="DQ192">
        <v>0</v>
      </c>
      <c r="DR192">
        <v>3.23193</v>
      </c>
      <c r="DS192">
        <v>-2.792736666666666</v>
      </c>
      <c r="DT192">
        <v>475.3553333333334</v>
      </c>
      <c r="DU192">
        <v>476.1246666666667</v>
      </c>
      <c r="DV192">
        <v>4.279753333333333</v>
      </c>
      <c r="DW192">
        <v>469.4506666666666</v>
      </c>
      <c r="DX192">
        <v>14.01756666666667</v>
      </c>
      <c r="DY192">
        <v>1.64553</v>
      </c>
      <c r="DZ192">
        <v>1.26064</v>
      </c>
      <c r="EA192">
        <v>14.3919</v>
      </c>
      <c r="EB192">
        <v>10.33756666666667</v>
      </c>
      <c r="EC192">
        <v>1500.073333333333</v>
      </c>
      <c r="ED192">
        <v>0.9729953333333333</v>
      </c>
      <c r="EE192">
        <v>0.0270046</v>
      </c>
      <c r="EF192">
        <v>0</v>
      </c>
      <c r="EG192">
        <v>852.7056666666667</v>
      </c>
      <c r="EH192">
        <v>5.00097</v>
      </c>
      <c r="EI192">
        <v>12673.26666666667</v>
      </c>
      <c r="EJ192">
        <v>12492.2</v>
      </c>
      <c r="EK192">
        <v>37.25</v>
      </c>
      <c r="EL192">
        <v>38.687</v>
      </c>
      <c r="EM192">
        <v>37.625</v>
      </c>
      <c r="EN192">
        <v>38.437</v>
      </c>
      <c r="EO192">
        <v>38.125</v>
      </c>
      <c r="EP192">
        <v>1454.7</v>
      </c>
      <c r="EQ192">
        <v>40.37333333333333</v>
      </c>
      <c r="ER192">
        <v>0</v>
      </c>
      <c r="ES192">
        <v>528.6000001430511</v>
      </c>
      <c r="ET192">
        <v>0</v>
      </c>
      <c r="EU192">
        <v>854.64276</v>
      </c>
      <c r="EV192">
        <v>-17.88292304826903</v>
      </c>
      <c r="EW192">
        <v>-268.1999994711871</v>
      </c>
      <c r="EX192">
        <v>12699.628</v>
      </c>
      <c r="EY192">
        <v>15</v>
      </c>
      <c r="EZ192">
        <v>1651864261.1</v>
      </c>
      <c r="FA192" t="s">
        <v>419</v>
      </c>
      <c r="FB192">
        <v>1651864241.6</v>
      </c>
      <c r="FC192">
        <v>1651864261.1</v>
      </c>
      <c r="FD192">
        <v>7</v>
      </c>
      <c r="FE192">
        <v>0.438</v>
      </c>
      <c r="FF192">
        <v>0.002</v>
      </c>
      <c r="FG192">
        <v>-0.988</v>
      </c>
      <c r="FH192">
        <v>-0.066</v>
      </c>
      <c r="FI192">
        <v>400</v>
      </c>
      <c r="FJ192">
        <v>11</v>
      </c>
      <c r="FK192">
        <v>0.05</v>
      </c>
      <c r="FL192">
        <v>0.02</v>
      </c>
      <c r="FM192">
        <v>-3.796401</v>
      </c>
      <c r="FN192">
        <v>5.598505666041286</v>
      </c>
      <c r="FO192">
        <v>0.5397029863628697</v>
      </c>
      <c r="FP192">
        <v>-1</v>
      </c>
      <c r="FQ192">
        <v>4.31433725</v>
      </c>
      <c r="FR192">
        <v>-0.3821192870544141</v>
      </c>
      <c r="FS192">
        <v>0.03867572513783677</v>
      </c>
      <c r="FT192">
        <v>-1</v>
      </c>
      <c r="FU192">
        <v>0</v>
      </c>
      <c r="FV192">
        <v>0</v>
      </c>
      <c r="FW192">
        <v>0</v>
      </c>
      <c r="FX192">
        <v>-1</v>
      </c>
      <c r="FY192">
        <v>0</v>
      </c>
      <c r="FZ192">
        <v>0</v>
      </c>
      <c r="GA192" t="s">
        <v>420</v>
      </c>
      <c r="GB192">
        <v>2.98037</v>
      </c>
      <c r="GC192">
        <v>2.70594</v>
      </c>
      <c r="GD192">
        <v>0.100732</v>
      </c>
      <c r="GE192">
        <v>0.0999868</v>
      </c>
      <c r="GF192">
        <v>0.0874774</v>
      </c>
      <c r="GG192">
        <v>0.07118720000000001</v>
      </c>
      <c r="GH192">
        <v>28378.9</v>
      </c>
      <c r="GI192">
        <v>28465.2</v>
      </c>
      <c r="GJ192">
        <v>29343.4</v>
      </c>
      <c r="GK192">
        <v>29258.2</v>
      </c>
      <c r="GL192">
        <v>35456.4</v>
      </c>
      <c r="GM192">
        <v>36193.5</v>
      </c>
      <c r="GN192">
        <v>41302.8</v>
      </c>
      <c r="GO192">
        <v>41761.1</v>
      </c>
      <c r="GP192">
        <v>1.95525</v>
      </c>
      <c r="GQ192">
        <v>1.85</v>
      </c>
      <c r="GR192">
        <v>-0.0213161</v>
      </c>
      <c r="GS192">
        <v>0</v>
      </c>
      <c r="GT192">
        <v>25.3588</v>
      </c>
      <c r="GU192">
        <v>999.9</v>
      </c>
      <c r="GV192">
        <v>31.6</v>
      </c>
      <c r="GW192">
        <v>34.3</v>
      </c>
      <c r="GX192">
        <v>19.0899</v>
      </c>
      <c r="GY192">
        <v>62.2675</v>
      </c>
      <c r="GZ192">
        <v>34.988</v>
      </c>
      <c r="HA192">
        <v>1</v>
      </c>
      <c r="HB192">
        <v>0.108557</v>
      </c>
      <c r="HC192">
        <v>2.51387</v>
      </c>
      <c r="HD192">
        <v>20.3156</v>
      </c>
      <c r="HE192">
        <v>5.21744</v>
      </c>
      <c r="HF192">
        <v>12.0099</v>
      </c>
      <c r="HG192">
        <v>4.98905</v>
      </c>
      <c r="HH192">
        <v>3.2885</v>
      </c>
      <c r="HI192">
        <v>998.7</v>
      </c>
      <c r="HJ192">
        <v>9550.700000000001</v>
      </c>
      <c r="HK192">
        <v>5139.4</v>
      </c>
      <c r="HL192">
        <v>24.9</v>
      </c>
      <c r="HM192">
        <v>1.86752</v>
      </c>
      <c r="HN192">
        <v>1.86647</v>
      </c>
      <c r="HO192">
        <v>1.866</v>
      </c>
      <c r="HP192">
        <v>1.86586</v>
      </c>
      <c r="HQ192">
        <v>1.86768</v>
      </c>
      <c r="HR192">
        <v>1.87018</v>
      </c>
      <c r="HS192">
        <v>1.86889</v>
      </c>
      <c r="HT192">
        <v>1.87026</v>
      </c>
      <c r="HU192">
        <v>0</v>
      </c>
      <c r="HV192">
        <v>0</v>
      </c>
      <c r="HW192">
        <v>0</v>
      </c>
      <c r="HX192">
        <v>0</v>
      </c>
      <c r="HY192" t="s">
        <v>421</v>
      </c>
      <c r="HZ192" t="s">
        <v>422</v>
      </c>
      <c r="IA192" t="s">
        <v>423</v>
      </c>
      <c r="IB192" t="s">
        <v>423</v>
      </c>
      <c r="IC192" t="s">
        <v>423</v>
      </c>
      <c r="ID192" t="s">
        <v>423</v>
      </c>
      <c r="IE192">
        <v>0</v>
      </c>
      <c r="IF192">
        <v>100</v>
      </c>
      <c r="IG192">
        <v>100</v>
      </c>
      <c r="IH192">
        <v>-1.101</v>
      </c>
      <c r="II192">
        <v>0.0197</v>
      </c>
      <c r="IJ192">
        <v>-0.2164499368582429</v>
      </c>
      <c r="IK192">
        <v>-0.002077099775823331</v>
      </c>
      <c r="IL192">
        <v>4.593143279902166E-07</v>
      </c>
      <c r="IM192">
        <v>-1.865383991892071E-10</v>
      </c>
      <c r="IN192">
        <v>-0.06087574426827484</v>
      </c>
      <c r="IO192">
        <v>-0.01129461987421345</v>
      </c>
      <c r="IP192">
        <v>0.00116580895745559</v>
      </c>
      <c r="IQ192">
        <v>-1.679085872906199E-05</v>
      </c>
      <c r="IR192">
        <v>2</v>
      </c>
      <c r="IS192">
        <v>2290</v>
      </c>
      <c r="IT192">
        <v>0</v>
      </c>
      <c r="IU192">
        <v>32</v>
      </c>
      <c r="IV192">
        <v>8.5</v>
      </c>
      <c r="IW192">
        <v>8.1</v>
      </c>
      <c r="IX192">
        <v>1.10474</v>
      </c>
      <c r="IY192">
        <v>2.22656</v>
      </c>
      <c r="IZ192">
        <v>1.39648</v>
      </c>
      <c r="JA192">
        <v>2.35596</v>
      </c>
      <c r="JB192">
        <v>1.49536</v>
      </c>
      <c r="JC192">
        <v>2.36572</v>
      </c>
      <c r="JD192">
        <v>38.5014</v>
      </c>
      <c r="JE192">
        <v>24.035</v>
      </c>
      <c r="JF192">
        <v>18</v>
      </c>
      <c r="JG192">
        <v>511.028</v>
      </c>
      <c r="JH192">
        <v>428.899</v>
      </c>
      <c r="JI192">
        <v>22.0586</v>
      </c>
      <c r="JJ192">
        <v>28.6846</v>
      </c>
      <c r="JK192">
        <v>30.0001</v>
      </c>
      <c r="JL192">
        <v>28.6471</v>
      </c>
      <c r="JM192">
        <v>28.5847</v>
      </c>
      <c r="JN192">
        <v>22.0689</v>
      </c>
      <c r="JO192">
        <v>27.0684</v>
      </c>
      <c r="JP192">
        <v>0</v>
      </c>
      <c r="JQ192">
        <v>22.0502</v>
      </c>
      <c r="JR192">
        <v>446.671</v>
      </c>
      <c r="JS192">
        <v>14.0767</v>
      </c>
      <c r="JT192">
        <v>100.303</v>
      </c>
      <c r="JU192">
        <v>100.229</v>
      </c>
    </row>
    <row r="193" spans="1:281">
      <c r="A193">
        <v>177</v>
      </c>
      <c r="B193">
        <v>1651864751.6</v>
      </c>
      <c r="C193">
        <v>531</v>
      </c>
      <c r="D193" t="s">
        <v>774</v>
      </c>
      <c r="E193" t="s">
        <v>775</v>
      </c>
      <c r="F193">
        <v>2</v>
      </c>
      <c r="G193" t="s">
        <v>413</v>
      </c>
      <c r="H193" t="s">
        <v>414</v>
      </c>
      <c r="I193">
        <v>1651864750.225</v>
      </c>
      <c r="J193">
        <f>(K193)/1000</f>
        <v>0</v>
      </c>
      <c r="K193">
        <f>IF(CZ193, AN193, AH193)</f>
        <v>0</v>
      </c>
      <c r="L193">
        <f>IF(CZ193, AI193, AG193)</f>
        <v>0</v>
      </c>
      <c r="M193">
        <f>DB193 - IF(AU193&gt;1, L193*CV193*100.0/(AW193*DP193), 0)</f>
        <v>0</v>
      </c>
      <c r="N193">
        <f>((T193-J193/2)*M193-L193)/(T193+J193/2)</f>
        <v>0</v>
      </c>
      <c r="O193">
        <f>N193*(DI193+DJ193)/1000.0</f>
        <v>0</v>
      </c>
      <c r="P193">
        <f>(DB193 - IF(AU193&gt;1, L193*CV193*100.0/(AW193*DP193), 0))*(DI193+DJ193)/1000.0</f>
        <v>0</v>
      </c>
      <c r="Q193">
        <f>2.0/((1/S193-1/R193)+SIGN(S193)*SQRT((1/S193-1/R193)*(1/S193-1/R193) + 4*CW193/((CW193+1)*(CW193+1))*(2*1/S193*1/R193-1/R193*1/R193)))</f>
        <v>0</v>
      </c>
      <c r="R193">
        <f>IF(LEFT(CX193,1)&lt;&gt;"0",IF(LEFT(CX193,1)="1",3.0,CY193),$D$5+$E$5*(DP193*DI193/($K$5*1000))+$F$5*(DP193*DI193/($K$5*1000))*MAX(MIN(CV193,$J$5),$I$5)*MAX(MIN(CV193,$J$5),$I$5)+$G$5*MAX(MIN(CV193,$J$5),$I$5)*(DP193*DI193/($K$5*1000))+$H$5*(DP193*DI193/($K$5*1000))*(DP193*DI193/($K$5*1000)))</f>
        <v>0</v>
      </c>
      <c r="S193">
        <f>J193*(1000-(1000*0.61365*exp(17.502*W193/(240.97+W193))/(DI193+DJ193)+DD193)/2)/(1000*0.61365*exp(17.502*W193/(240.97+W193))/(DI193+DJ193)-DD193)</f>
        <v>0</v>
      </c>
      <c r="T193">
        <f>1/((CW193+1)/(Q193/1.6)+1/(R193/1.37)) + CW193/((CW193+1)/(Q193/1.6) + CW193/(R193/1.37))</f>
        <v>0</v>
      </c>
      <c r="U193">
        <f>(CR193*CU193)</f>
        <v>0</v>
      </c>
      <c r="V193">
        <f>(DK193+(U193+2*0.95*5.67E-8*(((DK193+$B$7)+273)^4-(DK193+273)^4)-44100*J193)/(1.84*29.3*R193+8*0.95*5.67E-8*(DK193+273)^3))</f>
        <v>0</v>
      </c>
      <c r="W193">
        <f>($C$7*DL193+$D$7*DM193+$E$7*V193)</f>
        <v>0</v>
      </c>
      <c r="X193">
        <f>0.61365*exp(17.502*W193/(240.97+W193))</f>
        <v>0</v>
      </c>
      <c r="Y193">
        <f>(Z193/AA193*100)</f>
        <v>0</v>
      </c>
      <c r="Z193">
        <f>DD193*(DI193+DJ193)/1000</f>
        <v>0</v>
      </c>
      <c r="AA193">
        <f>0.61365*exp(17.502*DK193/(240.97+DK193))</f>
        <v>0</v>
      </c>
      <c r="AB193">
        <f>(X193-DD193*(DI193+DJ193)/1000)</f>
        <v>0</v>
      </c>
      <c r="AC193">
        <f>(-J193*44100)</f>
        <v>0</v>
      </c>
      <c r="AD193">
        <f>2*29.3*R193*0.92*(DK193-W193)</f>
        <v>0</v>
      </c>
      <c r="AE193">
        <f>2*0.95*5.67E-8*(((DK193+$B$7)+273)^4-(W193+273)^4)</f>
        <v>0</v>
      </c>
      <c r="AF193">
        <f>U193+AE193+AC193+AD193</f>
        <v>0</v>
      </c>
      <c r="AG193">
        <f>DH193*AU193*(DC193-DB193*(1000-AU193*DE193)/(1000-AU193*DD193))/(100*CV193)</f>
        <v>0</v>
      </c>
      <c r="AH193">
        <f>1000*DH193*AU193*(DD193-DE193)/(100*CV193*(1000-AU193*DD193))</f>
        <v>0</v>
      </c>
      <c r="AI193">
        <f>(AJ193 - AK193 - DI193*1E3/(8.314*(DK193+273.15)) * AM193/DH193 * AL193) * DH193/(100*CV193) * (1000 - DE193)/1000</f>
        <v>0</v>
      </c>
      <c r="AJ193">
        <v>475.3545713696803</v>
      </c>
      <c r="AK193">
        <v>467.2089151515152</v>
      </c>
      <c r="AL193">
        <v>-3.255080254706729</v>
      </c>
      <c r="AM193">
        <v>66.38192812717227</v>
      </c>
      <c r="AN193">
        <f>(AP193 - AO193 + DI193*1E3/(8.314*(DK193+273.15)) * AR193/DH193 * AQ193) * DH193/(100*CV193) * 1000/(1000 - AP193)</f>
        <v>0</v>
      </c>
      <c r="AO193">
        <v>14.01710055886044</v>
      </c>
      <c r="AP193">
        <v>18.29498088235294</v>
      </c>
      <c r="AQ193">
        <v>0.006654728885518253</v>
      </c>
      <c r="AR193">
        <v>80.47224507511959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MAX(0,($B$13+$C$13*DP193)/(1+$D$13*DP193)*DI193/(DK193+273)*$E$13)</f>
        <v>0</v>
      </c>
      <c r="AX193" t="s">
        <v>417</v>
      </c>
      <c r="AY193" t="s">
        <v>417</v>
      </c>
      <c r="AZ193">
        <v>0</v>
      </c>
      <c r="BA193">
        <v>0</v>
      </c>
      <c r="BB193">
        <f>1-AZ193/BA193</f>
        <v>0</v>
      </c>
      <c r="BC193">
        <v>0</v>
      </c>
      <c r="BD193" t="s">
        <v>417</v>
      </c>
      <c r="BE193" t="s">
        <v>417</v>
      </c>
      <c r="BF193">
        <v>0</v>
      </c>
      <c r="BG193">
        <v>0</v>
      </c>
      <c r="BH193">
        <f>1-BF193/BG193</f>
        <v>0</v>
      </c>
      <c r="BI193">
        <v>0.5</v>
      </c>
      <c r="BJ193">
        <f>CS193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417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1248</v>
      </c>
      <c r="CA193">
        <v>300</v>
      </c>
      <c r="CB193">
        <v>300</v>
      </c>
      <c r="CC193">
        <v>300</v>
      </c>
      <c r="CD193">
        <v>10442</v>
      </c>
      <c r="CE193">
        <v>1293.69</v>
      </c>
      <c r="CF193">
        <v>-0.00735246</v>
      </c>
      <c r="CG193">
        <v>0.5</v>
      </c>
      <c r="CH193" t="s">
        <v>417</v>
      </c>
      <c r="CI193" t="s">
        <v>417</v>
      </c>
      <c r="CJ193" t="s">
        <v>417</v>
      </c>
      <c r="CK193" t="s">
        <v>417</v>
      </c>
      <c r="CL193" t="s">
        <v>417</v>
      </c>
      <c r="CM193" t="s">
        <v>417</v>
      </c>
      <c r="CN193" t="s">
        <v>417</v>
      </c>
      <c r="CO193" t="s">
        <v>417</v>
      </c>
      <c r="CP193" t="s">
        <v>417</v>
      </c>
      <c r="CQ193" t="s">
        <v>417</v>
      </c>
      <c r="CR193">
        <f>$B$11*DQ193+$C$11*DR193+$F$11*EC193*(1-EF193)</f>
        <v>0</v>
      </c>
      <c r="CS193">
        <f>CR193*CT193</f>
        <v>0</v>
      </c>
      <c r="CT193">
        <f>($B$11*$D$9+$C$11*$D$9+$F$11*((EP193+EH193)/MAX(EP193+EH193+EQ193, 0.1)*$I$9+EQ193/MAX(EP193+EH193+EQ193, 0.1)*$J$9))/($B$11+$C$11+$F$11)</f>
        <v>0</v>
      </c>
      <c r="CU193">
        <f>($B$11*$K$9+$C$11*$K$9+$F$11*((EP193+EH193)/MAX(EP193+EH193+EQ193, 0.1)*$P$9+EQ193/MAX(EP193+EH193+EQ193, 0.1)*$Q$9))/($B$11+$C$11+$F$11)</f>
        <v>0</v>
      </c>
      <c r="CV193">
        <v>6</v>
      </c>
      <c r="CW193">
        <v>0.5</v>
      </c>
      <c r="CX193" t="s">
        <v>418</v>
      </c>
      <c r="CY193">
        <v>2</v>
      </c>
      <c r="CZ193" t="b">
        <v>1</v>
      </c>
      <c r="DA193">
        <v>1651864750.225</v>
      </c>
      <c r="DB193">
        <v>461.46</v>
      </c>
      <c r="DC193">
        <v>464.06125</v>
      </c>
      <c r="DD193">
        <v>18.296375</v>
      </c>
      <c r="DE193">
        <v>14.0181</v>
      </c>
      <c r="DF193">
        <v>462.5575</v>
      </c>
      <c r="DG193">
        <v>18.276775</v>
      </c>
      <c r="DH193">
        <v>500.01025</v>
      </c>
      <c r="DI193">
        <v>89.93275</v>
      </c>
      <c r="DJ193">
        <v>0.099929925</v>
      </c>
      <c r="DK193">
        <v>25.64845</v>
      </c>
      <c r="DL193">
        <v>25.008625</v>
      </c>
      <c r="DM193">
        <v>999.9</v>
      </c>
      <c r="DN193">
        <v>0</v>
      </c>
      <c r="DO193">
        <v>0</v>
      </c>
      <c r="DP193">
        <v>9986.719999999999</v>
      </c>
      <c r="DQ193">
        <v>0</v>
      </c>
      <c r="DR193">
        <v>3.23193</v>
      </c>
      <c r="DS193">
        <v>-2.60115</v>
      </c>
      <c r="DT193">
        <v>470.06025</v>
      </c>
      <c r="DU193">
        <v>470.6587500000001</v>
      </c>
      <c r="DV193">
        <v>4.27829</v>
      </c>
      <c r="DW193">
        <v>464.06125</v>
      </c>
      <c r="DX193">
        <v>14.0181</v>
      </c>
      <c r="DY193">
        <v>1.6454475</v>
      </c>
      <c r="DZ193">
        <v>1.2606875</v>
      </c>
      <c r="EA193">
        <v>14.3911</v>
      </c>
      <c r="EB193">
        <v>10.33815</v>
      </c>
      <c r="EC193">
        <v>1499.86</v>
      </c>
      <c r="ED193">
        <v>0.973007</v>
      </c>
      <c r="EE193">
        <v>0.0269931</v>
      </c>
      <c r="EF193">
        <v>0</v>
      </c>
      <c r="EG193">
        <v>852.296</v>
      </c>
      <c r="EH193">
        <v>5.00097</v>
      </c>
      <c r="EI193">
        <v>12663.55</v>
      </c>
      <c r="EJ193">
        <v>12490.475</v>
      </c>
      <c r="EK193">
        <v>37.25</v>
      </c>
      <c r="EL193">
        <v>38.687</v>
      </c>
      <c r="EM193">
        <v>37.625</v>
      </c>
      <c r="EN193">
        <v>38.437</v>
      </c>
      <c r="EO193">
        <v>38.125</v>
      </c>
      <c r="EP193">
        <v>1454.51</v>
      </c>
      <c r="EQ193">
        <v>40.35</v>
      </c>
      <c r="ER193">
        <v>0</v>
      </c>
      <c r="ES193">
        <v>530.4000000953674</v>
      </c>
      <c r="ET193">
        <v>0</v>
      </c>
      <c r="EU193">
        <v>854.1740769230769</v>
      </c>
      <c r="EV193">
        <v>-18.04102564199457</v>
      </c>
      <c r="EW193">
        <v>-269.6752137113361</v>
      </c>
      <c r="EX193">
        <v>12692.83076923077</v>
      </c>
      <c r="EY193">
        <v>15</v>
      </c>
      <c r="EZ193">
        <v>1651864261.1</v>
      </c>
      <c r="FA193" t="s">
        <v>419</v>
      </c>
      <c r="FB193">
        <v>1651864241.6</v>
      </c>
      <c r="FC193">
        <v>1651864261.1</v>
      </c>
      <c r="FD193">
        <v>7</v>
      </c>
      <c r="FE193">
        <v>0.438</v>
      </c>
      <c r="FF193">
        <v>0.002</v>
      </c>
      <c r="FG193">
        <v>-0.988</v>
      </c>
      <c r="FH193">
        <v>-0.066</v>
      </c>
      <c r="FI193">
        <v>400</v>
      </c>
      <c r="FJ193">
        <v>11</v>
      </c>
      <c r="FK193">
        <v>0.05</v>
      </c>
      <c r="FL193">
        <v>0.02</v>
      </c>
      <c r="FM193">
        <v>-3.51238525</v>
      </c>
      <c r="FN193">
        <v>5.944161613508454</v>
      </c>
      <c r="FO193">
        <v>0.5722790584321057</v>
      </c>
      <c r="FP193">
        <v>-1</v>
      </c>
      <c r="FQ193">
        <v>4.301285249999999</v>
      </c>
      <c r="FR193">
        <v>-0.3042852157598631</v>
      </c>
      <c r="FS193">
        <v>0.03344760813477551</v>
      </c>
      <c r="FT193">
        <v>-1</v>
      </c>
      <c r="FU193">
        <v>0</v>
      </c>
      <c r="FV193">
        <v>0</v>
      </c>
      <c r="FW193">
        <v>0</v>
      </c>
      <c r="FX193">
        <v>-1</v>
      </c>
      <c r="FY193">
        <v>0</v>
      </c>
      <c r="FZ193">
        <v>0</v>
      </c>
      <c r="GA193" t="s">
        <v>420</v>
      </c>
      <c r="GB193">
        <v>2.98051</v>
      </c>
      <c r="GC193">
        <v>2.70612</v>
      </c>
      <c r="GD193">
        <v>0.0997025</v>
      </c>
      <c r="GE193">
        <v>0.0989255</v>
      </c>
      <c r="GF193">
        <v>0.0874709</v>
      </c>
      <c r="GG193">
        <v>0.0711907</v>
      </c>
      <c r="GH193">
        <v>28411.7</v>
      </c>
      <c r="GI193">
        <v>28498.8</v>
      </c>
      <c r="GJ193">
        <v>29343.7</v>
      </c>
      <c r="GK193">
        <v>29258.2</v>
      </c>
      <c r="GL193">
        <v>35456.9</v>
      </c>
      <c r="GM193">
        <v>36193.3</v>
      </c>
      <c r="GN193">
        <v>41303</v>
      </c>
      <c r="GO193">
        <v>41761.1</v>
      </c>
      <c r="GP193">
        <v>1.95505</v>
      </c>
      <c r="GQ193">
        <v>1.84982</v>
      </c>
      <c r="GR193">
        <v>-0.0215396</v>
      </c>
      <c r="GS193">
        <v>0</v>
      </c>
      <c r="GT193">
        <v>25.3586</v>
      </c>
      <c r="GU193">
        <v>999.9</v>
      </c>
      <c r="GV193">
        <v>31.6</v>
      </c>
      <c r="GW193">
        <v>34.3</v>
      </c>
      <c r="GX193">
        <v>19.0889</v>
      </c>
      <c r="GY193">
        <v>62.4575</v>
      </c>
      <c r="GZ193">
        <v>34.8798</v>
      </c>
      <c r="HA193">
        <v>1</v>
      </c>
      <c r="HB193">
        <v>0.108521</v>
      </c>
      <c r="HC193">
        <v>2.52175</v>
      </c>
      <c r="HD193">
        <v>20.3154</v>
      </c>
      <c r="HE193">
        <v>5.21759</v>
      </c>
      <c r="HF193">
        <v>12.0099</v>
      </c>
      <c r="HG193">
        <v>4.98905</v>
      </c>
      <c r="HH193">
        <v>3.2885</v>
      </c>
      <c r="HI193">
        <v>998.7</v>
      </c>
      <c r="HJ193">
        <v>9550.700000000001</v>
      </c>
      <c r="HK193">
        <v>5139.4</v>
      </c>
      <c r="HL193">
        <v>24.9</v>
      </c>
      <c r="HM193">
        <v>1.86752</v>
      </c>
      <c r="HN193">
        <v>1.86646</v>
      </c>
      <c r="HO193">
        <v>1.866</v>
      </c>
      <c r="HP193">
        <v>1.86586</v>
      </c>
      <c r="HQ193">
        <v>1.86768</v>
      </c>
      <c r="HR193">
        <v>1.87017</v>
      </c>
      <c r="HS193">
        <v>1.86889</v>
      </c>
      <c r="HT193">
        <v>1.87025</v>
      </c>
      <c r="HU193">
        <v>0</v>
      </c>
      <c r="HV193">
        <v>0</v>
      </c>
      <c r="HW193">
        <v>0</v>
      </c>
      <c r="HX193">
        <v>0</v>
      </c>
      <c r="HY193" t="s">
        <v>421</v>
      </c>
      <c r="HZ193" t="s">
        <v>422</v>
      </c>
      <c r="IA193" t="s">
        <v>423</v>
      </c>
      <c r="IB193" t="s">
        <v>423</v>
      </c>
      <c r="IC193" t="s">
        <v>423</v>
      </c>
      <c r="ID193" t="s">
        <v>423</v>
      </c>
      <c r="IE193">
        <v>0</v>
      </c>
      <c r="IF193">
        <v>100</v>
      </c>
      <c r="IG193">
        <v>100</v>
      </c>
      <c r="IH193">
        <v>-1.089</v>
      </c>
      <c r="II193">
        <v>0.0196</v>
      </c>
      <c r="IJ193">
        <v>-0.2164499368582429</v>
      </c>
      <c r="IK193">
        <v>-0.002077099775823331</v>
      </c>
      <c r="IL193">
        <v>4.593143279902166E-07</v>
      </c>
      <c r="IM193">
        <v>-1.865383991892071E-10</v>
      </c>
      <c r="IN193">
        <v>-0.06087574426827484</v>
      </c>
      <c r="IO193">
        <v>-0.01129461987421345</v>
      </c>
      <c r="IP193">
        <v>0.00116580895745559</v>
      </c>
      <c r="IQ193">
        <v>-1.679085872906199E-05</v>
      </c>
      <c r="IR193">
        <v>2</v>
      </c>
      <c r="IS193">
        <v>2290</v>
      </c>
      <c r="IT193">
        <v>0</v>
      </c>
      <c r="IU193">
        <v>32</v>
      </c>
      <c r="IV193">
        <v>8.5</v>
      </c>
      <c r="IW193">
        <v>8.199999999999999</v>
      </c>
      <c r="IX193">
        <v>1.09131</v>
      </c>
      <c r="IY193">
        <v>2.22656</v>
      </c>
      <c r="IZ193">
        <v>1.39648</v>
      </c>
      <c r="JA193">
        <v>2.35718</v>
      </c>
      <c r="JB193">
        <v>1.49536</v>
      </c>
      <c r="JC193">
        <v>2.31079</v>
      </c>
      <c r="JD193">
        <v>38.5014</v>
      </c>
      <c r="JE193">
        <v>24.0262</v>
      </c>
      <c r="JF193">
        <v>18</v>
      </c>
      <c r="JG193">
        <v>510.897</v>
      </c>
      <c r="JH193">
        <v>428.794</v>
      </c>
      <c r="JI193">
        <v>22.0549</v>
      </c>
      <c r="JJ193">
        <v>28.6854</v>
      </c>
      <c r="JK193">
        <v>30.0001</v>
      </c>
      <c r="JL193">
        <v>28.6471</v>
      </c>
      <c r="JM193">
        <v>28.5847</v>
      </c>
      <c r="JN193">
        <v>21.8117</v>
      </c>
      <c r="JO193">
        <v>27.0684</v>
      </c>
      <c r="JP193">
        <v>0</v>
      </c>
      <c r="JQ193">
        <v>22.0502</v>
      </c>
      <c r="JR193">
        <v>439.992</v>
      </c>
      <c r="JS193">
        <v>14.0844</v>
      </c>
      <c r="JT193">
        <v>100.303</v>
      </c>
      <c r="JU193">
        <v>100.229</v>
      </c>
    </row>
    <row r="194" spans="1:281">
      <c r="A194">
        <v>178</v>
      </c>
      <c r="B194">
        <v>1651864753.6</v>
      </c>
      <c r="C194">
        <v>533</v>
      </c>
      <c r="D194" t="s">
        <v>776</v>
      </c>
      <c r="E194" t="s">
        <v>777</v>
      </c>
      <c r="F194">
        <v>2</v>
      </c>
      <c r="G194" t="s">
        <v>413</v>
      </c>
      <c r="H194" t="s">
        <v>414</v>
      </c>
      <c r="I194">
        <v>1651864752.6</v>
      </c>
      <c r="J194">
        <f>(K194)/1000</f>
        <v>0</v>
      </c>
      <c r="K194">
        <f>IF(CZ194, AN194, AH194)</f>
        <v>0</v>
      </c>
      <c r="L194">
        <f>IF(CZ194, AI194, AG194)</f>
        <v>0</v>
      </c>
      <c r="M194">
        <f>DB194 - IF(AU194&gt;1, L194*CV194*100.0/(AW194*DP194), 0)</f>
        <v>0</v>
      </c>
      <c r="N194">
        <f>((T194-J194/2)*M194-L194)/(T194+J194/2)</f>
        <v>0</v>
      </c>
      <c r="O194">
        <f>N194*(DI194+DJ194)/1000.0</f>
        <v>0</v>
      </c>
      <c r="P194">
        <f>(DB194 - IF(AU194&gt;1, L194*CV194*100.0/(AW194*DP194), 0))*(DI194+DJ194)/1000.0</f>
        <v>0</v>
      </c>
      <c r="Q194">
        <f>2.0/((1/S194-1/R194)+SIGN(S194)*SQRT((1/S194-1/R194)*(1/S194-1/R194) + 4*CW194/((CW194+1)*(CW194+1))*(2*1/S194*1/R194-1/R194*1/R194)))</f>
        <v>0</v>
      </c>
      <c r="R194">
        <f>IF(LEFT(CX194,1)&lt;&gt;"0",IF(LEFT(CX194,1)="1",3.0,CY194),$D$5+$E$5*(DP194*DI194/($K$5*1000))+$F$5*(DP194*DI194/($K$5*1000))*MAX(MIN(CV194,$J$5),$I$5)*MAX(MIN(CV194,$J$5),$I$5)+$G$5*MAX(MIN(CV194,$J$5),$I$5)*(DP194*DI194/($K$5*1000))+$H$5*(DP194*DI194/($K$5*1000))*(DP194*DI194/($K$5*1000)))</f>
        <v>0</v>
      </c>
      <c r="S194">
        <f>J194*(1000-(1000*0.61365*exp(17.502*W194/(240.97+W194))/(DI194+DJ194)+DD194)/2)/(1000*0.61365*exp(17.502*W194/(240.97+W194))/(DI194+DJ194)-DD194)</f>
        <v>0</v>
      </c>
      <c r="T194">
        <f>1/((CW194+1)/(Q194/1.6)+1/(R194/1.37)) + CW194/((CW194+1)/(Q194/1.6) + CW194/(R194/1.37))</f>
        <v>0</v>
      </c>
      <c r="U194">
        <f>(CR194*CU194)</f>
        <v>0</v>
      </c>
      <c r="V194">
        <f>(DK194+(U194+2*0.95*5.67E-8*(((DK194+$B$7)+273)^4-(DK194+273)^4)-44100*J194)/(1.84*29.3*R194+8*0.95*5.67E-8*(DK194+273)^3))</f>
        <v>0</v>
      </c>
      <c r="W194">
        <f>($C$7*DL194+$D$7*DM194+$E$7*V194)</f>
        <v>0</v>
      </c>
      <c r="X194">
        <f>0.61365*exp(17.502*W194/(240.97+W194))</f>
        <v>0</v>
      </c>
      <c r="Y194">
        <f>(Z194/AA194*100)</f>
        <v>0</v>
      </c>
      <c r="Z194">
        <f>DD194*(DI194+DJ194)/1000</f>
        <v>0</v>
      </c>
      <c r="AA194">
        <f>0.61365*exp(17.502*DK194/(240.97+DK194))</f>
        <v>0</v>
      </c>
      <c r="AB194">
        <f>(X194-DD194*(DI194+DJ194)/1000)</f>
        <v>0</v>
      </c>
      <c r="AC194">
        <f>(-J194*44100)</f>
        <v>0</v>
      </c>
      <c r="AD194">
        <f>2*29.3*R194*0.92*(DK194-W194)</f>
        <v>0</v>
      </c>
      <c r="AE194">
        <f>2*0.95*5.67E-8*(((DK194+$B$7)+273)^4-(W194+273)^4)</f>
        <v>0</v>
      </c>
      <c r="AF194">
        <f>U194+AE194+AC194+AD194</f>
        <v>0</v>
      </c>
      <c r="AG194">
        <f>DH194*AU194*(DC194-DB194*(1000-AU194*DE194)/(1000-AU194*DD194))/(100*CV194)</f>
        <v>0</v>
      </c>
      <c r="AH194">
        <f>1000*DH194*AU194*(DD194-DE194)/(100*CV194*(1000-AU194*DD194))</f>
        <v>0</v>
      </c>
      <c r="AI194">
        <f>(AJ194 - AK194 - DI194*1E3/(8.314*(DK194+273.15)) * AM194/DH194 * AL194) * DH194/(100*CV194) * (1000 - DE194)/1000</f>
        <v>0</v>
      </c>
      <c r="AJ194">
        <v>468.6236237064535</v>
      </c>
      <c r="AK194">
        <v>460.7247333333333</v>
      </c>
      <c r="AL194">
        <v>-3.249332811072689</v>
      </c>
      <c r="AM194">
        <v>66.38192812717227</v>
      </c>
      <c r="AN194">
        <f>(AP194 - AO194 + DI194*1E3/(8.314*(DK194+273.15)) * AR194/DH194 * AQ194) * DH194/(100*CV194) * 1000/(1000 - AP194)</f>
        <v>0</v>
      </c>
      <c r="AO194">
        <v>14.01777696439886</v>
      </c>
      <c r="AP194">
        <v>18.29296117647057</v>
      </c>
      <c r="AQ194">
        <v>0.001669918047632601</v>
      </c>
      <c r="AR194">
        <v>80.47224507511959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MAX(0,($B$13+$C$13*DP194)/(1+$D$13*DP194)*DI194/(DK194+273)*$E$13)</f>
        <v>0</v>
      </c>
      <c r="AX194" t="s">
        <v>417</v>
      </c>
      <c r="AY194" t="s">
        <v>417</v>
      </c>
      <c r="AZ194">
        <v>0</v>
      </c>
      <c r="BA194">
        <v>0</v>
      </c>
      <c r="BB194">
        <f>1-AZ194/BA194</f>
        <v>0</v>
      </c>
      <c r="BC194">
        <v>0</v>
      </c>
      <c r="BD194" t="s">
        <v>417</v>
      </c>
      <c r="BE194" t="s">
        <v>417</v>
      </c>
      <c r="BF194">
        <v>0</v>
      </c>
      <c r="BG194">
        <v>0</v>
      </c>
      <c r="BH194">
        <f>1-BF194/BG194</f>
        <v>0</v>
      </c>
      <c r="BI194">
        <v>0.5</v>
      </c>
      <c r="BJ194">
        <f>CS194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417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1248</v>
      </c>
      <c r="CA194">
        <v>300</v>
      </c>
      <c r="CB194">
        <v>300</v>
      </c>
      <c r="CC194">
        <v>300</v>
      </c>
      <c r="CD194">
        <v>10442</v>
      </c>
      <c r="CE194">
        <v>1293.69</v>
      </c>
      <c r="CF194">
        <v>-0.00735246</v>
      </c>
      <c r="CG194">
        <v>0.5</v>
      </c>
      <c r="CH194" t="s">
        <v>417</v>
      </c>
      <c r="CI194" t="s">
        <v>417</v>
      </c>
      <c r="CJ194" t="s">
        <v>417</v>
      </c>
      <c r="CK194" t="s">
        <v>417</v>
      </c>
      <c r="CL194" t="s">
        <v>417</v>
      </c>
      <c r="CM194" t="s">
        <v>417</v>
      </c>
      <c r="CN194" t="s">
        <v>417</v>
      </c>
      <c r="CO194" t="s">
        <v>417</v>
      </c>
      <c r="CP194" t="s">
        <v>417</v>
      </c>
      <c r="CQ194" t="s">
        <v>417</v>
      </c>
      <c r="CR194">
        <f>$B$11*DQ194+$C$11*DR194+$F$11*EC194*(1-EF194)</f>
        <v>0</v>
      </c>
      <c r="CS194">
        <f>CR194*CT194</f>
        <v>0</v>
      </c>
      <c r="CT194">
        <f>($B$11*$D$9+$C$11*$D$9+$F$11*((EP194+EH194)/MAX(EP194+EH194+EQ194, 0.1)*$I$9+EQ194/MAX(EP194+EH194+EQ194, 0.1)*$J$9))/($B$11+$C$11+$F$11)</f>
        <v>0</v>
      </c>
      <c r="CU194">
        <f>($B$11*$K$9+$C$11*$K$9+$F$11*((EP194+EH194)/MAX(EP194+EH194+EQ194, 0.1)*$P$9+EQ194/MAX(EP194+EH194+EQ194, 0.1)*$Q$9))/($B$11+$C$11+$F$11)</f>
        <v>0</v>
      </c>
      <c r="CV194">
        <v>6</v>
      </c>
      <c r="CW194">
        <v>0.5</v>
      </c>
      <c r="CX194" t="s">
        <v>418</v>
      </c>
      <c r="CY194">
        <v>2</v>
      </c>
      <c r="CZ194" t="b">
        <v>1</v>
      </c>
      <c r="DA194">
        <v>1651864752.6</v>
      </c>
      <c r="DB194">
        <v>453.8896666666666</v>
      </c>
      <c r="DC194">
        <v>456.1386666666667</v>
      </c>
      <c r="DD194">
        <v>18.2945</v>
      </c>
      <c r="DE194">
        <v>14.01853333333333</v>
      </c>
      <c r="DF194">
        <v>454.9736666666667</v>
      </c>
      <c r="DG194">
        <v>18.2749</v>
      </c>
      <c r="DH194">
        <v>500.038</v>
      </c>
      <c r="DI194">
        <v>89.93496666666665</v>
      </c>
      <c r="DJ194">
        <v>0.09999156666666666</v>
      </c>
      <c r="DK194">
        <v>25.6443</v>
      </c>
      <c r="DL194">
        <v>25.00523333333333</v>
      </c>
      <c r="DM194">
        <v>999.9</v>
      </c>
      <c r="DN194">
        <v>0</v>
      </c>
      <c r="DO194">
        <v>0</v>
      </c>
      <c r="DP194">
        <v>9995.626666666665</v>
      </c>
      <c r="DQ194">
        <v>0</v>
      </c>
      <c r="DR194">
        <v>3.23193</v>
      </c>
      <c r="DS194">
        <v>-2.248963333333333</v>
      </c>
      <c r="DT194">
        <v>462.3483333333334</v>
      </c>
      <c r="DU194">
        <v>462.6243333333334</v>
      </c>
      <c r="DV194">
        <v>4.275943333333333</v>
      </c>
      <c r="DW194">
        <v>456.1386666666667</v>
      </c>
      <c r="DX194">
        <v>14.01853333333333</v>
      </c>
      <c r="DY194">
        <v>1.645316666666667</v>
      </c>
      <c r="DZ194">
        <v>1.26076</v>
      </c>
      <c r="EA194">
        <v>14.3899</v>
      </c>
      <c r="EB194">
        <v>10.33903333333333</v>
      </c>
      <c r="EC194">
        <v>1499.863333333333</v>
      </c>
      <c r="ED194">
        <v>0.973007</v>
      </c>
      <c r="EE194">
        <v>0.0269931</v>
      </c>
      <c r="EF194">
        <v>0</v>
      </c>
      <c r="EG194">
        <v>851.3960000000001</v>
      </c>
      <c r="EH194">
        <v>5.00097</v>
      </c>
      <c r="EI194">
        <v>12652.5</v>
      </c>
      <c r="EJ194">
        <v>12490.43333333333</v>
      </c>
      <c r="EK194">
        <v>37.25</v>
      </c>
      <c r="EL194">
        <v>38.687</v>
      </c>
      <c r="EM194">
        <v>37.625</v>
      </c>
      <c r="EN194">
        <v>38.41633333333333</v>
      </c>
      <c r="EO194">
        <v>38.125</v>
      </c>
      <c r="EP194">
        <v>1454.513333333333</v>
      </c>
      <c r="EQ194">
        <v>40.35</v>
      </c>
      <c r="ER194">
        <v>0</v>
      </c>
      <c r="ES194">
        <v>532.2000000476837</v>
      </c>
      <c r="ET194">
        <v>0</v>
      </c>
      <c r="EU194">
        <v>853.5336</v>
      </c>
      <c r="EV194">
        <v>-18.74123072752381</v>
      </c>
      <c r="EW194">
        <v>-271.5153840777395</v>
      </c>
      <c r="EX194">
        <v>12683.208</v>
      </c>
      <c r="EY194">
        <v>15</v>
      </c>
      <c r="EZ194">
        <v>1651864261.1</v>
      </c>
      <c r="FA194" t="s">
        <v>419</v>
      </c>
      <c r="FB194">
        <v>1651864241.6</v>
      </c>
      <c r="FC194">
        <v>1651864261.1</v>
      </c>
      <c r="FD194">
        <v>7</v>
      </c>
      <c r="FE194">
        <v>0.438</v>
      </c>
      <c r="FF194">
        <v>0.002</v>
      </c>
      <c r="FG194">
        <v>-0.988</v>
      </c>
      <c r="FH194">
        <v>-0.066</v>
      </c>
      <c r="FI194">
        <v>400</v>
      </c>
      <c r="FJ194">
        <v>11</v>
      </c>
      <c r="FK194">
        <v>0.05</v>
      </c>
      <c r="FL194">
        <v>0.02</v>
      </c>
      <c r="FM194">
        <v>-3.4092055</v>
      </c>
      <c r="FN194">
        <v>6.062835872420266</v>
      </c>
      <c r="FO194">
        <v>0.5840377987679821</v>
      </c>
      <c r="FP194">
        <v>-1</v>
      </c>
      <c r="FQ194">
        <v>4.296829</v>
      </c>
      <c r="FR194">
        <v>-0.2643921951219542</v>
      </c>
      <c r="FS194">
        <v>0.03035394659677718</v>
      </c>
      <c r="FT194">
        <v>-1</v>
      </c>
      <c r="FU194">
        <v>0</v>
      </c>
      <c r="FV194">
        <v>0</v>
      </c>
      <c r="FW194">
        <v>0</v>
      </c>
      <c r="FX194">
        <v>-1</v>
      </c>
      <c r="FY194">
        <v>0</v>
      </c>
      <c r="FZ194">
        <v>0</v>
      </c>
      <c r="GA194" t="s">
        <v>420</v>
      </c>
      <c r="GB194">
        <v>2.98042</v>
      </c>
      <c r="GC194">
        <v>2.70613</v>
      </c>
      <c r="GD194">
        <v>0.0986605</v>
      </c>
      <c r="GE194">
        <v>0.09785000000000001</v>
      </c>
      <c r="GF194">
        <v>0.0874675</v>
      </c>
      <c r="GG194">
        <v>0.0711944</v>
      </c>
      <c r="GH194">
        <v>28444.2</v>
      </c>
      <c r="GI194">
        <v>28532.7</v>
      </c>
      <c r="GJ194">
        <v>29343.3</v>
      </c>
      <c r="GK194">
        <v>29258.1</v>
      </c>
      <c r="GL194">
        <v>35456.5</v>
      </c>
      <c r="GM194">
        <v>36192.9</v>
      </c>
      <c r="GN194">
        <v>41302.4</v>
      </c>
      <c r="GO194">
        <v>41760.9</v>
      </c>
      <c r="GP194">
        <v>1.95522</v>
      </c>
      <c r="GQ194">
        <v>1.8497</v>
      </c>
      <c r="GR194">
        <v>-0.0212416</v>
      </c>
      <c r="GS194">
        <v>0</v>
      </c>
      <c r="GT194">
        <v>25.3575</v>
      </c>
      <c r="GU194">
        <v>999.9</v>
      </c>
      <c r="GV194">
        <v>31.6</v>
      </c>
      <c r="GW194">
        <v>34.3</v>
      </c>
      <c r="GX194">
        <v>19.0886</v>
      </c>
      <c r="GY194">
        <v>62.2875</v>
      </c>
      <c r="GZ194">
        <v>35.1723</v>
      </c>
      <c r="HA194">
        <v>1</v>
      </c>
      <c r="HB194">
        <v>0.108559</v>
      </c>
      <c r="HC194">
        <v>2.5214</v>
      </c>
      <c r="HD194">
        <v>20.3156</v>
      </c>
      <c r="HE194">
        <v>5.21819</v>
      </c>
      <c r="HF194">
        <v>12.0099</v>
      </c>
      <c r="HG194">
        <v>4.9892</v>
      </c>
      <c r="HH194">
        <v>3.2885</v>
      </c>
      <c r="HI194">
        <v>999</v>
      </c>
      <c r="HJ194">
        <v>9551.6</v>
      </c>
      <c r="HK194">
        <v>5139.4</v>
      </c>
      <c r="HL194">
        <v>24.9</v>
      </c>
      <c r="HM194">
        <v>1.86752</v>
      </c>
      <c r="HN194">
        <v>1.86646</v>
      </c>
      <c r="HO194">
        <v>1.866</v>
      </c>
      <c r="HP194">
        <v>1.86586</v>
      </c>
      <c r="HQ194">
        <v>1.86768</v>
      </c>
      <c r="HR194">
        <v>1.87017</v>
      </c>
      <c r="HS194">
        <v>1.86889</v>
      </c>
      <c r="HT194">
        <v>1.87025</v>
      </c>
      <c r="HU194">
        <v>0</v>
      </c>
      <c r="HV194">
        <v>0</v>
      </c>
      <c r="HW194">
        <v>0</v>
      </c>
      <c r="HX194">
        <v>0</v>
      </c>
      <c r="HY194" t="s">
        <v>421</v>
      </c>
      <c r="HZ194" t="s">
        <v>422</v>
      </c>
      <c r="IA194" t="s">
        <v>423</v>
      </c>
      <c r="IB194" t="s">
        <v>423</v>
      </c>
      <c r="IC194" t="s">
        <v>423</v>
      </c>
      <c r="ID194" t="s">
        <v>423</v>
      </c>
      <c r="IE194">
        <v>0</v>
      </c>
      <c r="IF194">
        <v>100</v>
      </c>
      <c r="IG194">
        <v>100</v>
      </c>
      <c r="IH194">
        <v>-1.078</v>
      </c>
      <c r="II194">
        <v>0.0196</v>
      </c>
      <c r="IJ194">
        <v>-0.2164499368582429</v>
      </c>
      <c r="IK194">
        <v>-0.002077099775823331</v>
      </c>
      <c r="IL194">
        <v>4.593143279902166E-07</v>
      </c>
      <c r="IM194">
        <v>-1.865383991892071E-10</v>
      </c>
      <c r="IN194">
        <v>-0.06087574426827484</v>
      </c>
      <c r="IO194">
        <v>-0.01129461987421345</v>
      </c>
      <c r="IP194">
        <v>0.00116580895745559</v>
      </c>
      <c r="IQ194">
        <v>-1.679085872906199E-05</v>
      </c>
      <c r="IR194">
        <v>2</v>
      </c>
      <c r="IS194">
        <v>2290</v>
      </c>
      <c r="IT194">
        <v>0</v>
      </c>
      <c r="IU194">
        <v>32</v>
      </c>
      <c r="IV194">
        <v>8.5</v>
      </c>
      <c r="IW194">
        <v>8.199999999999999</v>
      </c>
      <c r="IX194">
        <v>1.07788</v>
      </c>
      <c r="IY194">
        <v>2.22778</v>
      </c>
      <c r="IZ194">
        <v>1.39648</v>
      </c>
      <c r="JA194">
        <v>2.35596</v>
      </c>
      <c r="JB194">
        <v>1.49536</v>
      </c>
      <c r="JC194">
        <v>2.36328</v>
      </c>
      <c r="JD194">
        <v>38.5014</v>
      </c>
      <c r="JE194">
        <v>24.035</v>
      </c>
      <c r="JF194">
        <v>18</v>
      </c>
      <c r="JG194">
        <v>511.019</v>
      </c>
      <c r="JH194">
        <v>428.725</v>
      </c>
      <c r="JI194">
        <v>22.0503</v>
      </c>
      <c r="JJ194">
        <v>28.6854</v>
      </c>
      <c r="JK194">
        <v>30.0001</v>
      </c>
      <c r="JL194">
        <v>28.6481</v>
      </c>
      <c r="JM194">
        <v>28.5856</v>
      </c>
      <c r="JN194">
        <v>21.5535</v>
      </c>
      <c r="JO194">
        <v>27.0684</v>
      </c>
      <c r="JP194">
        <v>0</v>
      </c>
      <c r="JQ194">
        <v>22.0502</v>
      </c>
      <c r="JR194">
        <v>433.312</v>
      </c>
      <c r="JS194">
        <v>14.0954</v>
      </c>
      <c r="JT194">
        <v>100.302</v>
      </c>
      <c r="JU194">
        <v>100.229</v>
      </c>
    </row>
    <row r="195" spans="1:281">
      <c r="A195">
        <v>179</v>
      </c>
      <c r="B195">
        <v>1651864755.6</v>
      </c>
      <c r="C195">
        <v>535</v>
      </c>
      <c r="D195" t="s">
        <v>778</v>
      </c>
      <c r="E195" t="s">
        <v>779</v>
      </c>
      <c r="F195">
        <v>2</v>
      </c>
      <c r="G195" t="s">
        <v>413</v>
      </c>
      <c r="H195" t="s">
        <v>414</v>
      </c>
      <c r="I195">
        <v>1651864754.225</v>
      </c>
      <c r="J195">
        <f>(K195)/1000</f>
        <v>0</v>
      </c>
      <c r="K195">
        <f>IF(CZ195, AN195, AH195)</f>
        <v>0</v>
      </c>
      <c r="L195">
        <f>IF(CZ195, AI195, AG195)</f>
        <v>0</v>
      </c>
      <c r="M195">
        <f>DB195 - IF(AU195&gt;1, L195*CV195*100.0/(AW195*DP195), 0)</f>
        <v>0</v>
      </c>
      <c r="N195">
        <f>((T195-J195/2)*M195-L195)/(T195+J195/2)</f>
        <v>0</v>
      </c>
      <c r="O195">
        <f>N195*(DI195+DJ195)/1000.0</f>
        <v>0</v>
      </c>
      <c r="P195">
        <f>(DB195 - IF(AU195&gt;1, L195*CV195*100.0/(AW195*DP195), 0))*(DI195+DJ195)/1000.0</f>
        <v>0</v>
      </c>
      <c r="Q195">
        <f>2.0/((1/S195-1/R195)+SIGN(S195)*SQRT((1/S195-1/R195)*(1/S195-1/R195) + 4*CW195/((CW195+1)*(CW195+1))*(2*1/S195*1/R195-1/R195*1/R195)))</f>
        <v>0</v>
      </c>
      <c r="R195">
        <f>IF(LEFT(CX195,1)&lt;&gt;"0",IF(LEFT(CX195,1)="1",3.0,CY195),$D$5+$E$5*(DP195*DI195/($K$5*1000))+$F$5*(DP195*DI195/($K$5*1000))*MAX(MIN(CV195,$J$5),$I$5)*MAX(MIN(CV195,$J$5),$I$5)+$G$5*MAX(MIN(CV195,$J$5),$I$5)*(DP195*DI195/($K$5*1000))+$H$5*(DP195*DI195/($K$5*1000))*(DP195*DI195/($K$5*1000)))</f>
        <v>0</v>
      </c>
      <c r="S195">
        <f>J195*(1000-(1000*0.61365*exp(17.502*W195/(240.97+W195))/(DI195+DJ195)+DD195)/2)/(1000*0.61365*exp(17.502*W195/(240.97+W195))/(DI195+DJ195)-DD195)</f>
        <v>0</v>
      </c>
      <c r="T195">
        <f>1/((CW195+1)/(Q195/1.6)+1/(R195/1.37)) + CW195/((CW195+1)/(Q195/1.6) + CW195/(R195/1.37))</f>
        <v>0</v>
      </c>
      <c r="U195">
        <f>(CR195*CU195)</f>
        <v>0</v>
      </c>
      <c r="V195">
        <f>(DK195+(U195+2*0.95*5.67E-8*(((DK195+$B$7)+273)^4-(DK195+273)^4)-44100*J195)/(1.84*29.3*R195+8*0.95*5.67E-8*(DK195+273)^3))</f>
        <v>0</v>
      </c>
      <c r="W195">
        <f>($C$7*DL195+$D$7*DM195+$E$7*V195)</f>
        <v>0</v>
      </c>
      <c r="X195">
        <f>0.61365*exp(17.502*W195/(240.97+W195))</f>
        <v>0</v>
      </c>
      <c r="Y195">
        <f>(Z195/AA195*100)</f>
        <v>0</v>
      </c>
      <c r="Z195">
        <f>DD195*(DI195+DJ195)/1000</f>
        <v>0</v>
      </c>
      <c r="AA195">
        <f>0.61365*exp(17.502*DK195/(240.97+DK195))</f>
        <v>0</v>
      </c>
      <c r="AB195">
        <f>(X195-DD195*(DI195+DJ195)/1000)</f>
        <v>0</v>
      </c>
      <c r="AC195">
        <f>(-J195*44100)</f>
        <v>0</v>
      </c>
      <c r="AD195">
        <f>2*29.3*R195*0.92*(DK195-W195)</f>
        <v>0</v>
      </c>
      <c r="AE195">
        <f>2*0.95*5.67E-8*(((DK195+$B$7)+273)^4-(W195+273)^4)</f>
        <v>0</v>
      </c>
      <c r="AF195">
        <f>U195+AE195+AC195+AD195</f>
        <v>0</v>
      </c>
      <c r="AG195">
        <f>DH195*AU195*(DC195-DB195*(1000-AU195*DE195)/(1000-AU195*DD195))/(100*CV195)</f>
        <v>0</v>
      </c>
      <c r="AH195">
        <f>1000*DH195*AU195*(DD195-DE195)/(100*CV195*(1000-AU195*DD195))</f>
        <v>0</v>
      </c>
      <c r="AI195">
        <f>(AJ195 - AK195 - DI195*1E3/(8.314*(DK195+273.15)) * AM195/DH195 * AL195) * DH195/(100*CV195) * (1000 - DE195)/1000</f>
        <v>0</v>
      </c>
      <c r="AJ195">
        <v>461.8414554792701</v>
      </c>
      <c r="AK195">
        <v>454.1982666666666</v>
      </c>
      <c r="AL195">
        <v>-3.258001484319915</v>
      </c>
      <c r="AM195">
        <v>66.38192812717227</v>
      </c>
      <c r="AN195">
        <f>(AP195 - AO195 + DI195*1E3/(8.314*(DK195+273.15)) * AR195/DH195 * AQ195) * DH195/(100*CV195) * 1000/(1000 - AP195)</f>
        <v>0</v>
      </c>
      <c r="AO195">
        <v>14.01829016100934</v>
      </c>
      <c r="AP195">
        <v>18.29383558823529</v>
      </c>
      <c r="AQ195">
        <v>-0.0003336011929141186</v>
      </c>
      <c r="AR195">
        <v>80.47224507511959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MAX(0,($B$13+$C$13*DP195)/(1+$D$13*DP195)*DI195/(DK195+273)*$E$13)</f>
        <v>0</v>
      </c>
      <c r="AX195" t="s">
        <v>417</v>
      </c>
      <c r="AY195" t="s">
        <v>417</v>
      </c>
      <c r="AZ195">
        <v>0</v>
      </c>
      <c r="BA195">
        <v>0</v>
      </c>
      <c r="BB195">
        <f>1-AZ195/BA195</f>
        <v>0</v>
      </c>
      <c r="BC195">
        <v>0</v>
      </c>
      <c r="BD195" t="s">
        <v>417</v>
      </c>
      <c r="BE195" t="s">
        <v>417</v>
      </c>
      <c r="BF195">
        <v>0</v>
      </c>
      <c r="BG195">
        <v>0</v>
      </c>
      <c r="BH195">
        <f>1-BF195/BG195</f>
        <v>0</v>
      </c>
      <c r="BI195">
        <v>0.5</v>
      </c>
      <c r="BJ195">
        <f>CS195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417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1248</v>
      </c>
      <c r="CA195">
        <v>300</v>
      </c>
      <c r="CB195">
        <v>300</v>
      </c>
      <c r="CC195">
        <v>300</v>
      </c>
      <c r="CD195">
        <v>10442</v>
      </c>
      <c r="CE195">
        <v>1293.69</v>
      </c>
      <c r="CF195">
        <v>-0.00735246</v>
      </c>
      <c r="CG195">
        <v>0.5</v>
      </c>
      <c r="CH195" t="s">
        <v>417</v>
      </c>
      <c r="CI195" t="s">
        <v>417</v>
      </c>
      <c r="CJ195" t="s">
        <v>417</v>
      </c>
      <c r="CK195" t="s">
        <v>417</v>
      </c>
      <c r="CL195" t="s">
        <v>417</v>
      </c>
      <c r="CM195" t="s">
        <v>417</v>
      </c>
      <c r="CN195" t="s">
        <v>417</v>
      </c>
      <c r="CO195" t="s">
        <v>417</v>
      </c>
      <c r="CP195" t="s">
        <v>417</v>
      </c>
      <c r="CQ195" t="s">
        <v>417</v>
      </c>
      <c r="CR195">
        <f>$B$11*DQ195+$C$11*DR195+$F$11*EC195*(1-EF195)</f>
        <v>0</v>
      </c>
      <c r="CS195">
        <f>CR195*CT195</f>
        <v>0</v>
      </c>
      <c r="CT195">
        <f>($B$11*$D$9+$C$11*$D$9+$F$11*((EP195+EH195)/MAX(EP195+EH195+EQ195, 0.1)*$I$9+EQ195/MAX(EP195+EH195+EQ195, 0.1)*$J$9))/($B$11+$C$11+$F$11)</f>
        <v>0</v>
      </c>
      <c r="CU195">
        <f>($B$11*$K$9+$C$11*$K$9+$F$11*((EP195+EH195)/MAX(EP195+EH195+EQ195, 0.1)*$P$9+EQ195/MAX(EP195+EH195+EQ195, 0.1)*$Q$9))/($B$11+$C$11+$F$11)</f>
        <v>0</v>
      </c>
      <c r="CV195">
        <v>6</v>
      </c>
      <c r="CW195">
        <v>0.5</v>
      </c>
      <c r="CX195" t="s">
        <v>418</v>
      </c>
      <c r="CY195">
        <v>2</v>
      </c>
      <c r="CZ195" t="b">
        <v>1</v>
      </c>
      <c r="DA195">
        <v>1651864754.225</v>
      </c>
      <c r="DB195">
        <v>448.6905</v>
      </c>
      <c r="DC195">
        <v>450.68875</v>
      </c>
      <c r="DD195">
        <v>18.294175</v>
      </c>
      <c r="DE195">
        <v>14.019225</v>
      </c>
      <c r="DF195">
        <v>449.7655</v>
      </c>
      <c r="DG195">
        <v>18.274575</v>
      </c>
      <c r="DH195">
        <v>500.03075</v>
      </c>
      <c r="DI195">
        <v>89.93497500000001</v>
      </c>
      <c r="DJ195">
        <v>0.09996917499999999</v>
      </c>
      <c r="DK195">
        <v>25.642325</v>
      </c>
      <c r="DL195">
        <v>25.0105</v>
      </c>
      <c r="DM195">
        <v>999.9</v>
      </c>
      <c r="DN195">
        <v>0</v>
      </c>
      <c r="DO195">
        <v>0</v>
      </c>
      <c r="DP195">
        <v>9996.560000000001</v>
      </c>
      <c r="DQ195">
        <v>0</v>
      </c>
      <c r="DR195">
        <v>3.23193</v>
      </c>
      <c r="DS195">
        <v>-1.998245</v>
      </c>
      <c r="DT195">
        <v>457.05225</v>
      </c>
      <c r="DU195">
        <v>457.09725</v>
      </c>
      <c r="DV195">
        <v>4.2749275</v>
      </c>
      <c r="DW195">
        <v>450.68875</v>
      </c>
      <c r="DX195">
        <v>14.019225</v>
      </c>
      <c r="DY195">
        <v>1.6452875</v>
      </c>
      <c r="DZ195">
        <v>1.26082</v>
      </c>
      <c r="EA195">
        <v>14.389625</v>
      </c>
      <c r="EB195">
        <v>10.33975</v>
      </c>
      <c r="EC195">
        <v>1499.9425</v>
      </c>
      <c r="ED195">
        <v>0.9730019999999999</v>
      </c>
      <c r="EE195">
        <v>0.02699805</v>
      </c>
      <c r="EF195">
        <v>0</v>
      </c>
      <c r="EG195">
        <v>851.183</v>
      </c>
      <c r="EH195">
        <v>5.00097</v>
      </c>
      <c r="EI195">
        <v>12645.55</v>
      </c>
      <c r="EJ195">
        <v>12491.125</v>
      </c>
      <c r="EK195">
        <v>37.25</v>
      </c>
      <c r="EL195">
        <v>38.687</v>
      </c>
      <c r="EM195">
        <v>37.625</v>
      </c>
      <c r="EN195">
        <v>38.406</v>
      </c>
      <c r="EO195">
        <v>38.125</v>
      </c>
      <c r="EP195">
        <v>1454.5825</v>
      </c>
      <c r="EQ195">
        <v>40.36</v>
      </c>
      <c r="ER195">
        <v>0</v>
      </c>
      <c r="ES195">
        <v>534.6000001430511</v>
      </c>
      <c r="ET195">
        <v>0</v>
      </c>
      <c r="EU195">
        <v>852.8286400000001</v>
      </c>
      <c r="EV195">
        <v>-18.95499996320605</v>
      </c>
      <c r="EW195">
        <v>-268.3692303205736</v>
      </c>
      <c r="EX195">
        <v>12672.584</v>
      </c>
      <c r="EY195">
        <v>15</v>
      </c>
      <c r="EZ195">
        <v>1651864261.1</v>
      </c>
      <c r="FA195" t="s">
        <v>419</v>
      </c>
      <c r="FB195">
        <v>1651864241.6</v>
      </c>
      <c r="FC195">
        <v>1651864261.1</v>
      </c>
      <c r="FD195">
        <v>7</v>
      </c>
      <c r="FE195">
        <v>0.438</v>
      </c>
      <c r="FF195">
        <v>0.002</v>
      </c>
      <c r="FG195">
        <v>-0.988</v>
      </c>
      <c r="FH195">
        <v>-0.066</v>
      </c>
      <c r="FI195">
        <v>400</v>
      </c>
      <c r="FJ195">
        <v>11</v>
      </c>
      <c r="FK195">
        <v>0.05</v>
      </c>
      <c r="FL195">
        <v>0.02</v>
      </c>
      <c r="FM195">
        <v>-3.0809795</v>
      </c>
      <c r="FN195">
        <v>6.598236923076928</v>
      </c>
      <c r="FO195">
        <v>0.6374469483688426</v>
      </c>
      <c r="FP195">
        <v>-1</v>
      </c>
      <c r="FQ195">
        <v>4.285486000000001</v>
      </c>
      <c r="FR195">
        <v>-0.1450984615384677</v>
      </c>
      <c r="FS195">
        <v>0.02041722175027739</v>
      </c>
      <c r="FT195">
        <v>-1</v>
      </c>
      <c r="FU195">
        <v>0</v>
      </c>
      <c r="FV195">
        <v>0</v>
      </c>
      <c r="FW195">
        <v>0</v>
      </c>
      <c r="FX195">
        <v>-1</v>
      </c>
      <c r="FY195">
        <v>0</v>
      </c>
      <c r="FZ195">
        <v>0</v>
      </c>
      <c r="GA195" t="s">
        <v>420</v>
      </c>
      <c r="GB195">
        <v>2.98043</v>
      </c>
      <c r="GC195">
        <v>2.70608</v>
      </c>
      <c r="GD195">
        <v>0.0976076</v>
      </c>
      <c r="GE195">
        <v>0.09676709999999999</v>
      </c>
      <c r="GF195">
        <v>0.0874659</v>
      </c>
      <c r="GG195">
        <v>0.0711947</v>
      </c>
      <c r="GH195">
        <v>28476.9</v>
      </c>
      <c r="GI195">
        <v>28566.8</v>
      </c>
      <c r="GJ195">
        <v>29342.8</v>
      </c>
      <c r="GK195">
        <v>29258</v>
      </c>
      <c r="GL195">
        <v>35455.7</v>
      </c>
      <c r="GM195">
        <v>36192.8</v>
      </c>
      <c r="GN195">
        <v>41301.5</v>
      </c>
      <c r="GO195">
        <v>41760.7</v>
      </c>
      <c r="GP195">
        <v>1.95545</v>
      </c>
      <c r="GQ195">
        <v>1.8497</v>
      </c>
      <c r="GR195">
        <v>-0.0208989</v>
      </c>
      <c r="GS195">
        <v>0</v>
      </c>
      <c r="GT195">
        <v>25.3567</v>
      </c>
      <c r="GU195">
        <v>999.9</v>
      </c>
      <c r="GV195">
        <v>31.6</v>
      </c>
      <c r="GW195">
        <v>34.3</v>
      </c>
      <c r="GX195">
        <v>19.0894</v>
      </c>
      <c r="GY195">
        <v>62.4175</v>
      </c>
      <c r="GZ195">
        <v>34.7556</v>
      </c>
      <c r="HA195">
        <v>1</v>
      </c>
      <c r="HB195">
        <v>0.10859</v>
      </c>
      <c r="HC195">
        <v>2.51298</v>
      </c>
      <c r="HD195">
        <v>20.3157</v>
      </c>
      <c r="HE195">
        <v>5.21744</v>
      </c>
      <c r="HF195">
        <v>12.0099</v>
      </c>
      <c r="HG195">
        <v>4.9892</v>
      </c>
      <c r="HH195">
        <v>3.2885</v>
      </c>
      <c r="HI195">
        <v>999</v>
      </c>
      <c r="HJ195">
        <v>9551.6</v>
      </c>
      <c r="HK195">
        <v>5139.4</v>
      </c>
      <c r="HL195">
        <v>24.9</v>
      </c>
      <c r="HM195">
        <v>1.86752</v>
      </c>
      <c r="HN195">
        <v>1.86646</v>
      </c>
      <c r="HO195">
        <v>1.866</v>
      </c>
      <c r="HP195">
        <v>1.86586</v>
      </c>
      <c r="HQ195">
        <v>1.8677</v>
      </c>
      <c r="HR195">
        <v>1.87017</v>
      </c>
      <c r="HS195">
        <v>1.86889</v>
      </c>
      <c r="HT195">
        <v>1.87026</v>
      </c>
      <c r="HU195">
        <v>0</v>
      </c>
      <c r="HV195">
        <v>0</v>
      </c>
      <c r="HW195">
        <v>0</v>
      </c>
      <c r="HX195">
        <v>0</v>
      </c>
      <c r="HY195" t="s">
        <v>421</v>
      </c>
      <c r="HZ195" t="s">
        <v>422</v>
      </c>
      <c r="IA195" t="s">
        <v>423</v>
      </c>
      <c r="IB195" t="s">
        <v>423</v>
      </c>
      <c r="IC195" t="s">
        <v>423</v>
      </c>
      <c r="ID195" t="s">
        <v>423</v>
      </c>
      <c r="IE195">
        <v>0</v>
      </c>
      <c r="IF195">
        <v>100</v>
      </c>
      <c r="IG195">
        <v>100</v>
      </c>
      <c r="IH195">
        <v>-1.067</v>
      </c>
      <c r="II195">
        <v>0.0195</v>
      </c>
      <c r="IJ195">
        <v>-0.2164499368582429</v>
      </c>
      <c r="IK195">
        <v>-0.002077099775823331</v>
      </c>
      <c r="IL195">
        <v>4.593143279902166E-07</v>
      </c>
      <c r="IM195">
        <v>-1.865383991892071E-10</v>
      </c>
      <c r="IN195">
        <v>-0.06087574426827484</v>
      </c>
      <c r="IO195">
        <v>-0.01129461987421345</v>
      </c>
      <c r="IP195">
        <v>0.00116580895745559</v>
      </c>
      <c r="IQ195">
        <v>-1.679085872906199E-05</v>
      </c>
      <c r="IR195">
        <v>2</v>
      </c>
      <c r="IS195">
        <v>2290</v>
      </c>
      <c r="IT195">
        <v>0</v>
      </c>
      <c r="IU195">
        <v>32</v>
      </c>
      <c r="IV195">
        <v>8.6</v>
      </c>
      <c r="IW195">
        <v>8.199999999999999</v>
      </c>
      <c r="IX195">
        <v>1.06567</v>
      </c>
      <c r="IY195">
        <v>2.22656</v>
      </c>
      <c r="IZ195">
        <v>1.39648</v>
      </c>
      <c r="JA195">
        <v>2.35596</v>
      </c>
      <c r="JB195">
        <v>1.49536</v>
      </c>
      <c r="JC195">
        <v>2.34009</v>
      </c>
      <c r="JD195">
        <v>38.5014</v>
      </c>
      <c r="JE195">
        <v>24.035</v>
      </c>
      <c r="JF195">
        <v>18</v>
      </c>
      <c r="JG195">
        <v>511.176</v>
      </c>
      <c r="JH195">
        <v>428.733</v>
      </c>
      <c r="JI195">
        <v>22.0465</v>
      </c>
      <c r="JJ195">
        <v>28.6854</v>
      </c>
      <c r="JK195">
        <v>30.0001</v>
      </c>
      <c r="JL195">
        <v>28.6493</v>
      </c>
      <c r="JM195">
        <v>28.5868</v>
      </c>
      <c r="JN195">
        <v>21.2939</v>
      </c>
      <c r="JO195">
        <v>27.0684</v>
      </c>
      <c r="JP195">
        <v>0</v>
      </c>
      <c r="JQ195">
        <v>22.0427</v>
      </c>
      <c r="JR195">
        <v>426.633</v>
      </c>
      <c r="JS195">
        <v>14.1044</v>
      </c>
      <c r="JT195">
        <v>100.3</v>
      </c>
      <c r="JU195">
        <v>100.228</v>
      </c>
    </row>
    <row r="196" spans="1:281">
      <c r="A196">
        <v>180</v>
      </c>
      <c r="B196">
        <v>1651864757.6</v>
      </c>
      <c r="C196">
        <v>537</v>
      </c>
      <c r="D196" t="s">
        <v>780</v>
      </c>
      <c r="E196" t="s">
        <v>781</v>
      </c>
      <c r="F196">
        <v>2</v>
      </c>
      <c r="G196" t="s">
        <v>413</v>
      </c>
      <c r="H196" t="s">
        <v>414</v>
      </c>
      <c r="I196">
        <v>1651864756.6</v>
      </c>
      <c r="J196">
        <f>(K196)/1000</f>
        <v>0</v>
      </c>
      <c r="K196">
        <f>IF(CZ196, AN196, AH196)</f>
        <v>0</v>
      </c>
      <c r="L196">
        <f>IF(CZ196, AI196, AG196)</f>
        <v>0</v>
      </c>
      <c r="M196">
        <f>DB196 - IF(AU196&gt;1, L196*CV196*100.0/(AW196*DP196), 0)</f>
        <v>0</v>
      </c>
      <c r="N196">
        <f>((T196-J196/2)*M196-L196)/(T196+J196/2)</f>
        <v>0</v>
      </c>
      <c r="O196">
        <f>N196*(DI196+DJ196)/1000.0</f>
        <v>0</v>
      </c>
      <c r="P196">
        <f>(DB196 - IF(AU196&gt;1, L196*CV196*100.0/(AW196*DP196), 0))*(DI196+DJ196)/1000.0</f>
        <v>0</v>
      </c>
      <c r="Q196">
        <f>2.0/((1/S196-1/R196)+SIGN(S196)*SQRT((1/S196-1/R196)*(1/S196-1/R196) + 4*CW196/((CW196+1)*(CW196+1))*(2*1/S196*1/R196-1/R196*1/R196)))</f>
        <v>0</v>
      </c>
      <c r="R196">
        <f>IF(LEFT(CX196,1)&lt;&gt;"0",IF(LEFT(CX196,1)="1",3.0,CY196),$D$5+$E$5*(DP196*DI196/($K$5*1000))+$F$5*(DP196*DI196/($K$5*1000))*MAX(MIN(CV196,$J$5),$I$5)*MAX(MIN(CV196,$J$5),$I$5)+$G$5*MAX(MIN(CV196,$J$5),$I$5)*(DP196*DI196/($K$5*1000))+$H$5*(DP196*DI196/($K$5*1000))*(DP196*DI196/($K$5*1000)))</f>
        <v>0</v>
      </c>
      <c r="S196">
        <f>J196*(1000-(1000*0.61365*exp(17.502*W196/(240.97+W196))/(DI196+DJ196)+DD196)/2)/(1000*0.61365*exp(17.502*W196/(240.97+W196))/(DI196+DJ196)-DD196)</f>
        <v>0</v>
      </c>
      <c r="T196">
        <f>1/((CW196+1)/(Q196/1.6)+1/(R196/1.37)) + CW196/((CW196+1)/(Q196/1.6) + CW196/(R196/1.37))</f>
        <v>0</v>
      </c>
      <c r="U196">
        <f>(CR196*CU196)</f>
        <v>0</v>
      </c>
      <c r="V196">
        <f>(DK196+(U196+2*0.95*5.67E-8*(((DK196+$B$7)+273)^4-(DK196+273)^4)-44100*J196)/(1.84*29.3*R196+8*0.95*5.67E-8*(DK196+273)^3))</f>
        <v>0</v>
      </c>
      <c r="W196">
        <f>($C$7*DL196+$D$7*DM196+$E$7*V196)</f>
        <v>0</v>
      </c>
      <c r="X196">
        <f>0.61365*exp(17.502*W196/(240.97+W196))</f>
        <v>0</v>
      </c>
      <c r="Y196">
        <f>(Z196/AA196*100)</f>
        <v>0</v>
      </c>
      <c r="Z196">
        <f>DD196*(DI196+DJ196)/1000</f>
        <v>0</v>
      </c>
      <c r="AA196">
        <f>0.61365*exp(17.502*DK196/(240.97+DK196))</f>
        <v>0</v>
      </c>
      <c r="AB196">
        <f>(X196-DD196*(DI196+DJ196)/1000)</f>
        <v>0</v>
      </c>
      <c r="AC196">
        <f>(-J196*44100)</f>
        <v>0</v>
      </c>
      <c r="AD196">
        <f>2*29.3*R196*0.92*(DK196-W196)</f>
        <v>0</v>
      </c>
      <c r="AE196">
        <f>2*0.95*5.67E-8*(((DK196+$B$7)+273)^4-(W196+273)^4)</f>
        <v>0</v>
      </c>
      <c r="AF196">
        <f>U196+AE196+AC196+AD196</f>
        <v>0</v>
      </c>
      <c r="AG196">
        <f>DH196*AU196*(DC196-DB196*(1000-AU196*DE196)/(1000-AU196*DD196))/(100*CV196)</f>
        <v>0</v>
      </c>
      <c r="AH196">
        <f>1000*DH196*AU196*(DD196-DE196)/(100*CV196*(1000-AU196*DD196))</f>
        <v>0</v>
      </c>
      <c r="AI196">
        <f>(AJ196 - AK196 - DI196*1E3/(8.314*(DK196+273.15)) * AM196/DH196 * AL196) * DH196/(100*CV196) * (1000 - DE196)/1000</f>
        <v>0</v>
      </c>
      <c r="AJ196">
        <v>455.0461716519802</v>
      </c>
      <c r="AK196">
        <v>447.6712181818182</v>
      </c>
      <c r="AL196">
        <v>-3.26172224664725</v>
      </c>
      <c r="AM196">
        <v>66.38192812717227</v>
      </c>
      <c r="AN196">
        <f>(AP196 - AO196 + DI196*1E3/(8.314*(DK196+273.15)) * AR196/DH196 * AQ196) * DH196/(100*CV196) * 1000/(1000 - AP196)</f>
        <v>0</v>
      </c>
      <c r="AO196">
        <v>14.01877304854717</v>
      </c>
      <c r="AP196">
        <v>18.29298911764706</v>
      </c>
      <c r="AQ196">
        <v>-0.0001810434325258866</v>
      </c>
      <c r="AR196">
        <v>80.47224507511959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MAX(0,($B$13+$C$13*DP196)/(1+$D$13*DP196)*DI196/(DK196+273)*$E$13)</f>
        <v>0</v>
      </c>
      <c r="AX196" t="s">
        <v>417</v>
      </c>
      <c r="AY196" t="s">
        <v>417</v>
      </c>
      <c r="AZ196">
        <v>0</v>
      </c>
      <c r="BA196">
        <v>0</v>
      </c>
      <c r="BB196">
        <f>1-AZ196/BA196</f>
        <v>0</v>
      </c>
      <c r="BC196">
        <v>0</v>
      </c>
      <c r="BD196" t="s">
        <v>417</v>
      </c>
      <c r="BE196" t="s">
        <v>417</v>
      </c>
      <c r="BF196">
        <v>0</v>
      </c>
      <c r="BG196">
        <v>0</v>
      </c>
      <c r="BH196">
        <f>1-BF196/BG196</f>
        <v>0</v>
      </c>
      <c r="BI196">
        <v>0.5</v>
      </c>
      <c r="BJ196">
        <f>CS196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417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1248</v>
      </c>
      <c r="CA196">
        <v>300</v>
      </c>
      <c r="CB196">
        <v>300</v>
      </c>
      <c r="CC196">
        <v>300</v>
      </c>
      <c r="CD196">
        <v>10442</v>
      </c>
      <c r="CE196">
        <v>1293.69</v>
      </c>
      <c r="CF196">
        <v>-0.00735246</v>
      </c>
      <c r="CG196">
        <v>0.5</v>
      </c>
      <c r="CH196" t="s">
        <v>417</v>
      </c>
      <c r="CI196" t="s">
        <v>417</v>
      </c>
      <c r="CJ196" t="s">
        <v>417</v>
      </c>
      <c r="CK196" t="s">
        <v>417</v>
      </c>
      <c r="CL196" t="s">
        <v>417</v>
      </c>
      <c r="CM196" t="s">
        <v>417</v>
      </c>
      <c r="CN196" t="s">
        <v>417</v>
      </c>
      <c r="CO196" t="s">
        <v>417</v>
      </c>
      <c r="CP196" t="s">
        <v>417</v>
      </c>
      <c r="CQ196" t="s">
        <v>417</v>
      </c>
      <c r="CR196">
        <f>$B$11*DQ196+$C$11*DR196+$F$11*EC196*(1-EF196)</f>
        <v>0</v>
      </c>
      <c r="CS196">
        <f>CR196*CT196</f>
        <v>0</v>
      </c>
      <c r="CT196">
        <f>($B$11*$D$9+$C$11*$D$9+$F$11*((EP196+EH196)/MAX(EP196+EH196+EQ196, 0.1)*$I$9+EQ196/MAX(EP196+EH196+EQ196, 0.1)*$J$9))/($B$11+$C$11+$F$11)</f>
        <v>0</v>
      </c>
      <c r="CU196">
        <f>($B$11*$K$9+$C$11*$K$9+$F$11*((EP196+EH196)/MAX(EP196+EH196+EQ196, 0.1)*$P$9+EQ196/MAX(EP196+EH196+EQ196, 0.1)*$Q$9))/($B$11+$C$11+$F$11)</f>
        <v>0</v>
      </c>
      <c r="CV196">
        <v>6</v>
      </c>
      <c r="CW196">
        <v>0.5</v>
      </c>
      <c r="CX196" t="s">
        <v>418</v>
      </c>
      <c r="CY196">
        <v>2</v>
      </c>
      <c r="CZ196" t="b">
        <v>1</v>
      </c>
      <c r="DA196">
        <v>1651864756.6</v>
      </c>
      <c r="DB196">
        <v>441.086</v>
      </c>
      <c r="DC196">
        <v>442.814</v>
      </c>
      <c r="DD196">
        <v>18.29293333333333</v>
      </c>
      <c r="DE196">
        <v>14.02023333333334</v>
      </c>
      <c r="DF196">
        <v>442.1473333333333</v>
      </c>
      <c r="DG196">
        <v>18.2734</v>
      </c>
      <c r="DH196">
        <v>500.0620000000001</v>
      </c>
      <c r="DI196">
        <v>89.93343333333333</v>
      </c>
      <c r="DJ196">
        <v>0.09981790000000001</v>
      </c>
      <c r="DK196">
        <v>25.64086666666666</v>
      </c>
      <c r="DL196">
        <v>25.01263333333334</v>
      </c>
      <c r="DM196">
        <v>999.9</v>
      </c>
      <c r="DN196">
        <v>0</v>
      </c>
      <c r="DO196">
        <v>0</v>
      </c>
      <c r="DP196">
        <v>10012.7</v>
      </c>
      <c r="DQ196">
        <v>0</v>
      </c>
      <c r="DR196">
        <v>3.23193</v>
      </c>
      <c r="DS196">
        <v>-1.727966666666667</v>
      </c>
      <c r="DT196">
        <v>449.305</v>
      </c>
      <c r="DU196">
        <v>449.1106666666666</v>
      </c>
      <c r="DV196">
        <v>4.272713333333333</v>
      </c>
      <c r="DW196">
        <v>442.814</v>
      </c>
      <c r="DX196">
        <v>14.02023333333334</v>
      </c>
      <c r="DY196">
        <v>1.64515</v>
      </c>
      <c r="DZ196">
        <v>1.260886666666667</v>
      </c>
      <c r="EA196">
        <v>14.3883</v>
      </c>
      <c r="EB196">
        <v>10.34053333333333</v>
      </c>
      <c r="EC196">
        <v>1499.936666666666</v>
      </c>
      <c r="ED196">
        <v>0.9730086666666665</v>
      </c>
      <c r="EE196">
        <v>0.0269913</v>
      </c>
      <c r="EF196">
        <v>0</v>
      </c>
      <c r="EG196">
        <v>850.4113333333333</v>
      </c>
      <c r="EH196">
        <v>5.00097</v>
      </c>
      <c r="EI196">
        <v>12636.26666666667</v>
      </c>
      <c r="EJ196">
        <v>12491.13333333333</v>
      </c>
      <c r="EK196">
        <v>37.25</v>
      </c>
      <c r="EL196">
        <v>38.687</v>
      </c>
      <c r="EM196">
        <v>37.625</v>
      </c>
      <c r="EN196">
        <v>38.375</v>
      </c>
      <c r="EO196">
        <v>38.125</v>
      </c>
      <c r="EP196">
        <v>1454.586666666667</v>
      </c>
      <c r="EQ196">
        <v>40.35</v>
      </c>
      <c r="ER196">
        <v>0</v>
      </c>
      <c r="ES196">
        <v>536.4000000953674</v>
      </c>
      <c r="ET196">
        <v>0</v>
      </c>
      <c r="EU196">
        <v>852.3841153846154</v>
      </c>
      <c r="EV196">
        <v>-18.0860512852428</v>
      </c>
      <c r="EW196">
        <v>-269.6410258313483</v>
      </c>
      <c r="EX196">
        <v>12665.81538461539</v>
      </c>
      <c r="EY196">
        <v>15</v>
      </c>
      <c r="EZ196">
        <v>1651864261.1</v>
      </c>
      <c r="FA196" t="s">
        <v>419</v>
      </c>
      <c r="FB196">
        <v>1651864241.6</v>
      </c>
      <c r="FC196">
        <v>1651864261.1</v>
      </c>
      <c r="FD196">
        <v>7</v>
      </c>
      <c r="FE196">
        <v>0.438</v>
      </c>
      <c r="FF196">
        <v>0.002</v>
      </c>
      <c r="FG196">
        <v>-0.988</v>
      </c>
      <c r="FH196">
        <v>-0.066</v>
      </c>
      <c r="FI196">
        <v>400</v>
      </c>
      <c r="FJ196">
        <v>11</v>
      </c>
      <c r="FK196">
        <v>0.05</v>
      </c>
      <c r="FL196">
        <v>0.02</v>
      </c>
      <c r="FM196">
        <v>-2.969092</v>
      </c>
      <c r="FN196">
        <v>6.789960225140717</v>
      </c>
      <c r="FO196">
        <v>0.6558637678214889</v>
      </c>
      <c r="FP196">
        <v>-1</v>
      </c>
      <c r="FQ196">
        <v>4.282696749999999</v>
      </c>
      <c r="FR196">
        <v>-0.1137799249531108</v>
      </c>
      <c r="FS196">
        <v>0.01788219343194508</v>
      </c>
      <c r="FT196">
        <v>-1</v>
      </c>
      <c r="FU196">
        <v>0</v>
      </c>
      <c r="FV196">
        <v>0</v>
      </c>
      <c r="FW196">
        <v>0</v>
      </c>
      <c r="FX196">
        <v>-1</v>
      </c>
      <c r="FY196">
        <v>0</v>
      </c>
      <c r="FZ196">
        <v>0</v>
      </c>
      <c r="GA196" t="s">
        <v>420</v>
      </c>
      <c r="GB196">
        <v>2.98058</v>
      </c>
      <c r="GC196">
        <v>2.70616</v>
      </c>
      <c r="GD196">
        <v>0.0965502</v>
      </c>
      <c r="GE196">
        <v>0.0956866</v>
      </c>
      <c r="GF196">
        <v>0.0874574</v>
      </c>
      <c r="GG196">
        <v>0.07119590000000001</v>
      </c>
      <c r="GH196">
        <v>28509.9</v>
      </c>
      <c r="GI196">
        <v>28600.8</v>
      </c>
      <c r="GJ196">
        <v>29342.4</v>
      </c>
      <c r="GK196">
        <v>29257.8</v>
      </c>
      <c r="GL196">
        <v>35455.5</v>
      </c>
      <c r="GM196">
        <v>36192.6</v>
      </c>
      <c r="GN196">
        <v>41300.9</v>
      </c>
      <c r="GO196">
        <v>41760.6</v>
      </c>
      <c r="GP196">
        <v>1.95535</v>
      </c>
      <c r="GQ196">
        <v>1.84993</v>
      </c>
      <c r="GR196">
        <v>-0.0213608</v>
      </c>
      <c r="GS196">
        <v>0</v>
      </c>
      <c r="GT196">
        <v>25.356</v>
      </c>
      <c r="GU196">
        <v>999.9</v>
      </c>
      <c r="GV196">
        <v>31.6</v>
      </c>
      <c r="GW196">
        <v>34.3</v>
      </c>
      <c r="GX196">
        <v>19.0897</v>
      </c>
      <c r="GY196">
        <v>62.2175</v>
      </c>
      <c r="GZ196">
        <v>35.1122</v>
      </c>
      <c r="HA196">
        <v>1</v>
      </c>
      <c r="HB196">
        <v>0.108598</v>
      </c>
      <c r="HC196">
        <v>2.51566</v>
      </c>
      <c r="HD196">
        <v>20.3157</v>
      </c>
      <c r="HE196">
        <v>5.21699</v>
      </c>
      <c r="HF196">
        <v>12.0099</v>
      </c>
      <c r="HG196">
        <v>4.98905</v>
      </c>
      <c r="HH196">
        <v>3.2885</v>
      </c>
      <c r="HI196">
        <v>999</v>
      </c>
      <c r="HJ196">
        <v>9551.6</v>
      </c>
      <c r="HK196">
        <v>5139.4</v>
      </c>
      <c r="HL196">
        <v>24.9</v>
      </c>
      <c r="HM196">
        <v>1.86752</v>
      </c>
      <c r="HN196">
        <v>1.86646</v>
      </c>
      <c r="HO196">
        <v>1.866</v>
      </c>
      <c r="HP196">
        <v>1.86586</v>
      </c>
      <c r="HQ196">
        <v>1.8677</v>
      </c>
      <c r="HR196">
        <v>1.87018</v>
      </c>
      <c r="HS196">
        <v>1.86889</v>
      </c>
      <c r="HT196">
        <v>1.87027</v>
      </c>
      <c r="HU196">
        <v>0</v>
      </c>
      <c r="HV196">
        <v>0</v>
      </c>
      <c r="HW196">
        <v>0</v>
      </c>
      <c r="HX196">
        <v>0</v>
      </c>
      <c r="HY196" t="s">
        <v>421</v>
      </c>
      <c r="HZ196" t="s">
        <v>422</v>
      </c>
      <c r="IA196" t="s">
        <v>423</v>
      </c>
      <c r="IB196" t="s">
        <v>423</v>
      </c>
      <c r="IC196" t="s">
        <v>423</v>
      </c>
      <c r="ID196" t="s">
        <v>423</v>
      </c>
      <c r="IE196">
        <v>0</v>
      </c>
      <c r="IF196">
        <v>100</v>
      </c>
      <c r="IG196">
        <v>100</v>
      </c>
      <c r="IH196">
        <v>-1.055</v>
      </c>
      <c r="II196">
        <v>0.0196</v>
      </c>
      <c r="IJ196">
        <v>-0.2164499368582429</v>
      </c>
      <c r="IK196">
        <v>-0.002077099775823331</v>
      </c>
      <c r="IL196">
        <v>4.593143279902166E-07</v>
      </c>
      <c r="IM196">
        <v>-1.865383991892071E-10</v>
      </c>
      <c r="IN196">
        <v>-0.06087574426827484</v>
      </c>
      <c r="IO196">
        <v>-0.01129461987421345</v>
      </c>
      <c r="IP196">
        <v>0.00116580895745559</v>
      </c>
      <c r="IQ196">
        <v>-1.679085872906199E-05</v>
      </c>
      <c r="IR196">
        <v>2</v>
      </c>
      <c r="IS196">
        <v>2290</v>
      </c>
      <c r="IT196">
        <v>0</v>
      </c>
      <c r="IU196">
        <v>32</v>
      </c>
      <c r="IV196">
        <v>8.6</v>
      </c>
      <c r="IW196">
        <v>8.300000000000001</v>
      </c>
      <c r="IX196">
        <v>1.05225</v>
      </c>
      <c r="IY196">
        <v>2.22778</v>
      </c>
      <c r="IZ196">
        <v>1.39648</v>
      </c>
      <c r="JA196">
        <v>2.35596</v>
      </c>
      <c r="JB196">
        <v>1.49536</v>
      </c>
      <c r="JC196">
        <v>2.32178</v>
      </c>
      <c r="JD196">
        <v>38.5014</v>
      </c>
      <c r="JE196">
        <v>24.035</v>
      </c>
      <c r="JF196">
        <v>18</v>
      </c>
      <c r="JG196">
        <v>511.114</v>
      </c>
      <c r="JH196">
        <v>428.871</v>
      </c>
      <c r="JI196">
        <v>22.0436</v>
      </c>
      <c r="JJ196">
        <v>28.6854</v>
      </c>
      <c r="JK196">
        <v>30.0001</v>
      </c>
      <c r="JL196">
        <v>28.6495</v>
      </c>
      <c r="JM196">
        <v>28.5871</v>
      </c>
      <c r="JN196">
        <v>21.0339</v>
      </c>
      <c r="JO196">
        <v>26.7904</v>
      </c>
      <c r="JP196">
        <v>0</v>
      </c>
      <c r="JQ196">
        <v>22.0427</v>
      </c>
      <c r="JR196">
        <v>419.954</v>
      </c>
      <c r="JS196">
        <v>14.1183</v>
      </c>
      <c r="JT196">
        <v>100.298</v>
      </c>
      <c r="JU196">
        <v>100.228</v>
      </c>
    </row>
    <row r="197" spans="1:281">
      <c r="A197">
        <v>181</v>
      </c>
      <c r="B197">
        <v>1651864759.1</v>
      </c>
      <c r="C197">
        <v>538.5</v>
      </c>
      <c r="D197" t="s">
        <v>782</v>
      </c>
      <c r="E197" t="s">
        <v>783</v>
      </c>
      <c r="F197">
        <v>2</v>
      </c>
      <c r="G197" t="s">
        <v>413</v>
      </c>
      <c r="H197" t="s">
        <v>414</v>
      </c>
      <c r="I197">
        <v>1651864757.933333</v>
      </c>
      <c r="J197">
        <f>(K197)/1000</f>
        <v>0</v>
      </c>
      <c r="K197">
        <f>IF(CZ197, AN197, AH197)</f>
        <v>0</v>
      </c>
      <c r="L197">
        <f>IF(CZ197, AI197, AG197)</f>
        <v>0</v>
      </c>
      <c r="M197">
        <f>DB197 - IF(AU197&gt;1, L197*CV197*100.0/(AW197*DP197), 0)</f>
        <v>0</v>
      </c>
      <c r="N197">
        <f>((T197-J197/2)*M197-L197)/(T197+J197/2)</f>
        <v>0</v>
      </c>
      <c r="O197">
        <f>N197*(DI197+DJ197)/1000.0</f>
        <v>0</v>
      </c>
      <c r="P197">
        <f>(DB197 - IF(AU197&gt;1, L197*CV197*100.0/(AW197*DP197), 0))*(DI197+DJ197)/1000.0</f>
        <v>0</v>
      </c>
      <c r="Q197">
        <f>2.0/((1/S197-1/R197)+SIGN(S197)*SQRT((1/S197-1/R197)*(1/S197-1/R197) + 4*CW197/((CW197+1)*(CW197+1))*(2*1/S197*1/R197-1/R197*1/R197)))</f>
        <v>0</v>
      </c>
      <c r="R197">
        <f>IF(LEFT(CX197,1)&lt;&gt;"0",IF(LEFT(CX197,1)="1",3.0,CY197),$D$5+$E$5*(DP197*DI197/($K$5*1000))+$F$5*(DP197*DI197/($K$5*1000))*MAX(MIN(CV197,$J$5),$I$5)*MAX(MIN(CV197,$J$5),$I$5)+$G$5*MAX(MIN(CV197,$J$5),$I$5)*(DP197*DI197/($K$5*1000))+$H$5*(DP197*DI197/($K$5*1000))*(DP197*DI197/($K$5*1000)))</f>
        <v>0</v>
      </c>
      <c r="S197">
        <f>J197*(1000-(1000*0.61365*exp(17.502*W197/(240.97+W197))/(DI197+DJ197)+DD197)/2)/(1000*0.61365*exp(17.502*W197/(240.97+W197))/(DI197+DJ197)-DD197)</f>
        <v>0</v>
      </c>
      <c r="T197">
        <f>1/((CW197+1)/(Q197/1.6)+1/(R197/1.37)) + CW197/((CW197+1)/(Q197/1.6) + CW197/(R197/1.37))</f>
        <v>0</v>
      </c>
      <c r="U197">
        <f>(CR197*CU197)</f>
        <v>0</v>
      </c>
      <c r="V197">
        <f>(DK197+(U197+2*0.95*5.67E-8*(((DK197+$B$7)+273)^4-(DK197+273)^4)-44100*J197)/(1.84*29.3*R197+8*0.95*5.67E-8*(DK197+273)^3))</f>
        <v>0</v>
      </c>
      <c r="W197">
        <f>($C$7*DL197+$D$7*DM197+$E$7*V197)</f>
        <v>0</v>
      </c>
      <c r="X197">
        <f>0.61365*exp(17.502*W197/(240.97+W197))</f>
        <v>0</v>
      </c>
      <c r="Y197">
        <f>(Z197/AA197*100)</f>
        <v>0</v>
      </c>
      <c r="Z197">
        <f>DD197*(DI197+DJ197)/1000</f>
        <v>0</v>
      </c>
      <c r="AA197">
        <f>0.61365*exp(17.502*DK197/(240.97+DK197))</f>
        <v>0</v>
      </c>
      <c r="AB197">
        <f>(X197-DD197*(DI197+DJ197)/1000)</f>
        <v>0</v>
      </c>
      <c r="AC197">
        <f>(-J197*44100)</f>
        <v>0</v>
      </c>
      <c r="AD197">
        <f>2*29.3*R197*0.92*(DK197-W197)</f>
        <v>0</v>
      </c>
      <c r="AE197">
        <f>2*0.95*5.67E-8*(((DK197+$B$7)+273)^4-(W197+273)^4)</f>
        <v>0</v>
      </c>
      <c r="AF197">
        <f>U197+AE197+AC197+AD197</f>
        <v>0</v>
      </c>
      <c r="AG197">
        <f>DH197*AU197*(DC197-DB197*(1000-AU197*DE197)/(1000-AU197*DD197))/(100*CV197)</f>
        <v>0</v>
      </c>
      <c r="AH197">
        <f>1000*DH197*AU197*(DD197-DE197)/(100*CV197*(1000-AU197*DD197))</f>
        <v>0</v>
      </c>
      <c r="AI197">
        <f>(AJ197 - AK197 - DI197*1E3/(8.314*(DK197+273.15)) * AM197/DH197 * AL197) * DH197/(100*CV197) * (1000 - DE197)/1000</f>
        <v>0</v>
      </c>
      <c r="AJ197">
        <v>450.0087189847321</v>
      </c>
      <c r="AK197">
        <v>442.8045272727273</v>
      </c>
      <c r="AL197">
        <v>-3.254713322353309</v>
      </c>
      <c r="AM197">
        <v>66.38192812717227</v>
      </c>
      <c r="AN197">
        <f>(AP197 - AO197 + DI197*1E3/(8.314*(DK197+273.15)) * AR197/DH197 * AQ197) * DH197/(100*CV197) * 1000/(1000 - AP197)</f>
        <v>0</v>
      </c>
      <c r="AO197">
        <v>14.01933237113286</v>
      </c>
      <c r="AP197">
        <v>18.29071529411764</v>
      </c>
      <c r="AQ197">
        <v>-2.128080536077021E-05</v>
      </c>
      <c r="AR197">
        <v>80.47224507511959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MAX(0,($B$13+$C$13*DP197)/(1+$D$13*DP197)*DI197/(DK197+273)*$E$13)</f>
        <v>0</v>
      </c>
      <c r="AX197" t="s">
        <v>417</v>
      </c>
      <c r="AY197" t="s">
        <v>417</v>
      </c>
      <c r="AZ197">
        <v>0</v>
      </c>
      <c r="BA197">
        <v>0</v>
      </c>
      <c r="BB197">
        <f>1-AZ197/BA197</f>
        <v>0</v>
      </c>
      <c r="BC197">
        <v>0</v>
      </c>
      <c r="BD197" t="s">
        <v>417</v>
      </c>
      <c r="BE197" t="s">
        <v>417</v>
      </c>
      <c r="BF197">
        <v>0</v>
      </c>
      <c r="BG197">
        <v>0</v>
      </c>
      <c r="BH197">
        <f>1-BF197/BG197</f>
        <v>0</v>
      </c>
      <c r="BI197">
        <v>0.5</v>
      </c>
      <c r="BJ197">
        <f>CS197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417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1248</v>
      </c>
      <c r="CA197">
        <v>300</v>
      </c>
      <c r="CB197">
        <v>300</v>
      </c>
      <c r="CC197">
        <v>300</v>
      </c>
      <c r="CD197">
        <v>10442</v>
      </c>
      <c r="CE197">
        <v>1293.69</v>
      </c>
      <c r="CF197">
        <v>-0.00735246</v>
      </c>
      <c r="CG197">
        <v>0.5</v>
      </c>
      <c r="CH197" t="s">
        <v>417</v>
      </c>
      <c r="CI197" t="s">
        <v>417</v>
      </c>
      <c r="CJ197" t="s">
        <v>417</v>
      </c>
      <c r="CK197" t="s">
        <v>417</v>
      </c>
      <c r="CL197" t="s">
        <v>417</v>
      </c>
      <c r="CM197" t="s">
        <v>417</v>
      </c>
      <c r="CN197" t="s">
        <v>417</v>
      </c>
      <c r="CO197" t="s">
        <v>417</v>
      </c>
      <c r="CP197" t="s">
        <v>417</v>
      </c>
      <c r="CQ197" t="s">
        <v>417</v>
      </c>
      <c r="CR197">
        <f>$B$11*DQ197+$C$11*DR197+$F$11*EC197*(1-EF197)</f>
        <v>0</v>
      </c>
      <c r="CS197">
        <f>CR197*CT197</f>
        <v>0</v>
      </c>
      <c r="CT197">
        <f>($B$11*$D$9+$C$11*$D$9+$F$11*((EP197+EH197)/MAX(EP197+EH197+EQ197, 0.1)*$I$9+EQ197/MAX(EP197+EH197+EQ197, 0.1)*$J$9))/($B$11+$C$11+$F$11)</f>
        <v>0</v>
      </c>
      <c r="CU197">
        <f>($B$11*$K$9+$C$11*$K$9+$F$11*((EP197+EH197)/MAX(EP197+EH197+EQ197, 0.1)*$P$9+EQ197/MAX(EP197+EH197+EQ197, 0.1)*$Q$9))/($B$11+$C$11+$F$11)</f>
        <v>0</v>
      </c>
      <c r="CV197">
        <v>6</v>
      </c>
      <c r="CW197">
        <v>0.5</v>
      </c>
      <c r="CX197" t="s">
        <v>418</v>
      </c>
      <c r="CY197">
        <v>2</v>
      </c>
      <c r="CZ197" t="b">
        <v>1</v>
      </c>
      <c r="DA197">
        <v>1651864757.933333</v>
      </c>
      <c r="DB197">
        <v>436.83</v>
      </c>
      <c r="DC197">
        <v>438.4083333333333</v>
      </c>
      <c r="DD197">
        <v>18.2914</v>
      </c>
      <c r="DE197">
        <v>14.0211</v>
      </c>
      <c r="DF197">
        <v>437.8833333333334</v>
      </c>
      <c r="DG197">
        <v>18.27183333333333</v>
      </c>
      <c r="DH197">
        <v>500.049</v>
      </c>
      <c r="DI197">
        <v>89.93339999999999</v>
      </c>
      <c r="DJ197">
        <v>0.1000878666666666</v>
      </c>
      <c r="DK197">
        <v>25.6404</v>
      </c>
      <c r="DL197">
        <v>25.0036</v>
      </c>
      <c r="DM197">
        <v>999.9</v>
      </c>
      <c r="DN197">
        <v>0</v>
      </c>
      <c r="DO197">
        <v>0</v>
      </c>
      <c r="DP197">
        <v>9991.66</v>
      </c>
      <c r="DQ197">
        <v>0</v>
      </c>
      <c r="DR197">
        <v>3.23193</v>
      </c>
      <c r="DS197">
        <v>-1.57846</v>
      </c>
      <c r="DT197">
        <v>444.969</v>
      </c>
      <c r="DU197">
        <v>444.6426666666666</v>
      </c>
      <c r="DV197">
        <v>4.2703</v>
      </c>
      <c r="DW197">
        <v>438.4083333333333</v>
      </c>
      <c r="DX197">
        <v>14.0211</v>
      </c>
      <c r="DY197">
        <v>1.645006666666667</v>
      </c>
      <c r="DZ197">
        <v>1.260963333333333</v>
      </c>
      <c r="EA197">
        <v>14.38696666666667</v>
      </c>
      <c r="EB197">
        <v>10.34143333333333</v>
      </c>
      <c r="EC197">
        <v>1500.043333333333</v>
      </c>
      <c r="ED197">
        <v>0.9730036666666666</v>
      </c>
      <c r="EE197">
        <v>0.02699626666666667</v>
      </c>
      <c r="EF197">
        <v>0</v>
      </c>
      <c r="EG197">
        <v>850.1863333333334</v>
      </c>
      <c r="EH197">
        <v>5.00097</v>
      </c>
      <c r="EI197">
        <v>12631.03333333333</v>
      </c>
      <c r="EJ197">
        <v>12492</v>
      </c>
      <c r="EK197">
        <v>37.25</v>
      </c>
      <c r="EL197">
        <v>38.687</v>
      </c>
      <c r="EM197">
        <v>37.625</v>
      </c>
      <c r="EN197">
        <v>38.41633333333333</v>
      </c>
      <c r="EO197">
        <v>38.125</v>
      </c>
      <c r="EP197">
        <v>1454.683333333333</v>
      </c>
      <c r="EQ197">
        <v>40.36000000000001</v>
      </c>
      <c r="ER197">
        <v>0</v>
      </c>
      <c r="ES197">
        <v>538.2000000476837</v>
      </c>
      <c r="ET197">
        <v>0</v>
      </c>
      <c r="EU197">
        <v>851.7419200000001</v>
      </c>
      <c r="EV197">
        <v>-17.71261535392226</v>
      </c>
      <c r="EW197">
        <v>-270.6692303319823</v>
      </c>
      <c r="EX197">
        <v>12656.348</v>
      </c>
      <c r="EY197">
        <v>15</v>
      </c>
      <c r="EZ197">
        <v>1651864261.1</v>
      </c>
      <c r="FA197" t="s">
        <v>419</v>
      </c>
      <c r="FB197">
        <v>1651864241.6</v>
      </c>
      <c r="FC197">
        <v>1651864261.1</v>
      </c>
      <c r="FD197">
        <v>7</v>
      </c>
      <c r="FE197">
        <v>0.438</v>
      </c>
      <c r="FF197">
        <v>0.002</v>
      </c>
      <c r="FG197">
        <v>-0.988</v>
      </c>
      <c r="FH197">
        <v>-0.066</v>
      </c>
      <c r="FI197">
        <v>400</v>
      </c>
      <c r="FJ197">
        <v>11</v>
      </c>
      <c r="FK197">
        <v>0.05</v>
      </c>
      <c r="FL197">
        <v>0.02</v>
      </c>
      <c r="FM197">
        <v>-2.825764390243902</v>
      </c>
      <c r="FN197">
        <v>6.965328501742154</v>
      </c>
      <c r="FO197">
        <v>0.6891875771888648</v>
      </c>
      <c r="FP197">
        <v>-1</v>
      </c>
      <c r="FQ197">
        <v>4.279951707317073</v>
      </c>
      <c r="FR197">
        <v>-0.08158473867595248</v>
      </c>
      <c r="FS197">
        <v>0.01522878931216585</v>
      </c>
      <c r="FT197">
        <v>-1</v>
      </c>
      <c r="FU197">
        <v>0</v>
      </c>
      <c r="FV197">
        <v>0</v>
      </c>
      <c r="FW197">
        <v>0</v>
      </c>
      <c r="FX197">
        <v>-1</v>
      </c>
      <c r="FY197">
        <v>0</v>
      </c>
      <c r="FZ197">
        <v>0</v>
      </c>
      <c r="GA197" t="s">
        <v>420</v>
      </c>
      <c r="GB197">
        <v>2.98037</v>
      </c>
      <c r="GC197">
        <v>2.70616</v>
      </c>
      <c r="GD197">
        <v>0.0957534</v>
      </c>
      <c r="GE197">
        <v>0.094876</v>
      </c>
      <c r="GF197">
        <v>0.0874516</v>
      </c>
      <c r="GG197">
        <v>0.0712146</v>
      </c>
      <c r="GH197">
        <v>28535</v>
      </c>
      <c r="GI197">
        <v>28626.4</v>
      </c>
      <c r="GJ197">
        <v>29342.4</v>
      </c>
      <c r="GK197">
        <v>29257.8</v>
      </c>
      <c r="GL197">
        <v>35455.9</v>
      </c>
      <c r="GM197">
        <v>36191.8</v>
      </c>
      <c r="GN197">
        <v>41301.1</v>
      </c>
      <c r="GO197">
        <v>41760.5</v>
      </c>
      <c r="GP197">
        <v>1.95535</v>
      </c>
      <c r="GQ197">
        <v>1.8499</v>
      </c>
      <c r="GR197">
        <v>-0.0218786</v>
      </c>
      <c r="GS197">
        <v>0</v>
      </c>
      <c r="GT197">
        <v>25.3552</v>
      </c>
      <c r="GU197">
        <v>999.9</v>
      </c>
      <c r="GV197">
        <v>31.6</v>
      </c>
      <c r="GW197">
        <v>34.3</v>
      </c>
      <c r="GX197">
        <v>19.0893</v>
      </c>
      <c r="GY197">
        <v>62.3475</v>
      </c>
      <c r="GZ197">
        <v>35.1042</v>
      </c>
      <c r="HA197">
        <v>1</v>
      </c>
      <c r="HB197">
        <v>0.108623</v>
      </c>
      <c r="HC197">
        <v>2.50931</v>
      </c>
      <c r="HD197">
        <v>20.3157</v>
      </c>
      <c r="HE197">
        <v>5.21729</v>
      </c>
      <c r="HF197">
        <v>12.0099</v>
      </c>
      <c r="HG197">
        <v>4.989</v>
      </c>
      <c r="HH197">
        <v>3.2885</v>
      </c>
      <c r="HI197">
        <v>999</v>
      </c>
      <c r="HJ197">
        <v>9551.6</v>
      </c>
      <c r="HK197">
        <v>5139.4</v>
      </c>
      <c r="HL197">
        <v>24.9</v>
      </c>
      <c r="HM197">
        <v>1.86752</v>
      </c>
      <c r="HN197">
        <v>1.86646</v>
      </c>
      <c r="HO197">
        <v>1.866</v>
      </c>
      <c r="HP197">
        <v>1.86585</v>
      </c>
      <c r="HQ197">
        <v>1.8677</v>
      </c>
      <c r="HR197">
        <v>1.87018</v>
      </c>
      <c r="HS197">
        <v>1.86889</v>
      </c>
      <c r="HT197">
        <v>1.87026</v>
      </c>
      <c r="HU197">
        <v>0</v>
      </c>
      <c r="HV197">
        <v>0</v>
      </c>
      <c r="HW197">
        <v>0</v>
      </c>
      <c r="HX197">
        <v>0</v>
      </c>
      <c r="HY197" t="s">
        <v>421</v>
      </c>
      <c r="HZ197" t="s">
        <v>422</v>
      </c>
      <c r="IA197" t="s">
        <v>423</v>
      </c>
      <c r="IB197" t="s">
        <v>423</v>
      </c>
      <c r="IC197" t="s">
        <v>423</v>
      </c>
      <c r="ID197" t="s">
        <v>423</v>
      </c>
      <c r="IE197">
        <v>0</v>
      </c>
      <c r="IF197">
        <v>100</v>
      </c>
      <c r="IG197">
        <v>100</v>
      </c>
      <c r="IH197">
        <v>-1.047</v>
      </c>
      <c r="II197">
        <v>0.0195</v>
      </c>
      <c r="IJ197">
        <v>-0.2164499368582429</v>
      </c>
      <c r="IK197">
        <v>-0.002077099775823331</v>
      </c>
      <c r="IL197">
        <v>4.593143279902166E-07</v>
      </c>
      <c r="IM197">
        <v>-1.865383991892071E-10</v>
      </c>
      <c r="IN197">
        <v>-0.06087574426827484</v>
      </c>
      <c r="IO197">
        <v>-0.01129461987421345</v>
      </c>
      <c r="IP197">
        <v>0.00116580895745559</v>
      </c>
      <c r="IQ197">
        <v>-1.679085872906199E-05</v>
      </c>
      <c r="IR197">
        <v>2</v>
      </c>
      <c r="IS197">
        <v>2290</v>
      </c>
      <c r="IT197">
        <v>0</v>
      </c>
      <c r="IU197">
        <v>32</v>
      </c>
      <c r="IV197">
        <v>8.6</v>
      </c>
      <c r="IW197">
        <v>8.300000000000001</v>
      </c>
      <c r="IX197">
        <v>1.04126</v>
      </c>
      <c r="IY197">
        <v>2.22778</v>
      </c>
      <c r="IZ197">
        <v>1.39648</v>
      </c>
      <c r="JA197">
        <v>2.35596</v>
      </c>
      <c r="JB197">
        <v>1.49536</v>
      </c>
      <c r="JC197">
        <v>2.35474</v>
      </c>
      <c r="JD197">
        <v>38.5014</v>
      </c>
      <c r="JE197">
        <v>24.035</v>
      </c>
      <c r="JF197">
        <v>18</v>
      </c>
      <c r="JG197">
        <v>511.114</v>
      </c>
      <c r="JH197">
        <v>428.856</v>
      </c>
      <c r="JI197">
        <v>22.0411</v>
      </c>
      <c r="JJ197">
        <v>28.6854</v>
      </c>
      <c r="JK197">
        <v>30.0001</v>
      </c>
      <c r="JL197">
        <v>28.6495</v>
      </c>
      <c r="JM197">
        <v>28.5871</v>
      </c>
      <c r="JN197">
        <v>20.8162</v>
      </c>
      <c r="JO197">
        <v>26.7904</v>
      </c>
      <c r="JP197">
        <v>0</v>
      </c>
      <c r="JQ197">
        <v>22.0349</v>
      </c>
      <c r="JR197">
        <v>413.275</v>
      </c>
      <c r="JS197">
        <v>14.1231</v>
      </c>
      <c r="JT197">
        <v>100.299</v>
      </c>
      <c r="JU197">
        <v>100.228</v>
      </c>
    </row>
    <row r="198" spans="1:281">
      <c r="A198">
        <v>182</v>
      </c>
      <c r="B198">
        <v>1651864761.6</v>
      </c>
      <c r="C198">
        <v>541</v>
      </c>
      <c r="D198" t="s">
        <v>784</v>
      </c>
      <c r="E198" t="s">
        <v>785</v>
      </c>
      <c r="F198">
        <v>2</v>
      </c>
      <c r="G198" t="s">
        <v>413</v>
      </c>
      <c r="H198" t="s">
        <v>414</v>
      </c>
      <c r="I198">
        <v>1651864760.35</v>
      </c>
      <c r="J198">
        <f>(K198)/1000</f>
        <v>0</v>
      </c>
      <c r="K198">
        <f>IF(CZ198, AN198, AH198)</f>
        <v>0</v>
      </c>
      <c r="L198">
        <f>IF(CZ198, AI198, AG198)</f>
        <v>0</v>
      </c>
      <c r="M198">
        <f>DB198 - IF(AU198&gt;1, L198*CV198*100.0/(AW198*DP198), 0)</f>
        <v>0</v>
      </c>
      <c r="N198">
        <f>((T198-J198/2)*M198-L198)/(T198+J198/2)</f>
        <v>0</v>
      </c>
      <c r="O198">
        <f>N198*(DI198+DJ198)/1000.0</f>
        <v>0</v>
      </c>
      <c r="P198">
        <f>(DB198 - IF(AU198&gt;1, L198*CV198*100.0/(AW198*DP198), 0))*(DI198+DJ198)/1000.0</f>
        <v>0</v>
      </c>
      <c r="Q198">
        <f>2.0/((1/S198-1/R198)+SIGN(S198)*SQRT((1/S198-1/R198)*(1/S198-1/R198) + 4*CW198/((CW198+1)*(CW198+1))*(2*1/S198*1/R198-1/R198*1/R198)))</f>
        <v>0</v>
      </c>
      <c r="R198">
        <f>IF(LEFT(CX198,1)&lt;&gt;"0",IF(LEFT(CX198,1)="1",3.0,CY198),$D$5+$E$5*(DP198*DI198/($K$5*1000))+$F$5*(DP198*DI198/($K$5*1000))*MAX(MIN(CV198,$J$5),$I$5)*MAX(MIN(CV198,$J$5),$I$5)+$G$5*MAX(MIN(CV198,$J$5),$I$5)*(DP198*DI198/($K$5*1000))+$H$5*(DP198*DI198/($K$5*1000))*(DP198*DI198/($K$5*1000)))</f>
        <v>0</v>
      </c>
      <c r="S198">
        <f>J198*(1000-(1000*0.61365*exp(17.502*W198/(240.97+W198))/(DI198+DJ198)+DD198)/2)/(1000*0.61365*exp(17.502*W198/(240.97+W198))/(DI198+DJ198)-DD198)</f>
        <v>0</v>
      </c>
      <c r="T198">
        <f>1/((CW198+1)/(Q198/1.6)+1/(R198/1.37)) + CW198/((CW198+1)/(Q198/1.6) + CW198/(R198/1.37))</f>
        <v>0</v>
      </c>
      <c r="U198">
        <f>(CR198*CU198)</f>
        <v>0</v>
      </c>
      <c r="V198">
        <f>(DK198+(U198+2*0.95*5.67E-8*(((DK198+$B$7)+273)^4-(DK198+273)^4)-44100*J198)/(1.84*29.3*R198+8*0.95*5.67E-8*(DK198+273)^3))</f>
        <v>0</v>
      </c>
      <c r="W198">
        <f>($C$7*DL198+$D$7*DM198+$E$7*V198)</f>
        <v>0</v>
      </c>
      <c r="X198">
        <f>0.61365*exp(17.502*W198/(240.97+W198))</f>
        <v>0</v>
      </c>
      <c r="Y198">
        <f>(Z198/AA198*100)</f>
        <v>0</v>
      </c>
      <c r="Z198">
        <f>DD198*(DI198+DJ198)/1000</f>
        <v>0</v>
      </c>
      <c r="AA198">
        <f>0.61365*exp(17.502*DK198/(240.97+DK198))</f>
        <v>0</v>
      </c>
      <c r="AB198">
        <f>(X198-DD198*(DI198+DJ198)/1000)</f>
        <v>0</v>
      </c>
      <c r="AC198">
        <f>(-J198*44100)</f>
        <v>0</v>
      </c>
      <c r="AD198">
        <f>2*29.3*R198*0.92*(DK198-W198)</f>
        <v>0</v>
      </c>
      <c r="AE198">
        <f>2*0.95*5.67E-8*(((DK198+$B$7)+273)^4-(W198+273)^4)</f>
        <v>0</v>
      </c>
      <c r="AF198">
        <f>U198+AE198+AC198+AD198</f>
        <v>0</v>
      </c>
      <c r="AG198">
        <f>DH198*AU198*(DC198-DB198*(1000-AU198*DE198)/(1000-AU198*DD198))/(100*CV198)</f>
        <v>0</v>
      </c>
      <c r="AH198">
        <f>1000*DH198*AU198*(DD198-DE198)/(100*CV198*(1000-AU198*DD198))</f>
        <v>0</v>
      </c>
      <c r="AI198">
        <f>(AJ198 - AK198 - DI198*1E3/(8.314*(DK198+273.15)) * AM198/DH198 * AL198) * DH198/(100*CV198) * (1000 - DE198)/1000</f>
        <v>0</v>
      </c>
      <c r="AJ198">
        <v>441.637388010009</v>
      </c>
      <c r="AK198">
        <v>434.6777818181819</v>
      </c>
      <c r="AL198">
        <v>-3.250211718896446</v>
      </c>
      <c r="AM198">
        <v>66.38192812717227</v>
      </c>
      <c r="AN198">
        <f>(AP198 - AO198 + DI198*1E3/(8.314*(DK198+273.15)) * AR198/DH198 * AQ198) * DH198/(100*CV198) * 1000/(1000 - AP198)</f>
        <v>0</v>
      </c>
      <c r="AO198">
        <v>14.01964905882039</v>
      </c>
      <c r="AP198">
        <v>18.28806647058823</v>
      </c>
      <c r="AQ198">
        <v>-0.0001570639116564604</v>
      </c>
      <c r="AR198">
        <v>80.47224507511959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MAX(0,($B$13+$C$13*DP198)/(1+$D$13*DP198)*DI198/(DK198+273)*$E$13)</f>
        <v>0</v>
      </c>
      <c r="AX198" t="s">
        <v>417</v>
      </c>
      <c r="AY198" t="s">
        <v>417</v>
      </c>
      <c r="AZ198">
        <v>0</v>
      </c>
      <c r="BA198">
        <v>0</v>
      </c>
      <c r="BB198">
        <f>1-AZ198/BA198</f>
        <v>0</v>
      </c>
      <c r="BC198">
        <v>0</v>
      </c>
      <c r="BD198" t="s">
        <v>417</v>
      </c>
      <c r="BE198" t="s">
        <v>417</v>
      </c>
      <c r="BF198">
        <v>0</v>
      </c>
      <c r="BG198">
        <v>0</v>
      </c>
      <c r="BH198">
        <f>1-BF198/BG198</f>
        <v>0</v>
      </c>
      <c r="BI198">
        <v>0.5</v>
      </c>
      <c r="BJ198">
        <f>CS198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417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1248</v>
      </c>
      <c r="CA198">
        <v>300</v>
      </c>
      <c r="CB198">
        <v>300</v>
      </c>
      <c r="CC198">
        <v>300</v>
      </c>
      <c r="CD198">
        <v>10442</v>
      </c>
      <c r="CE198">
        <v>1293.69</v>
      </c>
      <c r="CF198">
        <v>-0.00735246</v>
      </c>
      <c r="CG198">
        <v>0.5</v>
      </c>
      <c r="CH198" t="s">
        <v>417</v>
      </c>
      <c r="CI198" t="s">
        <v>417</v>
      </c>
      <c r="CJ198" t="s">
        <v>417</v>
      </c>
      <c r="CK198" t="s">
        <v>417</v>
      </c>
      <c r="CL198" t="s">
        <v>417</v>
      </c>
      <c r="CM198" t="s">
        <v>417</v>
      </c>
      <c r="CN198" t="s">
        <v>417</v>
      </c>
      <c r="CO198" t="s">
        <v>417</v>
      </c>
      <c r="CP198" t="s">
        <v>417</v>
      </c>
      <c r="CQ198" t="s">
        <v>417</v>
      </c>
      <c r="CR198">
        <f>$B$11*DQ198+$C$11*DR198+$F$11*EC198*(1-EF198)</f>
        <v>0</v>
      </c>
      <c r="CS198">
        <f>CR198*CT198</f>
        <v>0</v>
      </c>
      <c r="CT198">
        <f>($B$11*$D$9+$C$11*$D$9+$F$11*((EP198+EH198)/MAX(EP198+EH198+EQ198, 0.1)*$I$9+EQ198/MAX(EP198+EH198+EQ198, 0.1)*$J$9))/($B$11+$C$11+$F$11)</f>
        <v>0</v>
      </c>
      <c r="CU198">
        <f>($B$11*$K$9+$C$11*$K$9+$F$11*((EP198+EH198)/MAX(EP198+EH198+EQ198, 0.1)*$P$9+EQ198/MAX(EP198+EH198+EQ198, 0.1)*$Q$9))/($B$11+$C$11+$F$11)</f>
        <v>0</v>
      </c>
      <c r="CV198">
        <v>6</v>
      </c>
      <c r="CW198">
        <v>0.5</v>
      </c>
      <c r="CX198" t="s">
        <v>418</v>
      </c>
      <c r="CY198">
        <v>2</v>
      </c>
      <c r="CZ198" t="b">
        <v>1</v>
      </c>
      <c r="DA198">
        <v>1651864760.35</v>
      </c>
      <c r="DB198">
        <v>429.12025</v>
      </c>
      <c r="DC198">
        <v>430.3775</v>
      </c>
      <c r="DD198">
        <v>18.288725</v>
      </c>
      <c r="DE198">
        <v>14.0347</v>
      </c>
      <c r="DF198">
        <v>430.15975</v>
      </c>
      <c r="DG198">
        <v>18.269225</v>
      </c>
      <c r="DH198">
        <v>500.04675</v>
      </c>
      <c r="DI198">
        <v>89.934225</v>
      </c>
      <c r="DJ198">
        <v>0.100255</v>
      </c>
      <c r="DK198">
        <v>25.636675</v>
      </c>
      <c r="DL198">
        <v>24.993125</v>
      </c>
      <c r="DM198">
        <v>999.9</v>
      </c>
      <c r="DN198">
        <v>0</v>
      </c>
      <c r="DO198">
        <v>0</v>
      </c>
      <c r="DP198">
        <v>9964.217500000001</v>
      </c>
      <c r="DQ198">
        <v>0</v>
      </c>
      <c r="DR198">
        <v>3.23193</v>
      </c>
      <c r="DS198">
        <v>-1.2573175</v>
      </c>
      <c r="DT198">
        <v>437.1145</v>
      </c>
      <c r="DU198">
        <v>436.5035</v>
      </c>
      <c r="DV198">
        <v>4.25404</v>
      </c>
      <c r="DW198">
        <v>430.3775</v>
      </c>
      <c r="DX198">
        <v>14.0347</v>
      </c>
      <c r="DY198">
        <v>1.6447825</v>
      </c>
      <c r="DZ198">
        <v>1.2622</v>
      </c>
      <c r="EA198">
        <v>14.384925</v>
      </c>
      <c r="EB198">
        <v>10.356125</v>
      </c>
      <c r="EC198">
        <v>1500</v>
      </c>
      <c r="ED198">
        <v>0.9729995</v>
      </c>
      <c r="EE198">
        <v>0.02700055</v>
      </c>
      <c r="EF198">
        <v>0</v>
      </c>
      <c r="EG198">
        <v>849.4565</v>
      </c>
      <c r="EH198">
        <v>5.00097</v>
      </c>
      <c r="EI198">
        <v>12618.95</v>
      </c>
      <c r="EJ198">
        <v>12491.6</v>
      </c>
      <c r="EK198">
        <v>37.25</v>
      </c>
      <c r="EL198">
        <v>38.687</v>
      </c>
      <c r="EM198">
        <v>37.625</v>
      </c>
      <c r="EN198">
        <v>38.437</v>
      </c>
      <c r="EO198">
        <v>38.125</v>
      </c>
      <c r="EP198">
        <v>1454.635</v>
      </c>
      <c r="EQ198">
        <v>40.365</v>
      </c>
      <c r="ER198">
        <v>0</v>
      </c>
      <c r="ES198">
        <v>540.6000001430511</v>
      </c>
      <c r="ET198">
        <v>0</v>
      </c>
      <c r="EU198">
        <v>851.02792</v>
      </c>
      <c r="EV198">
        <v>-16.54299997198297</v>
      </c>
      <c r="EW198">
        <v>-269.6692303166058</v>
      </c>
      <c r="EX198">
        <v>12645.612</v>
      </c>
      <c r="EY198">
        <v>15</v>
      </c>
      <c r="EZ198">
        <v>1651864261.1</v>
      </c>
      <c r="FA198" t="s">
        <v>419</v>
      </c>
      <c r="FB198">
        <v>1651864241.6</v>
      </c>
      <c r="FC198">
        <v>1651864261.1</v>
      </c>
      <c r="FD198">
        <v>7</v>
      </c>
      <c r="FE198">
        <v>0.438</v>
      </c>
      <c r="FF198">
        <v>0.002</v>
      </c>
      <c r="FG198">
        <v>-0.988</v>
      </c>
      <c r="FH198">
        <v>-0.066</v>
      </c>
      <c r="FI198">
        <v>400</v>
      </c>
      <c r="FJ198">
        <v>11</v>
      </c>
      <c r="FK198">
        <v>0.05</v>
      </c>
      <c r="FL198">
        <v>0.02</v>
      </c>
      <c r="FM198">
        <v>-2.476218292682927</v>
      </c>
      <c r="FN198">
        <v>7.261225923344938</v>
      </c>
      <c r="FO198">
        <v>0.7178002411157756</v>
      </c>
      <c r="FP198">
        <v>-1</v>
      </c>
      <c r="FQ198">
        <v>4.272423658536585</v>
      </c>
      <c r="FR198">
        <v>-0.02241616724738428</v>
      </c>
      <c r="FS198">
        <v>0.007374529916758037</v>
      </c>
      <c r="FT198">
        <v>-1</v>
      </c>
      <c r="FU198">
        <v>0</v>
      </c>
      <c r="FV198">
        <v>0</v>
      </c>
      <c r="FW198">
        <v>0</v>
      </c>
      <c r="FX198">
        <v>-1</v>
      </c>
      <c r="FY198">
        <v>0</v>
      </c>
      <c r="FZ198">
        <v>0</v>
      </c>
      <c r="GA198" t="s">
        <v>420</v>
      </c>
      <c r="GB198">
        <v>2.98044</v>
      </c>
      <c r="GC198">
        <v>2.70607</v>
      </c>
      <c r="GD198">
        <v>0.09442159999999999</v>
      </c>
      <c r="GE198">
        <v>0.09349830000000001</v>
      </c>
      <c r="GF198">
        <v>0.08745360000000001</v>
      </c>
      <c r="GG198">
        <v>0.0712897</v>
      </c>
      <c r="GH198">
        <v>28577.1</v>
      </c>
      <c r="GI198">
        <v>28670.2</v>
      </c>
      <c r="GJ198">
        <v>29342.4</v>
      </c>
      <c r="GK198">
        <v>29258</v>
      </c>
      <c r="GL198">
        <v>35456.1</v>
      </c>
      <c r="GM198">
        <v>36189</v>
      </c>
      <c r="GN198">
        <v>41301.4</v>
      </c>
      <c r="GO198">
        <v>41760.7</v>
      </c>
      <c r="GP198">
        <v>1.95513</v>
      </c>
      <c r="GQ198">
        <v>1.8497</v>
      </c>
      <c r="GR198">
        <v>-0.0219569</v>
      </c>
      <c r="GS198">
        <v>0</v>
      </c>
      <c r="GT198">
        <v>25.3533</v>
      </c>
      <c r="GU198">
        <v>999.9</v>
      </c>
      <c r="GV198">
        <v>31.6</v>
      </c>
      <c r="GW198">
        <v>34.3</v>
      </c>
      <c r="GX198">
        <v>19.0888</v>
      </c>
      <c r="GY198">
        <v>62.4475</v>
      </c>
      <c r="GZ198">
        <v>34.8558</v>
      </c>
      <c r="HA198">
        <v>1</v>
      </c>
      <c r="HB198">
        <v>0.10845</v>
      </c>
      <c r="HC198">
        <v>2.51406</v>
      </c>
      <c r="HD198">
        <v>20.3155</v>
      </c>
      <c r="HE198">
        <v>5.21759</v>
      </c>
      <c r="HF198">
        <v>12.0099</v>
      </c>
      <c r="HG198">
        <v>4.98915</v>
      </c>
      <c r="HH198">
        <v>3.28848</v>
      </c>
      <c r="HI198">
        <v>999</v>
      </c>
      <c r="HJ198">
        <v>9551.6</v>
      </c>
      <c r="HK198">
        <v>5139.4</v>
      </c>
      <c r="HL198">
        <v>24.9</v>
      </c>
      <c r="HM198">
        <v>1.86752</v>
      </c>
      <c r="HN198">
        <v>1.86646</v>
      </c>
      <c r="HO198">
        <v>1.866</v>
      </c>
      <c r="HP198">
        <v>1.86585</v>
      </c>
      <c r="HQ198">
        <v>1.8677</v>
      </c>
      <c r="HR198">
        <v>1.87018</v>
      </c>
      <c r="HS198">
        <v>1.8689</v>
      </c>
      <c r="HT198">
        <v>1.87026</v>
      </c>
      <c r="HU198">
        <v>0</v>
      </c>
      <c r="HV198">
        <v>0</v>
      </c>
      <c r="HW198">
        <v>0</v>
      </c>
      <c r="HX198">
        <v>0</v>
      </c>
      <c r="HY198" t="s">
        <v>421</v>
      </c>
      <c r="HZ198" t="s">
        <v>422</v>
      </c>
      <c r="IA198" t="s">
        <v>423</v>
      </c>
      <c r="IB198" t="s">
        <v>423</v>
      </c>
      <c r="IC198" t="s">
        <v>423</v>
      </c>
      <c r="ID198" t="s">
        <v>423</v>
      </c>
      <c r="IE198">
        <v>0</v>
      </c>
      <c r="IF198">
        <v>100</v>
      </c>
      <c r="IG198">
        <v>100</v>
      </c>
      <c r="IH198">
        <v>-1.033</v>
      </c>
      <c r="II198">
        <v>0.0195</v>
      </c>
      <c r="IJ198">
        <v>-0.2164499368582429</v>
      </c>
      <c r="IK198">
        <v>-0.002077099775823331</v>
      </c>
      <c r="IL198">
        <v>4.593143279902166E-07</v>
      </c>
      <c r="IM198">
        <v>-1.865383991892071E-10</v>
      </c>
      <c r="IN198">
        <v>-0.06087574426827484</v>
      </c>
      <c r="IO198">
        <v>-0.01129461987421345</v>
      </c>
      <c r="IP198">
        <v>0.00116580895745559</v>
      </c>
      <c r="IQ198">
        <v>-1.679085872906199E-05</v>
      </c>
      <c r="IR198">
        <v>2</v>
      </c>
      <c r="IS198">
        <v>2290</v>
      </c>
      <c r="IT198">
        <v>0</v>
      </c>
      <c r="IU198">
        <v>32</v>
      </c>
      <c r="IV198">
        <v>8.699999999999999</v>
      </c>
      <c r="IW198">
        <v>8.300000000000001</v>
      </c>
      <c r="IX198">
        <v>1.02661</v>
      </c>
      <c r="IY198">
        <v>2.23145</v>
      </c>
      <c r="IZ198">
        <v>1.39648</v>
      </c>
      <c r="JA198">
        <v>2.35596</v>
      </c>
      <c r="JB198">
        <v>1.49536</v>
      </c>
      <c r="JC198">
        <v>2.30103</v>
      </c>
      <c r="JD198">
        <v>38.5014</v>
      </c>
      <c r="JE198">
        <v>24.035</v>
      </c>
      <c r="JF198">
        <v>18</v>
      </c>
      <c r="JG198">
        <v>510.967</v>
      </c>
      <c r="JH198">
        <v>428.736</v>
      </c>
      <c r="JI198">
        <v>22.0377</v>
      </c>
      <c r="JJ198">
        <v>28.6854</v>
      </c>
      <c r="JK198">
        <v>30.0001</v>
      </c>
      <c r="JL198">
        <v>28.6495</v>
      </c>
      <c r="JM198">
        <v>28.5871</v>
      </c>
      <c r="JN198">
        <v>20.5121</v>
      </c>
      <c r="JO198">
        <v>26.7904</v>
      </c>
      <c r="JP198">
        <v>0</v>
      </c>
      <c r="JQ198">
        <v>22.0349</v>
      </c>
      <c r="JR198">
        <v>406.566</v>
      </c>
      <c r="JS198">
        <v>14.1309</v>
      </c>
      <c r="JT198">
        <v>100.299</v>
      </c>
      <c r="JU198">
        <v>100.228</v>
      </c>
    </row>
    <row r="199" spans="1:281">
      <c r="A199">
        <v>183</v>
      </c>
      <c r="B199">
        <v>1651864763.1</v>
      </c>
      <c r="C199">
        <v>542.5</v>
      </c>
      <c r="D199" t="s">
        <v>786</v>
      </c>
      <c r="E199" t="s">
        <v>787</v>
      </c>
      <c r="F199">
        <v>2</v>
      </c>
      <c r="G199" t="s">
        <v>413</v>
      </c>
      <c r="H199" t="s">
        <v>414</v>
      </c>
      <c r="I199">
        <v>1651864761.6</v>
      </c>
      <c r="J199">
        <f>(K199)/1000</f>
        <v>0</v>
      </c>
      <c r="K199">
        <f>IF(CZ199, AN199, AH199)</f>
        <v>0</v>
      </c>
      <c r="L199">
        <f>IF(CZ199, AI199, AG199)</f>
        <v>0</v>
      </c>
      <c r="M199">
        <f>DB199 - IF(AU199&gt;1, L199*CV199*100.0/(AW199*DP199), 0)</f>
        <v>0</v>
      </c>
      <c r="N199">
        <f>((T199-J199/2)*M199-L199)/(T199+J199/2)</f>
        <v>0</v>
      </c>
      <c r="O199">
        <f>N199*(DI199+DJ199)/1000.0</f>
        <v>0</v>
      </c>
      <c r="P199">
        <f>(DB199 - IF(AU199&gt;1, L199*CV199*100.0/(AW199*DP199), 0))*(DI199+DJ199)/1000.0</f>
        <v>0</v>
      </c>
      <c r="Q199">
        <f>2.0/((1/S199-1/R199)+SIGN(S199)*SQRT((1/S199-1/R199)*(1/S199-1/R199) + 4*CW199/((CW199+1)*(CW199+1))*(2*1/S199*1/R199-1/R199*1/R199)))</f>
        <v>0</v>
      </c>
      <c r="R199">
        <f>IF(LEFT(CX199,1)&lt;&gt;"0",IF(LEFT(CX199,1)="1",3.0,CY199),$D$5+$E$5*(DP199*DI199/($K$5*1000))+$F$5*(DP199*DI199/($K$5*1000))*MAX(MIN(CV199,$J$5),$I$5)*MAX(MIN(CV199,$J$5),$I$5)+$G$5*MAX(MIN(CV199,$J$5),$I$5)*(DP199*DI199/($K$5*1000))+$H$5*(DP199*DI199/($K$5*1000))*(DP199*DI199/($K$5*1000)))</f>
        <v>0</v>
      </c>
      <c r="S199">
        <f>J199*(1000-(1000*0.61365*exp(17.502*W199/(240.97+W199))/(DI199+DJ199)+DD199)/2)/(1000*0.61365*exp(17.502*W199/(240.97+W199))/(DI199+DJ199)-DD199)</f>
        <v>0</v>
      </c>
      <c r="T199">
        <f>1/((CW199+1)/(Q199/1.6)+1/(R199/1.37)) + CW199/((CW199+1)/(Q199/1.6) + CW199/(R199/1.37))</f>
        <v>0</v>
      </c>
      <c r="U199">
        <f>(CR199*CU199)</f>
        <v>0</v>
      </c>
      <c r="V199">
        <f>(DK199+(U199+2*0.95*5.67E-8*(((DK199+$B$7)+273)^4-(DK199+273)^4)-44100*J199)/(1.84*29.3*R199+8*0.95*5.67E-8*(DK199+273)^3))</f>
        <v>0</v>
      </c>
      <c r="W199">
        <f>($C$7*DL199+$D$7*DM199+$E$7*V199)</f>
        <v>0</v>
      </c>
      <c r="X199">
        <f>0.61365*exp(17.502*W199/(240.97+W199))</f>
        <v>0</v>
      </c>
      <c r="Y199">
        <f>(Z199/AA199*100)</f>
        <v>0</v>
      </c>
      <c r="Z199">
        <f>DD199*(DI199+DJ199)/1000</f>
        <v>0</v>
      </c>
      <c r="AA199">
        <f>0.61365*exp(17.502*DK199/(240.97+DK199))</f>
        <v>0</v>
      </c>
      <c r="AB199">
        <f>(X199-DD199*(DI199+DJ199)/1000)</f>
        <v>0</v>
      </c>
      <c r="AC199">
        <f>(-J199*44100)</f>
        <v>0</v>
      </c>
      <c r="AD199">
        <f>2*29.3*R199*0.92*(DK199-W199)</f>
        <v>0</v>
      </c>
      <c r="AE199">
        <f>2*0.95*5.67E-8*(((DK199+$B$7)+273)^4-(W199+273)^4)</f>
        <v>0</v>
      </c>
      <c r="AF199">
        <f>U199+AE199+AC199+AD199</f>
        <v>0</v>
      </c>
      <c r="AG199">
        <f>DH199*AU199*(DC199-DB199*(1000-AU199*DE199)/(1000-AU199*DD199))/(100*CV199)</f>
        <v>0</v>
      </c>
      <c r="AH199">
        <f>1000*DH199*AU199*(DD199-DE199)/(100*CV199*(1000-AU199*DD199))</f>
        <v>0</v>
      </c>
      <c r="AI199">
        <f>(AJ199 - AK199 - DI199*1E3/(8.314*(DK199+273.15)) * AM199/DH199 * AL199) * DH199/(100*CV199) * (1000 - DE199)/1000</f>
        <v>0</v>
      </c>
      <c r="AJ199">
        <v>436.5714522861642</v>
      </c>
      <c r="AK199">
        <v>429.8335393939392</v>
      </c>
      <c r="AL199">
        <v>-3.239349028790707</v>
      </c>
      <c r="AM199">
        <v>66.38192812717227</v>
      </c>
      <c r="AN199">
        <f>(AP199 - AO199 + DI199*1E3/(8.314*(DK199+273.15)) * AR199/DH199 * AQ199) * DH199/(100*CV199) * 1000/(1000 - AP199)</f>
        <v>0</v>
      </c>
      <c r="AO199">
        <v>14.02324902111348</v>
      </c>
      <c r="AP199">
        <v>18.29005794117646</v>
      </c>
      <c r="AQ199">
        <v>-0.0002898063117100786</v>
      </c>
      <c r="AR199">
        <v>80.47224507511959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MAX(0,($B$13+$C$13*DP199)/(1+$D$13*DP199)*DI199/(DK199+273)*$E$13)</f>
        <v>0</v>
      </c>
      <c r="AX199" t="s">
        <v>417</v>
      </c>
      <c r="AY199" t="s">
        <v>417</v>
      </c>
      <c r="AZ199">
        <v>0</v>
      </c>
      <c r="BA199">
        <v>0</v>
      </c>
      <c r="BB199">
        <f>1-AZ199/BA199</f>
        <v>0</v>
      </c>
      <c r="BC199">
        <v>0</v>
      </c>
      <c r="BD199" t="s">
        <v>417</v>
      </c>
      <c r="BE199" t="s">
        <v>417</v>
      </c>
      <c r="BF199">
        <v>0</v>
      </c>
      <c r="BG199">
        <v>0</v>
      </c>
      <c r="BH199">
        <f>1-BF199/BG199</f>
        <v>0</v>
      </c>
      <c r="BI199">
        <v>0.5</v>
      </c>
      <c r="BJ199">
        <f>CS199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417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1248</v>
      </c>
      <c r="CA199">
        <v>300</v>
      </c>
      <c r="CB199">
        <v>300</v>
      </c>
      <c r="CC199">
        <v>300</v>
      </c>
      <c r="CD199">
        <v>10442</v>
      </c>
      <c r="CE199">
        <v>1293.69</v>
      </c>
      <c r="CF199">
        <v>-0.00735246</v>
      </c>
      <c r="CG199">
        <v>0.5</v>
      </c>
      <c r="CH199" t="s">
        <v>417</v>
      </c>
      <c r="CI199" t="s">
        <v>417</v>
      </c>
      <c r="CJ199" t="s">
        <v>417</v>
      </c>
      <c r="CK199" t="s">
        <v>417</v>
      </c>
      <c r="CL199" t="s">
        <v>417</v>
      </c>
      <c r="CM199" t="s">
        <v>417</v>
      </c>
      <c r="CN199" t="s">
        <v>417</v>
      </c>
      <c r="CO199" t="s">
        <v>417</v>
      </c>
      <c r="CP199" t="s">
        <v>417</v>
      </c>
      <c r="CQ199" t="s">
        <v>417</v>
      </c>
      <c r="CR199">
        <f>$B$11*DQ199+$C$11*DR199+$F$11*EC199*(1-EF199)</f>
        <v>0</v>
      </c>
      <c r="CS199">
        <f>CR199*CT199</f>
        <v>0</v>
      </c>
      <c r="CT199">
        <f>($B$11*$D$9+$C$11*$D$9+$F$11*((EP199+EH199)/MAX(EP199+EH199+EQ199, 0.1)*$I$9+EQ199/MAX(EP199+EH199+EQ199, 0.1)*$J$9))/($B$11+$C$11+$F$11)</f>
        <v>0</v>
      </c>
      <c r="CU199">
        <f>($B$11*$K$9+$C$11*$K$9+$F$11*((EP199+EH199)/MAX(EP199+EH199+EQ199, 0.1)*$P$9+EQ199/MAX(EP199+EH199+EQ199, 0.1)*$Q$9))/($B$11+$C$11+$F$11)</f>
        <v>0</v>
      </c>
      <c r="CV199">
        <v>6</v>
      </c>
      <c r="CW199">
        <v>0.5</v>
      </c>
      <c r="CX199" t="s">
        <v>418</v>
      </c>
      <c r="CY199">
        <v>2</v>
      </c>
      <c r="CZ199" t="b">
        <v>1</v>
      </c>
      <c r="DA199">
        <v>1651864761.6</v>
      </c>
      <c r="DB199">
        <v>425.14475</v>
      </c>
      <c r="DC199">
        <v>426.211</v>
      </c>
      <c r="DD199">
        <v>18.289525</v>
      </c>
      <c r="DE199">
        <v>14.0451</v>
      </c>
      <c r="DF199">
        <v>426.17725</v>
      </c>
      <c r="DG199">
        <v>18.27</v>
      </c>
      <c r="DH199">
        <v>500.05</v>
      </c>
      <c r="DI199">
        <v>89.9348</v>
      </c>
      <c r="DJ199">
        <v>0.1000334</v>
      </c>
      <c r="DK199">
        <v>25.634725</v>
      </c>
      <c r="DL199">
        <v>24.993025</v>
      </c>
      <c r="DM199">
        <v>999.9</v>
      </c>
      <c r="DN199">
        <v>0</v>
      </c>
      <c r="DO199">
        <v>0</v>
      </c>
      <c r="DP199">
        <v>9985.3125</v>
      </c>
      <c r="DQ199">
        <v>0</v>
      </c>
      <c r="DR199">
        <v>3.23193</v>
      </c>
      <c r="DS199">
        <v>-1.06638425</v>
      </c>
      <c r="DT199">
        <v>433.06525</v>
      </c>
      <c r="DU199">
        <v>432.2825</v>
      </c>
      <c r="DV199">
        <v>4.244472500000001</v>
      </c>
      <c r="DW199">
        <v>426.211</v>
      </c>
      <c r="DX199">
        <v>14.0451</v>
      </c>
      <c r="DY199">
        <v>1.6448675</v>
      </c>
      <c r="DZ199">
        <v>1.2631425</v>
      </c>
      <c r="EA199">
        <v>14.385675</v>
      </c>
      <c r="EB199">
        <v>10.367275</v>
      </c>
      <c r="EC199">
        <v>1499.925</v>
      </c>
      <c r="ED199">
        <v>0.97300325</v>
      </c>
      <c r="EE199">
        <v>0.026996825</v>
      </c>
      <c r="EF199">
        <v>0</v>
      </c>
      <c r="EG199">
        <v>848.9182500000001</v>
      </c>
      <c r="EH199">
        <v>5.00097</v>
      </c>
      <c r="EI199">
        <v>12612.725</v>
      </c>
      <c r="EJ199">
        <v>12491</v>
      </c>
      <c r="EK199">
        <v>37.25</v>
      </c>
      <c r="EL199">
        <v>38.687</v>
      </c>
      <c r="EM199">
        <v>37.625</v>
      </c>
      <c r="EN199">
        <v>38.42149999999999</v>
      </c>
      <c r="EO199">
        <v>38.125</v>
      </c>
      <c r="EP199">
        <v>1454.5675</v>
      </c>
      <c r="EQ199">
        <v>40.3575</v>
      </c>
      <c r="ER199">
        <v>0</v>
      </c>
      <c r="ES199">
        <v>541.7999999523163</v>
      </c>
      <c r="ET199">
        <v>0</v>
      </c>
      <c r="EU199">
        <v>850.66828</v>
      </c>
      <c r="EV199">
        <v>-17.66838463804881</v>
      </c>
      <c r="EW199">
        <v>-272.3692311004864</v>
      </c>
      <c r="EX199">
        <v>12640.028</v>
      </c>
      <c r="EY199">
        <v>15</v>
      </c>
      <c r="EZ199">
        <v>1651864261.1</v>
      </c>
      <c r="FA199" t="s">
        <v>419</v>
      </c>
      <c r="FB199">
        <v>1651864241.6</v>
      </c>
      <c r="FC199">
        <v>1651864261.1</v>
      </c>
      <c r="FD199">
        <v>7</v>
      </c>
      <c r="FE199">
        <v>0.438</v>
      </c>
      <c r="FF199">
        <v>0.002</v>
      </c>
      <c r="FG199">
        <v>-0.988</v>
      </c>
      <c r="FH199">
        <v>-0.066</v>
      </c>
      <c r="FI199">
        <v>400</v>
      </c>
      <c r="FJ199">
        <v>11</v>
      </c>
      <c r="FK199">
        <v>0.05</v>
      </c>
      <c r="FL199">
        <v>0.02</v>
      </c>
      <c r="FM199">
        <v>-2.35545487804878</v>
      </c>
      <c r="FN199">
        <v>7.371666480836232</v>
      </c>
      <c r="FO199">
        <v>0.7285592928349789</v>
      </c>
      <c r="FP199">
        <v>-1</v>
      </c>
      <c r="FQ199">
        <v>4.270491463414634</v>
      </c>
      <c r="FR199">
        <v>-0.03104926829268675</v>
      </c>
      <c r="FS199">
        <v>0.008573405436887196</v>
      </c>
      <c r="FT199">
        <v>-1</v>
      </c>
      <c r="FU199">
        <v>0</v>
      </c>
      <c r="FV199">
        <v>0</v>
      </c>
      <c r="FW199">
        <v>0</v>
      </c>
      <c r="FX199">
        <v>-1</v>
      </c>
      <c r="FY199">
        <v>0</v>
      </c>
      <c r="FZ199">
        <v>0</v>
      </c>
      <c r="GA199" t="s">
        <v>420</v>
      </c>
      <c r="GB199">
        <v>2.98044</v>
      </c>
      <c r="GC199">
        <v>2.70598</v>
      </c>
      <c r="GD199">
        <v>0.09361940000000001</v>
      </c>
      <c r="GE199">
        <v>0.09266729999999999</v>
      </c>
      <c r="GF199">
        <v>0.0874558</v>
      </c>
      <c r="GG199">
        <v>0.0713264</v>
      </c>
      <c r="GH199">
        <v>28602.6</v>
      </c>
      <c r="GI199">
        <v>28696.5</v>
      </c>
      <c r="GJ199">
        <v>29342.6</v>
      </c>
      <c r="GK199">
        <v>29257.9</v>
      </c>
      <c r="GL199">
        <v>35455.9</v>
      </c>
      <c r="GM199">
        <v>36187.6</v>
      </c>
      <c r="GN199">
        <v>41301.4</v>
      </c>
      <c r="GO199">
        <v>41760.8</v>
      </c>
      <c r="GP199">
        <v>1.95515</v>
      </c>
      <c r="GQ199">
        <v>1.84973</v>
      </c>
      <c r="GR199">
        <v>-0.0218935</v>
      </c>
      <c r="GS199">
        <v>0</v>
      </c>
      <c r="GT199">
        <v>25.352</v>
      </c>
      <c r="GU199">
        <v>999.9</v>
      </c>
      <c r="GV199">
        <v>31.6</v>
      </c>
      <c r="GW199">
        <v>34.3</v>
      </c>
      <c r="GX199">
        <v>19.0884</v>
      </c>
      <c r="GY199">
        <v>62.3675</v>
      </c>
      <c r="GZ199">
        <v>35.3125</v>
      </c>
      <c r="HA199">
        <v>1</v>
      </c>
      <c r="HB199">
        <v>0.108501</v>
      </c>
      <c r="HC199">
        <v>2.51724</v>
      </c>
      <c r="HD199">
        <v>20.3154</v>
      </c>
      <c r="HE199">
        <v>5.21729</v>
      </c>
      <c r="HF199">
        <v>12.0099</v>
      </c>
      <c r="HG199">
        <v>4.9891</v>
      </c>
      <c r="HH199">
        <v>3.28848</v>
      </c>
      <c r="HI199">
        <v>999.2</v>
      </c>
      <c r="HJ199">
        <v>9552.5</v>
      </c>
      <c r="HK199">
        <v>5139.4</v>
      </c>
      <c r="HL199">
        <v>24.9</v>
      </c>
      <c r="HM199">
        <v>1.86752</v>
      </c>
      <c r="HN199">
        <v>1.86646</v>
      </c>
      <c r="HO199">
        <v>1.866</v>
      </c>
      <c r="HP199">
        <v>1.86586</v>
      </c>
      <c r="HQ199">
        <v>1.86769</v>
      </c>
      <c r="HR199">
        <v>1.8702</v>
      </c>
      <c r="HS199">
        <v>1.86889</v>
      </c>
      <c r="HT199">
        <v>1.87027</v>
      </c>
      <c r="HU199">
        <v>0</v>
      </c>
      <c r="HV199">
        <v>0</v>
      </c>
      <c r="HW199">
        <v>0</v>
      </c>
      <c r="HX199">
        <v>0</v>
      </c>
      <c r="HY199" t="s">
        <v>421</v>
      </c>
      <c r="HZ199" t="s">
        <v>422</v>
      </c>
      <c r="IA199" t="s">
        <v>423</v>
      </c>
      <c r="IB199" t="s">
        <v>423</v>
      </c>
      <c r="IC199" t="s">
        <v>423</v>
      </c>
      <c r="ID199" t="s">
        <v>423</v>
      </c>
      <c r="IE199">
        <v>0</v>
      </c>
      <c r="IF199">
        <v>100</v>
      </c>
      <c r="IG199">
        <v>100</v>
      </c>
      <c r="IH199">
        <v>-1.024</v>
      </c>
      <c r="II199">
        <v>0.0195</v>
      </c>
      <c r="IJ199">
        <v>-0.2164499368582429</v>
      </c>
      <c r="IK199">
        <v>-0.002077099775823331</v>
      </c>
      <c r="IL199">
        <v>4.593143279902166E-07</v>
      </c>
      <c r="IM199">
        <v>-1.865383991892071E-10</v>
      </c>
      <c r="IN199">
        <v>-0.06087574426827484</v>
      </c>
      <c r="IO199">
        <v>-0.01129461987421345</v>
      </c>
      <c r="IP199">
        <v>0.00116580895745559</v>
      </c>
      <c r="IQ199">
        <v>-1.679085872906199E-05</v>
      </c>
      <c r="IR199">
        <v>2</v>
      </c>
      <c r="IS199">
        <v>2290</v>
      </c>
      <c r="IT199">
        <v>0</v>
      </c>
      <c r="IU199">
        <v>32</v>
      </c>
      <c r="IV199">
        <v>8.699999999999999</v>
      </c>
      <c r="IW199">
        <v>8.4</v>
      </c>
      <c r="IX199">
        <v>1.01562</v>
      </c>
      <c r="IY199">
        <v>2.229</v>
      </c>
      <c r="IZ199">
        <v>1.39648</v>
      </c>
      <c r="JA199">
        <v>2.35596</v>
      </c>
      <c r="JB199">
        <v>1.49536</v>
      </c>
      <c r="JC199">
        <v>2.33032</v>
      </c>
      <c r="JD199">
        <v>38.5014</v>
      </c>
      <c r="JE199">
        <v>24.035</v>
      </c>
      <c r="JF199">
        <v>18</v>
      </c>
      <c r="JG199">
        <v>510.983</v>
      </c>
      <c r="JH199">
        <v>428.751</v>
      </c>
      <c r="JI199">
        <v>22.0354</v>
      </c>
      <c r="JJ199">
        <v>28.6861</v>
      </c>
      <c r="JK199">
        <v>30.0002</v>
      </c>
      <c r="JL199">
        <v>28.6495</v>
      </c>
      <c r="JM199">
        <v>28.5871</v>
      </c>
      <c r="JN199">
        <v>20.2925</v>
      </c>
      <c r="JO199">
        <v>26.7904</v>
      </c>
      <c r="JP199">
        <v>0</v>
      </c>
      <c r="JQ199">
        <v>22.0349</v>
      </c>
      <c r="JR199">
        <v>399.871</v>
      </c>
      <c r="JS199">
        <v>14.1379</v>
      </c>
      <c r="JT199">
        <v>100.3</v>
      </c>
      <c r="JU199">
        <v>100.228</v>
      </c>
    </row>
    <row r="200" spans="1:281">
      <c r="A200">
        <v>184</v>
      </c>
      <c r="B200">
        <v>1651864765.1</v>
      </c>
      <c r="C200">
        <v>544.5</v>
      </c>
      <c r="D200" t="s">
        <v>788</v>
      </c>
      <c r="E200" t="s">
        <v>789</v>
      </c>
      <c r="F200">
        <v>2</v>
      </c>
      <c r="G200" t="s">
        <v>413</v>
      </c>
      <c r="H200" t="s">
        <v>414</v>
      </c>
      <c r="I200">
        <v>1651864764.1</v>
      </c>
      <c r="J200">
        <f>(K200)/1000</f>
        <v>0</v>
      </c>
      <c r="K200">
        <f>IF(CZ200, AN200, AH200)</f>
        <v>0</v>
      </c>
      <c r="L200">
        <f>IF(CZ200, AI200, AG200)</f>
        <v>0</v>
      </c>
      <c r="M200">
        <f>DB200 - IF(AU200&gt;1, L200*CV200*100.0/(AW200*DP200), 0)</f>
        <v>0</v>
      </c>
      <c r="N200">
        <f>((T200-J200/2)*M200-L200)/(T200+J200/2)</f>
        <v>0</v>
      </c>
      <c r="O200">
        <f>N200*(DI200+DJ200)/1000.0</f>
        <v>0</v>
      </c>
      <c r="P200">
        <f>(DB200 - IF(AU200&gt;1, L200*CV200*100.0/(AW200*DP200), 0))*(DI200+DJ200)/1000.0</f>
        <v>0</v>
      </c>
      <c r="Q200">
        <f>2.0/((1/S200-1/R200)+SIGN(S200)*SQRT((1/S200-1/R200)*(1/S200-1/R200) + 4*CW200/((CW200+1)*(CW200+1))*(2*1/S200*1/R200-1/R200*1/R200)))</f>
        <v>0</v>
      </c>
      <c r="R200">
        <f>IF(LEFT(CX200,1)&lt;&gt;"0",IF(LEFT(CX200,1)="1",3.0,CY200),$D$5+$E$5*(DP200*DI200/($K$5*1000))+$F$5*(DP200*DI200/($K$5*1000))*MAX(MIN(CV200,$J$5),$I$5)*MAX(MIN(CV200,$J$5),$I$5)+$G$5*MAX(MIN(CV200,$J$5),$I$5)*(DP200*DI200/($K$5*1000))+$H$5*(DP200*DI200/($K$5*1000))*(DP200*DI200/($K$5*1000)))</f>
        <v>0</v>
      </c>
      <c r="S200">
        <f>J200*(1000-(1000*0.61365*exp(17.502*W200/(240.97+W200))/(DI200+DJ200)+DD200)/2)/(1000*0.61365*exp(17.502*W200/(240.97+W200))/(DI200+DJ200)-DD200)</f>
        <v>0</v>
      </c>
      <c r="T200">
        <f>1/((CW200+1)/(Q200/1.6)+1/(R200/1.37)) + CW200/((CW200+1)/(Q200/1.6) + CW200/(R200/1.37))</f>
        <v>0</v>
      </c>
      <c r="U200">
        <f>(CR200*CU200)</f>
        <v>0</v>
      </c>
      <c r="V200">
        <f>(DK200+(U200+2*0.95*5.67E-8*(((DK200+$B$7)+273)^4-(DK200+273)^4)-44100*J200)/(1.84*29.3*R200+8*0.95*5.67E-8*(DK200+273)^3))</f>
        <v>0</v>
      </c>
      <c r="W200">
        <f>($C$7*DL200+$D$7*DM200+$E$7*V200)</f>
        <v>0</v>
      </c>
      <c r="X200">
        <f>0.61365*exp(17.502*W200/(240.97+W200))</f>
        <v>0</v>
      </c>
      <c r="Y200">
        <f>(Z200/AA200*100)</f>
        <v>0</v>
      </c>
      <c r="Z200">
        <f>DD200*(DI200+DJ200)/1000</f>
        <v>0</v>
      </c>
      <c r="AA200">
        <f>0.61365*exp(17.502*DK200/(240.97+DK200))</f>
        <v>0</v>
      </c>
      <c r="AB200">
        <f>(X200-DD200*(DI200+DJ200)/1000)</f>
        <v>0</v>
      </c>
      <c r="AC200">
        <f>(-J200*44100)</f>
        <v>0</v>
      </c>
      <c r="AD200">
        <f>2*29.3*R200*0.92*(DK200-W200)</f>
        <v>0</v>
      </c>
      <c r="AE200">
        <f>2*0.95*5.67E-8*(((DK200+$B$7)+273)^4-(W200+273)^4)</f>
        <v>0</v>
      </c>
      <c r="AF200">
        <f>U200+AE200+AC200+AD200</f>
        <v>0</v>
      </c>
      <c r="AG200">
        <f>DH200*AU200*(DC200-DB200*(1000-AU200*DE200)/(1000-AU200*DD200))/(100*CV200)</f>
        <v>0</v>
      </c>
      <c r="AH200">
        <f>1000*DH200*AU200*(DD200-DE200)/(100*CV200*(1000-AU200*DD200))</f>
        <v>0</v>
      </c>
      <c r="AI200">
        <f>(AJ200 - AK200 - DI200*1E3/(8.314*(DK200+273.15)) * AM200/DH200 * AL200) * DH200/(100*CV200) * (1000 - DE200)/1000</f>
        <v>0</v>
      </c>
      <c r="AJ200">
        <v>429.8187752213884</v>
      </c>
      <c r="AK200">
        <v>423.3518969696967</v>
      </c>
      <c r="AL200">
        <v>-3.236825004575143</v>
      </c>
      <c r="AM200">
        <v>66.38192812717227</v>
      </c>
      <c r="AN200">
        <f>(AP200 - AO200 + DI200*1E3/(8.314*(DK200+273.15)) * AR200/DH200 * AQ200) * DH200/(100*CV200) * 1000/(1000 - AP200)</f>
        <v>0</v>
      </c>
      <c r="AO200">
        <v>14.03746789695553</v>
      </c>
      <c r="AP200">
        <v>18.29374764705882</v>
      </c>
      <c r="AQ200">
        <v>-0.0002004665972501923</v>
      </c>
      <c r="AR200">
        <v>80.47224507511959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MAX(0,($B$13+$C$13*DP200)/(1+$D$13*DP200)*DI200/(DK200+273)*$E$13)</f>
        <v>0</v>
      </c>
      <c r="AX200" t="s">
        <v>417</v>
      </c>
      <c r="AY200" t="s">
        <v>417</v>
      </c>
      <c r="AZ200">
        <v>0</v>
      </c>
      <c r="BA200">
        <v>0</v>
      </c>
      <c r="BB200">
        <f>1-AZ200/BA200</f>
        <v>0</v>
      </c>
      <c r="BC200">
        <v>0</v>
      </c>
      <c r="BD200" t="s">
        <v>417</v>
      </c>
      <c r="BE200" t="s">
        <v>417</v>
      </c>
      <c r="BF200">
        <v>0</v>
      </c>
      <c r="BG200">
        <v>0</v>
      </c>
      <c r="BH200">
        <f>1-BF200/BG200</f>
        <v>0</v>
      </c>
      <c r="BI200">
        <v>0.5</v>
      </c>
      <c r="BJ200">
        <f>CS200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417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1248</v>
      </c>
      <c r="CA200">
        <v>300</v>
      </c>
      <c r="CB200">
        <v>300</v>
      </c>
      <c r="CC200">
        <v>300</v>
      </c>
      <c r="CD200">
        <v>10442</v>
      </c>
      <c r="CE200">
        <v>1293.69</v>
      </c>
      <c r="CF200">
        <v>-0.00735246</v>
      </c>
      <c r="CG200">
        <v>0.5</v>
      </c>
      <c r="CH200" t="s">
        <v>417</v>
      </c>
      <c r="CI200" t="s">
        <v>417</v>
      </c>
      <c r="CJ200" t="s">
        <v>417</v>
      </c>
      <c r="CK200" t="s">
        <v>417</v>
      </c>
      <c r="CL200" t="s">
        <v>417</v>
      </c>
      <c r="CM200" t="s">
        <v>417</v>
      </c>
      <c r="CN200" t="s">
        <v>417</v>
      </c>
      <c r="CO200" t="s">
        <v>417</v>
      </c>
      <c r="CP200" t="s">
        <v>417</v>
      </c>
      <c r="CQ200" t="s">
        <v>417</v>
      </c>
      <c r="CR200">
        <f>$B$11*DQ200+$C$11*DR200+$F$11*EC200*(1-EF200)</f>
        <v>0</v>
      </c>
      <c r="CS200">
        <f>CR200*CT200</f>
        <v>0</v>
      </c>
      <c r="CT200">
        <f>($B$11*$D$9+$C$11*$D$9+$F$11*((EP200+EH200)/MAX(EP200+EH200+EQ200, 0.1)*$I$9+EQ200/MAX(EP200+EH200+EQ200, 0.1)*$J$9))/($B$11+$C$11+$F$11)</f>
        <v>0</v>
      </c>
      <c r="CU200">
        <f>($B$11*$K$9+$C$11*$K$9+$F$11*((EP200+EH200)/MAX(EP200+EH200+EQ200, 0.1)*$P$9+EQ200/MAX(EP200+EH200+EQ200, 0.1)*$Q$9))/($B$11+$C$11+$F$11)</f>
        <v>0</v>
      </c>
      <c r="CV200">
        <v>6</v>
      </c>
      <c r="CW200">
        <v>0.5</v>
      </c>
      <c r="CX200" t="s">
        <v>418</v>
      </c>
      <c r="CY200">
        <v>2</v>
      </c>
      <c r="CZ200" t="b">
        <v>1</v>
      </c>
      <c r="DA200">
        <v>1651864764.1</v>
      </c>
      <c r="DB200">
        <v>417.1966666666667</v>
      </c>
      <c r="DC200">
        <v>417.896</v>
      </c>
      <c r="DD200">
        <v>18.29273333333333</v>
      </c>
      <c r="DE200">
        <v>14.05663333333333</v>
      </c>
      <c r="DF200">
        <v>418.2153333333333</v>
      </c>
      <c r="DG200">
        <v>18.27313333333333</v>
      </c>
      <c r="DH200">
        <v>500.0296666666666</v>
      </c>
      <c r="DI200">
        <v>89.9361</v>
      </c>
      <c r="DJ200">
        <v>0.09987576666666666</v>
      </c>
      <c r="DK200">
        <v>25.63383333333333</v>
      </c>
      <c r="DL200">
        <v>24.98976666666667</v>
      </c>
      <c r="DM200">
        <v>999.9</v>
      </c>
      <c r="DN200">
        <v>0</v>
      </c>
      <c r="DO200">
        <v>0</v>
      </c>
      <c r="DP200">
        <v>9999.566666666668</v>
      </c>
      <c r="DQ200">
        <v>0</v>
      </c>
      <c r="DR200">
        <v>3.23193</v>
      </c>
      <c r="DS200">
        <v>-0.6993713333333332</v>
      </c>
      <c r="DT200">
        <v>424.9706666666667</v>
      </c>
      <c r="DU200">
        <v>423.8536666666666</v>
      </c>
      <c r="DV200">
        <v>4.236066666666667</v>
      </c>
      <c r="DW200">
        <v>417.896</v>
      </c>
      <c r="DX200">
        <v>14.05663333333333</v>
      </c>
      <c r="DY200">
        <v>1.645173333333333</v>
      </c>
      <c r="DZ200">
        <v>1.2642</v>
      </c>
      <c r="EA200">
        <v>14.3886</v>
      </c>
      <c r="EB200">
        <v>10.37983333333333</v>
      </c>
      <c r="EC200">
        <v>1500.05</v>
      </c>
      <c r="ED200">
        <v>0.9729953333333334</v>
      </c>
      <c r="EE200">
        <v>0.02700466666666667</v>
      </c>
      <c r="EF200">
        <v>0</v>
      </c>
      <c r="EG200">
        <v>848.0390000000001</v>
      </c>
      <c r="EH200">
        <v>5.00097</v>
      </c>
      <c r="EI200">
        <v>12602.23333333333</v>
      </c>
      <c r="EJ200">
        <v>12492</v>
      </c>
      <c r="EK200">
        <v>37.25</v>
      </c>
      <c r="EL200">
        <v>38.687</v>
      </c>
      <c r="EM200">
        <v>37.625</v>
      </c>
      <c r="EN200">
        <v>38.375</v>
      </c>
      <c r="EO200">
        <v>38.125</v>
      </c>
      <c r="EP200">
        <v>1454.676666666667</v>
      </c>
      <c r="EQ200">
        <v>40.37333333333333</v>
      </c>
      <c r="ER200">
        <v>0</v>
      </c>
      <c r="ES200">
        <v>544.2000000476837</v>
      </c>
      <c r="ET200">
        <v>0</v>
      </c>
      <c r="EU200">
        <v>849.92192</v>
      </c>
      <c r="EV200">
        <v>-18.05269228288725</v>
      </c>
      <c r="EW200">
        <v>-270.707691814065</v>
      </c>
      <c r="EX200">
        <v>12629.22</v>
      </c>
      <c r="EY200">
        <v>15</v>
      </c>
      <c r="EZ200">
        <v>1651864261.1</v>
      </c>
      <c r="FA200" t="s">
        <v>419</v>
      </c>
      <c r="FB200">
        <v>1651864241.6</v>
      </c>
      <c r="FC200">
        <v>1651864261.1</v>
      </c>
      <c r="FD200">
        <v>7</v>
      </c>
      <c r="FE200">
        <v>0.438</v>
      </c>
      <c r="FF200">
        <v>0.002</v>
      </c>
      <c r="FG200">
        <v>-0.988</v>
      </c>
      <c r="FH200">
        <v>-0.066</v>
      </c>
      <c r="FI200">
        <v>400</v>
      </c>
      <c r="FJ200">
        <v>11</v>
      </c>
      <c r="FK200">
        <v>0.05</v>
      </c>
      <c r="FL200">
        <v>0.02</v>
      </c>
      <c r="FM200">
        <v>-1.981202926829268</v>
      </c>
      <c r="FN200">
        <v>7.805871595818817</v>
      </c>
      <c r="FO200">
        <v>0.7707095009194019</v>
      </c>
      <c r="FP200">
        <v>-1</v>
      </c>
      <c r="FQ200">
        <v>4.266292195121951</v>
      </c>
      <c r="FR200">
        <v>-0.1185081533101034</v>
      </c>
      <c r="FS200">
        <v>0.01464992907869205</v>
      </c>
      <c r="FT200">
        <v>-1</v>
      </c>
      <c r="FU200">
        <v>0</v>
      </c>
      <c r="FV200">
        <v>0</v>
      </c>
      <c r="FW200">
        <v>0</v>
      </c>
      <c r="FX200">
        <v>-1</v>
      </c>
      <c r="FY200">
        <v>0</v>
      </c>
      <c r="FZ200">
        <v>0</v>
      </c>
      <c r="GA200" t="s">
        <v>420</v>
      </c>
      <c r="GB200">
        <v>2.98047</v>
      </c>
      <c r="GC200">
        <v>2.70613</v>
      </c>
      <c r="GD200">
        <v>0.092542</v>
      </c>
      <c r="GE200">
        <v>0.0915617</v>
      </c>
      <c r="GF200">
        <v>0.0874673</v>
      </c>
      <c r="GG200">
        <v>0.07133879999999999</v>
      </c>
      <c r="GH200">
        <v>28636.3</v>
      </c>
      <c r="GI200">
        <v>28731.5</v>
      </c>
      <c r="GJ200">
        <v>29342.3</v>
      </c>
      <c r="GK200">
        <v>29258</v>
      </c>
      <c r="GL200">
        <v>35455.1</v>
      </c>
      <c r="GM200">
        <v>36187.2</v>
      </c>
      <c r="GN200">
        <v>41301</v>
      </c>
      <c r="GO200">
        <v>41760.9</v>
      </c>
      <c r="GP200">
        <v>1.95525</v>
      </c>
      <c r="GQ200">
        <v>1.84975</v>
      </c>
      <c r="GR200">
        <v>-0.0219308</v>
      </c>
      <c r="GS200">
        <v>0</v>
      </c>
      <c r="GT200">
        <v>25.3509</v>
      </c>
      <c r="GU200">
        <v>999.9</v>
      </c>
      <c r="GV200">
        <v>31.6</v>
      </c>
      <c r="GW200">
        <v>34.3</v>
      </c>
      <c r="GX200">
        <v>19.0913</v>
      </c>
      <c r="GY200">
        <v>62.2275</v>
      </c>
      <c r="GZ200">
        <v>34.8237</v>
      </c>
      <c r="HA200">
        <v>1</v>
      </c>
      <c r="HB200">
        <v>0.108694</v>
      </c>
      <c r="HC200">
        <v>2.36304</v>
      </c>
      <c r="HD200">
        <v>20.3172</v>
      </c>
      <c r="HE200">
        <v>5.21744</v>
      </c>
      <c r="HF200">
        <v>12.0099</v>
      </c>
      <c r="HG200">
        <v>4.98915</v>
      </c>
      <c r="HH200">
        <v>3.28858</v>
      </c>
      <c r="HI200">
        <v>999.2</v>
      </c>
      <c r="HJ200">
        <v>9552.5</v>
      </c>
      <c r="HK200">
        <v>5139.4</v>
      </c>
      <c r="HL200">
        <v>24.9</v>
      </c>
      <c r="HM200">
        <v>1.86752</v>
      </c>
      <c r="HN200">
        <v>1.86646</v>
      </c>
      <c r="HO200">
        <v>1.866</v>
      </c>
      <c r="HP200">
        <v>1.86587</v>
      </c>
      <c r="HQ200">
        <v>1.86768</v>
      </c>
      <c r="HR200">
        <v>1.8702</v>
      </c>
      <c r="HS200">
        <v>1.86888</v>
      </c>
      <c r="HT200">
        <v>1.87026</v>
      </c>
      <c r="HU200">
        <v>0</v>
      </c>
      <c r="HV200">
        <v>0</v>
      </c>
      <c r="HW200">
        <v>0</v>
      </c>
      <c r="HX200">
        <v>0</v>
      </c>
      <c r="HY200" t="s">
        <v>421</v>
      </c>
      <c r="HZ200" t="s">
        <v>422</v>
      </c>
      <c r="IA200" t="s">
        <v>423</v>
      </c>
      <c r="IB200" t="s">
        <v>423</v>
      </c>
      <c r="IC200" t="s">
        <v>423</v>
      </c>
      <c r="ID200" t="s">
        <v>423</v>
      </c>
      <c r="IE200">
        <v>0</v>
      </c>
      <c r="IF200">
        <v>100</v>
      </c>
      <c r="IG200">
        <v>100</v>
      </c>
      <c r="IH200">
        <v>-1.012</v>
      </c>
      <c r="II200">
        <v>0.0195</v>
      </c>
      <c r="IJ200">
        <v>-0.2164499368582429</v>
      </c>
      <c r="IK200">
        <v>-0.002077099775823331</v>
      </c>
      <c r="IL200">
        <v>4.593143279902166E-07</v>
      </c>
      <c r="IM200">
        <v>-1.865383991892071E-10</v>
      </c>
      <c r="IN200">
        <v>-0.06087574426827484</v>
      </c>
      <c r="IO200">
        <v>-0.01129461987421345</v>
      </c>
      <c r="IP200">
        <v>0.00116580895745559</v>
      </c>
      <c r="IQ200">
        <v>-1.679085872906199E-05</v>
      </c>
      <c r="IR200">
        <v>2</v>
      </c>
      <c r="IS200">
        <v>2290</v>
      </c>
      <c r="IT200">
        <v>0</v>
      </c>
      <c r="IU200">
        <v>32</v>
      </c>
      <c r="IV200">
        <v>8.699999999999999</v>
      </c>
      <c r="IW200">
        <v>8.4</v>
      </c>
      <c r="IX200">
        <v>1.0022</v>
      </c>
      <c r="IY200">
        <v>2.23267</v>
      </c>
      <c r="IZ200">
        <v>1.39648</v>
      </c>
      <c r="JA200">
        <v>2.35718</v>
      </c>
      <c r="JB200">
        <v>1.49536</v>
      </c>
      <c r="JC200">
        <v>2.35229</v>
      </c>
      <c r="JD200">
        <v>38.5014</v>
      </c>
      <c r="JE200">
        <v>24.035</v>
      </c>
      <c r="JF200">
        <v>18</v>
      </c>
      <c r="JG200">
        <v>511.048</v>
      </c>
      <c r="JH200">
        <v>428.766</v>
      </c>
      <c r="JI200">
        <v>22.0327</v>
      </c>
      <c r="JJ200">
        <v>28.6873</v>
      </c>
      <c r="JK200">
        <v>30.0001</v>
      </c>
      <c r="JL200">
        <v>28.6495</v>
      </c>
      <c r="JM200">
        <v>28.5871</v>
      </c>
      <c r="JN200">
        <v>20.0257</v>
      </c>
      <c r="JO200">
        <v>26.5129</v>
      </c>
      <c r="JP200">
        <v>0</v>
      </c>
      <c r="JQ200">
        <v>22.1709</v>
      </c>
      <c r="JR200">
        <v>393.192</v>
      </c>
      <c r="JS200">
        <v>14.1445</v>
      </c>
      <c r="JT200">
        <v>100.299</v>
      </c>
      <c r="JU200">
        <v>100.229</v>
      </c>
    </row>
    <row r="201" spans="1:281">
      <c r="A201">
        <v>185</v>
      </c>
      <c r="B201">
        <v>1651864767.1</v>
      </c>
      <c r="C201">
        <v>546.5</v>
      </c>
      <c r="D201" t="s">
        <v>790</v>
      </c>
      <c r="E201" t="s">
        <v>791</v>
      </c>
      <c r="F201">
        <v>2</v>
      </c>
      <c r="G201" t="s">
        <v>413</v>
      </c>
      <c r="H201" t="s">
        <v>414</v>
      </c>
      <c r="I201">
        <v>1651864765.725</v>
      </c>
      <c r="J201">
        <f>(K201)/1000</f>
        <v>0</v>
      </c>
      <c r="K201">
        <f>IF(CZ201, AN201, AH201)</f>
        <v>0</v>
      </c>
      <c r="L201">
        <f>IF(CZ201, AI201, AG201)</f>
        <v>0</v>
      </c>
      <c r="M201">
        <f>DB201 - IF(AU201&gt;1, L201*CV201*100.0/(AW201*DP201), 0)</f>
        <v>0</v>
      </c>
      <c r="N201">
        <f>((T201-J201/2)*M201-L201)/(T201+J201/2)</f>
        <v>0</v>
      </c>
      <c r="O201">
        <f>N201*(DI201+DJ201)/1000.0</f>
        <v>0</v>
      </c>
      <c r="P201">
        <f>(DB201 - IF(AU201&gt;1, L201*CV201*100.0/(AW201*DP201), 0))*(DI201+DJ201)/1000.0</f>
        <v>0</v>
      </c>
      <c r="Q201">
        <f>2.0/((1/S201-1/R201)+SIGN(S201)*SQRT((1/S201-1/R201)*(1/S201-1/R201) + 4*CW201/((CW201+1)*(CW201+1))*(2*1/S201*1/R201-1/R201*1/R201)))</f>
        <v>0</v>
      </c>
      <c r="R201">
        <f>IF(LEFT(CX201,1)&lt;&gt;"0",IF(LEFT(CX201,1)="1",3.0,CY201),$D$5+$E$5*(DP201*DI201/($K$5*1000))+$F$5*(DP201*DI201/($K$5*1000))*MAX(MIN(CV201,$J$5),$I$5)*MAX(MIN(CV201,$J$5),$I$5)+$G$5*MAX(MIN(CV201,$J$5),$I$5)*(DP201*DI201/($K$5*1000))+$H$5*(DP201*DI201/($K$5*1000))*(DP201*DI201/($K$5*1000)))</f>
        <v>0</v>
      </c>
      <c r="S201">
        <f>J201*(1000-(1000*0.61365*exp(17.502*W201/(240.97+W201))/(DI201+DJ201)+DD201)/2)/(1000*0.61365*exp(17.502*W201/(240.97+W201))/(DI201+DJ201)-DD201)</f>
        <v>0</v>
      </c>
      <c r="T201">
        <f>1/((CW201+1)/(Q201/1.6)+1/(R201/1.37)) + CW201/((CW201+1)/(Q201/1.6) + CW201/(R201/1.37))</f>
        <v>0</v>
      </c>
      <c r="U201">
        <f>(CR201*CU201)</f>
        <v>0</v>
      </c>
      <c r="V201">
        <f>(DK201+(U201+2*0.95*5.67E-8*(((DK201+$B$7)+273)^4-(DK201+273)^4)-44100*J201)/(1.84*29.3*R201+8*0.95*5.67E-8*(DK201+273)^3))</f>
        <v>0</v>
      </c>
      <c r="W201">
        <f>($C$7*DL201+$D$7*DM201+$E$7*V201)</f>
        <v>0</v>
      </c>
      <c r="X201">
        <f>0.61365*exp(17.502*W201/(240.97+W201))</f>
        <v>0</v>
      </c>
      <c r="Y201">
        <f>(Z201/AA201*100)</f>
        <v>0</v>
      </c>
      <c r="Z201">
        <f>DD201*(DI201+DJ201)/1000</f>
        <v>0</v>
      </c>
      <c r="AA201">
        <f>0.61365*exp(17.502*DK201/(240.97+DK201))</f>
        <v>0</v>
      </c>
      <c r="AB201">
        <f>(X201-DD201*(DI201+DJ201)/1000)</f>
        <v>0</v>
      </c>
      <c r="AC201">
        <f>(-J201*44100)</f>
        <v>0</v>
      </c>
      <c r="AD201">
        <f>2*29.3*R201*0.92*(DK201-W201)</f>
        <v>0</v>
      </c>
      <c r="AE201">
        <f>2*0.95*5.67E-8*(((DK201+$B$7)+273)^4-(W201+273)^4)</f>
        <v>0</v>
      </c>
      <c r="AF201">
        <f>U201+AE201+AC201+AD201</f>
        <v>0</v>
      </c>
      <c r="AG201">
        <f>DH201*AU201*(DC201-DB201*(1000-AU201*DE201)/(1000-AU201*DD201))/(100*CV201)</f>
        <v>0</v>
      </c>
      <c r="AH201">
        <f>1000*DH201*AU201*(DD201-DE201)/(100*CV201*(1000-AU201*DD201))</f>
        <v>0</v>
      </c>
      <c r="AI201">
        <f>(AJ201 - AK201 - DI201*1E3/(8.314*(DK201+273.15)) * AM201/DH201 * AL201) * DH201/(100*CV201) * (1000 - DE201)/1000</f>
        <v>0</v>
      </c>
      <c r="AJ201">
        <v>423.0932209494528</v>
      </c>
      <c r="AK201">
        <v>416.9038424242424</v>
      </c>
      <c r="AL201">
        <v>-3.229858676944505</v>
      </c>
      <c r="AM201">
        <v>66.38192812717227</v>
      </c>
      <c r="AN201">
        <f>(AP201 - AO201 + DI201*1E3/(8.314*(DK201+273.15)) * AR201/DH201 * AQ201) * DH201/(100*CV201) * 1000/(1000 - AP201)</f>
        <v>0</v>
      </c>
      <c r="AO201">
        <v>14.05141185001224</v>
      </c>
      <c r="AP201">
        <v>18.29524588235294</v>
      </c>
      <c r="AQ201">
        <v>9.618322560713377E-05</v>
      </c>
      <c r="AR201">
        <v>80.47224507511959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MAX(0,($B$13+$C$13*DP201)/(1+$D$13*DP201)*DI201/(DK201+273)*$E$13)</f>
        <v>0</v>
      </c>
      <c r="AX201" t="s">
        <v>417</v>
      </c>
      <c r="AY201" t="s">
        <v>417</v>
      </c>
      <c r="AZ201">
        <v>0</v>
      </c>
      <c r="BA201">
        <v>0</v>
      </c>
      <c r="BB201">
        <f>1-AZ201/BA201</f>
        <v>0</v>
      </c>
      <c r="BC201">
        <v>0</v>
      </c>
      <c r="BD201" t="s">
        <v>417</v>
      </c>
      <c r="BE201" t="s">
        <v>417</v>
      </c>
      <c r="BF201">
        <v>0</v>
      </c>
      <c r="BG201">
        <v>0</v>
      </c>
      <c r="BH201">
        <f>1-BF201/BG201</f>
        <v>0</v>
      </c>
      <c r="BI201">
        <v>0.5</v>
      </c>
      <c r="BJ201">
        <f>CS201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417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1248</v>
      </c>
      <c r="CA201">
        <v>300</v>
      </c>
      <c r="CB201">
        <v>300</v>
      </c>
      <c r="CC201">
        <v>300</v>
      </c>
      <c r="CD201">
        <v>10442</v>
      </c>
      <c r="CE201">
        <v>1293.69</v>
      </c>
      <c r="CF201">
        <v>-0.00735246</v>
      </c>
      <c r="CG201">
        <v>0.5</v>
      </c>
      <c r="CH201" t="s">
        <v>417</v>
      </c>
      <c r="CI201" t="s">
        <v>417</v>
      </c>
      <c r="CJ201" t="s">
        <v>417</v>
      </c>
      <c r="CK201" t="s">
        <v>417</v>
      </c>
      <c r="CL201" t="s">
        <v>417</v>
      </c>
      <c r="CM201" t="s">
        <v>417</v>
      </c>
      <c r="CN201" t="s">
        <v>417</v>
      </c>
      <c r="CO201" t="s">
        <v>417</v>
      </c>
      <c r="CP201" t="s">
        <v>417</v>
      </c>
      <c r="CQ201" t="s">
        <v>417</v>
      </c>
      <c r="CR201">
        <f>$B$11*DQ201+$C$11*DR201+$F$11*EC201*(1-EF201)</f>
        <v>0</v>
      </c>
      <c r="CS201">
        <f>CR201*CT201</f>
        <v>0</v>
      </c>
      <c r="CT201">
        <f>($B$11*$D$9+$C$11*$D$9+$F$11*((EP201+EH201)/MAX(EP201+EH201+EQ201, 0.1)*$I$9+EQ201/MAX(EP201+EH201+EQ201, 0.1)*$J$9))/($B$11+$C$11+$F$11)</f>
        <v>0</v>
      </c>
      <c r="CU201">
        <f>($B$11*$K$9+$C$11*$K$9+$F$11*((EP201+EH201)/MAX(EP201+EH201+EQ201, 0.1)*$P$9+EQ201/MAX(EP201+EH201+EQ201, 0.1)*$Q$9))/($B$11+$C$11+$F$11)</f>
        <v>0</v>
      </c>
      <c r="CV201">
        <v>6</v>
      </c>
      <c r="CW201">
        <v>0.5</v>
      </c>
      <c r="CX201" t="s">
        <v>418</v>
      </c>
      <c r="CY201">
        <v>2</v>
      </c>
      <c r="CZ201" t="b">
        <v>1</v>
      </c>
      <c r="DA201">
        <v>1651864765.725</v>
      </c>
      <c r="DB201">
        <v>412.04875</v>
      </c>
      <c r="DC201">
        <v>412.5405000000001</v>
      </c>
      <c r="DD201">
        <v>18.2942</v>
      </c>
      <c r="DE201">
        <v>14.060275</v>
      </c>
      <c r="DF201">
        <v>413.058</v>
      </c>
      <c r="DG201">
        <v>18.2746</v>
      </c>
      <c r="DH201">
        <v>500.06625</v>
      </c>
      <c r="DI201">
        <v>89.936025</v>
      </c>
      <c r="DJ201">
        <v>0.09996567499999999</v>
      </c>
      <c r="DK201">
        <v>25.6339</v>
      </c>
      <c r="DL201">
        <v>24.98835</v>
      </c>
      <c r="DM201">
        <v>999.9</v>
      </c>
      <c r="DN201">
        <v>0</v>
      </c>
      <c r="DO201">
        <v>0</v>
      </c>
      <c r="DP201">
        <v>9996.525000000001</v>
      </c>
      <c r="DQ201">
        <v>0</v>
      </c>
      <c r="DR201">
        <v>3.23193</v>
      </c>
      <c r="DS201">
        <v>-0.4916535</v>
      </c>
      <c r="DT201">
        <v>419.72725</v>
      </c>
      <c r="DU201">
        <v>418.4235</v>
      </c>
      <c r="DV201">
        <v>4.2338925</v>
      </c>
      <c r="DW201">
        <v>412.5405000000001</v>
      </c>
      <c r="DX201">
        <v>14.060275</v>
      </c>
      <c r="DY201">
        <v>1.6453075</v>
      </c>
      <c r="DZ201">
        <v>1.26453</v>
      </c>
      <c r="EA201">
        <v>14.3898</v>
      </c>
      <c r="EB201">
        <v>10.383725</v>
      </c>
      <c r="EC201">
        <v>1500.1625</v>
      </c>
      <c r="ED201">
        <v>0.97299075</v>
      </c>
      <c r="EE201">
        <v>0.027009225</v>
      </c>
      <c r="EF201">
        <v>0</v>
      </c>
      <c r="EG201">
        <v>847.364</v>
      </c>
      <c r="EH201">
        <v>5.00097</v>
      </c>
      <c r="EI201">
        <v>12595.525</v>
      </c>
      <c r="EJ201">
        <v>12492.925</v>
      </c>
      <c r="EK201">
        <v>37.25</v>
      </c>
      <c r="EL201">
        <v>38.687</v>
      </c>
      <c r="EM201">
        <v>37.625</v>
      </c>
      <c r="EN201">
        <v>38.406</v>
      </c>
      <c r="EO201">
        <v>38.125</v>
      </c>
      <c r="EP201">
        <v>1454.78</v>
      </c>
      <c r="EQ201">
        <v>40.3825</v>
      </c>
      <c r="ER201">
        <v>0</v>
      </c>
      <c r="ES201">
        <v>546</v>
      </c>
      <c r="ET201">
        <v>0</v>
      </c>
      <c r="EU201">
        <v>849.4772307692309</v>
      </c>
      <c r="EV201">
        <v>-18.49305985018344</v>
      </c>
      <c r="EW201">
        <v>-274.2017094978646</v>
      </c>
      <c r="EX201">
        <v>12622.26153846154</v>
      </c>
      <c r="EY201">
        <v>15</v>
      </c>
      <c r="EZ201">
        <v>1651864261.1</v>
      </c>
      <c r="FA201" t="s">
        <v>419</v>
      </c>
      <c r="FB201">
        <v>1651864241.6</v>
      </c>
      <c r="FC201">
        <v>1651864261.1</v>
      </c>
      <c r="FD201">
        <v>7</v>
      </c>
      <c r="FE201">
        <v>0.438</v>
      </c>
      <c r="FF201">
        <v>0.002</v>
      </c>
      <c r="FG201">
        <v>-0.988</v>
      </c>
      <c r="FH201">
        <v>-0.066</v>
      </c>
      <c r="FI201">
        <v>400</v>
      </c>
      <c r="FJ201">
        <v>11</v>
      </c>
      <c r="FK201">
        <v>0.05</v>
      </c>
      <c r="FL201">
        <v>0.02</v>
      </c>
      <c r="FM201">
        <v>-1.758066025</v>
      </c>
      <c r="FN201">
        <v>7.977510022514083</v>
      </c>
      <c r="FO201">
        <v>0.7680040299169167</v>
      </c>
      <c r="FP201">
        <v>-1</v>
      </c>
      <c r="FQ201">
        <v>4.26355175</v>
      </c>
      <c r="FR201">
        <v>-0.1604954971857548</v>
      </c>
      <c r="FS201">
        <v>0.01691930123963453</v>
      </c>
      <c r="FT201">
        <v>-1</v>
      </c>
      <c r="FU201">
        <v>0</v>
      </c>
      <c r="FV201">
        <v>0</v>
      </c>
      <c r="FW201">
        <v>0</v>
      </c>
      <c r="FX201">
        <v>-1</v>
      </c>
      <c r="FY201">
        <v>0</v>
      </c>
      <c r="FZ201">
        <v>0</v>
      </c>
      <c r="GA201" t="s">
        <v>420</v>
      </c>
      <c r="GB201">
        <v>2.98055</v>
      </c>
      <c r="GC201">
        <v>2.70619</v>
      </c>
      <c r="GD201">
        <v>0.0914599</v>
      </c>
      <c r="GE201">
        <v>0.090443</v>
      </c>
      <c r="GF201">
        <v>0.0874723</v>
      </c>
      <c r="GG201">
        <v>0.07137979999999999</v>
      </c>
      <c r="GH201">
        <v>28670.1</v>
      </c>
      <c r="GI201">
        <v>28766.8</v>
      </c>
      <c r="GJ201">
        <v>29341.9</v>
      </c>
      <c r="GK201">
        <v>29258</v>
      </c>
      <c r="GL201">
        <v>35454.4</v>
      </c>
      <c r="GM201">
        <v>36185.6</v>
      </c>
      <c r="GN201">
        <v>41300.5</v>
      </c>
      <c r="GO201">
        <v>41760.9</v>
      </c>
      <c r="GP201">
        <v>1.95537</v>
      </c>
      <c r="GQ201">
        <v>1.84965</v>
      </c>
      <c r="GR201">
        <v>-0.0219271</v>
      </c>
      <c r="GS201">
        <v>0</v>
      </c>
      <c r="GT201">
        <v>25.3492</v>
      </c>
      <c r="GU201">
        <v>999.9</v>
      </c>
      <c r="GV201">
        <v>31.6</v>
      </c>
      <c r="GW201">
        <v>34.3</v>
      </c>
      <c r="GX201">
        <v>19.09</v>
      </c>
      <c r="GY201">
        <v>62.3575</v>
      </c>
      <c r="GZ201">
        <v>35.0881</v>
      </c>
      <c r="HA201">
        <v>1</v>
      </c>
      <c r="HB201">
        <v>0.107922</v>
      </c>
      <c r="HC201">
        <v>2.03402</v>
      </c>
      <c r="HD201">
        <v>20.3214</v>
      </c>
      <c r="HE201">
        <v>5.21774</v>
      </c>
      <c r="HF201">
        <v>12.0099</v>
      </c>
      <c r="HG201">
        <v>4.98915</v>
      </c>
      <c r="HH201">
        <v>3.28865</v>
      </c>
      <c r="HI201">
        <v>999.2</v>
      </c>
      <c r="HJ201">
        <v>9552.5</v>
      </c>
      <c r="HK201">
        <v>5139.4</v>
      </c>
      <c r="HL201">
        <v>24.9</v>
      </c>
      <c r="HM201">
        <v>1.86752</v>
      </c>
      <c r="HN201">
        <v>1.86646</v>
      </c>
      <c r="HO201">
        <v>1.866</v>
      </c>
      <c r="HP201">
        <v>1.86587</v>
      </c>
      <c r="HQ201">
        <v>1.86768</v>
      </c>
      <c r="HR201">
        <v>1.8702</v>
      </c>
      <c r="HS201">
        <v>1.86888</v>
      </c>
      <c r="HT201">
        <v>1.87027</v>
      </c>
      <c r="HU201">
        <v>0</v>
      </c>
      <c r="HV201">
        <v>0</v>
      </c>
      <c r="HW201">
        <v>0</v>
      </c>
      <c r="HX201">
        <v>0</v>
      </c>
      <c r="HY201" t="s">
        <v>421</v>
      </c>
      <c r="HZ201" t="s">
        <v>422</v>
      </c>
      <c r="IA201" t="s">
        <v>423</v>
      </c>
      <c r="IB201" t="s">
        <v>423</v>
      </c>
      <c r="IC201" t="s">
        <v>423</v>
      </c>
      <c r="ID201" t="s">
        <v>423</v>
      </c>
      <c r="IE201">
        <v>0</v>
      </c>
      <c r="IF201">
        <v>100</v>
      </c>
      <c r="IG201">
        <v>100</v>
      </c>
      <c r="IH201">
        <v>-1.001</v>
      </c>
      <c r="II201">
        <v>0.0196</v>
      </c>
      <c r="IJ201">
        <v>-0.2164499368582429</v>
      </c>
      <c r="IK201">
        <v>-0.002077099775823331</v>
      </c>
      <c r="IL201">
        <v>4.593143279902166E-07</v>
      </c>
      <c r="IM201">
        <v>-1.865383991892071E-10</v>
      </c>
      <c r="IN201">
        <v>-0.06087574426827484</v>
      </c>
      <c r="IO201">
        <v>-0.01129461987421345</v>
      </c>
      <c r="IP201">
        <v>0.00116580895745559</v>
      </c>
      <c r="IQ201">
        <v>-1.679085872906199E-05</v>
      </c>
      <c r="IR201">
        <v>2</v>
      </c>
      <c r="IS201">
        <v>2290</v>
      </c>
      <c r="IT201">
        <v>0</v>
      </c>
      <c r="IU201">
        <v>32</v>
      </c>
      <c r="IV201">
        <v>8.800000000000001</v>
      </c>
      <c r="IW201">
        <v>8.4</v>
      </c>
      <c r="IX201">
        <v>0.98877</v>
      </c>
      <c r="IY201">
        <v>2.23511</v>
      </c>
      <c r="IZ201">
        <v>1.39648</v>
      </c>
      <c r="JA201">
        <v>2.35596</v>
      </c>
      <c r="JB201">
        <v>1.49536</v>
      </c>
      <c r="JC201">
        <v>2.29492</v>
      </c>
      <c r="JD201">
        <v>38.5014</v>
      </c>
      <c r="JE201">
        <v>24.0262</v>
      </c>
      <c r="JF201">
        <v>18</v>
      </c>
      <c r="JG201">
        <v>511.13</v>
      </c>
      <c r="JH201">
        <v>428.706</v>
      </c>
      <c r="JI201">
        <v>22.0542</v>
      </c>
      <c r="JJ201">
        <v>28.6879</v>
      </c>
      <c r="JK201">
        <v>29.9996</v>
      </c>
      <c r="JL201">
        <v>28.6495</v>
      </c>
      <c r="JM201">
        <v>28.5871</v>
      </c>
      <c r="JN201">
        <v>19.7637</v>
      </c>
      <c r="JO201">
        <v>26.5129</v>
      </c>
      <c r="JP201">
        <v>0</v>
      </c>
      <c r="JQ201">
        <v>22.1709</v>
      </c>
      <c r="JR201">
        <v>386.515</v>
      </c>
      <c r="JS201">
        <v>14.1517</v>
      </c>
      <c r="JT201">
        <v>100.297</v>
      </c>
      <c r="JU201">
        <v>100.228</v>
      </c>
    </row>
    <row r="202" spans="1:281">
      <c r="A202">
        <v>186</v>
      </c>
      <c r="B202">
        <v>1651864769.1</v>
      </c>
      <c r="C202">
        <v>548.5</v>
      </c>
      <c r="D202" t="s">
        <v>792</v>
      </c>
      <c r="E202" t="s">
        <v>793</v>
      </c>
      <c r="F202">
        <v>2</v>
      </c>
      <c r="G202" t="s">
        <v>413</v>
      </c>
      <c r="H202" t="s">
        <v>414</v>
      </c>
      <c r="I202">
        <v>1651864768.1</v>
      </c>
      <c r="J202">
        <f>(K202)/1000</f>
        <v>0</v>
      </c>
      <c r="K202">
        <f>IF(CZ202, AN202, AH202)</f>
        <v>0</v>
      </c>
      <c r="L202">
        <f>IF(CZ202, AI202, AG202)</f>
        <v>0</v>
      </c>
      <c r="M202">
        <f>DB202 - IF(AU202&gt;1, L202*CV202*100.0/(AW202*DP202), 0)</f>
        <v>0</v>
      </c>
      <c r="N202">
        <f>((T202-J202/2)*M202-L202)/(T202+J202/2)</f>
        <v>0</v>
      </c>
      <c r="O202">
        <f>N202*(DI202+DJ202)/1000.0</f>
        <v>0</v>
      </c>
      <c r="P202">
        <f>(DB202 - IF(AU202&gt;1, L202*CV202*100.0/(AW202*DP202), 0))*(DI202+DJ202)/1000.0</f>
        <v>0</v>
      </c>
      <c r="Q202">
        <f>2.0/((1/S202-1/R202)+SIGN(S202)*SQRT((1/S202-1/R202)*(1/S202-1/R202) + 4*CW202/((CW202+1)*(CW202+1))*(2*1/S202*1/R202-1/R202*1/R202)))</f>
        <v>0</v>
      </c>
      <c r="R202">
        <f>IF(LEFT(CX202,1)&lt;&gt;"0",IF(LEFT(CX202,1)="1",3.0,CY202),$D$5+$E$5*(DP202*DI202/($K$5*1000))+$F$5*(DP202*DI202/($K$5*1000))*MAX(MIN(CV202,$J$5),$I$5)*MAX(MIN(CV202,$J$5),$I$5)+$G$5*MAX(MIN(CV202,$J$5),$I$5)*(DP202*DI202/($K$5*1000))+$H$5*(DP202*DI202/($K$5*1000))*(DP202*DI202/($K$5*1000)))</f>
        <v>0</v>
      </c>
      <c r="S202">
        <f>J202*(1000-(1000*0.61365*exp(17.502*W202/(240.97+W202))/(DI202+DJ202)+DD202)/2)/(1000*0.61365*exp(17.502*W202/(240.97+W202))/(DI202+DJ202)-DD202)</f>
        <v>0</v>
      </c>
      <c r="T202">
        <f>1/((CW202+1)/(Q202/1.6)+1/(R202/1.37)) + CW202/((CW202+1)/(Q202/1.6) + CW202/(R202/1.37))</f>
        <v>0</v>
      </c>
      <c r="U202">
        <f>(CR202*CU202)</f>
        <v>0</v>
      </c>
      <c r="V202">
        <f>(DK202+(U202+2*0.95*5.67E-8*(((DK202+$B$7)+273)^4-(DK202+273)^4)-44100*J202)/(1.84*29.3*R202+8*0.95*5.67E-8*(DK202+273)^3))</f>
        <v>0</v>
      </c>
      <c r="W202">
        <f>($C$7*DL202+$D$7*DM202+$E$7*V202)</f>
        <v>0</v>
      </c>
      <c r="X202">
        <f>0.61365*exp(17.502*W202/(240.97+W202))</f>
        <v>0</v>
      </c>
      <c r="Y202">
        <f>(Z202/AA202*100)</f>
        <v>0</v>
      </c>
      <c r="Z202">
        <f>DD202*(DI202+DJ202)/1000</f>
        <v>0</v>
      </c>
      <c r="AA202">
        <f>0.61365*exp(17.502*DK202/(240.97+DK202))</f>
        <v>0</v>
      </c>
      <c r="AB202">
        <f>(X202-DD202*(DI202+DJ202)/1000)</f>
        <v>0</v>
      </c>
      <c r="AC202">
        <f>(-J202*44100)</f>
        <v>0</v>
      </c>
      <c r="AD202">
        <f>2*29.3*R202*0.92*(DK202-W202)</f>
        <v>0</v>
      </c>
      <c r="AE202">
        <f>2*0.95*5.67E-8*(((DK202+$B$7)+273)^4-(W202+273)^4)</f>
        <v>0</v>
      </c>
      <c r="AF202">
        <f>U202+AE202+AC202+AD202</f>
        <v>0</v>
      </c>
      <c r="AG202">
        <f>DH202*AU202*(DC202-DB202*(1000-AU202*DE202)/(1000-AU202*DD202))/(100*CV202)</f>
        <v>0</v>
      </c>
      <c r="AH202">
        <f>1000*DH202*AU202*(DD202-DE202)/(100*CV202*(1000-AU202*DD202))</f>
        <v>0</v>
      </c>
      <c r="AI202">
        <f>(AJ202 - AK202 - DI202*1E3/(8.314*(DK202+273.15)) * AM202/DH202 * AL202) * DH202/(100*CV202) * (1000 - DE202)/1000</f>
        <v>0</v>
      </c>
      <c r="AJ202">
        <v>416.4053552715927</v>
      </c>
      <c r="AK202">
        <v>410.4584727272725</v>
      </c>
      <c r="AL202">
        <v>-3.223883736494401</v>
      </c>
      <c r="AM202">
        <v>66.38192812717227</v>
      </c>
      <c r="AN202">
        <f>(AP202 - AO202 + DI202*1E3/(8.314*(DK202+273.15)) * AR202/DH202 * AQ202) * DH202/(100*CV202) * 1000/(1000 - AP202)</f>
        <v>0</v>
      </c>
      <c r="AO202">
        <v>14.05585946013772</v>
      </c>
      <c r="AP202">
        <v>18.29787617647057</v>
      </c>
      <c r="AQ202">
        <v>0.0001066059748043131</v>
      </c>
      <c r="AR202">
        <v>80.47224507511959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MAX(0,($B$13+$C$13*DP202)/(1+$D$13*DP202)*DI202/(DK202+273)*$E$13)</f>
        <v>0</v>
      </c>
      <c r="AX202" t="s">
        <v>417</v>
      </c>
      <c r="AY202" t="s">
        <v>417</v>
      </c>
      <c r="AZ202">
        <v>0</v>
      </c>
      <c r="BA202">
        <v>0</v>
      </c>
      <c r="BB202">
        <f>1-AZ202/BA202</f>
        <v>0</v>
      </c>
      <c r="BC202">
        <v>0</v>
      </c>
      <c r="BD202" t="s">
        <v>417</v>
      </c>
      <c r="BE202" t="s">
        <v>417</v>
      </c>
      <c r="BF202">
        <v>0</v>
      </c>
      <c r="BG202">
        <v>0</v>
      </c>
      <c r="BH202">
        <f>1-BF202/BG202</f>
        <v>0</v>
      </c>
      <c r="BI202">
        <v>0.5</v>
      </c>
      <c r="BJ202">
        <f>CS202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417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1248</v>
      </c>
      <c r="CA202">
        <v>300</v>
      </c>
      <c r="CB202">
        <v>300</v>
      </c>
      <c r="CC202">
        <v>300</v>
      </c>
      <c r="CD202">
        <v>10442</v>
      </c>
      <c r="CE202">
        <v>1293.69</v>
      </c>
      <c r="CF202">
        <v>-0.00735246</v>
      </c>
      <c r="CG202">
        <v>0.5</v>
      </c>
      <c r="CH202" t="s">
        <v>417</v>
      </c>
      <c r="CI202" t="s">
        <v>417</v>
      </c>
      <c r="CJ202" t="s">
        <v>417</v>
      </c>
      <c r="CK202" t="s">
        <v>417</v>
      </c>
      <c r="CL202" t="s">
        <v>417</v>
      </c>
      <c r="CM202" t="s">
        <v>417</v>
      </c>
      <c r="CN202" t="s">
        <v>417</v>
      </c>
      <c r="CO202" t="s">
        <v>417</v>
      </c>
      <c r="CP202" t="s">
        <v>417</v>
      </c>
      <c r="CQ202" t="s">
        <v>417</v>
      </c>
      <c r="CR202">
        <f>$B$11*DQ202+$C$11*DR202+$F$11*EC202*(1-EF202)</f>
        <v>0</v>
      </c>
      <c r="CS202">
        <f>CR202*CT202</f>
        <v>0</v>
      </c>
      <c r="CT202">
        <f>($B$11*$D$9+$C$11*$D$9+$F$11*((EP202+EH202)/MAX(EP202+EH202+EQ202, 0.1)*$I$9+EQ202/MAX(EP202+EH202+EQ202, 0.1)*$J$9))/($B$11+$C$11+$F$11)</f>
        <v>0</v>
      </c>
      <c r="CU202">
        <f>($B$11*$K$9+$C$11*$K$9+$F$11*((EP202+EH202)/MAX(EP202+EH202+EQ202, 0.1)*$P$9+EQ202/MAX(EP202+EH202+EQ202, 0.1)*$Q$9))/($B$11+$C$11+$F$11)</f>
        <v>0</v>
      </c>
      <c r="CV202">
        <v>6</v>
      </c>
      <c r="CW202">
        <v>0.5</v>
      </c>
      <c r="CX202" t="s">
        <v>418</v>
      </c>
      <c r="CY202">
        <v>2</v>
      </c>
      <c r="CZ202" t="b">
        <v>1</v>
      </c>
      <c r="DA202">
        <v>1651864768.1</v>
      </c>
      <c r="DB202">
        <v>404.5276666666667</v>
      </c>
      <c r="DC202">
        <v>404.698</v>
      </c>
      <c r="DD202">
        <v>18.29736666666667</v>
      </c>
      <c r="DE202">
        <v>14.08516666666667</v>
      </c>
      <c r="DF202">
        <v>405.5233333333333</v>
      </c>
      <c r="DG202">
        <v>18.27773333333333</v>
      </c>
      <c r="DH202">
        <v>500.044</v>
      </c>
      <c r="DI202">
        <v>89.93396666666666</v>
      </c>
      <c r="DJ202">
        <v>0.1002096666666667</v>
      </c>
      <c r="DK202">
        <v>25.63506666666666</v>
      </c>
      <c r="DL202">
        <v>24.99036666666667</v>
      </c>
      <c r="DM202">
        <v>999.9</v>
      </c>
      <c r="DN202">
        <v>0</v>
      </c>
      <c r="DO202">
        <v>0</v>
      </c>
      <c r="DP202">
        <v>9982.5</v>
      </c>
      <c r="DQ202">
        <v>0</v>
      </c>
      <c r="DR202">
        <v>3.23193</v>
      </c>
      <c r="DS202">
        <v>-0.1701861</v>
      </c>
      <c r="DT202">
        <v>412.0676666666666</v>
      </c>
      <c r="DU202">
        <v>410.4796666666667</v>
      </c>
      <c r="DV202">
        <v>4.212196666666666</v>
      </c>
      <c r="DW202">
        <v>404.698</v>
      </c>
      <c r="DX202">
        <v>14.08516666666667</v>
      </c>
      <c r="DY202">
        <v>1.645553333333333</v>
      </c>
      <c r="DZ202">
        <v>1.266736666666667</v>
      </c>
      <c r="EA202">
        <v>14.39213333333333</v>
      </c>
      <c r="EB202">
        <v>10.40986666666667</v>
      </c>
      <c r="EC202">
        <v>1500.043333333333</v>
      </c>
      <c r="ED202">
        <v>0.9730103333333333</v>
      </c>
      <c r="EE202">
        <v>0.0269895</v>
      </c>
      <c r="EF202">
        <v>0</v>
      </c>
      <c r="EG202">
        <v>846.8883333333333</v>
      </c>
      <c r="EH202">
        <v>5.00097</v>
      </c>
      <c r="EI202">
        <v>12582.9</v>
      </c>
      <c r="EJ202">
        <v>12492</v>
      </c>
      <c r="EK202">
        <v>37.25</v>
      </c>
      <c r="EL202">
        <v>38.687</v>
      </c>
      <c r="EM202">
        <v>37.625</v>
      </c>
      <c r="EN202">
        <v>38.437</v>
      </c>
      <c r="EO202">
        <v>38.125</v>
      </c>
      <c r="EP202">
        <v>1454.693333333333</v>
      </c>
      <c r="EQ202">
        <v>40.35</v>
      </c>
      <c r="ER202">
        <v>0</v>
      </c>
      <c r="ES202">
        <v>547.7999999523163</v>
      </c>
      <c r="ET202">
        <v>0</v>
      </c>
      <c r="EU202">
        <v>848.8621200000001</v>
      </c>
      <c r="EV202">
        <v>-19.05523080811351</v>
      </c>
      <c r="EW202">
        <v>-280.9000003059406</v>
      </c>
      <c r="EX202">
        <v>12612.56</v>
      </c>
      <c r="EY202">
        <v>15</v>
      </c>
      <c r="EZ202">
        <v>1651864261.1</v>
      </c>
      <c r="FA202" t="s">
        <v>419</v>
      </c>
      <c r="FB202">
        <v>1651864241.6</v>
      </c>
      <c r="FC202">
        <v>1651864261.1</v>
      </c>
      <c r="FD202">
        <v>7</v>
      </c>
      <c r="FE202">
        <v>0.438</v>
      </c>
      <c r="FF202">
        <v>0.002</v>
      </c>
      <c r="FG202">
        <v>-0.988</v>
      </c>
      <c r="FH202">
        <v>-0.066</v>
      </c>
      <c r="FI202">
        <v>400</v>
      </c>
      <c r="FJ202">
        <v>11</v>
      </c>
      <c r="FK202">
        <v>0.05</v>
      </c>
      <c r="FL202">
        <v>0.02</v>
      </c>
      <c r="FM202">
        <v>-1.457561324390244</v>
      </c>
      <c r="FN202">
        <v>8.05498446689896</v>
      </c>
      <c r="FO202">
        <v>0.7947477025641806</v>
      </c>
      <c r="FP202">
        <v>-1</v>
      </c>
      <c r="FQ202">
        <v>4.256688536585366</v>
      </c>
      <c r="FR202">
        <v>-0.2074072473867612</v>
      </c>
      <c r="FS202">
        <v>0.0216018677558526</v>
      </c>
      <c r="FT202">
        <v>-1</v>
      </c>
      <c r="FU202">
        <v>0</v>
      </c>
      <c r="FV202">
        <v>0</v>
      </c>
      <c r="FW202">
        <v>0</v>
      </c>
      <c r="FX202">
        <v>-1</v>
      </c>
      <c r="FY202">
        <v>0</v>
      </c>
      <c r="FZ202">
        <v>0</v>
      </c>
      <c r="GA202" t="s">
        <v>420</v>
      </c>
      <c r="GB202">
        <v>2.98044</v>
      </c>
      <c r="GC202">
        <v>2.70614</v>
      </c>
      <c r="GD202">
        <v>0.090373</v>
      </c>
      <c r="GE202">
        <v>0.0893082</v>
      </c>
      <c r="GF202">
        <v>0.0874858</v>
      </c>
      <c r="GG202">
        <v>0.0715045</v>
      </c>
      <c r="GH202">
        <v>28704.4</v>
      </c>
      <c r="GI202">
        <v>28802.6</v>
      </c>
      <c r="GJ202">
        <v>29342</v>
      </c>
      <c r="GK202">
        <v>29257.8</v>
      </c>
      <c r="GL202">
        <v>35453.7</v>
      </c>
      <c r="GM202">
        <v>36180.6</v>
      </c>
      <c r="GN202">
        <v>41300.3</v>
      </c>
      <c r="GO202">
        <v>41760.9</v>
      </c>
      <c r="GP202">
        <v>1.9554</v>
      </c>
      <c r="GQ202">
        <v>1.84955</v>
      </c>
      <c r="GR202">
        <v>-0.0219047</v>
      </c>
      <c r="GS202">
        <v>0</v>
      </c>
      <c r="GT202">
        <v>25.3477</v>
      </c>
      <c r="GU202">
        <v>999.9</v>
      </c>
      <c r="GV202">
        <v>31.6</v>
      </c>
      <c r="GW202">
        <v>34.3</v>
      </c>
      <c r="GX202">
        <v>19.0902</v>
      </c>
      <c r="GY202">
        <v>62.3075</v>
      </c>
      <c r="GZ202">
        <v>34.992</v>
      </c>
      <c r="HA202">
        <v>1</v>
      </c>
      <c r="HB202">
        <v>0.106936</v>
      </c>
      <c r="HC202">
        <v>1.94525</v>
      </c>
      <c r="HD202">
        <v>20.3228</v>
      </c>
      <c r="HE202">
        <v>5.21729</v>
      </c>
      <c r="HF202">
        <v>12.0099</v>
      </c>
      <c r="HG202">
        <v>4.98915</v>
      </c>
      <c r="HH202">
        <v>3.28865</v>
      </c>
      <c r="HI202">
        <v>999.2</v>
      </c>
      <c r="HJ202">
        <v>9552.5</v>
      </c>
      <c r="HK202">
        <v>5139.4</v>
      </c>
      <c r="HL202">
        <v>24.9</v>
      </c>
      <c r="HM202">
        <v>1.86751</v>
      </c>
      <c r="HN202">
        <v>1.86646</v>
      </c>
      <c r="HO202">
        <v>1.866</v>
      </c>
      <c r="HP202">
        <v>1.86586</v>
      </c>
      <c r="HQ202">
        <v>1.86771</v>
      </c>
      <c r="HR202">
        <v>1.87021</v>
      </c>
      <c r="HS202">
        <v>1.86888</v>
      </c>
      <c r="HT202">
        <v>1.87027</v>
      </c>
      <c r="HU202">
        <v>0</v>
      </c>
      <c r="HV202">
        <v>0</v>
      </c>
      <c r="HW202">
        <v>0</v>
      </c>
      <c r="HX202">
        <v>0</v>
      </c>
      <c r="HY202" t="s">
        <v>421</v>
      </c>
      <c r="HZ202" t="s">
        <v>422</v>
      </c>
      <c r="IA202" t="s">
        <v>423</v>
      </c>
      <c r="IB202" t="s">
        <v>423</v>
      </c>
      <c r="IC202" t="s">
        <v>423</v>
      </c>
      <c r="ID202" t="s">
        <v>423</v>
      </c>
      <c r="IE202">
        <v>0</v>
      </c>
      <c r="IF202">
        <v>100</v>
      </c>
      <c r="IG202">
        <v>100</v>
      </c>
      <c r="IH202">
        <v>-0.99</v>
      </c>
      <c r="II202">
        <v>0.0197</v>
      </c>
      <c r="IJ202">
        <v>-0.2164499368582429</v>
      </c>
      <c r="IK202">
        <v>-0.002077099775823331</v>
      </c>
      <c r="IL202">
        <v>4.593143279902166E-07</v>
      </c>
      <c r="IM202">
        <v>-1.865383991892071E-10</v>
      </c>
      <c r="IN202">
        <v>-0.06087574426827484</v>
      </c>
      <c r="IO202">
        <v>-0.01129461987421345</v>
      </c>
      <c r="IP202">
        <v>0.00116580895745559</v>
      </c>
      <c r="IQ202">
        <v>-1.679085872906199E-05</v>
      </c>
      <c r="IR202">
        <v>2</v>
      </c>
      <c r="IS202">
        <v>2290</v>
      </c>
      <c r="IT202">
        <v>0</v>
      </c>
      <c r="IU202">
        <v>32</v>
      </c>
      <c r="IV202">
        <v>8.800000000000001</v>
      </c>
      <c r="IW202">
        <v>8.5</v>
      </c>
      <c r="IX202">
        <v>0.976562</v>
      </c>
      <c r="IY202">
        <v>2.23022</v>
      </c>
      <c r="IZ202">
        <v>1.39648</v>
      </c>
      <c r="JA202">
        <v>2.35718</v>
      </c>
      <c r="JB202">
        <v>1.49536</v>
      </c>
      <c r="JC202">
        <v>2.36938</v>
      </c>
      <c r="JD202">
        <v>38.5014</v>
      </c>
      <c r="JE202">
        <v>24.035</v>
      </c>
      <c r="JF202">
        <v>18</v>
      </c>
      <c r="JG202">
        <v>511.152</v>
      </c>
      <c r="JH202">
        <v>428.646</v>
      </c>
      <c r="JI202">
        <v>22.108</v>
      </c>
      <c r="JJ202">
        <v>28.6879</v>
      </c>
      <c r="JK202">
        <v>29.9991</v>
      </c>
      <c r="JL202">
        <v>28.6502</v>
      </c>
      <c r="JM202">
        <v>28.5871</v>
      </c>
      <c r="JN202">
        <v>19.4993</v>
      </c>
      <c r="JO202">
        <v>26.5129</v>
      </c>
      <c r="JP202">
        <v>0</v>
      </c>
      <c r="JQ202">
        <v>22.1783</v>
      </c>
      <c r="JR202">
        <v>379.834</v>
      </c>
      <c r="JS202">
        <v>14.1507</v>
      </c>
      <c r="JT202">
        <v>100.297</v>
      </c>
      <c r="JU202">
        <v>100.228</v>
      </c>
    </row>
    <row r="203" spans="1:281">
      <c r="A203">
        <v>187</v>
      </c>
      <c r="B203">
        <v>1651864771.1</v>
      </c>
      <c r="C203">
        <v>550.5</v>
      </c>
      <c r="D203" t="s">
        <v>794</v>
      </c>
      <c r="E203" t="s">
        <v>795</v>
      </c>
      <c r="F203">
        <v>2</v>
      </c>
      <c r="G203" t="s">
        <v>413</v>
      </c>
      <c r="H203" t="s">
        <v>414</v>
      </c>
      <c r="I203">
        <v>1651864769.725</v>
      </c>
      <c r="J203">
        <f>(K203)/1000</f>
        <v>0</v>
      </c>
      <c r="K203">
        <f>IF(CZ203, AN203, AH203)</f>
        <v>0</v>
      </c>
      <c r="L203">
        <f>IF(CZ203, AI203, AG203)</f>
        <v>0</v>
      </c>
      <c r="M203">
        <f>DB203 - IF(AU203&gt;1, L203*CV203*100.0/(AW203*DP203), 0)</f>
        <v>0</v>
      </c>
      <c r="N203">
        <f>((T203-J203/2)*M203-L203)/(T203+J203/2)</f>
        <v>0</v>
      </c>
      <c r="O203">
        <f>N203*(DI203+DJ203)/1000.0</f>
        <v>0</v>
      </c>
      <c r="P203">
        <f>(DB203 - IF(AU203&gt;1, L203*CV203*100.0/(AW203*DP203), 0))*(DI203+DJ203)/1000.0</f>
        <v>0</v>
      </c>
      <c r="Q203">
        <f>2.0/((1/S203-1/R203)+SIGN(S203)*SQRT((1/S203-1/R203)*(1/S203-1/R203) + 4*CW203/((CW203+1)*(CW203+1))*(2*1/S203*1/R203-1/R203*1/R203)))</f>
        <v>0</v>
      </c>
      <c r="R203">
        <f>IF(LEFT(CX203,1)&lt;&gt;"0",IF(LEFT(CX203,1)="1",3.0,CY203),$D$5+$E$5*(DP203*DI203/($K$5*1000))+$F$5*(DP203*DI203/($K$5*1000))*MAX(MIN(CV203,$J$5),$I$5)*MAX(MIN(CV203,$J$5),$I$5)+$G$5*MAX(MIN(CV203,$J$5),$I$5)*(DP203*DI203/($K$5*1000))+$H$5*(DP203*DI203/($K$5*1000))*(DP203*DI203/($K$5*1000)))</f>
        <v>0</v>
      </c>
      <c r="S203">
        <f>J203*(1000-(1000*0.61365*exp(17.502*W203/(240.97+W203))/(DI203+DJ203)+DD203)/2)/(1000*0.61365*exp(17.502*W203/(240.97+W203))/(DI203+DJ203)-DD203)</f>
        <v>0</v>
      </c>
      <c r="T203">
        <f>1/((CW203+1)/(Q203/1.6)+1/(R203/1.37)) + CW203/((CW203+1)/(Q203/1.6) + CW203/(R203/1.37))</f>
        <v>0</v>
      </c>
      <c r="U203">
        <f>(CR203*CU203)</f>
        <v>0</v>
      </c>
      <c r="V203">
        <f>(DK203+(U203+2*0.95*5.67E-8*(((DK203+$B$7)+273)^4-(DK203+273)^4)-44100*J203)/(1.84*29.3*R203+8*0.95*5.67E-8*(DK203+273)^3))</f>
        <v>0</v>
      </c>
      <c r="W203">
        <f>($C$7*DL203+$D$7*DM203+$E$7*V203)</f>
        <v>0</v>
      </c>
      <c r="X203">
        <f>0.61365*exp(17.502*W203/(240.97+W203))</f>
        <v>0</v>
      </c>
      <c r="Y203">
        <f>(Z203/AA203*100)</f>
        <v>0</v>
      </c>
      <c r="Z203">
        <f>DD203*(DI203+DJ203)/1000</f>
        <v>0</v>
      </c>
      <c r="AA203">
        <f>0.61365*exp(17.502*DK203/(240.97+DK203))</f>
        <v>0</v>
      </c>
      <c r="AB203">
        <f>(X203-DD203*(DI203+DJ203)/1000)</f>
        <v>0</v>
      </c>
      <c r="AC203">
        <f>(-J203*44100)</f>
        <v>0</v>
      </c>
      <c r="AD203">
        <f>2*29.3*R203*0.92*(DK203-W203)</f>
        <v>0</v>
      </c>
      <c r="AE203">
        <f>2*0.95*5.67E-8*(((DK203+$B$7)+273)^4-(W203+273)^4)</f>
        <v>0</v>
      </c>
      <c r="AF203">
        <f>U203+AE203+AC203+AD203</f>
        <v>0</v>
      </c>
      <c r="AG203">
        <f>DH203*AU203*(DC203-DB203*(1000-AU203*DE203)/(1000-AU203*DD203))/(100*CV203)</f>
        <v>0</v>
      </c>
      <c r="AH203">
        <f>1000*DH203*AU203*(DD203-DE203)/(100*CV203*(1000-AU203*DD203))</f>
        <v>0</v>
      </c>
      <c r="AI203">
        <f>(AJ203 - AK203 - DI203*1E3/(8.314*(DK203+273.15)) * AM203/DH203 * AL203) * DH203/(100*CV203) * (1000 - DE203)/1000</f>
        <v>0</v>
      </c>
      <c r="AJ203">
        <v>409.6966890906456</v>
      </c>
      <c r="AK203">
        <v>404.0326909090907</v>
      </c>
      <c r="AL203">
        <v>-3.216139069088293</v>
      </c>
      <c r="AM203">
        <v>66.38192812717227</v>
      </c>
      <c r="AN203">
        <f>(AP203 - AO203 + DI203*1E3/(8.314*(DK203+273.15)) * AR203/DH203 * AQ203) * DH203/(100*CV203) * 1000/(1000 - AP203)</f>
        <v>0</v>
      </c>
      <c r="AO203">
        <v>14.06576281444925</v>
      </c>
      <c r="AP203">
        <v>18.30672764705882</v>
      </c>
      <c r="AQ203">
        <v>-2.985938283945133E-05</v>
      </c>
      <c r="AR203">
        <v>80.47224507511959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MAX(0,($B$13+$C$13*DP203)/(1+$D$13*DP203)*DI203/(DK203+273)*$E$13)</f>
        <v>0</v>
      </c>
      <c r="AX203" t="s">
        <v>417</v>
      </c>
      <c r="AY203" t="s">
        <v>417</v>
      </c>
      <c r="AZ203">
        <v>0</v>
      </c>
      <c r="BA203">
        <v>0</v>
      </c>
      <c r="BB203">
        <f>1-AZ203/BA203</f>
        <v>0</v>
      </c>
      <c r="BC203">
        <v>0</v>
      </c>
      <c r="BD203" t="s">
        <v>417</v>
      </c>
      <c r="BE203" t="s">
        <v>417</v>
      </c>
      <c r="BF203">
        <v>0</v>
      </c>
      <c r="BG203">
        <v>0</v>
      </c>
      <c r="BH203">
        <f>1-BF203/BG203</f>
        <v>0</v>
      </c>
      <c r="BI203">
        <v>0.5</v>
      </c>
      <c r="BJ203">
        <f>CS203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417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1248</v>
      </c>
      <c r="CA203">
        <v>300</v>
      </c>
      <c r="CB203">
        <v>300</v>
      </c>
      <c r="CC203">
        <v>300</v>
      </c>
      <c r="CD203">
        <v>10442</v>
      </c>
      <c r="CE203">
        <v>1293.69</v>
      </c>
      <c r="CF203">
        <v>-0.00735246</v>
      </c>
      <c r="CG203">
        <v>0.5</v>
      </c>
      <c r="CH203" t="s">
        <v>417</v>
      </c>
      <c r="CI203" t="s">
        <v>417</v>
      </c>
      <c r="CJ203" t="s">
        <v>417</v>
      </c>
      <c r="CK203" t="s">
        <v>417</v>
      </c>
      <c r="CL203" t="s">
        <v>417</v>
      </c>
      <c r="CM203" t="s">
        <v>417</v>
      </c>
      <c r="CN203" t="s">
        <v>417</v>
      </c>
      <c r="CO203" t="s">
        <v>417</v>
      </c>
      <c r="CP203" t="s">
        <v>417</v>
      </c>
      <c r="CQ203" t="s">
        <v>417</v>
      </c>
      <c r="CR203">
        <f>$B$11*DQ203+$C$11*DR203+$F$11*EC203*(1-EF203)</f>
        <v>0</v>
      </c>
      <c r="CS203">
        <f>CR203*CT203</f>
        <v>0</v>
      </c>
      <c r="CT203">
        <f>($B$11*$D$9+$C$11*$D$9+$F$11*((EP203+EH203)/MAX(EP203+EH203+EQ203, 0.1)*$I$9+EQ203/MAX(EP203+EH203+EQ203, 0.1)*$J$9))/($B$11+$C$11+$F$11)</f>
        <v>0</v>
      </c>
      <c r="CU203">
        <f>($B$11*$K$9+$C$11*$K$9+$F$11*((EP203+EH203)/MAX(EP203+EH203+EQ203, 0.1)*$P$9+EQ203/MAX(EP203+EH203+EQ203, 0.1)*$Q$9))/($B$11+$C$11+$F$11)</f>
        <v>0</v>
      </c>
      <c r="CV203">
        <v>6</v>
      </c>
      <c r="CW203">
        <v>0.5</v>
      </c>
      <c r="CX203" t="s">
        <v>418</v>
      </c>
      <c r="CY203">
        <v>2</v>
      </c>
      <c r="CZ203" t="b">
        <v>1</v>
      </c>
      <c r="DA203">
        <v>1651864769.725</v>
      </c>
      <c r="DB203">
        <v>399.39775</v>
      </c>
      <c r="DC203">
        <v>399.27325</v>
      </c>
      <c r="DD203">
        <v>18.30315</v>
      </c>
      <c r="DE203">
        <v>14.112825</v>
      </c>
      <c r="DF203">
        <v>400.3845</v>
      </c>
      <c r="DG203">
        <v>18.28345</v>
      </c>
      <c r="DH203">
        <v>500.03625</v>
      </c>
      <c r="DI203">
        <v>89.93314999999998</v>
      </c>
      <c r="DJ203">
        <v>0.100060725</v>
      </c>
      <c r="DK203">
        <v>25.6345</v>
      </c>
      <c r="DL203">
        <v>24.99135</v>
      </c>
      <c r="DM203">
        <v>999.9</v>
      </c>
      <c r="DN203">
        <v>0</v>
      </c>
      <c r="DO203">
        <v>0</v>
      </c>
      <c r="DP203">
        <v>9989.532499999999</v>
      </c>
      <c r="DQ203">
        <v>0</v>
      </c>
      <c r="DR203">
        <v>3.23193</v>
      </c>
      <c r="DS203">
        <v>0.124557675</v>
      </c>
      <c r="DT203">
        <v>406.84425</v>
      </c>
      <c r="DU203">
        <v>404.98875</v>
      </c>
      <c r="DV203">
        <v>4.1903375</v>
      </c>
      <c r="DW203">
        <v>399.27325</v>
      </c>
      <c r="DX203">
        <v>14.112825</v>
      </c>
      <c r="DY203">
        <v>1.64606</v>
      </c>
      <c r="DZ203">
        <v>1.26921</v>
      </c>
      <c r="EA203">
        <v>14.3969</v>
      </c>
      <c r="EB203">
        <v>10.43915</v>
      </c>
      <c r="EC203">
        <v>1500.0825</v>
      </c>
      <c r="ED203">
        <v>0.9729995</v>
      </c>
      <c r="EE203">
        <v>0.027000425</v>
      </c>
      <c r="EF203">
        <v>0</v>
      </c>
      <c r="EG203">
        <v>846.4214999999999</v>
      </c>
      <c r="EH203">
        <v>5.00097</v>
      </c>
      <c r="EI203">
        <v>12575.8</v>
      </c>
      <c r="EJ203">
        <v>12492.3</v>
      </c>
      <c r="EK203">
        <v>37.25</v>
      </c>
      <c r="EL203">
        <v>38.687</v>
      </c>
      <c r="EM203">
        <v>37.625</v>
      </c>
      <c r="EN203">
        <v>38.3905</v>
      </c>
      <c r="EO203">
        <v>38.125</v>
      </c>
      <c r="EP203">
        <v>1454.715</v>
      </c>
      <c r="EQ203">
        <v>40.3675</v>
      </c>
      <c r="ER203">
        <v>0</v>
      </c>
      <c r="ES203">
        <v>550.2000000476837</v>
      </c>
      <c r="ET203">
        <v>0</v>
      </c>
      <c r="EU203">
        <v>848.1132000000001</v>
      </c>
      <c r="EV203">
        <v>-19.65099997740549</v>
      </c>
      <c r="EW203">
        <v>-281.638461002855</v>
      </c>
      <c r="EX203">
        <v>12601.452</v>
      </c>
      <c r="EY203">
        <v>15</v>
      </c>
      <c r="EZ203">
        <v>1651864261.1</v>
      </c>
      <c r="FA203" t="s">
        <v>419</v>
      </c>
      <c r="FB203">
        <v>1651864241.6</v>
      </c>
      <c r="FC203">
        <v>1651864261.1</v>
      </c>
      <c r="FD203">
        <v>7</v>
      </c>
      <c r="FE203">
        <v>0.438</v>
      </c>
      <c r="FF203">
        <v>0.002</v>
      </c>
      <c r="FG203">
        <v>-0.988</v>
      </c>
      <c r="FH203">
        <v>-0.066</v>
      </c>
      <c r="FI203">
        <v>400</v>
      </c>
      <c r="FJ203">
        <v>11</v>
      </c>
      <c r="FK203">
        <v>0.05</v>
      </c>
      <c r="FL203">
        <v>0.02</v>
      </c>
      <c r="FM203">
        <v>-1.2144577475</v>
      </c>
      <c r="FN203">
        <v>8.16248348330207</v>
      </c>
      <c r="FO203">
        <v>0.7860582557756502</v>
      </c>
      <c r="FP203">
        <v>-1</v>
      </c>
      <c r="FQ203">
        <v>4.2494725</v>
      </c>
      <c r="FR203">
        <v>-0.2605879924953209</v>
      </c>
      <c r="FS203">
        <v>0.02646762642833694</v>
      </c>
      <c r="FT203">
        <v>-1</v>
      </c>
      <c r="FU203">
        <v>0</v>
      </c>
      <c r="FV203">
        <v>0</v>
      </c>
      <c r="FW203">
        <v>0</v>
      </c>
      <c r="FX203">
        <v>-1</v>
      </c>
      <c r="FY203">
        <v>0</v>
      </c>
      <c r="FZ203">
        <v>0</v>
      </c>
      <c r="GA203" t="s">
        <v>420</v>
      </c>
      <c r="GB203">
        <v>2.98059</v>
      </c>
      <c r="GC203">
        <v>2.70615</v>
      </c>
      <c r="GD203">
        <v>0.08927359999999999</v>
      </c>
      <c r="GE203">
        <v>0.0881663</v>
      </c>
      <c r="GF203">
        <v>0.0875252</v>
      </c>
      <c r="GG203">
        <v>0.0716065</v>
      </c>
      <c r="GH203">
        <v>28739.1</v>
      </c>
      <c r="GI203">
        <v>28838.8</v>
      </c>
      <c r="GJ203">
        <v>29342</v>
      </c>
      <c r="GK203">
        <v>29257.9</v>
      </c>
      <c r="GL203">
        <v>35452.3</v>
      </c>
      <c r="GM203">
        <v>36176.6</v>
      </c>
      <c r="GN203">
        <v>41300.4</v>
      </c>
      <c r="GO203">
        <v>41760.9</v>
      </c>
      <c r="GP203">
        <v>1.95553</v>
      </c>
      <c r="GQ203">
        <v>1.84953</v>
      </c>
      <c r="GR203">
        <v>-0.0217147</v>
      </c>
      <c r="GS203">
        <v>0</v>
      </c>
      <c r="GT203">
        <v>25.3466</v>
      </c>
      <c r="GU203">
        <v>999.9</v>
      </c>
      <c r="GV203">
        <v>31.6</v>
      </c>
      <c r="GW203">
        <v>34.3</v>
      </c>
      <c r="GX203">
        <v>19.0904</v>
      </c>
      <c r="GY203">
        <v>62.3775</v>
      </c>
      <c r="GZ203">
        <v>34.9038</v>
      </c>
      <c r="HA203">
        <v>1</v>
      </c>
      <c r="HB203">
        <v>0.106888</v>
      </c>
      <c r="HC203">
        <v>2.06933</v>
      </c>
      <c r="HD203">
        <v>20.3214</v>
      </c>
      <c r="HE203">
        <v>5.21744</v>
      </c>
      <c r="HF203">
        <v>12.0099</v>
      </c>
      <c r="HG203">
        <v>4.9891</v>
      </c>
      <c r="HH203">
        <v>3.28865</v>
      </c>
      <c r="HI203">
        <v>999.2</v>
      </c>
      <c r="HJ203">
        <v>9552.5</v>
      </c>
      <c r="HK203">
        <v>5139.4</v>
      </c>
      <c r="HL203">
        <v>24.9</v>
      </c>
      <c r="HM203">
        <v>1.86751</v>
      </c>
      <c r="HN203">
        <v>1.86646</v>
      </c>
      <c r="HO203">
        <v>1.866</v>
      </c>
      <c r="HP203">
        <v>1.86588</v>
      </c>
      <c r="HQ203">
        <v>1.86772</v>
      </c>
      <c r="HR203">
        <v>1.87021</v>
      </c>
      <c r="HS203">
        <v>1.86888</v>
      </c>
      <c r="HT203">
        <v>1.87027</v>
      </c>
      <c r="HU203">
        <v>0</v>
      </c>
      <c r="HV203">
        <v>0</v>
      </c>
      <c r="HW203">
        <v>0</v>
      </c>
      <c r="HX203">
        <v>0</v>
      </c>
      <c r="HY203" t="s">
        <v>421</v>
      </c>
      <c r="HZ203" t="s">
        <v>422</v>
      </c>
      <c r="IA203" t="s">
        <v>423</v>
      </c>
      <c r="IB203" t="s">
        <v>423</v>
      </c>
      <c r="IC203" t="s">
        <v>423</v>
      </c>
      <c r="ID203" t="s">
        <v>423</v>
      </c>
      <c r="IE203">
        <v>0</v>
      </c>
      <c r="IF203">
        <v>100</v>
      </c>
      <c r="IG203">
        <v>100</v>
      </c>
      <c r="IH203">
        <v>-0.978</v>
      </c>
      <c r="II203">
        <v>0.0198</v>
      </c>
      <c r="IJ203">
        <v>-0.2164499368582429</v>
      </c>
      <c r="IK203">
        <v>-0.002077099775823331</v>
      </c>
      <c r="IL203">
        <v>4.593143279902166E-07</v>
      </c>
      <c r="IM203">
        <v>-1.865383991892071E-10</v>
      </c>
      <c r="IN203">
        <v>-0.06087574426827484</v>
      </c>
      <c r="IO203">
        <v>-0.01129461987421345</v>
      </c>
      <c r="IP203">
        <v>0.00116580895745559</v>
      </c>
      <c r="IQ203">
        <v>-1.679085872906199E-05</v>
      </c>
      <c r="IR203">
        <v>2</v>
      </c>
      <c r="IS203">
        <v>2290</v>
      </c>
      <c r="IT203">
        <v>0</v>
      </c>
      <c r="IU203">
        <v>32</v>
      </c>
      <c r="IV203">
        <v>8.800000000000001</v>
      </c>
      <c r="IW203">
        <v>8.5</v>
      </c>
      <c r="IX203">
        <v>0.963135</v>
      </c>
      <c r="IY203">
        <v>2.23755</v>
      </c>
      <c r="IZ203">
        <v>1.39648</v>
      </c>
      <c r="JA203">
        <v>2.35718</v>
      </c>
      <c r="JB203">
        <v>1.49536</v>
      </c>
      <c r="JC203">
        <v>2.29736</v>
      </c>
      <c r="JD203">
        <v>38.5014</v>
      </c>
      <c r="JE203">
        <v>24.035</v>
      </c>
      <c r="JF203">
        <v>18</v>
      </c>
      <c r="JG203">
        <v>511.244</v>
      </c>
      <c r="JH203">
        <v>428.639</v>
      </c>
      <c r="JI203">
        <v>22.1534</v>
      </c>
      <c r="JJ203">
        <v>28.6879</v>
      </c>
      <c r="JK203">
        <v>29.9994</v>
      </c>
      <c r="JL203">
        <v>28.6514</v>
      </c>
      <c r="JM203">
        <v>28.5883</v>
      </c>
      <c r="JN203">
        <v>19.2345</v>
      </c>
      <c r="JO203">
        <v>26.5129</v>
      </c>
      <c r="JP203">
        <v>0</v>
      </c>
      <c r="JQ203">
        <v>22.1783</v>
      </c>
      <c r="JR203">
        <v>373.154</v>
      </c>
      <c r="JS203">
        <v>14.145</v>
      </c>
      <c r="JT203">
        <v>100.297</v>
      </c>
      <c r="JU203">
        <v>100.228</v>
      </c>
    </row>
    <row r="204" spans="1:281">
      <c r="A204">
        <v>188</v>
      </c>
      <c r="B204">
        <v>1651864773.1</v>
      </c>
      <c r="C204">
        <v>552.5</v>
      </c>
      <c r="D204" t="s">
        <v>796</v>
      </c>
      <c r="E204" t="s">
        <v>797</v>
      </c>
      <c r="F204">
        <v>2</v>
      </c>
      <c r="G204" t="s">
        <v>413</v>
      </c>
      <c r="H204" t="s">
        <v>414</v>
      </c>
      <c r="I204">
        <v>1651864772.1</v>
      </c>
      <c r="J204">
        <f>(K204)/1000</f>
        <v>0</v>
      </c>
      <c r="K204">
        <f>IF(CZ204, AN204, AH204)</f>
        <v>0</v>
      </c>
      <c r="L204">
        <f>IF(CZ204, AI204, AG204)</f>
        <v>0</v>
      </c>
      <c r="M204">
        <f>DB204 - IF(AU204&gt;1, L204*CV204*100.0/(AW204*DP204), 0)</f>
        <v>0</v>
      </c>
      <c r="N204">
        <f>((T204-J204/2)*M204-L204)/(T204+J204/2)</f>
        <v>0</v>
      </c>
      <c r="O204">
        <f>N204*(DI204+DJ204)/1000.0</f>
        <v>0</v>
      </c>
      <c r="P204">
        <f>(DB204 - IF(AU204&gt;1, L204*CV204*100.0/(AW204*DP204), 0))*(DI204+DJ204)/1000.0</f>
        <v>0</v>
      </c>
      <c r="Q204">
        <f>2.0/((1/S204-1/R204)+SIGN(S204)*SQRT((1/S204-1/R204)*(1/S204-1/R204) + 4*CW204/((CW204+1)*(CW204+1))*(2*1/S204*1/R204-1/R204*1/R204)))</f>
        <v>0</v>
      </c>
      <c r="R204">
        <f>IF(LEFT(CX204,1)&lt;&gt;"0",IF(LEFT(CX204,1)="1",3.0,CY204),$D$5+$E$5*(DP204*DI204/($K$5*1000))+$F$5*(DP204*DI204/($K$5*1000))*MAX(MIN(CV204,$J$5),$I$5)*MAX(MIN(CV204,$J$5),$I$5)+$G$5*MAX(MIN(CV204,$J$5),$I$5)*(DP204*DI204/($K$5*1000))+$H$5*(DP204*DI204/($K$5*1000))*(DP204*DI204/($K$5*1000)))</f>
        <v>0</v>
      </c>
      <c r="S204">
        <f>J204*(1000-(1000*0.61365*exp(17.502*W204/(240.97+W204))/(DI204+DJ204)+DD204)/2)/(1000*0.61365*exp(17.502*W204/(240.97+W204))/(DI204+DJ204)-DD204)</f>
        <v>0</v>
      </c>
      <c r="T204">
        <f>1/((CW204+1)/(Q204/1.6)+1/(R204/1.37)) + CW204/((CW204+1)/(Q204/1.6) + CW204/(R204/1.37))</f>
        <v>0</v>
      </c>
      <c r="U204">
        <f>(CR204*CU204)</f>
        <v>0</v>
      </c>
      <c r="V204">
        <f>(DK204+(U204+2*0.95*5.67E-8*(((DK204+$B$7)+273)^4-(DK204+273)^4)-44100*J204)/(1.84*29.3*R204+8*0.95*5.67E-8*(DK204+273)^3))</f>
        <v>0</v>
      </c>
      <c r="W204">
        <f>($C$7*DL204+$D$7*DM204+$E$7*V204)</f>
        <v>0</v>
      </c>
      <c r="X204">
        <f>0.61365*exp(17.502*W204/(240.97+W204))</f>
        <v>0</v>
      </c>
      <c r="Y204">
        <f>(Z204/AA204*100)</f>
        <v>0</v>
      </c>
      <c r="Z204">
        <f>DD204*(DI204+DJ204)/1000</f>
        <v>0</v>
      </c>
      <c r="AA204">
        <f>0.61365*exp(17.502*DK204/(240.97+DK204))</f>
        <v>0</v>
      </c>
      <c r="AB204">
        <f>(X204-DD204*(DI204+DJ204)/1000)</f>
        <v>0</v>
      </c>
      <c r="AC204">
        <f>(-J204*44100)</f>
        <v>0</v>
      </c>
      <c r="AD204">
        <f>2*29.3*R204*0.92*(DK204-W204)</f>
        <v>0</v>
      </c>
      <c r="AE204">
        <f>2*0.95*5.67E-8*(((DK204+$B$7)+273)^4-(W204+273)^4)</f>
        <v>0</v>
      </c>
      <c r="AF204">
        <f>U204+AE204+AC204+AD204</f>
        <v>0</v>
      </c>
      <c r="AG204">
        <f>DH204*AU204*(DC204-DB204*(1000-AU204*DE204)/(1000-AU204*DD204))/(100*CV204)</f>
        <v>0</v>
      </c>
      <c r="AH204">
        <f>1000*DH204*AU204*(DD204-DE204)/(100*CV204*(1000-AU204*DD204))</f>
        <v>0</v>
      </c>
      <c r="AI204">
        <f>(AJ204 - AK204 - DI204*1E3/(8.314*(DK204+273.15)) * AM204/DH204 * AL204) * DH204/(100*CV204) * (1000 - DE204)/1000</f>
        <v>0</v>
      </c>
      <c r="AJ204">
        <v>402.9409748155704</v>
      </c>
      <c r="AK204">
        <v>397.6131818181818</v>
      </c>
      <c r="AL204">
        <v>-3.212211334072785</v>
      </c>
      <c r="AM204">
        <v>66.38192812717227</v>
      </c>
      <c r="AN204">
        <f>(AP204 - AO204 + DI204*1E3/(8.314*(DK204+273.15)) * AR204/DH204 * AQ204) * DH204/(100*CV204) * 1000/(1000 - AP204)</f>
        <v>0</v>
      </c>
      <c r="AO204">
        <v>14.09514063627858</v>
      </c>
      <c r="AP204">
        <v>18.32247411764705</v>
      </c>
      <c r="AQ204">
        <v>3.68337453641084E-07</v>
      </c>
      <c r="AR204">
        <v>80.47224507511959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MAX(0,($B$13+$C$13*DP204)/(1+$D$13*DP204)*DI204/(DK204+273)*$E$13)</f>
        <v>0</v>
      </c>
      <c r="AX204" t="s">
        <v>417</v>
      </c>
      <c r="AY204" t="s">
        <v>417</v>
      </c>
      <c r="AZ204">
        <v>0</v>
      </c>
      <c r="BA204">
        <v>0</v>
      </c>
      <c r="BB204">
        <f>1-AZ204/BA204</f>
        <v>0</v>
      </c>
      <c r="BC204">
        <v>0</v>
      </c>
      <c r="BD204" t="s">
        <v>417</v>
      </c>
      <c r="BE204" t="s">
        <v>417</v>
      </c>
      <c r="BF204">
        <v>0</v>
      </c>
      <c r="BG204">
        <v>0</v>
      </c>
      <c r="BH204">
        <f>1-BF204/BG204</f>
        <v>0</v>
      </c>
      <c r="BI204">
        <v>0.5</v>
      </c>
      <c r="BJ204">
        <f>CS204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417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1248</v>
      </c>
      <c r="CA204">
        <v>300</v>
      </c>
      <c r="CB204">
        <v>300</v>
      </c>
      <c r="CC204">
        <v>300</v>
      </c>
      <c r="CD204">
        <v>10442</v>
      </c>
      <c r="CE204">
        <v>1293.69</v>
      </c>
      <c r="CF204">
        <v>-0.00735246</v>
      </c>
      <c r="CG204">
        <v>0.5</v>
      </c>
      <c r="CH204" t="s">
        <v>417</v>
      </c>
      <c r="CI204" t="s">
        <v>417</v>
      </c>
      <c r="CJ204" t="s">
        <v>417</v>
      </c>
      <c r="CK204" t="s">
        <v>417</v>
      </c>
      <c r="CL204" t="s">
        <v>417</v>
      </c>
      <c r="CM204" t="s">
        <v>417</v>
      </c>
      <c r="CN204" t="s">
        <v>417</v>
      </c>
      <c r="CO204" t="s">
        <v>417</v>
      </c>
      <c r="CP204" t="s">
        <v>417</v>
      </c>
      <c r="CQ204" t="s">
        <v>417</v>
      </c>
      <c r="CR204">
        <f>$B$11*DQ204+$C$11*DR204+$F$11*EC204*(1-EF204)</f>
        <v>0</v>
      </c>
      <c r="CS204">
        <f>CR204*CT204</f>
        <v>0</v>
      </c>
      <c r="CT204">
        <f>($B$11*$D$9+$C$11*$D$9+$F$11*((EP204+EH204)/MAX(EP204+EH204+EQ204, 0.1)*$I$9+EQ204/MAX(EP204+EH204+EQ204, 0.1)*$J$9))/($B$11+$C$11+$F$11)</f>
        <v>0</v>
      </c>
      <c r="CU204">
        <f>($B$11*$K$9+$C$11*$K$9+$F$11*((EP204+EH204)/MAX(EP204+EH204+EQ204, 0.1)*$P$9+EQ204/MAX(EP204+EH204+EQ204, 0.1)*$Q$9))/($B$11+$C$11+$F$11)</f>
        <v>0</v>
      </c>
      <c r="CV204">
        <v>6</v>
      </c>
      <c r="CW204">
        <v>0.5</v>
      </c>
      <c r="CX204" t="s">
        <v>418</v>
      </c>
      <c r="CY204">
        <v>2</v>
      </c>
      <c r="CZ204" t="b">
        <v>1</v>
      </c>
      <c r="DA204">
        <v>1651864772.1</v>
      </c>
      <c r="DB204">
        <v>391.9063333333334</v>
      </c>
      <c r="DC204">
        <v>391.382</v>
      </c>
      <c r="DD204">
        <v>18.3184</v>
      </c>
      <c r="DE204">
        <v>14.13463333333333</v>
      </c>
      <c r="DF204">
        <v>392.8793333333333</v>
      </c>
      <c r="DG204">
        <v>18.2985</v>
      </c>
      <c r="DH204">
        <v>499.9966666666667</v>
      </c>
      <c r="DI204">
        <v>89.93286666666667</v>
      </c>
      <c r="DJ204">
        <v>0.09966833333333334</v>
      </c>
      <c r="DK204">
        <v>25.63276666666667</v>
      </c>
      <c r="DL204">
        <v>24.98993333333333</v>
      </c>
      <c r="DM204">
        <v>999.9</v>
      </c>
      <c r="DN204">
        <v>0</v>
      </c>
      <c r="DO204">
        <v>0</v>
      </c>
      <c r="DP204">
        <v>10030.63333333333</v>
      </c>
      <c r="DQ204">
        <v>0</v>
      </c>
      <c r="DR204">
        <v>3.23193</v>
      </c>
      <c r="DS204">
        <v>0.5249123333333333</v>
      </c>
      <c r="DT204">
        <v>399.2196666666666</v>
      </c>
      <c r="DU204">
        <v>396.993</v>
      </c>
      <c r="DV204">
        <v>4.183773333333334</v>
      </c>
      <c r="DW204">
        <v>391.382</v>
      </c>
      <c r="DX204">
        <v>14.13463333333333</v>
      </c>
      <c r="DY204">
        <v>1.64743</v>
      </c>
      <c r="DZ204">
        <v>1.27117</v>
      </c>
      <c r="EA204">
        <v>14.40973333333333</v>
      </c>
      <c r="EB204">
        <v>10.46223333333333</v>
      </c>
      <c r="EC204">
        <v>1499.946666666667</v>
      </c>
      <c r="ED204">
        <v>0.9730086666666665</v>
      </c>
      <c r="EE204">
        <v>0.0269913</v>
      </c>
      <c r="EF204">
        <v>0</v>
      </c>
      <c r="EG204">
        <v>845.5246666666667</v>
      </c>
      <c r="EH204">
        <v>5.00097</v>
      </c>
      <c r="EI204">
        <v>12562.56666666667</v>
      </c>
      <c r="EJ204">
        <v>12491.2</v>
      </c>
      <c r="EK204">
        <v>37.25</v>
      </c>
      <c r="EL204">
        <v>38.687</v>
      </c>
      <c r="EM204">
        <v>37.625</v>
      </c>
      <c r="EN204">
        <v>38.41633333333333</v>
      </c>
      <c r="EO204">
        <v>38.125</v>
      </c>
      <c r="EP204">
        <v>1454.596666666667</v>
      </c>
      <c r="EQ204">
        <v>40.35</v>
      </c>
      <c r="ER204">
        <v>0</v>
      </c>
      <c r="ES204">
        <v>552</v>
      </c>
      <c r="ET204">
        <v>0</v>
      </c>
      <c r="EU204">
        <v>847.612</v>
      </c>
      <c r="EV204">
        <v>-19.37449574456431</v>
      </c>
      <c r="EW204">
        <v>-285.4735043442481</v>
      </c>
      <c r="EX204">
        <v>12594.25</v>
      </c>
      <c r="EY204">
        <v>15</v>
      </c>
      <c r="EZ204">
        <v>1651864261.1</v>
      </c>
      <c r="FA204" t="s">
        <v>419</v>
      </c>
      <c r="FB204">
        <v>1651864241.6</v>
      </c>
      <c r="FC204">
        <v>1651864261.1</v>
      </c>
      <c r="FD204">
        <v>7</v>
      </c>
      <c r="FE204">
        <v>0.438</v>
      </c>
      <c r="FF204">
        <v>0.002</v>
      </c>
      <c r="FG204">
        <v>-0.988</v>
      </c>
      <c r="FH204">
        <v>-0.066</v>
      </c>
      <c r="FI204">
        <v>400</v>
      </c>
      <c r="FJ204">
        <v>11</v>
      </c>
      <c r="FK204">
        <v>0.05</v>
      </c>
      <c r="FL204">
        <v>0.02</v>
      </c>
      <c r="FM204">
        <v>-0.8924881195121951</v>
      </c>
      <c r="FN204">
        <v>8.394575134494771</v>
      </c>
      <c r="FO204">
        <v>0.8292483911061734</v>
      </c>
      <c r="FP204">
        <v>-1</v>
      </c>
      <c r="FQ204">
        <v>4.238650487804878</v>
      </c>
      <c r="FR204">
        <v>-0.3155949825783933</v>
      </c>
      <c r="FS204">
        <v>0.03219786888503113</v>
      </c>
      <c r="FT204">
        <v>-1</v>
      </c>
      <c r="FU204">
        <v>0</v>
      </c>
      <c r="FV204">
        <v>0</v>
      </c>
      <c r="FW204">
        <v>0</v>
      </c>
      <c r="FX204">
        <v>-1</v>
      </c>
      <c r="FY204">
        <v>0</v>
      </c>
      <c r="FZ204">
        <v>0</v>
      </c>
      <c r="GA204" t="s">
        <v>420</v>
      </c>
      <c r="GB204">
        <v>2.98031</v>
      </c>
      <c r="GC204">
        <v>2.7062</v>
      </c>
      <c r="GD204">
        <v>0.088172</v>
      </c>
      <c r="GE204">
        <v>0.0870215</v>
      </c>
      <c r="GF204">
        <v>0.0875706</v>
      </c>
      <c r="GG204">
        <v>0.07162830000000001</v>
      </c>
      <c r="GH204">
        <v>28774.2</v>
      </c>
      <c r="GI204">
        <v>28875.2</v>
      </c>
      <c r="GJ204">
        <v>29342.2</v>
      </c>
      <c r="GK204">
        <v>29258.1</v>
      </c>
      <c r="GL204">
        <v>35450.7</v>
      </c>
      <c r="GM204">
        <v>36176</v>
      </c>
      <c r="GN204">
        <v>41300.6</v>
      </c>
      <c r="GO204">
        <v>41761.2</v>
      </c>
      <c r="GP204">
        <v>1.95518</v>
      </c>
      <c r="GQ204">
        <v>1.84945</v>
      </c>
      <c r="GR204">
        <v>-0.0216961</v>
      </c>
      <c r="GS204">
        <v>0</v>
      </c>
      <c r="GT204">
        <v>25.345</v>
      </c>
      <c r="GU204">
        <v>999.9</v>
      </c>
      <c r="GV204">
        <v>31.6</v>
      </c>
      <c r="GW204">
        <v>34.3</v>
      </c>
      <c r="GX204">
        <v>19.0905</v>
      </c>
      <c r="GY204">
        <v>62.4775</v>
      </c>
      <c r="GZ204">
        <v>35.2845</v>
      </c>
      <c r="HA204">
        <v>1</v>
      </c>
      <c r="HB204">
        <v>0.1072</v>
      </c>
      <c r="HC204">
        <v>2.13329</v>
      </c>
      <c r="HD204">
        <v>20.3206</v>
      </c>
      <c r="HE204">
        <v>5.21759</v>
      </c>
      <c r="HF204">
        <v>12.0099</v>
      </c>
      <c r="HG204">
        <v>4.9889</v>
      </c>
      <c r="HH204">
        <v>3.28865</v>
      </c>
      <c r="HI204">
        <v>999.2</v>
      </c>
      <c r="HJ204">
        <v>9552.5</v>
      </c>
      <c r="HK204">
        <v>5139.4</v>
      </c>
      <c r="HL204">
        <v>24.9</v>
      </c>
      <c r="HM204">
        <v>1.86752</v>
      </c>
      <c r="HN204">
        <v>1.86646</v>
      </c>
      <c r="HO204">
        <v>1.866</v>
      </c>
      <c r="HP204">
        <v>1.86588</v>
      </c>
      <c r="HQ204">
        <v>1.86771</v>
      </c>
      <c r="HR204">
        <v>1.87021</v>
      </c>
      <c r="HS204">
        <v>1.86889</v>
      </c>
      <c r="HT204">
        <v>1.87027</v>
      </c>
      <c r="HU204">
        <v>0</v>
      </c>
      <c r="HV204">
        <v>0</v>
      </c>
      <c r="HW204">
        <v>0</v>
      </c>
      <c r="HX204">
        <v>0</v>
      </c>
      <c r="HY204" t="s">
        <v>421</v>
      </c>
      <c r="HZ204" t="s">
        <v>422</v>
      </c>
      <c r="IA204" t="s">
        <v>423</v>
      </c>
      <c r="IB204" t="s">
        <v>423</v>
      </c>
      <c r="IC204" t="s">
        <v>423</v>
      </c>
      <c r="ID204" t="s">
        <v>423</v>
      </c>
      <c r="IE204">
        <v>0</v>
      </c>
      <c r="IF204">
        <v>100</v>
      </c>
      <c r="IG204">
        <v>100</v>
      </c>
      <c r="IH204">
        <v>-0.967</v>
      </c>
      <c r="II204">
        <v>0.02</v>
      </c>
      <c r="IJ204">
        <v>-0.2164499368582429</v>
      </c>
      <c r="IK204">
        <v>-0.002077099775823331</v>
      </c>
      <c r="IL204">
        <v>4.593143279902166E-07</v>
      </c>
      <c r="IM204">
        <v>-1.865383991892071E-10</v>
      </c>
      <c r="IN204">
        <v>-0.06087574426827484</v>
      </c>
      <c r="IO204">
        <v>-0.01129461987421345</v>
      </c>
      <c r="IP204">
        <v>0.00116580895745559</v>
      </c>
      <c r="IQ204">
        <v>-1.679085872906199E-05</v>
      </c>
      <c r="IR204">
        <v>2</v>
      </c>
      <c r="IS204">
        <v>2290</v>
      </c>
      <c r="IT204">
        <v>0</v>
      </c>
      <c r="IU204">
        <v>32</v>
      </c>
      <c r="IV204">
        <v>8.9</v>
      </c>
      <c r="IW204">
        <v>8.5</v>
      </c>
      <c r="IX204">
        <v>0.949707</v>
      </c>
      <c r="IY204">
        <v>2.23511</v>
      </c>
      <c r="IZ204">
        <v>1.39648</v>
      </c>
      <c r="JA204">
        <v>2.35718</v>
      </c>
      <c r="JB204">
        <v>1.49536</v>
      </c>
      <c r="JC204">
        <v>2.3584</v>
      </c>
      <c r="JD204">
        <v>38.5014</v>
      </c>
      <c r="JE204">
        <v>24.035</v>
      </c>
      <c r="JF204">
        <v>18</v>
      </c>
      <c r="JG204">
        <v>511.02</v>
      </c>
      <c r="JH204">
        <v>428.603</v>
      </c>
      <c r="JI204">
        <v>22.1749</v>
      </c>
      <c r="JJ204">
        <v>28.6879</v>
      </c>
      <c r="JK204">
        <v>29.9998</v>
      </c>
      <c r="JL204">
        <v>28.652</v>
      </c>
      <c r="JM204">
        <v>28.5895</v>
      </c>
      <c r="JN204">
        <v>18.968</v>
      </c>
      <c r="JO204">
        <v>26.5129</v>
      </c>
      <c r="JP204">
        <v>0</v>
      </c>
      <c r="JQ204">
        <v>22.1783</v>
      </c>
      <c r="JR204">
        <v>366.475</v>
      </c>
      <c r="JS204">
        <v>14.143</v>
      </c>
      <c r="JT204">
        <v>100.298</v>
      </c>
      <c r="JU204">
        <v>100.229</v>
      </c>
    </row>
    <row r="205" spans="1:281">
      <c r="A205">
        <v>189</v>
      </c>
      <c r="B205">
        <v>1651864775.1</v>
      </c>
      <c r="C205">
        <v>554.5</v>
      </c>
      <c r="D205" t="s">
        <v>798</v>
      </c>
      <c r="E205" t="s">
        <v>799</v>
      </c>
      <c r="F205">
        <v>2</v>
      </c>
      <c r="G205" t="s">
        <v>413</v>
      </c>
      <c r="H205" t="s">
        <v>414</v>
      </c>
      <c r="I205">
        <v>1651864773.725</v>
      </c>
      <c r="J205">
        <f>(K205)/1000</f>
        <v>0</v>
      </c>
      <c r="K205">
        <f>IF(CZ205, AN205, AH205)</f>
        <v>0</v>
      </c>
      <c r="L205">
        <f>IF(CZ205, AI205, AG205)</f>
        <v>0</v>
      </c>
      <c r="M205">
        <f>DB205 - IF(AU205&gt;1, L205*CV205*100.0/(AW205*DP205), 0)</f>
        <v>0</v>
      </c>
      <c r="N205">
        <f>((T205-J205/2)*M205-L205)/(T205+J205/2)</f>
        <v>0</v>
      </c>
      <c r="O205">
        <f>N205*(DI205+DJ205)/1000.0</f>
        <v>0</v>
      </c>
      <c r="P205">
        <f>(DB205 - IF(AU205&gt;1, L205*CV205*100.0/(AW205*DP205), 0))*(DI205+DJ205)/1000.0</f>
        <v>0</v>
      </c>
      <c r="Q205">
        <f>2.0/((1/S205-1/R205)+SIGN(S205)*SQRT((1/S205-1/R205)*(1/S205-1/R205) + 4*CW205/((CW205+1)*(CW205+1))*(2*1/S205*1/R205-1/R205*1/R205)))</f>
        <v>0</v>
      </c>
      <c r="R205">
        <f>IF(LEFT(CX205,1)&lt;&gt;"0",IF(LEFT(CX205,1)="1",3.0,CY205),$D$5+$E$5*(DP205*DI205/($K$5*1000))+$F$5*(DP205*DI205/($K$5*1000))*MAX(MIN(CV205,$J$5),$I$5)*MAX(MIN(CV205,$J$5),$I$5)+$G$5*MAX(MIN(CV205,$J$5),$I$5)*(DP205*DI205/($K$5*1000))+$H$5*(DP205*DI205/($K$5*1000))*(DP205*DI205/($K$5*1000)))</f>
        <v>0</v>
      </c>
      <c r="S205">
        <f>J205*(1000-(1000*0.61365*exp(17.502*W205/(240.97+W205))/(DI205+DJ205)+DD205)/2)/(1000*0.61365*exp(17.502*W205/(240.97+W205))/(DI205+DJ205)-DD205)</f>
        <v>0</v>
      </c>
      <c r="T205">
        <f>1/((CW205+1)/(Q205/1.6)+1/(R205/1.37)) + CW205/((CW205+1)/(Q205/1.6) + CW205/(R205/1.37))</f>
        <v>0</v>
      </c>
      <c r="U205">
        <f>(CR205*CU205)</f>
        <v>0</v>
      </c>
      <c r="V205">
        <f>(DK205+(U205+2*0.95*5.67E-8*(((DK205+$B$7)+273)^4-(DK205+273)^4)-44100*J205)/(1.84*29.3*R205+8*0.95*5.67E-8*(DK205+273)^3))</f>
        <v>0</v>
      </c>
      <c r="W205">
        <f>($C$7*DL205+$D$7*DM205+$E$7*V205)</f>
        <v>0</v>
      </c>
      <c r="X205">
        <f>0.61365*exp(17.502*W205/(240.97+W205))</f>
        <v>0</v>
      </c>
      <c r="Y205">
        <f>(Z205/AA205*100)</f>
        <v>0</v>
      </c>
      <c r="Z205">
        <f>DD205*(DI205+DJ205)/1000</f>
        <v>0</v>
      </c>
      <c r="AA205">
        <f>0.61365*exp(17.502*DK205/(240.97+DK205))</f>
        <v>0</v>
      </c>
      <c r="AB205">
        <f>(X205-DD205*(DI205+DJ205)/1000)</f>
        <v>0</v>
      </c>
      <c r="AC205">
        <f>(-J205*44100)</f>
        <v>0</v>
      </c>
      <c r="AD205">
        <f>2*29.3*R205*0.92*(DK205-W205)</f>
        <v>0</v>
      </c>
      <c r="AE205">
        <f>2*0.95*5.67E-8*(((DK205+$B$7)+273)^4-(W205+273)^4)</f>
        <v>0</v>
      </c>
      <c r="AF205">
        <f>U205+AE205+AC205+AD205</f>
        <v>0</v>
      </c>
      <c r="AG205">
        <f>DH205*AU205*(DC205-DB205*(1000-AU205*DE205)/(1000-AU205*DD205))/(100*CV205)</f>
        <v>0</v>
      </c>
      <c r="AH205">
        <f>1000*DH205*AU205*(DD205-DE205)/(100*CV205*(1000-AU205*DD205))</f>
        <v>0</v>
      </c>
      <c r="AI205">
        <f>(AJ205 - AK205 - DI205*1E3/(8.314*(DK205+273.15)) * AM205/DH205 * AL205) * DH205/(100*CV205) * (1000 - DE205)/1000</f>
        <v>0</v>
      </c>
      <c r="AJ205">
        <v>396.2200513903846</v>
      </c>
      <c r="AK205">
        <v>391.1714303030305</v>
      </c>
      <c r="AL205">
        <v>-3.2164259941216</v>
      </c>
      <c r="AM205">
        <v>66.38192812717227</v>
      </c>
      <c r="AN205">
        <f>(AP205 - AO205 + DI205*1E3/(8.314*(DK205+273.15)) * AR205/DH205 * AQ205) * DH205/(100*CV205) * 1000/(1000 - AP205)</f>
        <v>0</v>
      </c>
      <c r="AO205">
        <v>14.12435643589669</v>
      </c>
      <c r="AP205">
        <v>18.33488323529412</v>
      </c>
      <c r="AQ205">
        <v>0.0003269113755569731</v>
      </c>
      <c r="AR205">
        <v>80.47224507511959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MAX(0,($B$13+$C$13*DP205)/(1+$D$13*DP205)*DI205/(DK205+273)*$E$13)</f>
        <v>0</v>
      </c>
      <c r="AX205" t="s">
        <v>417</v>
      </c>
      <c r="AY205" t="s">
        <v>417</v>
      </c>
      <c r="AZ205">
        <v>0</v>
      </c>
      <c r="BA205">
        <v>0</v>
      </c>
      <c r="BB205">
        <f>1-AZ205/BA205</f>
        <v>0</v>
      </c>
      <c r="BC205">
        <v>0</v>
      </c>
      <c r="BD205" t="s">
        <v>417</v>
      </c>
      <c r="BE205" t="s">
        <v>417</v>
      </c>
      <c r="BF205">
        <v>0</v>
      </c>
      <c r="BG205">
        <v>0</v>
      </c>
      <c r="BH205">
        <f>1-BF205/BG205</f>
        <v>0</v>
      </c>
      <c r="BI205">
        <v>0.5</v>
      </c>
      <c r="BJ205">
        <f>CS205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417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1248</v>
      </c>
      <c r="CA205">
        <v>300</v>
      </c>
      <c r="CB205">
        <v>300</v>
      </c>
      <c r="CC205">
        <v>300</v>
      </c>
      <c r="CD205">
        <v>10442</v>
      </c>
      <c r="CE205">
        <v>1293.69</v>
      </c>
      <c r="CF205">
        <v>-0.00735246</v>
      </c>
      <c r="CG205">
        <v>0.5</v>
      </c>
      <c r="CH205" t="s">
        <v>417</v>
      </c>
      <c r="CI205" t="s">
        <v>417</v>
      </c>
      <c r="CJ205" t="s">
        <v>417</v>
      </c>
      <c r="CK205" t="s">
        <v>417</v>
      </c>
      <c r="CL205" t="s">
        <v>417</v>
      </c>
      <c r="CM205" t="s">
        <v>417</v>
      </c>
      <c r="CN205" t="s">
        <v>417</v>
      </c>
      <c r="CO205" t="s">
        <v>417</v>
      </c>
      <c r="CP205" t="s">
        <v>417</v>
      </c>
      <c r="CQ205" t="s">
        <v>417</v>
      </c>
      <c r="CR205">
        <f>$B$11*DQ205+$C$11*DR205+$F$11*EC205*(1-EF205)</f>
        <v>0</v>
      </c>
      <c r="CS205">
        <f>CR205*CT205</f>
        <v>0</v>
      </c>
      <c r="CT205">
        <f>($B$11*$D$9+$C$11*$D$9+$F$11*((EP205+EH205)/MAX(EP205+EH205+EQ205, 0.1)*$I$9+EQ205/MAX(EP205+EH205+EQ205, 0.1)*$J$9))/($B$11+$C$11+$F$11)</f>
        <v>0</v>
      </c>
      <c r="CU205">
        <f>($B$11*$K$9+$C$11*$K$9+$F$11*((EP205+EH205)/MAX(EP205+EH205+EQ205, 0.1)*$P$9+EQ205/MAX(EP205+EH205+EQ205, 0.1)*$Q$9))/($B$11+$C$11+$F$11)</f>
        <v>0</v>
      </c>
      <c r="CV205">
        <v>6</v>
      </c>
      <c r="CW205">
        <v>0.5</v>
      </c>
      <c r="CX205" t="s">
        <v>418</v>
      </c>
      <c r="CY205">
        <v>2</v>
      </c>
      <c r="CZ205" t="b">
        <v>1</v>
      </c>
      <c r="DA205">
        <v>1651864773.725</v>
      </c>
      <c r="DB205">
        <v>386.76825</v>
      </c>
      <c r="DC205">
        <v>386.00025</v>
      </c>
      <c r="DD205">
        <v>18.328425</v>
      </c>
      <c r="DE205">
        <v>14.137325</v>
      </c>
      <c r="DF205">
        <v>387.73175</v>
      </c>
      <c r="DG205">
        <v>18.30835</v>
      </c>
      <c r="DH205">
        <v>499.992</v>
      </c>
      <c r="DI205">
        <v>89.93317500000001</v>
      </c>
      <c r="DJ205">
        <v>0.09986394999999999</v>
      </c>
      <c r="DK205">
        <v>25.6333</v>
      </c>
      <c r="DL205">
        <v>24.987275</v>
      </c>
      <c r="DM205">
        <v>999.9</v>
      </c>
      <c r="DN205">
        <v>0</v>
      </c>
      <c r="DO205">
        <v>0</v>
      </c>
      <c r="DP205">
        <v>10019.85</v>
      </c>
      <c r="DQ205">
        <v>0</v>
      </c>
      <c r="DR205">
        <v>3.23193</v>
      </c>
      <c r="DS205">
        <v>0.76819625</v>
      </c>
      <c r="DT205">
        <v>393.9895</v>
      </c>
      <c r="DU205">
        <v>391.5355</v>
      </c>
      <c r="DV205">
        <v>4.1910975</v>
      </c>
      <c r="DW205">
        <v>386.00025</v>
      </c>
      <c r="DX205">
        <v>14.137325</v>
      </c>
      <c r="DY205">
        <v>1.648335</v>
      </c>
      <c r="DZ205">
        <v>1.271415</v>
      </c>
      <c r="EA205">
        <v>14.41825</v>
      </c>
      <c r="EB205">
        <v>10.465125</v>
      </c>
      <c r="EC205">
        <v>1499.99</v>
      </c>
      <c r="ED205">
        <v>0.973007</v>
      </c>
      <c r="EE205">
        <v>0.0269931</v>
      </c>
      <c r="EF205">
        <v>0</v>
      </c>
      <c r="EG205">
        <v>845.3155</v>
      </c>
      <c r="EH205">
        <v>5.00097</v>
      </c>
      <c r="EI205">
        <v>12555.15</v>
      </c>
      <c r="EJ205">
        <v>12491.525</v>
      </c>
      <c r="EK205">
        <v>37.25</v>
      </c>
      <c r="EL205">
        <v>38.687</v>
      </c>
      <c r="EM205">
        <v>37.625</v>
      </c>
      <c r="EN205">
        <v>38.375</v>
      </c>
      <c r="EO205">
        <v>38.125</v>
      </c>
      <c r="EP205">
        <v>1454.635</v>
      </c>
      <c r="EQ205">
        <v>40.355</v>
      </c>
      <c r="ER205">
        <v>0</v>
      </c>
      <c r="ES205">
        <v>553.7999999523163</v>
      </c>
      <c r="ET205">
        <v>0</v>
      </c>
      <c r="EU205">
        <v>846.98036</v>
      </c>
      <c r="EV205">
        <v>-18.91630772367375</v>
      </c>
      <c r="EW205">
        <v>-286.4461541960051</v>
      </c>
      <c r="EX205">
        <v>12584.288</v>
      </c>
      <c r="EY205">
        <v>15</v>
      </c>
      <c r="EZ205">
        <v>1651864261.1</v>
      </c>
      <c r="FA205" t="s">
        <v>419</v>
      </c>
      <c r="FB205">
        <v>1651864241.6</v>
      </c>
      <c r="FC205">
        <v>1651864261.1</v>
      </c>
      <c r="FD205">
        <v>7</v>
      </c>
      <c r="FE205">
        <v>0.438</v>
      </c>
      <c r="FF205">
        <v>0.002</v>
      </c>
      <c r="FG205">
        <v>-0.988</v>
      </c>
      <c r="FH205">
        <v>-0.066</v>
      </c>
      <c r="FI205">
        <v>400</v>
      </c>
      <c r="FJ205">
        <v>11</v>
      </c>
      <c r="FK205">
        <v>0.05</v>
      </c>
      <c r="FL205">
        <v>0.02</v>
      </c>
      <c r="FM205">
        <v>-0.6452798725000001</v>
      </c>
      <c r="FN205">
        <v>8.635291198874304</v>
      </c>
      <c r="FO205">
        <v>0.8322234393380722</v>
      </c>
      <c r="FP205">
        <v>-1</v>
      </c>
      <c r="FQ205">
        <v>4.23136725</v>
      </c>
      <c r="FR205">
        <v>-0.327672607879943</v>
      </c>
      <c r="FS205">
        <v>0.03242365841384189</v>
      </c>
      <c r="FT205">
        <v>-1</v>
      </c>
      <c r="FU205">
        <v>0</v>
      </c>
      <c r="FV205">
        <v>0</v>
      </c>
      <c r="FW205">
        <v>0</v>
      </c>
      <c r="FX205">
        <v>-1</v>
      </c>
      <c r="FY205">
        <v>0</v>
      </c>
      <c r="FZ205">
        <v>0</v>
      </c>
      <c r="GA205" t="s">
        <v>420</v>
      </c>
      <c r="GB205">
        <v>2.98034</v>
      </c>
      <c r="GC205">
        <v>2.70619</v>
      </c>
      <c r="GD205">
        <v>0.0870586</v>
      </c>
      <c r="GE205">
        <v>0.08586390000000001</v>
      </c>
      <c r="GF205">
        <v>0.087605</v>
      </c>
      <c r="GG205">
        <v>0.0716353</v>
      </c>
      <c r="GH205">
        <v>28809.8</v>
      </c>
      <c r="GI205">
        <v>28912.1</v>
      </c>
      <c r="GJ205">
        <v>29342.7</v>
      </c>
      <c r="GK205">
        <v>29258.3</v>
      </c>
      <c r="GL205">
        <v>35449.9</v>
      </c>
      <c r="GM205">
        <v>36175.9</v>
      </c>
      <c r="GN205">
        <v>41301.3</v>
      </c>
      <c r="GO205">
        <v>41761.4</v>
      </c>
      <c r="GP205">
        <v>1.95503</v>
      </c>
      <c r="GQ205">
        <v>1.84955</v>
      </c>
      <c r="GR205">
        <v>-0.0218488</v>
      </c>
      <c r="GS205">
        <v>0</v>
      </c>
      <c r="GT205">
        <v>25.3434</v>
      </c>
      <c r="GU205">
        <v>999.9</v>
      </c>
      <c r="GV205">
        <v>31.6</v>
      </c>
      <c r="GW205">
        <v>34.3</v>
      </c>
      <c r="GX205">
        <v>19.0917</v>
      </c>
      <c r="GY205">
        <v>62.5175</v>
      </c>
      <c r="GZ205">
        <v>34.7756</v>
      </c>
      <c r="HA205">
        <v>1</v>
      </c>
      <c r="HB205">
        <v>0.041781</v>
      </c>
      <c r="HC205">
        <v>2.25134</v>
      </c>
      <c r="HD205">
        <v>20.3199</v>
      </c>
      <c r="HE205">
        <v>5.21714</v>
      </c>
      <c r="HF205">
        <v>12.0099</v>
      </c>
      <c r="HG205">
        <v>4.9891</v>
      </c>
      <c r="HH205">
        <v>3.28865</v>
      </c>
      <c r="HI205">
        <v>999.4</v>
      </c>
      <c r="HJ205">
        <v>9553.4</v>
      </c>
      <c r="HK205">
        <v>5139.4</v>
      </c>
      <c r="HL205">
        <v>24.9</v>
      </c>
      <c r="HM205">
        <v>1.86752</v>
      </c>
      <c r="HN205">
        <v>1.86646</v>
      </c>
      <c r="HO205">
        <v>1.866</v>
      </c>
      <c r="HP205">
        <v>1.86589</v>
      </c>
      <c r="HQ205">
        <v>1.8677</v>
      </c>
      <c r="HR205">
        <v>1.87022</v>
      </c>
      <c r="HS205">
        <v>1.8689</v>
      </c>
      <c r="HT205">
        <v>1.87027</v>
      </c>
      <c r="HU205">
        <v>0</v>
      </c>
      <c r="HV205">
        <v>0</v>
      </c>
      <c r="HW205">
        <v>0</v>
      </c>
      <c r="HX205">
        <v>0</v>
      </c>
      <c r="HY205" t="s">
        <v>421</v>
      </c>
      <c r="HZ205" t="s">
        <v>422</v>
      </c>
      <c r="IA205" t="s">
        <v>423</v>
      </c>
      <c r="IB205" t="s">
        <v>423</v>
      </c>
      <c r="IC205" t="s">
        <v>423</v>
      </c>
      <c r="ID205" t="s">
        <v>423</v>
      </c>
      <c r="IE205">
        <v>0</v>
      </c>
      <c r="IF205">
        <v>100</v>
      </c>
      <c r="IG205">
        <v>100</v>
      </c>
      <c r="IH205">
        <v>-0.956</v>
      </c>
      <c r="II205">
        <v>0.0202</v>
      </c>
      <c r="IJ205">
        <v>-0.2164499368582429</v>
      </c>
      <c r="IK205">
        <v>-0.002077099775823331</v>
      </c>
      <c r="IL205">
        <v>4.593143279902166E-07</v>
      </c>
      <c r="IM205">
        <v>-1.865383991892071E-10</v>
      </c>
      <c r="IN205">
        <v>-0.06087574426827484</v>
      </c>
      <c r="IO205">
        <v>-0.01129461987421345</v>
      </c>
      <c r="IP205">
        <v>0.00116580895745559</v>
      </c>
      <c r="IQ205">
        <v>-1.679085872906199E-05</v>
      </c>
      <c r="IR205">
        <v>2</v>
      </c>
      <c r="IS205">
        <v>2290</v>
      </c>
      <c r="IT205">
        <v>0</v>
      </c>
      <c r="IU205">
        <v>32</v>
      </c>
      <c r="IV205">
        <v>8.9</v>
      </c>
      <c r="IW205">
        <v>8.6</v>
      </c>
      <c r="IX205">
        <v>0.936279</v>
      </c>
      <c r="IY205">
        <v>2.23633</v>
      </c>
      <c r="IZ205">
        <v>1.39648</v>
      </c>
      <c r="JA205">
        <v>2.35596</v>
      </c>
      <c r="JB205">
        <v>1.49536</v>
      </c>
      <c r="JC205">
        <v>2.33398</v>
      </c>
      <c r="JD205">
        <v>38.5014</v>
      </c>
      <c r="JE205">
        <v>24.035</v>
      </c>
      <c r="JF205">
        <v>18</v>
      </c>
      <c r="JG205">
        <v>510.922</v>
      </c>
      <c r="JH205">
        <v>428.664</v>
      </c>
      <c r="JI205">
        <v>22.1872</v>
      </c>
      <c r="JJ205">
        <v>28.6879</v>
      </c>
      <c r="JK205">
        <v>29.9999</v>
      </c>
      <c r="JL205">
        <v>28.652</v>
      </c>
      <c r="JM205">
        <v>28.5896</v>
      </c>
      <c r="JN205">
        <v>18.7029</v>
      </c>
      <c r="JO205">
        <v>26.5129</v>
      </c>
      <c r="JP205">
        <v>0</v>
      </c>
      <c r="JQ205">
        <v>22.1853</v>
      </c>
      <c r="JR205">
        <v>359.795</v>
      </c>
      <c r="JS205">
        <v>14.1396</v>
      </c>
      <c r="JT205">
        <v>100.299</v>
      </c>
      <c r="JU205">
        <v>100.23</v>
      </c>
    </row>
    <row r="206" spans="1:281">
      <c r="A206">
        <v>190</v>
      </c>
      <c r="B206">
        <v>1651864777.1</v>
      </c>
      <c r="C206">
        <v>556.5</v>
      </c>
      <c r="D206" t="s">
        <v>800</v>
      </c>
      <c r="E206" t="s">
        <v>801</v>
      </c>
      <c r="F206">
        <v>2</v>
      </c>
      <c r="G206" t="s">
        <v>413</v>
      </c>
      <c r="H206" t="s">
        <v>414</v>
      </c>
      <c r="I206">
        <v>1651864776.1</v>
      </c>
      <c r="J206">
        <f>(K206)/1000</f>
        <v>0</v>
      </c>
      <c r="K206">
        <f>IF(CZ206, AN206, AH206)</f>
        <v>0</v>
      </c>
      <c r="L206">
        <f>IF(CZ206, AI206, AG206)</f>
        <v>0</v>
      </c>
      <c r="M206">
        <f>DB206 - IF(AU206&gt;1, L206*CV206*100.0/(AW206*DP206), 0)</f>
        <v>0</v>
      </c>
      <c r="N206">
        <f>((T206-J206/2)*M206-L206)/(T206+J206/2)</f>
        <v>0</v>
      </c>
      <c r="O206">
        <f>N206*(DI206+DJ206)/1000.0</f>
        <v>0</v>
      </c>
      <c r="P206">
        <f>(DB206 - IF(AU206&gt;1, L206*CV206*100.0/(AW206*DP206), 0))*(DI206+DJ206)/1000.0</f>
        <v>0</v>
      </c>
      <c r="Q206">
        <f>2.0/((1/S206-1/R206)+SIGN(S206)*SQRT((1/S206-1/R206)*(1/S206-1/R206) + 4*CW206/((CW206+1)*(CW206+1))*(2*1/S206*1/R206-1/R206*1/R206)))</f>
        <v>0</v>
      </c>
      <c r="R206">
        <f>IF(LEFT(CX206,1)&lt;&gt;"0",IF(LEFT(CX206,1)="1",3.0,CY206),$D$5+$E$5*(DP206*DI206/($K$5*1000))+$F$5*(DP206*DI206/($K$5*1000))*MAX(MIN(CV206,$J$5),$I$5)*MAX(MIN(CV206,$J$5),$I$5)+$G$5*MAX(MIN(CV206,$J$5),$I$5)*(DP206*DI206/($K$5*1000))+$H$5*(DP206*DI206/($K$5*1000))*(DP206*DI206/($K$5*1000)))</f>
        <v>0</v>
      </c>
      <c r="S206">
        <f>J206*(1000-(1000*0.61365*exp(17.502*W206/(240.97+W206))/(DI206+DJ206)+DD206)/2)/(1000*0.61365*exp(17.502*W206/(240.97+W206))/(DI206+DJ206)-DD206)</f>
        <v>0</v>
      </c>
      <c r="T206">
        <f>1/((CW206+1)/(Q206/1.6)+1/(R206/1.37)) + CW206/((CW206+1)/(Q206/1.6) + CW206/(R206/1.37))</f>
        <v>0</v>
      </c>
      <c r="U206">
        <f>(CR206*CU206)</f>
        <v>0</v>
      </c>
      <c r="V206">
        <f>(DK206+(U206+2*0.95*5.67E-8*(((DK206+$B$7)+273)^4-(DK206+273)^4)-44100*J206)/(1.84*29.3*R206+8*0.95*5.67E-8*(DK206+273)^3))</f>
        <v>0</v>
      </c>
      <c r="W206">
        <f>($C$7*DL206+$D$7*DM206+$E$7*V206)</f>
        <v>0</v>
      </c>
      <c r="X206">
        <f>0.61365*exp(17.502*W206/(240.97+W206))</f>
        <v>0</v>
      </c>
      <c r="Y206">
        <f>(Z206/AA206*100)</f>
        <v>0</v>
      </c>
      <c r="Z206">
        <f>DD206*(DI206+DJ206)/1000</f>
        <v>0</v>
      </c>
      <c r="AA206">
        <f>0.61365*exp(17.502*DK206/(240.97+DK206))</f>
        <v>0</v>
      </c>
      <c r="AB206">
        <f>(X206-DD206*(DI206+DJ206)/1000)</f>
        <v>0</v>
      </c>
      <c r="AC206">
        <f>(-J206*44100)</f>
        <v>0</v>
      </c>
      <c r="AD206">
        <f>2*29.3*R206*0.92*(DK206-W206)</f>
        <v>0</v>
      </c>
      <c r="AE206">
        <f>2*0.95*5.67E-8*(((DK206+$B$7)+273)^4-(W206+273)^4)</f>
        <v>0</v>
      </c>
      <c r="AF206">
        <f>U206+AE206+AC206+AD206</f>
        <v>0</v>
      </c>
      <c r="AG206">
        <f>DH206*AU206*(DC206-DB206*(1000-AU206*DE206)/(1000-AU206*DD206))/(100*CV206)</f>
        <v>0</v>
      </c>
      <c r="AH206">
        <f>1000*DH206*AU206*(DD206-DE206)/(100*CV206*(1000-AU206*DD206))</f>
        <v>0</v>
      </c>
      <c r="AI206">
        <f>(AJ206 - AK206 - DI206*1E3/(8.314*(DK206+273.15)) * AM206/DH206 * AL206) * DH206/(100*CV206) * (1000 - DE206)/1000</f>
        <v>0</v>
      </c>
      <c r="AJ206">
        <v>389.4966615106624</v>
      </c>
      <c r="AK206">
        <v>384.7169333333331</v>
      </c>
      <c r="AL206">
        <v>-3.22480118195856</v>
      </c>
      <c r="AM206">
        <v>66.38192812717227</v>
      </c>
      <c r="AN206">
        <f>(AP206 - AO206 + DI206*1E3/(8.314*(DK206+273.15)) * AR206/DH206 * AQ206) * DH206/(100*CV206) * 1000/(1000 - AP206)</f>
        <v>0</v>
      </c>
      <c r="AO206">
        <v>14.1356191918657</v>
      </c>
      <c r="AP206">
        <v>18.34209911764705</v>
      </c>
      <c r="AQ206">
        <v>0.00740214133013815</v>
      </c>
      <c r="AR206">
        <v>80.47224507511959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MAX(0,($B$13+$C$13*DP206)/(1+$D$13*DP206)*DI206/(DK206+273)*$E$13)</f>
        <v>0</v>
      </c>
      <c r="AX206" t="s">
        <v>417</v>
      </c>
      <c r="AY206" t="s">
        <v>417</v>
      </c>
      <c r="AZ206">
        <v>0</v>
      </c>
      <c r="BA206">
        <v>0</v>
      </c>
      <c r="BB206">
        <f>1-AZ206/BA206</f>
        <v>0</v>
      </c>
      <c r="BC206">
        <v>0</v>
      </c>
      <c r="BD206" t="s">
        <v>417</v>
      </c>
      <c r="BE206" t="s">
        <v>417</v>
      </c>
      <c r="BF206">
        <v>0</v>
      </c>
      <c r="BG206">
        <v>0</v>
      </c>
      <c r="BH206">
        <f>1-BF206/BG206</f>
        <v>0</v>
      </c>
      <c r="BI206">
        <v>0.5</v>
      </c>
      <c r="BJ206">
        <f>CS206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417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1248</v>
      </c>
      <c r="CA206">
        <v>300</v>
      </c>
      <c r="CB206">
        <v>300</v>
      </c>
      <c r="CC206">
        <v>300</v>
      </c>
      <c r="CD206">
        <v>10442</v>
      </c>
      <c r="CE206">
        <v>1293.69</v>
      </c>
      <c r="CF206">
        <v>-0.00735246</v>
      </c>
      <c r="CG206">
        <v>0.5</v>
      </c>
      <c r="CH206" t="s">
        <v>417</v>
      </c>
      <c r="CI206" t="s">
        <v>417</v>
      </c>
      <c r="CJ206" t="s">
        <v>417</v>
      </c>
      <c r="CK206" t="s">
        <v>417</v>
      </c>
      <c r="CL206" t="s">
        <v>417</v>
      </c>
      <c r="CM206" t="s">
        <v>417</v>
      </c>
      <c r="CN206" t="s">
        <v>417</v>
      </c>
      <c r="CO206" t="s">
        <v>417</v>
      </c>
      <c r="CP206" t="s">
        <v>417</v>
      </c>
      <c r="CQ206" t="s">
        <v>417</v>
      </c>
      <c r="CR206">
        <f>$B$11*DQ206+$C$11*DR206+$F$11*EC206*(1-EF206)</f>
        <v>0</v>
      </c>
      <c r="CS206">
        <f>CR206*CT206</f>
        <v>0</v>
      </c>
      <c r="CT206">
        <f>($B$11*$D$9+$C$11*$D$9+$F$11*((EP206+EH206)/MAX(EP206+EH206+EQ206, 0.1)*$I$9+EQ206/MAX(EP206+EH206+EQ206, 0.1)*$J$9))/($B$11+$C$11+$F$11)</f>
        <v>0</v>
      </c>
      <c r="CU206">
        <f>($B$11*$K$9+$C$11*$K$9+$F$11*((EP206+EH206)/MAX(EP206+EH206+EQ206, 0.1)*$P$9+EQ206/MAX(EP206+EH206+EQ206, 0.1)*$Q$9))/($B$11+$C$11+$F$11)</f>
        <v>0</v>
      </c>
      <c r="CV206">
        <v>6</v>
      </c>
      <c r="CW206">
        <v>0.5</v>
      </c>
      <c r="CX206" t="s">
        <v>418</v>
      </c>
      <c r="CY206">
        <v>2</v>
      </c>
      <c r="CZ206" t="b">
        <v>1</v>
      </c>
      <c r="DA206">
        <v>1651864776.1</v>
      </c>
      <c r="DB206">
        <v>379.2443333333333</v>
      </c>
      <c r="DC206">
        <v>378.079</v>
      </c>
      <c r="DD206">
        <v>18.33983333333333</v>
      </c>
      <c r="DE206">
        <v>14.13946666666667</v>
      </c>
      <c r="DF206">
        <v>380.1943333333333</v>
      </c>
      <c r="DG206">
        <v>18.31963333333333</v>
      </c>
      <c r="DH206">
        <v>500.0366666666666</v>
      </c>
      <c r="DI206">
        <v>89.93330000000002</v>
      </c>
      <c r="DJ206">
        <v>0.1002003333333333</v>
      </c>
      <c r="DK206">
        <v>25.63483333333333</v>
      </c>
      <c r="DL206">
        <v>24.9877</v>
      </c>
      <c r="DM206">
        <v>999.9</v>
      </c>
      <c r="DN206">
        <v>0</v>
      </c>
      <c r="DO206">
        <v>0</v>
      </c>
      <c r="DP206">
        <v>9987.5</v>
      </c>
      <c r="DQ206">
        <v>0</v>
      </c>
      <c r="DR206">
        <v>3.23193</v>
      </c>
      <c r="DS206">
        <v>1.16559</v>
      </c>
      <c r="DT206">
        <v>386.3296666666667</v>
      </c>
      <c r="DU206">
        <v>383.5013333333333</v>
      </c>
      <c r="DV206">
        <v>4.20039</v>
      </c>
      <c r="DW206">
        <v>378.079</v>
      </c>
      <c r="DX206">
        <v>14.13946666666667</v>
      </c>
      <c r="DY206">
        <v>1.649363333333334</v>
      </c>
      <c r="DZ206">
        <v>1.271606666666667</v>
      </c>
      <c r="EA206">
        <v>14.42786666666667</v>
      </c>
      <c r="EB206">
        <v>10.46736666666667</v>
      </c>
      <c r="EC206">
        <v>1499.96</v>
      </c>
      <c r="ED206">
        <v>0.9730016666666668</v>
      </c>
      <c r="EE206">
        <v>0.02699823333333333</v>
      </c>
      <c r="EF206">
        <v>0</v>
      </c>
      <c r="EG206">
        <v>844.3496666666666</v>
      </c>
      <c r="EH206">
        <v>5.00097</v>
      </c>
      <c r="EI206">
        <v>12542.96666666667</v>
      </c>
      <c r="EJ206">
        <v>12491.23333333333</v>
      </c>
      <c r="EK206">
        <v>37.25</v>
      </c>
      <c r="EL206">
        <v>38.687</v>
      </c>
      <c r="EM206">
        <v>37.625</v>
      </c>
      <c r="EN206">
        <v>38.39566666666666</v>
      </c>
      <c r="EO206">
        <v>38.125</v>
      </c>
      <c r="EP206">
        <v>1454.6</v>
      </c>
      <c r="EQ206">
        <v>40.36000000000001</v>
      </c>
      <c r="ER206">
        <v>0</v>
      </c>
      <c r="ES206">
        <v>556.2000000476837</v>
      </c>
      <c r="ET206">
        <v>0</v>
      </c>
      <c r="EU206">
        <v>846.2126000000001</v>
      </c>
      <c r="EV206">
        <v>-18.2803076685095</v>
      </c>
      <c r="EW206">
        <v>-292.1615380019954</v>
      </c>
      <c r="EX206">
        <v>12572.644</v>
      </c>
      <c r="EY206">
        <v>15</v>
      </c>
      <c r="EZ206">
        <v>1651864261.1</v>
      </c>
      <c r="FA206" t="s">
        <v>419</v>
      </c>
      <c r="FB206">
        <v>1651864241.6</v>
      </c>
      <c r="FC206">
        <v>1651864261.1</v>
      </c>
      <c r="FD206">
        <v>7</v>
      </c>
      <c r="FE206">
        <v>0.438</v>
      </c>
      <c r="FF206">
        <v>0.002</v>
      </c>
      <c r="FG206">
        <v>-0.988</v>
      </c>
      <c r="FH206">
        <v>-0.066</v>
      </c>
      <c r="FI206">
        <v>400</v>
      </c>
      <c r="FJ206">
        <v>11</v>
      </c>
      <c r="FK206">
        <v>0.05</v>
      </c>
      <c r="FL206">
        <v>0.02</v>
      </c>
      <c r="FM206">
        <v>-0.3175487780487805</v>
      </c>
      <c r="FN206">
        <v>9.010432971428569</v>
      </c>
      <c r="FO206">
        <v>0.8893802557536019</v>
      </c>
      <c r="FP206">
        <v>-1</v>
      </c>
      <c r="FQ206">
        <v>4.223203414634146</v>
      </c>
      <c r="FR206">
        <v>-0.284882717770038</v>
      </c>
      <c r="FS206">
        <v>0.03019237834771373</v>
      </c>
      <c r="FT206">
        <v>-1</v>
      </c>
      <c r="FU206">
        <v>0</v>
      </c>
      <c r="FV206">
        <v>0</v>
      </c>
      <c r="FW206">
        <v>0</v>
      </c>
      <c r="FX206">
        <v>-1</v>
      </c>
      <c r="FY206">
        <v>0</v>
      </c>
      <c r="FZ206">
        <v>0</v>
      </c>
      <c r="GA206" t="s">
        <v>420</v>
      </c>
      <c r="GB206">
        <v>2.98046</v>
      </c>
      <c r="GC206">
        <v>2.70619</v>
      </c>
      <c r="GD206">
        <v>0.08593199999999999</v>
      </c>
      <c r="GE206">
        <v>0.0846932</v>
      </c>
      <c r="GF206">
        <v>0.08763219999999999</v>
      </c>
      <c r="GG206">
        <v>0.0716396</v>
      </c>
      <c r="GH206">
        <v>28845.5</v>
      </c>
      <c r="GI206">
        <v>28949.1</v>
      </c>
      <c r="GJ206">
        <v>29342.9</v>
      </c>
      <c r="GK206">
        <v>29258.3</v>
      </c>
      <c r="GL206">
        <v>35449.1</v>
      </c>
      <c r="GM206">
        <v>36175.7</v>
      </c>
      <c r="GN206">
        <v>41301.6</v>
      </c>
      <c r="GO206">
        <v>41761.4</v>
      </c>
      <c r="GP206">
        <v>1.9554</v>
      </c>
      <c r="GQ206">
        <v>1.84958</v>
      </c>
      <c r="GR206">
        <v>-0.021372</v>
      </c>
      <c r="GS206">
        <v>0</v>
      </c>
      <c r="GT206">
        <v>25.3423</v>
      </c>
      <c r="GU206">
        <v>999.9</v>
      </c>
      <c r="GV206">
        <v>31.6</v>
      </c>
      <c r="GW206">
        <v>34.3</v>
      </c>
      <c r="GX206">
        <v>19.0901</v>
      </c>
      <c r="GY206">
        <v>62.2875</v>
      </c>
      <c r="GZ206">
        <v>35.2484</v>
      </c>
      <c r="HA206">
        <v>1</v>
      </c>
      <c r="HB206">
        <v>0.0416133</v>
      </c>
      <c r="HC206">
        <v>2.28691</v>
      </c>
      <c r="HD206">
        <v>20.3196</v>
      </c>
      <c r="HE206">
        <v>5.21699</v>
      </c>
      <c r="HF206">
        <v>12.0099</v>
      </c>
      <c r="HG206">
        <v>4.9893</v>
      </c>
      <c r="HH206">
        <v>3.28865</v>
      </c>
      <c r="HI206">
        <v>999.4</v>
      </c>
      <c r="HJ206">
        <v>9553.4</v>
      </c>
      <c r="HK206">
        <v>5139.4</v>
      </c>
      <c r="HL206">
        <v>24.9</v>
      </c>
      <c r="HM206">
        <v>1.86752</v>
      </c>
      <c r="HN206">
        <v>1.86647</v>
      </c>
      <c r="HO206">
        <v>1.866</v>
      </c>
      <c r="HP206">
        <v>1.86589</v>
      </c>
      <c r="HQ206">
        <v>1.8677</v>
      </c>
      <c r="HR206">
        <v>1.87021</v>
      </c>
      <c r="HS206">
        <v>1.8689</v>
      </c>
      <c r="HT206">
        <v>1.87026</v>
      </c>
      <c r="HU206">
        <v>0</v>
      </c>
      <c r="HV206">
        <v>0</v>
      </c>
      <c r="HW206">
        <v>0</v>
      </c>
      <c r="HX206">
        <v>0</v>
      </c>
      <c r="HY206" t="s">
        <v>421</v>
      </c>
      <c r="HZ206" t="s">
        <v>422</v>
      </c>
      <c r="IA206" t="s">
        <v>423</v>
      </c>
      <c r="IB206" t="s">
        <v>423</v>
      </c>
      <c r="IC206" t="s">
        <v>423</v>
      </c>
      <c r="ID206" t="s">
        <v>423</v>
      </c>
      <c r="IE206">
        <v>0</v>
      </c>
      <c r="IF206">
        <v>100</v>
      </c>
      <c r="IG206">
        <v>100</v>
      </c>
      <c r="IH206">
        <v>-0.944</v>
      </c>
      <c r="II206">
        <v>0.0203</v>
      </c>
      <c r="IJ206">
        <v>-0.2164499368582429</v>
      </c>
      <c r="IK206">
        <v>-0.002077099775823331</v>
      </c>
      <c r="IL206">
        <v>4.593143279902166E-07</v>
      </c>
      <c r="IM206">
        <v>-1.865383991892071E-10</v>
      </c>
      <c r="IN206">
        <v>-0.06087574426827484</v>
      </c>
      <c r="IO206">
        <v>-0.01129461987421345</v>
      </c>
      <c r="IP206">
        <v>0.00116580895745559</v>
      </c>
      <c r="IQ206">
        <v>-1.679085872906199E-05</v>
      </c>
      <c r="IR206">
        <v>2</v>
      </c>
      <c r="IS206">
        <v>2290</v>
      </c>
      <c r="IT206">
        <v>0</v>
      </c>
      <c r="IU206">
        <v>32</v>
      </c>
      <c r="IV206">
        <v>8.9</v>
      </c>
      <c r="IW206">
        <v>8.6</v>
      </c>
      <c r="IX206">
        <v>0.922852</v>
      </c>
      <c r="IY206">
        <v>2.23511</v>
      </c>
      <c r="IZ206">
        <v>1.39648</v>
      </c>
      <c r="JA206">
        <v>2.35596</v>
      </c>
      <c r="JB206">
        <v>1.49536</v>
      </c>
      <c r="JC206">
        <v>2.32178</v>
      </c>
      <c r="JD206">
        <v>38.5014</v>
      </c>
      <c r="JE206">
        <v>24.035</v>
      </c>
      <c r="JF206">
        <v>18</v>
      </c>
      <c r="JG206">
        <v>511.167</v>
      </c>
      <c r="JH206">
        <v>428.679</v>
      </c>
      <c r="JI206">
        <v>22.1944</v>
      </c>
      <c r="JJ206">
        <v>28.6879</v>
      </c>
      <c r="JK206">
        <v>30</v>
      </c>
      <c r="JL206">
        <v>28.652</v>
      </c>
      <c r="JM206">
        <v>28.5896</v>
      </c>
      <c r="JN206">
        <v>18.4348</v>
      </c>
      <c r="JO206">
        <v>26.5129</v>
      </c>
      <c r="JP206">
        <v>0</v>
      </c>
      <c r="JQ206">
        <v>22.1853</v>
      </c>
      <c r="JR206">
        <v>353.116</v>
      </c>
      <c r="JS206">
        <v>14.1384</v>
      </c>
      <c r="JT206">
        <v>100.3</v>
      </c>
      <c r="JU206">
        <v>100.23</v>
      </c>
    </row>
    <row r="207" spans="1:281">
      <c r="A207">
        <v>191</v>
      </c>
      <c r="B207">
        <v>1651864779.1</v>
      </c>
      <c r="C207">
        <v>558.5</v>
      </c>
      <c r="D207" t="s">
        <v>802</v>
      </c>
      <c r="E207" t="s">
        <v>803</v>
      </c>
      <c r="F207">
        <v>2</v>
      </c>
      <c r="G207" t="s">
        <v>413</v>
      </c>
      <c r="H207" t="s">
        <v>414</v>
      </c>
      <c r="I207">
        <v>1651864777.725</v>
      </c>
      <c r="J207">
        <f>(K207)/1000</f>
        <v>0</v>
      </c>
      <c r="K207">
        <f>IF(CZ207, AN207, AH207)</f>
        <v>0</v>
      </c>
      <c r="L207">
        <f>IF(CZ207, AI207, AG207)</f>
        <v>0</v>
      </c>
      <c r="M207">
        <f>DB207 - IF(AU207&gt;1, L207*CV207*100.0/(AW207*DP207), 0)</f>
        <v>0</v>
      </c>
      <c r="N207">
        <f>((T207-J207/2)*M207-L207)/(T207+J207/2)</f>
        <v>0</v>
      </c>
      <c r="O207">
        <f>N207*(DI207+DJ207)/1000.0</f>
        <v>0</v>
      </c>
      <c r="P207">
        <f>(DB207 - IF(AU207&gt;1, L207*CV207*100.0/(AW207*DP207), 0))*(DI207+DJ207)/1000.0</f>
        <v>0</v>
      </c>
      <c r="Q207">
        <f>2.0/((1/S207-1/R207)+SIGN(S207)*SQRT((1/S207-1/R207)*(1/S207-1/R207) + 4*CW207/((CW207+1)*(CW207+1))*(2*1/S207*1/R207-1/R207*1/R207)))</f>
        <v>0</v>
      </c>
      <c r="R207">
        <f>IF(LEFT(CX207,1)&lt;&gt;"0",IF(LEFT(CX207,1)="1",3.0,CY207),$D$5+$E$5*(DP207*DI207/($K$5*1000))+$F$5*(DP207*DI207/($K$5*1000))*MAX(MIN(CV207,$J$5),$I$5)*MAX(MIN(CV207,$J$5),$I$5)+$G$5*MAX(MIN(CV207,$J$5),$I$5)*(DP207*DI207/($K$5*1000))+$H$5*(DP207*DI207/($K$5*1000))*(DP207*DI207/($K$5*1000)))</f>
        <v>0</v>
      </c>
      <c r="S207">
        <f>J207*(1000-(1000*0.61365*exp(17.502*W207/(240.97+W207))/(DI207+DJ207)+DD207)/2)/(1000*0.61365*exp(17.502*W207/(240.97+W207))/(DI207+DJ207)-DD207)</f>
        <v>0</v>
      </c>
      <c r="T207">
        <f>1/((CW207+1)/(Q207/1.6)+1/(R207/1.37)) + CW207/((CW207+1)/(Q207/1.6) + CW207/(R207/1.37))</f>
        <v>0</v>
      </c>
      <c r="U207">
        <f>(CR207*CU207)</f>
        <v>0</v>
      </c>
      <c r="V207">
        <f>(DK207+(U207+2*0.95*5.67E-8*(((DK207+$B$7)+273)^4-(DK207+273)^4)-44100*J207)/(1.84*29.3*R207+8*0.95*5.67E-8*(DK207+273)^3))</f>
        <v>0</v>
      </c>
      <c r="W207">
        <f>($C$7*DL207+$D$7*DM207+$E$7*V207)</f>
        <v>0</v>
      </c>
      <c r="X207">
        <f>0.61365*exp(17.502*W207/(240.97+W207))</f>
        <v>0</v>
      </c>
      <c r="Y207">
        <f>(Z207/AA207*100)</f>
        <v>0</v>
      </c>
      <c r="Z207">
        <f>DD207*(DI207+DJ207)/1000</f>
        <v>0</v>
      </c>
      <c r="AA207">
        <f>0.61365*exp(17.502*DK207/(240.97+DK207))</f>
        <v>0</v>
      </c>
      <c r="AB207">
        <f>(X207-DD207*(DI207+DJ207)/1000)</f>
        <v>0</v>
      </c>
      <c r="AC207">
        <f>(-J207*44100)</f>
        <v>0</v>
      </c>
      <c r="AD207">
        <f>2*29.3*R207*0.92*(DK207-W207)</f>
        <v>0</v>
      </c>
      <c r="AE207">
        <f>2*0.95*5.67E-8*(((DK207+$B$7)+273)^4-(W207+273)^4)</f>
        <v>0</v>
      </c>
      <c r="AF207">
        <f>U207+AE207+AC207+AD207</f>
        <v>0</v>
      </c>
      <c r="AG207">
        <f>DH207*AU207*(DC207-DB207*(1000-AU207*DE207)/(1000-AU207*DD207))/(100*CV207)</f>
        <v>0</v>
      </c>
      <c r="AH207">
        <f>1000*DH207*AU207*(DD207-DE207)/(100*CV207*(1000-AU207*DD207))</f>
        <v>0</v>
      </c>
      <c r="AI207">
        <f>(AJ207 - AK207 - DI207*1E3/(8.314*(DK207+273.15)) * AM207/DH207 * AL207) * DH207/(100*CV207) * (1000 - DE207)/1000</f>
        <v>0</v>
      </c>
      <c r="AJ207">
        <v>382.7252494227255</v>
      </c>
      <c r="AK207">
        <v>378.2792787878786</v>
      </c>
      <c r="AL207">
        <v>-3.222101768381218</v>
      </c>
      <c r="AM207">
        <v>66.38192812717227</v>
      </c>
      <c r="AN207">
        <f>(AP207 - AO207 + DI207*1E3/(8.314*(DK207+273.15)) * AR207/DH207 * AQ207) * DH207/(100*CV207) * 1000/(1000 - AP207)</f>
        <v>0</v>
      </c>
      <c r="AO207">
        <v>14.13828840244464</v>
      </c>
      <c r="AP207">
        <v>18.34750676470588</v>
      </c>
      <c r="AQ207">
        <v>0.006788649443463079</v>
      </c>
      <c r="AR207">
        <v>80.47224507511959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MAX(0,($B$13+$C$13*DP207)/(1+$D$13*DP207)*DI207/(DK207+273)*$E$13)</f>
        <v>0</v>
      </c>
      <c r="AX207" t="s">
        <v>417</v>
      </c>
      <c r="AY207" t="s">
        <v>417</v>
      </c>
      <c r="AZ207">
        <v>0</v>
      </c>
      <c r="BA207">
        <v>0</v>
      </c>
      <c r="BB207">
        <f>1-AZ207/BA207</f>
        <v>0</v>
      </c>
      <c r="BC207">
        <v>0</v>
      </c>
      <c r="BD207" t="s">
        <v>417</v>
      </c>
      <c r="BE207" t="s">
        <v>417</v>
      </c>
      <c r="BF207">
        <v>0</v>
      </c>
      <c r="BG207">
        <v>0</v>
      </c>
      <c r="BH207">
        <f>1-BF207/BG207</f>
        <v>0</v>
      </c>
      <c r="BI207">
        <v>0.5</v>
      </c>
      <c r="BJ207">
        <f>CS207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417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1248</v>
      </c>
      <c r="CA207">
        <v>300</v>
      </c>
      <c r="CB207">
        <v>300</v>
      </c>
      <c r="CC207">
        <v>300</v>
      </c>
      <c r="CD207">
        <v>10442</v>
      </c>
      <c r="CE207">
        <v>1293.69</v>
      </c>
      <c r="CF207">
        <v>-0.00735246</v>
      </c>
      <c r="CG207">
        <v>0.5</v>
      </c>
      <c r="CH207" t="s">
        <v>417</v>
      </c>
      <c r="CI207" t="s">
        <v>417</v>
      </c>
      <c r="CJ207" t="s">
        <v>417</v>
      </c>
      <c r="CK207" t="s">
        <v>417</v>
      </c>
      <c r="CL207" t="s">
        <v>417</v>
      </c>
      <c r="CM207" t="s">
        <v>417</v>
      </c>
      <c r="CN207" t="s">
        <v>417</v>
      </c>
      <c r="CO207" t="s">
        <v>417</v>
      </c>
      <c r="CP207" t="s">
        <v>417</v>
      </c>
      <c r="CQ207" t="s">
        <v>417</v>
      </c>
      <c r="CR207">
        <f>$B$11*DQ207+$C$11*DR207+$F$11*EC207*(1-EF207)</f>
        <v>0</v>
      </c>
      <c r="CS207">
        <f>CR207*CT207</f>
        <v>0</v>
      </c>
      <c r="CT207">
        <f>($B$11*$D$9+$C$11*$D$9+$F$11*((EP207+EH207)/MAX(EP207+EH207+EQ207, 0.1)*$I$9+EQ207/MAX(EP207+EH207+EQ207, 0.1)*$J$9))/($B$11+$C$11+$F$11)</f>
        <v>0</v>
      </c>
      <c r="CU207">
        <f>($B$11*$K$9+$C$11*$K$9+$F$11*((EP207+EH207)/MAX(EP207+EH207+EQ207, 0.1)*$P$9+EQ207/MAX(EP207+EH207+EQ207, 0.1)*$Q$9))/($B$11+$C$11+$F$11)</f>
        <v>0</v>
      </c>
      <c r="CV207">
        <v>6</v>
      </c>
      <c r="CW207">
        <v>0.5</v>
      </c>
      <c r="CX207" t="s">
        <v>418</v>
      </c>
      <c r="CY207">
        <v>2</v>
      </c>
      <c r="CZ207" t="b">
        <v>1</v>
      </c>
      <c r="DA207">
        <v>1651864777.725</v>
      </c>
      <c r="DB207">
        <v>374.10575</v>
      </c>
      <c r="DC207">
        <v>372.68825</v>
      </c>
      <c r="DD207">
        <v>18.34525</v>
      </c>
      <c r="DE207">
        <v>14.14055</v>
      </c>
      <c r="DF207">
        <v>375.0465</v>
      </c>
      <c r="DG207">
        <v>18.324975</v>
      </c>
      <c r="DH207">
        <v>500.0285</v>
      </c>
      <c r="DI207">
        <v>89.932625</v>
      </c>
      <c r="DJ207">
        <v>0.1000566</v>
      </c>
      <c r="DK207">
        <v>25.63565</v>
      </c>
      <c r="DL207">
        <v>24.99565</v>
      </c>
      <c r="DM207">
        <v>999.9</v>
      </c>
      <c r="DN207">
        <v>0</v>
      </c>
      <c r="DO207">
        <v>0</v>
      </c>
      <c r="DP207">
        <v>9998.4375</v>
      </c>
      <c r="DQ207">
        <v>0</v>
      </c>
      <c r="DR207">
        <v>3.23193</v>
      </c>
      <c r="DS207">
        <v>1.417665</v>
      </c>
      <c r="DT207">
        <v>381.09725</v>
      </c>
      <c r="DU207">
        <v>378.0335</v>
      </c>
      <c r="DV207">
        <v>4.204714999999999</v>
      </c>
      <c r="DW207">
        <v>372.68825</v>
      </c>
      <c r="DX207">
        <v>14.14055</v>
      </c>
      <c r="DY207">
        <v>1.6498375</v>
      </c>
      <c r="DZ207">
        <v>1.2716975</v>
      </c>
      <c r="EA207">
        <v>14.432375</v>
      </c>
      <c r="EB207">
        <v>10.468475</v>
      </c>
      <c r="EC207">
        <v>1499.8475</v>
      </c>
      <c r="ED207">
        <v>0.9730067499999999</v>
      </c>
      <c r="EE207">
        <v>0.026993225</v>
      </c>
      <c r="EF207">
        <v>0</v>
      </c>
      <c r="EG207">
        <v>843.4705000000001</v>
      </c>
      <c r="EH207">
        <v>5.00097</v>
      </c>
      <c r="EI207">
        <v>12534.175</v>
      </c>
      <c r="EJ207">
        <v>12490.325</v>
      </c>
      <c r="EK207">
        <v>37.25</v>
      </c>
      <c r="EL207">
        <v>38.687</v>
      </c>
      <c r="EM207">
        <v>37.625</v>
      </c>
      <c r="EN207">
        <v>38.3905</v>
      </c>
      <c r="EO207">
        <v>38.125</v>
      </c>
      <c r="EP207">
        <v>1454.4975</v>
      </c>
      <c r="EQ207">
        <v>40.35</v>
      </c>
      <c r="ER207">
        <v>0</v>
      </c>
      <c r="ES207">
        <v>558</v>
      </c>
      <c r="ET207">
        <v>0</v>
      </c>
      <c r="EU207">
        <v>845.718576923077</v>
      </c>
      <c r="EV207">
        <v>-18.68564104947656</v>
      </c>
      <c r="EW207">
        <v>-291.2034190494865</v>
      </c>
      <c r="EX207">
        <v>12565.42692307692</v>
      </c>
      <c r="EY207">
        <v>15</v>
      </c>
      <c r="EZ207">
        <v>1651864261.1</v>
      </c>
      <c r="FA207" t="s">
        <v>419</v>
      </c>
      <c r="FB207">
        <v>1651864241.6</v>
      </c>
      <c r="FC207">
        <v>1651864261.1</v>
      </c>
      <c r="FD207">
        <v>7</v>
      </c>
      <c r="FE207">
        <v>0.438</v>
      </c>
      <c r="FF207">
        <v>0.002</v>
      </c>
      <c r="FG207">
        <v>-0.988</v>
      </c>
      <c r="FH207">
        <v>-0.066</v>
      </c>
      <c r="FI207">
        <v>400</v>
      </c>
      <c r="FJ207">
        <v>11</v>
      </c>
      <c r="FK207">
        <v>0.05</v>
      </c>
      <c r="FL207">
        <v>0.02</v>
      </c>
      <c r="FM207">
        <v>-0.05657774749999998</v>
      </c>
      <c r="FN207">
        <v>9.224381728705447</v>
      </c>
      <c r="FO207">
        <v>0.8879827509890367</v>
      </c>
      <c r="FP207">
        <v>-1</v>
      </c>
      <c r="FQ207">
        <v>4.216962499999999</v>
      </c>
      <c r="FR207">
        <v>-0.2337001125703747</v>
      </c>
      <c r="FS207">
        <v>0.02618796686934669</v>
      </c>
      <c r="FT207">
        <v>-1</v>
      </c>
      <c r="FU207">
        <v>0</v>
      </c>
      <c r="FV207">
        <v>0</v>
      </c>
      <c r="FW207">
        <v>0</v>
      </c>
      <c r="FX207">
        <v>-1</v>
      </c>
      <c r="FY207">
        <v>0</v>
      </c>
      <c r="FZ207">
        <v>0</v>
      </c>
      <c r="GA207" t="s">
        <v>420</v>
      </c>
      <c r="GB207">
        <v>2.98046</v>
      </c>
      <c r="GC207">
        <v>2.70611</v>
      </c>
      <c r="GD207">
        <v>0.0848057</v>
      </c>
      <c r="GE207">
        <v>0.083527</v>
      </c>
      <c r="GF207">
        <v>0.087649</v>
      </c>
      <c r="GG207">
        <v>0.0716454</v>
      </c>
      <c r="GH207">
        <v>28880.9</v>
      </c>
      <c r="GI207">
        <v>28986</v>
      </c>
      <c r="GJ207">
        <v>29342.8</v>
      </c>
      <c r="GK207">
        <v>29258.4</v>
      </c>
      <c r="GL207">
        <v>35448.1</v>
      </c>
      <c r="GM207">
        <v>36175.7</v>
      </c>
      <c r="GN207">
        <v>41301.2</v>
      </c>
      <c r="GO207">
        <v>41761.7</v>
      </c>
      <c r="GP207">
        <v>1.9551</v>
      </c>
      <c r="GQ207">
        <v>1.84948</v>
      </c>
      <c r="GR207">
        <v>-0.0208579</v>
      </c>
      <c r="GS207">
        <v>0</v>
      </c>
      <c r="GT207">
        <v>25.3413</v>
      </c>
      <c r="GU207">
        <v>999.9</v>
      </c>
      <c r="GV207">
        <v>31.6</v>
      </c>
      <c r="GW207">
        <v>34.3</v>
      </c>
      <c r="GX207">
        <v>19.0899</v>
      </c>
      <c r="GY207">
        <v>62.5975</v>
      </c>
      <c r="GZ207">
        <v>34.8638</v>
      </c>
      <c r="HA207">
        <v>1</v>
      </c>
      <c r="HB207">
        <v>0.107345</v>
      </c>
      <c r="HC207">
        <v>2.26228</v>
      </c>
      <c r="HD207">
        <v>20.319</v>
      </c>
      <c r="HE207">
        <v>5.21699</v>
      </c>
      <c r="HF207">
        <v>12.0099</v>
      </c>
      <c r="HG207">
        <v>4.9892</v>
      </c>
      <c r="HH207">
        <v>3.28865</v>
      </c>
      <c r="HI207">
        <v>999.4</v>
      </c>
      <c r="HJ207">
        <v>9553.4</v>
      </c>
      <c r="HK207">
        <v>5139.4</v>
      </c>
      <c r="HL207">
        <v>24.9</v>
      </c>
      <c r="HM207">
        <v>1.86751</v>
      </c>
      <c r="HN207">
        <v>1.86647</v>
      </c>
      <c r="HO207">
        <v>1.866</v>
      </c>
      <c r="HP207">
        <v>1.86586</v>
      </c>
      <c r="HQ207">
        <v>1.86771</v>
      </c>
      <c r="HR207">
        <v>1.87021</v>
      </c>
      <c r="HS207">
        <v>1.86889</v>
      </c>
      <c r="HT207">
        <v>1.87026</v>
      </c>
      <c r="HU207">
        <v>0</v>
      </c>
      <c r="HV207">
        <v>0</v>
      </c>
      <c r="HW207">
        <v>0</v>
      </c>
      <c r="HX207">
        <v>0</v>
      </c>
      <c r="HY207" t="s">
        <v>421</v>
      </c>
      <c r="HZ207" t="s">
        <v>422</v>
      </c>
      <c r="IA207" t="s">
        <v>423</v>
      </c>
      <c r="IB207" t="s">
        <v>423</v>
      </c>
      <c r="IC207" t="s">
        <v>423</v>
      </c>
      <c r="ID207" t="s">
        <v>423</v>
      </c>
      <c r="IE207">
        <v>0</v>
      </c>
      <c r="IF207">
        <v>100</v>
      </c>
      <c r="IG207">
        <v>100</v>
      </c>
      <c r="IH207">
        <v>-0.9330000000000001</v>
      </c>
      <c r="II207">
        <v>0.0204</v>
      </c>
      <c r="IJ207">
        <v>-0.2164499368582429</v>
      </c>
      <c r="IK207">
        <v>-0.002077099775823331</v>
      </c>
      <c r="IL207">
        <v>4.593143279902166E-07</v>
      </c>
      <c r="IM207">
        <v>-1.865383991892071E-10</v>
      </c>
      <c r="IN207">
        <v>-0.06087574426827484</v>
      </c>
      <c r="IO207">
        <v>-0.01129461987421345</v>
      </c>
      <c r="IP207">
        <v>0.00116580895745559</v>
      </c>
      <c r="IQ207">
        <v>-1.679085872906199E-05</v>
      </c>
      <c r="IR207">
        <v>2</v>
      </c>
      <c r="IS207">
        <v>2290</v>
      </c>
      <c r="IT207">
        <v>0</v>
      </c>
      <c r="IU207">
        <v>32</v>
      </c>
      <c r="IV207">
        <v>9</v>
      </c>
      <c r="IW207">
        <v>8.6</v>
      </c>
      <c r="IX207">
        <v>0.909424</v>
      </c>
      <c r="IY207">
        <v>2.229</v>
      </c>
      <c r="IZ207">
        <v>1.39648</v>
      </c>
      <c r="JA207">
        <v>2.35596</v>
      </c>
      <c r="JB207">
        <v>1.49536</v>
      </c>
      <c r="JC207">
        <v>2.37305</v>
      </c>
      <c r="JD207">
        <v>38.5014</v>
      </c>
      <c r="JE207">
        <v>24.035</v>
      </c>
      <c r="JF207">
        <v>18</v>
      </c>
      <c r="JG207">
        <v>510.971</v>
      </c>
      <c r="JH207">
        <v>428.619</v>
      </c>
      <c r="JI207">
        <v>22.1992</v>
      </c>
      <c r="JJ207">
        <v>28.6885</v>
      </c>
      <c r="JK207">
        <v>30.0003</v>
      </c>
      <c r="JL207">
        <v>28.652</v>
      </c>
      <c r="JM207">
        <v>28.5896</v>
      </c>
      <c r="JN207">
        <v>18.1657</v>
      </c>
      <c r="JO207">
        <v>26.5129</v>
      </c>
      <c r="JP207">
        <v>0</v>
      </c>
      <c r="JQ207">
        <v>22.1911</v>
      </c>
      <c r="JR207">
        <v>346.438</v>
      </c>
      <c r="JS207">
        <v>14.138</v>
      </c>
      <c r="JT207">
        <v>100.3</v>
      </c>
      <c r="JU207">
        <v>100.23</v>
      </c>
    </row>
    <row r="208" spans="1:281">
      <c r="A208">
        <v>192</v>
      </c>
      <c r="B208">
        <v>1651864781.1</v>
      </c>
      <c r="C208">
        <v>560.5</v>
      </c>
      <c r="D208" t="s">
        <v>804</v>
      </c>
      <c r="E208" t="s">
        <v>805</v>
      </c>
      <c r="F208">
        <v>2</v>
      </c>
      <c r="G208" t="s">
        <v>413</v>
      </c>
      <c r="H208" t="s">
        <v>414</v>
      </c>
      <c r="I208">
        <v>1651864780.1</v>
      </c>
      <c r="J208">
        <f>(K208)/1000</f>
        <v>0</v>
      </c>
      <c r="K208">
        <f>IF(CZ208, AN208, AH208)</f>
        <v>0</v>
      </c>
      <c r="L208">
        <f>IF(CZ208, AI208, AG208)</f>
        <v>0</v>
      </c>
      <c r="M208">
        <f>DB208 - IF(AU208&gt;1, L208*CV208*100.0/(AW208*DP208), 0)</f>
        <v>0</v>
      </c>
      <c r="N208">
        <f>((T208-J208/2)*M208-L208)/(T208+J208/2)</f>
        <v>0</v>
      </c>
      <c r="O208">
        <f>N208*(DI208+DJ208)/1000.0</f>
        <v>0</v>
      </c>
      <c r="P208">
        <f>(DB208 - IF(AU208&gt;1, L208*CV208*100.0/(AW208*DP208), 0))*(DI208+DJ208)/1000.0</f>
        <v>0</v>
      </c>
      <c r="Q208">
        <f>2.0/((1/S208-1/R208)+SIGN(S208)*SQRT((1/S208-1/R208)*(1/S208-1/R208) + 4*CW208/((CW208+1)*(CW208+1))*(2*1/S208*1/R208-1/R208*1/R208)))</f>
        <v>0</v>
      </c>
      <c r="R208">
        <f>IF(LEFT(CX208,1)&lt;&gt;"0",IF(LEFT(CX208,1)="1",3.0,CY208),$D$5+$E$5*(DP208*DI208/($K$5*1000))+$F$5*(DP208*DI208/($K$5*1000))*MAX(MIN(CV208,$J$5),$I$5)*MAX(MIN(CV208,$J$5),$I$5)+$G$5*MAX(MIN(CV208,$J$5),$I$5)*(DP208*DI208/($K$5*1000))+$H$5*(DP208*DI208/($K$5*1000))*(DP208*DI208/($K$5*1000)))</f>
        <v>0</v>
      </c>
      <c r="S208">
        <f>J208*(1000-(1000*0.61365*exp(17.502*W208/(240.97+W208))/(DI208+DJ208)+DD208)/2)/(1000*0.61365*exp(17.502*W208/(240.97+W208))/(DI208+DJ208)-DD208)</f>
        <v>0</v>
      </c>
      <c r="T208">
        <f>1/((CW208+1)/(Q208/1.6)+1/(R208/1.37)) + CW208/((CW208+1)/(Q208/1.6) + CW208/(R208/1.37))</f>
        <v>0</v>
      </c>
      <c r="U208">
        <f>(CR208*CU208)</f>
        <v>0</v>
      </c>
      <c r="V208">
        <f>(DK208+(U208+2*0.95*5.67E-8*(((DK208+$B$7)+273)^4-(DK208+273)^4)-44100*J208)/(1.84*29.3*R208+8*0.95*5.67E-8*(DK208+273)^3))</f>
        <v>0</v>
      </c>
      <c r="W208">
        <f>($C$7*DL208+$D$7*DM208+$E$7*V208)</f>
        <v>0</v>
      </c>
      <c r="X208">
        <f>0.61365*exp(17.502*W208/(240.97+W208))</f>
        <v>0</v>
      </c>
      <c r="Y208">
        <f>(Z208/AA208*100)</f>
        <v>0</v>
      </c>
      <c r="Z208">
        <f>DD208*(DI208+DJ208)/1000</f>
        <v>0</v>
      </c>
      <c r="AA208">
        <f>0.61365*exp(17.502*DK208/(240.97+DK208))</f>
        <v>0</v>
      </c>
      <c r="AB208">
        <f>(X208-DD208*(DI208+DJ208)/1000)</f>
        <v>0</v>
      </c>
      <c r="AC208">
        <f>(-J208*44100)</f>
        <v>0</v>
      </c>
      <c r="AD208">
        <f>2*29.3*R208*0.92*(DK208-W208)</f>
        <v>0</v>
      </c>
      <c r="AE208">
        <f>2*0.95*5.67E-8*(((DK208+$B$7)+273)^4-(W208+273)^4)</f>
        <v>0</v>
      </c>
      <c r="AF208">
        <f>U208+AE208+AC208+AD208</f>
        <v>0</v>
      </c>
      <c r="AG208">
        <f>DH208*AU208*(DC208-DB208*(1000-AU208*DE208)/(1000-AU208*DD208))/(100*CV208)</f>
        <v>0</v>
      </c>
      <c r="AH208">
        <f>1000*DH208*AU208*(DD208-DE208)/(100*CV208*(1000-AU208*DD208))</f>
        <v>0</v>
      </c>
      <c r="AI208">
        <f>(AJ208 - AK208 - DI208*1E3/(8.314*(DK208+273.15)) * AM208/DH208 * AL208) * DH208/(100*CV208) * (1000 - DE208)/1000</f>
        <v>0</v>
      </c>
      <c r="AJ208">
        <v>376.0098811618378</v>
      </c>
      <c r="AK208">
        <v>371.8579757575756</v>
      </c>
      <c r="AL208">
        <v>-3.213259474079285</v>
      </c>
      <c r="AM208">
        <v>66.38192812717227</v>
      </c>
      <c r="AN208">
        <f>(AP208 - AO208 + DI208*1E3/(8.314*(DK208+273.15)) * AR208/DH208 * AQ208) * DH208/(100*CV208) * 1000/(1000 - AP208)</f>
        <v>0</v>
      </c>
      <c r="AO208">
        <v>14.13980712041375</v>
      </c>
      <c r="AP208">
        <v>18.3491844117647</v>
      </c>
      <c r="AQ208">
        <v>0.005610405648887672</v>
      </c>
      <c r="AR208">
        <v>80.47224507511959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MAX(0,($B$13+$C$13*DP208)/(1+$D$13*DP208)*DI208/(DK208+273)*$E$13)</f>
        <v>0</v>
      </c>
      <c r="AX208" t="s">
        <v>417</v>
      </c>
      <c r="AY208" t="s">
        <v>417</v>
      </c>
      <c r="AZ208">
        <v>0</v>
      </c>
      <c r="BA208">
        <v>0</v>
      </c>
      <c r="BB208">
        <f>1-AZ208/BA208</f>
        <v>0</v>
      </c>
      <c r="BC208">
        <v>0</v>
      </c>
      <c r="BD208" t="s">
        <v>417</v>
      </c>
      <c r="BE208" t="s">
        <v>417</v>
      </c>
      <c r="BF208">
        <v>0</v>
      </c>
      <c r="BG208">
        <v>0</v>
      </c>
      <c r="BH208">
        <f>1-BF208/BG208</f>
        <v>0</v>
      </c>
      <c r="BI208">
        <v>0.5</v>
      </c>
      <c r="BJ208">
        <f>CS208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417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1248</v>
      </c>
      <c r="CA208">
        <v>300</v>
      </c>
      <c r="CB208">
        <v>300</v>
      </c>
      <c r="CC208">
        <v>300</v>
      </c>
      <c r="CD208">
        <v>10442</v>
      </c>
      <c r="CE208">
        <v>1293.69</v>
      </c>
      <c r="CF208">
        <v>-0.00735246</v>
      </c>
      <c r="CG208">
        <v>0.5</v>
      </c>
      <c r="CH208" t="s">
        <v>417</v>
      </c>
      <c r="CI208" t="s">
        <v>417</v>
      </c>
      <c r="CJ208" t="s">
        <v>417</v>
      </c>
      <c r="CK208" t="s">
        <v>417</v>
      </c>
      <c r="CL208" t="s">
        <v>417</v>
      </c>
      <c r="CM208" t="s">
        <v>417</v>
      </c>
      <c r="CN208" t="s">
        <v>417</v>
      </c>
      <c r="CO208" t="s">
        <v>417</v>
      </c>
      <c r="CP208" t="s">
        <v>417</v>
      </c>
      <c r="CQ208" t="s">
        <v>417</v>
      </c>
      <c r="CR208">
        <f>$B$11*DQ208+$C$11*DR208+$F$11*EC208*(1-EF208)</f>
        <v>0</v>
      </c>
      <c r="CS208">
        <f>CR208*CT208</f>
        <v>0</v>
      </c>
      <c r="CT208">
        <f>($B$11*$D$9+$C$11*$D$9+$F$11*((EP208+EH208)/MAX(EP208+EH208+EQ208, 0.1)*$I$9+EQ208/MAX(EP208+EH208+EQ208, 0.1)*$J$9))/($B$11+$C$11+$F$11)</f>
        <v>0</v>
      </c>
      <c r="CU208">
        <f>($B$11*$K$9+$C$11*$K$9+$F$11*((EP208+EH208)/MAX(EP208+EH208+EQ208, 0.1)*$P$9+EQ208/MAX(EP208+EH208+EQ208, 0.1)*$Q$9))/($B$11+$C$11+$F$11)</f>
        <v>0</v>
      </c>
      <c r="CV208">
        <v>6</v>
      </c>
      <c r="CW208">
        <v>0.5</v>
      </c>
      <c r="CX208" t="s">
        <v>418</v>
      </c>
      <c r="CY208">
        <v>2</v>
      </c>
      <c r="CZ208" t="b">
        <v>1</v>
      </c>
      <c r="DA208">
        <v>1651864780.1</v>
      </c>
      <c r="DB208">
        <v>366.6106666666667</v>
      </c>
      <c r="DC208">
        <v>364.875</v>
      </c>
      <c r="DD208">
        <v>18.3489</v>
      </c>
      <c r="DE208">
        <v>14.14156666666667</v>
      </c>
      <c r="DF208">
        <v>367.5376666666667</v>
      </c>
      <c r="DG208">
        <v>18.32853333333334</v>
      </c>
      <c r="DH208">
        <v>500.0363333333333</v>
      </c>
      <c r="DI208">
        <v>89.93396666666666</v>
      </c>
      <c r="DJ208">
        <v>0.1000317333333333</v>
      </c>
      <c r="DK208">
        <v>25.63663333333333</v>
      </c>
      <c r="DL208">
        <v>24.99513333333333</v>
      </c>
      <c r="DM208">
        <v>999.9</v>
      </c>
      <c r="DN208">
        <v>0</v>
      </c>
      <c r="DO208">
        <v>0</v>
      </c>
      <c r="DP208">
        <v>9992.5</v>
      </c>
      <c r="DQ208">
        <v>0</v>
      </c>
      <c r="DR208">
        <v>3.23193</v>
      </c>
      <c r="DS208">
        <v>1.735136666666667</v>
      </c>
      <c r="DT208">
        <v>373.463</v>
      </c>
      <c r="DU208">
        <v>370.1093333333333</v>
      </c>
      <c r="DV208">
        <v>4.207343333333333</v>
      </c>
      <c r="DW208">
        <v>364.875</v>
      </c>
      <c r="DX208">
        <v>14.14156666666667</v>
      </c>
      <c r="DY208">
        <v>1.650186666666666</v>
      </c>
      <c r="DZ208">
        <v>1.271806666666667</v>
      </c>
      <c r="EA208">
        <v>14.43563333333333</v>
      </c>
      <c r="EB208">
        <v>10.4697</v>
      </c>
      <c r="EC208">
        <v>1499.956666666667</v>
      </c>
      <c r="ED208">
        <v>0.973002</v>
      </c>
      <c r="EE208">
        <v>0.02699806666666666</v>
      </c>
      <c r="EF208">
        <v>0</v>
      </c>
      <c r="EG208">
        <v>842.944</v>
      </c>
      <c r="EH208">
        <v>5.00097</v>
      </c>
      <c r="EI208">
        <v>12523.56666666667</v>
      </c>
      <c r="EJ208">
        <v>12491.26666666667</v>
      </c>
      <c r="EK208">
        <v>37.25</v>
      </c>
      <c r="EL208">
        <v>38.687</v>
      </c>
      <c r="EM208">
        <v>37.625</v>
      </c>
      <c r="EN208">
        <v>38.39566666666666</v>
      </c>
      <c r="EO208">
        <v>38.062</v>
      </c>
      <c r="EP208">
        <v>1454.596666666667</v>
      </c>
      <c r="EQ208">
        <v>40.36000000000001</v>
      </c>
      <c r="ER208">
        <v>0</v>
      </c>
      <c r="ES208">
        <v>559.7999999523163</v>
      </c>
      <c r="ET208">
        <v>0</v>
      </c>
      <c r="EU208">
        <v>845.07532</v>
      </c>
      <c r="EV208">
        <v>-19.12207695850817</v>
      </c>
      <c r="EW208">
        <v>-291.1615390054996</v>
      </c>
      <c r="EX208">
        <v>12555.308</v>
      </c>
      <c r="EY208">
        <v>15</v>
      </c>
      <c r="EZ208">
        <v>1651864261.1</v>
      </c>
      <c r="FA208" t="s">
        <v>419</v>
      </c>
      <c r="FB208">
        <v>1651864241.6</v>
      </c>
      <c r="FC208">
        <v>1651864261.1</v>
      </c>
      <c r="FD208">
        <v>7</v>
      </c>
      <c r="FE208">
        <v>0.438</v>
      </c>
      <c r="FF208">
        <v>0.002</v>
      </c>
      <c r="FG208">
        <v>-0.988</v>
      </c>
      <c r="FH208">
        <v>-0.066</v>
      </c>
      <c r="FI208">
        <v>400</v>
      </c>
      <c r="FJ208">
        <v>11</v>
      </c>
      <c r="FK208">
        <v>0.05</v>
      </c>
      <c r="FL208">
        <v>0.02</v>
      </c>
      <c r="FM208">
        <v>0.2855136609756098</v>
      </c>
      <c r="FN208">
        <v>9.273078459930314</v>
      </c>
      <c r="FO208">
        <v>0.9148817144735124</v>
      </c>
      <c r="FP208">
        <v>-1</v>
      </c>
      <c r="FQ208">
        <v>4.211327804878048</v>
      </c>
      <c r="FR208">
        <v>-0.1498814634146343</v>
      </c>
      <c r="FS208">
        <v>0.02113519311159395</v>
      </c>
      <c r="FT208">
        <v>-1</v>
      </c>
      <c r="FU208">
        <v>0</v>
      </c>
      <c r="FV208">
        <v>0</v>
      </c>
      <c r="FW208">
        <v>0</v>
      </c>
      <c r="FX208">
        <v>-1</v>
      </c>
      <c r="FY208">
        <v>0</v>
      </c>
      <c r="FZ208">
        <v>0</v>
      </c>
      <c r="GA208" t="s">
        <v>420</v>
      </c>
      <c r="GB208">
        <v>2.98061</v>
      </c>
      <c r="GC208">
        <v>2.70602</v>
      </c>
      <c r="GD208">
        <v>0.0836727</v>
      </c>
      <c r="GE208">
        <v>0.08235489999999999</v>
      </c>
      <c r="GF208">
        <v>0.0876552</v>
      </c>
      <c r="GG208">
        <v>0.0716475</v>
      </c>
      <c r="GH208">
        <v>28916.8</v>
      </c>
      <c r="GI208">
        <v>29023</v>
      </c>
      <c r="GJ208">
        <v>29342.8</v>
      </c>
      <c r="GK208">
        <v>29258.3</v>
      </c>
      <c r="GL208">
        <v>35447.8</v>
      </c>
      <c r="GM208">
        <v>36175.5</v>
      </c>
      <c r="GN208">
        <v>41301.2</v>
      </c>
      <c r="GO208">
        <v>41761.6</v>
      </c>
      <c r="GP208">
        <v>1.95492</v>
      </c>
      <c r="GQ208">
        <v>1.84932</v>
      </c>
      <c r="GR208">
        <v>-0.0209808</v>
      </c>
      <c r="GS208">
        <v>0</v>
      </c>
      <c r="GT208">
        <v>25.3402</v>
      </c>
      <c r="GU208">
        <v>999.9</v>
      </c>
      <c r="GV208">
        <v>31.6</v>
      </c>
      <c r="GW208">
        <v>34.3</v>
      </c>
      <c r="GX208">
        <v>19.0904</v>
      </c>
      <c r="GY208">
        <v>62.4275</v>
      </c>
      <c r="GZ208">
        <v>35.02</v>
      </c>
      <c r="HA208">
        <v>1</v>
      </c>
      <c r="HB208">
        <v>0.107703</v>
      </c>
      <c r="HC208">
        <v>2.28575</v>
      </c>
      <c r="HD208">
        <v>20.3188</v>
      </c>
      <c r="HE208">
        <v>5.21684</v>
      </c>
      <c r="HF208">
        <v>12.0099</v>
      </c>
      <c r="HG208">
        <v>4.98905</v>
      </c>
      <c r="HH208">
        <v>3.28865</v>
      </c>
      <c r="HI208">
        <v>999.4</v>
      </c>
      <c r="HJ208">
        <v>9553.4</v>
      </c>
      <c r="HK208">
        <v>5139.4</v>
      </c>
      <c r="HL208">
        <v>24.9</v>
      </c>
      <c r="HM208">
        <v>1.86751</v>
      </c>
      <c r="HN208">
        <v>1.86646</v>
      </c>
      <c r="HO208">
        <v>1.866</v>
      </c>
      <c r="HP208">
        <v>1.86584</v>
      </c>
      <c r="HQ208">
        <v>1.86771</v>
      </c>
      <c r="HR208">
        <v>1.87021</v>
      </c>
      <c r="HS208">
        <v>1.86889</v>
      </c>
      <c r="HT208">
        <v>1.87025</v>
      </c>
      <c r="HU208">
        <v>0</v>
      </c>
      <c r="HV208">
        <v>0</v>
      </c>
      <c r="HW208">
        <v>0</v>
      </c>
      <c r="HX208">
        <v>0</v>
      </c>
      <c r="HY208" t="s">
        <v>421</v>
      </c>
      <c r="HZ208" t="s">
        <v>422</v>
      </c>
      <c r="IA208" t="s">
        <v>423</v>
      </c>
      <c r="IB208" t="s">
        <v>423</v>
      </c>
      <c r="IC208" t="s">
        <v>423</v>
      </c>
      <c r="ID208" t="s">
        <v>423</v>
      </c>
      <c r="IE208">
        <v>0</v>
      </c>
      <c r="IF208">
        <v>100</v>
      </c>
      <c r="IG208">
        <v>100</v>
      </c>
      <c r="IH208">
        <v>-0.922</v>
      </c>
      <c r="II208">
        <v>0.0204</v>
      </c>
      <c r="IJ208">
        <v>-0.2164499368582429</v>
      </c>
      <c r="IK208">
        <v>-0.002077099775823331</v>
      </c>
      <c r="IL208">
        <v>4.593143279902166E-07</v>
      </c>
      <c r="IM208">
        <v>-1.865383991892071E-10</v>
      </c>
      <c r="IN208">
        <v>-0.06087574426827484</v>
      </c>
      <c r="IO208">
        <v>-0.01129461987421345</v>
      </c>
      <c r="IP208">
        <v>0.00116580895745559</v>
      </c>
      <c r="IQ208">
        <v>-1.679085872906199E-05</v>
      </c>
      <c r="IR208">
        <v>2</v>
      </c>
      <c r="IS208">
        <v>2290</v>
      </c>
      <c r="IT208">
        <v>0</v>
      </c>
      <c r="IU208">
        <v>32</v>
      </c>
      <c r="IV208">
        <v>9</v>
      </c>
      <c r="IW208">
        <v>8.699999999999999</v>
      </c>
      <c r="IX208">
        <v>0.895996</v>
      </c>
      <c r="IY208">
        <v>2.23877</v>
      </c>
      <c r="IZ208">
        <v>1.39648</v>
      </c>
      <c r="JA208">
        <v>2.35718</v>
      </c>
      <c r="JB208">
        <v>1.49536</v>
      </c>
      <c r="JC208">
        <v>2.27295</v>
      </c>
      <c r="JD208">
        <v>38.5014</v>
      </c>
      <c r="JE208">
        <v>24.0262</v>
      </c>
      <c r="JF208">
        <v>18</v>
      </c>
      <c r="JG208">
        <v>510.857</v>
      </c>
      <c r="JH208">
        <v>428.529</v>
      </c>
      <c r="JI208">
        <v>22.2015</v>
      </c>
      <c r="JJ208">
        <v>28.6898</v>
      </c>
      <c r="JK208">
        <v>30.0004</v>
      </c>
      <c r="JL208">
        <v>28.652</v>
      </c>
      <c r="JM208">
        <v>28.5896</v>
      </c>
      <c r="JN208">
        <v>17.8944</v>
      </c>
      <c r="JO208">
        <v>26.5129</v>
      </c>
      <c r="JP208">
        <v>0</v>
      </c>
      <c r="JQ208">
        <v>22.1911</v>
      </c>
      <c r="JR208">
        <v>339.76</v>
      </c>
      <c r="JS208">
        <v>14.1372</v>
      </c>
      <c r="JT208">
        <v>100.3</v>
      </c>
      <c r="JU208">
        <v>100.23</v>
      </c>
    </row>
    <row r="209" spans="1:281">
      <c r="A209">
        <v>193</v>
      </c>
      <c r="B209">
        <v>1651864783.1</v>
      </c>
      <c r="C209">
        <v>562.5</v>
      </c>
      <c r="D209" t="s">
        <v>806</v>
      </c>
      <c r="E209" t="s">
        <v>807</v>
      </c>
      <c r="F209">
        <v>2</v>
      </c>
      <c r="G209" t="s">
        <v>413</v>
      </c>
      <c r="H209" t="s">
        <v>414</v>
      </c>
      <c r="I209">
        <v>1651864781.725</v>
      </c>
      <c r="J209">
        <f>(K209)/1000</f>
        <v>0</v>
      </c>
      <c r="K209">
        <f>IF(CZ209, AN209, AH209)</f>
        <v>0</v>
      </c>
      <c r="L209">
        <f>IF(CZ209, AI209, AG209)</f>
        <v>0</v>
      </c>
      <c r="M209">
        <f>DB209 - IF(AU209&gt;1, L209*CV209*100.0/(AW209*DP209), 0)</f>
        <v>0</v>
      </c>
      <c r="N209">
        <f>((T209-J209/2)*M209-L209)/(T209+J209/2)</f>
        <v>0</v>
      </c>
      <c r="O209">
        <f>N209*(DI209+DJ209)/1000.0</f>
        <v>0</v>
      </c>
      <c r="P209">
        <f>(DB209 - IF(AU209&gt;1, L209*CV209*100.0/(AW209*DP209), 0))*(DI209+DJ209)/1000.0</f>
        <v>0</v>
      </c>
      <c r="Q209">
        <f>2.0/((1/S209-1/R209)+SIGN(S209)*SQRT((1/S209-1/R209)*(1/S209-1/R209) + 4*CW209/((CW209+1)*(CW209+1))*(2*1/S209*1/R209-1/R209*1/R209)))</f>
        <v>0</v>
      </c>
      <c r="R209">
        <f>IF(LEFT(CX209,1)&lt;&gt;"0",IF(LEFT(CX209,1)="1",3.0,CY209),$D$5+$E$5*(DP209*DI209/($K$5*1000))+$F$5*(DP209*DI209/($K$5*1000))*MAX(MIN(CV209,$J$5),$I$5)*MAX(MIN(CV209,$J$5),$I$5)+$G$5*MAX(MIN(CV209,$J$5),$I$5)*(DP209*DI209/($K$5*1000))+$H$5*(DP209*DI209/($K$5*1000))*(DP209*DI209/($K$5*1000)))</f>
        <v>0</v>
      </c>
      <c r="S209">
        <f>J209*(1000-(1000*0.61365*exp(17.502*W209/(240.97+W209))/(DI209+DJ209)+DD209)/2)/(1000*0.61365*exp(17.502*W209/(240.97+W209))/(DI209+DJ209)-DD209)</f>
        <v>0</v>
      </c>
      <c r="T209">
        <f>1/((CW209+1)/(Q209/1.6)+1/(R209/1.37)) + CW209/((CW209+1)/(Q209/1.6) + CW209/(R209/1.37))</f>
        <v>0</v>
      </c>
      <c r="U209">
        <f>(CR209*CU209)</f>
        <v>0</v>
      </c>
      <c r="V209">
        <f>(DK209+(U209+2*0.95*5.67E-8*(((DK209+$B$7)+273)^4-(DK209+273)^4)-44100*J209)/(1.84*29.3*R209+8*0.95*5.67E-8*(DK209+273)^3))</f>
        <v>0</v>
      </c>
      <c r="W209">
        <f>($C$7*DL209+$D$7*DM209+$E$7*V209)</f>
        <v>0</v>
      </c>
      <c r="X209">
        <f>0.61365*exp(17.502*W209/(240.97+W209))</f>
        <v>0</v>
      </c>
      <c r="Y209">
        <f>(Z209/AA209*100)</f>
        <v>0</v>
      </c>
      <c r="Z209">
        <f>DD209*(DI209+DJ209)/1000</f>
        <v>0</v>
      </c>
      <c r="AA209">
        <f>0.61365*exp(17.502*DK209/(240.97+DK209))</f>
        <v>0</v>
      </c>
      <c r="AB209">
        <f>(X209-DD209*(DI209+DJ209)/1000)</f>
        <v>0</v>
      </c>
      <c r="AC209">
        <f>(-J209*44100)</f>
        <v>0</v>
      </c>
      <c r="AD209">
        <f>2*29.3*R209*0.92*(DK209-W209)</f>
        <v>0</v>
      </c>
      <c r="AE209">
        <f>2*0.95*5.67E-8*(((DK209+$B$7)+273)^4-(W209+273)^4)</f>
        <v>0</v>
      </c>
      <c r="AF209">
        <f>U209+AE209+AC209+AD209</f>
        <v>0</v>
      </c>
      <c r="AG209">
        <f>DH209*AU209*(DC209-DB209*(1000-AU209*DE209)/(1000-AU209*DD209))/(100*CV209)</f>
        <v>0</v>
      </c>
      <c r="AH209">
        <f>1000*DH209*AU209*(DD209-DE209)/(100*CV209*(1000-AU209*DD209))</f>
        <v>0</v>
      </c>
      <c r="AI209">
        <f>(AJ209 - AK209 - DI209*1E3/(8.314*(DK209+273.15)) * AM209/DH209 * AL209) * DH209/(100*CV209) * (1000 - DE209)/1000</f>
        <v>0</v>
      </c>
      <c r="AJ209">
        <v>369.3436611279357</v>
      </c>
      <c r="AK209">
        <v>365.4207575757574</v>
      </c>
      <c r="AL209">
        <v>-3.214807137612685</v>
      </c>
      <c r="AM209">
        <v>66.38192812717227</v>
      </c>
      <c r="AN209">
        <f>(AP209 - AO209 + DI209*1E3/(8.314*(DK209+273.15)) * AR209/DH209 * AQ209) * DH209/(100*CV209) * 1000/(1000 - AP209)</f>
        <v>0</v>
      </c>
      <c r="AO209">
        <v>14.14108525241962</v>
      </c>
      <c r="AP209">
        <v>18.34955705882352</v>
      </c>
      <c r="AQ209">
        <v>0.002109194530107491</v>
      </c>
      <c r="AR209">
        <v>80.47224507511959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MAX(0,($B$13+$C$13*DP209)/(1+$D$13*DP209)*DI209/(DK209+273)*$E$13)</f>
        <v>0</v>
      </c>
      <c r="AX209" t="s">
        <v>417</v>
      </c>
      <c r="AY209" t="s">
        <v>417</v>
      </c>
      <c r="AZ209">
        <v>0</v>
      </c>
      <c r="BA209">
        <v>0</v>
      </c>
      <c r="BB209">
        <f>1-AZ209/BA209</f>
        <v>0</v>
      </c>
      <c r="BC209">
        <v>0</v>
      </c>
      <c r="BD209" t="s">
        <v>417</v>
      </c>
      <c r="BE209" t="s">
        <v>417</v>
      </c>
      <c r="BF209">
        <v>0</v>
      </c>
      <c r="BG209">
        <v>0</v>
      </c>
      <c r="BH209">
        <f>1-BF209/BG209</f>
        <v>0</v>
      </c>
      <c r="BI209">
        <v>0.5</v>
      </c>
      <c r="BJ209">
        <f>CS209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417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1248</v>
      </c>
      <c r="CA209">
        <v>300</v>
      </c>
      <c r="CB209">
        <v>300</v>
      </c>
      <c r="CC209">
        <v>300</v>
      </c>
      <c r="CD209">
        <v>10442</v>
      </c>
      <c r="CE209">
        <v>1293.69</v>
      </c>
      <c r="CF209">
        <v>-0.00735246</v>
      </c>
      <c r="CG209">
        <v>0.5</v>
      </c>
      <c r="CH209" t="s">
        <v>417</v>
      </c>
      <c r="CI209" t="s">
        <v>417</v>
      </c>
      <c r="CJ209" t="s">
        <v>417</v>
      </c>
      <c r="CK209" t="s">
        <v>417</v>
      </c>
      <c r="CL209" t="s">
        <v>417</v>
      </c>
      <c r="CM209" t="s">
        <v>417</v>
      </c>
      <c r="CN209" t="s">
        <v>417</v>
      </c>
      <c r="CO209" t="s">
        <v>417</v>
      </c>
      <c r="CP209" t="s">
        <v>417</v>
      </c>
      <c r="CQ209" t="s">
        <v>417</v>
      </c>
      <c r="CR209">
        <f>$B$11*DQ209+$C$11*DR209+$F$11*EC209*(1-EF209)</f>
        <v>0</v>
      </c>
      <c r="CS209">
        <f>CR209*CT209</f>
        <v>0</v>
      </c>
      <c r="CT209">
        <f>($B$11*$D$9+$C$11*$D$9+$F$11*((EP209+EH209)/MAX(EP209+EH209+EQ209, 0.1)*$I$9+EQ209/MAX(EP209+EH209+EQ209, 0.1)*$J$9))/($B$11+$C$11+$F$11)</f>
        <v>0</v>
      </c>
      <c r="CU209">
        <f>($B$11*$K$9+$C$11*$K$9+$F$11*((EP209+EH209)/MAX(EP209+EH209+EQ209, 0.1)*$P$9+EQ209/MAX(EP209+EH209+EQ209, 0.1)*$Q$9))/($B$11+$C$11+$F$11)</f>
        <v>0</v>
      </c>
      <c r="CV209">
        <v>6</v>
      </c>
      <c r="CW209">
        <v>0.5</v>
      </c>
      <c r="CX209" t="s">
        <v>418</v>
      </c>
      <c r="CY209">
        <v>2</v>
      </c>
      <c r="CZ209" t="b">
        <v>1</v>
      </c>
      <c r="DA209">
        <v>1651864781.725</v>
      </c>
      <c r="DB209">
        <v>361.4787499999999</v>
      </c>
      <c r="DC209">
        <v>359.5285</v>
      </c>
      <c r="DD209">
        <v>18.34975</v>
      </c>
      <c r="DE209">
        <v>14.141075</v>
      </c>
      <c r="DF209">
        <v>362.39625</v>
      </c>
      <c r="DG209">
        <v>18.329375</v>
      </c>
      <c r="DH209">
        <v>500.04875</v>
      </c>
      <c r="DI209">
        <v>89.93529999999998</v>
      </c>
      <c r="DJ209">
        <v>0.09988335000000001</v>
      </c>
      <c r="DK209">
        <v>25.636975</v>
      </c>
      <c r="DL209">
        <v>24.991575</v>
      </c>
      <c r="DM209">
        <v>999.9</v>
      </c>
      <c r="DN209">
        <v>0</v>
      </c>
      <c r="DO209">
        <v>0</v>
      </c>
      <c r="DP209">
        <v>10001.405</v>
      </c>
      <c r="DQ209">
        <v>0</v>
      </c>
      <c r="DR209">
        <v>3.23193</v>
      </c>
      <c r="DS209">
        <v>1.95005</v>
      </c>
      <c r="DT209">
        <v>368.23575</v>
      </c>
      <c r="DU209">
        <v>364.68575</v>
      </c>
      <c r="DV209">
        <v>4.20868</v>
      </c>
      <c r="DW209">
        <v>359.5285</v>
      </c>
      <c r="DX209">
        <v>14.141075</v>
      </c>
      <c r="DY209">
        <v>1.6502925</v>
      </c>
      <c r="DZ209">
        <v>1.2717825</v>
      </c>
      <c r="EA209">
        <v>14.4366</v>
      </c>
      <c r="EB209">
        <v>10.46945</v>
      </c>
      <c r="EC209">
        <v>1499.92</v>
      </c>
      <c r="ED209">
        <v>0.9730082499999999</v>
      </c>
      <c r="EE209">
        <v>0.02699175</v>
      </c>
      <c r="EF209">
        <v>0</v>
      </c>
      <c r="EG209">
        <v>842.4907499999999</v>
      </c>
      <c r="EH209">
        <v>5.00097</v>
      </c>
      <c r="EI209">
        <v>12515.625</v>
      </c>
      <c r="EJ209">
        <v>12490.95</v>
      </c>
      <c r="EK209">
        <v>37.25</v>
      </c>
      <c r="EL209">
        <v>38.687</v>
      </c>
      <c r="EM209">
        <v>37.625</v>
      </c>
      <c r="EN209">
        <v>38.3905</v>
      </c>
      <c r="EO209">
        <v>38.10925</v>
      </c>
      <c r="EP209">
        <v>1454.57</v>
      </c>
      <c r="EQ209">
        <v>40.35</v>
      </c>
      <c r="ER209">
        <v>0</v>
      </c>
      <c r="ES209">
        <v>562.2000000476837</v>
      </c>
      <c r="ET209">
        <v>0</v>
      </c>
      <c r="EU209">
        <v>844.29332</v>
      </c>
      <c r="EV209">
        <v>-19.72276921108568</v>
      </c>
      <c r="EW209">
        <v>-293.9230765468012</v>
      </c>
      <c r="EX209">
        <v>12543.496</v>
      </c>
      <c r="EY209">
        <v>15</v>
      </c>
      <c r="EZ209">
        <v>1651864261.1</v>
      </c>
      <c r="FA209" t="s">
        <v>419</v>
      </c>
      <c r="FB209">
        <v>1651864241.6</v>
      </c>
      <c r="FC209">
        <v>1651864261.1</v>
      </c>
      <c r="FD209">
        <v>7</v>
      </c>
      <c r="FE209">
        <v>0.438</v>
      </c>
      <c r="FF209">
        <v>0.002</v>
      </c>
      <c r="FG209">
        <v>-0.988</v>
      </c>
      <c r="FH209">
        <v>-0.066</v>
      </c>
      <c r="FI209">
        <v>400</v>
      </c>
      <c r="FJ209">
        <v>11</v>
      </c>
      <c r="FK209">
        <v>0.05</v>
      </c>
      <c r="FL209">
        <v>0.02</v>
      </c>
      <c r="FM209">
        <v>0.5481530025</v>
      </c>
      <c r="FN209">
        <v>9.269416494934337</v>
      </c>
      <c r="FO209">
        <v>0.8922882032751337</v>
      </c>
      <c r="FP209">
        <v>-1</v>
      </c>
      <c r="FQ209">
        <v>4.2076205</v>
      </c>
      <c r="FR209">
        <v>-0.09448547842402909</v>
      </c>
      <c r="FS209">
        <v>0.01786921010425479</v>
      </c>
      <c r="FT209">
        <v>-1</v>
      </c>
      <c r="FU209">
        <v>0</v>
      </c>
      <c r="FV209">
        <v>0</v>
      </c>
      <c r="FW209">
        <v>0</v>
      </c>
      <c r="FX209">
        <v>-1</v>
      </c>
      <c r="FY209">
        <v>0</v>
      </c>
      <c r="FZ209">
        <v>0</v>
      </c>
      <c r="GA209" t="s">
        <v>420</v>
      </c>
      <c r="GB209">
        <v>2.98034</v>
      </c>
      <c r="GC209">
        <v>2.70616</v>
      </c>
      <c r="GD209">
        <v>0.0825314</v>
      </c>
      <c r="GE209">
        <v>0.0811706</v>
      </c>
      <c r="GF209">
        <v>0.0876586</v>
      </c>
      <c r="GG209">
        <v>0.0716458</v>
      </c>
      <c r="GH209">
        <v>28952.9</v>
      </c>
      <c r="GI209">
        <v>29060.2</v>
      </c>
      <c r="GJ209">
        <v>29343</v>
      </c>
      <c r="GK209">
        <v>29258.1</v>
      </c>
      <c r="GL209">
        <v>35447.8</v>
      </c>
      <c r="GM209">
        <v>36175.1</v>
      </c>
      <c r="GN209">
        <v>41301.4</v>
      </c>
      <c r="GO209">
        <v>41761.1</v>
      </c>
      <c r="GP209">
        <v>1.95508</v>
      </c>
      <c r="GQ209">
        <v>1.84945</v>
      </c>
      <c r="GR209">
        <v>-0.0212751</v>
      </c>
      <c r="GS209">
        <v>0</v>
      </c>
      <c r="GT209">
        <v>25.3396</v>
      </c>
      <c r="GU209">
        <v>999.9</v>
      </c>
      <c r="GV209">
        <v>31.6</v>
      </c>
      <c r="GW209">
        <v>34.3</v>
      </c>
      <c r="GX209">
        <v>19.0907</v>
      </c>
      <c r="GY209">
        <v>62.4675</v>
      </c>
      <c r="GZ209">
        <v>35.1643</v>
      </c>
      <c r="HA209">
        <v>1</v>
      </c>
      <c r="HB209">
        <v>0.107734</v>
      </c>
      <c r="HC209">
        <v>2.30035</v>
      </c>
      <c r="HD209">
        <v>20.3186</v>
      </c>
      <c r="HE209">
        <v>5.21669</v>
      </c>
      <c r="HF209">
        <v>12.0099</v>
      </c>
      <c r="HG209">
        <v>4.9891</v>
      </c>
      <c r="HH209">
        <v>3.28865</v>
      </c>
      <c r="HI209">
        <v>999.4</v>
      </c>
      <c r="HJ209">
        <v>9553.4</v>
      </c>
      <c r="HK209">
        <v>5139.4</v>
      </c>
      <c r="HL209">
        <v>24.9</v>
      </c>
      <c r="HM209">
        <v>1.86752</v>
      </c>
      <c r="HN209">
        <v>1.86646</v>
      </c>
      <c r="HO209">
        <v>1.866</v>
      </c>
      <c r="HP209">
        <v>1.86585</v>
      </c>
      <c r="HQ209">
        <v>1.86771</v>
      </c>
      <c r="HR209">
        <v>1.87022</v>
      </c>
      <c r="HS209">
        <v>1.86889</v>
      </c>
      <c r="HT209">
        <v>1.87024</v>
      </c>
      <c r="HU209">
        <v>0</v>
      </c>
      <c r="HV209">
        <v>0</v>
      </c>
      <c r="HW209">
        <v>0</v>
      </c>
      <c r="HX209">
        <v>0</v>
      </c>
      <c r="HY209" t="s">
        <v>421</v>
      </c>
      <c r="HZ209" t="s">
        <v>422</v>
      </c>
      <c r="IA209" t="s">
        <v>423</v>
      </c>
      <c r="IB209" t="s">
        <v>423</v>
      </c>
      <c r="IC209" t="s">
        <v>423</v>
      </c>
      <c r="ID209" t="s">
        <v>423</v>
      </c>
      <c r="IE209">
        <v>0</v>
      </c>
      <c r="IF209">
        <v>100</v>
      </c>
      <c r="IG209">
        <v>100</v>
      </c>
      <c r="IH209">
        <v>-0.91</v>
      </c>
      <c r="II209">
        <v>0.0204</v>
      </c>
      <c r="IJ209">
        <v>-0.2164499368582429</v>
      </c>
      <c r="IK209">
        <v>-0.002077099775823331</v>
      </c>
      <c r="IL209">
        <v>4.593143279902166E-07</v>
      </c>
      <c r="IM209">
        <v>-1.865383991892071E-10</v>
      </c>
      <c r="IN209">
        <v>-0.06087574426827484</v>
      </c>
      <c r="IO209">
        <v>-0.01129461987421345</v>
      </c>
      <c r="IP209">
        <v>0.00116580895745559</v>
      </c>
      <c r="IQ209">
        <v>-1.679085872906199E-05</v>
      </c>
      <c r="IR209">
        <v>2</v>
      </c>
      <c r="IS209">
        <v>2290</v>
      </c>
      <c r="IT209">
        <v>0</v>
      </c>
      <c r="IU209">
        <v>32</v>
      </c>
      <c r="IV209">
        <v>9</v>
      </c>
      <c r="IW209">
        <v>8.699999999999999</v>
      </c>
      <c r="IX209">
        <v>0.882568</v>
      </c>
      <c r="IY209">
        <v>2.23633</v>
      </c>
      <c r="IZ209">
        <v>1.39648</v>
      </c>
      <c r="JA209">
        <v>2.35596</v>
      </c>
      <c r="JB209">
        <v>1.49536</v>
      </c>
      <c r="JC209">
        <v>2.34985</v>
      </c>
      <c r="JD209">
        <v>38.5014</v>
      </c>
      <c r="JE209">
        <v>24.035</v>
      </c>
      <c r="JF209">
        <v>18</v>
      </c>
      <c r="JG209">
        <v>510.955</v>
      </c>
      <c r="JH209">
        <v>428.604</v>
      </c>
      <c r="JI209">
        <v>22.2024</v>
      </c>
      <c r="JJ209">
        <v>28.6903</v>
      </c>
      <c r="JK209">
        <v>30.0003</v>
      </c>
      <c r="JL209">
        <v>28.652</v>
      </c>
      <c r="JM209">
        <v>28.5896</v>
      </c>
      <c r="JN209">
        <v>17.623</v>
      </c>
      <c r="JO209">
        <v>26.5129</v>
      </c>
      <c r="JP209">
        <v>0</v>
      </c>
      <c r="JQ209">
        <v>22.1911</v>
      </c>
      <c r="JR209">
        <v>333.081</v>
      </c>
      <c r="JS209">
        <v>14.1375</v>
      </c>
      <c r="JT209">
        <v>100.3</v>
      </c>
      <c r="JU209">
        <v>100.229</v>
      </c>
    </row>
    <row r="210" spans="1:281">
      <c r="A210">
        <v>194</v>
      </c>
      <c r="B210">
        <v>1651864785.1</v>
      </c>
      <c r="C210">
        <v>564.5</v>
      </c>
      <c r="D210" t="s">
        <v>808</v>
      </c>
      <c r="E210" t="s">
        <v>809</v>
      </c>
      <c r="F210">
        <v>2</v>
      </c>
      <c r="G210" t="s">
        <v>413</v>
      </c>
      <c r="H210" t="s">
        <v>414</v>
      </c>
      <c r="I210">
        <v>1651864784.1</v>
      </c>
      <c r="J210">
        <f>(K210)/1000</f>
        <v>0</v>
      </c>
      <c r="K210">
        <f>IF(CZ210, AN210, AH210)</f>
        <v>0</v>
      </c>
      <c r="L210">
        <f>IF(CZ210, AI210, AG210)</f>
        <v>0</v>
      </c>
      <c r="M210">
        <f>DB210 - IF(AU210&gt;1, L210*CV210*100.0/(AW210*DP210), 0)</f>
        <v>0</v>
      </c>
      <c r="N210">
        <f>((T210-J210/2)*M210-L210)/(T210+J210/2)</f>
        <v>0</v>
      </c>
      <c r="O210">
        <f>N210*(DI210+DJ210)/1000.0</f>
        <v>0</v>
      </c>
      <c r="P210">
        <f>(DB210 - IF(AU210&gt;1, L210*CV210*100.0/(AW210*DP210), 0))*(DI210+DJ210)/1000.0</f>
        <v>0</v>
      </c>
      <c r="Q210">
        <f>2.0/((1/S210-1/R210)+SIGN(S210)*SQRT((1/S210-1/R210)*(1/S210-1/R210) + 4*CW210/((CW210+1)*(CW210+1))*(2*1/S210*1/R210-1/R210*1/R210)))</f>
        <v>0</v>
      </c>
      <c r="R210">
        <f>IF(LEFT(CX210,1)&lt;&gt;"0",IF(LEFT(CX210,1)="1",3.0,CY210),$D$5+$E$5*(DP210*DI210/($K$5*1000))+$F$5*(DP210*DI210/($K$5*1000))*MAX(MIN(CV210,$J$5),$I$5)*MAX(MIN(CV210,$J$5),$I$5)+$G$5*MAX(MIN(CV210,$J$5),$I$5)*(DP210*DI210/($K$5*1000))+$H$5*(DP210*DI210/($K$5*1000))*(DP210*DI210/($K$5*1000)))</f>
        <v>0</v>
      </c>
      <c r="S210">
        <f>J210*(1000-(1000*0.61365*exp(17.502*W210/(240.97+W210))/(DI210+DJ210)+DD210)/2)/(1000*0.61365*exp(17.502*W210/(240.97+W210))/(DI210+DJ210)-DD210)</f>
        <v>0</v>
      </c>
      <c r="T210">
        <f>1/((CW210+1)/(Q210/1.6)+1/(R210/1.37)) + CW210/((CW210+1)/(Q210/1.6) + CW210/(R210/1.37))</f>
        <v>0</v>
      </c>
      <c r="U210">
        <f>(CR210*CU210)</f>
        <v>0</v>
      </c>
      <c r="V210">
        <f>(DK210+(U210+2*0.95*5.67E-8*(((DK210+$B$7)+273)^4-(DK210+273)^4)-44100*J210)/(1.84*29.3*R210+8*0.95*5.67E-8*(DK210+273)^3))</f>
        <v>0</v>
      </c>
      <c r="W210">
        <f>($C$7*DL210+$D$7*DM210+$E$7*V210)</f>
        <v>0</v>
      </c>
      <c r="X210">
        <f>0.61365*exp(17.502*W210/(240.97+W210))</f>
        <v>0</v>
      </c>
      <c r="Y210">
        <f>(Z210/AA210*100)</f>
        <v>0</v>
      </c>
      <c r="Z210">
        <f>DD210*(DI210+DJ210)/1000</f>
        <v>0</v>
      </c>
      <c r="AA210">
        <f>0.61365*exp(17.502*DK210/(240.97+DK210))</f>
        <v>0</v>
      </c>
      <c r="AB210">
        <f>(X210-DD210*(DI210+DJ210)/1000)</f>
        <v>0</v>
      </c>
      <c r="AC210">
        <f>(-J210*44100)</f>
        <v>0</v>
      </c>
      <c r="AD210">
        <f>2*29.3*R210*0.92*(DK210-W210)</f>
        <v>0</v>
      </c>
      <c r="AE210">
        <f>2*0.95*5.67E-8*(((DK210+$B$7)+273)^4-(W210+273)^4)</f>
        <v>0</v>
      </c>
      <c r="AF210">
        <f>U210+AE210+AC210+AD210</f>
        <v>0</v>
      </c>
      <c r="AG210">
        <f>DH210*AU210*(DC210-DB210*(1000-AU210*DE210)/(1000-AU210*DD210))/(100*CV210)</f>
        <v>0</v>
      </c>
      <c r="AH210">
        <f>1000*DH210*AU210*(DD210-DE210)/(100*CV210*(1000-AU210*DD210))</f>
        <v>0</v>
      </c>
      <c r="AI210">
        <f>(AJ210 - AK210 - DI210*1E3/(8.314*(DK210+273.15)) * AM210/DH210 * AL210) * DH210/(100*CV210) * (1000 - DE210)/1000</f>
        <v>0</v>
      </c>
      <c r="AJ210">
        <v>362.6676022426869</v>
      </c>
      <c r="AK210">
        <v>359.0718303030303</v>
      </c>
      <c r="AL210">
        <v>-3.191086091298257</v>
      </c>
      <c r="AM210">
        <v>66.38192812717227</v>
      </c>
      <c r="AN210">
        <f>(AP210 - AO210 + DI210*1E3/(8.314*(DK210+273.15)) * AR210/DH210 * AQ210) * DH210/(100*CV210) * 1000/(1000 - AP210)</f>
        <v>0</v>
      </c>
      <c r="AO210">
        <v>14.14138252827365</v>
      </c>
      <c r="AP210">
        <v>18.35142235294116</v>
      </c>
      <c r="AQ210">
        <v>0.0004480631735532175</v>
      </c>
      <c r="AR210">
        <v>80.47224507511959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MAX(0,($B$13+$C$13*DP210)/(1+$D$13*DP210)*DI210/(DK210+273)*$E$13)</f>
        <v>0</v>
      </c>
      <c r="AX210" t="s">
        <v>417</v>
      </c>
      <c r="AY210" t="s">
        <v>417</v>
      </c>
      <c r="AZ210">
        <v>0</v>
      </c>
      <c r="BA210">
        <v>0</v>
      </c>
      <c r="BB210">
        <f>1-AZ210/BA210</f>
        <v>0</v>
      </c>
      <c r="BC210">
        <v>0</v>
      </c>
      <c r="BD210" t="s">
        <v>417</v>
      </c>
      <c r="BE210" t="s">
        <v>417</v>
      </c>
      <c r="BF210">
        <v>0</v>
      </c>
      <c r="BG210">
        <v>0</v>
      </c>
      <c r="BH210">
        <f>1-BF210/BG210</f>
        <v>0</v>
      </c>
      <c r="BI210">
        <v>0.5</v>
      </c>
      <c r="BJ210">
        <f>CS210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417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1248</v>
      </c>
      <c r="CA210">
        <v>300</v>
      </c>
      <c r="CB210">
        <v>300</v>
      </c>
      <c r="CC210">
        <v>300</v>
      </c>
      <c r="CD210">
        <v>10442</v>
      </c>
      <c r="CE210">
        <v>1293.69</v>
      </c>
      <c r="CF210">
        <v>-0.00735246</v>
      </c>
      <c r="CG210">
        <v>0.5</v>
      </c>
      <c r="CH210" t="s">
        <v>417</v>
      </c>
      <c r="CI210" t="s">
        <v>417</v>
      </c>
      <c r="CJ210" t="s">
        <v>417</v>
      </c>
      <c r="CK210" t="s">
        <v>417</v>
      </c>
      <c r="CL210" t="s">
        <v>417</v>
      </c>
      <c r="CM210" t="s">
        <v>417</v>
      </c>
      <c r="CN210" t="s">
        <v>417</v>
      </c>
      <c r="CO210" t="s">
        <v>417</v>
      </c>
      <c r="CP210" t="s">
        <v>417</v>
      </c>
      <c r="CQ210" t="s">
        <v>417</v>
      </c>
      <c r="CR210">
        <f>$B$11*DQ210+$C$11*DR210+$F$11*EC210*(1-EF210)</f>
        <v>0</v>
      </c>
      <c r="CS210">
        <f>CR210*CT210</f>
        <v>0</v>
      </c>
      <c r="CT210">
        <f>($B$11*$D$9+$C$11*$D$9+$F$11*((EP210+EH210)/MAX(EP210+EH210+EQ210, 0.1)*$I$9+EQ210/MAX(EP210+EH210+EQ210, 0.1)*$J$9))/($B$11+$C$11+$F$11)</f>
        <v>0</v>
      </c>
      <c r="CU210">
        <f>($B$11*$K$9+$C$11*$K$9+$F$11*((EP210+EH210)/MAX(EP210+EH210+EQ210, 0.1)*$P$9+EQ210/MAX(EP210+EH210+EQ210, 0.1)*$Q$9))/($B$11+$C$11+$F$11)</f>
        <v>0</v>
      </c>
      <c r="CV210">
        <v>6</v>
      </c>
      <c r="CW210">
        <v>0.5</v>
      </c>
      <c r="CX210" t="s">
        <v>418</v>
      </c>
      <c r="CY210">
        <v>2</v>
      </c>
      <c r="CZ210" t="b">
        <v>1</v>
      </c>
      <c r="DA210">
        <v>1651864784.1</v>
      </c>
      <c r="DB210">
        <v>354.041</v>
      </c>
      <c r="DC210">
        <v>351.6956666666667</v>
      </c>
      <c r="DD210">
        <v>18.35143333333333</v>
      </c>
      <c r="DE210">
        <v>14.14093333333333</v>
      </c>
      <c r="DF210">
        <v>354.945</v>
      </c>
      <c r="DG210">
        <v>18.33103333333333</v>
      </c>
      <c r="DH210">
        <v>500.0596666666667</v>
      </c>
      <c r="DI210">
        <v>89.9348</v>
      </c>
      <c r="DJ210">
        <v>0.09989340000000001</v>
      </c>
      <c r="DK210">
        <v>25.63596666666666</v>
      </c>
      <c r="DL210">
        <v>24.9944</v>
      </c>
      <c r="DM210">
        <v>999.9</v>
      </c>
      <c r="DN210">
        <v>0</v>
      </c>
      <c r="DO210">
        <v>0</v>
      </c>
      <c r="DP210">
        <v>10020</v>
      </c>
      <c r="DQ210">
        <v>0</v>
      </c>
      <c r="DR210">
        <v>3.23193</v>
      </c>
      <c r="DS210">
        <v>2.345166666666667</v>
      </c>
      <c r="DT210">
        <v>360.659</v>
      </c>
      <c r="DU210">
        <v>356.7403333333334</v>
      </c>
      <c r="DV210">
        <v>4.210516666666667</v>
      </c>
      <c r="DW210">
        <v>351.6956666666667</v>
      </c>
      <c r="DX210">
        <v>14.14093333333333</v>
      </c>
      <c r="DY210">
        <v>1.650433333333333</v>
      </c>
      <c r="DZ210">
        <v>1.271766666666666</v>
      </c>
      <c r="EA210">
        <v>14.43796666666667</v>
      </c>
      <c r="EB210">
        <v>10.4692</v>
      </c>
      <c r="EC210">
        <v>1500.06</v>
      </c>
      <c r="ED210">
        <v>0.972997</v>
      </c>
      <c r="EE210">
        <v>0.02700303333333333</v>
      </c>
      <c r="EF210">
        <v>0</v>
      </c>
      <c r="EG210">
        <v>841.7280000000001</v>
      </c>
      <c r="EH210">
        <v>5.00097</v>
      </c>
      <c r="EI210">
        <v>12505.3</v>
      </c>
      <c r="EJ210">
        <v>12492.1</v>
      </c>
      <c r="EK210">
        <v>37.25</v>
      </c>
      <c r="EL210">
        <v>38.687</v>
      </c>
      <c r="EM210">
        <v>37.625</v>
      </c>
      <c r="EN210">
        <v>38.437</v>
      </c>
      <c r="EO210">
        <v>38.125</v>
      </c>
      <c r="EP210">
        <v>1454.69</v>
      </c>
      <c r="EQ210">
        <v>40.37</v>
      </c>
      <c r="ER210">
        <v>0</v>
      </c>
      <c r="ES210">
        <v>564</v>
      </c>
      <c r="ET210">
        <v>0</v>
      </c>
      <c r="EU210">
        <v>843.8121923076924</v>
      </c>
      <c r="EV210">
        <v>-19.56584617447145</v>
      </c>
      <c r="EW210">
        <v>-292.2529917442156</v>
      </c>
      <c r="EX210">
        <v>12536.27692307692</v>
      </c>
      <c r="EY210">
        <v>15</v>
      </c>
      <c r="EZ210">
        <v>1651864261.1</v>
      </c>
      <c r="FA210" t="s">
        <v>419</v>
      </c>
      <c r="FB210">
        <v>1651864241.6</v>
      </c>
      <c r="FC210">
        <v>1651864261.1</v>
      </c>
      <c r="FD210">
        <v>7</v>
      </c>
      <c r="FE210">
        <v>0.438</v>
      </c>
      <c r="FF210">
        <v>0.002</v>
      </c>
      <c r="FG210">
        <v>-0.988</v>
      </c>
      <c r="FH210">
        <v>-0.066</v>
      </c>
      <c r="FI210">
        <v>400</v>
      </c>
      <c r="FJ210">
        <v>11</v>
      </c>
      <c r="FK210">
        <v>0.05</v>
      </c>
      <c r="FL210">
        <v>0.02</v>
      </c>
      <c r="FM210">
        <v>0.7360923439024391</v>
      </c>
      <c r="FN210">
        <v>9.259500823693376</v>
      </c>
      <c r="FO210">
        <v>0.9135948978494176</v>
      </c>
      <c r="FP210">
        <v>-1</v>
      </c>
      <c r="FQ210">
        <v>4.206356341463414</v>
      </c>
      <c r="FR210">
        <v>-0.05961261324041751</v>
      </c>
      <c r="FS210">
        <v>0.01642796244303429</v>
      </c>
      <c r="FT210">
        <v>-1</v>
      </c>
      <c r="FU210">
        <v>0</v>
      </c>
      <c r="FV210">
        <v>0</v>
      </c>
      <c r="FW210">
        <v>0</v>
      </c>
      <c r="FX210">
        <v>-1</v>
      </c>
      <c r="FY210">
        <v>0</v>
      </c>
      <c r="FZ210">
        <v>0</v>
      </c>
      <c r="GA210" t="s">
        <v>420</v>
      </c>
      <c r="GB210">
        <v>2.98049</v>
      </c>
      <c r="GC210">
        <v>2.70631</v>
      </c>
      <c r="GD210">
        <v>0.081388</v>
      </c>
      <c r="GE210">
        <v>0.0799691</v>
      </c>
      <c r="GF210">
        <v>0.0876632</v>
      </c>
      <c r="GG210">
        <v>0.07164570000000001</v>
      </c>
      <c r="GH210">
        <v>28989</v>
      </c>
      <c r="GI210">
        <v>29098.3</v>
      </c>
      <c r="GJ210">
        <v>29343</v>
      </c>
      <c r="GK210">
        <v>29258.2</v>
      </c>
      <c r="GL210">
        <v>35447.5</v>
      </c>
      <c r="GM210">
        <v>36175.1</v>
      </c>
      <c r="GN210">
        <v>41301.3</v>
      </c>
      <c r="GO210">
        <v>41761.1</v>
      </c>
      <c r="GP210">
        <v>1.95522</v>
      </c>
      <c r="GQ210">
        <v>1.84973</v>
      </c>
      <c r="GR210">
        <v>-0.0209399</v>
      </c>
      <c r="GS210">
        <v>0</v>
      </c>
      <c r="GT210">
        <v>25.3386</v>
      </c>
      <c r="GU210">
        <v>999.9</v>
      </c>
      <c r="GV210">
        <v>31.6</v>
      </c>
      <c r="GW210">
        <v>34.3</v>
      </c>
      <c r="GX210">
        <v>19.0909</v>
      </c>
      <c r="GY210">
        <v>62.3575</v>
      </c>
      <c r="GZ210">
        <v>34.8397</v>
      </c>
      <c r="HA210">
        <v>1</v>
      </c>
      <c r="HB210">
        <v>0.107828</v>
      </c>
      <c r="HC210">
        <v>2.31872</v>
      </c>
      <c r="HD210">
        <v>20.3182</v>
      </c>
      <c r="HE210">
        <v>5.21654</v>
      </c>
      <c r="HF210">
        <v>12.0099</v>
      </c>
      <c r="HG210">
        <v>4.9892</v>
      </c>
      <c r="HH210">
        <v>3.28865</v>
      </c>
      <c r="HI210">
        <v>999.6</v>
      </c>
      <c r="HJ210">
        <v>9554.299999999999</v>
      </c>
      <c r="HK210">
        <v>5139.4</v>
      </c>
      <c r="HL210">
        <v>24.9</v>
      </c>
      <c r="HM210">
        <v>1.86752</v>
      </c>
      <c r="HN210">
        <v>1.86646</v>
      </c>
      <c r="HO210">
        <v>1.866</v>
      </c>
      <c r="HP210">
        <v>1.86586</v>
      </c>
      <c r="HQ210">
        <v>1.8677</v>
      </c>
      <c r="HR210">
        <v>1.87024</v>
      </c>
      <c r="HS210">
        <v>1.86889</v>
      </c>
      <c r="HT210">
        <v>1.87026</v>
      </c>
      <c r="HU210">
        <v>0</v>
      </c>
      <c r="HV210">
        <v>0</v>
      </c>
      <c r="HW210">
        <v>0</v>
      </c>
      <c r="HX210">
        <v>0</v>
      </c>
      <c r="HY210" t="s">
        <v>421</v>
      </c>
      <c r="HZ210" t="s">
        <v>422</v>
      </c>
      <c r="IA210" t="s">
        <v>423</v>
      </c>
      <c r="IB210" t="s">
        <v>423</v>
      </c>
      <c r="IC210" t="s">
        <v>423</v>
      </c>
      <c r="ID210" t="s">
        <v>423</v>
      </c>
      <c r="IE210">
        <v>0</v>
      </c>
      <c r="IF210">
        <v>100</v>
      </c>
      <c r="IG210">
        <v>100</v>
      </c>
      <c r="IH210">
        <v>-0.899</v>
      </c>
      <c r="II210">
        <v>0.0204</v>
      </c>
      <c r="IJ210">
        <v>-0.2164499368582429</v>
      </c>
      <c r="IK210">
        <v>-0.002077099775823331</v>
      </c>
      <c r="IL210">
        <v>4.593143279902166E-07</v>
      </c>
      <c r="IM210">
        <v>-1.865383991892071E-10</v>
      </c>
      <c r="IN210">
        <v>-0.06087574426827484</v>
      </c>
      <c r="IO210">
        <v>-0.01129461987421345</v>
      </c>
      <c r="IP210">
        <v>0.00116580895745559</v>
      </c>
      <c r="IQ210">
        <v>-1.679085872906199E-05</v>
      </c>
      <c r="IR210">
        <v>2</v>
      </c>
      <c r="IS210">
        <v>2290</v>
      </c>
      <c r="IT210">
        <v>0</v>
      </c>
      <c r="IU210">
        <v>32</v>
      </c>
      <c r="IV210">
        <v>9.1</v>
      </c>
      <c r="IW210">
        <v>8.699999999999999</v>
      </c>
      <c r="IX210">
        <v>0.8691410000000001</v>
      </c>
      <c r="IY210">
        <v>2.23999</v>
      </c>
      <c r="IZ210">
        <v>1.39648</v>
      </c>
      <c r="JA210">
        <v>2.35718</v>
      </c>
      <c r="JB210">
        <v>1.49536</v>
      </c>
      <c r="JC210">
        <v>2.30835</v>
      </c>
      <c r="JD210">
        <v>38.5014</v>
      </c>
      <c r="JE210">
        <v>24.035</v>
      </c>
      <c r="JF210">
        <v>18</v>
      </c>
      <c r="JG210">
        <v>511.053</v>
      </c>
      <c r="JH210">
        <v>428.769</v>
      </c>
      <c r="JI210">
        <v>22.2026</v>
      </c>
      <c r="JJ210">
        <v>28.6903</v>
      </c>
      <c r="JK210">
        <v>30.0003</v>
      </c>
      <c r="JL210">
        <v>28.652</v>
      </c>
      <c r="JM210">
        <v>28.5896</v>
      </c>
      <c r="JN210">
        <v>17.3508</v>
      </c>
      <c r="JO210">
        <v>26.5129</v>
      </c>
      <c r="JP210">
        <v>0</v>
      </c>
      <c r="JQ210">
        <v>22.1959</v>
      </c>
      <c r="JR210">
        <v>326.404</v>
      </c>
      <c r="JS210">
        <v>14.1382</v>
      </c>
      <c r="JT210">
        <v>100.3</v>
      </c>
      <c r="JU210">
        <v>100.229</v>
      </c>
    </row>
    <row r="211" spans="1:281">
      <c r="A211">
        <v>195</v>
      </c>
      <c r="B211">
        <v>1651864787.1</v>
      </c>
      <c r="C211">
        <v>566.5</v>
      </c>
      <c r="D211" t="s">
        <v>810</v>
      </c>
      <c r="E211" t="s">
        <v>811</v>
      </c>
      <c r="F211">
        <v>2</v>
      </c>
      <c r="G211" t="s">
        <v>413</v>
      </c>
      <c r="H211" t="s">
        <v>414</v>
      </c>
      <c r="I211">
        <v>1651864785.725</v>
      </c>
      <c r="J211">
        <f>(K211)/1000</f>
        <v>0</v>
      </c>
      <c r="K211">
        <f>IF(CZ211, AN211, AH211)</f>
        <v>0</v>
      </c>
      <c r="L211">
        <f>IF(CZ211, AI211, AG211)</f>
        <v>0</v>
      </c>
      <c r="M211">
        <f>DB211 - IF(AU211&gt;1, L211*CV211*100.0/(AW211*DP211), 0)</f>
        <v>0</v>
      </c>
      <c r="N211">
        <f>((T211-J211/2)*M211-L211)/(T211+J211/2)</f>
        <v>0</v>
      </c>
      <c r="O211">
        <f>N211*(DI211+DJ211)/1000.0</f>
        <v>0</v>
      </c>
      <c r="P211">
        <f>(DB211 - IF(AU211&gt;1, L211*CV211*100.0/(AW211*DP211), 0))*(DI211+DJ211)/1000.0</f>
        <v>0</v>
      </c>
      <c r="Q211">
        <f>2.0/((1/S211-1/R211)+SIGN(S211)*SQRT((1/S211-1/R211)*(1/S211-1/R211) + 4*CW211/((CW211+1)*(CW211+1))*(2*1/S211*1/R211-1/R211*1/R211)))</f>
        <v>0</v>
      </c>
      <c r="R211">
        <f>IF(LEFT(CX211,1)&lt;&gt;"0",IF(LEFT(CX211,1)="1",3.0,CY211),$D$5+$E$5*(DP211*DI211/($K$5*1000))+$F$5*(DP211*DI211/($K$5*1000))*MAX(MIN(CV211,$J$5),$I$5)*MAX(MIN(CV211,$J$5),$I$5)+$G$5*MAX(MIN(CV211,$J$5),$I$5)*(DP211*DI211/($K$5*1000))+$H$5*(DP211*DI211/($K$5*1000))*(DP211*DI211/($K$5*1000)))</f>
        <v>0</v>
      </c>
      <c r="S211">
        <f>J211*(1000-(1000*0.61365*exp(17.502*W211/(240.97+W211))/(DI211+DJ211)+DD211)/2)/(1000*0.61365*exp(17.502*W211/(240.97+W211))/(DI211+DJ211)-DD211)</f>
        <v>0</v>
      </c>
      <c r="T211">
        <f>1/((CW211+1)/(Q211/1.6)+1/(R211/1.37)) + CW211/((CW211+1)/(Q211/1.6) + CW211/(R211/1.37))</f>
        <v>0</v>
      </c>
      <c r="U211">
        <f>(CR211*CU211)</f>
        <v>0</v>
      </c>
      <c r="V211">
        <f>(DK211+(U211+2*0.95*5.67E-8*(((DK211+$B$7)+273)^4-(DK211+273)^4)-44100*J211)/(1.84*29.3*R211+8*0.95*5.67E-8*(DK211+273)^3))</f>
        <v>0</v>
      </c>
      <c r="W211">
        <f>($C$7*DL211+$D$7*DM211+$E$7*V211)</f>
        <v>0</v>
      </c>
      <c r="X211">
        <f>0.61365*exp(17.502*W211/(240.97+W211))</f>
        <v>0</v>
      </c>
      <c r="Y211">
        <f>(Z211/AA211*100)</f>
        <v>0</v>
      </c>
      <c r="Z211">
        <f>DD211*(DI211+DJ211)/1000</f>
        <v>0</v>
      </c>
      <c r="AA211">
        <f>0.61365*exp(17.502*DK211/(240.97+DK211))</f>
        <v>0</v>
      </c>
      <c r="AB211">
        <f>(X211-DD211*(DI211+DJ211)/1000)</f>
        <v>0</v>
      </c>
      <c r="AC211">
        <f>(-J211*44100)</f>
        <v>0</v>
      </c>
      <c r="AD211">
        <f>2*29.3*R211*0.92*(DK211-W211)</f>
        <v>0</v>
      </c>
      <c r="AE211">
        <f>2*0.95*5.67E-8*(((DK211+$B$7)+273)^4-(W211+273)^4)</f>
        <v>0</v>
      </c>
      <c r="AF211">
        <f>U211+AE211+AC211+AD211</f>
        <v>0</v>
      </c>
      <c r="AG211">
        <f>DH211*AU211*(DC211-DB211*(1000-AU211*DE211)/(1000-AU211*DD211))/(100*CV211)</f>
        <v>0</v>
      </c>
      <c r="AH211">
        <f>1000*DH211*AU211*(DD211-DE211)/(100*CV211*(1000-AU211*DD211))</f>
        <v>0</v>
      </c>
      <c r="AI211">
        <f>(AJ211 - AK211 - DI211*1E3/(8.314*(DK211+273.15)) * AM211/DH211 * AL211) * DH211/(100*CV211) * (1000 - DE211)/1000</f>
        <v>0</v>
      </c>
      <c r="AJ211">
        <v>355.9660373787534</v>
      </c>
      <c r="AK211">
        <v>352.715090909091</v>
      </c>
      <c r="AL211">
        <v>-3.178471880160874</v>
      </c>
      <c r="AM211">
        <v>66.38192812717227</v>
      </c>
      <c r="AN211">
        <f>(AP211 - AO211 + DI211*1E3/(8.314*(DK211+273.15)) * AR211/DH211 * AQ211) * DH211/(100*CV211) * 1000/(1000 - AP211)</f>
        <v>0</v>
      </c>
      <c r="AO211">
        <v>14.14090606354887</v>
      </c>
      <c r="AP211">
        <v>18.35387499999999</v>
      </c>
      <c r="AQ211">
        <v>9.308396969226225E-05</v>
      </c>
      <c r="AR211">
        <v>80.47224507511959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MAX(0,($B$13+$C$13*DP211)/(1+$D$13*DP211)*DI211/(DK211+273)*$E$13)</f>
        <v>0</v>
      </c>
      <c r="AX211" t="s">
        <v>417</v>
      </c>
      <c r="AY211" t="s">
        <v>417</v>
      </c>
      <c r="AZ211">
        <v>0</v>
      </c>
      <c r="BA211">
        <v>0</v>
      </c>
      <c r="BB211">
        <f>1-AZ211/BA211</f>
        <v>0</v>
      </c>
      <c r="BC211">
        <v>0</v>
      </c>
      <c r="BD211" t="s">
        <v>417</v>
      </c>
      <c r="BE211" t="s">
        <v>417</v>
      </c>
      <c r="BF211">
        <v>0</v>
      </c>
      <c r="BG211">
        <v>0</v>
      </c>
      <c r="BH211">
        <f>1-BF211/BG211</f>
        <v>0</v>
      </c>
      <c r="BI211">
        <v>0.5</v>
      </c>
      <c r="BJ211">
        <f>CS211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417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1248</v>
      </c>
      <c r="CA211">
        <v>300</v>
      </c>
      <c r="CB211">
        <v>300</v>
      </c>
      <c r="CC211">
        <v>300</v>
      </c>
      <c r="CD211">
        <v>10442</v>
      </c>
      <c r="CE211">
        <v>1293.69</v>
      </c>
      <c r="CF211">
        <v>-0.00735246</v>
      </c>
      <c r="CG211">
        <v>0.5</v>
      </c>
      <c r="CH211" t="s">
        <v>417</v>
      </c>
      <c r="CI211" t="s">
        <v>417</v>
      </c>
      <c r="CJ211" t="s">
        <v>417</v>
      </c>
      <c r="CK211" t="s">
        <v>417</v>
      </c>
      <c r="CL211" t="s">
        <v>417</v>
      </c>
      <c r="CM211" t="s">
        <v>417</v>
      </c>
      <c r="CN211" t="s">
        <v>417</v>
      </c>
      <c r="CO211" t="s">
        <v>417</v>
      </c>
      <c r="CP211" t="s">
        <v>417</v>
      </c>
      <c r="CQ211" t="s">
        <v>417</v>
      </c>
      <c r="CR211">
        <f>$B$11*DQ211+$C$11*DR211+$F$11*EC211*(1-EF211)</f>
        <v>0</v>
      </c>
      <c r="CS211">
        <f>CR211*CT211</f>
        <v>0</v>
      </c>
      <c r="CT211">
        <f>($B$11*$D$9+$C$11*$D$9+$F$11*((EP211+EH211)/MAX(EP211+EH211+EQ211, 0.1)*$I$9+EQ211/MAX(EP211+EH211+EQ211, 0.1)*$J$9))/($B$11+$C$11+$F$11)</f>
        <v>0</v>
      </c>
      <c r="CU211">
        <f>($B$11*$K$9+$C$11*$K$9+$F$11*((EP211+EH211)/MAX(EP211+EH211+EQ211, 0.1)*$P$9+EQ211/MAX(EP211+EH211+EQ211, 0.1)*$Q$9))/($B$11+$C$11+$F$11)</f>
        <v>0</v>
      </c>
      <c r="CV211">
        <v>6</v>
      </c>
      <c r="CW211">
        <v>0.5</v>
      </c>
      <c r="CX211" t="s">
        <v>418</v>
      </c>
      <c r="CY211">
        <v>2</v>
      </c>
      <c r="CZ211" t="b">
        <v>1</v>
      </c>
      <c r="DA211">
        <v>1651864785.725</v>
      </c>
      <c r="DB211">
        <v>348.96925</v>
      </c>
      <c r="DC211">
        <v>346.3247499999999</v>
      </c>
      <c r="DD211">
        <v>18.353</v>
      </c>
      <c r="DE211">
        <v>14.141175</v>
      </c>
      <c r="DF211">
        <v>349.864</v>
      </c>
      <c r="DG211">
        <v>18.3326</v>
      </c>
      <c r="DH211">
        <v>500.041</v>
      </c>
      <c r="DI211">
        <v>89.932925</v>
      </c>
      <c r="DJ211">
        <v>0.100115175</v>
      </c>
      <c r="DK211">
        <v>25.6357</v>
      </c>
      <c r="DL211">
        <v>24.998375</v>
      </c>
      <c r="DM211">
        <v>999.9</v>
      </c>
      <c r="DN211">
        <v>0</v>
      </c>
      <c r="DO211">
        <v>0</v>
      </c>
      <c r="DP211">
        <v>10005</v>
      </c>
      <c r="DQ211">
        <v>0</v>
      </c>
      <c r="DR211">
        <v>3.23193</v>
      </c>
      <c r="DS211">
        <v>2.644255</v>
      </c>
      <c r="DT211">
        <v>355.4934999999999</v>
      </c>
      <c r="DU211">
        <v>351.2925</v>
      </c>
      <c r="DV211">
        <v>4.211855</v>
      </c>
      <c r="DW211">
        <v>346.3247499999999</v>
      </c>
      <c r="DX211">
        <v>14.141175</v>
      </c>
      <c r="DY211">
        <v>1.65054</v>
      </c>
      <c r="DZ211">
        <v>1.2717575</v>
      </c>
      <c r="EA211">
        <v>14.43895</v>
      </c>
      <c r="EB211">
        <v>10.46915</v>
      </c>
      <c r="EC211">
        <v>1500.0025</v>
      </c>
      <c r="ED211">
        <v>0.9730044999999999</v>
      </c>
      <c r="EE211">
        <v>0.026995475</v>
      </c>
      <c r="EF211">
        <v>0</v>
      </c>
      <c r="EG211">
        <v>841.2685</v>
      </c>
      <c r="EH211">
        <v>5.00097</v>
      </c>
      <c r="EI211">
        <v>12496.875</v>
      </c>
      <c r="EJ211">
        <v>12491.65</v>
      </c>
      <c r="EK211">
        <v>37.25</v>
      </c>
      <c r="EL211">
        <v>38.687</v>
      </c>
      <c r="EM211">
        <v>37.625</v>
      </c>
      <c r="EN211">
        <v>38.406</v>
      </c>
      <c r="EO211">
        <v>38.125</v>
      </c>
      <c r="EP211">
        <v>1454.645</v>
      </c>
      <c r="EQ211">
        <v>40.3575</v>
      </c>
      <c r="ER211">
        <v>0</v>
      </c>
      <c r="ES211">
        <v>565.7999999523163</v>
      </c>
      <c r="ET211">
        <v>0</v>
      </c>
      <c r="EU211">
        <v>843.1505199999999</v>
      </c>
      <c r="EV211">
        <v>-20.3073846602584</v>
      </c>
      <c r="EW211">
        <v>-292.8769235851656</v>
      </c>
      <c r="EX211">
        <v>12525.98</v>
      </c>
      <c r="EY211">
        <v>15</v>
      </c>
      <c r="EZ211">
        <v>1651864261.1</v>
      </c>
      <c r="FA211" t="s">
        <v>419</v>
      </c>
      <c r="FB211">
        <v>1651864241.6</v>
      </c>
      <c r="FC211">
        <v>1651864261.1</v>
      </c>
      <c r="FD211">
        <v>7</v>
      </c>
      <c r="FE211">
        <v>0.438</v>
      </c>
      <c r="FF211">
        <v>0.002</v>
      </c>
      <c r="FG211">
        <v>-0.988</v>
      </c>
      <c r="FH211">
        <v>-0.066</v>
      </c>
      <c r="FI211">
        <v>400</v>
      </c>
      <c r="FJ211">
        <v>11</v>
      </c>
      <c r="FK211">
        <v>0.05</v>
      </c>
      <c r="FL211">
        <v>0.02</v>
      </c>
      <c r="FM211">
        <v>1.1622460275</v>
      </c>
      <c r="FN211">
        <v>9.318979775234522</v>
      </c>
      <c r="FO211">
        <v>0.8970329202578218</v>
      </c>
      <c r="FP211">
        <v>-1</v>
      </c>
      <c r="FQ211">
        <v>4.202621</v>
      </c>
      <c r="FR211">
        <v>0.03556277673545079</v>
      </c>
      <c r="FS211">
        <v>0.01182555427876424</v>
      </c>
      <c r="FT211">
        <v>-1</v>
      </c>
      <c r="FU211">
        <v>0</v>
      </c>
      <c r="FV211">
        <v>0</v>
      </c>
      <c r="FW211">
        <v>0</v>
      </c>
      <c r="FX211">
        <v>-1</v>
      </c>
      <c r="FY211">
        <v>0</v>
      </c>
      <c r="FZ211">
        <v>0</v>
      </c>
      <c r="GA211" t="s">
        <v>420</v>
      </c>
      <c r="GB211">
        <v>2.98048</v>
      </c>
      <c r="GC211">
        <v>2.70628</v>
      </c>
      <c r="GD211">
        <v>0.0802322</v>
      </c>
      <c r="GE211">
        <v>0.0787585</v>
      </c>
      <c r="GF211">
        <v>0.0876691</v>
      </c>
      <c r="GG211">
        <v>0.0716431</v>
      </c>
      <c r="GH211">
        <v>29025.3</v>
      </c>
      <c r="GI211">
        <v>29136.6</v>
      </c>
      <c r="GJ211">
        <v>29342.8</v>
      </c>
      <c r="GK211">
        <v>29258.1</v>
      </c>
      <c r="GL211">
        <v>35447.1</v>
      </c>
      <c r="GM211">
        <v>36175</v>
      </c>
      <c r="GN211">
        <v>41301.2</v>
      </c>
      <c r="GO211">
        <v>41760.9</v>
      </c>
      <c r="GP211">
        <v>1.9553</v>
      </c>
      <c r="GQ211">
        <v>1.8496</v>
      </c>
      <c r="GR211">
        <v>-0.020396</v>
      </c>
      <c r="GS211">
        <v>0</v>
      </c>
      <c r="GT211">
        <v>25.3375</v>
      </c>
      <c r="GU211">
        <v>999.9</v>
      </c>
      <c r="GV211">
        <v>31.6</v>
      </c>
      <c r="GW211">
        <v>34.3</v>
      </c>
      <c r="GX211">
        <v>19.0914</v>
      </c>
      <c r="GY211">
        <v>62.5175</v>
      </c>
      <c r="GZ211">
        <v>35.2684</v>
      </c>
      <c r="HA211">
        <v>1</v>
      </c>
      <c r="HB211">
        <v>0.107797</v>
      </c>
      <c r="HC211">
        <v>2.32173</v>
      </c>
      <c r="HD211">
        <v>20.3182</v>
      </c>
      <c r="HE211">
        <v>5.21609</v>
      </c>
      <c r="HF211">
        <v>12.0099</v>
      </c>
      <c r="HG211">
        <v>4.9889</v>
      </c>
      <c r="HH211">
        <v>3.28858</v>
      </c>
      <c r="HI211">
        <v>999.6</v>
      </c>
      <c r="HJ211">
        <v>9554.299999999999</v>
      </c>
      <c r="HK211">
        <v>5139.4</v>
      </c>
      <c r="HL211">
        <v>24.9</v>
      </c>
      <c r="HM211">
        <v>1.86752</v>
      </c>
      <c r="HN211">
        <v>1.86646</v>
      </c>
      <c r="HO211">
        <v>1.866</v>
      </c>
      <c r="HP211">
        <v>1.86586</v>
      </c>
      <c r="HQ211">
        <v>1.86771</v>
      </c>
      <c r="HR211">
        <v>1.87023</v>
      </c>
      <c r="HS211">
        <v>1.86889</v>
      </c>
      <c r="HT211">
        <v>1.87026</v>
      </c>
      <c r="HU211">
        <v>0</v>
      </c>
      <c r="HV211">
        <v>0</v>
      </c>
      <c r="HW211">
        <v>0</v>
      </c>
      <c r="HX211">
        <v>0</v>
      </c>
      <c r="HY211" t="s">
        <v>421</v>
      </c>
      <c r="HZ211" t="s">
        <v>422</v>
      </c>
      <c r="IA211" t="s">
        <v>423</v>
      </c>
      <c r="IB211" t="s">
        <v>423</v>
      </c>
      <c r="IC211" t="s">
        <v>423</v>
      </c>
      <c r="ID211" t="s">
        <v>423</v>
      </c>
      <c r="IE211">
        <v>0</v>
      </c>
      <c r="IF211">
        <v>100</v>
      </c>
      <c r="IG211">
        <v>100</v>
      </c>
      <c r="IH211">
        <v>-0.887</v>
      </c>
      <c r="II211">
        <v>0.0205</v>
      </c>
      <c r="IJ211">
        <v>-0.2164499368582429</v>
      </c>
      <c r="IK211">
        <v>-0.002077099775823331</v>
      </c>
      <c r="IL211">
        <v>4.593143279902166E-07</v>
      </c>
      <c r="IM211">
        <v>-1.865383991892071E-10</v>
      </c>
      <c r="IN211">
        <v>-0.06087574426827484</v>
      </c>
      <c r="IO211">
        <v>-0.01129461987421345</v>
      </c>
      <c r="IP211">
        <v>0.00116580895745559</v>
      </c>
      <c r="IQ211">
        <v>-1.679085872906199E-05</v>
      </c>
      <c r="IR211">
        <v>2</v>
      </c>
      <c r="IS211">
        <v>2290</v>
      </c>
      <c r="IT211">
        <v>0</v>
      </c>
      <c r="IU211">
        <v>32</v>
      </c>
      <c r="IV211">
        <v>9.1</v>
      </c>
      <c r="IW211">
        <v>8.800000000000001</v>
      </c>
      <c r="IX211">
        <v>0.854492</v>
      </c>
      <c r="IY211">
        <v>2.23511</v>
      </c>
      <c r="IZ211">
        <v>1.39648</v>
      </c>
      <c r="JA211">
        <v>2.35596</v>
      </c>
      <c r="JB211">
        <v>1.49536</v>
      </c>
      <c r="JC211">
        <v>2.35962</v>
      </c>
      <c r="JD211">
        <v>38.5014</v>
      </c>
      <c r="JE211">
        <v>24.035</v>
      </c>
      <c r="JF211">
        <v>18</v>
      </c>
      <c r="JG211">
        <v>511.112</v>
      </c>
      <c r="JH211">
        <v>428.694</v>
      </c>
      <c r="JI211">
        <v>22.2021</v>
      </c>
      <c r="JJ211">
        <v>28.6903</v>
      </c>
      <c r="JK211">
        <v>30.0003</v>
      </c>
      <c r="JL211">
        <v>28.6533</v>
      </c>
      <c r="JM211">
        <v>28.5896</v>
      </c>
      <c r="JN211">
        <v>17.0774</v>
      </c>
      <c r="JO211">
        <v>26.5129</v>
      </c>
      <c r="JP211">
        <v>0</v>
      </c>
      <c r="JQ211">
        <v>22.1959</v>
      </c>
      <c r="JR211">
        <v>319.726</v>
      </c>
      <c r="JS211">
        <v>14.135</v>
      </c>
      <c r="JT211">
        <v>100.3</v>
      </c>
      <c r="JU211">
        <v>100.229</v>
      </c>
    </row>
    <row r="212" spans="1:281">
      <c r="A212">
        <v>196</v>
      </c>
      <c r="B212">
        <v>1651864789.1</v>
      </c>
      <c r="C212">
        <v>568.5</v>
      </c>
      <c r="D212" t="s">
        <v>812</v>
      </c>
      <c r="E212" t="s">
        <v>813</v>
      </c>
      <c r="F212">
        <v>2</v>
      </c>
      <c r="G212" t="s">
        <v>413</v>
      </c>
      <c r="H212" t="s">
        <v>414</v>
      </c>
      <c r="I212">
        <v>1651864788.1</v>
      </c>
      <c r="J212">
        <f>(K212)/1000</f>
        <v>0</v>
      </c>
      <c r="K212">
        <f>IF(CZ212, AN212, AH212)</f>
        <v>0</v>
      </c>
      <c r="L212">
        <f>IF(CZ212, AI212, AG212)</f>
        <v>0</v>
      </c>
      <c r="M212">
        <f>DB212 - IF(AU212&gt;1, L212*CV212*100.0/(AW212*DP212), 0)</f>
        <v>0</v>
      </c>
      <c r="N212">
        <f>((T212-J212/2)*M212-L212)/(T212+J212/2)</f>
        <v>0</v>
      </c>
      <c r="O212">
        <f>N212*(DI212+DJ212)/1000.0</f>
        <v>0</v>
      </c>
      <c r="P212">
        <f>(DB212 - IF(AU212&gt;1, L212*CV212*100.0/(AW212*DP212), 0))*(DI212+DJ212)/1000.0</f>
        <v>0</v>
      </c>
      <c r="Q212">
        <f>2.0/((1/S212-1/R212)+SIGN(S212)*SQRT((1/S212-1/R212)*(1/S212-1/R212) + 4*CW212/((CW212+1)*(CW212+1))*(2*1/S212*1/R212-1/R212*1/R212)))</f>
        <v>0</v>
      </c>
      <c r="R212">
        <f>IF(LEFT(CX212,1)&lt;&gt;"0",IF(LEFT(CX212,1)="1",3.0,CY212),$D$5+$E$5*(DP212*DI212/($K$5*1000))+$F$5*(DP212*DI212/($K$5*1000))*MAX(MIN(CV212,$J$5),$I$5)*MAX(MIN(CV212,$J$5),$I$5)+$G$5*MAX(MIN(CV212,$J$5),$I$5)*(DP212*DI212/($K$5*1000))+$H$5*(DP212*DI212/($K$5*1000))*(DP212*DI212/($K$5*1000)))</f>
        <v>0</v>
      </c>
      <c r="S212">
        <f>J212*(1000-(1000*0.61365*exp(17.502*W212/(240.97+W212))/(DI212+DJ212)+DD212)/2)/(1000*0.61365*exp(17.502*W212/(240.97+W212))/(DI212+DJ212)-DD212)</f>
        <v>0</v>
      </c>
      <c r="T212">
        <f>1/((CW212+1)/(Q212/1.6)+1/(R212/1.37)) + CW212/((CW212+1)/(Q212/1.6) + CW212/(R212/1.37))</f>
        <v>0</v>
      </c>
      <c r="U212">
        <f>(CR212*CU212)</f>
        <v>0</v>
      </c>
      <c r="V212">
        <f>(DK212+(U212+2*0.95*5.67E-8*(((DK212+$B$7)+273)^4-(DK212+273)^4)-44100*J212)/(1.84*29.3*R212+8*0.95*5.67E-8*(DK212+273)^3))</f>
        <v>0</v>
      </c>
      <c r="W212">
        <f>($C$7*DL212+$D$7*DM212+$E$7*V212)</f>
        <v>0</v>
      </c>
      <c r="X212">
        <f>0.61365*exp(17.502*W212/(240.97+W212))</f>
        <v>0</v>
      </c>
      <c r="Y212">
        <f>(Z212/AA212*100)</f>
        <v>0</v>
      </c>
      <c r="Z212">
        <f>DD212*(DI212+DJ212)/1000</f>
        <v>0</v>
      </c>
      <c r="AA212">
        <f>0.61365*exp(17.502*DK212/(240.97+DK212))</f>
        <v>0</v>
      </c>
      <c r="AB212">
        <f>(X212-DD212*(DI212+DJ212)/1000)</f>
        <v>0</v>
      </c>
      <c r="AC212">
        <f>(-J212*44100)</f>
        <v>0</v>
      </c>
      <c r="AD212">
        <f>2*29.3*R212*0.92*(DK212-W212)</f>
        <v>0</v>
      </c>
      <c r="AE212">
        <f>2*0.95*5.67E-8*(((DK212+$B$7)+273)^4-(W212+273)^4)</f>
        <v>0</v>
      </c>
      <c r="AF212">
        <f>U212+AE212+AC212+AD212</f>
        <v>0</v>
      </c>
      <c r="AG212">
        <f>DH212*AU212*(DC212-DB212*(1000-AU212*DE212)/(1000-AU212*DD212))/(100*CV212)</f>
        <v>0</v>
      </c>
      <c r="AH212">
        <f>1000*DH212*AU212*(DD212-DE212)/(100*CV212*(1000-AU212*DD212))</f>
        <v>0</v>
      </c>
      <c r="AI212">
        <f>(AJ212 - AK212 - DI212*1E3/(8.314*(DK212+273.15)) * AM212/DH212 * AL212) * DH212/(100*CV212) * (1000 - DE212)/1000</f>
        <v>0</v>
      </c>
      <c r="AJ212">
        <v>349.2623865583199</v>
      </c>
      <c r="AK212">
        <v>346.3003878787881</v>
      </c>
      <c r="AL212">
        <v>-3.195366794916464</v>
      </c>
      <c r="AM212">
        <v>66.38192812717227</v>
      </c>
      <c r="AN212">
        <f>(AP212 - AO212 + DI212*1E3/(8.314*(DK212+273.15)) * AR212/DH212 * AQ212) * DH212/(100*CV212) * 1000/(1000 - AP212)</f>
        <v>0</v>
      </c>
      <c r="AO212">
        <v>14.14108323689791</v>
      </c>
      <c r="AP212">
        <v>18.35572852941176</v>
      </c>
      <c r="AQ212">
        <v>0.0001548296707909632</v>
      </c>
      <c r="AR212">
        <v>80.47224507511959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MAX(0,($B$13+$C$13*DP212)/(1+$D$13*DP212)*DI212/(DK212+273)*$E$13)</f>
        <v>0</v>
      </c>
      <c r="AX212" t="s">
        <v>417</v>
      </c>
      <c r="AY212" t="s">
        <v>417</v>
      </c>
      <c r="AZ212">
        <v>0</v>
      </c>
      <c r="BA212">
        <v>0</v>
      </c>
      <c r="BB212">
        <f>1-AZ212/BA212</f>
        <v>0</v>
      </c>
      <c r="BC212">
        <v>0</v>
      </c>
      <c r="BD212" t="s">
        <v>417</v>
      </c>
      <c r="BE212" t="s">
        <v>417</v>
      </c>
      <c r="BF212">
        <v>0</v>
      </c>
      <c r="BG212">
        <v>0</v>
      </c>
      <c r="BH212">
        <f>1-BF212/BG212</f>
        <v>0</v>
      </c>
      <c r="BI212">
        <v>0.5</v>
      </c>
      <c r="BJ212">
        <f>CS212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417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1248</v>
      </c>
      <c r="CA212">
        <v>300</v>
      </c>
      <c r="CB212">
        <v>300</v>
      </c>
      <c r="CC212">
        <v>300</v>
      </c>
      <c r="CD212">
        <v>10442</v>
      </c>
      <c r="CE212">
        <v>1293.69</v>
      </c>
      <c r="CF212">
        <v>-0.00735246</v>
      </c>
      <c r="CG212">
        <v>0.5</v>
      </c>
      <c r="CH212" t="s">
        <v>417</v>
      </c>
      <c r="CI212" t="s">
        <v>417</v>
      </c>
      <c r="CJ212" t="s">
        <v>417</v>
      </c>
      <c r="CK212" t="s">
        <v>417</v>
      </c>
      <c r="CL212" t="s">
        <v>417</v>
      </c>
      <c r="CM212" t="s">
        <v>417</v>
      </c>
      <c r="CN212" t="s">
        <v>417</v>
      </c>
      <c r="CO212" t="s">
        <v>417</v>
      </c>
      <c r="CP212" t="s">
        <v>417</v>
      </c>
      <c r="CQ212" t="s">
        <v>417</v>
      </c>
      <c r="CR212">
        <f>$B$11*DQ212+$C$11*DR212+$F$11*EC212*(1-EF212)</f>
        <v>0</v>
      </c>
      <c r="CS212">
        <f>CR212*CT212</f>
        <v>0</v>
      </c>
      <c r="CT212">
        <f>($B$11*$D$9+$C$11*$D$9+$F$11*((EP212+EH212)/MAX(EP212+EH212+EQ212, 0.1)*$I$9+EQ212/MAX(EP212+EH212+EQ212, 0.1)*$J$9))/($B$11+$C$11+$F$11)</f>
        <v>0</v>
      </c>
      <c r="CU212">
        <f>($B$11*$K$9+$C$11*$K$9+$F$11*((EP212+EH212)/MAX(EP212+EH212+EQ212, 0.1)*$P$9+EQ212/MAX(EP212+EH212+EQ212, 0.1)*$Q$9))/($B$11+$C$11+$F$11)</f>
        <v>0</v>
      </c>
      <c r="CV212">
        <v>6</v>
      </c>
      <c r="CW212">
        <v>0.5</v>
      </c>
      <c r="CX212" t="s">
        <v>418</v>
      </c>
      <c r="CY212">
        <v>2</v>
      </c>
      <c r="CZ212" t="b">
        <v>1</v>
      </c>
      <c r="DA212">
        <v>1651864788.1</v>
      </c>
      <c r="DB212">
        <v>341.517</v>
      </c>
      <c r="DC212">
        <v>338.4656666666667</v>
      </c>
      <c r="DD212">
        <v>18.35513333333333</v>
      </c>
      <c r="DE212">
        <v>14.1406</v>
      </c>
      <c r="DF212">
        <v>342.398</v>
      </c>
      <c r="DG212">
        <v>18.33466666666667</v>
      </c>
      <c r="DH212">
        <v>500.0463333333334</v>
      </c>
      <c r="DI212">
        <v>89.92996666666666</v>
      </c>
      <c r="DJ212">
        <v>0.0999733</v>
      </c>
      <c r="DK212">
        <v>25.63713333333333</v>
      </c>
      <c r="DL212">
        <v>25.0042</v>
      </c>
      <c r="DM212">
        <v>999.9</v>
      </c>
      <c r="DN212">
        <v>0</v>
      </c>
      <c r="DO212">
        <v>0</v>
      </c>
      <c r="DP212">
        <v>10002.91666666667</v>
      </c>
      <c r="DQ212">
        <v>0</v>
      </c>
      <c r="DR212">
        <v>3.23193</v>
      </c>
      <c r="DS212">
        <v>3.05137</v>
      </c>
      <c r="DT212">
        <v>347.9026666666667</v>
      </c>
      <c r="DU212">
        <v>343.3203333333333</v>
      </c>
      <c r="DV212">
        <v>4.214533333333333</v>
      </c>
      <c r="DW212">
        <v>338.4656666666667</v>
      </c>
      <c r="DX212">
        <v>14.1406</v>
      </c>
      <c r="DY212">
        <v>1.650673333333333</v>
      </c>
      <c r="DZ212">
        <v>1.271663333333333</v>
      </c>
      <c r="EA212">
        <v>14.44023333333333</v>
      </c>
      <c r="EB212">
        <v>10.46806666666667</v>
      </c>
      <c r="EC212">
        <v>1500.056666666667</v>
      </c>
      <c r="ED212">
        <v>0.9729953333333334</v>
      </c>
      <c r="EE212">
        <v>0.02700466666666667</v>
      </c>
      <c r="EF212">
        <v>0</v>
      </c>
      <c r="EG212">
        <v>840.3916666666668</v>
      </c>
      <c r="EH212">
        <v>5.00097</v>
      </c>
      <c r="EI212">
        <v>12486.03333333333</v>
      </c>
      <c r="EJ212">
        <v>12492.03333333333</v>
      </c>
      <c r="EK212">
        <v>37.25</v>
      </c>
      <c r="EL212">
        <v>38.687</v>
      </c>
      <c r="EM212">
        <v>37.625</v>
      </c>
      <c r="EN212">
        <v>38.39566666666666</v>
      </c>
      <c r="EO212">
        <v>38.125</v>
      </c>
      <c r="EP212">
        <v>1454.683333333333</v>
      </c>
      <c r="EQ212">
        <v>40.37333333333333</v>
      </c>
      <c r="ER212">
        <v>0</v>
      </c>
      <c r="ES212">
        <v>568.2000000476837</v>
      </c>
      <c r="ET212">
        <v>0</v>
      </c>
      <c r="EU212">
        <v>842.3473200000001</v>
      </c>
      <c r="EV212">
        <v>-19.79792305509038</v>
      </c>
      <c r="EW212">
        <v>-288.8384610878736</v>
      </c>
      <c r="EX212">
        <v>12514.5</v>
      </c>
      <c r="EY212">
        <v>15</v>
      </c>
      <c r="EZ212">
        <v>1651864261.1</v>
      </c>
      <c r="FA212" t="s">
        <v>419</v>
      </c>
      <c r="FB212">
        <v>1651864241.6</v>
      </c>
      <c r="FC212">
        <v>1651864261.1</v>
      </c>
      <c r="FD212">
        <v>7</v>
      </c>
      <c r="FE212">
        <v>0.438</v>
      </c>
      <c r="FF212">
        <v>0.002</v>
      </c>
      <c r="FG212">
        <v>-0.988</v>
      </c>
      <c r="FH212">
        <v>-0.066</v>
      </c>
      <c r="FI212">
        <v>400</v>
      </c>
      <c r="FJ212">
        <v>11</v>
      </c>
      <c r="FK212">
        <v>0.05</v>
      </c>
      <c r="FL212">
        <v>0.02</v>
      </c>
      <c r="FM212">
        <v>1.361608929268292</v>
      </c>
      <c r="FN212">
        <v>9.356720228571428</v>
      </c>
      <c r="FO212">
        <v>0.9232137705807935</v>
      </c>
      <c r="FP212">
        <v>-1</v>
      </c>
      <c r="FQ212">
        <v>4.202141951219512</v>
      </c>
      <c r="FR212">
        <v>0.06974278745645131</v>
      </c>
      <c r="FS212">
        <v>0.01053811299337004</v>
      </c>
      <c r="FT212">
        <v>-1</v>
      </c>
      <c r="FU212">
        <v>0</v>
      </c>
      <c r="FV212">
        <v>0</v>
      </c>
      <c r="FW212">
        <v>0</v>
      </c>
      <c r="FX212">
        <v>-1</v>
      </c>
      <c r="FY212">
        <v>0</v>
      </c>
      <c r="FZ212">
        <v>0</v>
      </c>
      <c r="GA212" t="s">
        <v>420</v>
      </c>
      <c r="GB212">
        <v>2.98052</v>
      </c>
      <c r="GC212">
        <v>2.70616</v>
      </c>
      <c r="GD212">
        <v>0.0790636</v>
      </c>
      <c r="GE212">
        <v>0.0775323</v>
      </c>
      <c r="GF212">
        <v>0.0876702</v>
      </c>
      <c r="GG212">
        <v>0.07163659999999999</v>
      </c>
      <c r="GH212">
        <v>29061.9</v>
      </c>
      <c r="GI212">
        <v>29175.2</v>
      </c>
      <c r="GJ212">
        <v>29342.6</v>
      </c>
      <c r="GK212">
        <v>29258</v>
      </c>
      <c r="GL212">
        <v>35446.9</v>
      </c>
      <c r="GM212">
        <v>36175.1</v>
      </c>
      <c r="GN212">
        <v>41301</v>
      </c>
      <c r="GO212">
        <v>41760.7</v>
      </c>
      <c r="GP212">
        <v>1.95525</v>
      </c>
      <c r="GQ212">
        <v>1.84935</v>
      </c>
      <c r="GR212">
        <v>-0.0205636</v>
      </c>
      <c r="GS212">
        <v>0</v>
      </c>
      <c r="GT212">
        <v>25.3375</v>
      </c>
      <c r="GU212">
        <v>999.9</v>
      </c>
      <c r="GV212">
        <v>31.6</v>
      </c>
      <c r="GW212">
        <v>34.3</v>
      </c>
      <c r="GX212">
        <v>19.0919</v>
      </c>
      <c r="GY212">
        <v>62.2575</v>
      </c>
      <c r="GZ212">
        <v>34.7636</v>
      </c>
      <c r="HA212">
        <v>1</v>
      </c>
      <c r="HB212">
        <v>0.108018</v>
      </c>
      <c r="HC212">
        <v>2.32705</v>
      </c>
      <c r="HD212">
        <v>20.3182</v>
      </c>
      <c r="HE212">
        <v>5.21609</v>
      </c>
      <c r="HF212">
        <v>12.0099</v>
      </c>
      <c r="HG212">
        <v>4.989</v>
      </c>
      <c r="HH212">
        <v>3.28858</v>
      </c>
      <c r="HI212">
        <v>999.6</v>
      </c>
      <c r="HJ212">
        <v>9554.299999999999</v>
      </c>
      <c r="HK212">
        <v>5139.4</v>
      </c>
      <c r="HL212">
        <v>24.9</v>
      </c>
      <c r="HM212">
        <v>1.86752</v>
      </c>
      <c r="HN212">
        <v>1.86646</v>
      </c>
      <c r="HO212">
        <v>1.866</v>
      </c>
      <c r="HP212">
        <v>1.86588</v>
      </c>
      <c r="HQ212">
        <v>1.86771</v>
      </c>
      <c r="HR212">
        <v>1.87023</v>
      </c>
      <c r="HS212">
        <v>1.8689</v>
      </c>
      <c r="HT212">
        <v>1.87026</v>
      </c>
      <c r="HU212">
        <v>0</v>
      </c>
      <c r="HV212">
        <v>0</v>
      </c>
      <c r="HW212">
        <v>0</v>
      </c>
      <c r="HX212">
        <v>0</v>
      </c>
      <c r="HY212" t="s">
        <v>421</v>
      </c>
      <c r="HZ212" t="s">
        <v>422</v>
      </c>
      <c r="IA212" t="s">
        <v>423</v>
      </c>
      <c r="IB212" t="s">
        <v>423</v>
      </c>
      <c r="IC212" t="s">
        <v>423</v>
      </c>
      <c r="ID212" t="s">
        <v>423</v>
      </c>
      <c r="IE212">
        <v>0</v>
      </c>
      <c r="IF212">
        <v>100</v>
      </c>
      <c r="IG212">
        <v>100</v>
      </c>
      <c r="IH212">
        <v>-0.875</v>
      </c>
      <c r="II212">
        <v>0.0205</v>
      </c>
      <c r="IJ212">
        <v>-0.2164499368582429</v>
      </c>
      <c r="IK212">
        <v>-0.002077099775823331</v>
      </c>
      <c r="IL212">
        <v>4.593143279902166E-07</v>
      </c>
      <c r="IM212">
        <v>-1.865383991892071E-10</v>
      </c>
      <c r="IN212">
        <v>-0.06087574426827484</v>
      </c>
      <c r="IO212">
        <v>-0.01129461987421345</v>
      </c>
      <c r="IP212">
        <v>0.00116580895745559</v>
      </c>
      <c r="IQ212">
        <v>-1.679085872906199E-05</v>
      </c>
      <c r="IR212">
        <v>2</v>
      </c>
      <c r="IS212">
        <v>2290</v>
      </c>
      <c r="IT212">
        <v>0</v>
      </c>
      <c r="IU212">
        <v>32</v>
      </c>
      <c r="IV212">
        <v>9.1</v>
      </c>
      <c r="IW212">
        <v>8.800000000000001</v>
      </c>
      <c r="IX212">
        <v>0.841064</v>
      </c>
      <c r="IY212">
        <v>2.23877</v>
      </c>
      <c r="IZ212">
        <v>1.39648</v>
      </c>
      <c r="JA212">
        <v>2.35718</v>
      </c>
      <c r="JB212">
        <v>1.49536</v>
      </c>
      <c r="JC212">
        <v>2.34741</v>
      </c>
      <c r="JD212">
        <v>38.5014</v>
      </c>
      <c r="JE212">
        <v>24.035</v>
      </c>
      <c r="JF212">
        <v>18</v>
      </c>
      <c r="JG212">
        <v>511.09</v>
      </c>
      <c r="JH212">
        <v>428.548</v>
      </c>
      <c r="JI212">
        <v>22.2021</v>
      </c>
      <c r="JJ212">
        <v>28.6903</v>
      </c>
      <c r="JK212">
        <v>30.0003</v>
      </c>
      <c r="JL212">
        <v>28.6544</v>
      </c>
      <c r="JM212">
        <v>28.5901</v>
      </c>
      <c r="JN212">
        <v>16.8041</v>
      </c>
      <c r="JO212">
        <v>26.5129</v>
      </c>
      <c r="JP212">
        <v>0</v>
      </c>
      <c r="JQ212">
        <v>22.1865</v>
      </c>
      <c r="JR212">
        <v>313.048</v>
      </c>
      <c r="JS212">
        <v>14.1342</v>
      </c>
      <c r="JT212">
        <v>100.299</v>
      </c>
      <c r="JU212">
        <v>100.228</v>
      </c>
    </row>
    <row r="213" spans="1:281">
      <c r="A213">
        <v>197</v>
      </c>
      <c r="B213">
        <v>1651864791.1</v>
      </c>
      <c r="C213">
        <v>570.5</v>
      </c>
      <c r="D213" t="s">
        <v>814</v>
      </c>
      <c r="E213" t="s">
        <v>815</v>
      </c>
      <c r="F213">
        <v>2</v>
      </c>
      <c r="G213" t="s">
        <v>413</v>
      </c>
      <c r="H213" t="s">
        <v>414</v>
      </c>
      <c r="I213">
        <v>1651864789.725</v>
      </c>
      <c r="J213">
        <f>(K213)/1000</f>
        <v>0</v>
      </c>
      <c r="K213">
        <f>IF(CZ213, AN213, AH213)</f>
        <v>0</v>
      </c>
      <c r="L213">
        <f>IF(CZ213, AI213, AG213)</f>
        <v>0</v>
      </c>
      <c r="M213">
        <f>DB213 - IF(AU213&gt;1, L213*CV213*100.0/(AW213*DP213), 0)</f>
        <v>0</v>
      </c>
      <c r="N213">
        <f>((T213-J213/2)*M213-L213)/(T213+J213/2)</f>
        <v>0</v>
      </c>
      <c r="O213">
        <f>N213*(DI213+DJ213)/1000.0</f>
        <v>0</v>
      </c>
      <c r="P213">
        <f>(DB213 - IF(AU213&gt;1, L213*CV213*100.0/(AW213*DP213), 0))*(DI213+DJ213)/1000.0</f>
        <v>0</v>
      </c>
      <c r="Q213">
        <f>2.0/((1/S213-1/R213)+SIGN(S213)*SQRT((1/S213-1/R213)*(1/S213-1/R213) + 4*CW213/((CW213+1)*(CW213+1))*(2*1/S213*1/R213-1/R213*1/R213)))</f>
        <v>0</v>
      </c>
      <c r="R213">
        <f>IF(LEFT(CX213,1)&lt;&gt;"0",IF(LEFT(CX213,1)="1",3.0,CY213),$D$5+$E$5*(DP213*DI213/($K$5*1000))+$F$5*(DP213*DI213/($K$5*1000))*MAX(MIN(CV213,$J$5),$I$5)*MAX(MIN(CV213,$J$5),$I$5)+$G$5*MAX(MIN(CV213,$J$5),$I$5)*(DP213*DI213/($K$5*1000))+$H$5*(DP213*DI213/($K$5*1000))*(DP213*DI213/($K$5*1000)))</f>
        <v>0</v>
      </c>
      <c r="S213">
        <f>J213*(1000-(1000*0.61365*exp(17.502*W213/(240.97+W213))/(DI213+DJ213)+DD213)/2)/(1000*0.61365*exp(17.502*W213/(240.97+W213))/(DI213+DJ213)-DD213)</f>
        <v>0</v>
      </c>
      <c r="T213">
        <f>1/((CW213+1)/(Q213/1.6)+1/(R213/1.37)) + CW213/((CW213+1)/(Q213/1.6) + CW213/(R213/1.37))</f>
        <v>0</v>
      </c>
      <c r="U213">
        <f>(CR213*CU213)</f>
        <v>0</v>
      </c>
      <c r="V213">
        <f>(DK213+(U213+2*0.95*5.67E-8*(((DK213+$B$7)+273)^4-(DK213+273)^4)-44100*J213)/(1.84*29.3*R213+8*0.95*5.67E-8*(DK213+273)^3))</f>
        <v>0</v>
      </c>
      <c r="W213">
        <f>($C$7*DL213+$D$7*DM213+$E$7*V213)</f>
        <v>0</v>
      </c>
      <c r="X213">
        <f>0.61365*exp(17.502*W213/(240.97+W213))</f>
        <v>0</v>
      </c>
      <c r="Y213">
        <f>(Z213/AA213*100)</f>
        <v>0</v>
      </c>
      <c r="Z213">
        <f>DD213*(DI213+DJ213)/1000</f>
        <v>0</v>
      </c>
      <c r="AA213">
        <f>0.61365*exp(17.502*DK213/(240.97+DK213))</f>
        <v>0</v>
      </c>
      <c r="AB213">
        <f>(X213-DD213*(DI213+DJ213)/1000)</f>
        <v>0</v>
      </c>
      <c r="AC213">
        <f>(-J213*44100)</f>
        <v>0</v>
      </c>
      <c r="AD213">
        <f>2*29.3*R213*0.92*(DK213-W213)</f>
        <v>0</v>
      </c>
      <c r="AE213">
        <f>2*0.95*5.67E-8*(((DK213+$B$7)+273)^4-(W213+273)^4)</f>
        <v>0</v>
      </c>
      <c r="AF213">
        <f>U213+AE213+AC213+AD213</f>
        <v>0</v>
      </c>
      <c r="AG213">
        <f>DH213*AU213*(DC213-DB213*(1000-AU213*DE213)/(1000-AU213*DD213))/(100*CV213)</f>
        <v>0</v>
      </c>
      <c r="AH213">
        <f>1000*DH213*AU213*(DD213-DE213)/(100*CV213*(1000-AU213*DD213))</f>
        <v>0</v>
      </c>
      <c r="AI213">
        <f>(AJ213 - AK213 - DI213*1E3/(8.314*(DK213+273.15)) * AM213/DH213 * AL213) * DH213/(100*CV213) * (1000 - DE213)/1000</f>
        <v>0</v>
      </c>
      <c r="AJ213">
        <v>342.5472598054034</v>
      </c>
      <c r="AK213">
        <v>339.9335515151514</v>
      </c>
      <c r="AL213">
        <v>-3.191585642312632</v>
      </c>
      <c r="AM213">
        <v>66.38192812717227</v>
      </c>
      <c r="AN213">
        <f>(AP213 - AO213 + DI213*1E3/(8.314*(DK213+273.15)) * AR213/DH213 * AQ213) * DH213/(100*CV213) * 1000/(1000 - AP213)</f>
        <v>0</v>
      </c>
      <c r="AO213">
        <v>14.14103968522569</v>
      </c>
      <c r="AP213">
        <v>18.3562094117647</v>
      </c>
      <c r="AQ213">
        <v>0.0002173957108414974</v>
      </c>
      <c r="AR213">
        <v>80.47224507511959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MAX(0,($B$13+$C$13*DP213)/(1+$D$13*DP213)*DI213/(DK213+273)*$E$13)</f>
        <v>0</v>
      </c>
      <c r="AX213" t="s">
        <v>417</v>
      </c>
      <c r="AY213" t="s">
        <v>417</v>
      </c>
      <c r="AZ213">
        <v>0</v>
      </c>
      <c r="BA213">
        <v>0</v>
      </c>
      <c r="BB213">
        <f>1-AZ213/BA213</f>
        <v>0</v>
      </c>
      <c r="BC213">
        <v>0</v>
      </c>
      <c r="BD213" t="s">
        <v>417</v>
      </c>
      <c r="BE213" t="s">
        <v>417</v>
      </c>
      <c r="BF213">
        <v>0</v>
      </c>
      <c r="BG213">
        <v>0</v>
      </c>
      <c r="BH213">
        <f>1-BF213/BG213</f>
        <v>0</v>
      </c>
      <c r="BI213">
        <v>0.5</v>
      </c>
      <c r="BJ213">
        <f>CS213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417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BZ213">
        <v>1248</v>
      </c>
      <c r="CA213">
        <v>300</v>
      </c>
      <c r="CB213">
        <v>300</v>
      </c>
      <c r="CC213">
        <v>300</v>
      </c>
      <c r="CD213">
        <v>10442</v>
      </c>
      <c r="CE213">
        <v>1293.69</v>
      </c>
      <c r="CF213">
        <v>-0.00735246</v>
      </c>
      <c r="CG213">
        <v>0.5</v>
      </c>
      <c r="CH213" t="s">
        <v>417</v>
      </c>
      <c r="CI213" t="s">
        <v>417</v>
      </c>
      <c r="CJ213" t="s">
        <v>417</v>
      </c>
      <c r="CK213" t="s">
        <v>417</v>
      </c>
      <c r="CL213" t="s">
        <v>417</v>
      </c>
      <c r="CM213" t="s">
        <v>417</v>
      </c>
      <c r="CN213" t="s">
        <v>417</v>
      </c>
      <c r="CO213" t="s">
        <v>417</v>
      </c>
      <c r="CP213" t="s">
        <v>417</v>
      </c>
      <c r="CQ213" t="s">
        <v>417</v>
      </c>
      <c r="CR213">
        <f>$B$11*DQ213+$C$11*DR213+$F$11*EC213*(1-EF213)</f>
        <v>0</v>
      </c>
      <c r="CS213">
        <f>CR213*CT213</f>
        <v>0</v>
      </c>
      <c r="CT213">
        <f>($B$11*$D$9+$C$11*$D$9+$F$11*((EP213+EH213)/MAX(EP213+EH213+EQ213, 0.1)*$I$9+EQ213/MAX(EP213+EH213+EQ213, 0.1)*$J$9))/($B$11+$C$11+$F$11)</f>
        <v>0</v>
      </c>
      <c r="CU213">
        <f>($B$11*$K$9+$C$11*$K$9+$F$11*((EP213+EH213)/MAX(EP213+EH213+EQ213, 0.1)*$P$9+EQ213/MAX(EP213+EH213+EQ213, 0.1)*$Q$9))/($B$11+$C$11+$F$11)</f>
        <v>0</v>
      </c>
      <c r="CV213">
        <v>6</v>
      </c>
      <c r="CW213">
        <v>0.5</v>
      </c>
      <c r="CX213" t="s">
        <v>418</v>
      </c>
      <c r="CY213">
        <v>2</v>
      </c>
      <c r="CZ213" t="b">
        <v>1</v>
      </c>
      <c r="DA213">
        <v>1651864789.725</v>
      </c>
      <c r="DB213">
        <v>336.42925</v>
      </c>
      <c r="DC213">
        <v>333.0455</v>
      </c>
      <c r="DD213">
        <v>18.35575</v>
      </c>
      <c r="DE213">
        <v>14.13985</v>
      </c>
      <c r="DF213">
        <v>337.30125</v>
      </c>
      <c r="DG213">
        <v>18.3353</v>
      </c>
      <c r="DH213">
        <v>500.0385</v>
      </c>
      <c r="DI213">
        <v>89.92824999999999</v>
      </c>
      <c r="DJ213">
        <v>0.09998562500000001</v>
      </c>
      <c r="DK213">
        <v>25.63755</v>
      </c>
      <c r="DL213">
        <v>25.00065</v>
      </c>
      <c r="DM213">
        <v>999.9</v>
      </c>
      <c r="DN213">
        <v>0</v>
      </c>
      <c r="DO213">
        <v>0</v>
      </c>
      <c r="DP213">
        <v>9996.575000000001</v>
      </c>
      <c r="DQ213">
        <v>0</v>
      </c>
      <c r="DR213">
        <v>3.23193</v>
      </c>
      <c r="DS213">
        <v>3.383835</v>
      </c>
      <c r="DT213">
        <v>342.72</v>
      </c>
      <c r="DU213">
        <v>337.82225</v>
      </c>
      <c r="DV213">
        <v>4.215897500000001</v>
      </c>
      <c r="DW213">
        <v>333.0455</v>
      </c>
      <c r="DX213">
        <v>14.13985</v>
      </c>
      <c r="DY213">
        <v>1.6507</v>
      </c>
      <c r="DZ213">
        <v>1.2715725</v>
      </c>
      <c r="EA213">
        <v>14.440425</v>
      </c>
      <c r="EB213">
        <v>10.466975</v>
      </c>
      <c r="EC213">
        <v>1500.17</v>
      </c>
      <c r="ED213">
        <v>0.97299075</v>
      </c>
      <c r="EE213">
        <v>0.027009225</v>
      </c>
      <c r="EF213">
        <v>0</v>
      </c>
      <c r="EG213">
        <v>839.75625</v>
      </c>
      <c r="EH213">
        <v>5.00097</v>
      </c>
      <c r="EI213">
        <v>12479.475</v>
      </c>
      <c r="EJ213">
        <v>12492.975</v>
      </c>
      <c r="EK213">
        <v>37.25</v>
      </c>
      <c r="EL213">
        <v>38.687</v>
      </c>
      <c r="EM213">
        <v>37.625</v>
      </c>
      <c r="EN213">
        <v>38.3905</v>
      </c>
      <c r="EO213">
        <v>38.125</v>
      </c>
      <c r="EP213">
        <v>1454.7875</v>
      </c>
      <c r="EQ213">
        <v>40.3825</v>
      </c>
      <c r="ER213">
        <v>0</v>
      </c>
      <c r="ES213">
        <v>570</v>
      </c>
      <c r="ET213">
        <v>0</v>
      </c>
      <c r="EU213">
        <v>841.8386923076923</v>
      </c>
      <c r="EV213">
        <v>-19.58967523927939</v>
      </c>
      <c r="EW213">
        <v>-288.4649573950612</v>
      </c>
      <c r="EX213">
        <v>12507.27692307693</v>
      </c>
      <c r="EY213">
        <v>15</v>
      </c>
      <c r="EZ213">
        <v>1651864261.1</v>
      </c>
      <c r="FA213" t="s">
        <v>419</v>
      </c>
      <c r="FB213">
        <v>1651864241.6</v>
      </c>
      <c r="FC213">
        <v>1651864261.1</v>
      </c>
      <c r="FD213">
        <v>7</v>
      </c>
      <c r="FE213">
        <v>0.438</v>
      </c>
      <c r="FF213">
        <v>0.002</v>
      </c>
      <c r="FG213">
        <v>-0.988</v>
      </c>
      <c r="FH213">
        <v>-0.066</v>
      </c>
      <c r="FI213">
        <v>400</v>
      </c>
      <c r="FJ213">
        <v>11</v>
      </c>
      <c r="FK213">
        <v>0.05</v>
      </c>
      <c r="FL213">
        <v>0.02</v>
      </c>
      <c r="FM213">
        <v>1.80613475</v>
      </c>
      <c r="FN213">
        <v>9.474680307692307</v>
      </c>
      <c r="FO213">
        <v>0.9125027837356647</v>
      </c>
      <c r="FP213">
        <v>-1</v>
      </c>
      <c r="FQ213">
        <v>4.203898499999999</v>
      </c>
      <c r="FR213">
        <v>0.1024293433395856</v>
      </c>
      <c r="FS213">
        <v>0.01053636382961406</v>
      </c>
      <c r="FT213">
        <v>-1</v>
      </c>
      <c r="FU213">
        <v>0</v>
      </c>
      <c r="FV213">
        <v>0</v>
      </c>
      <c r="FW213">
        <v>0</v>
      </c>
      <c r="FX213">
        <v>-1</v>
      </c>
      <c r="FY213">
        <v>0</v>
      </c>
      <c r="FZ213">
        <v>0</v>
      </c>
      <c r="GA213" t="s">
        <v>420</v>
      </c>
      <c r="GB213">
        <v>2.98051</v>
      </c>
      <c r="GC213">
        <v>2.70618</v>
      </c>
      <c r="GD213">
        <v>0.0778882</v>
      </c>
      <c r="GE213">
        <v>0.0762853</v>
      </c>
      <c r="GF213">
        <v>0.08766930000000001</v>
      </c>
      <c r="GG213">
        <v>0.0716349</v>
      </c>
      <c r="GH213">
        <v>29099.3</v>
      </c>
      <c r="GI213">
        <v>29214.4</v>
      </c>
      <c r="GJ213">
        <v>29342.8</v>
      </c>
      <c r="GK213">
        <v>29257.7</v>
      </c>
      <c r="GL213">
        <v>35447.3</v>
      </c>
      <c r="GM213">
        <v>36174.9</v>
      </c>
      <c r="GN213">
        <v>41301.4</v>
      </c>
      <c r="GO213">
        <v>41760.5</v>
      </c>
      <c r="GP213">
        <v>1.95535</v>
      </c>
      <c r="GQ213">
        <v>1.84925</v>
      </c>
      <c r="GR213">
        <v>-0.0206344</v>
      </c>
      <c r="GS213">
        <v>0</v>
      </c>
      <c r="GT213">
        <v>25.3375</v>
      </c>
      <c r="GU213">
        <v>999.9</v>
      </c>
      <c r="GV213">
        <v>31.6</v>
      </c>
      <c r="GW213">
        <v>34.3</v>
      </c>
      <c r="GX213">
        <v>19.0899</v>
      </c>
      <c r="GY213">
        <v>62.4475</v>
      </c>
      <c r="GZ213">
        <v>35.2804</v>
      </c>
      <c r="HA213">
        <v>1</v>
      </c>
      <c r="HB213">
        <v>0.108176</v>
      </c>
      <c r="HC213">
        <v>2.36175</v>
      </c>
      <c r="HD213">
        <v>20.3179</v>
      </c>
      <c r="HE213">
        <v>5.21594</v>
      </c>
      <c r="HF213">
        <v>12.0099</v>
      </c>
      <c r="HG213">
        <v>4.9891</v>
      </c>
      <c r="HH213">
        <v>3.28858</v>
      </c>
      <c r="HI213">
        <v>999.6</v>
      </c>
      <c r="HJ213">
        <v>9554.299999999999</v>
      </c>
      <c r="HK213">
        <v>5139.4</v>
      </c>
      <c r="HL213">
        <v>24.9</v>
      </c>
      <c r="HM213">
        <v>1.86752</v>
      </c>
      <c r="HN213">
        <v>1.86646</v>
      </c>
      <c r="HO213">
        <v>1.866</v>
      </c>
      <c r="HP213">
        <v>1.86586</v>
      </c>
      <c r="HQ213">
        <v>1.8677</v>
      </c>
      <c r="HR213">
        <v>1.87024</v>
      </c>
      <c r="HS213">
        <v>1.8689</v>
      </c>
      <c r="HT213">
        <v>1.87025</v>
      </c>
      <c r="HU213">
        <v>0</v>
      </c>
      <c r="HV213">
        <v>0</v>
      </c>
      <c r="HW213">
        <v>0</v>
      </c>
      <c r="HX213">
        <v>0</v>
      </c>
      <c r="HY213" t="s">
        <v>421</v>
      </c>
      <c r="HZ213" t="s">
        <v>422</v>
      </c>
      <c r="IA213" t="s">
        <v>423</v>
      </c>
      <c r="IB213" t="s">
        <v>423</v>
      </c>
      <c r="IC213" t="s">
        <v>423</v>
      </c>
      <c r="ID213" t="s">
        <v>423</v>
      </c>
      <c r="IE213">
        <v>0</v>
      </c>
      <c r="IF213">
        <v>100</v>
      </c>
      <c r="IG213">
        <v>100</v>
      </c>
      <c r="IH213">
        <v>-0.864</v>
      </c>
      <c r="II213">
        <v>0.0205</v>
      </c>
      <c r="IJ213">
        <v>-0.2164499368582429</v>
      </c>
      <c r="IK213">
        <v>-0.002077099775823331</v>
      </c>
      <c r="IL213">
        <v>4.593143279902166E-07</v>
      </c>
      <c r="IM213">
        <v>-1.865383991892071E-10</v>
      </c>
      <c r="IN213">
        <v>-0.06087574426827484</v>
      </c>
      <c r="IO213">
        <v>-0.01129461987421345</v>
      </c>
      <c r="IP213">
        <v>0.00116580895745559</v>
      </c>
      <c r="IQ213">
        <v>-1.679085872906199E-05</v>
      </c>
      <c r="IR213">
        <v>2</v>
      </c>
      <c r="IS213">
        <v>2290</v>
      </c>
      <c r="IT213">
        <v>0</v>
      </c>
      <c r="IU213">
        <v>32</v>
      </c>
      <c r="IV213">
        <v>9.199999999999999</v>
      </c>
      <c r="IW213">
        <v>8.800000000000001</v>
      </c>
      <c r="IX213">
        <v>0.827637</v>
      </c>
      <c r="IY213">
        <v>2.23877</v>
      </c>
      <c r="IZ213">
        <v>1.39648</v>
      </c>
      <c r="JA213">
        <v>2.35718</v>
      </c>
      <c r="JB213">
        <v>1.49536</v>
      </c>
      <c r="JC213">
        <v>2.2998</v>
      </c>
      <c r="JD213">
        <v>38.5014</v>
      </c>
      <c r="JE213">
        <v>24.035</v>
      </c>
      <c r="JF213">
        <v>18</v>
      </c>
      <c r="JG213">
        <v>511.155</v>
      </c>
      <c r="JH213">
        <v>428.492</v>
      </c>
      <c r="JI213">
        <v>22.2013</v>
      </c>
      <c r="JJ213">
        <v>28.6903</v>
      </c>
      <c r="JK213">
        <v>30.0002</v>
      </c>
      <c r="JL213">
        <v>28.6544</v>
      </c>
      <c r="JM213">
        <v>28.5907</v>
      </c>
      <c r="JN213">
        <v>16.5314</v>
      </c>
      <c r="JO213">
        <v>26.5129</v>
      </c>
      <c r="JP213">
        <v>0</v>
      </c>
      <c r="JQ213">
        <v>22.1865</v>
      </c>
      <c r="JR213">
        <v>306.362</v>
      </c>
      <c r="JS213">
        <v>14.1364</v>
      </c>
      <c r="JT213">
        <v>100.3</v>
      </c>
      <c r="JU213">
        <v>100.227</v>
      </c>
    </row>
    <row r="214" spans="1:281">
      <c r="A214">
        <v>198</v>
      </c>
      <c r="B214">
        <v>1651864793.1</v>
      </c>
      <c r="C214">
        <v>572.5</v>
      </c>
      <c r="D214" t="s">
        <v>816</v>
      </c>
      <c r="E214" t="s">
        <v>817</v>
      </c>
      <c r="F214">
        <v>2</v>
      </c>
      <c r="G214" t="s">
        <v>413</v>
      </c>
      <c r="H214" t="s">
        <v>414</v>
      </c>
      <c r="I214">
        <v>1651864792.1</v>
      </c>
      <c r="J214">
        <f>(K214)/1000</f>
        <v>0</v>
      </c>
      <c r="K214">
        <f>IF(CZ214, AN214, AH214)</f>
        <v>0</v>
      </c>
      <c r="L214">
        <f>IF(CZ214, AI214, AG214)</f>
        <v>0</v>
      </c>
      <c r="M214">
        <f>DB214 - IF(AU214&gt;1, L214*CV214*100.0/(AW214*DP214), 0)</f>
        <v>0</v>
      </c>
      <c r="N214">
        <f>((T214-J214/2)*M214-L214)/(T214+J214/2)</f>
        <v>0</v>
      </c>
      <c r="O214">
        <f>N214*(DI214+DJ214)/1000.0</f>
        <v>0</v>
      </c>
      <c r="P214">
        <f>(DB214 - IF(AU214&gt;1, L214*CV214*100.0/(AW214*DP214), 0))*(DI214+DJ214)/1000.0</f>
        <v>0</v>
      </c>
      <c r="Q214">
        <f>2.0/((1/S214-1/R214)+SIGN(S214)*SQRT((1/S214-1/R214)*(1/S214-1/R214) + 4*CW214/((CW214+1)*(CW214+1))*(2*1/S214*1/R214-1/R214*1/R214)))</f>
        <v>0</v>
      </c>
      <c r="R214">
        <f>IF(LEFT(CX214,1)&lt;&gt;"0",IF(LEFT(CX214,1)="1",3.0,CY214),$D$5+$E$5*(DP214*DI214/($K$5*1000))+$F$5*(DP214*DI214/($K$5*1000))*MAX(MIN(CV214,$J$5),$I$5)*MAX(MIN(CV214,$J$5),$I$5)+$G$5*MAX(MIN(CV214,$J$5),$I$5)*(DP214*DI214/($K$5*1000))+$H$5*(DP214*DI214/($K$5*1000))*(DP214*DI214/($K$5*1000)))</f>
        <v>0</v>
      </c>
      <c r="S214">
        <f>J214*(1000-(1000*0.61365*exp(17.502*W214/(240.97+W214))/(DI214+DJ214)+DD214)/2)/(1000*0.61365*exp(17.502*W214/(240.97+W214))/(DI214+DJ214)-DD214)</f>
        <v>0</v>
      </c>
      <c r="T214">
        <f>1/((CW214+1)/(Q214/1.6)+1/(R214/1.37)) + CW214/((CW214+1)/(Q214/1.6) + CW214/(R214/1.37))</f>
        <v>0</v>
      </c>
      <c r="U214">
        <f>(CR214*CU214)</f>
        <v>0</v>
      </c>
      <c r="V214">
        <f>(DK214+(U214+2*0.95*5.67E-8*(((DK214+$B$7)+273)^4-(DK214+273)^4)-44100*J214)/(1.84*29.3*R214+8*0.95*5.67E-8*(DK214+273)^3))</f>
        <v>0</v>
      </c>
      <c r="W214">
        <f>($C$7*DL214+$D$7*DM214+$E$7*V214)</f>
        <v>0</v>
      </c>
      <c r="X214">
        <f>0.61365*exp(17.502*W214/(240.97+W214))</f>
        <v>0</v>
      </c>
      <c r="Y214">
        <f>(Z214/AA214*100)</f>
        <v>0</v>
      </c>
      <c r="Z214">
        <f>DD214*(DI214+DJ214)/1000</f>
        <v>0</v>
      </c>
      <c r="AA214">
        <f>0.61365*exp(17.502*DK214/(240.97+DK214))</f>
        <v>0</v>
      </c>
      <c r="AB214">
        <f>(X214-DD214*(DI214+DJ214)/1000)</f>
        <v>0</v>
      </c>
      <c r="AC214">
        <f>(-J214*44100)</f>
        <v>0</v>
      </c>
      <c r="AD214">
        <f>2*29.3*R214*0.92*(DK214-W214)</f>
        <v>0</v>
      </c>
      <c r="AE214">
        <f>2*0.95*5.67E-8*(((DK214+$B$7)+273)^4-(W214+273)^4)</f>
        <v>0</v>
      </c>
      <c r="AF214">
        <f>U214+AE214+AC214+AD214</f>
        <v>0</v>
      </c>
      <c r="AG214">
        <f>DH214*AU214*(DC214-DB214*(1000-AU214*DE214)/(1000-AU214*DD214))/(100*CV214)</f>
        <v>0</v>
      </c>
      <c r="AH214">
        <f>1000*DH214*AU214*(DD214-DE214)/(100*CV214*(1000-AU214*DD214))</f>
        <v>0</v>
      </c>
      <c r="AI214">
        <f>(AJ214 - AK214 - DI214*1E3/(8.314*(DK214+273.15)) * AM214/DH214 * AL214) * DH214/(100*CV214) * (1000 - DE214)/1000</f>
        <v>0</v>
      </c>
      <c r="AJ214">
        <v>335.7634253971367</v>
      </c>
      <c r="AK214">
        <v>333.5159090909091</v>
      </c>
      <c r="AL214">
        <v>-3.200063267341279</v>
      </c>
      <c r="AM214">
        <v>66.38192812717227</v>
      </c>
      <c r="AN214">
        <f>(AP214 - AO214 + DI214*1E3/(8.314*(DK214+273.15)) * AR214/DH214 * AQ214) * DH214/(100*CV214) * 1000/(1000 - AP214)</f>
        <v>0</v>
      </c>
      <c r="AO214">
        <v>14.14033931347037</v>
      </c>
      <c r="AP214">
        <v>18.35622441176469</v>
      </c>
      <c r="AQ214">
        <v>0.0001511142589207561</v>
      </c>
      <c r="AR214">
        <v>80.47224507511959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MAX(0,($B$13+$C$13*DP214)/(1+$D$13*DP214)*DI214/(DK214+273)*$E$13)</f>
        <v>0</v>
      </c>
      <c r="AX214" t="s">
        <v>417</v>
      </c>
      <c r="AY214" t="s">
        <v>417</v>
      </c>
      <c r="AZ214">
        <v>0</v>
      </c>
      <c r="BA214">
        <v>0</v>
      </c>
      <c r="BB214">
        <f>1-AZ214/BA214</f>
        <v>0</v>
      </c>
      <c r="BC214">
        <v>0</v>
      </c>
      <c r="BD214" t="s">
        <v>417</v>
      </c>
      <c r="BE214" t="s">
        <v>417</v>
      </c>
      <c r="BF214">
        <v>0</v>
      </c>
      <c r="BG214">
        <v>0</v>
      </c>
      <c r="BH214">
        <f>1-BF214/BG214</f>
        <v>0</v>
      </c>
      <c r="BI214">
        <v>0.5</v>
      </c>
      <c r="BJ214">
        <f>CS214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417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BZ214">
        <v>1248</v>
      </c>
      <c r="CA214">
        <v>300</v>
      </c>
      <c r="CB214">
        <v>300</v>
      </c>
      <c r="CC214">
        <v>300</v>
      </c>
      <c r="CD214">
        <v>10442</v>
      </c>
      <c r="CE214">
        <v>1293.69</v>
      </c>
      <c r="CF214">
        <v>-0.00735246</v>
      </c>
      <c r="CG214">
        <v>0.5</v>
      </c>
      <c r="CH214" t="s">
        <v>417</v>
      </c>
      <c r="CI214" t="s">
        <v>417</v>
      </c>
      <c r="CJ214" t="s">
        <v>417</v>
      </c>
      <c r="CK214" t="s">
        <v>417</v>
      </c>
      <c r="CL214" t="s">
        <v>417</v>
      </c>
      <c r="CM214" t="s">
        <v>417</v>
      </c>
      <c r="CN214" t="s">
        <v>417</v>
      </c>
      <c r="CO214" t="s">
        <v>417</v>
      </c>
      <c r="CP214" t="s">
        <v>417</v>
      </c>
      <c r="CQ214" t="s">
        <v>417</v>
      </c>
      <c r="CR214">
        <f>$B$11*DQ214+$C$11*DR214+$F$11*EC214*(1-EF214)</f>
        <v>0</v>
      </c>
      <c r="CS214">
        <f>CR214*CT214</f>
        <v>0</v>
      </c>
      <c r="CT214">
        <f>($B$11*$D$9+$C$11*$D$9+$F$11*((EP214+EH214)/MAX(EP214+EH214+EQ214, 0.1)*$I$9+EQ214/MAX(EP214+EH214+EQ214, 0.1)*$J$9))/($B$11+$C$11+$F$11)</f>
        <v>0</v>
      </c>
      <c r="CU214">
        <f>($B$11*$K$9+$C$11*$K$9+$F$11*((EP214+EH214)/MAX(EP214+EH214+EQ214, 0.1)*$P$9+EQ214/MAX(EP214+EH214+EQ214, 0.1)*$Q$9))/($B$11+$C$11+$F$11)</f>
        <v>0</v>
      </c>
      <c r="CV214">
        <v>6</v>
      </c>
      <c r="CW214">
        <v>0.5</v>
      </c>
      <c r="CX214" t="s">
        <v>418</v>
      </c>
      <c r="CY214">
        <v>2</v>
      </c>
      <c r="CZ214" t="b">
        <v>1</v>
      </c>
      <c r="DA214">
        <v>1651864792.1</v>
      </c>
      <c r="DB214">
        <v>328.9713333333333</v>
      </c>
      <c r="DC214">
        <v>325.104</v>
      </c>
      <c r="DD214">
        <v>18.35633333333334</v>
      </c>
      <c r="DE214">
        <v>14.13963333333333</v>
      </c>
      <c r="DF214">
        <v>329.8293333333334</v>
      </c>
      <c r="DG214">
        <v>18.3359</v>
      </c>
      <c r="DH214">
        <v>500.037</v>
      </c>
      <c r="DI214">
        <v>89.92823333333332</v>
      </c>
      <c r="DJ214">
        <v>0.0999937</v>
      </c>
      <c r="DK214">
        <v>25.63693333333333</v>
      </c>
      <c r="DL214">
        <v>24.99506666666667</v>
      </c>
      <c r="DM214">
        <v>999.9</v>
      </c>
      <c r="DN214">
        <v>0</v>
      </c>
      <c r="DO214">
        <v>0</v>
      </c>
      <c r="DP214">
        <v>9989.566666666668</v>
      </c>
      <c r="DQ214">
        <v>0</v>
      </c>
      <c r="DR214">
        <v>3.23193</v>
      </c>
      <c r="DS214">
        <v>3.867216666666666</v>
      </c>
      <c r="DT214">
        <v>335.1226666666666</v>
      </c>
      <c r="DU214">
        <v>329.767</v>
      </c>
      <c r="DV214">
        <v>4.216726666666666</v>
      </c>
      <c r="DW214">
        <v>325.104</v>
      </c>
      <c r="DX214">
        <v>14.13963333333333</v>
      </c>
      <c r="DY214">
        <v>1.650756666666667</v>
      </c>
      <c r="DZ214">
        <v>1.271553333333334</v>
      </c>
      <c r="EA214">
        <v>14.44096666666667</v>
      </c>
      <c r="EB214">
        <v>10.46673333333333</v>
      </c>
      <c r="EC214">
        <v>1500.043333333333</v>
      </c>
      <c r="ED214">
        <v>0.9730103333333333</v>
      </c>
      <c r="EE214">
        <v>0.0269895</v>
      </c>
      <c r="EF214">
        <v>0</v>
      </c>
      <c r="EG214">
        <v>839.1136666666666</v>
      </c>
      <c r="EH214">
        <v>5.00097</v>
      </c>
      <c r="EI214">
        <v>12467.53333333333</v>
      </c>
      <c r="EJ214">
        <v>12491.96666666667</v>
      </c>
      <c r="EK214">
        <v>37.25</v>
      </c>
      <c r="EL214">
        <v>38.687</v>
      </c>
      <c r="EM214">
        <v>37.625</v>
      </c>
      <c r="EN214">
        <v>38.375</v>
      </c>
      <c r="EO214">
        <v>38.125</v>
      </c>
      <c r="EP214">
        <v>1454.693333333333</v>
      </c>
      <c r="EQ214">
        <v>40.35</v>
      </c>
      <c r="ER214">
        <v>0</v>
      </c>
      <c r="ES214">
        <v>571.7999999523163</v>
      </c>
      <c r="ET214">
        <v>0</v>
      </c>
      <c r="EU214">
        <v>841.15176</v>
      </c>
      <c r="EV214">
        <v>-19.27984619050306</v>
      </c>
      <c r="EW214">
        <v>-286.8461541647777</v>
      </c>
      <c r="EX214">
        <v>12497.156</v>
      </c>
      <c r="EY214">
        <v>15</v>
      </c>
      <c r="EZ214">
        <v>1651864261.1</v>
      </c>
      <c r="FA214" t="s">
        <v>419</v>
      </c>
      <c r="FB214">
        <v>1651864241.6</v>
      </c>
      <c r="FC214">
        <v>1651864261.1</v>
      </c>
      <c r="FD214">
        <v>7</v>
      </c>
      <c r="FE214">
        <v>0.438</v>
      </c>
      <c r="FF214">
        <v>0.002</v>
      </c>
      <c r="FG214">
        <v>-0.988</v>
      </c>
      <c r="FH214">
        <v>-0.066</v>
      </c>
      <c r="FI214">
        <v>400</v>
      </c>
      <c r="FJ214">
        <v>11</v>
      </c>
      <c r="FK214">
        <v>0.05</v>
      </c>
      <c r="FL214">
        <v>0.02</v>
      </c>
      <c r="FM214">
        <v>2.182348536585366</v>
      </c>
      <c r="FN214">
        <v>9.866572348432053</v>
      </c>
      <c r="FO214">
        <v>0.9750654504886775</v>
      </c>
      <c r="FP214">
        <v>-1</v>
      </c>
      <c r="FQ214">
        <v>4.207599512195122</v>
      </c>
      <c r="FR214">
        <v>0.07728731707316838</v>
      </c>
      <c r="FS214">
        <v>0.008147365862274353</v>
      </c>
      <c r="FT214">
        <v>-1</v>
      </c>
      <c r="FU214">
        <v>0</v>
      </c>
      <c r="FV214">
        <v>0</v>
      </c>
      <c r="FW214">
        <v>0</v>
      </c>
      <c r="FX214">
        <v>-1</v>
      </c>
      <c r="FY214">
        <v>0</v>
      </c>
      <c r="FZ214">
        <v>0</v>
      </c>
      <c r="GA214" t="s">
        <v>420</v>
      </c>
      <c r="GB214">
        <v>2.98034</v>
      </c>
      <c r="GC214">
        <v>2.70603</v>
      </c>
      <c r="GD214">
        <v>0.0767007</v>
      </c>
      <c r="GE214">
        <v>0.07504</v>
      </c>
      <c r="GF214">
        <v>0.0876711</v>
      </c>
      <c r="GG214">
        <v>0.0716353</v>
      </c>
      <c r="GH214">
        <v>29137.1</v>
      </c>
      <c r="GI214">
        <v>29253.5</v>
      </c>
      <c r="GJ214">
        <v>29343.1</v>
      </c>
      <c r="GK214">
        <v>29257.4</v>
      </c>
      <c r="GL214">
        <v>35447.5</v>
      </c>
      <c r="GM214">
        <v>36174.5</v>
      </c>
      <c r="GN214">
        <v>41301.7</v>
      </c>
      <c r="GO214">
        <v>41760.1</v>
      </c>
      <c r="GP214">
        <v>1.95518</v>
      </c>
      <c r="GQ214">
        <v>1.84925</v>
      </c>
      <c r="GR214">
        <v>-0.0208765</v>
      </c>
      <c r="GS214">
        <v>0</v>
      </c>
      <c r="GT214">
        <v>25.3375</v>
      </c>
      <c r="GU214">
        <v>999.9</v>
      </c>
      <c r="GV214">
        <v>31.6</v>
      </c>
      <c r="GW214">
        <v>34.3</v>
      </c>
      <c r="GX214">
        <v>19.0915</v>
      </c>
      <c r="GY214">
        <v>62.3375</v>
      </c>
      <c r="GZ214">
        <v>34.9639</v>
      </c>
      <c r="HA214">
        <v>1</v>
      </c>
      <c r="HB214">
        <v>0.108161</v>
      </c>
      <c r="HC214">
        <v>2.38466</v>
      </c>
      <c r="HD214">
        <v>20.3173</v>
      </c>
      <c r="HE214">
        <v>5.21579</v>
      </c>
      <c r="HF214">
        <v>12.0099</v>
      </c>
      <c r="HG214">
        <v>4.9889</v>
      </c>
      <c r="HH214">
        <v>3.28848</v>
      </c>
      <c r="HI214">
        <v>999.6</v>
      </c>
      <c r="HJ214">
        <v>9554.299999999999</v>
      </c>
      <c r="HK214">
        <v>5139.4</v>
      </c>
      <c r="HL214">
        <v>24.9</v>
      </c>
      <c r="HM214">
        <v>1.86752</v>
      </c>
      <c r="HN214">
        <v>1.86646</v>
      </c>
      <c r="HO214">
        <v>1.866</v>
      </c>
      <c r="HP214">
        <v>1.86584</v>
      </c>
      <c r="HQ214">
        <v>1.86769</v>
      </c>
      <c r="HR214">
        <v>1.87024</v>
      </c>
      <c r="HS214">
        <v>1.86889</v>
      </c>
      <c r="HT214">
        <v>1.87024</v>
      </c>
      <c r="HU214">
        <v>0</v>
      </c>
      <c r="HV214">
        <v>0</v>
      </c>
      <c r="HW214">
        <v>0</v>
      </c>
      <c r="HX214">
        <v>0</v>
      </c>
      <c r="HY214" t="s">
        <v>421</v>
      </c>
      <c r="HZ214" t="s">
        <v>422</v>
      </c>
      <c r="IA214" t="s">
        <v>423</v>
      </c>
      <c r="IB214" t="s">
        <v>423</v>
      </c>
      <c r="IC214" t="s">
        <v>423</v>
      </c>
      <c r="ID214" t="s">
        <v>423</v>
      </c>
      <c r="IE214">
        <v>0</v>
      </c>
      <c r="IF214">
        <v>100</v>
      </c>
      <c r="IG214">
        <v>100</v>
      </c>
      <c r="IH214">
        <v>-0.852</v>
      </c>
      <c r="II214">
        <v>0.0205</v>
      </c>
      <c r="IJ214">
        <v>-0.2164499368582429</v>
      </c>
      <c r="IK214">
        <v>-0.002077099775823331</v>
      </c>
      <c r="IL214">
        <v>4.593143279902166E-07</v>
      </c>
      <c r="IM214">
        <v>-1.865383991892071E-10</v>
      </c>
      <c r="IN214">
        <v>-0.06087574426827484</v>
      </c>
      <c r="IO214">
        <v>-0.01129461987421345</v>
      </c>
      <c r="IP214">
        <v>0.00116580895745559</v>
      </c>
      <c r="IQ214">
        <v>-1.679085872906199E-05</v>
      </c>
      <c r="IR214">
        <v>2</v>
      </c>
      <c r="IS214">
        <v>2290</v>
      </c>
      <c r="IT214">
        <v>0</v>
      </c>
      <c r="IU214">
        <v>32</v>
      </c>
      <c r="IV214">
        <v>9.199999999999999</v>
      </c>
      <c r="IW214">
        <v>8.9</v>
      </c>
      <c r="IX214">
        <v>0.814209</v>
      </c>
      <c r="IY214">
        <v>2.23633</v>
      </c>
      <c r="IZ214">
        <v>1.39648</v>
      </c>
      <c r="JA214">
        <v>2.35596</v>
      </c>
      <c r="JB214">
        <v>1.49536</v>
      </c>
      <c r="JC214">
        <v>2.36938</v>
      </c>
      <c r="JD214">
        <v>38.5014</v>
      </c>
      <c r="JE214">
        <v>24.035</v>
      </c>
      <c r="JF214">
        <v>18</v>
      </c>
      <c r="JG214">
        <v>511.041</v>
      </c>
      <c r="JH214">
        <v>428.497</v>
      </c>
      <c r="JI214">
        <v>22.1971</v>
      </c>
      <c r="JJ214">
        <v>28.6903</v>
      </c>
      <c r="JK214">
        <v>30.0002</v>
      </c>
      <c r="JL214">
        <v>28.6544</v>
      </c>
      <c r="JM214">
        <v>28.5914</v>
      </c>
      <c r="JN214">
        <v>16.2559</v>
      </c>
      <c r="JO214">
        <v>26.5129</v>
      </c>
      <c r="JP214">
        <v>0</v>
      </c>
      <c r="JQ214">
        <v>22.1865</v>
      </c>
      <c r="JR214">
        <v>299.684</v>
      </c>
      <c r="JS214">
        <v>14.1373</v>
      </c>
      <c r="JT214">
        <v>100.301</v>
      </c>
      <c r="JU214">
        <v>100.226</v>
      </c>
    </row>
    <row r="215" spans="1:281">
      <c r="A215">
        <v>199</v>
      </c>
      <c r="B215">
        <v>1651864795.1</v>
      </c>
      <c r="C215">
        <v>574.5</v>
      </c>
      <c r="D215" t="s">
        <v>818</v>
      </c>
      <c r="E215" t="s">
        <v>819</v>
      </c>
      <c r="F215">
        <v>2</v>
      </c>
      <c r="G215" t="s">
        <v>413</v>
      </c>
      <c r="H215" t="s">
        <v>414</v>
      </c>
      <c r="I215">
        <v>1651864793.725</v>
      </c>
      <c r="J215">
        <f>(K215)/1000</f>
        <v>0</v>
      </c>
      <c r="K215">
        <f>IF(CZ215, AN215, AH215)</f>
        <v>0</v>
      </c>
      <c r="L215">
        <f>IF(CZ215, AI215, AG215)</f>
        <v>0</v>
      </c>
      <c r="M215">
        <f>DB215 - IF(AU215&gt;1, L215*CV215*100.0/(AW215*DP215), 0)</f>
        <v>0</v>
      </c>
      <c r="N215">
        <f>((T215-J215/2)*M215-L215)/(T215+J215/2)</f>
        <v>0</v>
      </c>
      <c r="O215">
        <f>N215*(DI215+DJ215)/1000.0</f>
        <v>0</v>
      </c>
      <c r="P215">
        <f>(DB215 - IF(AU215&gt;1, L215*CV215*100.0/(AW215*DP215), 0))*(DI215+DJ215)/1000.0</f>
        <v>0</v>
      </c>
      <c r="Q215">
        <f>2.0/((1/S215-1/R215)+SIGN(S215)*SQRT((1/S215-1/R215)*(1/S215-1/R215) + 4*CW215/((CW215+1)*(CW215+1))*(2*1/S215*1/R215-1/R215*1/R215)))</f>
        <v>0</v>
      </c>
      <c r="R215">
        <f>IF(LEFT(CX215,1)&lt;&gt;"0",IF(LEFT(CX215,1)="1",3.0,CY215),$D$5+$E$5*(DP215*DI215/($K$5*1000))+$F$5*(DP215*DI215/($K$5*1000))*MAX(MIN(CV215,$J$5),$I$5)*MAX(MIN(CV215,$J$5),$I$5)+$G$5*MAX(MIN(CV215,$J$5),$I$5)*(DP215*DI215/($K$5*1000))+$H$5*(DP215*DI215/($K$5*1000))*(DP215*DI215/($K$5*1000)))</f>
        <v>0</v>
      </c>
      <c r="S215">
        <f>J215*(1000-(1000*0.61365*exp(17.502*W215/(240.97+W215))/(DI215+DJ215)+DD215)/2)/(1000*0.61365*exp(17.502*W215/(240.97+W215))/(DI215+DJ215)-DD215)</f>
        <v>0</v>
      </c>
      <c r="T215">
        <f>1/((CW215+1)/(Q215/1.6)+1/(R215/1.37)) + CW215/((CW215+1)/(Q215/1.6) + CW215/(R215/1.37))</f>
        <v>0</v>
      </c>
      <c r="U215">
        <f>(CR215*CU215)</f>
        <v>0</v>
      </c>
      <c r="V215">
        <f>(DK215+(U215+2*0.95*5.67E-8*(((DK215+$B$7)+273)^4-(DK215+273)^4)-44100*J215)/(1.84*29.3*R215+8*0.95*5.67E-8*(DK215+273)^3))</f>
        <v>0</v>
      </c>
      <c r="W215">
        <f>($C$7*DL215+$D$7*DM215+$E$7*V215)</f>
        <v>0</v>
      </c>
      <c r="X215">
        <f>0.61365*exp(17.502*W215/(240.97+W215))</f>
        <v>0</v>
      </c>
      <c r="Y215">
        <f>(Z215/AA215*100)</f>
        <v>0</v>
      </c>
      <c r="Z215">
        <f>DD215*(DI215+DJ215)/1000</f>
        <v>0</v>
      </c>
      <c r="AA215">
        <f>0.61365*exp(17.502*DK215/(240.97+DK215))</f>
        <v>0</v>
      </c>
      <c r="AB215">
        <f>(X215-DD215*(DI215+DJ215)/1000)</f>
        <v>0</v>
      </c>
      <c r="AC215">
        <f>(-J215*44100)</f>
        <v>0</v>
      </c>
      <c r="AD215">
        <f>2*29.3*R215*0.92*(DK215-W215)</f>
        <v>0</v>
      </c>
      <c r="AE215">
        <f>2*0.95*5.67E-8*(((DK215+$B$7)+273)^4-(W215+273)^4)</f>
        <v>0</v>
      </c>
      <c r="AF215">
        <f>U215+AE215+AC215+AD215</f>
        <v>0</v>
      </c>
      <c r="AG215">
        <f>DH215*AU215*(DC215-DB215*(1000-AU215*DE215)/(1000-AU215*DD215))/(100*CV215)</f>
        <v>0</v>
      </c>
      <c r="AH215">
        <f>1000*DH215*AU215*(DD215-DE215)/(100*CV215*(1000-AU215*DD215))</f>
        <v>0</v>
      </c>
      <c r="AI215">
        <f>(AJ215 - AK215 - DI215*1E3/(8.314*(DK215+273.15)) * AM215/DH215 * AL215) * DH215/(100*CV215) * (1000 - DE215)/1000</f>
        <v>0</v>
      </c>
      <c r="AJ215">
        <v>328.9896126676068</v>
      </c>
      <c r="AK215">
        <v>327.1027515151514</v>
      </c>
      <c r="AL215">
        <v>-3.206520927251785</v>
      </c>
      <c r="AM215">
        <v>66.38192812717227</v>
      </c>
      <c r="AN215">
        <f>(AP215 - AO215 + DI215*1E3/(8.314*(DK215+273.15)) * AR215/DH215 * AQ215) * DH215/(100*CV215) * 1000/(1000 - AP215)</f>
        <v>0</v>
      </c>
      <c r="AO215">
        <v>14.13972219444339</v>
      </c>
      <c r="AP215">
        <v>18.35480470588234</v>
      </c>
      <c r="AQ215">
        <v>9.022923505088135E-05</v>
      </c>
      <c r="AR215">
        <v>80.47224507511959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MAX(0,($B$13+$C$13*DP215)/(1+$D$13*DP215)*DI215/(DK215+273)*$E$13)</f>
        <v>0</v>
      </c>
      <c r="AX215" t="s">
        <v>417</v>
      </c>
      <c r="AY215" t="s">
        <v>417</v>
      </c>
      <c r="AZ215">
        <v>0</v>
      </c>
      <c r="BA215">
        <v>0</v>
      </c>
      <c r="BB215">
        <f>1-AZ215/BA215</f>
        <v>0</v>
      </c>
      <c r="BC215">
        <v>0</v>
      </c>
      <c r="BD215" t="s">
        <v>417</v>
      </c>
      <c r="BE215" t="s">
        <v>417</v>
      </c>
      <c r="BF215">
        <v>0</v>
      </c>
      <c r="BG215">
        <v>0</v>
      </c>
      <c r="BH215">
        <f>1-BF215/BG215</f>
        <v>0</v>
      </c>
      <c r="BI215">
        <v>0.5</v>
      </c>
      <c r="BJ215">
        <f>CS215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417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BZ215">
        <v>1248</v>
      </c>
      <c r="CA215">
        <v>300</v>
      </c>
      <c r="CB215">
        <v>300</v>
      </c>
      <c r="CC215">
        <v>300</v>
      </c>
      <c r="CD215">
        <v>10442</v>
      </c>
      <c r="CE215">
        <v>1293.69</v>
      </c>
      <c r="CF215">
        <v>-0.00735246</v>
      </c>
      <c r="CG215">
        <v>0.5</v>
      </c>
      <c r="CH215" t="s">
        <v>417</v>
      </c>
      <c r="CI215" t="s">
        <v>417</v>
      </c>
      <c r="CJ215" t="s">
        <v>417</v>
      </c>
      <c r="CK215" t="s">
        <v>417</v>
      </c>
      <c r="CL215" t="s">
        <v>417</v>
      </c>
      <c r="CM215" t="s">
        <v>417</v>
      </c>
      <c r="CN215" t="s">
        <v>417</v>
      </c>
      <c r="CO215" t="s">
        <v>417</v>
      </c>
      <c r="CP215" t="s">
        <v>417</v>
      </c>
      <c r="CQ215" t="s">
        <v>417</v>
      </c>
      <c r="CR215">
        <f>$B$11*DQ215+$C$11*DR215+$F$11*EC215*(1-EF215)</f>
        <v>0</v>
      </c>
      <c r="CS215">
        <f>CR215*CT215</f>
        <v>0</v>
      </c>
      <c r="CT215">
        <f>($B$11*$D$9+$C$11*$D$9+$F$11*((EP215+EH215)/MAX(EP215+EH215+EQ215, 0.1)*$I$9+EQ215/MAX(EP215+EH215+EQ215, 0.1)*$J$9))/($B$11+$C$11+$F$11)</f>
        <v>0</v>
      </c>
      <c r="CU215">
        <f>($B$11*$K$9+$C$11*$K$9+$F$11*((EP215+EH215)/MAX(EP215+EH215+EQ215, 0.1)*$P$9+EQ215/MAX(EP215+EH215+EQ215, 0.1)*$Q$9))/($B$11+$C$11+$F$11)</f>
        <v>0</v>
      </c>
      <c r="CV215">
        <v>6</v>
      </c>
      <c r="CW215">
        <v>0.5</v>
      </c>
      <c r="CX215" t="s">
        <v>418</v>
      </c>
      <c r="CY215">
        <v>2</v>
      </c>
      <c r="CZ215" t="b">
        <v>1</v>
      </c>
      <c r="DA215">
        <v>1651864793.725</v>
      </c>
      <c r="DB215">
        <v>323.8525</v>
      </c>
      <c r="DC215">
        <v>319.741</v>
      </c>
      <c r="DD215">
        <v>18.355375</v>
      </c>
      <c r="DE215">
        <v>14.13995</v>
      </c>
      <c r="DF215">
        <v>324.70125</v>
      </c>
      <c r="DG215">
        <v>18.334975</v>
      </c>
      <c r="DH215">
        <v>500.0437499999999</v>
      </c>
      <c r="DI215">
        <v>89.9299</v>
      </c>
      <c r="DJ215">
        <v>0.1000289</v>
      </c>
      <c r="DK215">
        <v>25.637275</v>
      </c>
      <c r="DL215">
        <v>24.992475</v>
      </c>
      <c r="DM215">
        <v>999.9</v>
      </c>
      <c r="DN215">
        <v>0</v>
      </c>
      <c r="DO215">
        <v>0</v>
      </c>
      <c r="DP215">
        <v>9986.875</v>
      </c>
      <c r="DQ215">
        <v>0</v>
      </c>
      <c r="DR215">
        <v>3.23193</v>
      </c>
      <c r="DS215">
        <v>4.1112875</v>
      </c>
      <c r="DT215">
        <v>329.90775</v>
      </c>
      <c r="DU215">
        <v>324.327</v>
      </c>
      <c r="DV215">
        <v>4.2154375</v>
      </c>
      <c r="DW215">
        <v>319.741</v>
      </c>
      <c r="DX215">
        <v>14.13995</v>
      </c>
      <c r="DY215">
        <v>1.6507</v>
      </c>
      <c r="DZ215">
        <v>1.2716075</v>
      </c>
      <c r="EA215">
        <v>14.44045</v>
      </c>
      <c r="EB215">
        <v>10.46735</v>
      </c>
      <c r="EC215">
        <v>1500.0775</v>
      </c>
      <c r="ED215">
        <v>0.9729995</v>
      </c>
      <c r="EE215">
        <v>0.027000425</v>
      </c>
      <c r="EF215">
        <v>0</v>
      </c>
      <c r="EG215">
        <v>838.6585</v>
      </c>
      <c r="EH215">
        <v>5.00097</v>
      </c>
      <c r="EI215">
        <v>12460.625</v>
      </c>
      <c r="EJ215">
        <v>12492.25</v>
      </c>
      <c r="EK215">
        <v>37.25</v>
      </c>
      <c r="EL215">
        <v>38.687</v>
      </c>
      <c r="EM215">
        <v>37.625</v>
      </c>
      <c r="EN215">
        <v>38.3905</v>
      </c>
      <c r="EO215">
        <v>38.125</v>
      </c>
      <c r="EP215">
        <v>1454.71</v>
      </c>
      <c r="EQ215">
        <v>40.3675</v>
      </c>
      <c r="ER215">
        <v>0</v>
      </c>
      <c r="ES215">
        <v>574.2000000476837</v>
      </c>
      <c r="ET215">
        <v>0</v>
      </c>
      <c r="EU215">
        <v>840.43412</v>
      </c>
      <c r="EV215">
        <v>-18.83807689296662</v>
      </c>
      <c r="EW215">
        <v>-280.8307687135534</v>
      </c>
      <c r="EX215">
        <v>12485.896</v>
      </c>
      <c r="EY215">
        <v>15</v>
      </c>
      <c r="EZ215">
        <v>1651864261.1</v>
      </c>
      <c r="FA215" t="s">
        <v>419</v>
      </c>
      <c r="FB215">
        <v>1651864241.6</v>
      </c>
      <c r="FC215">
        <v>1651864261.1</v>
      </c>
      <c r="FD215">
        <v>7</v>
      </c>
      <c r="FE215">
        <v>0.438</v>
      </c>
      <c r="FF215">
        <v>0.002</v>
      </c>
      <c r="FG215">
        <v>-0.988</v>
      </c>
      <c r="FH215">
        <v>-0.066</v>
      </c>
      <c r="FI215">
        <v>400</v>
      </c>
      <c r="FJ215">
        <v>11</v>
      </c>
      <c r="FK215">
        <v>0.05</v>
      </c>
      <c r="FL215">
        <v>0.02</v>
      </c>
      <c r="FM215">
        <v>2.472953625</v>
      </c>
      <c r="FN215">
        <v>10.10147028517824</v>
      </c>
      <c r="FO215">
        <v>0.9740084361124828</v>
      </c>
      <c r="FP215">
        <v>-1</v>
      </c>
      <c r="FQ215">
        <v>4.2100305</v>
      </c>
      <c r="FR215">
        <v>0.05685613508442981</v>
      </c>
      <c r="FS215">
        <v>0.005758255790601879</v>
      </c>
      <c r="FT215">
        <v>-1</v>
      </c>
      <c r="FU215">
        <v>0</v>
      </c>
      <c r="FV215">
        <v>0</v>
      </c>
      <c r="FW215">
        <v>0</v>
      </c>
      <c r="FX215">
        <v>-1</v>
      </c>
      <c r="FY215">
        <v>0</v>
      </c>
      <c r="FZ215">
        <v>0</v>
      </c>
      <c r="GA215" t="s">
        <v>420</v>
      </c>
      <c r="GB215">
        <v>2.98062</v>
      </c>
      <c r="GC215">
        <v>2.70606</v>
      </c>
      <c r="GD215">
        <v>0.0755082</v>
      </c>
      <c r="GE215">
        <v>0.0738007</v>
      </c>
      <c r="GF215">
        <v>0.0876657</v>
      </c>
      <c r="GG215">
        <v>0.0716369</v>
      </c>
      <c r="GH215">
        <v>29174.7</v>
      </c>
      <c r="GI215">
        <v>29292.8</v>
      </c>
      <c r="GJ215">
        <v>29343.1</v>
      </c>
      <c r="GK215">
        <v>29257.5</v>
      </c>
      <c r="GL215">
        <v>35447.5</v>
      </c>
      <c r="GM215">
        <v>36174.6</v>
      </c>
      <c r="GN215">
        <v>41301.6</v>
      </c>
      <c r="GO215">
        <v>41760.2</v>
      </c>
      <c r="GP215">
        <v>1.95495</v>
      </c>
      <c r="GQ215">
        <v>1.84923</v>
      </c>
      <c r="GR215">
        <v>-0.0213161</v>
      </c>
      <c r="GS215">
        <v>0</v>
      </c>
      <c r="GT215">
        <v>25.3375</v>
      </c>
      <c r="GU215">
        <v>999.9</v>
      </c>
      <c r="GV215">
        <v>31.6</v>
      </c>
      <c r="GW215">
        <v>34.3</v>
      </c>
      <c r="GX215">
        <v>19.0912</v>
      </c>
      <c r="GY215">
        <v>62.5575</v>
      </c>
      <c r="GZ215">
        <v>34.9439</v>
      </c>
      <c r="HA215">
        <v>1</v>
      </c>
      <c r="HB215">
        <v>0.108242</v>
      </c>
      <c r="HC215">
        <v>2.37228</v>
      </c>
      <c r="HD215">
        <v>20.3172</v>
      </c>
      <c r="HE215">
        <v>5.21594</v>
      </c>
      <c r="HF215">
        <v>12.0099</v>
      </c>
      <c r="HG215">
        <v>4.98885</v>
      </c>
      <c r="HH215">
        <v>3.28848</v>
      </c>
      <c r="HI215">
        <v>999.8</v>
      </c>
      <c r="HJ215">
        <v>9555.200000000001</v>
      </c>
      <c r="HK215">
        <v>5139.4</v>
      </c>
      <c r="HL215">
        <v>24.9</v>
      </c>
      <c r="HM215">
        <v>1.8675</v>
      </c>
      <c r="HN215">
        <v>1.86646</v>
      </c>
      <c r="HO215">
        <v>1.866</v>
      </c>
      <c r="HP215">
        <v>1.86584</v>
      </c>
      <c r="HQ215">
        <v>1.86768</v>
      </c>
      <c r="HR215">
        <v>1.87024</v>
      </c>
      <c r="HS215">
        <v>1.86889</v>
      </c>
      <c r="HT215">
        <v>1.87024</v>
      </c>
      <c r="HU215">
        <v>0</v>
      </c>
      <c r="HV215">
        <v>0</v>
      </c>
      <c r="HW215">
        <v>0</v>
      </c>
      <c r="HX215">
        <v>0</v>
      </c>
      <c r="HY215" t="s">
        <v>421</v>
      </c>
      <c r="HZ215" t="s">
        <v>422</v>
      </c>
      <c r="IA215" t="s">
        <v>423</v>
      </c>
      <c r="IB215" t="s">
        <v>423</v>
      </c>
      <c r="IC215" t="s">
        <v>423</v>
      </c>
      <c r="ID215" t="s">
        <v>423</v>
      </c>
      <c r="IE215">
        <v>0</v>
      </c>
      <c r="IF215">
        <v>100</v>
      </c>
      <c r="IG215">
        <v>100</v>
      </c>
      <c r="IH215">
        <v>-0.841</v>
      </c>
      <c r="II215">
        <v>0.0205</v>
      </c>
      <c r="IJ215">
        <v>-0.2164499368582429</v>
      </c>
      <c r="IK215">
        <v>-0.002077099775823331</v>
      </c>
      <c r="IL215">
        <v>4.593143279902166E-07</v>
      </c>
      <c r="IM215">
        <v>-1.865383991892071E-10</v>
      </c>
      <c r="IN215">
        <v>-0.06087574426827484</v>
      </c>
      <c r="IO215">
        <v>-0.01129461987421345</v>
      </c>
      <c r="IP215">
        <v>0.00116580895745559</v>
      </c>
      <c r="IQ215">
        <v>-1.679085872906199E-05</v>
      </c>
      <c r="IR215">
        <v>2</v>
      </c>
      <c r="IS215">
        <v>2290</v>
      </c>
      <c r="IT215">
        <v>0</v>
      </c>
      <c r="IU215">
        <v>32</v>
      </c>
      <c r="IV215">
        <v>9.199999999999999</v>
      </c>
      <c r="IW215">
        <v>8.9</v>
      </c>
      <c r="IX215">
        <v>0.799561</v>
      </c>
      <c r="IY215">
        <v>2.24976</v>
      </c>
      <c r="IZ215">
        <v>1.39648</v>
      </c>
      <c r="JA215">
        <v>2.35596</v>
      </c>
      <c r="JB215">
        <v>1.49536</v>
      </c>
      <c r="JC215">
        <v>2.28149</v>
      </c>
      <c r="JD215">
        <v>38.5014</v>
      </c>
      <c r="JE215">
        <v>24.0262</v>
      </c>
      <c r="JF215">
        <v>18</v>
      </c>
      <c r="JG215">
        <v>510.894</v>
      </c>
      <c r="JH215">
        <v>428.487</v>
      </c>
      <c r="JI215">
        <v>22.192</v>
      </c>
      <c r="JJ215">
        <v>28.6903</v>
      </c>
      <c r="JK215">
        <v>30.0003</v>
      </c>
      <c r="JL215">
        <v>28.6544</v>
      </c>
      <c r="JM215">
        <v>28.592</v>
      </c>
      <c r="JN215">
        <v>15.9779</v>
      </c>
      <c r="JO215">
        <v>26.5129</v>
      </c>
      <c r="JP215">
        <v>0</v>
      </c>
      <c r="JQ215">
        <v>22.1905</v>
      </c>
      <c r="JR215">
        <v>293.006</v>
      </c>
      <c r="JS215">
        <v>14.14</v>
      </c>
      <c r="JT215">
        <v>100.301</v>
      </c>
      <c r="JU215">
        <v>100.227</v>
      </c>
    </row>
    <row r="216" spans="1:281">
      <c r="A216">
        <v>200</v>
      </c>
      <c r="B216">
        <v>1651864797.1</v>
      </c>
      <c r="C216">
        <v>576.5</v>
      </c>
      <c r="D216" t="s">
        <v>820</v>
      </c>
      <c r="E216" t="s">
        <v>821</v>
      </c>
      <c r="F216">
        <v>2</v>
      </c>
      <c r="G216" t="s">
        <v>413</v>
      </c>
      <c r="H216" t="s">
        <v>414</v>
      </c>
      <c r="I216">
        <v>1651864796.1</v>
      </c>
      <c r="J216">
        <f>(K216)/1000</f>
        <v>0</v>
      </c>
      <c r="K216">
        <f>IF(CZ216, AN216, AH216)</f>
        <v>0</v>
      </c>
      <c r="L216">
        <f>IF(CZ216, AI216, AG216)</f>
        <v>0</v>
      </c>
      <c r="M216">
        <f>DB216 - IF(AU216&gt;1, L216*CV216*100.0/(AW216*DP216), 0)</f>
        <v>0</v>
      </c>
      <c r="N216">
        <f>((T216-J216/2)*M216-L216)/(T216+J216/2)</f>
        <v>0</v>
      </c>
      <c r="O216">
        <f>N216*(DI216+DJ216)/1000.0</f>
        <v>0</v>
      </c>
      <c r="P216">
        <f>(DB216 - IF(AU216&gt;1, L216*CV216*100.0/(AW216*DP216), 0))*(DI216+DJ216)/1000.0</f>
        <v>0</v>
      </c>
      <c r="Q216">
        <f>2.0/((1/S216-1/R216)+SIGN(S216)*SQRT((1/S216-1/R216)*(1/S216-1/R216) + 4*CW216/((CW216+1)*(CW216+1))*(2*1/S216*1/R216-1/R216*1/R216)))</f>
        <v>0</v>
      </c>
      <c r="R216">
        <f>IF(LEFT(CX216,1)&lt;&gt;"0",IF(LEFT(CX216,1)="1",3.0,CY216),$D$5+$E$5*(DP216*DI216/($K$5*1000))+$F$5*(DP216*DI216/($K$5*1000))*MAX(MIN(CV216,$J$5),$I$5)*MAX(MIN(CV216,$J$5),$I$5)+$G$5*MAX(MIN(CV216,$J$5),$I$5)*(DP216*DI216/($K$5*1000))+$H$5*(DP216*DI216/($K$5*1000))*(DP216*DI216/($K$5*1000)))</f>
        <v>0</v>
      </c>
      <c r="S216">
        <f>J216*(1000-(1000*0.61365*exp(17.502*W216/(240.97+W216))/(DI216+DJ216)+DD216)/2)/(1000*0.61365*exp(17.502*W216/(240.97+W216))/(DI216+DJ216)-DD216)</f>
        <v>0</v>
      </c>
      <c r="T216">
        <f>1/((CW216+1)/(Q216/1.6)+1/(R216/1.37)) + CW216/((CW216+1)/(Q216/1.6) + CW216/(R216/1.37))</f>
        <v>0</v>
      </c>
      <c r="U216">
        <f>(CR216*CU216)</f>
        <v>0</v>
      </c>
      <c r="V216">
        <f>(DK216+(U216+2*0.95*5.67E-8*(((DK216+$B$7)+273)^4-(DK216+273)^4)-44100*J216)/(1.84*29.3*R216+8*0.95*5.67E-8*(DK216+273)^3))</f>
        <v>0</v>
      </c>
      <c r="W216">
        <f>($C$7*DL216+$D$7*DM216+$E$7*V216)</f>
        <v>0</v>
      </c>
      <c r="X216">
        <f>0.61365*exp(17.502*W216/(240.97+W216))</f>
        <v>0</v>
      </c>
      <c r="Y216">
        <f>(Z216/AA216*100)</f>
        <v>0</v>
      </c>
      <c r="Z216">
        <f>DD216*(DI216+DJ216)/1000</f>
        <v>0</v>
      </c>
      <c r="AA216">
        <f>0.61365*exp(17.502*DK216/(240.97+DK216))</f>
        <v>0</v>
      </c>
      <c r="AB216">
        <f>(X216-DD216*(DI216+DJ216)/1000)</f>
        <v>0</v>
      </c>
      <c r="AC216">
        <f>(-J216*44100)</f>
        <v>0</v>
      </c>
      <c r="AD216">
        <f>2*29.3*R216*0.92*(DK216-W216)</f>
        <v>0</v>
      </c>
      <c r="AE216">
        <f>2*0.95*5.67E-8*(((DK216+$B$7)+273)^4-(W216+273)^4)</f>
        <v>0</v>
      </c>
      <c r="AF216">
        <f>U216+AE216+AC216+AD216</f>
        <v>0</v>
      </c>
      <c r="AG216">
        <f>DH216*AU216*(DC216-DB216*(1000-AU216*DE216)/(1000-AU216*DD216))/(100*CV216)</f>
        <v>0</v>
      </c>
      <c r="AH216">
        <f>1000*DH216*AU216*(DD216-DE216)/(100*CV216*(1000-AU216*DD216))</f>
        <v>0</v>
      </c>
      <c r="AI216">
        <f>(AJ216 - AK216 - DI216*1E3/(8.314*(DK216+273.15)) * AM216/DH216 * AL216) * DH216/(100*CV216) * (1000 - DE216)/1000</f>
        <v>0</v>
      </c>
      <c r="AJ216">
        <v>322.3191062484589</v>
      </c>
      <c r="AK216">
        <v>320.746303030303</v>
      </c>
      <c r="AL216">
        <v>-3.187972439096263</v>
      </c>
      <c r="AM216">
        <v>66.38192812717227</v>
      </c>
      <c r="AN216">
        <f>(AP216 - AO216 + DI216*1E3/(8.314*(DK216+273.15)) * AR216/DH216 * AQ216) * DH216/(100*CV216) * 1000/(1000 - AP216)</f>
        <v>0</v>
      </c>
      <c r="AO216">
        <v>14.13974197786988</v>
      </c>
      <c r="AP216">
        <v>18.35289735294117</v>
      </c>
      <c r="AQ216">
        <v>2.803858014315967E-05</v>
      </c>
      <c r="AR216">
        <v>80.47224507511959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MAX(0,($B$13+$C$13*DP216)/(1+$D$13*DP216)*DI216/(DK216+273)*$E$13)</f>
        <v>0</v>
      </c>
      <c r="AX216" t="s">
        <v>417</v>
      </c>
      <c r="AY216" t="s">
        <v>417</v>
      </c>
      <c r="AZ216">
        <v>0</v>
      </c>
      <c r="BA216">
        <v>0</v>
      </c>
      <c r="BB216">
        <f>1-AZ216/BA216</f>
        <v>0</v>
      </c>
      <c r="BC216">
        <v>0</v>
      </c>
      <c r="BD216" t="s">
        <v>417</v>
      </c>
      <c r="BE216" t="s">
        <v>417</v>
      </c>
      <c r="BF216">
        <v>0</v>
      </c>
      <c r="BG216">
        <v>0</v>
      </c>
      <c r="BH216">
        <f>1-BF216/BG216</f>
        <v>0</v>
      </c>
      <c r="BI216">
        <v>0.5</v>
      </c>
      <c r="BJ216">
        <f>CS216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417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BZ216">
        <v>1248</v>
      </c>
      <c r="CA216">
        <v>300</v>
      </c>
      <c r="CB216">
        <v>300</v>
      </c>
      <c r="CC216">
        <v>300</v>
      </c>
      <c r="CD216">
        <v>10442</v>
      </c>
      <c r="CE216">
        <v>1293.69</v>
      </c>
      <c r="CF216">
        <v>-0.00735246</v>
      </c>
      <c r="CG216">
        <v>0.5</v>
      </c>
      <c r="CH216" t="s">
        <v>417</v>
      </c>
      <c r="CI216" t="s">
        <v>417</v>
      </c>
      <c r="CJ216" t="s">
        <v>417</v>
      </c>
      <c r="CK216" t="s">
        <v>417</v>
      </c>
      <c r="CL216" t="s">
        <v>417</v>
      </c>
      <c r="CM216" t="s">
        <v>417</v>
      </c>
      <c r="CN216" t="s">
        <v>417</v>
      </c>
      <c r="CO216" t="s">
        <v>417</v>
      </c>
      <c r="CP216" t="s">
        <v>417</v>
      </c>
      <c r="CQ216" t="s">
        <v>417</v>
      </c>
      <c r="CR216">
        <f>$B$11*DQ216+$C$11*DR216+$F$11*EC216*(1-EF216)</f>
        <v>0</v>
      </c>
      <c r="CS216">
        <f>CR216*CT216</f>
        <v>0</v>
      </c>
      <c r="CT216">
        <f>($B$11*$D$9+$C$11*$D$9+$F$11*((EP216+EH216)/MAX(EP216+EH216+EQ216, 0.1)*$I$9+EQ216/MAX(EP216+EH216+EQ216, 0.1)*$J$9))/($B$11+$C$11+$F$11)</f>
        <v>0</v>
      </c>
      <c r="CU216">
        <f>($B$11*$K$9+$C$11*$K$9+$F$11*((EP216+EH216)/MAX(EP216+EH216+EQ216, 0.1)*$P$9+EQ216/MAX(EP216+EH216+EQ216, 0.1)*$Q$9))/($B$11+$C$11+$F$11)</f>
        <v>0</v>
      </c>
      <c r="CV216">
        <v>6</v>
      </c>
      <c r="CW216">
        <v>0.5</v>
      </c>
      <c r="CX216" t="s">
        <v>418</v>
      </c>
      <c r="CY216">
        <v>2</v>
      </c>
      <c r="CZ216" t="b">
        <v>1</v>
      </c>
      <c r="DA216">
        <v>1651864796.1</v>
      </c>
      <c r="DB216">
        <v>316.4163333333333</v>
      </c>
      <c r="DC216">
        <v>311.9293333333333</v>
      </c>
      <c r="DD216">
        <v>18.3535</v>
      </c>
      <c r="DE216">
        <v>14.1397</v>
      </c>
      <c r="DF216">
        <v>317.2516666666667</v>
      </c>
      <c r="DG216">
        <v>18.33306666666667</v>
      </c>
      <c r="DH216">
        <v>500.0776666666666</v>
      </c>
      <c r="DI216">
        <v>89.93033333333334</v>
      </c>
      <c r="DJ216">
        <v>0.1001033333333333</v>
      </c>
      <c r="DK216">
        <v>25.63703333333333</v>
      </c>
      <c r="DL216">
        <v>24.98596666666667</v>
      </c>
      <c r="DM216">
        <v>999.9</v>
      </c>
      <c r="DN216">
        <v>0</v>
      </c>
      <c r="DO216">
        <v>0</v>
      </c>
      <c r="DP216">
        <v>9982.290000000001</v>
      </c>
      <c r="DQ216">
        <v>0</v>
      </c>
      <c r="DR216">
        <v>3.23193</v>
      </c>
      <c r="DS216">
        <v>4.48707</v>
      </c>
      <c r="DT216">
        <v>322.3323333333333</v>
      </c>
      <c r="DU216">
        <v>316.4033333333334</v>
      </c>
      <c r="DV216">
        <v>4.213780000000001</v>
      </c>
      <c r="DW216">
        <v>311.9293333333333</v>
      </c>
      <c r="DX216">
        <v>14.1397</v>
      </c>
      <c r="DY216">
        <v>1.650533333333333</v>
      </c>
      <c r="DZ216">
        <v>1.27159</v>
      </c>
      <c r="EA216">
        <v>14.43886666666667</v>
      </c>
      <c r="EB216">
        <v>10.4672</v>
      </c>
      <c r="EC216">
        <v>1499.936666666667</v>
      </c>
      <c r="ED216">
        <v>0.9730086666666665</v>
      </c>
      <c r="EE216">
        <v>0.0269913</v>
      </c>
      <c r="EF216">
        <v>0</v>
      </c>
      <c r="EG216">
        <v>837.9400000000001</v>
      </c>
      <c r="EH216">
        <v>5.00097</v>
      </c>
      <c r="EI216">
        <v>12448.1</v>
      </c>
      <c r="EJ216">
        <v>12491.13333333333</v>
      </c>
      <c r="EK216">
        <v>37.25</v>
      </c>
      <c r="EL216">
        <v>38.687</v>
      </c>
      <c r="EM216">
        <v>37.625</v>
      </c>
      <c r="EN216">
        <v>38.375</v>
      </c>
      <c r="EO216">
        <v>38.125</v>
      </c>
      <c r="EP216">
        <v>1454.586666666667</v>
      </c>
      <c r="EQ216">
        <v>40.35</v>
      </c>
      <c r="ER216">
        <v>0</v>
      </c>
      <c r="ES216">
        <v>576</v>
      </c>
      <c r="ET216">
        <v>0</v>
      </c>
      <c r="EU216">
        <v>839.9194615384616</v>
      </c>
      <c r="EV216">
        <v>-18.56642736021364</v>
      </c>
      <c r="EW216">
        <v>-279.8974359932847</v>
      </c>
      <c r="EX216">
        <v>12478.84615384615</v>
      </c>
      <c r="EY216">
        <v>15</v>
      </c>
      <c r="EZ216">
        <v>1651864261.1</v>
      </c>
      <c r="FA216" t="s">
        <v>419</v>
      </c>
      <c r="FB216">
        <v>1651864241.6</v>
      </c>
      <c r="FC216">
        <v>1651864261.1</v>
      </c>
      <c r="FD216">
        <v>7</v>
      </c>
      <c r="FE216">
        <v>0.438</v>
      </c>
      <c r="FF216">
        <v>0.002</v>
      </c>
      <c r="FG216">
        <v>-0.988</v>
      </c>
      <c r="FH216">
        <v>-0.066</v>
      </c>
      <c r="FI216">
        <v>400</v>
      </c>
      <c r="FJ216">
        <v>11</v>
      </c>
      <c r="FK216">
        <v>0.05</v>
      </c>
      <c r="FL216">
        <v>0.02</v>
      </c>
      <c r="FM216">
        <v>2.681143902439024</v>
      </c>
      <c r="FN216">
        <v>10.19224954703833</v>
      </c>
      <c r="FO216">
        <v>1.006971266300833</v>
      </c>
      <c r="FP216">
        <v>-1</v>
      </c>
      <c r="FQ216">
        <v>4.211024634146342</v>
      </c>
      <c r="FR216">
        <v>0.045287874564462</v>
      </c>
      <c r="FS216">
        <v>0.004810462731943724</v>
      </c>
      <c r="FT216">
        <v>-1</v>
      </c>
      <c r="FU216">
        <v>0</v>
      </c>
      <c r="FV216">
        <v>0</v>
      </c>
      <c r="FW216">
        <v>0</v>
      </c>
      <c r="FX216">
        <v>-1</v>
      </c>
      <c r="FY216">
        <v>0</v>
      </c>
      <c r="FZ216">
        <v>0</v>
      </c>
      <c r="GA216" t="s">
        <v>420</v>
      </c>
      <c r="GB216">
        <v>2.98048</v>
      </c>
      <c r="GC216">
        <v>2.70609</v>
      </c>
      <c r="GD216">
        <v>0.0743085</v>
      </c>
      <c r="GE216">
        <v>0.0725295</v>
      </c>
      <c r="GF216">
        <v>0.0876633</v>
      </c>
      <c r="GG216">
        <v>0.0716357</v>
      </c>
      <c r="GH216">
        <v>29212.3</v>
      </c>
      <c r="GI216">
        <v>29333.2</v>
      </c>
      <c r="GJ216">
        <v>29342.9</v>
      </c>
      <c r="GK216">
        <v>29257.7</v>
      </c>
      <c r="GL216">
        <v>35447.4</v>
      </c>
      <c r="GM216">
        <v>36174.8</v>
      </c>
      <c r="GN216">
        <v>41301.4</v>
      </c>
      <c r="GO216">
        <v>41760.5</v>
      </c>
      <c r="GP216">
        <v>1.95502</v>
      </c>
      <c r="GQ216">
        <v>1.84918</v>
      </c>
      <c r="GR216">
        <v>-0.0215769</v>
      </c>
      <c r="GS216">
        <v>0</v>
      </c>
      <c r="GT216">
        <v>25.3375</v>
      </c>
      <c r="GU216">
        <v>999.9</v>
      </c>
      <c r="GV216">
        <v>31.6</v>
      </c>
      <c r="GW216">
        <v>34.3</v>
      </c>
      <c r="GX216">
        <v>19.0909</v>
      </c>
      <c r="GY216">
        <v>62.2075</v>
      </c>
      <c r="GZ216">
        <v>35.2444</v>
      </c>
      <c r="HA216">
        <v>1</v>
      </c>
      <c r="HB216">
        <v>0.108196</v>
      </c>
      <c r="HC216">
        <v>2.35693</v>
      </c>
      <c r="HD216">
        <v>20.3176</v>
      </c>
      <c r="HE216">
        <v>5.21564</v>
      </c>
      <c r="HF216">
        <v>12.0099</v>
      </c>
      <c r="HG216">
        <v>4.989</v>
      </c>
      <c r="HH216">
        <v>3.2885</v>
      </c>
      <c r="HI216">
        <v>999.8</v>
      </c>
      <c r="HJ216">
        <v>9555.200000000001</v>
      </c>
      <c r="HK216">
        <v>5139.4</v>
      </c>
      <c r="HL216">
        <v>24.9</v>
      </c>
      <c r="HM216">
        <v>1.8675</v>
      </c>
      <c r="HN216">
        <v>1.86646</v>
      </c>
      <c r="HO216">
        <v>1.866</v>
      </c>
      <c r="HP216">
        <v>1.86584</v>
      </c>
      <c r="HQ216">
        <v>1.86769</v>
      </c>
      <c r="HR216">
        <v>1.87023</v>
      </c>
      <c r="HS216">
        <v>1.8689</v>
      </c>
      <c r="HT216">
        <v>1.87024</v>
      </c>
      <c r="HU216">
        <v>0</v>
      </c>
      <c r="HV216">
        <v>0</v>
      </c>
      <c r="HW216">
        <v>0</v>
      </c>
      <c r="HX216">
        <v>0</v>
      </c>
      <c r="HY216" t="s">
        <v>421</v>
      </c>
      <c r="HZ216" t="s">
        <v>422</v>
      </c>
      <c r="IA216" t="s">
        <v>423</v>
      </c>
      <c r="IB216" t="s">
        <v>423</v>
      </c>
      <c r="IC216" t="s">
        <v>423</v>
      </c>
      <c r="ID216" t="s">
        <v>423</v>
      </c>
      <c r="IE216">
        <v>0</v>
      </c>
      <c r="IF216">
        <v>100</v>
      </c>
      <c r="IG216">
        <v>100</v>
      </c>
      <c r="IH216">
        <v>-0.829</v>
      </c>
      <c r="II216">
        <v>0.0204</v>
      </c>
      <c r="IJ216">
        <v>-0.2164499368582429</v>
      </c>
      <c r="IK216">
        <v>-0.002077099775823331</v>
      </c>
      <c r="IL216">
        <v>4.593143279902166E-07</v>
      </c>
      <c r="IM216">
        <v>-1.865383991892071E-10</v>
      </c>
      <c r="IN216">
        <v>-0.06087574426827484</v>
      </c>
      <c r="IO216">
        <v>-0.01129461987421345</v>
      </c>
      <c r="IP216">
        <v>0.00116580895745559</v>
      </c>
      <c r="IQ216">
        <v>-1.679085872906199E-05</v>
      </c>
      <c r="IR216">
        <v>2</v>
      </c>
      <c r="IS216">
        <v>2290</v>
      </c>
      <c r="IT216">
        <v>0</v>
      </c>
      <c r="IU216">
        <v>32</v>
      </c>
      <c r="IV216">
        <v>9.300000000000001</v>
      </c>
      <c r="IW216">
        <v>8.9</v>
      </c>
      <c r="IX216">
        <v>0.786133</v>
      </c>
      <c r="IY216">
        <v>2.23755</v>
      </c>
      <c r="IZ216">
        <v>1.39648</v>
      </c>
      <c r="JA216">
        <v>2.35474</v>
      </c>
      <c r="JB216">
        <v>1.49536</v>
      </c>
      <c r="JC216">
        <v>2.35352</v>
      </c>
      <c r="JD216">
        <v>38.5014</v>
      </c>
      <c r="JE216">
        <v>24.035</v>
      </c>
      <c r="JF216">
        <v>18</v>
      </c>
      <c r="JG216">
        <v>510.943</v>
      </c>
      <c r="JH216">
        <v>428.457</v>
      </c>
      <c r="JI216">
        <v>22.1898</v>
      </c>
      <c r="JJ216">
        <v>28.6903</v>
      </c>
      <c r="JK216">
        <v>30.0002</v>
      </c>
      <c r="JL216">
        <v>28.6544</v>
      </c>
      <c r="JM216">
        <v>28.592</v>
      </c>
      <c r="JN216">
        <v>15.7041</v>
      </c>
      <c r="JO216">
        <v>26.5129</v>
      </c>
      <c r="JP216">
        <v>0</v>
      </c>
      <c r="JQ216">
        <v>22.1905</v>
      </c>
      <c r="JR216">
        <v>286.328</v>
      </c>
      <c r="JS216">
        <v>14.1381</v>
      </c>
      <c r="JT216">
        <v>100.3</v>
      </c>
      <c r="JU216">
        <v>100.227</v>
      </c>
    </row>
    <row r="217" spans="1:281">
      <c r="A217">
        <v>201</v>
      </c>
      <c r="B217">
        <v>1651864799.1</v>
      </c>
      <c r="C217">
        <v>578.5</v>
      </c>
      <c r="D217" t="s">
        <v>822</v>
      </c>
      <c r="E217" t="s">
        <v>823</v>
      </c>
      <c r="F217">
        <v>2</v>
      </c>
      <c r="G217" t="s">
        <v>413</v>
      </c>
      <c r="H217" t="s">
        <v>414</v>
      </c>
      <c r="I217">
        <v>1651864797.725</v>
      </c>
      <c r="J217">
        <f>(K217)/1000</f>
        <v>0</v>
      </c>
      <c r="K217">
        <f>IF(CZ217, AN217, AH217)</f>
        <v>0</v>
      </c>
      <c r="L217">
        <f>IF(CZ217, AI217, AG217)</f>
        <v>0</v>
      </c>
      <c r="M217">
        <f>DB217 - IF(AU217&gt;1, L217*CV217*100.0/(AW217*DP217), 0)</f>
        <v>0</v>
      </c>
      <c r="N217">
        <f>((T217-J217/2)*M217-L217)/(T217+J217/2)</f>
        <v>0</v>
      </c>
      <c r="O217">
        <f>N217*(DI217+DJ217)/1000.0</f>
        <v>0</v>
      </c>
      <c r="P217">
        <f>(DB217 - IF(AU217&gt;1, L217*CV217*100.0/(AW217*DP217), 0))*(DI217+DJ217)/1000.0</f>
        <v>0</v>
      </c>
      <c r="Q217">
        <f>2.0/((1/S217-1/R217)+SIGN(S217)*SQRT((1/S217-1/R217)*(1/S217-1/R217) + 4*CW217/((CW217+1)*(CW217+1))*(2*1/S217*1/R217-1/R217*1/R217)))</f>
        <v>0</v>
      </c>
      <c r="R217">
        <f>IF(LEFT(CX217,1)&lt;&gt;"0",IF(LEFT(CX217,1)="1",3.0,CY217),$D$5+$E$5*(DP217*DI217/($K$5*1000))+$F$5*(DP217*DI217/($K$5*1000))*MAX(MIN(CV217,$J$5),$I$5)*MAX(MIN(CV217,$J$5),$I$5)+$G$5*MAX(MIN(CV217,$J$5),$I$5)*(DP217*DI217/($K$5*1000))+$H$5*(DP217*DI217/($K$5*1000))*(DP217*DI217/($K$5*1000)))</f>
        <v>0</v>
      </c>
      <c r="S217">
        <f>J217*(1000-(1000*0.61365*exp(17.502*W217/(240.97+W217))/(DI217+DJ217)+DD217)/2)/(1000*0.61365*exp(17.502*W217/(240.97+W217))/(DI217+DJ217)-DD217)</f>
        <v>0</v>
      </c>
      <c r="T217">
        <f>1/((CW217+1)/(Q217/1.6)+1/(R217/1.37)) + CW217/((CW217+1)/(Q217/1.6) + CW217/(R217/1.37))</f>
        <v>0</v>
      </c>
      <c r="U217">
        <f>(CR217*CU217)</f>
        <v>0</v>
      </c>
      <c r="V217">
        <f>(DK217+(U217+2*0.95*5.67E-8*(((DK217+$B$7)+273)^4-(DK217+273)^4)-44100*J217)/(1.84*29.3*R217+8*0.95*5.67E-8*(DK217+273)^3))</f>
        <v>0</v>
      </c>
      <c r="W217">
        <f>($C$7*DL217+$D$7*DM217+$E$7*V217)</f>
        <v>0</v>
      </c>
      <c r="X217">
        <f>0.61365*exp(17.502*W217/(240.97+W217))</f>
        <v>0</v>
      </c>
      <c r="Y217">
        <f>(Z217/AA217*100)</f>
        <v>0</v>
      </c>
      <c r="Z217">
        <f>DD217*(DI217+DJ217)/1000</f>
        <v>0</v>
      </c>
      <c r="AA217">
        <f>0.61365*exp(17.502*DK217/(240.97+DK217))</f>
        <v>0</v>
      </c>
      <c r="AB217">
        <f>(X217-DD217*(DI217+DJ217)/1000)</f>
        <v>0</v>
      </c>
      <c r="AC217">
        <f>(-J217*44100)</f>
        <v>0</v>
      </c>
      <c r="AD217">
        <f>2*29.3*R217*0.92*(DK217-W217)</f>
        <v>0</v>
      </c>
      <c r="AE217">
        <f>2*0.95*5.67E-8*(((DK217+$B$7)+273)^4-(W217+273)^4)</f>
        <v>0</v>
      </c>
      <c r="AF217">
        <f>U217+AE217+AC217+AD217</f>
        <v>0</v>
      </c>
      <c r="AG217">
        <f>DH217*AU217*(DC217-DB217*(1000-AU217*DE217)/(1000-AU217*DD217))/(100*CV217)</f>
        <v>0</v>
      </c>
      <c r="AH217">
        <f>1000*DH217*AU217*(DD217-DE217)/(100*CV217*(1000-AU217*DD217))</f>
        <v>0</v>
      </c>
      <c r="AI217">
        <f>(AJ217 - AK217 - DI217*1E3/(8.314*(DK217+273.15)) * AM217/DH217 * AL217) * DH217/(100*CV217) * (1000 - DE217)/1000</f>
        <v>0</v>
      </c>
      <c r="AJ217">
        <v>315.6257783478231</v>
      </c>
      <c r="AK217">
        <v>314.3647999999999</v>
      </c>
      <c r="AL217">
        <v>-3.186534102980759</v>
      </c>
      <c r="AM217">
        <v>66.38192812717227</v>
      </c>
      <c r="AN217">
        <f>(AP217 - AO217 + DI217*1E3/(8.314*(DK217+273.15)) * AR217/DH217 * AQ217) * DH217/(100*CV217) * 1000/(1000 - AP217)</f>
        <v>0</v>
      </c>
      <c r="AO217">
        <v>14.14001866224419</v>
      </c>
      <c r="AP217">
        <v>18.35350529411766</v>
      </c>
      <c r="AQ217">
        <v>-9.695583331141927E-05</v>
      </c>
      <c r="AR217">
        <v>80.47224507511959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MAX(0,($B$13+$C$13*DP217)/(1+$D$13*DP217)*DI217/(DK217+273)*$E$13)</f>
        <v>0</v>
      </c>
      <c r="AX217" t="s">
        <v>417</v>
      </c>
      <c r="AY217" t="s">
        <v>417</v>
      </c>
      <c r="AZ217">
        <v>0</v>
      </c>
      <c r="BA217">
        <v>0</v>
      </c>
      <c r="BB217">
        <f>1-AZ217/BA217</f>
        <v>0</v>
      </c>
      <c r="BC217">
        <v>0</v>
      </c>
      <c r="BD217" t="s">
        <v>417</v>
      </c>
      <c r="BE217" t="s">
        <v>417</v>
      </c>
      <c r="BF217">
        <v>0</v>
      </c>
      <c r="BG217">
        <v>0</v>
      </c>
      <c r="BH217">
        <f>1-BF217/BG217</f>
        <v>0</v>
      </c>
      <c r="BI217">
        <v>0.5</v>
      </c>
      <c r="BJ217">
        <f>CS217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417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BZ217">
        <v>1248</v>
      </c>
      <c r="CA217">
        <v>300</v>
      </c>
      <c r="CB217">
        <v>300</v>
      </c>
      <c r="CC217">
        <v>300</v>
      </c>
      <c r="CD217">
        <v>10442</v>
      </c>
      <c r="CE217">
        <v>1293.69</v>
      </c>
      <c r="CF217">
        <v>-0.00735246</v>
      </c>
      <c r="CG217">
        <v>0.5</v>
      </c>
      <c r="CH217" t="s">
        <v>417</v>
      </c>
      <c r="CI217" t="s">
        <v>417</v>
      </c>
      <c r="CJ217" t="s">
        <v>417</v>
      </c>
      <c r="CK217" t="s">
        <v>417</v>
      </c>
      <c r="CL217" t="s">
        <v>417</v>
      </c>
      <c r="CM217" t="s">
        <v>417</v>
      </c>
      <c r="CN217" t="s">
        <v>417</v>
      </c>
      <c r="CO217" t="s">
        <v>417</v>
      </c>
      <c r="CP217" t="s">
        <v>417</v>
      </c>
      <c r="CQ217" t="s">
        <v>417</v>
      </c>
      <c r="CR217">
        <f>$B$11*DQ217+$C$11*DR217+$F$11*EC217*(1-EF217)</f>
        <v>0</v>
      </c>
      <c r="CS217">
        <f>CR217*CT217</f>
        <v>0</v>
      </c>
      <c r="CT217">
        <f>($B$11*$D$9+$C$11*$D$9+$F$11*((EP217+EH217)/MAX(EP217+EH217+EQ217, 0.1)*$I$9+EQ217/MAX(EP217+EH217+EQ217, 0.1)*$J$9))/($B$11+$C$11+$F$11)</f>
        <v>0</v>
      </c>
      <c r="CU217">
        <f>($B$11*$K$9+$C$11*$K$9+$F$11*((EP217+EH217)/MAX(EP217+EH217+EQ217, 0.1)*$P$9+EQ217/MAX(EP217+EH217+EQ217, 0.1)*$Q$9))/($B$11+$C$11+$F$11)</f>
        <v>0</v>
      </c>
      <c r="CV217">
        <v>6</v>
      </c>
      <c r="CW217">
        <v>0.5</v>
      </c>
      <c r="CX217" t="s">
        <v>418</v>
      </c>
      <c r="CY217">
        <v>2</v>
      </c>
      <c r="CZ217" t="b">
        <v>1</v>
      </c>
      <c r="DA217">
        <v>1651864797.725</v>
      </c>
      <c r="DB217">
        <v>311.33475</v>
      </c>
      <c r="DC217">
        <v>306.50675</v>
      </c>
      <c r="DD217">
        <v>18.3536</v>
      </c>
      <c r="DE217">
        <v>14.138875</v>
      </c>
      <c r="DF217">
        <v>312.161</v>
      </c>
      <c r="DG217">
        <v>18.333125</v>
      </c>
      <c r="DH217">
        <v>500.0585</v>
      </c>
      <c r="DI217">
        <v>89.93017499999999</v>
      </c>
      <c r="DJ217">
        <v>0.09988669999999999</v>
      </c>
      <c r="DK217">
        <v>25.635525</v>
      </c>
      <c r="DL217">
        <v>24.983725</v>
      </c>
      <c r="DM217">
        <v>999.9</v>
      </c>
      <c r="DN217">
        <v>0</v>
      </c>
      <c r="DO217">
        <v>0</v>
      </c>
      <c r="DP217">
        <v>9999.362499999999</v>
      </c>
      <c r="DQ217">
        <v>0</v>
      </c>
      <c r="DR217">
        <v>3.23193</v>
      </c>
      <c r="DS217">
        <v>4.828345000000001</v>
      </c>
      <c r="DT217">
        <v>317.15575</v>
      </c>
      <c r="DU217">
        <v>310.9025</v>
      </c>
      <c r="DV217">
        <v>4.214677500000001</v>
      </c>
      <c r="DW217">
        <v>306.50675</v>
      </c>
      <c r="DX217">
        <v>14.138875</v>
      </c>
      <c r="DY217">
        <v>1.65054</v>
      </c>
      <c r="DZ217">
        <v>1.2715125</v>
      </c>
      <c r="EA217">
        <v>14.438925</v>
      </c>
      <c r="EB217">
        <v>10.4663</v>
      </c>
      <c r="EC217">
        <v>1499.99</v>
      </c>
      <c r="ED217">
        <v>0.973007</v>
      </c>
      <c r="EE217">
        <v>0.0269931</v>
      </c>
      <c r="EF217">
        <v>0</v>
      </c>
      <c r="EG217">
        <v>837.3510000000001</v>
      </c>
      <c r="EH217">
        <v>5.00097</v>
      </c>
      <c r="EI217">
        <v>12441.35</v>
      </c>
      <c r="EJ217">
        <v>12491.55</v>
      </c>
      <c r="EK217">
        <v>37.25</v>
      </c>
      <c r="EL217">
        <v>38.687</v>
      </c>
      <c r="EM217">
        <v>37.625</v>
      </c>
      <c r="EN217">
        <v>38.375</v>
      </c>
      <c r="EO217">
        <v>38.125</v>
      </c>
      <c r="EP217">
        <v>1454.635</v>
      </c>
      <c r="EQ217">
        <v>40.355</v>
      </c>
      <c r="ER217">
        <v>0</v>
      </c>
      <c r="ES217">
        <v>577.7999999523163</v>
      </c>
      <c r="ET217">
        <v>0</v>
      </c>
      <c r="EU217">
        <v>839.2718800000001</v>
      </c>
      <c r="EV217">
        <v>-18.73961539978146</v>
      </c>
      <c r="EW217">
        <v>-275.9230772896486</v>
      </c>
      <c r="EX217">
        <v>12469.12</v>
      </c>
      <c r="EY217">
        <v>15</v>
      </c>
      <c r="EZ217">
        <v>1651864261.1</v>
      </c>
      <c r="FA217" t="s">
        <v>419</v>
      </c>
      <c r="FB217">
        <v>1651864241.6</v>
      </c>
      <c r="FC217">
        <v>1651864261.1</v>
      </c>
      <c r="FD217">
        <v>7</v>
      </c>
      <c r="FE217">
        <v>0.438</v>
      </c>
      <c r="FF217">
        <v>0.002</v>
      </c>
      <c r="FG217">
        <v>-0.988</v>
      </c>
      <c r="FH217">
        <v>-0.066</v>
      </c>
      <c r="FI217">
        <v>400</v>
      </c>
      <c r="FJ217">
        <v>11</v>
      </c>
      <c r="FK217">
        <v>0.05</v>
      </c>
      <c r="FL217">
        <v>0.02</v>
      </c>
      <c r="FM217">
        <v>3.14294925</v>
      </c>
      <c r="FN217">
        <v>10.59208896810506</v>
      </c>
      <c r="FO217">
        <v>1.019899862418825</v>
      </c>
      <c r="FP217">
        <v>-1</v>
      </c>
      <c r="FQ217">
        <v>4.212688500000001</v>
      </c>
      <c r="FR217">
        <v>0.02804825515947033</v>
      </c>
      <c r="FS217">
        <v>0.003237725706418036</v>
      </c>
      <c r="FT217">
        <v>-1</v>
      </c>
      <c r="FU217">
        <v>0</v>
      </c>
      <c r="FV217">
        <v>0</v>
      </c>
      <c r="FW217">
        <v>0</v>
      </c>
      <c r="FX217">
        <v>-1</v>
      </c>
      <c r="FY217">
        <v>0</v>
      </c>
      <c r="FZ217">
        <v>0</v>
      </c>
      <c r="GA217" t="s">
        <v>420</v>
      </c>
      <c r="GB217">
        <v>2.98051</v>
      </c>
      <c r="GC217">
        <v>2.70605</v>
      </c>
      <c r="GD217">
        <v>0.0730996</v>
      </c>
      <c r="GE217">
        <v>0.071243</v>
      </c>
      <c r="GF217">
        <v>0.0876633</v>
      </c>
      <c r="GG217">
        <v>0.07163079999999999</v>
      </c>
      <c r="GH217">
        <v>29250.4</v>
      </c>
      <c r="GI217">
        <v>29373.7</v>
      </c>
      <c r="GJ217">
        <v>29342.8</v>
      </c>
      <c r="GK217">
        <v>29257.5</v>
      </c>
      <c r="GL217">
        <v>35447.2</v>
      </c>
      <c r="GM217">
        <v>36174.9</v>
      </c>
      <c r="GN217">
        <v>41301.1</v>
      </c>
      <c r="GO217">
        <v>41760.4</v>
      </c>
      <c r="GP217">
        <v>1.95525</v>
      </c>
      <c r="GQ217">
        <v>1.84923</v>
      </c>
      <c r="GR217">
        <v>-0.0214167</v>
      </c>
      <c r="GS217">
        <v>0</v>
      </c>
      <c r="GT217">
        <v>25.3375</v>
      </c>
      <c r="GU217">
        <v>999.9</v>
      </c>
      <c r="GV217">
        <v>31.6</v>
      </c>
      <c r="GW217">
        <v>34.3</v>
      </c>
      <c r="GX217">
        <v>19.0897</v>
      </c>
      <c r="GY217">
        <v>62.3375</v>
      </c>
      <c r="GZ217">
        <v>34.7917</v>
      </c>
      <c r="HA217">
        <v>1</v>
      </c>
      <c r="HB217">
        <v>0.108112</v>
      </c>
      <c r="HC217">
        <v>2.34979</v>
      </c>
      <c r="HD217">
        <v>20.3177</v>
      </c>
      <c r="HE217">
        <v>5.21534</v>
      </c>
      <c r="HF217">
        <v>12.0099</v>
      </c>
      <c r="HG217">
        <v>4.9891</v>
      </c>
      <c r="HH217">
        <v>3.2885</v>
      </c>
      <c r="HI217">
        <v>999.8</v>
      </c>
      <c r="HJ217">
        <v>9555.200000000001</v>
      </c>
      <c r="HK217">
        <v>5139.4</v>
      </c>
      <c r="HL217">
        <v>24.9</v>
      </c>
      <c r="HM217">
        <v>1.86752</v>
      </c>
      <c r="HN217">
        <v>1.86646</v>
      </c>
      <c r="HO217">
        <v>1.866</v>
      </c>
      <c r="HP217">
        <v>1.86584</v>
      </c>
      <c r="HQ217">
        <v>1.86769</v>
      </c>
      <c r="HR217">
        <v>1.87022</v>
      </c>
      <c r="HS217">
        <v>1.86889</v>
      </c>
      <c r="HT217">
        <v>1.87025</v>
      </c>
      <c r="HU217">
        <v>0</v>
      </c>
      <c r="HV217">
        <v>0</v>
      </c>
      <c r="HW217">
        <v>0</v>
      </c>
      <c r="HX217">
        <v>0</v>
      </c>
      <c r="HY217" t="s">
        <v>421</v>
      </c>
      <c r="HZ217" t="s">
        <v>422</v>
      </c>
      <c r="IA217" t="s">
        <v>423</v>
      </c>
      <c r="IB217" t="s">
        <v>423</v>
      </c>
      <c r="IC217" t="s">
        <v>423</v>
      </c>
      <c r="ID217" t="s">
        <v>423</v>
      </c>
      <c r="IE217">
        <v>0</v>
      </c>
      <c r="IF217">
        <v>100</v>
      </c>
      <c r="IG217">
        <v>100</v>
      </c>
      <c r="IH217">
        <v>-0.8179999999999999</v>
      </c>
      <c r="II217">
        <v>0.0204</v>
      </c>
      <c r="IJ217">
        <v>-0.2164499368582429</v>
      </c>
      <c r="IK217">
        <v>-0.002077099775823331</v>
      </c>
      <c r="IL217">
        <v>4.593143279902166E-07</v>
      </c>
      <c r="IM217">
        <v>-1.865383991892071E-10</v>
      </c>
      <c r="IN217">
        <v>-0.06087574426827484</v>
      </c>
      <c r="IO217">
        <v>-0.01129461987421345</v>
      </c>
      <c r="IP217">
        <v>0.00116580895745559</v>
      </c>
      <c r="IQ217">
        <v>-1.679085872906199E-05</v>
      </c>
      <c r="IR217">
        <v>2</v>
      </c>
      <c r="IS217">
        <v>2290</v>
      </c>
      <c r="IT217">
        <v>0</v>
      </c>
      <c r="IU217">
        <v>32</v>
      </c>
      <c r="IV217">
        <v>9.300000000000001</v>
      </c>
      <c r="IW217">
        <v>9</v>
      </c>
      <c r="IX217">
        <v>0.772705</v>
      </c>
      <c r="IY217">
        <v>2.24243</v>
      </c>
      <c r="IZ217">
        <v>1.39648</v>
      </c>
      <c r="JA217">
        <v>2.35596</v>
      </c>
      <c r="JB217">
        <v>1.49536</v>
      </c>
      <c r="JC217">
        <v>2.34253</v>
      </c>
      <c r="JD217">
        <v>38.5014</v>
      </c>
      <c r="JE217">
        <v>24.035</v>
      </c>
      <c r="JF217">
        <v>18</v>
      </c>
      <c r="JG217">
        <v>511.09</v>
      </c>
      <c r="JH217">
        <v>428.487</v>
      </c>
      <c r="JI217">
        <v>22.1898</v>
      </c>
      <c r="JJ217">
        <v>28.6904</v>
      </c>
      <c r="JK217">
        <v>30.0001</v>
      </c>
      <c r="JL217">
        <v>28.6544</v>
      </c>
      <c r="JM217">
        <v>28.592</v>
      </c>
      <c r="JN217">
        <v>15.4263</v>
      </c>
      <c r="JO217">
        <v>26.5129</v>
      </c>
      <c r="JP217">
        <v>0</v>
      </c>
      <c r="JQ217">
        <v>22.2006</v>
      </c>
      <c r="JR217">
        <v>279.649</v>
      </c>
      <c r="JS217">
        <v>14.1428</v>
      </c>
      <c r="JT217">
        <v>100.299</v>
      </c>
      <c r="JU217">
        <v>100.227</v>
      </c>
    </row>
    <row r="218" spans="1:281">
      <c r="A218">
        <v>202</v>
      </c>
      <c r="B218">
        <v>1651864801.1</v>
      </c>
      <c r="C218">
        <v>580.5</v>
      </c>
      <c r="D218" t="s">
        <v>824</v>
      </c>
      <c r="E218" t="s">
        <v>825</v>
      </c>
      <c r="F218">
        <v>2</v>
      </c>
      <c r="G218" t="s">
        <v>413</v>
      </c>
      <c r="H218" t="s">
        <v>414</v>
      </c>
      <c r="I218">
        <v>1651864800.1</v>
      </c>
      <c r="J218">
        <f>(K218)/1000</f>
        <v>0</v>
      </c>
      <c r="K218">
        <f>IF(CZ218, AN218, AH218)</f>
        <v>0</v>
      </c>
      <c r="L218">
        <f>IF(CZ218, AI218, AG218)</f>
        <v>0</v>
      </c>
      <c r="M218">
        <f>DB218 - IF(AU218&gt;1, L218*CV218*100.0/(AW218*DP218), 0)</f>
        <v>0</v>
      </c>
      <c r="N218">
        <f>((T218-J218/2)*M218-L218)/(T218+J218/2)</f>
        <v>0</v>
      </c>
      <c r="O218">
        <f>N218*(DI218+DJ218)/1000.0</f>
        <v>0</v>
      </c>
      <c r="P218">
        <f>(DB218 - IF(AU218&gt;1, L218*CV218*100.0/(AW218*DP218), 0))*(DI218+DJ218)/1000.0</f>
        <v>0</v>
      </c>
      <c r="Q218">
        <f>2.0/((1/S218-1/R218)+SIGN(S218)*SQRT((1/S218-1/R218)*(1/S218-1/R218) + 4*CW218/((CW218+1)*(CW218+1))*(2*1/S218*1/R218-1/R218*1/R218)))</f>
        <v>0</v>
      </c>
      <c r="R218">
        <f>IF(LEFT(CX218,1)&lt;&gt;"0",IF(LEFT(CX218,1)="1",3.0,CY218),$D$5+$E$5*(DP218*DI218/($K$5*1000))+$F$5*(DP218*DI218/($K$5*1000))*MAX(MIN(CV218,$J$5),$I$5)*MAX(MIN(CV218,$J$5),$I$5)+$G$5*MAX(MIN(CV218,$J$5),$I$5)*(DP218*DI218/($K$5*1000))+$H$5*(DP218*DI218/($K$5*1000))*(DP218*DI218/($K$5*1000)))</f>
        <v>0</v>
      </c>
      <c r="S218">
        <f>J218*(1000-(1000*0.61365*exp(17.502*W218/(240.97+W218))/(DI218+DJ218)+DD218)/2)/(1000*0.61365*exp(17.502*W218/(240.97+W218))/(DI218+DJ218)-DD218)</f>
        <v>0</v>
      </c>
      <c r="T218">
        <f>1/((CW218+1)/(Q218/1.6)+1/(R218/1.37)) + CW218/((CW218+1)/(Q218/1.6) + CW218/(R218/1.37))</f>
        <v>0</v>
      </c>
      <c r="U218">
        <f>(CR218*CU218)</f>
        <v>0</v>
      </c>
      <c r="V218">
        <f>(DK218+(U218+2*0.95*5.67E-8*(((DK218+$B$7)+273)^4-(DK218+273)^4)-44100*J218)/(1.84*29.3*R218+8*0.95*5.67E-8*(DK218+273)^3))</f>
        <v>0</v>
      </c>
      <c r="W218">
        <f>($C$7*DL218+$D$7*DM218+$E$7*V218)</f>
        <v>0</v>
      </c>
      <c r="X218">
        <f>0.61365*exp(17.502*W218/(240.97+W218))</f>
        <v>0</v>
      </c>
      <c r="Y218">
        <f>(Z218/AA218*100)</f>
        <v>0</v>
      </c>
      <c r="Z218">
        <f>DD218*(DI218+DJ218)/1000</f>
        <v>0</v>
      </c>
      <c r="AA218">
        <f>0.61365*exp(17.502*DK218/(240.97+DK218))</f>
        <v>0</v>
      </c>
      <c r="AB218">
        <f>(X218-DD218*(DI218+DJ218)/1000)</f>
        <v>0</v>
      </c>
      <c r="AC218">
        <f>(-J218*44100)</f>
        <v>0</v>
      </c>
      <c r="AD218">
        <f>2*29.3*R218*0.92*(DK218-W218)</f>
        <v>0</v>
      </c>
      <c r="AE218">
        <f>2*0.95*5.67E-8*(((DK218+$B$7)+273)^4-(W218+273)^4)</f>
        <v>0</v>
      </c>
      <c r="AF218">
        <f>U218+AE218+AC218+AD218</f>
        <v>0</v>
      </c>
      <c r="AG218">
        <f>DH218*AU218*(DC218-DB218*(1000-AU218*DE218)/(1000-AU218*DD218))/(100*CV218)</f>
        <v>0</v>
      </c>
      <c r="AH218">
        <f>1000*DH218*AU218*(DD218-DE218)/(100*CV218*(1000-AU218*DD218))</f>
        <v>0</v>
      </c>
      <c r="AI218">
        <f>(AJ218 - AK218 - DI218*1E3/(8.314*(DK218+273.15)) * AM218/DH218 * AL218) * DH218/(100*CV218) * (1000 - DE218)/1000</f>
        <v>0</v>
      </c>
      <c r="AJ218">
        <v>308.8479591054269</v>
      </c>
      <c r="AK218">
        <v>308.0356242424243</v>
      </c>
      <c r="AL218">
        <v>-3.174069708655759</v>
      </c>
      <c r="AM218">
        <v>66.38192812717227</v>
      </c>
      <c r="AN218">
        <f>(AP218 - AO218 + DI218*1E3/(8.314*(DK218+273.15)) * AR218/DH218 * AQ218) * DH218/(100*CV218) * 1000/(1000 - AP218)</f>
        <v>0</v>
      </c>
      <c r="AO218">
        <v>14.13942221596422</v>
      </c>
      <c r="AP218">
        <v>18.35384617647058</v>
      </c>
      <c r="AQ218">
        <v>-7.071874610728847E-05</v>
      </c>
      <c r="AR218">
        <v>80.47224507511959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MAX(0,($B$13+$C$13*DP218)/(1+$D$13*DP218)*DI218/(DK218+273)*$E$13)</f>
        <v>0</v>
      </c>
      <c r="AX218" t="s">
        <v>417</v>
      </c>
      <c r="AY218" t="s">
        <v>417</v>
      </c>
      <c r="AZ218">
        <v>0</v>
      </c>
      <c r="BA218">
        <v>0</v>
      </c>
      <c r="BB218">
        <f>1-AZ218/BA218</f>
        <v>0</v>
      </c>
      <c r="BC218">
        <v>0</v>
      </c>
      <c r="BD218" t="s">
        <v>417</v>
      </c>
      <c r="BE218" t="s">
        <v>417</v>
      </c>
      <c r="BF218">
        <v>0</v>
      </c>
      <c r="BG218">
        <v>0</v>
      </c>
      <c r="BH218">
        <f>1-BF218/BG218</f>
        <v>0</v>
      </c>
      <c r="BI218">
        <v>0.5</v>
      </c>
      <c r="BJ218">
        <f>CS218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417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BZ218">
        <v>1248</v>
      </c>
      <c r="CA218">
        <v>300</v>
      </c>
      <c r="CB218">
        <v>300</v>
      </c>
      <c r="CC218">
        <v>300</v>
      </c>
      <c r="CD218">
        <v>10442</v>
      </c>
      <c r="CE218">
        <v>1293.69</v>
      </c>
      <c r="CF218">
        <v>-0.00735246</v>
      </c>
      <c r="CG218">
        <v>0.5</v>
      </c>
      <c r="CH218" t="s">
        <v>417</v>
      </c>
      <c r="CI218" t="s">
        <v>417</v>
      </c>
      <c r="CJ218" t="s">
        <v>417</v>
      </c>
      <c r="CK218" t="s">
        <v>417</v>
      </c>
      <c r="CL218" t="s">
        <v>417</v>
      </c>
      <c r="CM218" t="s">
        <v>417</v>
      </c>
      <c r="CN218" t="s">
        <v>417</v>
      </c>
      <c r="CO218" t="s">
        <v>417</v>
      </c>
      <c r="CP218" t="s">
        <v>417</v>
      </c>
      <c r="CQ218" t="s">
        <v>417</v>
      </c>
      <c r="CR218">
        <f>$B$11*DQ218+$C$11*DR218+$F$11*EC218*(1-EF218)</f>
        <v>0</v>
      </c>
      <c r="CS218">
        <f>CR218*CT218</f>
        <v>0</v>
      </c>
      <c r="CT218">
        <f>($B$11*$D$9+$C$11*$D$9+$F$11*((EP218+EH218)/MAX(EP218+EH218+EQ218, 0.1)*$I$9+EQ218/MAX(EP218+EH218+EQ218, 0.1)*$J$9))/($B$11+$C$11+$F$11)</f>
        <v>0</v>
      </c>
      <c r="CU218">
        <f>($B$11*$K$9+$C$11*$K$9+$F$11*((EP218+EH218)/MAX(EP218+EH218+EQ218, 0.1)*$P$9+EQ218/MAX(EP218+EH218+EQ218, 0.1)*$Q$9))/($B$11+$C$11+$F$11)</f>
        <v>0</v>
      </c>
      <c r="CV218">
        <v>6</v>
      </c>
      <c r="CW218">
        <v>0.5</v>
      </c>
      <c r="CX218" t="s">
        <v>418</v>
      </c>
      <c r="CY218">
        <v>2</v>
      </c>
      <c r="CZ218" t="b">
        <v>1</v>
      </c>
      <c r="DA218">
        <v>1651864800.1</v>
      </c>
      <c r="DB218">
        <v>303.9343333333333</v>
      </c>
      <c r="DC218">
        <v>298.5736666666667</v>
      </c>
      <c r="DD218">
        <v>18.3535</v>
      </c>
      <c r="DE218">
        <v>14.1383</v>
      </c>
      <c r="DF218">
        <v>304.7463333333333</v>
      </c>
      <c r="DG218">
        <v>18.3331</v>
      </c>
      <c r="DH218">
        <v>500.035</v>
      </c>
      <c r="DI218">
        <v>89.93116666666667</v>
      </c>
      <c r="DJ218">
        <v>0.1000081333333333</v>
      </c>
      <c r="DK218">
        <v>25.635</v>
      </c>
      <c r="DL218">
        <v>24.9919</v>
      </c>
      <c r="DM218">
        <v>999.9</v>
      </c>
      <c r="DN218">
        <v>0</v>
      </c>
      <c r="DO218">
        <v>0</v>
      </c>
      <c r="DP218">
        <v>9989.376666666665</v>
      </c>
      <c r="DQ218">
        <v>0</v>
      </c>
      <c r="DR218">
        <v>3.23193</v>
      </c>
      <c r="DS218">
        <v>5.360983333333333</v>
      </c>
      <c r="DT218">
        <v>309.6173333333333</v>
      </c>
      <c r="DU218">
        <v>302.8553333333334</v>
      </c>
      <c r="DV218">
        <v>4.215193333333334</v>
      </c>
      <c r="DW218">
        <v>298.5736666666667</v>
      </c>
      <c r="DX218">
        <v>14.1383</v>
      </c>
      <c r="DY218">
        <v>1.65055</v>
      </c>
      <c r="DZ218">
        <v>1.271473333333333</v>
      </c>
      <c r="EA218">
        <v>14.43903333333333</v>
      </c>
      <c r="EB218">
        <v>10.46583333333333</v>
      </c>
      <c r="EC218">
        <v>1499.95</v>
      </c>
      <c r="ED218">
        <v>0.9730016666666668</v>
      </c>
      <c r="EE218">
        <v>0.02699823333333333</v>
      </c>
      <c r="EF218">
        <v>0</v>
      </c>
      <c r="EG218">
        <v>836.5883333333333</v>
      </c>
      <c r="EH218">
        <v>5.00097</v>
      </c>
      <c r="EI218">
        <v>12430.73333333333</v>
      </c>
      <c r="EJ218">
        <v>12491.2</v>
      </c>
      <c r="EK218">
        <v>37.25</v>
      </c>
      <c r="EL218">
        <v>38.687</v>
      </c>
      <c r="EM218">
        <v>37.625</v>
      </c>
      <c r="EN218">
        <v>38.375</v>
      </c>
      <c r="EO218">
        <v>38.125</v>
      </c>
      <c r="EP218">
        <v>1454.59</v>
      </c>
      <c r="EQ218">
        <v>40.36000000000001</v>
      </c>
      <c r="ER218">
        <v>0</v>
      </c>
      <c r="ES218">
        <v>580.2000000476837</v>
      </c>
      <c r="ET218">
        <v>0</v>
      </c>
      <c r="EU218">
        <v>838.50776</v>
      </c>
      <c r="EV218">
        <v>-18.7469230391802</v>
      </c>
      <c r="EW218">
        <v>-273.7153842091547</v>
      </c>
      <c r="EX218">
        <v>12458.04</v>
      </c>
      <c r="EY218">
        <v>15</v>
      </c>
      <c r="EZ218">
        <v>1651864261.1</v>
      </c>
      <c r="FA218" t="s">
        <v>419</v>
      </c>
      <c r="FB218">
        <v>1651864241.6</v>
      </c>
      <c r="FC218">
        <v>1651864261.1</v>
      </c>
      <c r="FD218">
        <v>7</v>
      </c>
      <c r="FE218">
        <v>0.438</v>
      </c>
      <c r="FF218">
        <v>0.002</v>
      </c>
      <c r="FG218">
        <v>-0.988</v>
      </c>
      <c r="FH218">
        <v>-0.066</v>
      </c>
      <c r="FI218">
        <v>400</v>
      </c>
      <c r="FJ218">
        <v>11</v>
      </c>
      <c r="FK218">
        <v>0.05</v>
      </c>
      <c r="FL218">
        <v>0.02</v>
      </c>
      <c r="FM218">
        <v>3.547089024390244</v>
      </c>
      <c r="FN218">
        <v>10.96960097560975</v>
      </c>
      <c r="FO218">
        <v>1.082429725545908</v>
      </c>
      <c r="FP218">
        <v>-1</v>
      </c>
      <c r="FQ218">
        <v>4.213565609756098</v>
      </c>
      <c r="FR218">
        <v>0.02004752613240535</v>
      </c>
      <c r="FS218">
        <v>0.002652543233164604</v>
      </c>
      <c r="FT218">
        <v>-1</v>
      </c>
      <c r="FU218">
        <v>0</v>
      </c>
      <c r="FV218">
        <v>0</v>
      </c>
      <c r="FW218">
        <v>0</v>
      </c>
      <c r="FX218">
        <v>-1</v>
      </c>
      <c r="FY218">
        <v>0</v>
      </c>
      <c r="FZ218">
        <v>0</v>
      </c>
      <c r="GA218" t="s">
        <v>420</v>
      </c>
      <c r="GB218">
        <v>2.9804</v>
      </c>
      <c r="GC218">
        <v>2.70615</v>
      </c>
      <c r="GD218">
        <v>0.0718876</v>
      </c>
      <c r="GE218">
        <v>0.0699539</v>
      </c>
      <c r="GF218">
        <v>0.0876642</v>
      </c>
      <c r="GG218">
        <v>0.0716305</v>
      </c>
      <c r="GH218">
        <v>29288.6</v>
      </c>
      <c r="GI218">
        <v>29414.3</v>
      </c>
      <c r="GJ218">
        <v>29342.8</v>
      </c>
      <c r="GK218">
        <v>29257.3</v>
      </c>
      <c r="GL218">
        <v>35447.2</v>
      </c>
      <c r="GM218">
        <v>36174.7</v>
      </c>
      <c r="GN218">
        <v>41301.2</v>
      </c>
      <c r="GO218">
        <v>41760.2</v>
      </c>
      <c r="GP218">
        <v>1.95505</v>
      </c>
      <c r="GQ218">
        <v>1.8492</v>
      </c>
      <c r="GR218">
        <v>-0.0208877</v>
      </c>
      <c r="GS218">
        <v>0</v>
      </c>
      <c r="GT218">
        <v>25.3375</v>
      </c>
      <c r="GU218">
        <v>999.9</v>
      </c>
      <c r="GV218">
        <v>31.6</v>
      </c>
      <c r="GW218">
        <v>34.3</v>
      </c>
      <c r="GX218">
        <v>19.09</v>
      </c>
      <c r="GY218">
        <v>62.4975</v>
      </c>
      <c r="GZ218">
        <v>35.2724</v>
      </c>
      <c r="HA218">
        <v>1</v>
      </c>
      <c r="HB218">
        <v>0.108135</v>
      </c>
      <c r="HC218">
        <v>2.32409</v>
      </c>
      <c r="HD218">
        <v>20.318</v>
      </c>
      <c r="HE218">
        <v>5.21519</v>
      </c>
      <c r="HF218">
        <v>12.0099</v>
      </c>
      <c r="HG218">
        <v>4.98895</v>
      </c>
      <c r="HH218">
        <v>3.2885</v>
      </c>
      <c r="HI218">
        <v>999.8</v>
      </c>
      <c r="HJ218">
        <v>9555.200000000001</v>
      </c>
      <c r="HK218">
        <v>5139.4</v>
      </c>
      <c r="HL218">
        <v>24.9</v>
      </c>
      <c r="HM218">
        <v>1.86752</v>
      </c>
      <c r="HN218">
        <v>1.86646</v>
      </c>
      <c r="HO218">
        <v>1.866</v>
      </c>
      <c r="HP218">
        <v>1.86585</v>
      </c>
      <c r="HQ218">
        <v>1.86768</v>
      </c>
      <c r="HR218">
        <v>1.87021</v>
      </c>
      <c r="HS218">
        <v>1.86889</v>
      </c>
      <c r="HT218">
        <v>1.87026</v>
      </c>
      <c r="HU218">
        <v>0</v>
      </c>
      <c r="HV218">
        <v>0</v>
      </c>
      <c r="HW218">
        <v>0</v>
      </c>
      <c r="HX218">
        <v>0</v>
      </c>
      <c r="HY218" t="s">
        <v>421</v>
      </c>
      <c r="HZ218" t="s">
        <v>422</v>
      </c>
      <c r="IA218" t="s">
        <v>423</v>
      </c>
      <c r="IB218" t="s">
        <v>423</v>
      </c>
      <c r="IC218" t="s">
        <v>423</v>
      </c>
      <c r="ID218" t="s">
        <v>423</v>
      </c>
      <c r="IE218">
        <v>0</v>
      </c>
      <c r="IF218">
        <v>100</v>
      </c>
      <c r="IG218">
        <v>100</v>
      </c>
      <c r="IH218">
        <v>-0.8070000000000001</v>
      </c>
      <c r="II218">
        <v>0.0204</v>
      </c>
      <c r="IJ218">
        <v>-0.2164499368582429</v>
      </c>
      <c r="IK218">
        <v>-0.002077099775823331</v>
      </c>
      <c r="IL218">
        <v>4.593143279902166E-07</v>
      </c>
      <c r="IM218">
        <v>-1.865383991892071E-10</v>
      </c>
      <c r="IN218">
        <v>-0.06087574426827484</v>
      </c>
      <c r="IO218">
        <v>-0.01129461987421345</v>
      </c>
      <c r="IP218">
        <v>0.00116580895745559</v>
      </c>
      <c r="IQ218">
        <v>-1.679085872906199E-05</v>
      </c>
      <c r="IR218">
        <v>2</v>
      </c>
      <c r="IS218">
        <v>2290</v>
      </c>
      <c r="IT218">
        <v>0</v>
      </c>
      <c r="IU218">
        <v>32</v>
      </c>
      <c r="IV218">
        <v>9.300000000000001</v>
      </c>
      <c r="IW218">
        <v>9</v>
      </c>
      <c r="IX218">
        <v>0.758057</v>
      </c>
      <c r="IY218">
        <v>2.24365</v>
      </c>
      <c r="IZ218">
        <v>1.39648</v>
      </c>
      <c r="JA218">
        <v>2.35596</v>
      </c>
      <c r="JB218">
        <v>1.49536</v>
      </c>
      <c r="JC218">
        <v>2.31567</v>
      </c>
      <c r="JD218">
        <v>38.5014</v>
      </c>
      <c r="JE218">
        <v>24.035</v>
      </c>
      <c r="JF218">
        <v>18</v>
      </c>
      <c r="JG218">
        <v>510.959</v>
      </c>
      <c r="JH218">
        <v>428.472</v>
      </c>
      <c r="JI218">
        <v>22.1906</v>
      </c>
      <c r="JJ218">
        <v>28.6916</v>
      </c>
      <c r="JK218">
        <v>30.0001</v>
      </c>
      <c r="JL218">
        <v>28.6544</v>
      </c>
      <c r="JM218">
        <v>28.592</v>
      </c>
      <c r="JN218">
        <v>15.1496</v>
      </c>
      <c r="JO218">
        <v>26.5129</v>
      </c>
      <c r="JP218">
        <v>0</v>
      </c>
      <c r="JQ218">
        <v>22.2006</v>
      </c>
      <c r="JR218">
        <v>272.971</v>
      </c>
      <c r="JS218">
        <v>14.141</v>
      </c>
      <c r="JT218">
        <v>100.3</v>
      </c>
      <c r="JU218">
        <v>100.226</v>
      </c>
    </row>
    <row r="219" spans="1:281">
      <c r="A219">
        <v>203</v>
      </c>
      <c r="B219">
        <v>1651864803.1</v>
      </c>
      <c r="C219">
        <v>582.5</v>
      </c>
      <c r="D219" t="s">
        <v>826</v>
      </c>
      <c r="E219" t="s">
        <v>827</v>
      </c>
      <c r="F219">
        <v>2</v>
      </c>
      <c r="G219" t="s">
        <v>413</v>
      </c>
      <c r="H219" t="s">
        <v>414</v>
      </c>
      <c r="I219">
        <v>1651864801.725</v>
      </c>
      <c r="J219">
        <f>(K219)/1000</f>
        <v>0</v>
      </c>
      <c r="K219">
        <f>IF(CZ219, AN219, AH219)</f>
        <v>0</v>
      </c>
      <c r="L219">
        <f>IF(CZ219, AI219, AG219)</f>
        <v>0</v>
      </c>
      <c r="M219">
        <f>DB219 - IF(AU219&gt;1, L219*CV219*100.0/(AW219*DP219), 0)</f>
        <v>0</v>
      </c>
      <c r="N219">
        <f>((T219-J219/2)*M219-L219)/(T219+J219/2)</f>
        <v>0</v>
      </c>
      <c r="O219">
        <f>N219*(DI219+DJ219)/1000.0</f>
        <v>0</v>
      </c>
      <c r="P219">
        <f>(DB219 - IF(AU219&gt;1, L219*CV219*100.0/(AW219*DP219), 0))*(DI219+DJ219)/1000.0</f>
        <v>0</v>
      </c>
      <c r="Q219">
        <f>2.0/((1/S219-1/R219)+SIGN(S219)*SQRT((1/S219-1/R219)*(1/S219-1/R219) + 4*CW219/((CW219+1)*(CW219+1))*(2*1/S219*1/R219-1/R219*1/R219)))</f>
        <v>0</v>
      </c>
      <c r="R219">
        <f>IF(LEFT(CX219,1)&lt;&gt;"0",IF(LEFT(CX219,1)="1",3.0,CY219),$D$5+$E$5*(DP219*DI219/($K$5*1000))+$F$5*(DP219*DI219/($K$5*1000))*MAX(MIN(CV219,$J$5),$I$5)*MAX(MIN(CV219,$J$5),$I$5)+$G$5*MAX(MIN(CV219,$J$5),$I$5)*(DP219*DI219/($K$5*1000))+$H$5*(DP219*DI219/($K$5*1000))*(DP219*DI219/($K$5*1000)))</f>
        <v>0</v>
      </c>
      <c r="S219">
        <f>J219*(1000-(1000*0.61365*exp(17.502*W219/(240.97+W219))/(DI219+DJ219)+DD219)/2)/(1000*0.61365*exp(17.502*W219/(240.97+W219))/(DI219+DJ219)-DD219)</f>
        <v>0</v>
      </c>
      <c r="T219">
        <f>1/((CW219+1)/(Q219/1.6)+1/(R219/1.37)) + CW219/((CW219+1)/(Q219/1.6) + CW219/(R219/1.37))</f>
        <v>0</v>
      </c>
      <c r="U219">
        <f>(CR219*CU219)</f>
        <v>0</v>
      </c>
      <c r="V219">
        <f>(DK219+(U219+2*0.95*5.67E-8*(((DK219+$B$7)+273)^4-(DK219+273)^4)-44100*J219)/(1.84*29.3*R219+8*0.95*5.67E-8*(DK219+273)^3))</f>
        <v>0</v>
      </c>
      <c r="W219">
        <f>($C$7*DL219+$D$7*DM219+$E$7*V219)</f>
        <v>0</v>
      </c>
      <c r="X219">
        <f>0.61365*exp(17.502*W219/(240.97+W219))</f>
        <v>0</v>
      </c>
      <c r="Y219">
        <f>(Z219/AA219*100)</f>
        <v>0</v>
      </c>
      <c r="Z219">
        <f>DD219*(DI219+DJ219)/1000</f>
        <v>0</v>
      </c>
      <c r="AA219">
        <f>0.61365*exp(17.502*DK219/(240.97+DK219))</f>
        <v>0</v>
      </c>
      <c r="AB219">
        <f>(X219-DD219*(DI219+DJ219)/1000)</f>
        <v>0</v>
      </c>
      <c r="AC219">
        <f>(-J219*44100)</f>
        <v>0</v>
      </c>
      <c r="AD219">
        <f>2*29.3*R219*0.92*(DK219-W219)</f>
        <v>0</v>
      </c>
      <c r="AE219">
        <f>2*0.95*5.67E-8*(((DK219+$B$7)+273)^4-(W219+273)^4)</f>
        <v>0</v>
      </c>
      <c r="AF219">
        <f>U219+AE219+AC219+AD219</f>
        <v>0</v>
      </c>
      <c r="AG219">
        <f>DH219*AU219*(DC219-DB219*(1000-AU219*DE219)/(1000-AU219*DD219))/(100*CV219)</f>
        <v>0</v>
      </c>
      <c r="AH219">
        <f>1000*DH219*AU219*(DD219-DE219)/(100*CV219*(1000-AU219*DD219))</f>
        <v>0</v>
      </c>
      <c r="AI219">
        <f>(AJ219 - AK219 - DI219*1E3/(8.314*(DK219+273.15)) * AM219/DH219 * AL219) * DH219/(100*CV219) * (1000 - DE219)/1000</f>
        <v>0</v>
      </c>
      <c r="AJ219">
        <v>302.0840803000314</v>
      </c>
      <c r="AK219">
        <v>301.6836848484847</v>
      </c>
      <c r="AL219">
        <v>-3.171989737936155</v>
      </c>
      <c r="AM219">
        <v>66.38192812717227</v>
      </c>
      <c r="AN219">
        <f>(AP219 - AO219 + DI219*1E3/(8.314*(DK219+273.15)) * AR219/DH219 * AQ219) * DH219/(100*CV219) * 1000/(1000 - AP219)</f>
        <v>0</v>
      </c>
      <c r="AO219">
        <v>14.13850656191134</v>
      </c>
      <c r="AP219">
        <v>18.35337705882352</v>
      </c>
      <c r="AQ219">
        <v>5.652792529842542E-06</v>
      </c>
      <c r="AR219">
        <v>80.47224507511959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MAX(0,($B$13+$C$13*DP219)/(1+$D$13*DP219)*DI219/(DK219+273)*$E$13)</f>
        <v>0</v>
      </c>
      <c r="AX219" t="s">
        <v>417</v>
      </c>
      <c r="AY219" t="s">
        <v>417</v>
      </c>
      <c r="AZ219">
        <v>0</v>
      </c>
      <c r="BA219">
        <v>0</v>
      </c>
      <c r="BB219">
        <f>1-AZ219/BA219</f>
        <v>0</v>
      </c>
      <c r="BC219">
        <v>0</v>
      </c>
      <c r="BD219" t="s">
        <v>417</v>
      </c>
      <c r="BE219" t="s">
        <v>417</v>
      </c>
      <c r="BF219">
        <v>0</v>
      </c>
      <c r="BG219">
        <v>0</v>
      </c>
      <c r="BH219">
        <f>1-BF219/BG219</f>
        <v>0</v>
      </c>
      <c r="BI219">
        <v>0.5</v>
      </c>
      <c r="BJ219">
        <f>CS219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417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BZ219">
        <v>1248</v>
      </c>
      <c r="CA219">
        <v>300</v>
      </c>
      <c r="CB219">
        <v>300</v>
      </c>
      <c r="CC219">
        <v>300</v>
      </c>
      <c r="CD219">
        <v>10442</v>
      </c>
      <c r="CE219">
        <v>1293.69</v>
      </c>
      <c r="CF219">
        <v>-0.00735246</v>
      </c>
      <c r="CG219">
        <v>0.5</v>
      </c>
      <c r="CH219" t="s">
        <v>417</v>
      </c>
      <c r="CI219" t="s">
        <v>417</v>
      </c>
      <c r="CJ219" t="s">
        <v>417</v>
      </c>
      <c r="CK219" t="s">
        <v>417</v>
      </c>
      <c r="CL219" t="s">
        <v>417</v>
      </c>
      <c r="CM219" t="s">
        <v>417</v>
      </c>
      <c r="CN219" t="s">
        <v>417</v>
      </c>
      <c r="CO219" t="s">
        <v>417</v>
      </c>
      <c r="CP219" t="s">
        <v>417</v>
      </c>
      <c r="CQ219" t="s">
        <v>417</v>
      </c>
      <c r="CR219">
        <f>$B$11*DQ219+$C$11*DR219+$F$11*EC219*(1-EF219)</f>
        <v>0</v>
      </c>
      <c r="CS219">
        <f>CR219*CT219</f>
        <v>0</v>
      </c>
      <c r="CT219">
        <f>($B$11*$D$9+$C$11*$D$9+$F$11*((EP219+EH219)/MAX(EP219+EH219+EQ219, 0.1)*$I$9+EQ219/MAX(EP219+EH219+EQ219, 0.1)*$J$9))/($B$11+$C$11+$F$11)</f>
        <v>0</v>
      </c>
      <c r="CU219">
        <f>($B$11*$K$9+$C$11*$K$9+$F$11*((EP219+EH219)/MAX(EP219+EH219+EQ219, 0.1)*$P$9+EQ219/MAX(EP219+EH219+EQ219, 0.1)*$Q$9))/($B$11+$C$11+$F$11)</f>
        <v>0</v>
      </c>
      <c r="CV219">
        <v>6</v>
      </c>
      <c r="CW219">
        <v>0.5</v>
      </c>
      <c r="CX219" t="s">
        <v>418</v>
      </c>
      <c r="CY219">
        <v>2</v>
      </c>
      <c r="CZ219" t="b">
        <v>1</v>
      </c>
      <c r="DA219">
        <v>1651864801.725</v>
      </c>
      <c r="DB219">
        <v>298.87525</v>
      </c>
      <c r="DC219">
        <v>293.18675</v>
      </c>
      <c r="DD219">
        <v>18.353525</v>
      </c>
      <c r="DE219">
        <v>14.137875</v>
      </c>
      <c r="DF219">
        <v>299.6780000000001</v>
      </c>
      <c r="DG219">
        <v>18.3331</v>
      </c>
      <c r="DH219">
        <v>500.0255</v>
      </c>
      <c r="DI219">
        <v>89.93242499999999</v>
      </c>
      <c r="DJ219">
        <v>0.09999860000000001</v>
      </c>
      <c r="DK219">
        <v>25.6346</v>
      </c>
      <c r="DL219">
        <v>24.996075</v>
      </c>
      <c r="DM219">
        <v>999.9</v>
      </c>
      <c r="DN219">
        <v>0</v>
      </c>
      <c r="DO219">
        <v>0</v>
      </c>
      <c r="DP219">
        <v>9989.987499999999</v>
      </c>
      <c r="DQ219">
        <v>0</v>
      </c>
      <c r="DR219">
        <v>3.23193</v>
      </c>
      <c r="DS219">
        <v>5.68873</v>
      </c>
      <c r="DT219">
        <v>304.4635</v>
      </c>
      <c r="DU219">
        <v>297.39125</v>
      </c>
      <c r="DV219">
        <v>4.21567</v>
      </c>
      <c r="DW219">
        <v>293.18675</v>
      </c>
      <c r="DX219">
        <v>14.137875</v>
      </c>
      <c r="DY219">
        <v>1.65058</v>
      </c>
      <c r="DZ219">
        <v>1.2714525</v>
      </c>
      <c r="EA219">
        <v>14.4393</v>
      </c>
      <c r="EB219">
        <v>10.465575</v>
      </c>
      <c r="EC219">
        <v>1499.84</v>
      </c>
      <c r="ED219">
        <v>0.9730067499999999</v>
      </c>
      <c r="EE219">
        <v>0.026993225</v>
      </c>
      <c r="EF219">
        <v>0</v>
      </c>
      <c r="EG219">
        <v>836.3599999999999</v>
      </c>
      <c r="EH219">
        <v>5.00097</v>
      </c>
      <c r="EI219">
        <v>12422.625</v>
      </c>
      <c r="EJ219">
        <v>12490.3</v>
      </c>
      <c r="EK219">
        <v>37.25</v>
      </c>
      <c r="EL219">
        <v>38.687</v>
      </c>
      <c r="EM219">
        <v>37.625</v>
      </c>
      <c r="EN219">
        <v>38.375</v>
      </c>
      <c r="EO219">
        <v>38.125</v>
      </c>
      <c r="EP219">
        <v>1454.49</v>
      </c>
      <c r="EQ219">
        <v>40.35</v>
      </c>
      <c r="ER219">
        <v>0</v>
      </c>
      <c r="ES219">
        <v>582</v>
      </c>
      <c r="ET219">
        <v>0</v>
      </c>
      <c r="EU219">
        <v>838.0887307692308</v>
      </c>
      <c r="EV219">
        <v>-17.61070086254234</v>
      </c>
      <c r="EW219">
        <v>-269.4188036816961</v>
      </c>
      <c r="EX219">
        <v>12451.38076923077</v>
      </c>
      <c r="EY219">
        <v>15</v>
      </c>
      <c r="EZ219">
        <v>1651864261.1</v>
      </c>
      <c r="FA219" t="s">
        <v>419</v>
      </c>
      <c r="FB219">
        <v>1651864241.6</v>
      </c>
      <c r="FC219">
        <v>1651864261.1</v>
      </c>
      <c r="FD219">
        <v>7</v>
      </c>
      <c r="FE219">
        <v>0.438</v>
      </c>
      <c r="FF219">
        <v>0.002</v>
      </c>
      <c r="FG219">
        <v>-0.988</v>
      </c>
      <c r="FH219">
        <v>-0.066</v>
      </c>
      <c r="FI219">
        <v>400</v>
      </c>
      <c r="FJ219">
        <v>11</v>
      </c>
      <c r="FK219">
        <v>0.05</v>
      </c>
      <c r="FL219">
        <v>0.02</v>
      </c>
      <c r="FM219">
        <v>3.8708645</v>
      </c>
      <c r="FN219">
        <v>11.19271294559099</v>
      </c>
      <c r="FO219">
        <v>1.077561184135152</v>
      </c>
      <c r="FP219">
        <v>-1</v>
      </c>
      <c r="FQ219">
        <v>4.2142345</v>
      </c>
      <c r="FR219">
        <v>0.01396547842401307</v>
      </c>
      <c r="FS219">
        <v>0.002101338799432368</v>
      </c>
      <c r="FT219">
        <v>-1</v>
      </c>
      <c r="FU219">
        <v>0</v>
      </c>
      <c r="FV219">
        <v>0</v>
      </c>
      <c r="FW219">
        <v>0</v>
      </c>
      <c r="FX219">
        <v>-1</v>
      </c>
      <c r="FY219">
        <v>0</v>
      </c>
      <c r="FZ219">
        <v>0</v>
      </c>
      <c r="GA219" t="s">
        <v>420</v>
      </c>
      <c r="GB219">
        <v>2.98033</v>
      </c>
      <c r="GC219">
        <v>2.70602</v>
      </c>
      <c r="GD219">
        <v>0.0706574</v>
      </c>
      <c r="GE219">
        <v>0.0686533</v>
      </c>
      <c r="GF219">
        <v>0.08766549999999999</v>
      </c>
      <c r="GG219">
        <v>0.07162830000000001</v>
      </c>
      <c r="GH219">
        <v>29327.1</v>
      </c>
      <c r="GI219">
        <v>29455.4</v>
      </c>
      <c r="GJ219">
        <v>29342.4</v>
      </c>
      <c r="GK219">
        <v>29257.3</v>
      </c>
      <c r="GL219">
        <v>35446.9</v>
      </c>
      <c r="GM219">
        <v>36174.8</v>
      </c>
      <c r="GN219">
        <v>41300.9</v>
      </c>
      <c r="GO219">
        <v>41760.2</v>
      </c>
      <c r="GP219">
        <v>1.955</v>
      </c>
      <c r="GQ219">
        <v>1.84905</v>
      </c>
      <c r="GR219">
        <v>-0.0206493</v>
      </c>
      <c r="GS219">
        <v>0</v>
      </c>
      <c r="GT219">
        <v>25.3375</v>
      </c>
      <c r="GU219">
        <v>999.9</v>
      </c>
      <c r="GV219">
        <v>31.6</v>
      </c>
      <c r="GW219">
        <v>34.3</v>
      </c>
      <c r="GX219">
        <v>19.0898</v>
      </c>
      <c r="GY219">
        <v>62.3575</v>
      </c>
      <c r="GZ219">
        <v>35.016</v>
      </c>
      <c r="HA219">
        <v>1</v>
      </c>
      <c r="HB219">
        <v>0.108125</v>
      </c>
      <c r="HC219">
        <v>2.30392</v>
      </c>
      <c r="HD219">
        <v>20.3182</v>
      </c>
      <c r="HE219">
        <v>5.21534</v>
      </c>
      <c r="HF219">
        <v>12.0099</v>
      </c>
      <c r="HG219">
        <v>4.98905</v>
      </c>
      <c r="HH219">
        <v>3.2885</v>
      </c>
      <c r="HI219">
        <v>999.8</v>
      </c>
      <c r="HJ219">
        <v>9555.200000000001</v>
      </c>
      <c r="HK219">
        <v>5139.4</v>
      </c>
      <c r="HL219">
        <v>24.9</v>
      </c>
      <c r="HM219">
        <v>1.86751</v>
      </c>
      <c r="HN219">
        <v>1.86646</v>
      </c>
      <c r="HO219">
        <v>1.866</v>
      </c>
      <c r="HP219">
        <v>1.86585</v>
      </c>
      <c r="HQ219">
        <v>1.86769</v>
      </c>
      <c r="HR219">
        <v>1.87022</v>
      </c>
      <c r="HS219">
        <v>1.8689</v>
      </c>
      <c r="HT219">
        <v>1.87026</v>
      </c>
      <c r="HU219">
        <v>0</v>
      </c>
      <c r="HV219">
        <v>0</v>
      </c>
      <c r="HW219">
        <v>0</v>
      </c>
      <c r="HX219">
        <v>0</v>
      </c>
      <c r="HY219" t="s">
        <v>421</v>
      </c>
      <c r="HZ219" t="s">
        <v>422</v>
      </c>
      <c r="IA219" t="s">
        <v>423</v>
      </c>
      <c r="IB219" t="s">
        <v>423</v>
      </c>
      <c r="IC219" t="s">
        <v>423</v>
      </c>
      <c r="ID219" t="s">
        <v>423</v>
      </c>
      <c r="IE219">
        <v>0</v>
      </c>
      <c r="IF219">
        <v>100</v>
      </c>
      <c r="IG219">
        <v>100</v>
      </c>
      <c r="IH219">
        <v>-0.794</v>
      </c>
      <c r="II219">
        <v>0.0204</v>
      </c>
      <c r="IJ219">
        <v>-0.2164499368582429</v>
      </c>
      <c r="IK219">
        <v>-0.002077099775823331</v>
      </c>
      <c r="IL219">
        <v>4.593143279902166E-07</v>
      </c>
      <c r="IM219">
        <v>-1.865383991892071E-10</v>
      </c>
      <c r="IN219">
        <v>-0.06087574426827484</v>
      </c>
      <c r="IO219">
        <v>-0.01129461987421345</v>
      </c>
      <c r="IP219">
        <v>0.00116580895745559</v>
      </c>
      <c r="IQ219">
        <v>-1.679085872906199E-05</v>
      </c>
      <c r="IR219">
        <v>2</v>
      </c>
      <c r="IS219">
        <v>2290</v>
      </c>
      <c r="IT219">
        <v>0</v>
      </c>
      <c r="IU219">
        <v>32</v>
      </c>
      <c r="IV219">
        <v>9.4</v>
      </c>
      <c r="IW219">
        <v>9</v>
      </c>
      <c r="IX219">
        <v>0.744629</v>
      </c>
      <c r="IY219">
        <v>2.24365</v>
      </c>
      <c r="IZ219">
        <v>1.39648</v>
      </c>
      <c r="JA219">
        <v>2.35596</v>
      </c>
      <c r="JB219">
        <v>1.49536</v>
      </c>
      <c r="JC219">
        <v>2.37305</v>
      </c>
      <c r="JD219">
        <v>38.5014</v>
      </c>
      <c r="JE219">
        <v>24.0437</v>
      </c>
      <c r="JF219">
        <v>18</v>
      </c>
      <c r="JG219">
        <v>510.927</v>
      </c>
      <c r="JH219">
        <v>428.382</v>
      </c>
      <c r="JI219">
        <v>22.1939</v>
      </c>
      <c r="JJ219">
        <v>28.6928</v>
      </c>
      <c r="JK219">
        <v>30.0001</v>
      </c>
      <c r="JL219">
        <v>28.6544</v>
      </c>
      <c r="JM219">
        <v>28.592</v>
      </c>
      <c r="JN219">
        <v>14.871</v>
      </c>
      <c r="JO219">
        <v>26.5129</v>
      </c>
      <c r="JP219">
        <v>0</v>
      </c>
      <c r="JQ219">
        <v>22.2006</v>
      </c>
      <c r="JR219">
        <v>266.293</v>
      </c>
      <c r="JS219">
        <v>14.1438</v>
      </c>
      <c r="JT219">
        <v>100.299</v>
      </c>
      <c r="JU219">
        <v>100.227</v>
      </c>
    </row>
    <row r="220" spans="1:281">
      <c r="A220">
        <v>204</v>
      </c>
      <c r="B220">
        <v>1651864805.1</v>
      </c>
      <c r="C220">
        <v>584.5</v>
      </c>
      <c r="D220" t="s">
        <v>828</v>
      </c>
      <c r="E220" t="s">
        <v>829</v>
      </c>
      <c r="F220">
        <v>2</v>
      </c>
      <c r="G220" t="s">
        <v>413</v>
      </c>
      <c r="H220" t="s">
        <v>414</v>
      </c>
      <c r="I220">
        <v>1651864804.1</v>
      </c>
      <c r="J220">
        <f>(K220)/1000</f>
        <v>0</v>
      </c>
      <c r="K220">
        <f>IF(CZ220, AN220, AH220)</f>
        <v>0</v>
      </c>
      <c r="L220">
        <f>IF(CZ220, AI220, AG220)</f>
        <v>0</v>
      </c>
      <c r="M220">
        <f>DB220 - IF(AU220&gt;1, L220*CV220*100.0/(AW220*DP220), 0)</f>
        <v>0</v>
      </c>
      <c r="N220">
        <f>((T220-J220/2)*M220-L220)/(T220+J220/2)</f>
        <v>0</v>
      </c>
      <c r="O220">
        <f>N220*(DI220+DJ220)/1000.0</f>
        <v>0</v>
      </c>
      <c r="P220">
        <f>(DB220 - IF(AU220&gt;1, L220*CV220*100.0/(AW220*DP220), 0))*(DI220+DJ220)/1000.0</f>
        <v>0</v>
      </c>
      <c r="Q220">
        <f>2.0/((1/S220-1/R220)+SIGN(S220)*SQRT((1/S220-1/R220)*(1/S220-1/R220) + 4*CW220/((CW220+1)*(CW220+1))*(2*1/S220*1/R220-1/R220*1/R220)))</f>
        <v>0</v>
      </c>
      <c r="R220">
        <f>IF(LEFT(CX220,1)&lt;&gt;"0",IF(LEFT(CX220,1)="1",3.0,CY220),$D$5+$E$5*(DP220*DI220/($K$5*1000))+$F$5*(DP220*DI220/($K$5*1000))*MAX(MIN(CV220,$J$5),$I$5)*MAX(MIN(CV220,$J$5),$I$5)+$G$5*MAX(MIN(CV220,$J$5),$I$5)*(DP220*DI220/($K$5*1000))+$H$5*(DP220*DI220/($K$5*1000))*(DP220*DI220/($K$5*1000)))</f>
        <v>0</v>
      </c>
      <c r="S220">
        <f>J220*(1000-(1000*0.61365*exp(17.502*W220/(240.97+W220))/(DI220+DJ220)+DD220)/2)/(1000*0.61365*exp(17.502*W220/(240.97+W220))/(DI220+DJ220)-DD220)</f>
        <v>0</v>
      </c>
      <c r="T220">
        <f>1/((CW220+1)/(Q220/1.6)+1/(R220/1.37)) + CW220/((CW220+1)/(Q220/1.6) + CW220/(R220/1.37))</f>
        <v>0</v>
      </c>
      <c r="U220">
        <f>(CR220*CU220)</f>
        <v>0</v>
      </c>
      <c r="V220">
        <f>(DK220+(U220+2*0.95*5.67E-8*(((DK220+$B$7)+273)^4-(DK220+273)^4)-44100*J220)/(1.84*29.3*R220+8*0.95*5.67E-8*(DK220+273)^3))</f>
        <v>0</v>
      </c>
      <c r="W220">
        <f>($C$7*DL220+$D$7*DM220+$E$7*V220)</f>
        <v>0</v>
      </c>
      <c r="X220">
        <f>0.61365*exp(17.502*W220/(240.97+W220))</f>
        <v>0</v>
      </c>
      <c r="Y220">
        <f>(Z220/AA220*100)</f>
        <v>0</v>
      </c>
      <c r="Z220">
        <f>DD220*(DI220+DJ220)/1000</f>
        <v>0</v>
      </c>
      <c r="AA220">
        <f>0.61365*exp(17.502*DK220/(240.97+DK220))</f>
        <v>0</v>
      </c>
      <c r="AB220">
        <f>(X220-DD220*(DI220+DJ220)/1000)</f>
        <v>0</v>
      </c>
      <c r="AC220">
        <f>(-J220*44100)</f>
        <v>0</v>
      </c>
      <c r="AD220">
        <f>2*29.3*R220*0.92*(DK220-W220)</f>
        <v>0</v>
      </c>
      <c r="AE220">
        <f>2*0.95*5.67E-8*(((DK220+$B$7)+273)^4-(W220+273)^4)</f>
        <v>0</v>
      </c>
      <c r="AF220">
        <f>U220+AE220+AC220+AD220</f>
        <v>0</v>
      </c>
      <c r="AG220">
        <f>DH220*AU220*(DC220-DB220*(1000-AU220*DE220)/(1000-AU220*DD220))/(100*CV220)</f>
        <v>0</v>
      </c>
      <c r="AH220">
        <f>1000*DH220*AU220*(DD220-DE220)/(100*CV220*(1000-AU220*DD220))</f>
        <v>0</v>
      </c>
      <c r="AI220">
        <f>(AJ220 - AK220 - DI220*1E3/(8.314*(DK220+273.15)) * AM220/DH220 * AL220) * DH220/(100*CV220) * (1000 - DE220)/1000</f>
        <v>0</v>
      </c>
      <c r="AJ220">
        <v>295.3554842285288</v>
      </c>
      <c r="AK220">
        <v>295.2745393939394</v>
      </c>
      <c r="AL220">
        <v>-3.194221082988974</v>
      </c>
      <c r="AM220">
        <v>66.38192812717227</v>
      </c>
      <c r="AN220">
        <f>(AP220 - AO220 + DI220*1E3/(8.314*(DK220+273.15)) * AR220/DH220 * AQ220) * DH220/(100*CV220) * 1000/(1000 - AP220)</f>
        <v>0</v>
      </c>
      <c r="AO220">
        <v>14.13816211984289</v>
      </c>
      <c r="AP220">
        <v>18.35259676470588</v>
      </c>
      <c r="AQ220">
        <v>1.223824864137837E-05</v>
      </c>
      <c r="AR220">
        <v>80.47224507511959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MAX(0,($B$13+$C$13*DP220)/(1+$D$13*DP220)*DI220/(DK220+273)*$E$13)</f>
        <v>0</v>
      </c>
      <c r="AX220" t="s">
        <v>417</v>
      </c>
      <c r="AY220" t="s">
        <v>417</v>
      </c>
      <c r="AZ220">
        <v>0</v>
      </c>
      <c r="BA220">
        <v>0</v>
      </c>
      <c r="BB220">
        <f>1-AZ220/BA220</f>
        <v>0</v>
      </c>
      <c r="BC220">
        <v>0</v>
      </c>
      <c r="BD220" t="s">
        <v>417</v>
      </c>
      <c r="BE220" t="s">
        <v>417</v>
      </c>
      <c r="BF220">
        <v>0</v>
      </c>
      <c r="BG220">
        <v>0</v>
      </c>
      <c r="BH220">
        <f>1-BF220/BG220</f>
        <v>0</v>
      </c>
      <c r="BI220">
        <v>0.5</v>
      </c>
      <c r="BJ220">
        <f>CS220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417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BZ220">
        <v>1248</v>
      </c>
      <c r="CA220">
        <v>300</v>
      </c>
      <c r="CB220">
        <v>300</v>
      </c>
      <c r="CC220">
        <v>300</v>
      </c>
      <c r="CD220">
        <v>10442</v>
      </c>
      <c r="CE220">
        <v>1293.69</v>
      </c>
      <c r="CF220">
        <v>-0.00735246</v>
      </c>
      <c r="CG220">
        <v>0.5</v>
      </c>
      <c r="CH220" t="s">
        <v>417</v>
      </c>
      <c r="CI220" t="s">
        <v>417</v>
      </c>
      <c r="CJ220" t="s">
        <v>417</v>
      </c>
      <c r="CK220" t="s">
        <v>417</v>
      </c>
      <c r="CL220" t="s">
        <v>417</v>
      </c>
      <c r="CM220" t="s">
        <v>417</v>
      </c>
      <c r="CN220" t="s">
        <v>417</v>
      </c>
      <c r="CO220" t="s">
        <v>417</v>
      </c>
      <c r="CP220" t="s">
        <v>417</v>
      </c>
      <c r="CQ220" t="s">
        <v>417</v>
      </c>
      <c r="CR220">
        <f>$B$11*DQ220+$C$11*DR220+$F$11*EC220*(1-EF220)</f>
        <v>0</v>
      </c>
      <c r="CS220">
        <f>CR220*CT220</f>
        <v>0</v>
      </c>
      <c r="CT220">
        <f>($B$11*$D$9+$C$11*$D$9+$F$11*((EP220+EH220)/MAX(EP220+EH220+EQ220, 0.1)*$I$9+EQ220/MAX(EP220+EH220+EQ220, 0.1)*$J$9))/($B$11+$C$11+$F$11)</f>
        <v>0</v>
      </c>
      <c r="CU220">
        <f>($B$11*$K$9+$C$11*$K$9+$F$11*((EP220+EH220)/MAX(EP220+EH220+EQ220, 0.1)*$P$9+EQ220/MAX(EP220+EH220+EQ220, 0.1)*$Q$9))/($B$11+$C$11+$F$11)</f>
        <v>0</v>
      </c>
      <c r="CV220">
        <v>6</v>
      </c>
      <c r="CW220">
        <v>0.5</v>
      </c>
      <c r="CX220" t="s">
        <v>418</v>
      </c>
      <c r="CY220">
        <v>2</v>
      </c>
      <c r="CZ220" t="b">
        <v>1</v>
      </c>
      <c r="DA220">
        <v>1651864804.1</v>
      </c>
      <c r="DB220">
        <v>291.427</v>
      </c>
      <c r="DC220">
        <v>285.3376666666667</v>
      </c>
      <c r="DD220">
        <v>18.35276666666667</v>
      </c>
      <c r="DE220">
        <v>14.13653333333333</v>
      </c>
      <c r="DF220">
        <v>292.2156666666667</v>
      </c>
      <c r="DG220">
        <v>18.33233333333333</v>
      </c>
      <c r="DH220">
        <v>500.075</v>
      </c>
      <c r="DI220">
        <v>89.93266666666666</v>
      </c>
      <c r="DJ220">
        <v>0.09997729999999999</v>
      </c>
      <c r="DK220">
        <v>25.63346666666666</v>
      </c>
      <c r="DL220">
        <v>24.9977</v>
      </c>
      <c r="DM220">
        <v>999.9</v>
      </c>
      <c r="DN220">
        <v>0</v>
      </c>
      <c r="DO220">
        <v>0</v>
      </c>
      <c r="DP220">
        <v>9988.75</v>
      </c>
      <c r="DQ220">
        <v>0</v>
      </c>
      <c r="DR220">
        <v>3.23193</v>
      </c>
      <c r="DS220">
        <v>6.089173333333334</v>
      </c>
      <c r="DT220">
        <v>296.8753333333333</v>
      </c>
      <c r="DU220">
        <v>289.4293333333333</v>
      </c>
      <c r="DV220">
        <v>4.216223333333334</v>
      </c>
      <c r="DW220">
        <v>285.3376666666667</v>
      </c>
      <c r="DX220">
        <v>14.13653333333333</v>
      </c>
      <c r="DY220">
        <v>1.650513333333333</v>
      </c>
      <c r="DZ220">
        <v>1.27134</v>
      </c>
      <c r="EA220">
        <v>14.4387</v>
      </c>
      <c r="EB220">
        <v>10.4642</v>
      </c>
      <c r="EC220">
        <v>1499.95</v>
      </c>
      <c r="ED220">
        <v>0.973002</v>
      </c>
      <c r="EE220">
        <v>0.02699806666666666</v>
      </c>
      <c r="EF220">
        <v>0</v>
      </c>
      <c r="EG220">
        <v>835.4833333333332</v>
      </c>
      <c r="EH220">
        <v>5.00097</v>
      </c>
      <c r="EI220">
        <v>12414.33333333333</v>
      </c>
      <c r="EJ220">
        <v>12491.2</v>
      </c>
      <c r="EK220">
        <v>37.208</v>
      </c>
      <c r="EL220">
        <v>38.687</v>
      </c>
      <c r="EM220">
        <v>37.625</v>
      </c>
      <c r="EN220">
        <v>38.375</v>
      </c>
      <c r="EO220">
        <v>38.125</v>
      </c>
      <c r="EP220">
        <v>1454.59</v>
      </c>
      <c r="EQ220">
        <v>40.36000000000001</v>
      </c>
      <c r="ER220">
        <v>0</v>
      </c>
      <c r="ES220">
        <v>583.7999999523163</v>
      </c>
      <c r="ET220">
        <v>0</v>
      </c>
      <c r="EU220">
        <v>837.4514800000001</v>
      </c>
      <c r="EV220">
        <v>-17.20346156296309</v>
      </c>
      <c r="EW220">
        <v>-262.2769236010454</v>
      </c>
      <c r="EX220">
        <v>12442.144</v>
      </c>
      <c r="EY220">
        <v>15</v>
      </c>
      <c r="EZ220">
        <v>1651864261.1</v>
      </c>
      <c r="FA220" t="s">
        <v>419</v>
      </c>
      <c r="FB220">
        <v>1651864241.6</v>
      </c>
      <c r="FC220">
        <v>1651864261.1</v>
      </c>
      <c r="FD220">
        <v>7</v>
      </c>
      <c r="FE220">
        <v>0.438</v>
      </c>
      <c r="FF220">
        <v>0.002</v>
      </c>
      <c r="FG220">
        <v>-0.988</v>
      </c>
      <c r="FH220">
        <v>-0.066</v>
      </c>
      <c r="FI220">
        <v>400</v>
      </c>
      <c r="FJ220">
        <v>11</v>
      </c>
      <c r="FK220">
        <v>0.05</v>
      </c>
      <c r="FL220">
        <v>0.02</v>
      </c>
      <c r="FM220">
        <v>4.294128048780488</v>
      </c>
      <c r="FN220">
        <v>11.30840989547039</v>
      </c>
      <c r="FO220">
        <v>1.115906378534834</v>
      </c>
      <c r="FP220">
        <v>-1</v>
      </c>
      <c r="FQ220">
        <v>4.214903658536585</v>
      </c>
      <c r="FR220">
        <v>0.0081792334494761</v>
      </c>
      <c r="FS220">
        <v>0.001534514710127602</v>
      </c>
      <c r="FT220">
        <v>-1</v>
      </c>
      <c r="FU220">
        <v>0</v>
      </c>
      <c r="FV220">
        <v>0</v>
      </c>
      <c r="FW220">
        <v>0</v>
      </c>
      <c r="FX220">
        <v>-1</v>
      </c>
      <c r="FY220">
        <v>0</v>
      </c>
      <c r="FZ220">
        <v>0</v>
      </c>
      <c r="GA220" t="s">
        <v>420</v>
      </c>
      <c r="GB220">
        <v>2.98058</v>
      </c>
      <c r="GC220">
        <v>2.70603</v>
      </c>
      <c r="GD220">
        <v>0.069415</v>
      </c>
      <c r="GE220">
        <v>0.06735389999999999</v>
      </c>
      <c r="GF220">
        <v>0.08766409999999999</v>
      </c>
      <c r="GG220">
        <v>0.071627</v>
      </c>
      <c r="GH220">
        <v>29366</v>
      </c>
      <c r="GI220">
        <v>29496.5</v>
      </c>
      <c r="GJ220">
        <v>29342.1</v>
      </c>
      <c r="GK220">
        <v>29257.3</v>
      </c>
      <c r="GL220">
        <v>35446.4</v>
      </c>
      <c r="GM220">
        <v>36174.8</v>
      </c>
      <c r="GN220">
        <v>41300.3</v>
      </c>
      <c r="GO220">
        <v>41760.2</v>
      </c>
      <c r="GP220">
        <v>1.9552</v>
      </c>
      <c r="GQ220">
        <v>1.84923</v>
      </c>
      <c r="GR220">
        <v>-0.0207648</v>
      </c>
      <c r="GS220">
        <v>0</v>
      </c>
      <c r="GT220">
        <v>25.3385</v>
      </c>
      <c r="GU220">
        <v>999.9</v>
      </c>
      <c r="GV220">
        <v>31.6</v>
      </c>
      <c r="GW220">
        <v>34.3</v>
      </c>
      <c r="GX220">
        <v>19.0916</v>
      </c>
      <c r="GY220">
        <v>62.6675</v>
      </c>
      <c r="GZ220">
        <v>34.9319</v>
      </c>
      <c r="HA220">
        <v>1</v>
      </c>
      <c r="HB220">
        <v>0.108051</v>
      </c>
      <c r="HC220">
        <v>2.31147</v>
      </c>
      <c r="HD220">
        <v>20.3182</v>
      </c>
      <c r="HE220">
        <v>5.21519</v>
      </c>
      <c r="HF220">
        <v>12.0099</v>
      </c>
      <c r="HG220">
        <v>4.9889</v>
      </c>
      <c r="HH220">
        <v>3.2885</v>
      </c>
      <c r="HI220">
        <v>1000</v>
      </c>
      <c r="HJ220">
        <v>9556.1</v>
      </c>
      <c r="HK220">
        <v>5139.4</v>
      </c>
      <c r="HL220">
        <v>24.9</v>
      </c>
      <c r="HM220">
        <v>1.86751</v>
      </c>
      <c r="HN220">
        <v>1.86646</v>
      </c>
      <c r="HO220">
        <v>1.866</v>
      </c>
      <c r="HP220">
        <v>1.86585</v>
      </c>
      <c r="HQ220">
        <v>1.86773</v>
      </c>
      <c r="HR220">
        <v>1.87025</v>
      </c>
      <c r="HS220">
        <v>1.86889</v>
      </c>
      <c r="HT220">
        <v>1.87026</v>
      </c>
      <c r="HU220">
        <v>0</v>
      </c>
      <c r="HV220">
        <v>0</v>
      </c>
      <c r="HW220">
        <v>0</v>
      </c>
      <c r="HX220">
        <v>0</v>
      </c>
      <c r="HY220" t="s">
        <v>421</v>
      </c>
      <c r="HZ220" t="s">
        <v>422</v>
      </c>
      <c r="IA220" t="s">
        <v>423</v>
      </c>
      <c r="IB220" t="s">
        <v>423</v>
      </c>
      <c r="IC220" t="s">
        <v>423</v>
      </c>
      <c r="ID220" t="s">
        <v>423</v>
      </c>
      <c r="IE220">
        <v>0</v>
      </c>
      <c r="IF220">
        <v>100</v>
      </c>
      <c r="IG220">
        <v>100</v>
      </c>
      <c r="IH220">
        <v>-0.783</v>
      </c>
      <c r="II220">
        <v>0.0204</v>
      </c>
      <c r="IJ220">
        <v>-0.2164499368582429</v>
      </c>
      <c r="IK220">
        <v>-0.002077099775823331</v>
      </c>
      <c r="IL220">
        <v>4.593143279902166E-07</v>
      </c>
      <c r="IM220">
        <v>-1.865383991892071E-10</v>
      </c>
      <c r="IN220">
        <v>-0.06087574426827484</v>
      </c>
      <c r="IO220">
        <v>-0.01129461987421345</v>
      </c>
      <c r="IP220">
        <v>0.00116580895745559</v>
      </c>
      <c r="IQ220">
        <v>-1.679085872906199E-05</v>
      </c>
      <c r="IR220">
        <v>2</v>
      </c>
      <c r="IS220">
        <v>2290</v>
      </c>
      <c r="IT220">
        <v>0</v>
      </c>
      <c r="IU220">
        <v>32</v>
      </c>
      <c r="IV220">
        <v>9.4</v>
      </c>
      <c r="IW220">
        <v>9.1</v>
      </c>
      <c r="IX220">
        <v>0.731201</v>
      </c>
      <c r="IY220">
        <v>2.24976</v>
      </c>
      <c r="IZ220">
        <v>1.39648</v>
      </c>
      <c r="JA220">
        <v>2.35596</v>
      </c>
      <c r="JB220">
        <v>1.49536</v>
      </c>
      <c r="JC220">
        <v>2.2998</v>
      </c>
      <c r="JD220">
        <v>38.5014</v>
      </c>
      <c r="JE220">
        <v>24.035</v>
      </c>
      <c r="JF220">
        <v>18</v>
      </c>
      <c r="JG220">
        <v>511.062</v>
      </c>
      <c r="JH220">
        <v>428.487</v>
      </c>
      <c r="JI220">
        <v>22.1979</v>
      </c>
      <c r="JJ220">
        <v>28.6928</v>
      </c>
      <c r="JK220">
        <v>30</v>
      </c>
      <c r="JL220">
        <v>28.6551</v>
      </c>
      <c r="JM220">
        <v>28.592</v>
      </c>
      <c r="JN220">
        <v>14.5894</v>
      </c>
      <c r="JO220">
        <v>26.5129</v>
      </c>
      <c r="JP220">
        <v>0</v>
      </c>
      <c r="JQ220">
        <v>22.2037</v>
      </c>
      <c r="JR220">
        <v>259.614</v>
      </c>
      <c r="JS220">
        <v>14.1403</v>
      </c>
      <c r="JT220">
        <v>100.297</v>
      </c>
      <c r="JU220">
        <v>100.227</v>
      </c>
    </row>
    <row r="221" spans="1:281">
      <c r="A221">
        <v>205</v>
      </c>
      <c r="B221">
        <v>1651864807.1</v>
      </c>
      <c r="C221">
        <v>586.5</v>
      </c>
      <c r="D221" t="s">
        <v>830</v>
      </c>
      <c r="E221" t="s">
        <v>831</v>
      </c>
      <c r="F221">
        <v>2</v>
      </c>
      <c r="G221" t="s">
        <v>413</v>
      </c>
      <c r="H221" t="s">
        <v>414</v>
      </c>
      <c r="I221">
        <v>1651864805.725</v>
      </c>
      <c r="J221">
        <f>(K221)/1000</f>
        <v>0</v>
      </c>
      <c r="K221">
        <f>IF(CZ221, AN221, AH221)</f>
        <v>0</v>
      </c>
      <c r="L221">
        <f>IF(CZ221, AI221, AG221)</f>
        <v>0</v>
      </c>
      <c r="M221">
        <f>DB221 - IF(AU221&gt;1, L221*CV221*100.0/(AW221*DP221), 0)</f>
        <v>0</v>
      </c>
      <c r="N221">
        <f>((T221-J221/2)*M221-L221)/(T221+J221/2)</f>
        <v>0</v>
      </c>
      <c r="O221">
        <f>N221*(DI221+DJ221)/1000.0</f>
        <v>0</v>
      </c>
      <c r="P221">
        <f>(DB221 - IF(AU221&gt;1, L221*CV221*100.0/(AW221*DP221), 0))*(DI221+DJ221)/1000.0</f>
        <v>0</v>
      </c>
      <c r="Q221">
        <f>2.0/((1/S221-1/R221)+SIGN(S221)*SQRT((1/S221-1/R221)*(1/S221-1/R221) + 4*CW221/((CW221+1)*(CW221+1))*(2*1/S221*1/R221-1/R221*1/R221)))</f>
        <v>0</v>
      </c>
      <c r="R221">
        <f>IF(LEFT(CX221,1)&lt;&gt;"0",IF(LEFT(CX221,1)="1",3.0,CY221),$D$5+$E$5*(DP221*DI221/($K$5*1000))+$F$5*(DP221*DI221/($K$5*1000))*MAX(MIN(CV221,$J$5),$I$5)*MAX(MIN(CV221,$J$5),$I$5)+$G$5*MAX(MIN(CV221,$J$5),$I$5)*(DP221*DI221/($K$5*1000))+$H$5*(DP221*DI221/($K$5*1000))*(DP221*DI221/($K$5*1000)))</f>
        <v>0</v>
      </c>
      <c r="S221">
        <f>J221*(1000-(1000*0.61365*exp(17.502*W221/(240.97+W221))/(DI221+DJ221)+DD221)/2)/(1000*0.61365*exp(17.502*W221/(240.97+W221))/(DI221+DJ221)-DD221)</f>
        <v>0</v>
      </c>
      <c r="T221">
        <f>1/((CW221+1)/(Q221/1.6)+1/(R221/1.37)) + CW221/((CW221+1)/(Q221/1.6) + CW221/(R221/1.37))</f>
        <v>0</v>
      </c>
      <c r="U221">
        <f>(CR221*CU221)</f>
        <v>0</v>
      </c>
      <c r="V221">
        <f>(DK221+(U221+2*0.95*5.67E-8*(((DK221+$B$7)+273)^4-(DK221+273)^4)-44100*J221)/(1.84*29.3*R221+8*0.95*5.67E-8*(DK221+273)^3))</f>
        <v>0</v>
      </c>
      <c r="W221">
        <f>($C$7*DL221+$D$7*DM221+$E$7*V221)</f>
        <v>0</v>
      </c>
      <c r="X221">
        <f>0.61365*exp(17.502*W221/(240.97+W221))</f>
        <v>0</v>
      </c>
      <c r="Y221">
        <f>(Z221/AA221*100)</f>
        <v>0</v>
      </c>
      <c r="Z221">
        <f>DD221*(DI221+DJ221)/1000</f>
        <v>0</v>
      </c>
      <c r="AA221">
        <f>0.61365*exp(17.502*DK221/(240.97+DK221))</f>
        <v>0</v>
      </c>
      <c r="AB221">
        <f>(X221-DD221*(DI221+DJ221)/1000)</f>
        <v>0</v>
      </c>
      <c r="AC221">
        <f>(-J221*44100)</f>
        <v>0</v>
      </c>
      <c r="AD221">
        <f>2*29.3*R221*0.92*(DK221-W221)</f>
        <v>0</v>
      </c>
      <c r="AE221">
        <f>2*0.95*5.67E-8*(((DK221+$B$7)+273)^4-(W221+273)^4)</f>
        <v>0</v>
      </c>
      <c r="AF221">
        <f>U221+AE221+AC221+AD221</f>
        <v>0</v>
      </c>
      <c r="AG221">
        <f>DH221*AU221*(DC221-DB221*(1000-AU221*DE221)/(1000-AU221*DD221))/(100*CV221)</f>
        <v>0</v>
      </c>
      <c r="AH221">
        <f>1000*DH221*AU221*(DD221-DE221)/(100*CV221*(1000-AU221*DD221))</f>
        <v>0</v>
      </c>
      <c r="AI221">
        <f>(AJ221 - AK221 - DI221*1E3/(8.314*(DK221+273.15)) * AM221/DH221 * AL221) * DH221/(100*CV221) * (1000 - DE221)/1000</f>
        <v>0</v>
      </c>
      <c r="AJ221">
        <v>288.6615786534149</v>
      </c>
      <c r="AK221">
        <v>288.9537696969696</v>
      </c>
      <c r="AL221">
        <v>-3.175304315597011</v>
      </c>
      <c r="AM221">
        <v>66.38192812717227</v>
      </c>
      <c r="AN221">
        <f>(AP221 - AO221 + DI221*1E3/(8.314*(DK221+273.15)) * AR221/DH221 * AQ221) * DH221/(100*CV221) * 1000/(1000 - AP221)</f>
        <v>0</v>
      </c>
      <c r="AO221">
        <v>14.13734165205832</v>
      </c>
      <c r="AP221">
        <v>18.35256882352941</v>
      </c>
      <c r="AQ221">
        <v>-5.396036843220817E-06</v>
      </c>
      <c r="AR221">
        <v>80.47224507511959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MAX(0,($B$13+$C$13*DP221)/(1+$D$13*DP221)*DI221/(DK221+273)*$E$13)</f>
        <v>0</v>
      </c>
      <c r="AX221" t="s">
        <v>417</v>
      </c>
      <c r="AY221" t="s">
        <v>417</v>
      </c>
      <c r="AZ221">
        <v>0</v>
      </c>
      <c r="BA221">
        <v>0</v>
      </c>
      <c r="BB221">
        <f>1-AZ221/BA221</f>
        <v>0</v>
      </c>
      <c r="BC221">
        <v>0</v>
      </c>
      <c r="BD221" t="s">
        <v>417</v>
      </c>
      <c r="BE221" t="s">
        <v>417</v>
      </c>
      <c r="BF221">
        <v>0</v>
      </c>
      <c r="BG221">
        <v>0</v>
      </c>
      <c r="BH221">
        <f>1-BF221/BG221</f>
        <v>0</v>
      </c>
      <c r="BI221">
        <v>0.5</v>
      </c>
      <c r="BJ221">
        <f>CS221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417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BZ221">
        <v>1248</v>
      </c>
      <c r="CA221">
        <v>300</v>
      </c>
      <c r="CB221">
        <v>300</v>
      </c>
      <c r="CC221">
        <v>300</v>
      </c>
      <c r="CD221">
        <v>10442</v>
      </c>
      <c r="CE221">
        <v>1293.69</v>
      </c>
      <c r="CF221">
        <v>-0.00735246</v>
      </c>
      <c r="CG221">
        <v>0.5</v>
      </c>
      <c r="CH221" t="s">
        <v>417</v>
      </c>
      <c r="CI221" t="s">
        <v>417</v>
      </c>
      <c r="CJ221" t="s">
        <v>417</v>
      </c>
      <c r="CK221" t="s">
        <v>417</v>
      </c>
      <c r="CL221" t="s">
        <v>417</v>
      </c>
      <c r="CM221" t="s">
        <v>417</v>
      </c>
      <c r="CN221" t="s">
        <v>417</v>
      </c>
      <c r="CO221" t="s">
        <v>417</v>
      </c>
      <c r="CP221" t="s">
        <v>417</v>
      </c>
      <c r="CQ221" t="s">
        <v>417</v>
      </c>
      <c r="CR221">
        <f>$B$11*DQ221+$C$11*DR221+$F$11*EC221*(1-EF221)</f>
        <v>0</v>
      </c>
      <c r="CS221">
        <f>CR221*CT221</f>
        <v>0</v>
      </c>
      <c r="CT221">
        <f>($B$11*$D$9+$C$11*$D$9+$F$11*((EP221+EH221)/MAX(EP221+EH221+EQ221, 0.1)*$I$9+EQ221/MAX(EP221+EH221+EQ221, 0.1)*$J$9))/($B$11+$C$11+$F$11)</f>
        <v>0</v>
      </c>
      <c r="CU221">
        <f>($B$11*$K$9+$C$11*$K$9+$F$11*((EP221+EH221)/MAX(EP221+EH221+EQ221, 0.1)*$P$9+EQ221/MAX(EP221+EH221+EQ221, 0.1)*$Q$9))/($B$11+$C$11+$F$11)</f>
        <v>0</v>
      </c>
      <c r="CV221">
        <v>6</v>
      </c>
      <c r="CW221">
        <v>0.5</v>
      </c>
      <c r="CX221" t="s">
        <v>418</v>
      </c>
      <c r="CY221">
        <v>2</v>
      </c>
      <c r="CZ221" t="b">
        <v>1</v>
      </c>
      <c r="DA221">
        <v>1651864805.725</v>
      </c>
      <c r="DB221">
        <v>286.3665</v>
      </c>
      <c r="DC221">
        <v>280.00675</v>
      </c>
      <c r="DD221">
        <v>18.35275</v>
      </c>
      <c r="DE221">
        <v>14.136425</v>
      </c>
      <c r="DF221">
        <v>287.14575</v>
      </c>
      <c r="DG221">
        <v>18.332275</v>
      </c>
      <c r="DH221">
        <v>500.048</v>
      </c>
      <c r="DI221">
        <v>89.9311</v>
      </c>
      <c r="DJ221">
        <v>0.09999430000000001</v>
      </c>
      <c r="DK221">
        <v>25.634475</v>
      </c>
      <c r="DL221">
        <v>25.00075</v>
      </c>
      <c r="DM221">
        <v>999.9</v>
      </c>
      <c r="DN221">
        <v>0</v>
      </c>
      <c r="DO221">
        <v>0</v>
      </c>
      <c r="DP221">
        <v>9992.1875</v>
      </c>
      <c r="DQ221">
        <v>0</v>
      </c>
      <c r="DR221">
        <v>3.23193</v>
      </c>
      <c r="DS221">
        <v>6.359735000000001</v>
      </c>
      <c r="DT221">
        <v>291.72025</v>
      </c>
      <c r="DU221">
        <v>284.02175</v>
      </c>
      <c r="DV221">
        <v>4.21629</v>
      </c>
      <c r="DW221">
        <v>280.00675</v>
      </c>
      <c r="DX221">
        <v>14.136425</v>
      </c>
      <c r="DY221">
        <v>1.65048</v>
      </c>
      <c r="DZ221">
        <v>1.2713025</v>
      </c>
      <c r="EA221">
        <v>14.43835</v>
      </c>
      <c r="EB221">
        <v>10.463825</v>
      </c>
      <c r="EC221">
        <v>1499.92</v>
      </c>
      <c r="ED221">
        <v>0.973003</v>
      </c>
      <c r="EE221">
        <v>0.02699695</v>
      </c>
      <c r="EF221">
        <v>0</v>
      </c>
      <c r="EG221">
        <v>835.2687500000001</v>
      </c>
      <c r="EH221">
        <v>5.00097</v>
      </c>
      <c r="EI221">
        <v>12407.9</v>
      </c>
      <c r="EJ221">
        <v>12490.95</v>
      </c>
      <c r="EK221">
        <v>37.25</v>
      </c>
      <c r="EL221">
        <v>38.687</v>
      </c>
      <c r="EM221">
        <v>37.625</v>
      </c>
      <c r="EN221">
        <v>38.375</v>
      </c>
      <c r="EO221">
        <v>38.125</v>
      </c>
      <c r="EP221">
        <v>1454.5625</v>
      </c>
      <c r="EQ221">
        <v>40.3575</v>
      </c>
      <c r="ER221">
        <v>0</v>
      </c>
      <c r="ES221">
        <v>586.2000000476837</v>
      </c>
      <c r="ET221">
        <v>0</v>
      </c>
      <c r="EU221">
        <v>836.7817200000001</v>
      </c>
      <c r="EV221">
        <v>-16.93869227867505</v>
      </c>
      <c r="EW221">
        <v>-255.9153843271537</v>
      </c>
      <c r="EX221">
        <v>12431.704</v>
      </c>
      <c r="EY221">
        <v>15</v>
      </c>
      <c r="EZ221">
        <v>1651864261.1</v>
      </c>
      <c r="FA221" t="s">
        <v>419</v>
      </c>
      <c r="FB221">
        <v>1651864241.6</v>
      </c>
      <c r="FC221">
        <v>1651864261.1</v>
      </c>
      <c r="FD221">
        <v>7</v>
      </c>
      <c r="FE221">
        <v>0.438</v>
      </c>
      <c r="FF221">
        <v>0.002</v>
      </c>
      <c r="FG221">
        <v>-0.988</v>
      </c>
      <c r="FH221">
        <v>-0.066</v>
      </c>
      <c r="FI221">
        <v>400</v>
      </c>
      <c r="FJ221">
        <v>11</v>
      </c>
      <c r="FK221">
        <v>0.05</v>
      </c>
      <c r="FL221">
        <v>0.02</v>
      </c>
      <c r="FM221">
        <v>4.618883250000001</v>
      </c>
      <c r="FN221">
        <v>11.31852551594747</v>
      </c>
      <c r="FO221">
        <v>1.089706801473193</v>
      </c>
      <c r="FP221">
        <v>-1</v>
      </c>
      <c r="FQ221">
        <v>4.21537</v>
      </c>
      <c r="FR221">
        <v>0.003568705440892585</v>
      </c>
      <c r="FS221">
        <v>0.001034775337935747</v>
      </c>
      <c r="FT221">
        <v>-1</v>
      </c>
      <c r="FU221">
        <v>0</v>
      </c>
      <c r="FV221">
        <v>0</v>
      </c>
      <c r="FW221">
        <v>0</v>
      </c>
      <c r="FX221">
        <v>-1</v>
      </c>
      <c r="FY221">
        <v>0</v>
      </c>
      <c r="FZ221">
        <v>0</v>
      </c>
      <c r="GA221" t="s">
        <v>420</v>
      </c>
      <c r="GB221">
        <v>2.98043</v>
      </c>
      <c r="GC221">
        <v>2.70617</v>
      </c>
      <c r="GD221">
        <v>0.06817239999999999</v>
      </c>
      <c r="GE221">
        <v>0.0660427</v>
      </c>
      <c r="GF221">
        <v>0.0876605</v>
      </c>
      <c r="GG221">
        <v>0.0716244</v>
      </c>
      <c r="GH221">
        <v>29405.3</v>
      </c>
      <c r="GI221">
        <v>29538.1</v>
      </c>
      <c r="GJ221">
        <v>29342.2</v>
      </c>
      <c r="GK221">
        <v>29257.4</v>
      </c>
      <c r="GL221">
        <v>35446.3</v>
      </c>
      <c r="GM221">
        <v>36174.9</v>
      </c>
      <c r="GN221">
        <v>41300</v>
      </c>
      <c r="GO221">
        <v>41760.2</v>
      </c>
      <c r="GP221">
        <v>1.9551</v>
      </c>
      <c r="GQ221">
        <v>1.84942</v>
      </c>
      <c r="GR221">
        <v>-0.020422</v>
      </c>
      <c r="GS221">
        <v>0</v>
      </c>
      <c r="GT221">
        <v>25.3395</v>
      </c>
      <c r="GU221">
        <v>999.9</v>
      </c>
      <c r="GV221">
        <v>31.5</v>
      </c>
      <c r="GW221">
        <v>34.3</v>
      </c>
      <c r="GX221">
        <v>19.0307</v>
      </c>
      <c r="GY221">
        <v>62.1675</v>
      </c>
      <c r="GZ221">
        <v>35.2845</v>
      </c>
      <c r="HA221">
        <v>1</v>
      </c>
      <c r="HB221">
        <v>0.108082</v>
      </c>
      <c r="HC221">
        <v>2.31062</v>
      </c>
      <c r="HD221">
        <v>20.3183</v>
      </c>
      <c r="HE221">
        <v>5.21504</v>
      </c>
      <c r="HF221">
        <v>12.0099</v>
      </c>
      <c r="HG221">
        <v>4.9888</v>
      </c>
      <c r="HH221">
        <v>3.2885</v>
      </c>
      <c r="HI221">
        <v>1000</v>
      </c>
      <c r="HJ221">
        <v>9556.1</v>
      </c>
      <c r="HK221">
        <v>5139.4</v>
      </c>
      <c r="HL221">
        <v>24.9</v>
      </c>
      <c r="HM221">
        <v>1.86752</v>
      </c>
      <c r="HN221">
        <v>1.86646</v>
      </c>
      <c r="HO221">
        <v>1.866</v>
      </c>
      <c r="HP221">
        <v>1.86586</v>
      </c>
      <c r="HQ221">
        <v>1.86774</v>
      </c>
      <c r="HR221">
        <v>1.87026</v>
      </c>
      <c r="HS221">
        <v>1.86888</v>
      </c>
      <c r="HT221">
        <v>1.87027</v>
      </c>
      <c r="HU221">
        <v>0</v>
      </c>
      <c r="HV221">
        <v>0</v>
      </c>
      <c r="HW221">
        <v>0</v>
      </c>
      <c r="HX221">
        <v>0</v>
      </c>
      <c r="HY221" t="s">
        <v>421</v>
      </c>
      <c r="HZ221" t="s">
        <v>422</v>
      </c>
      <c r="IA221" t="s">
        <v>423</v>
      </c>
      <c r="IB221" t="s">
        <v>423</v>
      </c>
      <c r="IC221" t="s">
        <v>423</v>
      </c>
      <c r="ID221" t="s">
        <v>423</v>
      </c>
      <c r="IE221">
        <v>0</v>
      </c>
      <c r="IF221">
        <v>100</v>
      </c>
      <c r="IG221">
        <v>100</v>
      </c>
      <c r="IH221">
        <v>-0.772</v>
      </c>
      <c r="II221">
        <v>0.0204</v>
      </c>
      <c r="IJ221">
        <v>-0.2164499368582429</v>
      </c>
      <c r="IK221">
        <v>-0.002077099775823331</v>
      </c>
      <c r="IL221">
        <v>4.593143279902166E-07</v>
      </c>
      <c r="IM221">
        <v>-1.865383991892071E-10</v>
      </c>
      <c r="IN221">
        <v>-0.06087574426827484</v>
      </c>
      <c r="IO221">
        <v>-0.01129461987421345</v>
      </c>
      <c r="IP221">
        <v>0.00116580895745559</v>
      </c>
      <c r="IQ221">
        <v>-1.679085872906199E-05</v>
      </c>
      <c r="IR221">
        <v>2</v>
      </c>
      <c r="IS221">
        <v>2290</v>
      </c>
      <c r="IT221">
        <v>0</v>
      </c>
      <c r="IU221">
        <v>32</v>
      </c>
      <c r="IV221">
        <v>9.4</v>
      </c>
      <c r="IW221">
        <v>9.1</v>
      </c>
      <c r="IX221">
        <v>0.716553</v>
      </c>
      <c r="IY221">
        <v>2.24243</v>
      </c>
      <c r="IZ221">
        <v>1.39648</v>
      </c>
      <c r="JA221">
        <v>2.35474</v>
      </c>
      <c r="JB221">
        <v>1.49536</v>
      </c>
      <c r="JC221">
        <v>2.34131</v>
      </c>
      <c r="JD221">
        <v>38.5014</v>
      </c>
      <c r="JE221">
        <v>24.035</v>
      </c>
      <c r="JF221">
        <v>18</v>
      </c>
      <c r="JG221">
        <v>511.007</v>
      </c>
      <c r="JH221">
        <v>428.607</v>
      </c>
      <c r="JI221">
        <v>22.2004</v>
      </c>
      <c r="JJ221">
        <v>28.6928</v>
      </c>
      <c r="JK221">
        <v>30.0001</v>
      </c>
      <c r="JL221">
        <v>28.6563</v>
      </c>
      <c r="JM221">
        <v>28.592</v>
      </c>
      <c r="JN221">
        <v>14.3074</v>
      </c>
      <c r="JO221">
        <v>26.5129</v>
      </c>
      <c r="JP221">
        <v>0</v>
      </c>
      <c r="JQ221">
        <v>22.2037</v>
      </c>
      <c r="JR221">
        <v>252.935</v>
      </c>
      <c r="JS221">
        <v>14.1439</v>
      </c>
      <c r="JT221">
        <v>100.297</v>
      </c>
      <c r="JU221">
        <v>100.227</v>
      </c>
    </row>
    <row r="222" spans="1:281">
      <c r="A222">
        <v>206</v>
      </c>
      <c r="B222">
        <v>1651864809.1</v>
      </c>
      <c r="C222">
        <v>588.5</v>
      </c>
      <c r="D222" t="s">
        <v>832</v>
      </c>
      <c r="E222" t="s">
        <v>833</v>
      </c>
      <c r="F222">
        <v>2</v>
      </c>
      <c r="G222" t="s">
        <v>413</v>
      </c>
      <c r="H222" t="s">
        <v>414</v>
      </c>
      <c r="I222">
        <v>1651864808.1</v>
      </c>
      <c r="J222">
        <f>(K222)/1000</f>
        <v>0</v>
      </c>
      <c r="K222">
        <f>IF(CZ222, AN222, AH222)</f>
        <v>0</v>
      </c>
      <c r="L222">
        <f>IF(CZ222, AI222, AG222)</f>
        <v>0</v>
      </c>
      <c r="M222">
        <f>DB222 - IF(AU222&gt;1, L222*CV222*100.0/(AW222*DP222), 0)</f>
        <v>0</v>
      </c>
      <c r="N222">
        <f>((T222-J222/2)*M222-L222)/(T222+J222/2)</f>
        <v>0</v>
      </c>
      <c r="O222">
        <f>N222*(DI222+DJ222)/1000.0</f>
        <v>0</v>
      </c>
      <c r="P222">
        <f>(DB222 - IF(AU222&gt;1, L222*CV222*100.0/(AW222*DP222), 0))*(DI222+DJ222)/1000.0</f>
        <v>0</v>
      </c>
      <c r="Q222">
        <f>2.0/((1/S222-1/R222)+SIGN(S222)*SQRT((1/S222-1/R222)*(1/S222-1/R222) + 4*CW222/((CW222+1)*(CW222+1))*(2*1/S222*1/R222-1/R222*1/R222)))</f>
        <v>0</v>
      </c>
      <c r="R222">
        <f>IF(LEFT(CX222,1)&lt;&gt;"0",IF(LEFT(CX222,1)="1",3.0,CY222),$D$5+$E$5*(DP222*DI222/($K$5*1000))+$F$5*(DP222*DI222/($K$5*1000))*MAX(MIN(CV222,$J$5),$I$5)*MAX(MIN(CV222,$J$5),$I$5)+$G$5*MAX(MIN(CV222,$J$5),$I$5)*(DP222*DI222/($K$5*1000))+$H$5*(DP222*DI222/($K$5*1000))*(DP222*DI222/($K$5*1000)))</f>
        <v>0</v>
      </c>
      <c r="S222">
        <f>J222*(1000-(1000*0.61365*exp(17.502*W222/(240.97+W222))/(DI222+DJ222)+DD222)/2)/(1000*0.61365*exp(17.502*W222/(240.97+W222))/(DI222+DJ222)-DD222)</f>
        <v>0</v>
      </c>
      <c r="T222">
        <f>1/((CW222+1)/(Q222/1.6)+1/(R222/1.37)) + CW222/((CW222+1)/(Q222/1.6) + CW222/(R222/1.37))</f>
        <v>0</v>
      </c>
      <c r="U222">
        <f>(CR222*CU222)</f>
        <v>0</v>
      </c>
      <c r="V222">
        <f>(DK222+(U222+2*0.95*5.67E-8*(((DK222+$B$7)+273)^4-(DK222+273)^4)-44100*J222)/(1.84*29.3*R222+8*0.95*5.67E-8*(DK222+273)^3))</f>
        <v>0</v>
      </c>
      <c r="W222">
        <f>($C$7*DL222+$D$7*DM222+$E$7*V222)</f>
        <v>0</v>
      </c>
      <c r="X222">
        <f>0.61365*exp(17.502*W222/(240.97+W222))</f>
        <v>0</v>
      </c>
      <c r="Y222">
        <f>(Z222/AA222*100)</f>
        <v>0</v>
      </c>
      <c r="Z222">
        <f>DD222*(DI222+DJ222)/1000</f>
        <v>0</v>
      </c>
      <c r="AA222">
        <f>0.61365*exp(17.502*DK222/(240.97+DK222))</f>
        <v>0</v>
      </c>
      <c r="AB222">
        <f>(X222-DD222*(DI222+DJ222)/1000)</f>
        <v>0</v>
      </c>
      <c r="AC222">
        <f>(-J222*44100)</f>
        <v>0</v>
      </c>
      <c r="AD222">
        <f>2*29.3*R222*0.92*(DK222-W222)</f>
        <v>0</v>
      </c>
      <c r="AE222">
        <f>2*0.95*5.67E-8*(((DK222+$B$7)+273)^4-(W222+273)^4)</f>
        <v>0</v>
      </c>
      <c r="AF222">
        <f>U222+AE222+AC222+AD222</f>
        <v>0</v>
      </c>
      <c r="AG222">
        <f>DH222*AU222*(DC222-DB222*(1000-AU222*DE222)/(1000-AU222*DD222))/(100*CV222)</f>
        <v>0</v>
      </c>
      <c r="AH222">
        <f>1000*DH222*AU222*(DD222-DE222)/(100*CV222*(1000-AU222*DD222))</f>
        <v>0</v>
      </c>
      <c r="AI222">
        <f>(AJ222 - AK222 - DI222*1E3/(8.314*(DK222+273.15)) * AM222/DH222 * AL222) * DH222/(100*CV222) * (1000 - DE222)/1000</f>
        <v>0</v>
      </c>
      <c r="AJ222">
        <v>282.0140490420399</v>
      </c>
      <c r="AK222">
        <v>282.6426242424242</v>
      </c>
      <c r="AL222">
        <v>-3.158738849188992</v>
      </c>
      <c r="AM222">
        <v>66.38192812717227</v>
      </c>
      <c r="AN222">
        <f>(AP222 - AO222 + DI222*1E3/(8.314*(DK222+273.15)) * AR222/DH222 * AQ222) * DH222/(100*CV222) * 1000/(1000 - AP222)</f>
        <v>0</v>
      </c>
      <c r="AO222">
        <v>14.13661260239266</v>
      </c>
      <c r="AP222">
        <v>18.35189735294117</v>
      </c>
      <c r="AQ222">
        <v>-1.022543602636834E-05</v>
      </c>
      <c r="AR222">
        <v>80.47224507511959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MAX(0,($B$13+$C$13*DP222)/(1+$D$13*DP222)*DI222/(DK222+273)*$E$13)</f>
        <v>0</v>
      </c>
      <c r="AX222" t="s">
        <v>417</v>
      </c>
      <c r="AY222" t="s">
        <v>417</v>
      </c>
      <c r="AZ222">
        <v>0</v>
      </c>
      <c r="BA222">
        <v>0</v>
      </c>
      <c r="BB222">
        <f>1-AZ222/BA222</f>
        <v>0</v>
      </c>
      <c r="BC222">
        <v>0</v>
      </c>
      <c r="BD222" t="s">
        <v>417</v>
      </c>
      <c r="BE222" t="s">
        <v>417</v>
      </c>
      <c r="BF222">
        <v>0</v>
      </c>
      <c r="BG222">
        <v>0</v>
      </c>
      <c r="BH222">
        <f>1-BF222/BG222</f>
        <v>0</v>
      </c>
      <c r="BI222">
        <v>0.5</v>
      </c>
      <c r="BJ222">
        <f>CS222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417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BZ222">
        <v>1248</v>
      </c>
      <c r="CA222">
        <v>300</v>
      </c>
      <c r="CB222">
        <v>300</v>
      </c>
      <c r="CC222">
        <v>300</v>
      </c>
      <c r="CD222">
        <v>10442</v>
      </c>
      <c r="CE222">
        <v>1293.69</v>
      </c>
      <c r="CF222">
        <v>-0.00735246</v>
      </c>
      <c r="CG222">
        <v>0.5</v>
      </c>
      <c r="CH222" t="s">
        <v>417</v>
      </c>
      <c r="CI222" t="s">
        <v>417</v>
      </c>
      <c r="CJ222" t="s">
        <v>417</v>
      </c>
      <c r="CK222" t="s">
        <v>417</v>
      </c>
      <c r="CL222" t="s">
        <v>417</v>
      </c>
      <c r="CM222" t="s">
        <v>417</v>
      </c>
      <c r="CN222" t="s">
        <v>417</v>
      </c>
      <c r="CO222" t="s">
        <v>417</v>
      </c>
      <c r="CP222" t="s">
        <v>417</v>
      </c>
      <c r="CQ222" t="s">
        <v>417</v>
      </c>
      <c r="CR222">
        <f>$B$11*DQ222+$C$11*DR222+$F$11*EC222*(1-EF222)</f>
        <v>0</v>
      </c>
      <c r="CS222">
        <f>CR222*CT222</f>
        <v>0</v>
      </c>
      <c r="CT222">
        <f>($B$11*$D$9+$C$11*$D$9+$F$11*((EP222+EH222)/MAX(EP222+EH222+EQ222, 0.1)*$I$9+EQ222/MAX(EP222+EH222+EQ222, 0.1)*$J$9))/($B$11+$C$11+$F$11)</f>
        <v>0</v>
      </c>
      <c r="CU222">
        <f>($B$11*$K$9+$C$11*$K$9+$F$11*((EP222+EH222)/MAX(EP222+EH222+EQ222, 0.1)*$P$9+EQ222/MAX(EP222+EH222+EQ222, 0.1)*$Q$9))/($B$11+$C$11+$F$11)</f>
        <v>0</v>
      </c>
      <c r="CV222">
        <v>6</v>
      </c>
      <c r="CW222">
        <v>0.5</v>
      </c>
      <c r="CX222" t="s">
        <v>418</v>
      </c>
      <c r="CY222">
        <v>2</v>
      </c>
      <c r="CZ222" t="b">
        <v>1</v>
      </c>
      <c r="DA222">
        <v>1651864808.1</v>
      </c>
      <c r="DB222">
        <v>279.0073333333333</v>
      </c>
      <c r="DC222">
        <v>272.2236666666667</v>
      </c>
      <c r="DD222">
        <v>18.3519</v>
      </c>
      <c r="DE222">
        <v>14.13573333333333</v>
      </c>
      <c r="DF222">
        <v>279.773</v>
      </c>
      <c r="DG222">
        <v>18.33146666666667</v>
      </c>
      <c r="DH222">
        <v>500.0223333333333</v>
      </c>
      <c r="DI222">
        <v>89.9303</v>
      </c>
      <c r="DJ222">
        <v>0.09992763333333332</v>
      </c>
      <c r="DK222">
        <v>25.63506666666667</v>
      </c>
      <c r="DL222">
        <v>25.00376666666666</v>
      </c>
      <c r="DM222">
        <v>999.9</v>
      </c>
      <c r="DN222">
        <v>0</v>
      </c>
      <c r="DO222">
        <v>0</v>
      </c>
      <c r="DP222">
        <v>10000.40666666667</v>
      </c>
      <c r="DQ222">
        <v>0</v>
      </c>
      <c r="DR222">
        <v>3.23193</v>
      </c>
      <c r="DS222">
        <v>6.783526666666667</v>
      </c>
      <c r="DT222">
        <v>284.2233333333333</v>
      </c>
      <c r="DU222">
        <v>276.127</v>
      </c>
      <c r="DV222">
        <v>4.216146666666666</v>
      </c>
      <c r="DW222">
        <v>272.2236666666667</v>
      </c>
      <c r="DX222">
        <v>14.13573333333333</v>
      </c>
      <c r="DY222">
        <v>1.650393333333333</v>
      </c>
      <c r="DZ222">
        <v>1.271233333333333</v>
      </c>
      <c r="EA222">
        <v>14.43756666666667</v>
      </c>
      <c r="EB222">
        <v>10.46296666666667</v>
      </c>
      <c r="EC222">
        <v>1500.06</v>
      </c>
      <c r="ED222">
        <v>0.972997</v>
      </c>
      <c r="EE222">
        <v>0.02700303333333333</v>
      </c>
      <c r="EF222">
        <v>0</v>
      </c>
      <c r="EG222">
        <v>834.6993333333334</v>
      </c>
      <c r="EH222">
        <v>5.00097</v>
      </c>
      <c r="EI222">
        <v>12400.3</v>
      </c>
      <c r="EJ222">
        <v>12492.1</v>
      </c>
      <c r="EK222">
        <v>37.25</v>
      </c>
      <c r="EL222">
        <v>38.687</v>
      </c>
      <c r="EM222">
        <v>37.625</v>
      </c>
      <c r="EN222">
        <v>38.375</v>
      </c>
      <c r="EO222">
        <v>38.125</v>
      </c>
      <c r="EP222">
        <v>1454.69</v>
      </c>
      <c r="EQ222">
        <v>40.37</v>
      </c>
      <c r="ER222">
        <v>0</v>
      </c>
      <c r="ES222">
        <v>588</v>
      </c>
      <c r="ET222">
        <v>0</v>
      </c>
      <c r="EU222">
        <v>836.3730384615385</v>
      </c>
      <c r="EV222">
        <v>-16.4198632562046</v>
      </c>
      <c r="EW222">
        <v>-248.1094020004829</v>
      </c>
      <c r="EX222">
        <v>12425.56923076923</v>
      </c>
      <c r="EY222">
        <v>15</v>
      </c>
      <c r="EZ222">
        <v>1651864261.1</v>
      </c>
      <c r="FA222" t="s">
        <v>419</v>
      </c>
      <c r="FB222">
        <v>1651864241.6</v>
      </c>
      <c r="FC222">
        <v>1651864261.1</v>
      </c>
      <c r="FD222">
        <v>7</v>
      </c>
      <c r="FE222">
        <v>0.438</v>
      </c>
      <c r="FF222">
        <v>0.002</v>
      </c>
      <c r="FG222">
        <v>-0.988</v>
      </c>
      <c r="FH222">
        <v>-0.066</v>
      </c>
      <c r="FI222">
        <v>400</v>
      </c>
      <c r="FJ222">
        <v>11</v>
      </c>
      <c r="FK222">
        <v>0.05</v>
      </c>
      <c r="FL222">
        <v>0.02</v>
      </c>
      <c r="FM222">
        <v>4.850669756097561</v>
      </c>
      <c r="FN222">
        <v>11.28658243902439</v>
      </c>
      <c r="FO222">
        <v>1.113788185015638</v>
      </c>
      <c r="FP222">
        <v>-1</v>
      </c>
      <c r="FQ222">
        <v>4.215530731707317</v>
      </c>
      <c r="FR222">
        <v>0.002376167247390027</v>
      </c>
      <c r="FS222">
        <v>0.0009222067654614701</v>
      </c>
      <c r="FT222">
        <v>-1</v>
      </c>
      <c r="FU222">
        <v>0</v>
      </c>
      <c r="FV222">
        <v>0</v>
      </c>
      <c r="FW222">
        <v>0</v>
      </c>
      <c r="FX222">
        <v>-1</v>
      </c>
      <c r="FY222">
        <v>0</v>
      </c>
      <c r="FZ222">
        <v>0</v>
      </c>
      <c r="GA222" t="s">
        <v>420</v>
      </c>
      <c r="GB222">
        <v>2.98055</v>
      </c>
      <c r="GC222">
        <v>2.70594</v>
      </c>
      <c r="GD222">
        <v>0.0669163</v>
      </c>
      <c r="GE222">
        <v>0.0647138</v>
      </c>
      <c r="GF222">
        <v>0.0876542</v>
      </c>
      <c r="GG222">
        <v>0.07162060000000001</v>
      </c>
      <c r="GH222">
        <v>29444.8</v>
      </c>
      <c r="GI222">
        <v>29580.5</v>
      </c>
      <c r="GJ222">
        <v>29342.1</v>
      </c>
      <c r="GK222">
        <v>29257.8</v>
      </c>
      <c r="GL222">
        <v>35446.3</v>
      </c>
      <c r="GM222">
        <v>36175.4</v>
      </c>
      <c r="GN222">
        <v>41299.8</v>
      </c>
      <c r="GO222">
        <v>41760.6</v>
      </c>
      <c r="GP222">
        <v>1.95515</v>
      </c>
      <c r="GQ222">
        <v>1.84923</v>
      </c>
      <c r="GR222">
        <v>-0.0204556</v>
      </c>
      <c r="GS222">
        <v>0</v>
      </c>
      <c r="GT222">
        <v>25.3391</v>
      </c>
      <c r="GU222">
        <v>999.9</v>
      </c>
      <c r="GV222">
        <v>31.5</v>
      </c>
      <c r="GW222">
        <v>34.3</v>
      </c>
      <c r="GX222">
        <v>19.0292</v>
      </c>
      <c r="GY222">
        <v>62.7475</v>
      </c>
      <c r="GZ222">
        <v>34.7877</v>
      </c>
      <c r="HA222">
        <v>1</v>
      </c>
      <c r="HB222">
        <v>0.108082</v>
      </c>
      <c r="HC222">
        <v>2.31197</v>
      </c>
      <c r="HD222">
        <v>20.3182</v>
      </c>
      <c r="HE222">
        <v>5.21519</v>
      </c>
      <c r="HF222">
        <v>12.0099</v>
      </c>
      <c r="HG222">
        <v>4.98875</v>
      </c>
      <c r="HH222">
        <v>3.28848</v>
      </c>
      <c r="HI222">
        <v>1000</v>
      </c>
      <c r="HJ222">
        <v>9556.1</v>
      </c>
      <c r="HK222">
        <v>5139.4</v>
      </c>
      <c r="HL222">
        <v>24.9</v>
      </c>
      <c r="HM222">
        <v>1.86752</v>
      </c>
      <c r="HN222">
        <v>1.86646</v>
      </c>
      <c r="HO222">
        <v>1.866</v>
      </c>
      <c r="HP222">
        <v>1.86587</v>
      </c>
      <c r="HQ222">
        <v>1.8677</v>
      </c>
      <c r="HR222">
        <v>1.87025</v>
      </c>
      <c r="HS222">
        <v>1.86889</v>
      </c>
      <c r="HT222">
        <v>1.87026</v>
      </c>
      <c r="HU222">
        <v>0</v>
      </c>
      <c r="HV222">
        <v>0</v>
      </c>
      <c r="HW222">
        <v>0</v>
      </c>
      <c r="HX222">
        <v>0</v>
      </c>
      <c r="HY222" t="s">
        <v>421</v>
      </c>
      <c r="HZ222" t="s">
        <v>422</v>
      </c>
      <c r="IA222" t="s">
        <v>423</v>
      </c>
      <c r="IB222" t="s">
        <v>423</v>
      </c>
      <c r="IC222" t="s">
        <v>423</v>
      </c>
      <c r="ID222" t="s">
        <v>423</v>
      </c>
      <c r="IE222">
        <v>0</v>
      </c>
      <c r="IF222">
        <v>100</v>
      </c>
      <c r="IG222">
        <v>100</v>
      </c>
      <c r="IH222">
        <v>-0.76</v>
      </c>
      <c r="II222">
        <v>0.0204</v>
      </c>
      <c r="IJ222">
        <v>-0.2164499368582429</v>
      </c>
      <c r="IK222">
        <v>-0.002077099775823331</v>
      </c>
      <c r="IL222">
        <v>4.593143279902166E-07</v>
      </c>
      <c r="IM222">
        <v>-1.865383991892071E-10</v>
      </c>
      <c r="IN222">
        <v>-0.06087574426827484</v>
      </c>
      <c r="IO222">
        <v>-0.01129461987421345</v>
      </c>
      <c r="IP222">
        <v>0.00116580895745559</v>
      </c>
      <c r="IQ222">
        <v>-1.679085872906199E-05</v>
      </c>
      <c r="IR222">
        <v>2</v>
      </c>
      <c r="IS222">
        <v>2290</v>
      </c>
      <c r="IT222">
        <v>0</v>
      </c>
      <c r="IU222">
        <v>32</v>
      </c>
      <c r="IV222">
        <v>9.5</v>
      </c>
      <c r="IW222">
        <v>9.1</v>
      </c>
      <c r="IX222">
        <v>0.703125</v>
      </c>
      <c r="IY222">
        <v>2.24609</v>
      </c>
      <c r="IZ222">
        <v>1.39648</v>
      </c>
      <c r="JA222">
        <v>2.35474</v>
      </c>
      <c r="JB222">
        <v>1.49536</v>
      </c>
      <c r="JC222">
        <v>2.35474</v>
      </c>
      <c r="JD222">
        <v>38.5014</v>
      </c>
      <c r="JE222">
        <v>24.035</v>
      </c>
      <c r="JF222">
        <v>18</v>
      </c>
      <c r="JG222">
        <v>511.045</v>
      </c>
      <c r="JH222">
        <v>428.487</v>
      </c>
      <c r="JI222">
        <v>22.2024</v>
      </c>
      <c r="JJ222">
        <v>28.6928</v>
      </c>
      <c r="JK222">
        <v>30.0001</v>
      </c>
      <c r="JL222">
        <v>28.6569</v>
      </c>
      <c r="JM222">
        <v>28.592</v>
      </c>
      <c r="JN222">
        <v>14.0246</v>
      </c>
      <c r="JO222">
        <v>26.5129</v>
      </c>
      <c r="JP222">
        <v>0</v>
      </c>
      <c r="JQ222">
        <v>22.1965</v>
      </c>
      <c r="JR222">
        <v>246.257</v>
      </c>
      <c r="JS222">
        <v>14.1459</v>
      </c>
      <c r="JT222">
        <v>100.297</v>
      </c>
      <c r="JU222">
        <v>100.228</v>
      </c>
    </row>
    <row r="223" spans="1:281">
      <c r="A223">
        <v>207</v>
      </c>
      <c r="B223">
        <v>1651864811.1</v>
      </c>
      <c r="C223">
        <v>590.5</v>
      </c>
      <c r="D223" t="s">
        <v>834</v>
      </c>
      <c r="E223" t="s">
        <v>835</v>
      </c>
      <c r="F223">
        <v>2</v>
      </c>
      <c r="G223" t="s">
        <v>413</v>
      </c>
      <c r="H223" t="s">
        <v>414</v>
      </c>
      <c r="I223">
        <v>1651864809.725</v>
      </c>
      <c r="J223">
        <f>(K223)/1000</f>
        <v>0</v>
      </c>
      <c r="K223">
        <f>IF(CZ223, AN223, AH223)</f>
        <v>0</v>
      </c>
      <c r="L223">
        <f>IF(CZ223, AI223, AG223)</f>
        <v>0</v>
      </c>
      <c r="M223">
        <f>DB223 - IF(AU223&gt;1, L223*CV223*100.0/(AW223*DP223), 0)</f>
        <v>0</v>
      </c>
      <c r="N223">
        <f>((T223-J223/2)*M223-L223)/(T223+J223/2)</f>
        <v>0</v>
      </c>
      <c r="O223">
        <f>N223*(DI223+DJ223)/1000.0</f>
        <v>0</v>
      </c>
      <c r="P223">
        <f>(DB223 - IF(AU223&gt;1, L223*CV223*100.0/(AW223*DP223), 0))*(DI223+DJ223)/1000.0</f>
        <v>0</v>
      </c>
      <c r="Q223">
        <f>2.0/((1/S223-1/R223)+SIGN(S223)*SQRT((1/S223-1/R223)*(1/S223-1/R223) + 4*CW223/((CW223+1)*(CW223+1))*(2*1/S223*1/R223-1/R223*1/R223)))</f>
        <v>0</v>
      </c>
      <c r="R223">
        <f>IF(LEFT(CX223,1)&lt;&gt;"0",IF(LEFT(CX223,1)="1",3.0,CY223),$D$5+$E$5*(DP223*DI223/($K$5*1000))+$F$5*(DP223*DI223/($K$5*1000))*MAX(MIN(CV223,$J$5),$I$5)*MAX(MIN(CV223,$J$5),$I$5)+$G$5*MAX(MIN(CV223,$J$5),$I$5)*(DP223*DI223/($K$5*1000))+$H$5*(DP223*DI223/($K$5*1000))*(DP223*DI223/($K$5*1000)))</f>
        <v>0</v>
      </c>
      <c r="S223">
        <f>J223*(1000-(1000*0.61365*exp(17.502*W223/(240.97+W223))/(DI223+DJ223)+DD223)/2)/(1000*0.61365*exp(17.502*W223/(240.97+W223))/(DI223+DJ223)-DD223)</f>
        <v>0</v>
      </c>
      <c r="T223">
        <f>1/((CW223+1)/(Q223/1.6)+1/(R223/1.37)) + CW223/((CW223+1)/(Q223/1.6) + CW223/(R223/1.37))</f>
        <v>0</v>
      </c>
      <c r="U223">
        <f>(CR223*CU223)</f>
        <v>0</v>
      </c>
      <c r="V223">
        <f>(DK223+(U223+2*0.95*5.67E-8*(((DK223+$B$7)+273)^4-(DK223+273)^4)-44100*J223)/(1.84*29.3*R223+8*0.95*5.67E-8*(DK223+273)^3))</f>
        <v>0</v>
      </c>
      <c r="W223">
        <f>($C$7*DL223+$D$7*DM223+$E$7*V223)</f>
        <v>0</v>
      </c>
      <c r="X223">
        <f>0.61365*exp(17.502*W223/(240.97+W223))</f>
        <v>0</v>
      </c>
      <c r="Y223">
        <f>(Z223/AA223*100)</f>
        <v>0</v>
      </c>
      <c r="Z223">
        <f>DD223*(DI223+DJ223)/1000</f>
        <v>0</v>
      </c>
      <c r="AA223">
        <f>0.61365*exp(17.502*DK223/(240.97+DK223))</f>
        <v>0</v>
      </c>
      <c r="AB223">
        <f>(X223-DD223*(DI223+DJ223)/1000)</f>
        <v>0</v>
      </c>
      <c r="AC223">
        <f>(-J223*44100)</f>
        <v>0</v>
      </c>
      <c r="AD223">
        <f>2*29.3*R223*0.92*(DK223-W223)</f>
        <v>0</v>
      </c>
      <c r="AE223">
        <f>2*0.95*5.67E-8*(((DK223+$B$7)+273)^4-(W223+273)^4)</f>
        <v>0</v>
      </c>
      <c r="AF223">
        <f>U223+AE223+AC223+AD223</f>
        <v>0</v>
      </c>
      <c r="AG223">
        <f>DH223*AU223*(DC223-DB223*(1000-AU223*DE223)/(1000-AU223*DD223))/(100*CV223)</f>
        <v>0</v>
      </c>
      <c r="AH223">
        <f>1000*DH223*AU223*(DD223-DE223)/(100*CV223*(1000-AU223*DD223))</f>
        <v>0</v>
      </c>
      <c r="AI223">
        <f>(AJ223 - AK223 - DI223*1E3/(8.314*(DK223+273.15)) * AM223/DH223 * AL223) * DH223/(100*CV223) * (1000 - DE223)/1000</f>
        <v>0</v>
      </c>
      <c r="AJ223">
        <v>275.3521684760763</v>
      </c>
      <c r="AK223">
        <v>276.2835515151514</v>
      </c>
      <c r="AL223">
        <v>-3.172190122759799</v>
      </c>
      <c r="AM223">
        <v>66.38192812717227</v>
      </c>
      <c r="AN223">
        <f>(AP223 - AO223 + DI223*1E3/(8.314*(DK223+273.15)) * AR223/DH223 * AQ223) * DH223/(100*CV223) * 1000/(1000 - AP223)</f>
        <v>0</v>
      </c>
      <c r="AO223">
        <v>14.13632118308585</v>
      </c>
      <c r="AP223">
        <v>18.35151117647059</v>
      </c>
      <c r="AQ223">
        <v>-1.572771602014142E-05</v>
      </c>
      <c r="AR223">
        <v>80.47224507511959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MAX(0,($B$13+$C$13*DP223)/(1+$D$13*DP223)*DI223/(DK223+273)*$E$13)</f>
        <v>0</v>
      </c>
      <c r="AX223" t="s">
        <v>417</v>
      </c>
      <c r="AY223" t="s">
        <v>417</v>
      </c>
      <c r="AZ223">
        <v>0</v>
      </c>
      <c r="BA223">
        <v>0</v>
      </c>
      <c r="BB223">
        <f>1-AZ223/BA223</f>
        <v>0</v>
      </c>
      <c r="BC223">
        <v>0</v>
      </c>
      <c r="BD223" t="s">
        <v>417</v>
      </c>
      <c r="BE223" t="s">
        <v>417</v>
      </c>
      <c r="BF223">
        <v>0</v>
      </c>
      <c r="BG223">
        <v>0</v>
      </c>
      <c r="BH223">
        <f>1-BF223/BG223</f>
        <v>0</v>
      </c>
      <c r="BI223">
        <v>0.5</v>
      </c>
      <c r="BJ223">
        <f>CS223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417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BZ223">
        <v>1248</v>
      </c>
      <c r="CA223">
        <v>300</v>
      </c>
      <c r="CB223">
        <v>300</v>
      </c>
      <c r="CC223">
        <v>300</v>
      </c>
      <c r="CD223">
        <v>10442</v>
      </c>
      <c r="CE223">
        <v>1293.69</v>
      </c>
      <c r="CF223">
        <v>-0.00735246</v>
      </c>
      <c r="CG223">
        <v>0.5</v>
      </c>
      <c r="CH223" t="s">
        <v>417</v>
      </c>
      <c r="CI223" t="s">
        <v>417</v>
      </c>
      <c r="CJ223" t="s">
        <v>417</v>
      </c>
      <c r="CK223" t="s">
        <v>417</v>
      </c>
      <c r="CL223" t="s">
        <v>417</v>
      </c>
      <c r="CM223" t="s">
        <v>417</v>
      </c>
      <c r="CN223" t="s">
        <v>417</v>
      </c>
      <c r="CO223" t="s">
        <v>417</v>
      </c>
      <c r="CP223" t="s">
        <v>417</v>
      </c>
      <c r="CQ223" t="s">
        <v>417</v>
      </c>
      <c r="CR223">
        <f>$B$11*DQ223+$C$11*DR223+$F$11*EC223*(1-EF223)</f>
        <v>0</v>
      </c>
      <c r="CS223">
        <f>CR223*CT223</f>
        <v>0</v>
      </c>
      <c r="CT223">
        <f>($B$11*$D$9+$C$11*$D$9+$F$11*((EP223+EH223)/MAX(EP223+EH223+EQ223, 0.1)*$I$9+EQ223/MAX(EP223+EH223+EQ223, 0.1)*$J$9))/($B$11+$C$11+$F$11)</f>
        <v>0</v>
      </c>
      <c r="CU223">
        <f>($B$11*$K$9+$C$11*$K$9+$F$11*((EP223+EH223)/MAX(EP223+EH223+EQ223, 0.1)*$P$9+EQ223/MAX(EP223+EH223+EQ223, 0.1)*$Q$9))/($B$11+$C$11+$F$11)</f>
        <v>0</v>
      </c>
      <c r="CV223">
        <v>6</v>
      </c>
      <c r="CW223">
        <v>0.5</v>
      </c>
      <c r="CX223" t="s">
        <v>418</v>
      </c>
      <c r="CY223">
        <v>2</v>
      </c>
      <c r="CZ223" t="b">
        <v>1</v>
      </c>
      <c r="DA223">
        <v>1651864809.725</v>
      </c>
      <c r="DB223">
        <v>273.9425</v>
      </c>
      <c r="DC223">
        <v>266.83525</v>
      </c>
      <c r="DD223">
        <v>18.351725</v>
      </c>
      <c r="DE223">
        <v>14.13515</v>
      </c>
      <c r="DF223">
        <v>274.699</v>
      </c>
      <c r="DG223">
        <v>18.331325</v>
      </c>
      <c r="DH223">
        <v>500.03625</v>
      </c>
      <c r="DI223">
        <v>89.931325</v>
      </c>
      <c r="DJ223">
        <v>0.1000304</v>
      </c>
      <c r="DK223">
        <v>25.63515</v>
      </c>
      <c r="DL223">
        <v>25.002125</v>
      </c>
      <c r="DM223">
        <v>999.9</v>
      </c>
      <c r="DN223">
        <v>0</v>
      </c>
      <c r="DO223">
        <v>0</v>
      </c>
      <c r="DP223">
        <v>9981.715</v>
      </c>
      <c r="DQ223">
        <v>0</v>
      </c>
      <c r="DR223">
        <v>3.23193</v>
      </c>
      <c r="DS223">
        <v>7.1074425</v>
      </c>
      <c r="DT223">
        <v>279.06375</v>
      </c>
      <c r="DU223">
        <v>270.661</v>
      </c>
      <c r="DV223">
        <v>4.2165625</v>
      </c>
      <c r="DW223">
        <v>266.83525</v>
      </c>
      <c r="DX223">
        <v>14.13515</v>
      </c>
      <c r="DY223">
        <v>1.6503925</v>
      </c>
      <c r="DZ223">
        <v>1.271195</v>
      </c>
      <c r="EA223">
        <v>14.437575</v>
      </c>
      <c r="EB223">
        <v>10.462525</v>
      </c>
      <c r="EC223">
        <v>1500.0025</v>
      </c>
      <c r="ED223">
        <v>0.9730044999999999</v>
      </c>
      <c r="EE223">
        <v>0.026995475</v>
      </c>
      <c r="EF223">
        <v>0</v>
      </c>
      <c r="EG223">
        <v>834.3087499999999</v>
      </c>
      <c r="EH223">
        <v>5.00097</v>
      </c>
      <c r="EI223">
        <v>12394.025</v>
      </c>
      <c r="EJ223">
        <v>12491.6</v>
      </c>
      <c r="EK223">
        <v>37.25</v>
      </c>
      <c r="EL223">
        <v>38.687</v>
      </c>
      <c r="EM223">
        <v>37.625</v>
      </c>
      <c r="EN223">
        <v>38.375</v>
      </c>
      <c r="EO223">
        <v>38.125</v>
      </c>
      <c r="EP223">
        <v>1454.645</v>
      </c>
      <c r="EQ223">
        <v>40.3575</v>
      </c>
      <c r="ER223">
        <v>0</v>
      </c>
      <c r="ES223">
        <v>589.7999999523163</v>
      </c>
      <c r="ET223">
        <v>0</v>
      </c>
      <c r="EU223">
        <v>835.76788</v>
      </c>
      <c r="EV223">
        <v>-15.6814615687167</v>
      </c>
      <c r="EW223">
        <v>-239.0230773651252</v>
      </c>
      <c r="EX223">
        <v>12416.952</v>
      </c>
      <c r="EY223">
        <v>15</v>
      </c>
      <c r="EZ223">
        <v>1651864261.1</v>
      </c>
      <c r="FA223" t="s">
        <v>419</v>
      </c>
      <c r="FB223">
        <v>1651864241.6</v>
      </c>
      <c r="FC223">
        <v>1651864261.1</v>
      </c>
      <c r="FD223">
        <v>7</v>
      </c>
      <c r="FE223">
        <v>0.438</v>
      </c>
      <c r="FF223">
        <v>0.002</v>
      </c>
      <c r="FG223">
        <v>-0.988</v>
      </c>
      <c r="FH223">
        <v>-0.066</v>
      </c>
      <c r="FI223">
        <v>400</v>
      </c>
      <c r="FJ223">
        <v>11</v>
      </c>
      <c r="FK223">
        <v>0.05</v>
      </c>
      <c r="FL223">
        <v>0.02</v>
      </c>
      <c r="FM223">
        <v>5.3642805</v>
      </c>
      <c r="FN223">
        <v>11.2210192120075</v>
      </c>
      <c r="FO223">
        <v>1.080401279108716</v>
      </c>
      <c r="FP223">
        <v>-1</v>
      </c>
      <c r="FQ223">
        <v>4.21564325</v>
      </c>
      <c r="FR223">
        <v>0.002681088180117727</v>
      </c>
      <c r="FS223">
        <v>0.0008989504644305729</v>
      </c>
      <c r="FT223">
        <v>-1</v>
      </c>
      <c r="FU223">
        <v>0</v>
      </c>
      <c r="FV223">
        <v>0</v>
      </c>
      <c r="FW223">
        <v>0</v>
      </c>
      <c r="FX223">
        <v>-1</v>
      </c>
      <c r="FY223">
        <v>0</v>
      </c>
      <c r="FZ223">
        <v>0</v>
      </c>
      <c r="GA223" t="s">
        <v>420</v>
      </c>
      <c r="GB223">
        <v>2.98065</v>
      </c>
      <c r="GC223">
        <v>2.70594</v>
      </c>
      <c r="GD223">
        <v>0.0656499</v>
      </c>
      <c r="GE223">
        <v>0.06336509999999999</v>
      </c>
      <c r="GF223">
        <v>0.0876649</v>
      </c>
      <c r="GG223">
        <v>0.0716198</v>
      </c>
      <c r="GH223">
        <v>29485.1</v>
      </c>
      <c r="GI223">
        <v>29623.1</v>
      </c>
      <c r="GJ223">
        <v>29342.4</v>
      </c>
      <c r="GK223">
        <v>29257.7</v>
      </c>
      <c r="GL223">
        <v>35446.4</v>
      </c>
      <c r="GM223">
        <v>36175.3</v>
      </c>
      <c r="GN223">
        <v>41300.4</v>
      </c>
      <c r="GO223">
        <v>41760.5</v>
      </c>
      <c r="GP223">
        <v>1.9552</v>
      </c>
      <c r="GQ223">
        <v>1.849</v>
      </c>
      <c r="GR223">
        <v>-0.0207536</v>
      </c>
      <c r="GS223">
        <v>0</v>
      </c>
      <c r="GT223">
        <v>25.3381</v>
      </c>
      <c r="GU223">
        <v>999.9</v>
      </c>
      <c r="GV223">
        <v>31.5</v>
      </c>
      <c r="GW223">
        <v>34.3</v>
      </c>
      <c r="GX223">
        <v>19.0301</v>
      </c>
      <c r="GY223">
        <v>62.1275</v>
      </c>
      <c r="GZ223">
        <v>35.0801</v>
      </c>
      <c r="HA223">
        <v>1</v>
      </c>
      <c r="HB223">
        <v>0.108112</v>
      </c>
      <c r="HC223">
        <v>2.3359</v>
      </c>
      <c r="HD223">
        <v>20.3178</v>
      </c>
      <c r="HE223">
        <v>5.21549</v>
      </c>
      <c r="HF223">
        <v>12.0099</v>
      </c>
      <c r="HG223">
        <v>4.98885</v>
      </c>
      <c r="HH223">
        <v>3.28848</v>
      </c>
      <c r="HI223">
        <v>1000</v>
      </c>
      <c r="HJ223">
        <v>9556.1</v>
      </c>
      <c r="HK223">
        <v>5139.4</v>
      </c>
      <c r="HL223">
        <v>24.9</v>
      </c>
      <c r="HM223">
        <v>1.86752</v>
      </c>
      <c r="HN223">
        <v>1.86646</v>
      </c>
      <c r="HO223">
        <v>1.866</v>
      </c>
      <c r="HP223">
        <v>1.86587</v>
      </c>
      <c r="HQ223">
        <v>1.86768</v>
      </c>
      <c r="HR223">
        <v>1.87022</v>
      </c>
      <c r="HS223">
        <v>1.86889</v>
      </c>
      <c r="HT223">
        <v>1.87026</v>
      </c>
      <c r="HU223">
        <v>0</v>
      </c>
      <c r="HV223">
        <v>0</v>
      </c>
      <c r="HW223">
        <v>0</v>
      </c>
      <c r="HX223">
        <v>0</v>
      </c>
      <c r="HY223" t="s">
        <v>421</v>
      </c>
      <c r="HZ223" t="s">
        <v>422</v>
      </c>
      <c r="IA223" t="s">
        <v>423</v>
      </c>
      <c r="IB223" t="s">
        <v>423</v>
      </c>
      <c r="IC223" t="s">
        <v>423</v>
      </c>
      <c r="ID223" t="s">
        <v>423</v>
      </c>
      <c r="IE223">
        <v>0</v>
      </c>
      <c r="IF223">
        <v>100</v>
      </c>
      <c r="IG223">
        <v>100</v>
      </c>
      <c r="IH223">
        <v>-0.749</v>
      </c>
      <c r="II223">
        <v>0.0204</v>
      </c>
      <c r="IJ223">
        <v>-0.2164499368582429</v>
      </c>
      <c r="IK223">
        <v>-0.002077099775823331</v>
      </c>
      <c r="IL223">
        <v>4.593143279902166E-07</v>
      </c>
      <c r="IM223">
        <v>-1.865383991892071E-10</v>
      </c>
      <c r="IN223">
        <v>-0.06087574426827484</v>
      </c>
      <c r="IO223">
        <v>-0.01129461987421345</v>
      </c>
      <c r="IP223">
        <v>0.00116580895745559</v>
      </c>
      <c r="IQ223">
        <v>-1.679085872906199E-05</v>
      </c>
      <c r="IR223">
        <v>2</v>
      </c>
      <c r="IS223">
        <v>2290</v>
      </c>
      <c r="IT223">
        <v>0</v>
      </c>
      <c r="IU223">
        <v>32</v>
      </c>
      <c r="IV223">
        <v>9.5</v>
      </c>
      <c r="IW223">
        <v>9.199999999999999</v>
      </c>
      <c r="IX223">
        <v>0.688477</v>
      </c>
      <c r="IY223">
        <v>2.2522</v>
      </c>
      <c r="IZ223">
        <v>1.39648</v>
      </c>
      <c r="JA223">
        <v>2.35596</v>
      </c>
      <c r="JB223">
        <v>1.49536</v>
      </c>
      <c r="JC223">
        <v>2.30225</v>
      </c>
      <c r="JD223">
        <v>38.5014</v>
      </c>
      <c r="JE223">
        <v>24.0262</v>
      </c>
      <c r="JF223">
        <v>18</v>
      </c>
      <c r="JG223">
        <v>511.078</v>
      </c>
      <c r="JH223">
        <v>428.36</v>
      </c>
      <c r="JI223">
        <v>22.2034</v>
      </c>
      <c r="JJ223">
        <v>28.6928</v>
      </c>
      <c r="JK223">
        <v>30.0001</v>
      </c>
      <c r="JL223">
        <v>28.6569</v>
      </c>
      <c r="JM223">
        <v>28.5931</v>
      </c>
      <c r="JN223">
        <v>13.7413</v>
      </c>
      <c r="JO223">
        <v>26.5129</v>
      </c>
      <c r="JP223">
        <v>0</v>
      </c>
      <c r="JQ223">
        <v>22.1965</v>
      </c>
      <c r="JR223">
        <v>239.578</v>
      </c>
      <c r="JS223">
        <v>14.1407</v>
      </c>
      <c r="JT223">
        <v>100.298</v>
      </c>
      <c r="JU223">
        <v>100.228</v>
      </c>
    </row>
    <row r="224" spans="1:281">
      <c r="A224">
        <v>208</v>
      </c>
      <c r="B224">
        <v>1651864813.1</v>
      </c>
      <c r="C224">
        <v>592.5</v>
      </c>
      <c r="D224" t="s">
        <v>836</v>
      </c>
      <c r="E224" t="s">
        <v>837</v>
      </c>
      <c r="F224">
        <v>2</v>
      </c>
      <c r="G224" t="s">
        <v>413</v>
      </c>
      <c r="H224" t="s">
        <v>414</v>
      </c>
      <c r="I224">
        <v>1651864812.1</v>
      </c>
      <c r="J224">
        <f>(K224)/1000</f>
        <v>0</v>
      </c>
      <c r="K224">
        <f>IF(CZ224, AN224, AH224)</f>
        <v>0</v>
      </c>
      <c r="L224">
        <f>IF(CZ224, AI224, AG224)</f>
        <v>0</v>
      </c>
      <c r="M224">
        <f>DB224 - IF(AU224&gt;1, L224*CV224*100.0/(AW224*DP224), 0)</f>
        <v>0</v>
      </c>
      <c r="N224">
        <f>((T224-J224/2)*M224-L224)/(T224+J224/2)</f>
        <v>0</v>
      </c>
      <c r="O224">
        <f>N224*(DI224+DJ224)/1000.0</f>
        <v>0</v>
      </c>
      <c r="P224">
        <f>(DB224 - IF(AU224&gt;1, L224*CV224*100.0/(AW224*DP224), 0))*(DI224+DJ224)/1000.0</f>
        <v>0</v>
      </c>
      <c r="Q224">
        <f>2.0/((1/S224-1/R224)+SIGN(S224)*SQRT((1/S224-1/R224)*(1/S224-1/R224) + 4*CW224/((CW224+1)*(CW224+1))*(2*1/S224*1/R224-1/R224*1/R224)))</f>
        <v>0</v>
      </c>
      <c r="R224">
        <f>IF(LEFT(CX224,1)&lt;&gt;"0",IF(LEFT(CX224,1)="1",3.0,CY224),$D$5+$E$5*(DP224*DI224/($K$5*1000))+$F$5*(DP224*DI224/($K$5*1000))*MAX(MIN(CV224,$J$5),$I$5)*MAX(MIN(CV224,$J$5),$I$5)+$G$5*MAX(MIN(CV224,$J$5),$I$5)*(DP224*DI224/($K$5*1000))+$H$5*(DP224*DI224/($K$5*1000))*(DP224*DI224/($K$5*1000)))</f>
        <v>0</v>
      </c>
      <c r="S224">
        <f>J224*(1000-(1000*0.61365*exp(17.502*W224/(240.97+W224))/(DI224+DJ224)+DD224)/2)/(1000*0.61365*exp(17.502*W224/(240.97+W224))/(DI224+DJ224)-DD224)</f>
        <v>0</v>
      </c>
      <c r="T224">
        <f>1/((CW224+1)/(Q224/1.6)+1/(R224/1.37)) + CW224/((CW224+1)/(Q224/1.6) + CW224/(R224/1.37))</f>
        <v>0</v>
      </c>
      <c r="U224">
        <f>(CR224*CU224)</f>
        <v>0</v>
      </c>
      <c r="V224">
        <f>(DK224+(U224+2*0.95*5.67E-8*(((DK224+$B$7)+273)^4-(DK224+273)^4)-44100*J224)/(1.84*29.3*R224+8*0.95*5.67E-8*(DK224+273)^3))</f>
        <v>0</v>
      </c>
      <c r="W224">
        <f>($C$7*DL224+$D$7*DM224+$E$7*V224)</f>
        <v>0</v>
      </c>
      <c r="X224">
        <f>0.61365*exp(17.502*W224/(240.97+W224))</f>
        <v>0</v>
      </c>
      <c r="Y224">
        <f>(Z224/AA224*100)</f>
        <v>0</v>
      </c>
      <c r="Z224">
        <f>DD224*(DI224+DJ224)/1000</f>
        <v>0</v>
      </c>
      <c r="AA224">
        <f>0.61365*exp(17.502*DK224/(240.97+DK224))</f>
        <v>0</v>
      </c>
      <c r="AB224">
        <f>(X224-DD224*(DI224+DJ224)/1000)</f>
        <v>0</v>
      </c>
      <c r="AC224">
        <f>(-J224*44100)</f>
        <v>0</v>
      </c>
      <c r="AD224">
        <f>2*29.3*R224*0.92*(DK224-W224)</f>
        <v>0</v>
      </c>
      <c r="AE224">
        <f>2*0.95*5.67E-8*(((DK224+$B$7)+273)^4-(W224+273)^4)</f>
        <v>0</v>
      </c>
      <c r="AF224">
        <f>U224+AE224+AC224+AD224</f>
        <v>0</v>
      </c>
      <c r="AG224">
        <f>DH224*AU224*(DC224-DB224*(1000-AU224*DE224)/(1000-AU224*DD224))/(100*CV224)</f>
        <v>0</v>
      </c>
      <c r="AH224">
        <f>1000*DH224*AU224*(DD224-DE224)/(100*CV224*(1000-AU224*DD224))</f>
        <v>0</v>
      </c>
      <c r="AI224">
        <f>(AJ224 - AK224 - DI224*1E3/(8.314*(DK224+273.15)) * AM224/DH224 * AL224) * DH224/(100*CV224) * (1000 - DE224)/1000</f>
        <v>0</v>
      </c>
      <c r="AJ224">
        <v>268.6206163141888</v>
      </c>
      <c r="AK224">
        <v>269.977793939394</v>
      </c>
      <c r="AL224">
        <v>-3.161112662655491</v>
      </c>
      <c r="AM224">
        <v>66.38192812717227</v>
      </c>
      <c r="AN224">
        <f>(AP224 - AO224 + DI224*1E3/(8.314*(DK224+273.15)) * AR224/DH224 * AQ224) * DH224/(100*CV224) * 1000/(1000 - AP224)</f>
        <v>0</v>
      </c>
      <c r="AO224">
        <v>14.13553523206899</v>
      </c>
      <c r="AP224">
        <v>18.35522588235294</v>
      </c>
      <c r="AQ224">
        <v>-6.25118312620531E-05</v>
      </c>
      <c r="AR224">
        <v>80.47224507511959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MAX(0,($B$13+$C$13*DP224)/(1+$D$13*DP224)*DI224/(DK224+273)*$E$13)</f>
        <v>0</v>
      </c>
      <c r="AX224" t="s">
        <v>417</v>
      </c>
      <c r="AY224" t="s">
        <v>417</v>
      </c>
      <c r="AZ224">
        <v>0</v>
      </c>
      <c r="BA224">
        <v>0</v>
      </c>
      <c r="BB224">
        <f>1-AZ224/BA224</f>
        <v>0</v>
      </c>
      <c r="BC224">
        <v>0</v>
      </c>
      <c r="BD224" t="s">
        <v>417</v>
      </c>
      <c r="BE224" t="s">
        <v>417</v>
      </c>
      <c r="BF224">
        <v>0</v>
      </c>
      <c r="BG224">
        <v>0</v>
      </c>
      <c r="BH224">
        <f>1-BF224/BG224</f>
        <v>0</v>
      </c>
      <c r="BI224">
        <v>0.5</v>
      </c>
      <c r="BJ224">
        <f>CS224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417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BZ224">
        <v>1248</v>
      </c>
      <c r="CA224">
        <v>300</v>
      </c>
      <c r="CB224">
        <v>300</v>
      </c>
      <c r="CC224">
        <v>300</v>
      </c>
      <c r="CD224">
        <v>10442</v>
      </c>
      <c r="CE224">
        <v>1293.69</v>
      </c>
      <c r="CF224">
        <v>-0.00735246</v>
      </c>
      <c r="CG224">
        <v>0.5</v>
      </c>
      <c r="CH224" t="s">
        <v>417</v>
      </c>
      <c r="CI224" t="s">
        <v>417</v>
      </c>
      <c r="CJ224" t="s">
        <v>417</v>
      </c>
      <c r="CK224" t="s">
        <v>417</v>
      </c>
      <c r="CL224" t="s">
        <v>417</v>
      </c>
      <c r="CM224" t="s">
        <v>417</v>
      </c>
      <c r="CN224" t="s">
        <v>417</v>
      </c>
      <c r="CO224" t="s">
        <v>417</v>
      </c>
      <c r="CP224" t="s">
        <v>417</v>
      </c>
      <c r="CQ224" t="s">
        <v>417</v>
      </c>
      <c r="CR224">
        <f>$B$11*DQ224+$C$11*DR224+$F$11*EC224*(1-EF224)</f>
        <v>0</v>
      </c>
      <c r="CS224">
        <f>CR224*CT224</f>
        <v>0</v>
      </c>
      <c r="CT224">
        <f>($B$11*$D$9+$C$11*$D$9+$F$11*((EP224+EH224)/MAX(EP224+EH224+EQ224, 0.1)*$I$9+EQ224/MAX(EP224+EH224+EQ224, 0.1)*$J$9))/($B$11+$C$11+$F$11)</f>
        <v>0</v>
      </c>
      <c r="CU224">
        <f>($B$11*$K$9+$C$11*$K$9+$F$11*((EP224+EH224)/MAX(EP224+EH224+EQ224, 0.1)*$P$9+EQ224/MAX(EP224+EH224+EQ224, 0.1)*$Q$9))/($B$11+$C$11+$F$11)</f>
        <v>0</v>
      </c>
      <c r="CV224">
        <v>6</v>
      </c>
      <c r="CW224">
        <v>0.5</v>
      </c>
      <c r="CX224" t="s">
        <v>418</v>
      </c>
      <c r="CY224">
        <v>2</v>
      </c>
      <c r="CZ224" t="b">
        <v>1</v>
      </c>
      <c r="DA224">
        <v>1651864812.1</v>
      </c>
      <c r="DB224">
        <v>266.569</v>
      </c>
      <c r="DC224">
        <v>258.9403333333333</v>
      </c>
      <c r="DD224">
        <v>18.3546</v>
      </c>
      <c r="DE224">
        <v>14.13513333333333</v>
      </c>
      <c r="DF224">
        <v>267.3113333333334</v>
      </c>
      <c r="DG224">
        <v>18.33416666666666</v>
      </c>
      <c r="DH224">
        <v>500.017</v>
      </c>
      <c r="DI224">
        <v>89.93176666666666</v>
      </c>
      <c r="DJ224">
        <v>0.09996823333333332</v>
      </c>
      <c r="DK224">
        <v>25.6344</v>
      </c>
      <c r="DL224">
        <v>24.99713333333333</v>
      </c>
      <c r="DM224">
        <v>999.9</v>
      </c>
      <c r="DN224">
        <v>0</v>
      </c>
      <c r="DO224">
        <v>0</v>
      </c>
      <c r="DP224">
        <v>9991.25</v>
      </c>
      <c r="DQ224">
        <v>0</v>
      </c>
      <c r="DR224">
        <v>3.23193</v>
      </c>
      <c r="DS224">
        <v>7.62904</v>
      </c>
      <c r="DT224">
        <v>271.5533333333333</v>
      </c>
      <c r="DU224">
        <v>262.6526666666667</v>
      </c>
      <c r="DV224">
        <v>4.219476666666666</v>
      </c>
      <c r="DW224">
        <v>258.9403333333333</v>
      </c>
      <c r="DX224">
        <v>14.13513333333333</v>
      </c>
      <c r="DY224">
        <v>1.650663333333333</v>
      </c>
      <c r="DZ224">
        <v>1.271196666666667</v>
      </c>
      <c r="EA224">
        <v>14.44006666666667</v>
      </c>
      <c r="EB224">
        <v>10.46256666666667</v>
      </c>
      <c r="EC224">
        <v>1500.043333333333</v>
      </c>
      <c r="ED224">
        <v>0.973002</v>
      </c>
      <c r="EE224">
        <v>0.02699806666666666</v>
      </c>
      <c r="EF224">
        <v>0</v>
      </c>
      <c r="EG224">
        <v>833.5770000000001</v>
      </c>
      <c r="EH224">
        <v>5.00097</v>
      </c>
      <c r="EI224">
        <v>12386.23333333334</v>
      </c>
      <c r="EJ224">
        <v>12491.96666666667</v>
      </c>
      <c r="EK224">
        <v>37.25</v>
      </c>
      <c r="EL224">
        <v>38.687</v>
      </c>
      <c r="EM224">
        <v>37.625</v>
      </c>
      <c r="EN224">
        <v>38.375</v>
      </c>
      <c r="EO224">
        <v>38.104</v>
      </c>
      <c r="EP224">
        <v>1454.68</v>
      </c>
      <c r="EQ224">
        <v>40.36333333333334</v>
      </c>
      <c r="ER224">
        <v>0</v>
      </c>
      <c r="ES224">
        <v>592.2000000476837</v>
      </c>
      <c r="ET224">
        <v>0</v>
      </c>
      <c r="EU224">
        <v>835.17044</v>
      </c>
      <c r="EV224">
        <v>-14.76007690824812</v>
      </c>
      <c r="EW224">
        <v>-225.7846150429993</v>
      </c>
      <c r="EX224">
        <v>12407.776</v>
      </c>
      <c r="EY224">
        <v>15</v>
      </c>
      <c r="EZ224">
        <v>1651864261.1</v>
      </c>
      <c r="FA224" t="s">
        <v>419</v>
      </c>
      <c r="FB224">
        <v>1651864241.6</v>
      </c>
      <c r="FC224">
        <v>1651864261.1</v>
      </c>
      <c r="FD224">
        <v>7</v>
      </c>
      <c r="FE224">
        <v>0.438</v>
      </c>
      <c r="FF224">
        <v>0.002</v>
      </c>
      <c r="FG224">
        <v>-0.988</v>
      </c>
      <c r="FH224">
        <v>-0.066</v>
      </c>
      <c r="FI224">
        <v>400</v>
      </c>
      <c r="FJ224">
        <v>11</v>
      </c>
      <c r="FK224">
        <v>0.05</v>
      </c>
      <c r="FL224">
        <v>0.02</v>
      </c>
      <c r="FM224">
        <v>5.785938292682927</v>
      </c>
      <c r="FN224">
        <v>11.39115470383275</v>
      </c>
      <c r="FO224">
        <v>1.124057637700441</v>
      </c>
      <c r="FP224">
        <v>-1</v>
      </c>
      <c r="FQ224">
        <v>4.215954146341463</v>
      </c>
      <c r="FR224">
        <v>0.01032062717771102</v>
      </c>
      <c r="FS224">
        <v>0.001404362498561033</v>
      </c>
      <c r="FT224">
        <v>-1</v>
      </c>
      <c r="FU224">
        <v>0</v>
      </c>
      <c r="FV224">
        <v>0</v>
      </c>
      <c r="FW224">
        <v>0</v>
      </c>
      <c r="FX224">
        <v>-1</v>
      </c>
      <c r="FY224">
        <v>0</v>
      </c>
      <c r="FZ224">
        <v>0</v>
      </c>
      <c r="GA224" t="s">
        <v>420</v>
      </c>
      <c r="GB224">
        <v>2.98037</v>
      </c>
      <c r="GC224">
        <v>2.70626</v>
      </c>
      <c r="GD224">
        <v>0.0643783</v>
      </c>
      <c r="GE224">
        <v>0.0619999</v>
      </c>
      <c r="GF224">
        <v>0.087671</v>
      </c>
      <c r="GG224">
        <v>0.07162109999999999</v>
      </c>
      <c r="GH224">
        <v>29525.6</v>
      </c>
      <c r="GI224">
        <v>29666.2</v>
      </c>
      <c r="GJ224">
        <v>29342.8</v>
      </c>
      <c r="GK224">
        <v>29257.6</v>
      </c>
      <c r="GL224">
        <v>35446.7</v>
      </c>
      <c r="GM224">
        <v>36175.1</v>
      </c>
      <c r="GN224">
        <v>41301.1</v>
      </c>
      <c r="GO224">
        <v>41760.4</v>
      </c>
      <c r="GP224">
        <v>1.95497</v>
      </c>
      <c r="GQ224">
        <v>1.84905</v>
      </c>
      <c r="GR224">
        <v>-0.0206977</v>
      </c>
      <c r="GS224">
        <v>0</v>
      </c>
      <c r="GT224">
        <v>25.3375</v>
      </c>
      <c r="GU224">
        <v>999.9</v>
      </c>
      <c r="GV224">
        <v>31.5</v>
      </c>
      <c r="GW224">
        <v>34.3</v>
      </c>
      <c r="GX224">
        <v>19.0293</v>
      </c>
      <c r="GY224">
        <v>62.4675</v>
      </c>
      <c r="GZ224">
        <v>35.0801</v>
      </c>
      <c r="HA224">
        <v>1</v>
      </c>
      <c r="HB224">
        <v>0.108209</v>
      </c>
      <c r="HC224">
        <v>2.35318</v>
      </c>
      <c r="HD224">
        <v>20.3177</v>
      </c>
      <c r="HE224">
        <v>5.21549</v>
      </c>
      <c r="HF224">
        <v>12.0099</v>
      </c>
      <c r="HG224">
        <v>4.98905</v>
      </c>
      <c r="HH224">
        <v>3.28848</v>
      </c>
      <c r="HI224">
        <v>1000</v>
      </c>
      <c r="HJ224">
        <v>9556.1</v>
      </c>
      <c r="HK224">
        <v>5139.4</v>
      </c>
      <c r="HL224">
        <v>24.9</v>
      </c>
      <c r="HM224">
        <v>1.86751</v>
      </c>
      <c r="HN224">
        <v>1.86647</v>
      </c>
      <c r="HO224">
        <v>1.866</v>
      </c>
      <c r="HP224">
        <v>1.86588</v>
      </c>
      <c r="HQ224">
        <v>1.86769</v>
      </c>
      <c r="HR224">
        <v>1.87022</v>
      </c>
      <c r="HS224">
        <v>1.86889</v>
      </c>
      <c r="HT224">
        <v>1.87026</v>
      </c>
      <c r="HU224">
        <v>0</v>
      </c>
      <c r="HV224">
        <v>0</v>
      </c>
      <c r="HW224">
        <v>0</v>
      </c>
      <c r="HX224">
        <v>0</v>
      </c>
      <c r="HY224" t="s">
        <v>421</v>
      </c>
      <c r="HZ224" t="s">
        <v>422</v>
      </c>
      <c r="IA224" t="s">
        <v>423</v>
      </c>
      <c r="IB224" t="s">
        <v>423</v>
      </c>
      <c r="IC224" t="s">
        <v>423</v>
      </c>
      <c r="ID224" t="s">
        <v>423</v>
      </c>
      <c r="IE224">
        <v>0</v>
      </c>
      <c r="IF224">
        <v>100</v>
      </c>
      <c r="IG224">
        <v>100</v>
      </c>
      <c r="IH224">
        <v>-0.737</v>
      </c>
      <c r="II224">
        <v>0.0204</v>
      </c>
      <c r="IJ224">
        <v>-0.2164499368582429</v>
      </c>
      <c r="IK224">
        <v>-0.002077099775823331</v>
      </c>
      <c r="IL224">
        <v>4.593143279902166E-07</v>
      </c>
      <c r="IM224">
        <v>-1.865383991892071E-10</v>
      </c>
      <c r="IN224">
        <v>-0.06087574426827484</v>
      </c>
      <c r="IO224">
        <v>-0.01129461987421345</v>
      </c>
      <c r="IP224">
        <v>0.00116580895745559</v>
      </c>
      <c r="IQ224">
        <v>-1.679085872906199E-05</v>
      </c>
      <c r="IR224">
        <v>2</v>
      </c>
      <c r="IS224">
        <v>2290</v>
      </c>
      <c r="IT224">
        <v>0</v>
      </c>
      <c r="IU224">
        <v>32</v>
      </c>
      <c r="IV224">
        <v>9.5</v>
      </c>
      <c r="IW224">
        <v>9.199999999999999</v>
      </c>
      <c r="IX224">
        <v>0.675049</v>
      </c>
      <c r="IY224">
        <v>2.24609</v>
      </c>
      <c r="IZ224">
        <v>1.39648</v>
      </c>
      <c r="JA224">
        <v>2.35596</v>
      </c>
      <c r="JB224">
        <v>1.49536</v>
      </c>
      <c r="JC224">
        <v>2.36084</v>
      </c>
      <c r="JD224">
        <v>38.5014</v>
      </c>
      <c r="JE224">
        <v>24.035</v>
      </c>
      <c r="JF224">
        <v>18</v>
      </c>
      <c r="JG224">
        <v>510.931</v>
      </c>
      <c r="JH224">
        <v>428.398</v>
      </c>
      <c r="JI224">
        <v>22.2017</v>
      </c>
      <c r="JJ224">
        <v>28.6928</v>
      </c>
      <c r="JK224">
        <v>30.0002</v>
      </c>
      <c r="JL224">
        <v>28.6569</v>
      </c>
      <c r="JM224">
        <v>28.5943</v>
      </c>
      <c r="JN224">
        <v>13.4575</v>
      </c>
      <c r="JO224">
        <v>26.5129</v>
      </c>
      <c r="JP224">
        <v>0</v>
      </c>
      <c r="JQ224">
        <v>22.1965</v>
      </c>
      <c r="JR224">
        <v>232.9</v>
      </c>
      <c r="JS224">
        <v>14.1447</v>
      </c>
      <c r="JT224">
        <v>100.299</v>
      </c>
      <c r="JU224">
        <v>100.227</v>
      </c>
    </row>
    <row r="225" spans="1:281">
      <c r="A225">
        <v>209</v>
      </c>
      <c r="B225">
        <v>1651864815.1</v>
      </c>
      <c r="C225">
        <v>594.5</v>
      </c>
      <c r="D225" t="s">
        <v>838</v>
      </c>
      <c r="E225" t="s">
        <v>839</v>
      </c>
      <c r="F225">
        <v>2</v>
      </c>
      <c r="G225" t="s">
        <v>413</v>
      </c>
      <c r="H225" t="s">
        <v>414</v>
      </c>
      <c r="I225">
        <v>1651864813.725</v>
      </c>
      <c r="J225">
        <f>(K225)/1000</f>
        <v>0</v>
      </c>
      <c r="K225">
        <f>IF(CZ225, AN225, AH225)</f>
        <v>0</v>
      </c>
      <c r="L225">
        <f>IF(CZ225, AI225, AG225)</f>
        <v>0</v>
      </c>
      <c r="M225">
        <f>DB225 - IF(AU225&gt;1, L225*CV225*100.0/(AW225*DP225), 0)</f>
        <v>0</v>
      </c>
      <c r="N225">
        <f>((T225-J225/2)*M225-L225)/(T225+J225/2)</f>
        <v>0</v>
      </c>
      <c r="O225">
        <f>N225*(DI225+DJ225)/1000.0</f>
        <v>0</v>
      </c>
      <c r="P225">
        <f>(DB225 - IF(AU225&gt;1, L225*CV225*100.0/(AW225*DP225), 0))*(DI225+DJ225)/1000.0</f>
        <v>0</v>
      </c>
      <c r="Q225">
        <f>2.0/((1/S225-1/R225)+SIGN(S225)*SQRT((1/S225-1/R225)*(1/S225-1/R225) + 4*CW225/((CW225+1)*(CW225+1))*(2*1/S225*1/R225-1/R225*1/R225)))</f>
        <v>0</v>
      </c>
      <c r="R225">
        <f>IF(LEFT(CX225,1)&lt;&gt;"0",IF(LEFT(CX225,1)="1",3.0,CY225),$D$5+$E$5*(DP225*DI225/($K$5*1000))+$F$5*(DP225*DI225/($K$5*1000))*MAX(MIN(CV225,$J$5),$I$5)*MAX(MIN(CV225,$J$5),$I$5)+$G$5*MAX(MIN(CV225,$J$5),$I$5)*(DP225*DI225/($K$5*1000))+$H$5*(DP225*DI225/($K$5*1000))*(DP225*DI225/($K$5*1000)))</f>
        <v>0</v>
      </c>
      <c r="S225">
        <f>J225*(1000-(1000*0.61365*exp(17.502*W225/(240.97+W225))/(DI225+DJ225)+DD225)/2)/(1000*0.61365*exp(17.502*W225/(240.97+W225))/(DI225+DJ225)-DD225)</f>
        <v>0</v>
      </c>
      <c r="T225">
        <f>1/((CW225+1)/(Q225/1.6)+1/(R225/1.37)) + CW225/((CW225+1)/(Q225/1.6) + CW225/(R225/1.37))</f>
        <v>0</v>
      </c>
      <c r="U225">
        <f>(CR225*CU225)</f>
        <v>0</v>
      </c>
      <c r="V225">
        <f>(DK225+(U225+2*0.95*5.67E-8*(((DK225+$B$7)+273)^4-(DK225+273)^4)-44100*J225)/(1.84*29.3*R225+8*0.95*5.67E-8*(DK225+273)^3))</f>
        <v>0</v>
      </c>
      <c r="W225">
        <f>($C$7*DL225+$D$7*DM225+$E$7*V225)</f>
        <v>0</v>
      </c>
      <c r="X225">
        <f>0.61365*exp(17.502*W225/(240.97+W225))</f>
        <v>0</v>
      </c>
      <c r="Y225">
        <f>(Z225/AA225*100)</f>
        <v>0</v>
      </c>
      <c r="Z225">
        <f>DD225*(DI225+DJ225)/1000</f>
        <v>0</v>
      </c>
      <c r="AA225">
        <f>0.61365*exp(17.502*DK225/(240.97+DK225))</f>
        <v>0</v>
      </c>
      <c r="AB225">
        <f>(X225-DD225*(DI225+DJ225)/1000)</f>
        <v>0</v>
      </c>
      <c r="AC225">
        <f>(-J225*44100)</f>
        <v>0</v>
      </c>
      <c r="AD225">
        <f>2*29.3*R225*0.92*(DK225-W225)</f>
        <v>0</v>
      </c>
      <c r="AE225">
        <f>2*0.95*5.67E-8*(((DK225+$B$7)+273)^4-(W225+273)^4)</f>
        <v>0</v>
      </c>
      <c r="AF225">
        <f>U225+AE225+AC225+AD225</f>
        <v>0</v>
      </c>
      <c r="AG225">
        <f>DH225*AU225*(DC225-DB225*(1000-AU225*DE225)/(1000-AU225*DD225))/(100*CV225)</f>
        <v>0</v>
      </c>
      <c r="AH225">
        <f>1000*DH225*AU225*(DD225-DE225)/(100*CV225*(1000-AU225*DD225))</f>
        <v>0</v>
      </c>
      <c r="AI225">
        <f>(AJ225 - AK225 - DI225*1E3/(8.314*(DK225+273.15)) * AM225/DH225 * AL225) * DH225/(100*CV225) * (1000 - DE225)/1000</f>
        <v>0</v>
      </c>
      <c r="AJ225">
        <v>261.8804287617321</v>
      </c>
      <c r="AK225">
        <v>263.6509515151513</v>
      </c>
      <c r="AL225">
        <v>-3.158922439059106</v>
      </c>
      <c r="AM225">
        <v>66.38192812717227</v>
      </c>
      <c r="AN225">
        <f>(AP225 - AO225 + DI225*1E3/(8.314*(DK225+273.15)) * AR225/DH225 * AQ225) * DH225/(100*CV225) * 1000/(1000 - AP225)</f>
        <v>0</v>
      </c>
      <c r="AO225">
        <v>14.13503927337457</v>
      </c>
      <c r="AP225">
        <v>18.35652058823528</v>
      </c>
      <c r="AQ225">
        <v>2.055726822027918E-05</v>
      </c>
      <c r="AR225">
        <v>80.47224507511959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MAX(0,($B$13+$C$13*DP225)/(1+$D$13*DP225)*DI225/(DK225+273)*$E$13)</f>
        <v>0</v>
      </c>
      <c r="AX225" t="s">
        <v>417</v>
      </c>
      <c r="AY225" t="s">
        <v>417</v>
      </c>
      <c r="AZ225">
        <v>0</v>
      </c>
      <c r="BA225">
        <v>0</v>
      </c>
      <c r="BB225">
        <f>1-AZ225/BA225</f>
        <v>0</v>
      </c>
      <c r="BC225">
        <v>0</v>
      </c>
      <c r="BD225" t="s">
        <v>417</v>
      </c>
      <c r="BE225" t="s">
        <v>417</v>
      </c>
      <c r="BF225">
        <v>0</v>
      </c>
      <c r="BG225">
        <v>0</v>
      </c>
      <c r="BH225">
        <f>1-BF225/BG225</f>
        <v>0</v>
      </c>
      <c r="BI225">
        <v>0.5</v>
      </c>
      <c r="BJ225">
        <f>CS225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417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BZ225">
        <v>1248</v>
      </c>
      <c r="CA225">
        <v>300</v>
      </c>
      <c r="CB225">
        <v>300</v>
      </c>
      <c r="CC225">
        <v>300</v>
      </c>
      <c r="CD225">
        <v>10442</v>
      </c>
      <c r="CE225">
        <v>1293.69</v>
      </c>
      <c r="CF225">
        <v>-0.00735246</v>
      </c>
      <c r="CG225">
        <v>0.5</v>
      </c>
      <c r="CH225" t="s">
        <v>417</v>
      </c>
      <c r="CI225" t="s">
        <v>417</v>
      </c>
      <c r="CJ225" t="s">
        <v>417</v>
      </c>
      <c r="CK225" t="s">
        <v>417</v>
      </c>
      <c r="CL225" t="s">
        <v>417</v>
      </c>
      <c r="CM225" t="s">
        <v>417</v>
      </c>
      <c r="CN225" t="s">
        <v>417</v>
      </c>
      <c r="CO225" t="s">
        <v>417</v>
      </c>
      <c r="CP225" t="s">
        <v>417</v>
      </c>
      <c r="CQ225" t="s">
        <v>417</v>
      </c>
      <c r="CR225">
        <f>$B$11*DQ225+$C$11*DR225+$F$11*EC225*(1-EF225)</f>
        <v>0</v>
      </c>
      <c r="CS225">
        <f>CR225*CT225</f>
        <v>0</v>
      </c>
      <c r="CT225">
        <f>($B$11*$D$9+$C$11*$D$9+$F$11*((EP225+EH225)/MAX(EP225+EH225+EQ225, 0.1)*$I$9+EQ225/MAX(EP225+EH225+EQ225, 0.1)*$J$9))/($B$11+$C$11+$F$11)</f>
        <v>0</v>
      </c>
      <c r="CU225">
        <f>($B$11*$K$9+$C$11*$K$9+$F$11*((EP225+EH225)/MAX(EP225+EH225+EQ225, 0.1)*$P$9+EQ225/MAX(EP225+EH225+EQ225, 0.1)*$Q$9))/($B$11+$C$11+$F$11)</f>
        <v>0</v>
      </c>
      <c r="CV225">
        <v>6</v>
      </c>
      <c r="CW225">
        <v>0.5</v>
      </c>
      <c r="CX225" t="s">
        <v>418</v>
      </c>
      <c r="CY225">
        <v>2</v>
      </c>
      <c r="CZ225" t="b">
        <v>1</v>
      </c>
      <c r="DA225">
        <v>1651864813.725</v>
      </c>
      <c r="DB225">
        <v>261.5287500000001</v>
      </c>
      <c r="DC225">
        <v>253.55025</v>
      </c>
      <c r="DD225">
        <v>18.355525</v>
      </c>
      <c r="DE225">
        <v>14.135575</v>
      </c>
      <c r="DF225">
        <v>262.26175</v>
      </c>
      <c r="DG225">
        <v>18.335025</v>
      </c>
      <c r="DH225">
        <v>500.038</v>
      </c>
      <c r="DI225">
        <v>89.932475</v>
      </c>
      <c r="DJ225">
        <v>0.10011075</v>
      </c>
      <c r="DK225">
        <v>25.633475</v>
      </c>
      <c r="DL225">
        <v>24.995775</v>
      </c>
      <c r="DM225">
        <v>999.9</v>
      </c>
      <c r="DN225">
        <v>0</v>
      </c>
      <c r="DO225">
        <v>0</v>
      </c>
      <c r="DP225">
        <v>9983.907499999999</v>
      </c>
      <c r="DQ225">
        <v>0</v>
      </c>
      <c r="DR225">
        <v>3.230525</v>
      </c>
      <c r="DS225">
        <v>7.9785925</v>
      </c>
      <c r="DT225">
        <v>266.41925</v>
      </c>
      <c r="DU225">
        <v>257.18575</v>
      </c>
      <c r="DV225">
        <v>4.219930000000001</v>
      </c>
      <c r="DW225">
        <v>253.55025</v>
      </c>
      <c r="DX225">
        <v>14.135575</v>
      </c>
      <c r="DY225">
        <v>1.6507575</v>
      </c>
      <c r="DZ225">
        <v>1.271245</v>
      </c>
      <c r="EA225">
        <v>14.44095</v>
      </c>
      <c r="EB225">
        <v>10.46315</v>
      </c>
      <c r="EC225">
        <v>1500.1525</v>
      </c>
      <c r="ED225">
        <v>0.97300075</v>
      </c>
      <c r="EE225">
        <v>0.0269992</v>
      </c>
      <c r="EF225">
        <v>0</v>
      </c>
      <c r="EG225">
        <v>833.65</v>
      </c>
      <c r="EH225">
        <v>5.00097</v>
      </c>
      <c r="EI225">
        <v>12381.9</v>
      </c>
      <c r="EJ225">
        <v>12492.9</v>
      </c>
      <c r="EK225">
        <v>37.25</v>
      </c>
      <c r="EL225">
        <v>38.687</v>
      </c>
      <c r="EM225">
        <v>37.625</v>
      </c>
      <c r="EN225">
        <v>38.375</v>
      </c>
      <c r="EO225">
        <v>38.07774999999999</v>
      </c>
      <c r="EP225">
        <v>1454.785</v>
      </c>
      <c r="EQ225">
        <v>40.3675</v>
      </c>
      <c r="ER225">
        <v>0</v>
      </c>
      <c r="ES225">
        <v>594</v>
      </c>
      <c r="ET225">
        <v>0</v>
      </c>
      <c r="EU225">
        <v>834.8428076923077</v>
      </c>
      <c r="EV225">
        <v>-14.35340172514183</v>
      </c>
      <c r="EW225">
        <v>-219.087179587903</v>
      </c>
      <c r="EX225">
        <v>12402.24230769231</v>
      </c>
      <c r="EY225">
        <v>15</v>
      </c>
      <c r="EZ225">
        <v>1651864261.1</v>
      </c>
      <c r="FA225" t="s">
        <v>419</v>
      </c>
      <c r="FB225">
        <v>1651864241.6</v>
      </c>
      <c r="FC225">
        <v>1651864261.1</v>
      </c>
      <c r="FD225">
        <v>7</v>
      </c>
      <c r="FE225">
        <v>0.438</v>
      </c>
      <c r="FF225">
        <v>0.002</v>
      </c>
      <c r="FG225">
        <v>-0.988</v>
      </c>
      <c r="FH225">
        <v>-0.066</v>
      </c>
      <c r="FI225">
        <v>400</v>
      </c>
      <c r="FJ225">
        <v>11</v>
      </c>
      <c r="FK225">
        <v>0.05</v>
      </c>
      <c r="FL225">
        <v>0.02</v>
      </c>
      <c r="FM225">
        <v>6.120900000000001</v>
      </c>
      <c r="FN225">
        <v>11.54662491557221</v>
      </c>
      <c r="FO225">
        <v>1.111666965291314</v>
      </c>
      <c r="FP225">
        <v>-1</v>
      </c>
      <c r="FQ225">
        <v>4.21627125</v>
      </c>
      <c r="FR225">
        <v>0.01635816135084158</v>
      </c>
      <c r="FS225">
        <v>0.001784813978402259</v>
      </c>
      <c r="FT225">
        <v>-1</v>
      </c>
      <c r="FU225">
        <v>0</v>
      </c>
      <c r="FV225">
        <v>0</v>
      </c>
      <c r="FW225">
        <v>0</v>
      </c>
      <c r="FX225">
        <v>-1</v>
      </c>
      <c r="FY225">
        <v>0</v>
      </c>
      <c r="FZ225">
        <v>0</v>
      </c>
      <c r="GA225" t="s">
        <v>420</v>
      </c>
      <c r="GB225">
        <v>2.98047</v>
      </c>
      <c r="GC225">
        <v>2.70609</v>
      </c>
      <c r="GD225">
        <v>0.0630907</v>
      </c>
      <c r="GE225">
        <v>0.0606258</v>
      </c>
      <c r="GF225">
        <v>0.08767</v>
      </c>
      <c r="GG225">
        <v>0.0716215</v>
      </c>
      <c r="GH225">
        <v>29566.6</v>
      </c>
      <c r="GI225">
        <v>29709.5</v>
      </c>
      <c r="GJ225">
        <v>29343.1</v>
      </c>
      <c r="GK225">
        <v>29257.6</v>
      </c>
      <c r="GL225">
        <v>35447.1</v>
      </c>
      <c r="GM225">
        <v>36175</v>
      </c>
      <c r="GN225">
        <v>41301.5</v>
      </c>
      <c r="GO225">
        <v>41760.3</v>
      </c>
      <c r="GP225">
        <v>1.95497</v>
      </c>
      <c r="GQ225">
        <v>1.84905</v>
      </c>
      <c r="GR225">
        <v>-0.0208616</v>
      </c>
      <c r="GS225">
        <v>0</v>
      </c>
      <c r="GT225">
        <v>25.3375</v>
      </c>
      <c r="GU225">
        <v>999.9</v>
      </c>
      <c r="GV225">
        <v>31.5</v>
      </c>
      <c r="GW225">
        <v>34.3</v>
      </c>
      <c r="GX225">
        <v>19.0311</v>
      </c>
      <c r="GY225">
        <v>62.2675</v>
      </c>
      <c r="GZ225">
        <v>34.7356</v>
      </c>
      <c r="HA225">
        <v>1</v>
      </c>
      <c r="HB225">
        <v>0.108255</v>
      </c>
      <c r="HC225">
        <v>2.34556</v>
      </c>
      <c r="HD225">
        <v>20.3178</v>
      </c>
      <c r="HE225">
        <v>5.21564</v>
      </c>
      <c r="HF225">
        <v>12.0099</v>
      </c>
      <c r="HG225">
        <v>4.98885</v>
      </c>
      <c r="HH225">
        <v>3.28845</v>
      </c>
      <c r="HI225">
        <v>1000</v>
      </c>
      <c r="HJ225">
        <v>9556.1</v>
      </c>
      <c r="HK225">
        <v>5139.4</v>
      </c>
      <c r="HL225">
        <v>24.9</v>
      </c>
      <c r="HM225">
        <v>1.86752</v>
      </c>
      <c r="HN225">
        <v>1.86647</v>
      </c>
      <c r="HO225">
        <v>1.866</v>
      </c>
      <c r="HP225">
        <v>1.86587</v>
      </c>
      <c r="HQ225">
        <v>1.8677</v>
      </c>
      <c r="HR225">
        <v>1.87025</v>
      </c>
      <c r="HS225">
        <v>1.8689</v>
      </c>
      <c r="HT225">
        <v>1.87027</v>
      </c>
      <c r="HU225">
        <v>0</v>
      </c>
      <c r="HV225">
        <v>0</v>
      </c>
      <c r="HW225">
        <v>0</v>
      </c>
      <c r="HX225">
        <v>0</v>
      </c>
      <c r="HY225" t="s">
        <v>421</v>
      </c>
      <c r="HZ225" t="s">
        <v>422</v>
      </c>
      <c r="IA225" t="s">
        <v>423</v>
      </c>
      <c r="IB225" t="s">
        <v>423</v>
      </c>
      <c r="IC225" t="s">
        <v>423</v>
      </c>
      <c r="ID225" t="s">
        <v>423</v>
      </c>
      <c r="IE225">
        <v>0</v>
      </c>
      <c r="IF225">
        <v>100</v>
      </c>
      <c r="IG225">
        <v>100</v>
      </c>
      <c r="IH225">
        <v>-0.725</v>
      </c>
      <c r="II225">
        <v>0.0204</v>
      </c>
      <c r="IJ225">
        <v>-0.2164499368582429</v>
      </c>
      <c r="IK225">
        <v>-0.002077099775823331</v>
      </c>
      <c r="IL225">
        <v>4.593143279902166E-07</v>
      </c>
      <c r="IM225">
        <v>-1.865383991892071E-10</v>
      </c>
      <c r="IN225">
        <v>-0.06087574426827484</v>
      </c>
      <c r="IO225">
        <v>-0.01129461987421345</v>
      </c>
      <c r="IP225">
        <v>0.00116580895745559</v>
      </c>
      <c r="IQ225">
        <v>-1.679085872906199E-05</v>
      </c>
      <c r="IR225">
        <v>2</v>
      </c>
      <c r="IS225">
        <v>2290</v>
      </c>
      <c r="IT225">
        <v>0</v>
      </c>
      <c r="IU225">
        <v>32</v>
      </c>
      <c r="IV225">
        <v>9.6</v>
      </c>
      <c r="IW225">
        <v>9.199999999999999</v>
      </c>
      <c r="IX225">
        <v>0.6604</v>
      </c>
      <c r="IY225">
        <v>2.25464</v>
      </c>
      <c r="IZ225">
        <v>1.39648</v>
      </c>
      <c r="JA225">
        <v>2.35596</v>
      </c>
      <c r="JB225">
        <v>1.49536</v>
      </c>
      <c r="JC225">
        <v>2.32788</v>
      </c>
      <c r="JD225">
        <v>38.5014</v>
      </c>
      <c r="JE225">
        <v>24.035</v>
      </c>
      <c r="JF225">
        <v>18</v>
      </c>
      <c r="JG225">
        <v>510.931</v>
      </c>
      <c r="JH225">
        <v>428.399</v>
      </c>
      <c r="JI225">
        <v>22.1989</v>
      </c>
      <c r="JJ225">
        <v>28.6928</v>
      </c>
      <c r="JK225">
        <v>30.0002</v>
      </c>
      <c r="JL225">
        <v>28.6569</v>
      </c>
      <c r="JM225">
        <v>28.5944</v>
      </c>
      <c r="JN225">
        <v>13.1719</v>
      </c>
      <c r="JO225">
        <v>26.5129</v>
      </c>
      <c r="JP225">
        <v>0</v>
      </c>
      <c r="JQ225">
        <v>22.1984</v>
      </c>
      <c r="JR225">
        <v>226.221</v>
      </c>
      <c r="JS225">
        <v>14.1425</v>
      </c>
      <c r="JT225">
        <v>100.3</v>
      </c>
      <c r="JU225">
        <v>100.227</v>
      </c>
    </row>
    <row r="226" spans="1:281">
      <c r="A226">
        <v>210</v>
      </c>
      <c r="B226">
        <v>1651864817.1</v>
      </c>
      <c r="C226">
        <v>596.5</v>
      </c>
      <c r="D226" t="s">
        <v>840</v>
      </c>
      <c r="E226" t="s">
        <v>841</v>
      </c>
      <c r="F226">
        <v>2</v>
      </c>
      <c r="G226" t="s">
        <v>413</v>
      </c>
      <c r="H226" t="s">
        <v>414</v>
      </c>
      <c r="I226">
        <v>1651864816.1</v>
      </c>
      <c r="J226">
        <f>(K226)/1000</f>
        <v>0</v>
      </c>
      <c r="K226">
        <f>IF(CZ226, AN226, AH226)</f>
        <v>0</v>
      </c>
      <c r="L226">
        <f>IF(CZ226, AI226, AG226)</f>
        <v>0</v>
      </c>
      <c r="M226">
        <f>DB226 - IF(AU226&gt;1, L226*CV226*100.0/(AW226*DP226), 0)</f>
        <v>0</v>
      </c>
      <c r="N226">
        <f>((T226-J226/2)*M226-L226)/(T226+J226/2)</f>
        <v>0</v>
      </c>
      <c r="O226">
        <f>N226*(DI226+DJ226)/1000.0</f>
        <v>0</v>
      </c>
      <c r="P226">
        <f>(DB226 - IF(AU226&gt;1, L226*CV226*100.0/(AW226*DP226), 0))*(DI226+DJ226)/1000.0</f>
        <v>0</v>
      </c>
      <c r="Q226">
        <f>2.0/((1/S226-1/R226)+SIGN(S226)*SQRT((1/S226-1/R226)*(1/S226-1/R226) + 4*CW226/((CW226+1)*(CW226+1))*(2*1/S226*1/R226-1/R226*1/R226)))</f>
        <v>0</v>
      </c>
      <c r="R226">
        <f>IF(LEFT(CX226,1)&lt;&gt;"0",IF(LEFT(CX226,1)="1",3.0,CY226),$D$5+$E$5*(DP226*DI226/($K$5*1000))+$F$5*(DP226*DI226/($K$5*1000))*MAX(MIN(CV226,$J$5),$I$5)*MAX(MIN(CV226,$J$5),$I$5)+$G$5*MAX(MIN(CV226,$J$5),$I$5)*(DP226*DI226/($K$5*1000))+$H$5*(DP226*DI226/($K$5*1000))*(DP226*DI226/($K$5*1000)))</f>
        <v>0</v>
      </c>
      <c r="S226">
        <f>J226*(1000-(1000*0.61365*exp(17.502*W226/(240.97+W226))/(DI226+DJ226)+DD226)/2)/(1000*0.61365*exp(17.502*W226/(240.97+W226))/(DI226+DJ226)-DD226)</f>
        <v>0</v>
      </c>
      <c r="T226">
        <f>1/((CW226+1)/(Q226/1.6)+1/(R226/1.37)) + CW226/((CW226+1)/(Q226/1.6) + CW226/(R226/1.37))</f>
        <v>0</v>
      </c>
      <c r="U226">
        <f>(CR226*CU226)</f>
        <v>0</v>
      </c>
      <c r="V226">
        <f>(DK226+(U226+2*0.95*5.67E-8*(((DK226+$B$7)+273)^4-(DK226+273)^4)-44100*J226)/(1.84*29.3*R226+8*0.95*5.67E-8*(DK226+273)^3))</f>
        <v>0</v>
      </c>
      <c r="W226">
        <f>($C$7*DL226+$D$7*DM226+$E$7*V226)</f>
        <v>0</v>
      </c>
      <c r="X226">
        <f>0.61365*exp(17.502*W226/(240.97+W226))</f>
        <v>0</v>
      </c>
      <c r="Y226">
        <f>(Z226/AA226*100)</f>
        <v>0</v>
      </c>
      <c r="Z226">
        <f>DD226*(DI226+DJ226)/1000</f>
        <v>0</v>
      </c>
      <c r="AA226">
        <f>0.61365*exp(17.502*DK226/(240.97+DK226))</f>
        <v>0</v>
      </c>
      <c r="AB226">
        <f>(X226-DD226*(DI226+DJ226)/1000)</f>
        <v>0</v>
      </c>
      <c r="AC226">
        <f>(-J226*44100)</f>
        <v>0</v>
      </c>
      <c r="AD226">
        <f>2*29.3*R226*0.92*(DK226-W226)</f>
        <v>0</v>
      </c>
      <c r="AE226">
        <f>2*0.95*5.67E-8*(((DK226+$B$7)+273)^4-(W226+273)^4)</f>
        <v>0</v>
      </c>
      <c r="AF226">
        <f>U226+AE226+AC226+AD226</f>
        <v>0</v>
      </c>
      <c r="AG226">
        <f>DH226*AU226*(DC226-DB226*(1000-AU226*DE226)/(1000-AU226*DD226))/(100*CV226)</f>
        <v>0</v>
      </c>
      <c r="AH226">
        <f>1000*DH226*AU226*(DD226-DE226)/(100*CV226*(1000-AU226*DD226))</f>
        <v>0</v>
      </c>
      <c r="AI226">
        <f>(AJ226 - AK226 - DI226*1E3/(8.314*(DK226+273.15)) * AM226/DH226 * AL226) * DH226/(100*CV226) * (1000 - DE226)/1000</f>
        <v>0</v>
      </c>
      <c r="AJ226">
        <v>255.1480986926496</v>
      </c>
      <c r="AK226">
        <v>257.3162727272727</v>
      </c>
      <c r="AL226">
        <v>-3.165751585119487</v>
      </c>
      <c r="AM226">
        <v>66.38192812717227</v>
      </c>
      <c r="AN226">
        <f>(AP226 - AO226 + DI226*1E3/(8.314*(DK226+273.15)) * AR226/DH226 * AQ226) * DH226/(100*CV226) * 1000/(1000 - AP226)</f>
        <v>0</v>
      </c>
      <c r="AO226">
        <v>14.13535996593975</v>
      </c>
      <c r="AP226">
        <v>18.35467176470589</v>
      </c>
      <c r="AQ226">
        <v>9.029227432498408E-05</v>
      </c>
      <c r="AR226">
        <v>80.47224507511959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MAX(0,($B$13+$C$13*DP226)/(1+$D$13*DP226)*DI226/(DK226+273)*$E$13)</f>
        <v>0</v>
      </c>
      <c r="AX226" t="s">
        <v>417</v>
      </c>
      <c r="AY226" t="s">
        <v>417</v>
      </c>
      <c r="AZ226">
        <v>0</v>
      </c>
      <c r="BA226">
        <v>0</v>
      </c>
      <c r="BB226">
        <f>1-AZ226/BA226</f>
        <v>0</v>
      </c>
      <c r="BC226">
        <v>0</v>
      </c>
      <c r="BD226" t="s">
        <v>417</v>
      </c>
      <c r="BE226" t="s">
        <v>417</v>
      </c>
      <c r="BF226">
        <v>0</v>
      </c>
      <c r="BG226">
        <v>0</v>
      </c>
      <c r="BH226">
        <f>1-BF226/BG226</f>
        <v>0</v>
      </c>
      <c r="BI226">
        <v>0.5</v>
      </c>
      <c r="BJ226">
        <f>CS226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417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BZ226">
        <v>1248</v>
      </c>
      <c r="CA226">
        <v>300</v>
      </c>
      <c r="CB226">
        <v>300</v>
      </c>
      <c r="CC226">
        <v>300</v>
      </c>
      <c r="CD226">
        <v>10442</v>
      </c>
      <c r="CE226">
        <v>1293.69</v>
      </c>
      <c r="CF226">
        <v>-0.00735246</v>
      </c>
      <c r="CG226">
        <v>0.5</v>
      </c>
      <c r="CH226" t="s">
        <v>417</v>
      </c>
      <c r="CI226" t="s">
        <v>417</v>
      </c>
      <c r="CJ226" t="s">
        <v>417</v>
      </c>
      <c r="CK226" t="s">
        <v>417</v>
      </c>
      <c r="CL226" t="s">
        <v>417</v>
      </c>
      <c r="CM226" t="s">
        <v>417</v>
      </c>
      <c r="CN226" t="s">
        <v>417</v>
      </c>
      <c r="CO226" t="s">
        <v>417</v>
      </c>
      <c r="CP226" t="s">
        <v>417</v>
      </c>
      <c r="CQ226" t="s">
        <v>417</v>
      </c>
      <c r="CR226">
        <f>$B$11*DQ226+$C$11*DR226+$F$11*EC226*(1-EF226)</f>
        <v>0</v>
      </c>
      <c r="CS226">
        <f>CR226*CT226</f>
        <v>0</v>
      </c>
      <c r="CT226">
        <f>($B$11*$D$9+$C$11*$D$9+$F$11*((EP226+EH226)/MAX(EP226+EH226+EQ226, 0.1)*$I$9+EQ226/MAX(EP226+EH226+EQ226, 0.1)*$J$9))/($B$11+$C$11+$F$11)</f>
        <v>0</v>
      </c>
      <c r="CU226">
        <f>($B$11*$K$9+$C$11*$K$9+$F$11*((EP226+EH226)/MAX(EP226+EH226+EQ226, 0.1)*$P$9+EQ226/MAX(EP226+EH226+EQ226, 0.1)*$Q$9))/($B$11+$C$11+$F$11)</f>
        <v>0</v>
      </c>
      <c r="CV226">
        <v>6</v>
      </c>
      <c r="CW226">
        <v>0.5</v>
      </c>
      <c r="CX226" t="s">
        <v>418</v>
      </c>
      <c r="CY226">
        <v>2</v>
      </c>
      <c r="CZ226" t="b">
        <v>1</v>
      </c>
      <c r="DA226">
        <v>1651864816.1</v>
      </c>
      <c r="DB226">
        <v>254.146</v>
      </c>
      <c r="DC226">
        <v>245.6686666666667</v>
      </c>
      <c r="DD226">
        <v>18.35503333333333</v>
      </c>
      <c r="DE226">
        <v>14.1346</v>
      </c>
      <c r="DF226">
        <v>254.8653333333333</v>
      </c>
      <c r="DG226">
        <v>18.33463333333333</v>
      </c>
      <c r="DH226">
        <v>500.0586666666666</v>
      </c>
      <c r="DI226">
        <v>89.93326666666667</v>
      </c>
      <c r="DJ226">
        <v>0.09999056666666667</v>
      </c>
      <c r="DK226">
        <v>25.63243333333333</v>
      </c>
      <c r="DL226">
        <v>25.00023333333333</v>
      </c>
      <c r="DM226">
        <v>999.9</v>
      </c>
      <c r="DN226">
        <v>0</v>
      </c>
      <c r="DO226">
        <v>0</v>
      </c>
      <c r="DP226">
        <v>9991.25</v>
      </c>
      <c r="DQ226">
        <v>0</v>
      </c>
      <c r="DR226">
        <v>3.228653333333333</v>
      </c>
      <c r="DS226">
        <v>8.477370000000001</v>
      </c>
      <c r="DT226">
        <v>258.8983333333333</v>
      </c>
      <c r="DU226">
        <v>249.1906666666667</v>
      </c>
      <c r="DV226">
        <v>4.220463333333334</v>
      </c>
      <c r="DW226">
        <v>245.6686666666667</v>
      </c>
      <c r="DX226">
        <v>14.1346</v>
      </c>
      <c r="DY226">
        <v>1.65073</v>
      </c>
      <c r="DZ226">
        <v>1.27117</v>
      </c>
      <c r="EA226">
        <v>14.4407</v>
      </c>
      <c r="EB226">
        <v>10.46226666666667</v>
      </c>
      <c r="EC226">
        <v>1500.036666666667</v>
      </c>
      <c r="ED226">
        <v>0.9730103333333333</v>
      </c>
      <c r="EE226">
        <v>0.0269895</v>
      </c>
      <c r="EF226">
        <v>0</v>
      </c>
      <c r="EG226">
        <v>833.042</v>
      </c>
      <c r="EH226">
        <v>5.00097</v>
      </c>
      <c r="EI226">
        <v>12374.53333333333</v>
      </c>
      <c r="EJ226">
        <v>12492</v>
      </c>
      <c r="EK226">
        <v>37.25</v>
      </c>
      <c r="EL226">
        <v>38.687</v>
      </c>
      <c r="EM226">
        <v>37.625</v>
      </c>
      <c r="EN226">
        <v>38.375</v>
      </c>
      <c r="EO226">
        <v>38.125</v>
      </c>
      <c r="EP226">
        <v>1454.686666666666</v>
      </c>
      <c r="EQ226">
        <v>40.35</v>
      </c>
      <c r="ER226">
        <v>0</v>
      </c>
      <c r="ES226">
        <v>595.7999999523163</v>
      </c>
      <c r="ET226">
        <v>0</v>
      </c>
      <c r="EU226">
        <v>834.3528</v>
      </c>
      <c r="EV226">
        <v>-13.72084617465114</v>
      </c>
      <c r="EW226">
        <v>-207.3846156040721</v>
      </c>
      <c r="EX226">
        <v>12394.696</v>
      </c>
      <c r="EY226">
        <v>15</v>
      </c>
      <c r="EZ226">
        <v>1651864261.1</v>
      </c>
      <c r="FA226" t="s">
        <v>419</v>
      </c>
      <c r="FB226">
        <v>1651864241.6</v>
      </c>
      <c r="FC226">
        <v>1651864261.1</v>
      </c>
      <c r="FD226">
        <v>7</v>
      </c>
      <c r="FE226">
        <v>0.438</v>
      </c>
      <c r="FF226">
        <v>0.002</v>
      </c>
      <c r="FG226">
        <v>-0.988</v>
      </c>
      <c r="FH226">
        <v>-0.066</v>
      </c>
      <c r="FI226">
        <v>400</v>
      </c>
      <c r="FJ226">
        <v>11</v>
      </c>
      <c r="FK226">
        <v>0.05</v>
      </c>
      <c r="FL226">
        <v>0.02</v>
      </c>
      <c r="FM226">
        <v>6.568735609756098</v>
      </c>
      <c r="FN226">
        <v>11.63507331010453</v>
      </c>
      <c r="FO226">
        <v>1.148322115130506</v>
      </c>
      <c r="FP226">
        <v>-1</v>
      </c>
      <c r="FQ226">
        <v>4.216961463414634</v>
      </c>
      <c r="FR226">
        <v>0.01863386759582909</v>
      </c>
      <c r="FS226">
        <v>0.002020470315902221</v>
      </c>
      <c r="FT226">
        <v>-1</v>
      </c>
      <c r="FU226">
        <v>0</v>
      </c>
      <c r="FV226">
        <v>0</v>
      </c>
      <c r="FW226">
        <v>0</v>
      </c>
      <c r="FX226">
        <v>-1</v>
      </c>
      <c r="FY226">
        <v>0</v>
      </c>
      <c r="FZ226">
        <v>0</v>
      </c>
      <c r="GA226" t="s">
        <v>420</v>
      </c>
      <c r="GB226">
        <v>2.98038</v>
      </c>
      <c r="GC226">
        <v>2.70609</v>
      </c>
      <c r="GD226">
        <v>0.0617934</v>
      </c>
      <c r="GE226">
        <v>0.0592418</v>
      </c>
      <c r="GF226">
        <v>0.0876706</v>
      </c>
      <c r="GG226">
        <v>0.0716159</v>
      </c>
      <c r="GH226">
        <v>29607.8</v>
      </c>
      <c r="GI226">
        <v>29753.5</v>
      </c>
      <c r="GJ226">
        <v>29343.4</v>
      </c>
      <c r="GK226">
        <v>29257.8</v>
      </c>
      <c r="GL226">
        <v>35447.3</v>
      </c>
      <c r="GM226">
        <v>36175.3</v>
      </c>
      <c r="GN226">
        <v>41301.8</v>
      </c>
      <c r="GO226">
        <v>41760.5</v>
      </c>
      <c r="GP226">
        <v>1.9552</v>
      </c>
      <c r="GQ226">
        <v>1.84905</v>
      </c>
      <c r="GR226">
        <v>-0.0204369</v>
      </c>
      <c r="GS226">
        <v>0</v>
      </c>
      <c r="GT226">
        <v>25.3375</v>
      </c>
      <c r="GU226">
        <v>999.9</v>
      </c>
      <c r="GV226">
        <v>31.5</v>
      </c>
      <c r="GW226">
        <v>34.3</v>
      </c>
      <c r="GX226">
        <v>19.0317</v>
      </c>
      <c r="GY226">
        <v>62.5175</v>
      </c>
      <c r="GZ226">
        <v>35.3165</v>
      </c>
      <c r="HA226">
        <v>1</v>
      </c>
      <c r="HB226">
        <v>0.10827</v>
      </c>
      <c r="HC226">
        <v>2.33743</v>
      </c>
      <c r="HD226">
        <v>20.3179</v>
      </c>
      <c r="HE226">
        <v>5.21594</v>
      </c>
      <c r="HF226">
        <v>12.0099</v>
      </c>
      <c r="HG226">
        <v>4.98895</v>
      </c>
      <c r="HH226">
        <v>3.28845</v>
      </c>
      <c r="HI226">
        <v>1000.2</v>
      </c>
      <c r="HJ226">
        <v>9557</v>
      </c>
      <c r="HK226">
        <v>5139.4</v>
      </c>
      <c r="HL226">
        <v>24.9</v>
      </c>
      <c r="HM226">
        <v>1.86752</v>
      </c>
      <c r="HN226">
        <v>1.86646</v>
      </c>
      <c r="HO226">
        <v>1.866</v>
      </c>
      <c r="HP226">
        <v>1.86586</v>
      </c>
      <c r="HQ226">
        <v>1.8677</v>
      </c>
      <c r="HR226">
        <v>1.87026</v>
      </c>
      <c r="HS226">
        <v>1.86889</v>
      </c>
      <c r="HT226">
        <v>1.87027</v>
      </c>
      <c r="HU226">
        <v>0</v>
      </c>
      <c r="HV226">
        <v>0</v>
      </c>
      <c r="HW226">
        <v>0</v>
      </c>
      <c r="HX226">
        <v>0</v>
      </c>
      <c r="HY226" t="s">
        <v>421</v>
      </c>
      <c r="HZ226" t="s">
        <v>422</v>
      </c>
      <c r="IA226" t="s">
        <v>423</v>
      </c>
      <c r="IB226" t="s">
        <v>423</v>
      </c>
      <c r="IC226" t="s">
        <v>423</v>
      </c>
      <c r="ID226" t="s">
        <v>423</v>
      </c>
      <c r="IE226">
        <v>0</v>
      </c>
      <c r="IF226">
        <v>100</v>
      </c>
      <c r="IG226">
        <v>100</v>
      </c>
      <c r="IH226">
        <v>-0.713</v>
      </c>
      <c r="II226">
        <v>0.0205</v>
      </c>
      <c r="IJ226">
        <v>-0.2164499368582429</v>
      </c>
      <c r="IK226">
        <v>-0.002077099775823331</v>
      </c>
      <c r="IL226">
        <v>4.593143279902166E-07</v>
      </c>
      <c r="IM226">
        <v>-1.865383991892071E-10</v>
      </c>
      <c r="IN226">
        <v>-0.06087574426827484</v>
      </c>
      <c r="IO226">
        <v>-0.01129461987421345</v>
      </c>
      <c r="IP226">
        <v>0.00116580895745559</v>
      </c>
      <c r="IQ226">
        <v>-1.679085872906199E-05</v>
      </c>
      <c r="IR226">
        <v>2</v>
      </c>
      <c r="IS226">
        <v>2290</v>
      </c>
      <c r="IT226">
        <v>0</v>
      </c>
      <c r="IU226">
        <v>32</v>
      </c>
      <c r="IV226">
        <v>9.6</v>
      </c>
      <c r="IW226">
        <v>9.300000000000001</v>
      </c>
      <c r="IX226">
        <v>0.645752</v>
      </c>
      <c r="IY226">
        <v>2.2522</v>
      </c>
      <c r="IZ226">
        <v>1.39648</v>
      </c>
      <c r="JA226">
        <v>2.35596</v>
      </c>
      <c r="JB226">
        <v>1.49536</v>
      </c>
      <c r="JC226">
        <v>2.32178</v>
      </c>
      <c r="JD226">
        <v>38.5014</v>
      </c>
      <c r="JE226">
        <v>24.035</v>
      </c>
      <c r="JF226">
        <v>18</v>
      </c>
      <c r="JG226">
        <v>511.078</v>
      </c>
      <c r="JH226">
        <v>428.399</v>
      </c>
      <c r="JI226">
        <v>22.1978</v>
      </c>
      <c r="JJ226">
        <v>28.6928</v>
      </c>
      <c r="JK226">
        <v>30.0002</v>
      </c>
      <c r="JL226">
        <v>28.6569</v>
      </c>
      <c r="JM226">
        <v>28.5944</v>
      </c>
      <c r="JN226">
        <v>12.8856</v>
      </c>
      <c r="JO226">
        <v>26.5129</v>
      </c>
      <c r="JP226">
        <v>0</v>
      </c>
      <c r="JQ226">
        <v>22.1984</v>
      </c>
      <c r="JR226">
        <v>219.544</v>
      </c>
      <c r="JS226">
        <v>14.1448</v>
      </c>
      <c r="JT226">
        <v>100.301</v>
      </c>
      <c r="JU226">
        <v>100.228</v>
      </c>
    </row>
    <row r="227" spans="1:281">
      <c r="A227">
        <v>211</v>
      </c>
      <c r="B227">
        <v>1651864819.1</v>
      </c>
      <c r="C227">
        <v>598.5</v>
      </c>
      <c r="D227" t="s">
        <v>842</v>
      </c>
      <c r="E227" t="s">
        <v>843</v>
      </c>
      <c r="F227">
        <v>2</v>
      </c>
      <c r="G227" t="s">
        <v>413</v>
      </c>
      <c r="H227" t="s">
        <v>414</v>
      </c>
      <c r="I227">
        <v>1651864817.725</v>
      </c>
      <c r="J227">
        <f>(K227)/1000</f>
        <v>0</v>
      </c>
      <c r="K227">
        <f>IF(CZ227, AN227, AH227)</f>
        <v>0</v>
      </c>
      <c r="L227">
        <f>IF(CZ227, AI227, AG227)</f>
        <v>0</v>
      </c>
      <c r="M227">
        <f>DB227 - IF(AU227&gt;1, L227*CV227*100.0/(AW227*DP227), 0)</f>
        <v>0</v>
      </c>
      <c r="N227">
        <f>((T227-J227/2)*M227-L227)/(T227+J227/2)</f>
        <v>0</v>
      </c>
      <c r="O227">
        <f>N227*(DI227+DJ227)/1000.0</f>
        <v>0</v>
      </c>
      <c r="P227">
        <f>(DB227 - IF(AU227&gt;1, L227*CV227*100.0/(AW227*DP227), 0))*(DI227+DJ227)/1000.0</f>
        <v>0</v>
      </c>
      <c r="Q227">
        <f>2.0/((1/S227-1/R227)+SIGN(S227)*SQRT((1/S227-1/R227)*(1/S227-1/R227) + 4*CW227/((CW227+1)*(CW227+1))*(2*1/S227*1/R227-1/R227*1/R227)))</f>
        <v>0</v>
      </c>
      <c r="R227">
        <f>IF(LEFT(CX227,1)&lt;&gt;"0",IF(LEFT(CX227,1)="1",3.0,CY227),$D$5+$E$5*(DP227*DI227/($K$5*1000))+$F$5*(DP227*DI227/($K$5*1000))*MAX(MIN(CV227,$J$5),$I$5)*MAX(MIN(CV227,$J$5),$I$5)+$G$5*MAX(MIN(CV227,$J$5),$I$5)*(DP227*DI227/($K$5*1000))+$H$5*(DP227*DI227/($K$5*1000))*(DP227*DI227/($K$5*1000)))</f>
        <v>0</v>
      </c>
      <c r="S227">
        <f>J227*(1000-(1000*0.61365*exp(17.502*W227/(240.97+W227))/(DI227+DJ227)+DD227)/2)/(1000*0.61365*exp(17.502*W227/(240.97+W227))/(DI227+DJ227)-DD227)</f>
        <v>0</v>
      </c>
      <c r="T227">
        <f>1/((CW227+1)/(Q227/1.6)+1/(R227/1.37)) + CW227/((CW227+1)/(Q227/1.6) + CW227/(R227/1.37))</f>
        <v>0</v>
      </c>
      <c r="U227">
        <f>(CR227*CU227)</f>
        <v>0</v>
      </c>
      <c r="V227">
        <f>(DK227+(U227+2*0.95*5.67E-8*(((DK227+$B$7)+273)^4-(DK227+273)^4)-44100*J227)/(1.84*29.3*R227+8*0.95*5.67E-8*(DK227+273)^3))</f>
        <v>0</v>
      </c>
      <c r="W227">
        <f>($C$7*DL227+$D$7*DM227+$E$7*V227)</f>
        <v>0</v>
      </c>
      <c r="X227">
        <f>0.61365*exp(17.502*W227/(240.97+W227))</f>
        <v>0</v>
      </c>
      <c r="Y227">
        <f>(Z227/AA227*100)</f>
        <v>0</v>
      </c>
      <c r="Z227">
        <f>DD227*(DI227+DJ227)/1000</f>
        <v>0</v>
      </c>
      <c r="AA227">
        <f>0.61365*exp(17.502*DK227/(240.97+DK227))</f>
        <v>0</v>
      </c>
      <c r="AB227">
        <f>(X227-DD227*(DI227+DJ227)/1000)</f>
        <v>0</v>
      </c>
      <c r="AC227">
        <f>(-J227*44100)</f>
        <v>0</v>
      </c>
      <c r="AD227">
        <f>2*29.3*R227*0.92*(DK227-W227)</f>
        <v>0</v>
      </c>
      <c r="AE227">
        <f>2*0.95*5.67E-8*(((DK227+$B$7)+273)^4-(W227+273)^4)</f>
        <v>0</v>
      </c>
      <c r="AF227">
        <f>U227+AE227+AC227+AD227</f>
        <v>0</v>
      </c>
      <c r="AG227">
        <f>DH227*AU227*(DC227-DB227*(1000-AU227*DE227)/(1000-AU227*DD227))/(100*CV227)</f>
        <v>0</v>
      </c>
      <c r="AH227">
        <f>1000*DH227*AU227*(DD227-DE227)/(100*CV227*(1000-AU227*DD227))</f>
        <v>0</v>
      </c>
      <c r="AI227">
        <f>(AJ227 - AK227 - DI227*1E3/(8.314*(DK227+273.15)) * AM227/DH227 * AL227) * DH227/(100*CV227) * (1000 - DE227)/1000</f>
        <v>0</v>
      </c>
      <c r="AJ227">
        <v>248.4224146008378</v>
      </c>
      <c r="AK227">
        <v>250.9759636363635</v>
      </c>
      <c r="AL227">
        <v>-3.16882461975134</v>
      </c>
      <c r="AM227">
        <v>66.38192812717227</v>
      </c>
      <c r="AN227">
        <f>(AP227 - AO227 + DI227*1E3/(8.314*(DK227+273.15)) * AR227/DH227 * AQ227) * DH227/(100*CV227) * 1000/(1000 - AP227)</f>
        <v>0</v>
      </c>
      <c r="AO227">
        <v>14.13551151804601</v>
      </c>
      <c r="AP227">
        <v>18.35457294117646</v>
      </c>
      <c r="AQ227">
        <v>1.992698108641107E-05</v>
      </c>
      <c r="AR227">
        <v>80.47224507511959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MAX(0,($B$13+$C$13*DP227)/(1+$D$13*DP227)*DI227/(DK227+273)*$E$13)</f>
        <v>0</v>
      </c>
      <c r="AX227" t="s">
        <v>417</v>
      </c>
      <c r="AY227" t="s">
        <v>417</v>
      </c>
      <c r="AZ227">
        <v>0</v>
      </c>
      <c r="BA227">
        <v>0</v>
      </c>
      <c r="BB227">
        <f>1-AZ227/BA227</f>
        <v>0</v>
      </c>
      <c r="BC227">
        <v>0</v>
      </c>
      <c r="BD227" t="s">
        <v>417</v>
      </c>
      <c r="BE227" t="s">
        <v>417</v>
      </c>
      <c r="BF227">
        <v>0</v>
      </c>
      <c r="BG227">
        <v>0</v>
      </c>
      <c r="BH227">
        <f>1-BF227/BG227</f>
        <v>0</v>
      </c>
      <c r="BI227">
        <v>0.5</v>
      </c>
      <c r="BJ227">
        <f>CS227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417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BZ227">
        <v>1248</v>
      </c>
      <c r="CA227">
        <v>300</v>
      </c>
      <c r="CB227">
        <v>300</v>
      </c>
      <c r="CC227">
        <v>300</v>
      </c>
      <c r="CD227">
        <v>10442</v>
      </c>
      <c r="CE227">
        <v>1293.69</v>
      </c>
      <c r="CF227">
        <v>-0.00735246</v>
      </c>
      <c r="CG227">
        <v>0.5</v>
      </c>
      <c r="CH227" t="s">
        <v>417</v>
      </c>
      <c r="CI227" t="s">
        <v>417</v>
      </c>
      <c r="CJ227" t="s">
        <v>417</v>
      </c>
      <c r="CK227" t="s">
        <v>417</v>
      </c>
      <c r="CL227" t="s">
        <v>417</v>
      </c>
      <c r="CM227" t="s">
        <v>417</v>
      </c>
      <c r="CN227" t="s">
        <v>417</v>
      </c>
      <c r="CO227" t="s">
        <v>417</v>
      </c>
      <c r="CP227" t="s">
        <v>417</v>
      </c>
      <c r="CQ227" t="s">
        <v>417</v>
      </c>
      <c r="CR227">
        <f>$B$11*DQ227+$C$11*DR227+$F$11*EC227*(1-EF227)</f>
        <v>0</v>
      </c>
      <c r="CS227">
        <f>CR227*CT227</f>
        <v>0</v>
      </c>
      <c r="CT227">
        <f>($B$11*$D$9+$C$11*$D$9+$F$11*((EP227+EH227)/MAX(EP227+EH227+EQ227, 0.1)*$I$9+EQ227/MAX(EP227+EH227+EQ227, 0.1)*$J$9))/($B$11+$C$11+$F$11)</f>
        <v>0</v>
      </c>
      <c r="CU227">
        <f>($B$11*$K$9+$C$11*$K$9+$F$11*((EP227+EH227)/MAX(EP227+EH227+EQ227, 0.1)*$P$9+EQ227/MAX(EP227+EH227+EQ227, 0.1)*$Q$9))/($B$11+$C$11+$F$11)</f>
        <v>0</v>
      </c>
      <c r="CV227">
        <v>6</v>
      </c>
      <c r="CW227">
        <v>0.5</v>
      </c>
      <c r="CX227" t="s">
        <v>418</v>
      </c>
      <c r="CY227">
        <v>2</v>
      </c>
      <c r="CZ227" t="b">
        <v>1</v>
      </c>
      <c r="DA227">
        <v>1651864817.725</v>
      </c>
      <c r="DB227">
        <v>249.091</v>
      </c>
      <c r="DC227">
        <v>240.29925</v>
      </c>
      <c r="DD227">
        <v>18.354875</v>
      </c>
      <c r="DE227">
        <v>14.132675</v>
      </c>
      <c r="DF227">
        <v>249.80075</v>
      </c>
      <c r="DG227">
        <v>18.3344</v>
      </c>
      <c r="DH227">
        <v>500.0405</v>
      </c>
      <c r="DI227">
        <v>89.9328</v>
      </c>
      <c r="DJ227">
        <v>0.10005175</v>
      </c>
      <c r="DK227">
        <v>25.63145</v>
      </c>
      <c r="DL227">
        <v>25.004125</v>
      </c>
      <c r="DM227">
        <v>999.9</v>
      </c>
      <c r="DN227">
        <v>0</v>
      </c>
      <c r="DO227">
        <v>0</v>
      </c>
      <c r="DP227">
        <v>9989.0625</v>
      </c>
      <c r="DQ227">
        <v>0</v>
      </c>
      <c r="DR227">
        <v>3.233335</v>
      </c>
      <c r="DS227">
        <v>8.791785000000001</v>
      </c>
      <c r="DT227">
        <v>253.7485</v>
      </c>
      <c r="DU227">
        <v>243.74375</v>
      </c>
      <c r="DV227">
        <v>4.222177500000001</v>
      </c>
      <c r="DW227">
        <v>240.29925</v>
      </c>
      <c r="DX227">
        <v>14.132675</v>
      </c>
      <c r="DY227">
        <v>1.650705</v>
      </c>
      <c r="DZ227">
        <v>1.2709925</v>
      </c>
      <c r="EA227">
        <v>14.44045</v>
      </c>
      <c r="EB227">
        <v>10.46015</v>
      </c>
      <c r="EC227">
        <v>1500.075</v>
      </c>
      <c r="ED227">
        <v>0.9729995</v>
      </c>
      <c r="EE227">
        <v>0.027000425</v>
      </c>
      <c r="EF227">
        <v>0</v>
      </c>
      <c r="EG227">
        <v>832.8154999999999</v>
      </c>
      <c r="EH227">
        <v>5.00097</v>
      </c>
      <c r="EI227">
        <v>12370.85</v>
      </c>
      <c r="EJ227">
        <v>12492.25</v>
      </c>
      <c r="EK227">
        <v>37.25</v>
      </c>
      <c r="EL227">
        <v>38.687</v>
      </c>
      <c r="EM227">
        <v>37.625</v>
      </c>
      <c r="EN227">
        <v>38.375</v>
      </c>
      <c r="EO227">
        <v>38.07774999999999</v>
      </c>
      <c r="EP227">
        <v>1454.7075</v>
      </c>
      <c r="EQ227">
        <v>40.3675</v>
      </c>
      <c r="ER227">
        <v>0</v>
      </c>
      <c r="ES227">
        <v>598.2000000476837</v>
      </c>
      <c r="ET227">
        <v>0</v>
      </c>
      <c r="EU227">
        <v>833.8456</v>
      </c>
      <c r="EV227">
        <v>-11.69653843847524</v>
      </c>
      <c r="EW227">
        <v>-188.7615380948675</v>
      </c>
      <c r="EX227">
        <v>12386.968</v>
      </c>
      <c r="EY227">
        <v>15</v>
      </c>
      <c r="EZ227">
        <v>1651864261.1</v>
      </c>
      <c r="FA227" t="s">
        <v>419</v>
      </c>
      <c r="FB227">
        <v>1651864241.6</v>
      </c>
      <c r="FC227">
        <v>1651864261.1</v>
      </c>
      <c r="FD227">
        <v>7</v>
      </c>
      <c r="FE227">
        <v>0.438</v>
      </c>
      <c r="FF227">
        <v>0.002</v>
      </c>
      <c r="FG227">
        <v>-0.988</v>
      </c>
      <c r="FH227">
        <v>-0.066</v>
      </c>
      <c r="FI227">
        <v>400</v>
      </c>
      <c r="FJ227">
        <v>11</v>
      </c>
      <c r="FK227">
        <v>0.05</v>
      </c>
      <c r="FL227">
        <v>0.02</v>
      </c>
      <c r="FM227">
        <v>6.91517475</v>
      </c>
      <c r="FN227">
        <v>11.66585166979361</v>
      </c>
      <c r="FO227">
        <v>1.123416402884495</v>
      </c>
      <c r="FP227">
        <v>-1</v>
      </c>
      <c r="FQ227">
        <v>4.21761425</v>
      </c>
      <c r="FR227">
        <v>0.02115140712945013</v>
      </c>
      <c r="FS227">
        <v>0.002237737571186606</v>
      </c>
      <c r="FT227">
        <v>-1</v>
      </c>
      <c r="FU227">
        <v>0</v>
      </c>
      <c r="FV227">
        <v>0</v>
      </c>
      <c r="FW227">
        <v>0</v>
      </c>
      <c r="FX227">
        <v>-1</v>
      </c>
      <c r="FY227">
        <v>0</v>
      </c>
      <c r="FZ227">
        <v>0</v>
      </c>
      <c r="GA227" t="s">
        <v>420</v>
      </c>
      <c r="GB227">
        <v>2.9804</v>
      </c>
      <c r="GC227">
        <v>2.70618</v>
      </c>
      <c r="GD227">
        <v>0.0604804</v>
      </c>
      <c r="GE227">
        <v>0.0578458</v>
      </c>
      <c r="GF227">
        <v>0.0876702</v>
      </c>
      <c r="GG227">
        <v>0.0716088</v>
      </c>
      <c r="GH227">
        <v>29649.7</v>
      </c>
      <c r="GI227">
        <v>29797.9</v>
      </c>
      <c r="GJ227">
        <v>29343.8</v>
      </c>
      <c r="GK227">
        <v>29258</v>
      </c>
      <c r="GL227">
        <v>35447.9</v>
      </c>
      <c r="GM227">
        <v>36175.8</v>
      </c>
      <c r="GN227">
        <v>41302.4</v>
      </c>
      <c r="GO227">
        <v>41760.7</v>
      </c>
      <c r="GP227">
        <v>1.9552</v>
      </c>
      <c r="GQ227">
        <v>1.84905</v>
      </c>
      <c r="GR227">
        <v>-0.0201128</v>
      </c>
      <c r="GS227">
        <v>0</v>
      </c>
      <c r="GT227">
        <v>25.3375</v>
      </c>
      <c r="GU227">
        <v>999.9</v>
      </c>
      <c r="GV227">
        <v>31.5</v>
      </c>
      <c r="GW227">
        <v>34.3</v>
      </c>
      <c r="GX227">
        <v>19.0288</v>
      </c>
      <c r="GY227">
        <v>62.4375</v>
      </c>
      <c r="GZ227">
        <v>34.8237</v>
      </c>
      <c r="HA227">
        <v>1</v>
      </c>
      <c r="HB227">
        <v>0.108194</v>
      </c>
      <c r="HC227">
        <v>2.33354</v>
      </c>
      <c r="HD227">
        <v>20.3179</v>
      </c>
      <c r="HE227">
        <v>5.21579</v>
      </c>
      <c r="HF227">
        <v>12.0099</v>
      </c>
      <c r="HG227">
        <v>4.98895</v>
      </c>
      <c r="HH227">
        <v>3.28848</v>
      </c>
      <c r="HI227">
        <v>1000.2</v>
      </c>
      <c r="HJ227">
        <v>9557</v>
      </c>
      <c r="HK227">
        <v>5139.4</v>
      </c>
      <c r="HL227">
        <v>24.9</v>
      </c>
      <c r="HM227">
        <v>1.86752</v>
      </c>
      <c r="HN227">
        <v>1.86646</v>
      </c>
      <c r="HO227">
        <v>1.866</v>
      </c>
      <c r="HP227">
        <v>1.86585</v>
      </c>
      <c r="HQ227">
        <v>1.86771</v>
      </c>
      <c r="HR227">
        <v>1.87024</v>
      </c>
      <c r="HS227">
        <v>1.8689</v>
      </c>
      <c r="HT227">
        <v>1.87026</v>
      </c>
      <c r="HU227">
        <v>0</v>
      </c>
      <c r="HV227">
        <v>0</v>
      </c>
      <c r="HW227">
        <v>0</v>
      </c>
      <c r="HX227">
        <v>0</v>
      </c>
      <c r="HY227" t="s">
        <v>421</v>
      </c>
      <c r="HZ227" t="s">
        <v>422</v>
      </c>
      <c r="IA227" t="s">
        <v>423</v>
      </c>
      <c r="IB227" t="s">
        <v>423</v>
      </c>
      <c r="IC227" t="s">
        <v>423</v>
      </c>
      <c r="ID227" t="s">
        <v>423</v>
      </c>
      <c r="IE227">
        <v>0</v>
      </c>
      <c r="IF227">
        <v>100</v>
      </c>
      <c r="IG227">
        <v>100</v>
      </c>
      <c r="IH227">
        <v>-0.702</v>
      </c>
      <c r="II227">
        <v>0.0204</v>
      </c>
      <c r="IJ227">
        <v>-0.2164499368582429</v>
      </c>
      <c r="IK227">
        <v>-0.002077099775823331</v>
      </c>
      <c r="IL227">
        <v>4.593143279902166E-07</v>
      </c>
      <c r="IM227">
        <v>-1.865383991892071E-10</v>
      </c>
      <c r="IN227">
        <v>-0.06087574426827484</v>
      </c>
      <c r="IO227">
        <v>-0.01129461987421345</v>
      </c>
      <c r="IP227">
        <v>0.00116580895745559</v>
      </c>
      <c r="IQ227">
        <v>-1.679085872906199E-05</v>
      </c>
      <c r="IR227">
        <v>2</v>
      </c>
      <c r="IS227">
        <v>2290</v>
      </c>
      <c r="IT227">
        <v>0</v>
      </c>
      <c r="IU227">
        <v>32</v>
      </c>
      <c r="IV227">
        <v>9.6</v>
      </c>
      <c r="IW227">
        <v>9.300000000000001</v>
      </c>
      <c r="IX227">
        <v>0.632324</v>
      </c>
      <c r="IY227">
        <v>2.2522</v>
      </c>
      <c r="IZ227">
        <v>1.39648</v>
      </c>
      <c r="JA227">
        <v>2.35596</v>
      </c>
      <c r="JB227">
        <v>1.49536</v>
      </c>
      <c r="JC227">
        <v>2.37305</v>
      </c>
      <c r="JD227">
        <v>38.5014</v>
      </c>
      <c r="JE227">
        <v>24.035</v>
      </c>
      <c r="JF227">
        <v>18</v>
      </c>
      <c r="JG227">
        <v>511.078</v>
      </c>
      <c r="JH227">
        <v>428.399</v>
      </c>
      <c r="JI227">
        <v>22.1977</v>
      </c>
      <c r="JJ227">
        <v>28.6928</v>
      </c>
      <c r="JK227">
        <v>30.0001</v>
      </c>
      <c r="JL227">
        <v>28.6569</v>
      </c>
      <c r="JM227">
        <v>28.5944</v>
      </c>
      <c r="JN227">
        <v>12.5981</v>
      </c>
      <c r="JO227">
        <v>26.5129</v>
      </c>
      <c r="JP227">
        <v>0</v>
      </c>
      <c r="JQ227">
        <v>22.198</v>
      </c>
      <c r="JR227">
        <v>212.865</v>
      </c>
      <c r="JS227">
        <v>14.1425</v>
      </c>
      <c r="JT227">
        <v>100.303</v>
      </c>
      <c r="JU227">
        <v>100.228</v>
      </c>
    </row>
    <row r="228" spans="1:281">
      <c r="A228">
        <v>212</v>
      </c>
      <c r="B228">
        <v>1651864821.1</v>
      </c>
      <c r="C228">
        <v>600.5</v>
      </c>
      <c r="D228" t="s">
        <v>844</v>
      </c>
      <c r="E228" t="s">
        <v>845</v>
      </c>
      <c r="F228">
        <v>2</v>
      </c>
      <c r="G228" t="s">
        <v>413</v>
      </c>
      <c r="H228" t="s">
        <v>414</v>
      </c>
      <c r="I228">
        <v>1651864820.1</v>
      </c>
      <c r="J228">
        <f>(K228)/1000</f>
        <v>0</v>
      </c>
      <c r="K228">
        <f>IF(CZ228, AN228, AH228)</f>
        <v>0</v>
      </c>
      <c r="L228">
        <f>IF(CZ228, AI228, AG228)</f>
        <v>0</v>
      </c>
      <c r="M228">
        <f>DB228 - IF(AU228&gt;1, L228*CV228*100.0/(AW228*DP228), 0)</f>
        <v>0</v>
      </c>
      <c r="N228">
        <f>((T228-J228/2)*M228-L228)/(T228+J228/2)</f>
        <v>0</v>
      </c>
      <c r="O228">
        <f>N228*(DI228+DJ228)/1000.0</f>
        <v>0</v>
      </c>
      <c r="P228">
        <f>(DB228 - IF(AU228&gt;1, L228*CV228*100.0/(AW228*DP228), 0))*(DI228+DJ228)/1000.0</f>
        <v>0</v>
      </c>
      <c r="Q228">
        <f>2.0/((1/S228-1/R228)+SIGN(S228)*SQRT((1/S228-1/R228)*(1/S228-1/R228) + 4*CW228/((CW228+1)*(CW228+1))*(2*1/S228*1/R228-1/R228*1/R228)))</f>
        <v>0</v>
      </c>
      <c r="R228">
        <f>IF(LEFT(CX228,1)&lt;&gt;"0",IF(LEFT(CX228,1)="1",3.0,CY228),$D$5+$E$5*(DP228*DI228/($K$5*1000))+$F$5*(DP228*DI228/($K$5*1000))*MAX(MIN(CV228,$J$5),$I$5)*MAX(MIN(CV228,$J$5),$I$5)+$G$5*MAX(MIN(CV228,$J$5),$I$5)*(DP228*DI228/($K$5*1000))+$H$5*(DP228*DI228/($K$5*1000))*(DP228*DI228/($K$5*1000)))</f>
        <v>0</v>
      </c>
      <c r="S228">
        <f>J228*(1000-(1000*0.61365*exp(17.502*W228/(240.97+W228))/(DI228+DJ228)+DD228)/2)/(1000*0.61365*exp(17.502*W228/(240.97+W228))/(DI228+DJ228)-DD228)</f>
        <v>0</v>
      </c>
      <c r="T228">
        <f>1/((CW228+1)/(Q228/1.6)+1/(R228/1.37)) + CW228/((CW228+1)/(Q228/1.6) + CW228/(R228/1.37))</f>
        <v>0</v>
      </c>
      <c r="U228">
        <f>(CR228*CU228)</f>
        <v>0</v>
      </c>
      <c r="V228">
        <f>(DK228+(U228+2*0.95*5.67E-8*(((DK228+$B$7)+273)^4-(DK228+273)^4)-44100*J228)/(1.84*29.3*R228+8*0.95*5.67E-8*(DK228+273)^3))</f>
        <v>0</v>
      </c>
      <c r="W228">
        <f>($C$7*DL228+$D$7*DM228+$E$7*V228)</f>
        <v>0</v>
      </c>
      <c r="X228">
        <f>0.61365*exp(17.502*W228/(240.97+W228))</f>
        <v>0</v>
      </c>
      <c r="Y228">
        <f>(Z228/AA228*100)</f>
        <v>0</v>
      </c>
      <c r="Z228">
        <f>DD228*(DI228+DJ228)/1000</f>
        <v>0</v>
      </c>
      <c r="AA228">
        <f>0.61365*exp(17.502*DK228/(240.97+DK228))</f>
        <v>0</v>
      </c>
      <c r="AB228">
        <f>(X228-DD228*(DI228+DJ228)/1000)</f>
        <v>0</v>
      </c>
      <c r="AC228">
        <f>(-J228*44100)</f>
        <v>0</v>
      </c>
      <c r="AD228">
        <f>2*29.3*R228*0.92*(DK228-W228)</f>
        <v>0</v>
      </c>
      <c r="AE228">
        <f>2*0.95*5.67E-8*(((DK228+$B$7)+273)^4-(W228+273)^4)</f>
        <v>0</v>
      </c>
      <c r="AF228">
        <f>U228+AE228+AC228+AD228</f>
        <v>0</v>
      </c>
      <c r="AG228">
        <f>DH228*AU228*(DC228-DB228*(1000-AU228*DE228)/(1000-AU228*DD228))/(100*CV228)</f>
        <v>0</v>
      </c>
      <c r="AH228">
        <f>1000*DH228*AU228*(DD228-DE228)/(100*CV228*(1000-AU228*DD228))</f>
        <v>0</v>
      </c>
      <c r="AI228">
        <f>(AJ228 - AK228 - DI228*1E3/(8.314*(DK228+273.15)) * AM228/DH228 * AL228) * DH228/(100*CV228) * (1000 - DE228)/1000</f>
        <v>0</v>
      </c>
      <c r="AJ228">
        <v>241.7181905571232</v>
      </c>
      <c r="AK228">
        <v>244.6214424242423</v>
      </c>
      <c r="AL228">
        <v>-3.175128284763611</v>
      </c>
      <c r="AM228">
        <v>66.38192812717227</v>
      </c>
      <c r="AN228">
        <f>(AP228 - AO228 + DI228*1E3/(8.314*(DK228+273.15)) * AR228/DH228 * AQ228) * DH228/(100*CV228) * 1000/(1000 - AP228)</f>
        <v>0</v>
      </c>
      <c r="AO228">
        <v>14.13398795953577</v>
      </c>
      <c r="AP228">
        <v>18.35570176470589</v>
      </c>
      <c r="AQ228">
        <v>-2.481348056812269E-05</v>
      </c>
      <c r="AR228">
        <v>80.47224507511959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MAX(0,($B$13+$C$13*DP228)/(1+$D$13*DP228)*DI228/(DK228+273)*$E$13)</f>
        <v>0</v>
      </c>
      <c r="AX228" t="s">
        <v>417</v>
      </c>
      <c r="AY228" t="s">
        <v>417</v>
      </c>
      <c r="AZ228">
        <v>0</v>
      </c>
      <c r="BA228">
        <v>0</v>
      </c>
      <c r="BB228">
        <f>1-AZ228/BA228</f>
        <v>0</v>
      </c>
      <c r="BC228">
        <v>0</v>
      </c>
      <c r="BD228" t="s">
        <v>417</v>
      </c>
      <c r="BE228" t="s">
        <v>417</v>
      </c>
      <c r="BF228">
        <v>0</v>
      </c>
      <c r="BG228">
        <v>0</v>
      </c>
      <c r="BH228">
        <f>1-BF228/BG228</f>
        <v>0</v>
      </c>
      <c r="BI228">
        <v>0.5</v>
      </c>
      <c r="BJ228">
        <f>CS228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417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BZ228">
        <v>1248</v>
      </c>
      <c r="CA228">
        <v>300</v>
      </c>
      <c r="CB228">
        <v>300</v>
      </c>
      <c r="CC228">
        <v>300</v>
      </c>
      <c r="CD228">
        <v>10442</v>
      </c>
      <c r="CE228">
        <v>1293.69</v>
      </c>
      <c r="CF228">
        <v>-0.00735246</v>
      </c>
      <c r="CG228">
        <v>0.5</v>
      </c>
      <c r="CH228" t="s">
        <v>417</v>
      </c>
      <c r="CI228" t="s">
        <v>417</v>
      </c>
      <c r="CJ228" t="s">
        <v>417</v>
      </c>
      <c r="CK228" t="s">
        <v>417</v>
      </c>
      <c r="CL228" t="s">
        <v>417</v>
      </c>
      <c r="CM228" t="s">
        <v>417</v>
      </c>
      <c r="CN228" t="s">
        <v>417</v>
      </c>
      <c r="CO228" t="s">
        <v>417</v>
      </c>
      <c r="CP228" t="s">
        <v>417</v>
      </c>
      <c r="CQ228" t="s">
        <v>417</v>
      </c>
      <c r="CR228">
        <f>$B$11*DQ228+$C$11*DR228+$F$11*EC228*(1-EF228)</f>
        <v>0</v>
      </c>
      <c r="CS228">
        <f>CR228*CT228</f>
        <v>0</v>
      </c>
      <c r="CT228">
        <f>($B$11*$D$9+$C$11*$D$9+$F$11*((EP228+EH228)/MAX(EP228+EH228+EQ228, 0.1)*$I$9+EQ228/MAX(EP228+EH228+EQ228, 0.1)*$J$9))/($B$11+$C$11+$F$11)</f>
        <v>0</v>
      </c>
      <c r="CU228">
        <f>($B$11*$K$9+$C$11*$K$9+$F$11*((EP228+EH228)/MAX(EP228+EH228+EQ228, 0.1)*$P$9+EQ228/MAX(EP228+EH228+EQ228, 0.1)*$Q$9))/($B$11+$C$11+$F$11)</f>
        <v>0</v>
      </c>
      <c r="CV228">
        <v>6</v>
      </c>
      <c r="CW228">
        <v>0.5</v>
      </c>
      <c r="CX228" t="s">
        <v>418</v>
      </c>
      <c r="CY228">
        <v>2</v>
      </c>
      <c r="CZ228" t="b">
        <v>1</v>
      </c>
      <c r="DA228">
        <v>1651864820.1</v>
      </c>
      <c r="DB228">
        <v>241.6913333333333</v>
      </c>
      <c r="DC228">
        <v>232.4693333333333</v>
      </c>
      <c r="DD228">
        <v>18.3555</v>
      </c>
      <c r="DE228">
        <v>14.13113333333333</v>
      </c>
      <c r="DF228">
        <v>242.387</v>
      </c>
      <c r="DG228">
        <v>18.335</v>
      </c>
      <c r="DH228">
        <v>500.0576666666666</v>
      </c>
      <c r="DI228">
        <v>89.93346666666666</v>
      </c>
      <c r="DJ228">
        <v>0.1000966666666667</v>
      </c>
      <c r="DK228">
        <v>25.63029999999999</v>
      </c>
      <c r="DL228">
        <v>25.0022</v>
      </c>
      <c r="DM228">
        <v>999.9</v>
      </c>
      <c r="DN228">
        <v>0</v>
      </c>
      <c r="DO228">
        <v>0</v>
      </c>
      <c r="DP228">
        <v>9982.503333333332</v>
      </c>
      <c r="DQ228">
        <v>0</v>
      </c>
      <c r="DR228">
        <v>3.233336666666666</v>
      </c>
      <c r="DS228">
        <v>9.2217</v>
      </c>
      <c r="DT228">
        <v>246.2106666666666</v>
      </c>
      <c r="DU228">
        <v>235.8016666666666</v>
      </c>
      <c r="DV228">
        <v>4.224343333333334</v>
      </c>
      <c r="DW228">
        <v>232.4693333333333</v>
      </c>
      <c r="DX228">
        <v>14.13113333333333</v>
      </c>
      <c r="DY228">
        <v>1.650773333333333</v>
      </c>
      <c r="DZ228">
        <v>1.27086</v>
      </c>
      <c r="EA228">
        <v>14.4411</v>
      </c>
      <c r="EB228">
        <v>10.45863333333333</v>
      </c>
      <c r="EC228">
        <v>1499.943333333333</v>
      </c>
      <c r="ED228">
        <v>0.973002</v>
      </c>
      <c r="EE228">
        <v>0.02699806666666666</v>
      </c>
      <c r="EF228">
        <v>0</v>
      </c>
      <c r="EG228">
        <v>832.3533333333334</v>
      </c>
      <c r="EH228">
        <v>5.00097</v>
      </c>
      <c r="EI228">
        <v>12364.26666666667</v>
      </c>
      <c r="EJ228">
        <v>12491.13333333333</v>
      </c>
      <c r="EK228">
        <v>37.25</v>
      </c>
      <c r="EL228">
        <v>38.687</v>
      </c>
      <c r="EM228">
        <v>37.625</v>
      </c>
      <c r="EN228">
        <v>38.375</v>
      </c>
      <c r="EO228">
        <v>38.062</v>
      </c>
      <c r="EP228">
        <v>1454.583333333333</v>
      </c>
      <c r="EQ228">
        <v>40.36000000000001</v>
      </c>
      <c r="ER228">
        <v>0</v>
      </c>
      <c r="ES228">
        <v>600</v>
      </c>
      <c r="ET228">
        <v>0</v>
      </c>
      <c r="EU228">
        <v>833.5410769230771</v>
      </c>
      <c r="EV228">
        <v>-10.90434188586386</v>
      </c>
      <c r="EW228">
        <v>-179.0871795243523</v>
      </c>
      <c r="EX228">
        <v>12382.43461538461</v>
      </c>
      <c r="EY228">
        <v>15</v>
      </c>
      <c r="EZ228">
        <v>1651864261.1</v>
      </c>
      <c r="FA228" t="s">
        <v>419</v>
      </c>
      <c r="FB228">
        <v>1651864241.6</v>
      </c>
      <c r="FC228">
        <v>1651864261.1</v>
      </c>
      <c r="FD228">
        <v>7</v>
      </c>
      <c r="FE228">
        <v>0.438</v>
      </c>
      <c r="FF228">
        <v>0.002</v>
      </c>
      <c r="FG228">
        <v>-0.988</v>
      </c>
      <c r="FH228">
        <v>-0.066</v>
      </c>
      <c r="FI228">
        <v>400</v>
      </c>
      <c r="FJ228">
        <v>11</v>
      </c>
      <c r="FK228">
        <v>0.05</v>
      </c>
      <c r="FL228">
        <v>0.02</v>
      </c>
      <c r="FM228">
        <v>7.161327560975611</v>
      </c>
      <c r="FN228">
        <v>11.73364202090592</v>
      </c>
      <c r="FO228">
        <v>1.158159287150763</v>
      </c>
      <c r="FP228">
        <v>-1</v>
      </c>
      <c r="FQ228">
        <v>4.218116341463415</v>
      </c>
      <c r="FR228">
        <v>0.02408801393728462</v>
      </c>
      <c r="FS228">
        <v>0.002553767905967371</v>
      </c>
      <c r="FT228">
        <v>-1</v>
      </c>
      <c r="FU228">
        <v>0</v>
      </c>
      <c r="FV228">
        <v>0</v>
      </c>
      <c r="FW228">
        <v>0</v>
      </c>
      <c r="FX228">
        <v>-1</v>
      </c>
      <c r="FY228">
        <v>0</v>
      </c>
      <c r="FZ228">
        <v>0</v>
      </c>
      <c r="GA228" t="s">
        <v>420</v>
      </c>
      <c r="GB228">
        <v>2.98055</v>
      </c>
      <c r="GC228">
        <v>2.7061</v>
      </c>
      <c r="GD228">
        <v>0.059154</v>
      </c>
      <c r="GE228">
        <v>0.0564382</v>
      </c>
      <c r="GF228">
        <v>0.0876767</v>
      </c>
      <c r="GG228">
        <v>0.07160560000000001</v>
      </c>
      <c r="GH228">
        <v>29692</v>
      </c>
      <c r="GI228">
        <v>29842.4</v>
      </c>
      <c r="GJ228">
        <v>29344.3</v>
      </c>
      <c r="GK228">
        <v>29257.9</v>
      </c>
      <c r="GL228">
        <v>35448.1</v>
      </c>
      <c r="GM228">
        <v>36175.8</v>
      </c>
      <c r="GN228">
        <v>41303.1</v>
      </c>
      <c r="GO228">
        <v>41760.6</v>
      </c>
      <c r="GP228">
        <v>1.95513</v>
      </c>
      <c r="GQ228">
        <v>1.84907</v>
      </c>
      <c r="GR228">
        <v>-0.0207238</v>
      </c>
      <c r="GS228">
        <v>0</v>
      </c>
      <c r="GT228">
        <v>25.3375</v>
      </c>
      <c r="GU228">
        <v>999.9</v>
      </c>
      <c r="GV228">
        <v>31.5</v>
      </c>
      <c r="GW228">
        <v>34.3</v>
      </c>
      <c r="GX228">
        <v>19.0286</v>
      </c>
      <c r="GY228">
        <v>62.4775</v>
      </c>
      <c r="GZ228">
        <v>35.0641</v>
      </c>
      <c r="HA228">
        <v>1</v>
      </c>
      <c r="HB228">
        <v>0.108186</v>
      </c>
      <c r="HC228">
        <v>2.33388</v>
      </c>
      <c r="HD228">
        <v>20.3177</v>
      </c>
      <c r="HE228">
        <v>5.21639</v>
      </c>
      <c r="HF228">
        <v>12.0099</v>
      </c>
      <c r="HG228">
        <v>4.9891</v>
      </c>
      <c r="HH228">
        <v>3.28858</v>
      </c>
      <c r="HI228">
        <v>1000.2</v>
      </c>
      <c r="HJ228">
        <v>9557</v>
      </c>
      <c r="HK228">
        <v>5139.4</v>
      </c>
      <c r="HL228">
        <v>24.9</v>
      </c>
      <c r="HM228">
        <v>1.86751</v>
      </c>
      <c r="HN228">
        <v>1.86646</v>
      </c>
      <c r="HO228">
        <v>1.866</v>
      </c>
      <c r="HP228">
        <v>1.86585</v>
      </c>
      <c r="HQ228">
        <v>1.86769</v>
      </c>
      <c r="HR228">
        <v>1.87023</v>
      </c>
      <c r="HS228">
        <v>1.8689</v>
      </c>
      <c r="HT228">
        <v>1.87026</v>
      </c>
      <c r="HU228">
        <v>0</v>
      </c>
      <c r="HV228">
        <v>0</v>
      </c>
      <c r="HW228">
        <v>0</v>
      </c>
      <c r="HX228">
        <v>0</v>
      </c>
      <c r="HY228" t="s">
        <v>421</v>
      </c>
      <c r="HZ228" t="s">
        <v>422</v>
      </c>
      <c r="IA228" t="s">
        <v>423</v>
      </c>
      <c r="IB228" t="s">
        <v>423</v>
      </c>
      <c r="IC228" t="s">
        <v>423</v>
      </c>
      <c r="ID228" t="s">
        <v>423</v>
      </c>
      <c r="IE228">
        <v>0</v>
      </c>
      <c r="IF228">
        <v>100</v>
      </c>
      <c r="IG228">
        <v>100</v>
      </c>
      <c r="IH228">
        <v>-0.6899999999999999</v>
      </c>
      <c r="II228">
        <v>0.0205</v>
      </c>
      <c r="IJ228">
        <v>-0.2164499368582429</v>
      </c>
      <c r="IK228">
        <v>-0.002077099775823331</v>
      </c>
      <c r="IL228">
        <v>4.593143279902166E-07</v>
      </c>
      <c r="IM228">
        <v>-1.865383991892071E-10</v>
      </c>
      <c r="IN228">
        <v>-0.06087574426827484</v>
      </c>
      <c r="IO228">
        <v>-0.01129461987421345</v>
      </c>
      <c r="IP228">
        <v>0.00116580895745559</v>
      </c>
      <c r="IQ228">
        <v>-1.679085872906199E-05</v>
      </c>
      <c r="IR228">
        <v>2</v>
      </c>
      <c r="IS228">
        <v>2290</v>
      </c>
      <c r="IT228">
        <v>0</v>
      </c>
      <c r="IU228">
        <v>32</v>
      </c>
      <c r="IV228">
        <v>9.699999999999999</v>
      </c>
      <c r="IW228">
        <v>9.300000000000001</v>
      </c>
      <c r="IX228">
        <v>0.617676</v>
      </c>
      <c r="IY228">
        <v>2.25586</v>
      </c>
      <c r="IZ228">
        <v>1.39648</v>
      </c>
      <c r="JA228">
        <v>2.35596</v>
      </c>
      <c r="JB228">
        <v>1.49536</v>
      </c>
      <c r="JC228">
        <v>2.26807</v>
      </c>
      <c r="JD228">
        <v>38.5014</v>
      </c>
      <c r="JE228">
        <v>24.0262</v>
      </c>
      <c r="JF228">
        <v>18</v>
      </c>
      <c r="JG228">
        <v>511.029</v>
      </c>
      <c r="JH228">
        <v>428.414</v>
      </c>
      <c r="JI228">
        <v>22.1978</v>
      </c>
      <c r="JJ228">
        <v>28.6928</v>
      </c>
      <c r="JK228">
        <v>30.0001</v>
      </c>
      <c r="JL228">
        <v>28.6569</v>
      </c>
      <c r="JM228">
        <v>28.5944</v>
      </c>
      <c r="JN228">
        <v>12.3107</v>
      </c>
      <c r="JO228">
        <v>26.5129</v>
      </c>
      <c r="JP228">
        <v>0</v>
      </c>
      <c r="JQ228">
        <v>22.198</v>
      </c>
      <c r="JR228">
        <v>206.187</v>
      </c>
      <c r="JS228">
        <v>14.1425</v>
      </c>
      <c r="JT228">
        <v>100.304</v>
      </c>
      <c r="JU228">
        <v>100.228</v>
      </c>
    </row>
    <row r="229" spans="1:281">
      <c r="A229">
        <v>213</v>
      </c>
      <c r="B229">
        <v>1651864823.1</v>
      </c>
      <c r="C229">
        <v>602.5</v>
      </c>
      <c r="D229" t="s">
        <v>846</v>
      </c>
      <c r="E229" t="s">
        <v>847</v>
      </c>
      <c r="F229">
        <v>2</v>
      </c>
      <c r="G229" t="s">
        <v>413</v>
      </c>
      <c r="H229" t="s">
        <v>414</v>
      </c>
      <c r="I229">
        <v>1651864821.725</v>
      </c>
      <c r="J229">
        <f>(K229)/1000</f>
        <v>0</v>
      </c>
      <c r="K229">
        <f>IF(CZ229, AN229, AH229)</f>
        <v>0</v>
      </c>
      <c r="L229">
        <f>IF(CZ229, AI229, AG229)</f>
        <v>0</v>
      </c>
      <c r="M229">
        <f>DB229 - IF(AU229&gt;1, L229*CV229*100.0/(AW229*DP229), 0)</f>
        <v>0</v>
      </c>
      <c r="N229">
        <f>((T229-J229/2)*M229-L229)/(T229+J229/2)</f>
        <v>0</v>
      </c>
      <c r="O229">
        <f>N229*(DI229+DJ229)/1000.0</f>
        <v>0</v>
      </c>
      <c r="P229">
        <f>(DB229 - IF(AU229&gt;1, L229*CV229*100.0/(AW229*DP229), 0))*(DI229+DJ229)/1000.0</f>
        <v>0</v>
      </c>
      <c r="Q229">
        <f>2.0/((1/S229-1/R229)+SIGN(S229)*SQRT((1/S229-1/R229)*(1/S229-1/R229) + 4*CW229/((CW229+1)*(CW229+1))*(2*1/S229*1/R229-1/R229*1/R229)))</f>
        <v>0</v>
      </c>
      <c r="R229">
        <f>IF(LEFT(CX229,1)&lt;&gt;"0",IF(LEFT(CX229,1)="1",3.0,CY229),$D$5+$E$5*(DP229*DI229/($K$5*1000))+$F$5*(DP229*DI229/($K$5*1000))*MAX(MIN(CV229,$J$5),$I$5)*MAX(MIN(CV229,$J$5),$I$5)+$G$5*MAX(MIN(CV229,$J$5),$I$5)*(DP229*DI229/($K$5*1000))+$H$5*(DP229*DI229/($K$5*1000))*(DP229*DI229/($K$5*1000)))</f>
        <v>0</v>
      </c>
      <c r="S229">
        <f>J229*(1000-(1000*0.61365*exp(17.502*W229/(240.97+W229))/(DI229+DJ229)+DD229)/2)/(1000*0.61365*exp(17.502*W229/(240.97+W229))/(DI229+DJ229)-DD229)</f>
        <v>0</v>
      </c>
      <c r="T229">
        <f>1/((CW229+1)/(Q229/1.6)+1/(R229/1.37)) + CW229/((CW229+1)/(Q229/1.6) + CW229/(R229/1.37))</f>
        <v>0</v>
      </c>
      <c r="U229">
        <f>(CR229*CU229)</f>
        <v>0</v>
      </c>
      <c r="V229">
        <f>(DK229+(U229+2*0.95*5.67E-8*(((DK229+$B$7)+273)^4-(DK229+273)^4)-44100*J229)/(1.84*29.3*R229+8*0.95*5.67E-8*(DK229+273)^3))</f>
        <v>0</v>
      </c>
      <c r="W229">
        <f>($C$7*DL229+$D$7*DM229+$E$7*V229)</f>
        <v>0</v>
      </c>
      <c r="X229">
        <f>0.61365*exp(17.502*W229/(240.97+W229))</f>
        <v>0</v>
      </c>
      <c r="Y229">
        <f>(Z229/AA229*100)</f>
        <v>0</v>
      </c>
      <c r="Z229">
        <f>DD229*(DI229+DJ229)/1000</f>
        <v>0</v>
      </c>
      <c r="AA229">
        <f>0.61365*exp(17.502*DK229/(240.97+DK229))</f>
        <v>0</v>
      </c>
      <c r="AB229">
        <f>(X229-DD229*(DI229+DJ229)/1000)</f>
        <v>0</v>
      </c>
      <c r="AC229">
        <f>(-J229*44100)</f>
        <v>0</v>
      </c>
      <c r="AD229">
        <f>2*29.3*R229*0.92*(DK229-W229)</f>
        <v>0</v>
      </c>
      <c r="AE229">
        <f>2*0.95*5.67E-8*(((DK229+$B$7)+273)^4-(W229+273)^4)</f>
        <v>0</v>
      </c>
      <c r="AF229">
        <f>U229+AE229+AC229+AD229</f>
        <v>0</v>
      </c>
      <c r="AG229">
        <f>DH229*AU229*(DC229-DB229*(1000-AU229*DE229)/(1000-AU229*DD229))/(100*CV229)</f>
        <v>0</v>
      </c>
      <c r="AH229">
        <f>1000*DH229*AU229*(DD229-DE229)/(100*CV229*(1000-AU229*DD229))</f>
        <v>0</v>
      </c>
      <c r="AI229">
        <f>(AJ229 - AK229 - DI229*1E3/(8.314*(DK229+273.15)) * AM229/DH229 * AL229) * DH229/(100*CV229) * (1000 - DE229)/1000</f>
        <v>0</v>
      </c>
      <c r="AJ229">
        <v>235.0269360829261</v>
      </c>
      <c r="AK229">
        <v>238.2994121212121</v>
      </c>
      <c r="AL229">
        <v>-3.168100723859804</v>
      </c>
      <c r="AM229">
        <v>66.38192812717227</v>
      </c>
      <c r="AN229">
        <f>(AP229 - AO229 + DI229*1E3/(8.314*(DK229+273.15)) * AR229/DH229 * AQ229) * DH229/(100*CV229) * 1000/(1000 - AP229)</f>
        <v>0</v>
      </c>
      <c r="AO229">
        <v>14.13193138968734</v>
      </c>
      <c r="AP229">
        <v>18.35701852941176</v>
      </c>
      <c r="AQ229">
        <v>-7.68206725247045E-06</v>
      </c>
      <c r="AR229">
        <v>80.47224507511959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MAX(0,($B$13+$C$13*DP229)/(1+$D$13*DP229)*DI229/(DK229+273)*$E$13)</f>
        <v>0</v>
      </c>
      <c r="AX229" t="s">
        <v>417</v>
      </c>
      <c r="AY229" t="s">
        <v>417</v>
      </c>
      <c r="AZ229">
        <v>0</v>
      </c>
      <c r="BA229">
        <v>0</v>
      </c>
      <c r="BB229">
        <f>1-AZ229/BA229</f>
        <v>0</v>
      </c>
      <c r="BC229">
        <v>0</v>
      </c>
      <c r="BD229" t="s">
        <v>417</v>
      </c>
      <c r="BE229" t="s">
        <v>417</v>
      </c>
      <c r="BF229">
        <v>0</v>
      </c>
      <c r="BG229">
        <v>0</v>
      </c>
      <c r="BH229">
        <f>1-BF229/BG229</f>
        <v>0</v>
      </c>
      <c r="BI229">
        <v>0.5</v>
      </c>
      <c r="BJ229">
        <f>CS229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417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BZ229">
        <v>1248</v>
      </c>
      <c r="CA229">
        <v>300</v>
      </c>
      <c r="CB229">
        <v>300</v>
      </c>
      <c r="CC229">
        <v>300</v>
      </c>
      <c r="CD229">
        <v>10442</v>
      </c>
      <c r="CE229">
        <v>1293.69</v>
      </c>
      <c r="CF229">
        <v>-0.00735246</v>
      </c>
      <c r="CG229">
        <v>0.5</v>
      </c>
      <c r="CH229" t="s">
        <v>417</v>
      </c>
      <c r="CI229" t="s">
        <v>417</v>
      </c>
      <c r="CJ229" t="s">
        <v>417</v>
      </c>
      <c r="CK229" t="s">
        <v>417</v>
      </c>
      <c r="CL229" t="s">
        <v>417</v>
      </c>
      <c r="CM229" t="s">
        <v>417</v>
      </c>
      <c r="CN229" t="s">
        <v>417</v>
      </c>
      <c r="CO229" t="s">
        <v>417</v>
      </c>
      <c r="CP229" t="s">
        <v>417</v>
      </c>
      <c r="CQ229" t="s">
        <v>417</v>
      </c>
      <c r="CR229">
        <f>$B$11*DQ229+$C$11*DR229+$F$11*EC229*(1-EF229)</f>
        <v>0</v>
      </c>
      <c r="CS229">
        <f>CR229*CT229</f>
        <v>0</v>
      </c>
      <c r="CT229">
        <f>($B$11*$D$9+$C$11*$D$9+$F$11*((EP229+EH229)/MAX(EP229+EH229+EQ229, 0.1)*$I$9+EQ229/MAX(EP229+EH229+EQ229, 0.1)*$J$9))/($B$11+$C$11+$F$11)</f>
        <v>0</v>
      </c>
      <c r="CU229">
        <f>($B$11*$K$9+$C$11*$K$9+$F$11*((EP229+EH229)/MAX(EP229+EH229+EQ229, 0.1)*$P$9+EQ229/MAX(EP229+EH229+EQ229, 0.1)*$Q$9))/($B$11+$C$11+$F$11)</f>
        <v>0</v>
      </c>
      <c r="CV229">
        <v>6</v>
      </c>
      <c r="CW229">
        <v>0.5</v>
      </c>
      <c r="CX229" t="s">
        <v>418</v>
      </c>
      <c r="CY229">
        <v>2</v>
      </c>
      <c r="CZ229" t="b">
        <v>1</v>
      </c>
      <c r="DA229">
        <v>1651864821.725</v>
      </c>
      <c r="DB229">
        <v>236.641</v>
      </c>
      <c r="DC229">
        <v>227.07725</v>
      </c>
      <c r="DD229">
        <v>18.35645</v>
      </c>
      <c r="DE229">
        <v>14.1309</v>
      </c>
      <c r="DF229">
        <v>237.32725</v>
      </c>
      <c r="DG229">
        <v>18.335975</v>
      </c>
      <c r="DH229">
        <v>500.0375</v>
      </c>
      <c r="DI229">
        <v>89.933825</v>
      </c>
      <c r="DJ229">
        <v>0.099882075</v>
      </c>
      <c r="DK229">
        <v>25.630325</v>
      </c>
      <c r="DL229">
        <v>24.9965</v>
      </c>
      <c r="DM229">
        <v>999.9</v>
      </c>
      <c r="DN229">
        <v>0</v>
      </c>
      <c r="DO229">
        <v>0</v>
      </c>
      <c r="DP229">
        <v>10003.7625</v>
      </c>
      <c r="DQ229">
        <v>0</v>
      </c>
      <c r="DR229">
        <v>3.2185825</v>
      </c>
      <c r="DS229">
        <v>9.563375000000001</v>
      </c>
      <c r="DT229">
        <v>241.06575</v>
      </c>
      <c r="DU229">
        <v>230.33225</v>
      </c>
      <c r="DV229">
        <v>4.225555</v>
      </c>
      <c r="DW229">
        <v>227.07725</v>
      </c>
      <c r="DX229">
        <v>14.1309</v>
      </c>
      <c r="DY229">
        <v>1.650865</v>
      </c>
      <c r="DZ229">
        <v>1.270845</v>
      </c>
      <c r="EA229">
        <v>14.441975</v>
      </c>
      <c r="EB229">
        <v>10.458425</v>
      </c>
      <c r="EC229">
        <v>1499.9975</v>
      </c>
      <c r="ED229">
        <v>0.9729969999999999</v>
      </c>
      <c r="EE229">
        <v>0.027003</v>
      </c>
      <c r="EF229">
        <v>0</v>
      </c>
      <c r="EG229">
        <v>832.05975</v>
      </c>
      <c r="EH229">
        <v>5.00097</v>
      </c>
      <c r="EI229">
        <v>12361.375</v>
      </c>
      <c r="EJ229">
        <v>12491.575</v>
      </c>
      <c r="EK229">
        <v>37.25</v>
      </c>
      <c r="EL229">
        <v>38.687</v>
      </c>
      <c r="EM229">
        <v>37.625</v>
      </c>
      <c r="EN229">
        <v>38.375</v>
      </c>
      <c r="EO229">
        <v>38.062</v>
      </c>
      <c r="EP229">
        <v>1454.6275</v>
      </c>
      <c r="EQ229">
        <v>40.37</v>
      </c>
      <c r="ER229">
        <v>0</v>
      </c>
      <c r="ES229">
        <v>601.7999999523163</v>
      </c>
      <c r="ET229">
        <v>0</v>
      </c>
      <c r="EU229">
        <v>833.1388000000001</v>
      </c>
      <c r="EV229">
        <v>-10.56623078430558</v>
      </c>
      <c r="EW229">
        <v>-160.9923078781298</v>
      </c>
      <c r="EX229">
        <v>12376.456</v>
      </c>
      <c r="EY229">
        <v>15</v>
      </c>
      <c r="EZ229">
        <v>1651864261.1</v>
      </c>
      <c r="FA229" t="s">
        <v>419</v>
      </c>
      <c r="FB229">
        <v>1651864241.6</v>
      </c>
      <c r="FC229">
        <v>1651864261.1</v>
      </c>
      <c r="FD229">
        <v>7</v>
      </c>
      <c r="FE229">
        <v>0.438</v>
      </c>
      <c r="FF229">
        <v>0.002</v>
      </c>
      <c r="FG229">
        <v>-0.988</v>
      </c>
      <c r="FH229">
        <v>-0.066</v>
      </c>
      <c r="FI229">
        <v>400</v>
      </c>
      <c r="FJ229">
        <v>11</v>
      </c>
      <c r="FK229">
        <v>0.05</v>
      </c>
      <c r="FL229">
        <v>0.02</v>
      </c>
      <c r="FM229">
        <v>7.742108780487805</v>
      </c>
      <c r="FN229">
        <v>11.97286766550523</v>
      </c>
      <c r="FO229">
        <v>1.181275191620283</v>
      </c>
      <c r="FP229">
        <v>-1</v>
      </c>
      <c r="FQ229">
        <v>4.219589512195122</v>
      </c>
      <c r="FR229">
        <v>0.032358188153314</v>
      </c>
      <c r="FS229">
        <v>0.003356345974215369</v>
      </c>
      <c r="FT229">
        <v>-1</v>
      </c>
      <c r="FU229">
        <v>0</v>
      </c>
      <c r="FV229">
        <v>0</v>
      </c>
      <c r="FW229">
        <v>0</v>
      </c>
      <c r="FX229">
        <v>-1</v>
      </c>
      <c r="FY229">
        <v>0</v>
      </c>
      <c r="FZ229">
        <v>0</v>
      </c>
      <c r="GA229" t="s">
        <v>420</v>
      </c>
      <c r="GB229">
        <v>2.98046</v>
      </c>
      <c r="GC229">
        <v>2.70608</v>
      </c>
      <c r="GD229">
        <v>0.0578179</v>
      </c>
      <c r="GE229">
        <v>0.0550037</v>
      </c>
      <c r="GF229">
        <v>0.08767659999999999</v>
      </c>
      <c r="GG229">
        <v>0.07160370000000001</v>
      </c>
      <c r="GH229">
        <v>29733.8</v>
      </c>
      <c r="GI229">
        <v>29887.6</v>
      </c>
      <c r="GJ229">
        <v>29343.9</v>
      </c>
      <c r="GK229">
        <v>29257.8</v>
      </c>
      <c r="GL229">
        <v>35447.7</v>
      </c>
      <c r="GM229">
        <v>36175.8</v>
      </c>
      <c r="GN229">
        <v>41302.6</v>
      </c>
      <c r="GO229">
        <v>41760.6</v>
      </c>
      <c r="GP229">
        <v>1.95532</v>
      </c>
      <c r="GQ229">
        <v>1.8492</v>
      </c>
      <c r="GR229">
        <v>-0.0209995</v>
      </c>
      <c r="GS229">
        <v>0</v>
      </c>
      <c r="GT229">
        <v>25.3375</v>
      </c>
      <c r="GU229">
        <v>999.9</v>
      </c>
      <c r="GV229">
        <v>31.5</v>
      </c>
      <c r="GW229">
        <v>34.3</v>
      </c>
      <c r="GX229">
        <v>19.0297</v>
      </c>
      <c r="GY229">
        <v>61.7075</v>
      </c>
      <c r="GZ229">
        <v>35.1202</v>
      </c>
      <c r="HA229">
        <v>1</v>
      </c>
      <c r="HB229">
        <v>0.108224</v>
      </c>
      <c r="HC229">
        <v>2.33401</v>
      </c>
      <c r="HD229">
        <v>20.3178</v>
      </c>
      <c r="HE229">
        <v>5.21684</v>
      </c>
      <c r="HF229">
        <v>12.0099</v>
      </c>
      <c r="HG229">
        <v>4.98925</v>
      </c>
      <c r="HH229">
        <v>3.28865</v>
      </c>
      <c r="HI229">
        <v>1000.2</v>
      </c>
      <c r="HJ229">
        <v>9557</v>
      </c>
      <c r="HK229">
        <v>5139.4</v>
      </c>
      <c r="HL229">
        <v>24.9</v>
      </c>
      <c r="HM229">
        <v>1.8675</v>
      </c>
      <c r="HN229">
        <v>1.86646</v>
      </c>
      <c r="HO229">
        <v>1.866</v>
      </c>
      <c r="HP229">
        <v>1.86586</v>
      </c>
      <c r="HQ229">
        <v>1.86769</v>
      </c>
      <c r="HR229">
        <v>1.87022</v>
      </c>
      <c r="HS229">
        <v>1.8689</v>
      </c>
      <c r="HT229">
        <v>1.87024</v>
      </c>
      <c r="HU229">
        <v>0</v>
      </c>
      <c r="HV229">
        <v>0</v>
      </c>
      <c r="HW229">
        <v>0</v>
      </c>
      <c r="HX229">
        <v>0</v>
      </c>
      <c r="HY229" t="s">
        <v>421</v>
      </c>
      <c r="HZ229" t="s">
        <v>422</v>
      </c>
      <c r="IA229" t="s">
        <v>423</v>
      </c>
      <c r="IB229" t="s">
        <v>423</v>
      </c>
      <c r="IC229" t="s">
        <v>423</v>
      </c>
      <c r="ID229" t="s">
        <v>423</v>
      </c>
      <c r="IE229">
        <v>0</v>
      </c>
      <c r="IF229">
        <v>100</v>
      </c>
      <c r="IG229">
        <v>100</v>
      </c>
      <c r="IH229">
        <v>-0.678</v>
      </c>
      <c r="II229">
        <v>0.0205</v>
      </c>
      <c r="IJ229">
        <v>-0.2164499368582429</v>
      </c>
      <c r="IK229">
        <v>-0.002077099775823331</v>
      </c>
      <c r="IL229">
        <v>4.593143279902166E-07</v>
      </c>
      <c r="IM229">
        <v>-1.865383991892071E-10</v>
      </c>
      <c r="IN229">
        <v>-0.06087574426827484</v>
      </c>
      <c r="IO229">
        <v>-0.01129461987421345</v>
      </c>
      <c r="IP229">
        <v>0.00116580895745559</v>
      </c>
      <c r="IQ229">
        <v>-1.679085872906199E-05</v>
      </c>
      <c r="IR229">
        <v>2</v>
      </c>
      <c r="IS229">
        <v>2290</v>
      </c>
      <c r="IT229">
        <v>0</v>
      </c>
      <c r="IU229">
        <v>32</v>
      </c>
      <c r="IV229">
        <v>9.699999999999999</v>
      </c>
      <c r="IW229">
        <v>9.4</v>
      </c>
      <c r="IX229">
        <v>0.604248</v>
      </c>
      <c r="IY229">
        <v>2.25464</v>
      </c>
      <c r="IZ229">
        <v>1.39648</v>
      </c>
      <c r="JA229">
        <v>2.35596</v>
      </c>
      <c r="JB229">
        <v>1.49536</v>
      </c>
      <c r="JC229">
        <v>2.35474</v>
      </c>
      <c r="JD229">
        <v>38.5014</v>
      </c>
      <c r="JE229">
        <v>24.035</v>
      </c>
      <c r="JF229">
        <v>18</v>
      </c>
      <c r="JG229">
        <v>511.159</v>
      </c>
      <c r="JH229">
        <v>428.489</v>
      </c>
      <c r="JI229">
        <v>22.1978</v>
      </c>
      <c r="JJ229">
        <v>28.6928</v>
      </c>
      <c r="JK229">
        <v>30.0001</v>
      </c>
      <c r="JL229">
        <v>28.6569</v>
      </c>
      <c r="JM229">
        <v>28.5944</v>
      </c>
      <c r="JN229">
        <v>12.0503</v>
      </c>
      <c r="JO229">
        <v>26.5129</v>
      </c>
      <c r="JP229">
        <v>0</v>
      </c>
      <c r="JQ229">
        <v>22.198</v>
      </c>
      <c r="JR229">
        <v>199.507</v>
      </c>
      <c r="JS229">
        <v>14.1427</v>
      </c>
      <c r="JT229">
        <v>100.303</v>
      </c>
      <c r="JU229">
        <v>100.228</v>
      </c>
    </row>
    <row r="230" spans="1:281">
      <c r="A230">
        <v>214</v>
      </c>
      <c r="B230">
        <v>1651864825.1</v>
      </c>
      <c r="C230">
        <v>604.5</v>
      </c>
      <c r="D230" t="s">
        <v>848</v>
      </c>
      <c r="E230" t="s">
        <v>849</v>
      </c>
      <c r="F230">
        <v>2</v>
      </c>
      <c r="G230" t="s">
        <v>413</v>
      </c>
      <c r="H230" t="s">
        <v>414</v>
      </c>
      <c r="I230">
        <v>1651864824.1</v>
      </c>
      <c r="J230">
        <f>(K230)/1000</f>
        <v>0</v>
      </c>
      <c r="K230">
        <f>IF(CZ230, AN230, AH230)</f>
        <v>0</v>
      </c>
      <c r="L230">
        <f>IF(CZ230, AI230, AG230)</f>
        <v>0</v>
      </c>
      <c r="M230">
        <f>DB230 - IF(AU230&gt;1, L230*CV230*100.0/(AW230*DP230), 0)</f>
        <v>0</v>
      </c>
      <c r="N230">
        <f>((T230-J230/2)*M230-L230)/(T230+J230/2)</f>
        <v>0</v>
      </c>
      <c r="O230">
        <f>N230*(DI230+DJ230)/1000.0</f>
        <v>0</v>
      </c>
      <c r="P230">
        <f>(DB230 - IF(AU230&gt;1, L230*CV230*100.0/(AW230*DP230), 0))*(DI230+DJ230)/1000.0</f>
        <v>0</v>
      </c>
      <c r="Q230">
        <f>2.0/((1/S230-1/R230)+SIGN(S230)*SQRT((1/S230-1/R230)*(1/S230-1/R230) + 4*CW230/((CW230+1)*(CW230+1))*(2*1/S230*1/R230-1/R230*1/R230)))</f>
        <v>0</v>
      </c>
      <c r="R230">
        <f>IF(LEFT(CX230,1)&lt;&gt;"0",IF(LEFT(CX230,1)="1",3.0,CY230),$D$5+$E$5*(DP230*DI230/($K$5*1000))+$F$5*(DP230*DI230/($K$5*1000))*MAX(MIN(CV230,$J$5),$I$5)*MAX(MIN(CV230,$J$5),$I$5)+$G$5*MAX(MIN(CV230,$J$5),$I$5)*(DP230*DI230/($K$5*1000))+$H$5*(DP230*DI230/($K$5*1000))*(DP230*DI230/($K$5*1000)))</f>
        <v>0</v>
      </c>
      <c r="S230">
        <f>J230*(1000-(1000*0.61365*exp(17.502*W230/(240.97+W230))/(DI230+DJ230)+DD230)/2)/(1000*0.61365*exp(17.502*W230/(240.97+W230))/(DI230+DJ230)-DD230)</f>
        <v>0</v>
      </c>
      <c r="T230">
        <f>1/((CW230+1)/(Q230/1.6)+1/(R230/1.37)) + CW230/((CW230+1)/(Q230/1.6) + CW230/(R230/1.37))</f>
        <v>0</v>
      </c>
      <c r="U230">
        <f>(CR230*CU230)</f>
        <v>0</v>
      </c>
      <c r="V230">
        <f>(DK230+(U230+2*0.95*5.67E-8*(((DK230+$B$7)+273)^4-(DK230+273)^4)-44100*J230)/(1.84*29.3*R230+8*0.95*5.67E-8*(DK230+273)^3))</f>
        <v>0</v>
      </c>
      <c r="W230">
        <f>($C$7*DL230+$D$7*DM230+$E$7*V230)</f>
        <v>0</v>
      </c>
      <c r="X230">
        <f>0.61365*exp(17.502*W230/(240.97+W230))</f>
        <v>0</v>
      </c>
      <c r="Y230">
        <f>(Z230/AA230*100)</f>
        <v>0</v>
      </c>
      <c r="Z230">
        <f>DD230*(DI230+DJ230)/1000</f>
        <v>0</v>
      </c>
      <c r="AA230">
        <f>0.61365*exp(17.502*DK230/(240.97+DK230))</f>
        <v>0</v>
      </c>
      <c r="AB230">
        <f>(X230-DD230*(DI230+DJ230)/1000)</f>
        <v>0</v>
      </c>
      <c r="AC230">
        <f>(-J230*44100)</f>
        <v>0</v>
      </c>
      <c r="AD230">
        <f>2*29.3*R230*0.92*(DK230-W230)</f>
        <v>0</v>
      </c>
      <c r="AE230">
        <f>2*0.95*5.67E-8*(((DK230+$B$7)+273)^4-(W230+273)^4)</f>
        <v>0</v>
      </c>
      <c r="AF230">
        <f>U230+AE230+AC230+AD230</f>
        <v>0</v>
      </c>
      <c r="AG230">
        <f>DH230*AU230*(DC230-DB230*(1000-AU230*DE230)/(1000-AU230*DD230))/(100*CV230)</f>
        <v>0</v>
      </c>
      <c r="AH230">
        <f>1000*DH230*AU230*(DD230-DE230)/(100*CV230*(1000-AU230*DD230))</f>
        <v>0</v>
      </c>
      <c r="AI230">
        <f>(AJ230 - AK230 - DI230*1E3/(8.314*(DK230+273.15)) * AM230/DH230 * AL230) * DH230/(100*CV230) * (1000 - DE230)/1000</f>
        <v>0</v>
      </c>
      <c r="AJ230">
        <v>228.278578640996</v>
      </c>
      <c r="AK230">
        <v>231.957509090909</v>
      </c>
      <c r="AL230">
        <v>-3.167327789990336</v>
      </c>
      <c r="AM230">
        <v>66.38192812717227</v>
      </c>
      <c r="AN230">
        <f>(AP230 - AO230 + DI230*1E3/(8.314*(DK230+273.15)) * AR230/DH230 * AQ230) * DH230/(100*CV230) * 1000/(1000 - AP230)</f>
        <v>0</v>
      </c>
      <c r="AO230">
        <v>14.13105590008831</v>
      </c>
      <c r="AP230">
        <v>18.35668147058824</v>
      </c>
      <c r="AQ230">
        <v>2.835982892634468E-05</v>
      </c>
      <c r="AR230">
        <v>80.47224507511959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MAX(0,($B$13+$C$13*DP230)/(1+$D$13*DP230)*DI230/(DK230+273)*$E$13)</f>
        <v>0</v>
      </c>
      <c r="AX230" t="s">
        <v>417</v>
      </c>
      <c r="AY230" t="s">
        <v>417</v>
      </c>
      <c r="AZ230">
        <v>0</v>
      </c>
      <c r="BA230">
        <v>0</v>
      </c>
      <c r="BB230">
        <f>1-AZ230/BA230</f>
        <v>0</v>
      </c>
      <c r="BC230">
        <v>0</v>
      </c>
      <c r="BD230" t="s">
        <v>417</v>
      </c>
      <c r="BE230" t="s">
        <v>417</v>
      </c>
      <c r="BF230">
        <v>0</v>
      </c>
      <c r="BG230">
        <v>0</v>
      </c>
      <c r="BH230">
        <f>1-BF230/BG230</f>
        <v>0</v>
      </c>
      <c r="BI230">
        <v>0.5</v>
      </c>
      <c r="BJ230">
        <f>CS230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417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BZ230">
        <v>1248</v>
      </c>
      <c r="CA230">
        <v>300</v>
      </c>
      <c r="CB230">
        <v>300</v>
      </c>
      <c r="CC230">
        <v>300</v>
      </c>
      <c r="CD230">
        <v>10442</v>
      </c>
      <c r="CE230">
        <v>1293.69</v>
      </c>
      <c r="CF230">
        <v>-0.00735246</v>
      </c>
      <c r="CG230">
        <v>0.5</v>
      </c>
      <c r="CH230" t="s">
        <v>417</v>
      </c>
      <c r="CI230" t="s">
        <v>417</v>
      </c>
      <c r="CJ230" t="s">
        <v>417</v>
      </c>
      <c r="CK230" t="s">
        <v>417</v>
      </c>
      <c r="CL230" t="s">
        <v>417</v>
      </c>
      <c r="CM230" t="s">
        <v>417</v>
      </c>
      <c r="CN230" t="s">
        <v>417</v>
      </c>
      <c r="CO230" t="s">
        <v>417</v>
      </c>
      <c r="CP230" t="s">
        <v>417</v>
      </c>
      <c r="CQ230" t="s">
        <v>417</v>
      </c>
      <c r="CR230">
        <f>$B$11*DQ230+$C$11*DR230+$F$11*EC230*(1-EF230)</f>
        <v>0</v>
      </c>
      <c r="CS230">
        <f>CR230*CT230</f>
        <v>0</v>
      </c>
      <c r="CT230">
        <f>($B$11*$D$9+$C$11*$D$9+$F$11*((EP230+EH230)/MAX(EP230+EH230+EQ230, 0.1)*$I$9+EQ230/MAX(EP230+EH230+EQ230, 0.1)*$J$9))/($B$11+$C$11+$F$11)</f>
        <v>0</v>
      </c>
      <c r="CU230">
        <f>($B$11*$K$9+$C$11*$K$9+$F$11*((EP230+EH230)/MAX(EP230+EH230+EQ230, 0.1)*$P$9+EQ230/MAX(EP230+EH230+EQ230, 0.1)*$Q$9))/($B$11+$C$11+$F$11)</f>
        <v>0</v>
      </c>
      <c r="CV230">
        <v>6</v>
      </c>
      <c r="CW230">
        <v>0.5</v>
      </c>
      <c r="CX230" t="s">
        <v>418</v>
      </c>
      <c r="CY230">
        <v>2</v>
      </c>
      <c r="CZ230" t="b">
        <v>1</v>
      </c>
      <c r="DA230">
        <v>1651864824.1</v>
      </c>
      <c r="DB230">
        <v>229.2553333333333</v>
      </c>
      <c r="DC230">
        <v>219.1793333333333</v>
      </c>
      <c r="DD230">
        <v>18.3566</v>
      </c>
      <c r="DE230">
        <v>14.13026666666667</v>
      </c>
      <c r="DF230">
        <v>229.9273333333333</v>
      </c>
      <c r="DG230">
        <v>18.33613333333333</v>
      </c>
      <c r="DH230">
        <v>500.0233333333334</v>
      </c>
      <c r="DI230">
        <v>89.93149999999999</v>
      </c>
      <c r="DJ230">
        <v>0.09998543333333333</v>
      </c>
      <c r="DK230">
        <v>25.62996666666666</v>
      </c>
      <c r="DL230">
        <v>24.99413333333333</v>
      </c>
      <c r="DM230">
        <v>999.9</v>
      </c>
      <c r="DN230">
        <v>0</v>
      </c>
      <c r="DO230">
        <v>0</v>
      </c>
      <c r="DP230">
        <v>9997.283333333333</v>
      </c>
      <c r="DQ230">
        <v>0</v>
      </c>
      <c r="DR230">
        <v>3.20383</v>
      </c>
      <c r="DS230">
        <v>10.07613666666667</v>
      </c>
      <c r="DT230">
        <v>233.5426666666667</v>
      </c>
      <c r="DU230">
        <v>222.321</v>
      </c>
      <c r="DV230">
        <v>4.226333333333334</v>
      </c>
      <c r="DW230">
        <v>219.1793333333333</v>
      </c>
      <c r="DX230">
        <v>14.13026666666667</v>
      </c>
      <c r="DY230">
        <v>1.65084</v>
      </c>
      <c r="DZ230">
        <v>1.270756666666667</v>
      </c>
      <c r="EA230">
        <v>14.44173333333333</v>
      </c>
      <c r="EB230">
        <v>10.45736666666667</v>
      </c>
      <c r="EC230">
        <v>1499.943333333333</v>
      </c>
      <c r="ED230">
        <v>0.9730016666666668</v>
      </c>
      <c r="EE230">
        <v>0.02699823333333333</v>
      </c>
      <c r="EF230">
        <v>0</v>
      </c>
      <c r="EG230">
        <v>831.9496666666668</v>
      </c>
      <c r="EH230">
        <v>5.00097</v>
      </c>
      <c r="EI230">
        <v>12356.53333333333</v>
      </c>
      <c r="EJ230">
        <v>12491.13333333333</v>
      </c>
      <c r="EK230">
        <v>37.25</v>
      </c>
      <c r="EL230">
        <v>38.687</v>
      </c>
      <c r="EM230">
        <v>37.625</v>
      </c>
      <c r="EN230">
        <v>38.375</v>
      </c>
      <c r="EO230">
        <v>38.104</v>
      </c>
      <c r="EP230">
        <v>1454.583333333333</v>
      </c>
      <c r="EQ230">
        <v>40.36000000000001</v>
      </c>
      <c r="ER230">
        <v>0</v>
      </c>
      <c r="ES230">
        <v>604.2000000476837</v>
      </c>
      <c r="ET230">
        <v>0</v>
      </c>
      <c r="EU230">
        <v>832.74004</v>
      </c>
      <c r="EV230">
        <v>-9.59623074646921</v>
      </c>
      <c r="EW230">
        <v>-144.1538459559855</v>
      </c>
      <c r="EX230">
        <v>12370.188</v>
      </c>
      <c r="EY230">
        <v>15</v>
      </c>
      <c r="EZ230">
        <v>1651864261.1</v>
      </c>
      <c r="FA230" t="s">
        <v>419</v>
      </c>
      <c r="FB230">
        <v>1651864241.6</v>
      </c>
      <c r="FC230">
        <v>1651864261.1</v>
      </c>
      <c r="FD230">
        <v>7</v>
      </c>
      <c r="FE230">
        <v>0.438</v>
      </c>
      <c r="FF230">
        <v>0.002</v>
      </c>
      <c r="FG230">
        <v>-0.988</v>
      </c>
      <c r="FH230">
        <v>-0.066</v>
      </c>
      <c r="FI230">
        <v>400</v>
      </c>
      <c r="FJ230">
        <v>11</v>
      </c>
      <c r="FK230">
        <v>0.05</v>
      </c>
      <c r="FL230">
        <v>0.02</v>
      </c>
      <c r="FM230">
        <v>8.087287999999999</v>
      </c>
      <c r="FN230">
        <v>12.18862626641649</v>
      </c>
      <c r="FO230">
        <v>1.172846096515225</v>
      </c>
      <c r="FP230">
        <v>-1</v>
      </c>
      <c r="FQ230">
        <v>4.2204415</v>
      </c>
      <c r="FR230">
        <v>0.03661238273920457</v>
      </c>
      <c r="FS230">
        <v>0.003626786146163024</v>
      </c>
      <c r="FT230">
        <v>-1</v>
      </c>
      <c r="FU230">
        <v>0</v>
      </c>
      <c r="FV230">
        <v>0</v>
      </c>
      <c r="FW230">
        <v>0</v>
      </c>
      <c r="FX230">
        <v>-1</v>
      </c>
      <c r="FY230">
        <v>0</v>
      </c>
      <c r="FZ230">
        <v>0</v>
      </c>
      <c r="GA230" t="s">
        <v>420</v>
      </c>
      <c r="GB230">
        <v>2.98054</v>
      </c>
      <c r="GC230">
        <v>2.70616</v>
      </c>
      <c r="GD230">
        <v>0.0564688</v>
      </c>
      <c r="GE230">
        <v>0.0535859</v>
      </c>
      <c r="GF230">
        <v>0.0876724</v>
      </c>
      <c r="GG230">
        <v>0.07159799999999999</v>
      </c>
      <c r="GH230">
        <v>29775.9</v>
      </c>
      <c r="GI230">
        <v>29932.6</v>
      </c>
      <c r="GJ230">
        <v>29343.5</v>
      </c>
      <c r="GK230">
        <v>29257.9</v>
      </c>
      <c r="GL230">
        <v>35447.4</v>
      </c>
      <c r="GM230">
        <v>36176.1</v>
      </c>
      <c r="GN230">
        <v>41302.1</v>
      </c>
      <c r="GO230">
        <v>41760.7</v>
      </c>
      <c r="GP230">
        <v>1.95522</v>
      </c>
      <c r="GQ230">
        <v>1.84923</v>
      </c>
      <c r="GR230">
        <v>-0.0209287</v>
      </c>
      <c r="GS230">
        <v>0</v>
      </c>
      <c r="GT230">
        <v>25.3375</v>
      </c>
      <c r="GU230">
        <v>999.9</v>
      </c>
      <c r="GV230">
        <v>31.5</v>
      </c>
      <c r="GW230">
        <v>34.3</v>
      </c>
      <c r="GX230">
        <v>19.032</v>
      </c>
      <c r="GY230">
        <v>62.4675</v>
      </c>
      <c r="GZ230">
        <v>34.7957</v>
      </c>
      <c r="HA230">
        <v>1</v>
      </c>
      <c r="HB230">
        <v>0.108201</v>
      </c>
      <c r="HC230">
        <v>2.33352</v>
      </c>
      <c r="HD230">
        <v>20.3179</v>
      </c>
      <c r="HE230">
        <v>5.21654</v>
      </c>
      <c r="HF230">
        <v>12.0099</v>
      </c>
      <c r="HG230">
        <v>4.98895</v>
      </c>
      <c r="HH230">
        <v>3.28858</v>
      </c>
      <c r="HI230">
        <v>1000.2</v>
      </c>
      <c r="HJ230">
        <v>9557</v>
      </c>
      <c r="HK230">
        <v>5139.4</v>
      </c>
      <c r="HL230">
        <v>24.9</v>
      </c>
      <c r="HM230">
        <v>1.8675</v>
      </c>
      <c r="HN230">
        <v>1.86646</v>
      </c>
      <c r="HO230">
        <v>1.866</v>
      </c>
      <c r="HP230">
        <v>1.86585</v>
      </c>
      <c r="HQ230">
        <v>1.8677</v>
      </c>
      <c r="HR230">
        <v>1.87023</v>
      </c>
      <c r="HS230">
        <v>1.8689</v>
      </c>
      <c r="HT230">
        <v>1.87024</v>
      </c>
      <c r="HU230">
        <v>0</v>
      </c>
      <c r="HV230">
        <v>0</v>
      </c>
      <c r="HW230">
        <v>0</v>
      </c>
      <c r="HX230">
        <v>0</v>
      </c>
      <c r="HY230" t="s">
        <v>421</v>
      </c>
      <c r="HZ230" t="s">
        <v>422</v>
      </c>
      <c r="IA230" t="s">
        <v>423</v>
      </c>
      <c r="IB230" t="s">
        <v>423</v>
      </c>
      <c r="IC230" t="s">
        <v>423</v>
      </c>
      <c r="ID230" t="s">
        <v>423</v>
      </c>
      <c r="IE230">
        <v>0</v>
      </c>
      <c r="IF230">
        <v>100</v>
      </c>
      <c r="IG230">
        <v>100</v>
      </c>
      <c r="IH230">
        <v>-0.666</v>
      </c>
      <c r="II230">
        <v>0.0205</v>
      </c>
      <c r="IJ230">
        <v>-0.2164499368582429</v>
      </c>
      <c r="IK230">
        <v>-0.002077099775823331</v>
      </c>
      <c r="IL230">
        <v>4.593143279902166E-07</v>
      </c>
      <c r="IM230">
        <v>-1.865383991892071E-10</v>
      </c>
      <c r="IN230">
        <v>-0.06087574426827484</v>
      </c>
      <c r="IO230">
        <v>-0.01129461987421345</v>
      </c>
      <c r="IP230">
        <v>0.00116580895745559</v>
      </c>
      <c r="IQ230">
        <v>-1.679085872906199E-05</v>
      </c>
      <c r="IR230">
        <v>2</v>
      </c>
      <c r="IS230">
        <v>2290</v>
      </c>
      <c r="IT230">
        <v>0</v>
      </c>
      <c r="IU230">
        <v>32</v>
      </c>
      <c r="IV230">
        <v>9.699999999999999</v>
      </c>
      <c r="IW230">
        <v>9.4</v>
      </c>
      <c r="IX230">
        <v>0.592041</v>
      </c>
      <c r="IY230">
        <v>2.2583</v>
      </c>
      <c r="IZ230">
        <v>1.39648</v>
      </c>
      <c r="JA230">
        <v>2.35596</v>
      </c>
      <c r="JB230">
        <v>1.49536</v>
      </c>
      <c r="JC230">
        <v>2.32788</v>
      </c>
      <c r="JD230">
        <v>38.5014</v>
      </c>
      <c r="JE230">
        <v>24.035</v>
      </c>
      <c r="JF230">
        <v>18</v>
      </c>
      <c r="JG230">
        <v>511.094</v>
      </c>
      <c r="JH230">
        <v>428.504</v>
      </c>
      <c r="JI230">
        <v>22.1977</v>
      </c>
      <c r="JJ230">
        <v>28.6928</v>
      </c>
      <c r="JK230">
        <v>30.0001</v>
      </c>
      <c r="JL230">
        <v>28.6569</v>
      </c>
      <c r="JM230">
        <v>28.5944</v>
      </c>
      <c r="JN230">
        <v>11.7784</v>
      </c>
      <c r="JO230">
        <v>26.5129</v>
      </c>
      <c r="JP230">
        <v>0</v>
      </c>
      <c r="JQ230">
        <v>22.1979</v>
      </c>
      <c r="JR230">
        <v>192.83</v>
      </c>
      <c r="JS230">
        <v>14.143</v>
      </c>
      <c r="JT230">
        <v>100.302</v>
      </c>
      <c r="JU230">
        <v>100.228</v>
      </c>
    </row>
    <row r="231" spans="1:281">
      <c r="A231">
        <v>215</v>
      </c>
      <c r="B231">
        <v>1651864827.1</v>
      </c>
      <c r="C231">
        <v>606.5</v>
      </c>
      <c r="D231" t="s">
        <v>850</v>
      </c>
      <c r="E231" t="s">
        <v>851</v>
      </c>
      <c r="F231">
        <v>2</v>
      </c>
      <c r="G231" t="s">
        <v>413</v>
      </c>
      <c r="H231" t="s">
        <v>414</v>
      </c>
      <c r="I231">
        <v>1651864825.725</v>
      </c>
      <c r="J231">
        <f>(K231)/1000</f>
        <v>0</v>
      </c>
      <c r="K231">
        <f>IF(CZ231, AN231, AH231)</f>
        <v>0</v>
      </c>
      <c r="L231">
        <f>IF(CZ231, AI231, AG231)</f>
        <v>0</v>
      </c>
      <c r="M231">
        <f>DB231 - IF(AU231&gt;1, L231*CV231*100.0/(AW231*DP231), 0)</f>
        <v>0</v>
      </c>
      <c r="N231">
        <f>((T231-J231/2)*M231-L231)/(T231+J231/2)</f>
        <v>0</v>
      </c>
      <c r="O231">
        <f>N231*(DI231+DJ231)/1000.0</f>
        <v>0</v>
      </c>
      <c r="P231">
        <f>(DB231 - IF(AU231&gt;1, L231*CV231*100.0/(AW231*DP231), 0))*(DI231+DJ231)/1000.0</f>
        <v>0</v>
      </c>
      <c r="Q231">
        <f>2.0/((1/S231-1/R231)+SIGN(S231)*SQRT((1/S231-1/R231)*(1/S231-1/R231) + 4*CW231/((CW231+1)*(CW231+1))*(2*1/S231*1/R231-1/R231*1/R231)))</f>
        <v>0</v>
      </c>
      <c r="R231">
        <f>IF(LEFT(CX231,1)&lt;&gt;"0",IF(LEFT(CX231,1)="1",3.0,CY231),$D$5+$E$5*(DP231*DI231/($K$5*1000))+$F$5*(DP231*DI231/($K$5*1000))*MAX(MIN(CV231,$J$5),$I$5)*MAX(MIN(CV231,$J$5),$I$5)+$G$5*MAX(MIN(CV231,$J$5),$I$5)*(DP231*DI231/($K$5*1000))+$H$5*(DP231*DI231/($K$5*1000))*(DP231*DI231/($K$5*1000)))</f>
        <v>0</v>
      </c>
      <c r="S231">
        <f>J231*(1000-(1000*0.61365*exp(17.502*W231/(240.97+W231))/(DI231+DJ231)+DD231)/2)/(1000*0.61365*exp(17.502*W231/(240.97+W231))/(DI231+DJ231)-DD231)</f>
        <v>0</v>
      </c>
      <c r="T231">
        <f>1/((CW231+1)/(Q231/1.6)+1/(R231/1.37)) + CW231/((CW231+1)/(Q231/1.6) + CW231/(R231/1.37))</f>
        <v>0</v>
      </c>
      <c r="U231">
        <f>(CR231*CU231)</f>
        <v>0</v>
      </c>
      <c r="V231">
        <f>(DK231+(U231+2*0.95*5.67E-8*(((DK231+$B$7)+273)^4-(DK231+273)^4)-44100*J231)/(1.84*29.3*R231+8*0.95*5.67E-8*(DK231+273)^3))</f>
        <v>0</v>
      </c>
      <c r="W231">
        <f>($C$7*DL231+$D$7*DM231+$E$7*V231)</f>
        <v>0</v>
      </c>
      <c r="X231">
        <f>0.61365*exp(17.502*W231/(240.97+W231))</f>
        <v>0</v>
      </c>
      <c r="Y231">
        <f>(Z231/AA231*100)</f>
        <v>0</v>
      </c>
      <c r="Z231">
        <f>DD231*(DI231+DJ231)/1000</f>
        <v>0</v>
      </c>
      <c r="AA231">
        <f>0.61365*exp(17.502*DK231/(240.97+DK231))</f>
        <v>0</v>
      </c>
      <c r="AB231">
        <f>(X231-DD231*(DI231+DJ231)/1000)</f>
        <v>0</v>
      </c>
      <c r="AC231">
        <f>(-J231*44100)</f>
        <v>0</v>
      </c>
      <c r="AD231">
        <f>2*29.3*R231*0.92*(DK231-W231)</f>
        <v>0</v>
      </c>
      <c r="AE231">
        <f>2*0.95*5.67E-8*(((DK231+$B$7)+273)^4-(W231+273)^4)</f>
        <v>0</v>
      </c>
      <c r="AF231">
        <f>U231+AE231+AC231+AD231</f>
        <v>0</v>
      </c>
      <c r="AG231">
        <f>DH231*AU231*(DC231-DB231*(1000-AU231*DE231)/(1000-AU231*DD231))/(100*CV231)</f>
        <v>0</v>
      </c>
      <c r="AH231">
        <f>1000*DH231*AU231*(DD231-DE231)/(100*CV231*(1000-AU231*DD231))</f>
        <v>0</v>
      </c>
      <c r="AI231">
        <f>(AJ231 - AK231 - DI231*1E3/(8.314*(DK231+273.15)) * AM231/DH231 * AL231) * DH231/(100*CV231) * (1000 - DE231)/1000</f>
        <v>0</v>
      </c>
      <c r="AJ231">
        <v>221.5618885664408</v>
      </c>
      <c r="AK231">
        <v>225.6457151515151</v>
      </c>
      <c r="AL231">
        <v>-3.160010152114342</v>
      </c>
      <c r="AM231">
        <v>66.38192812717227</v>
      </c>
      <c r="AN231">
        <f>(AP231 - AO231 + DI231*1E3/(8.314*(DK231+273.15)) * AR231/DH231 * AQ231) * DH231/(100*CV231) * 1000/(1000 - AP231)</f>
        <v>0</v>
      </c>
      <c r="AO231">
        <v>14.13078900236281</v>
      </c>
      <c r="AP231">
        <v>18.35725823529412</v>
      </c>
      <c r="AQ231">
        <v>1.59053988691772E-05</v>
      </c>
      <c r="AR231">
        <v>80.47224507511959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MAX(0,($B$13+$C$13*DP231)/(1+$D$13*DP231)*DI231/(DK231+273)*$E$13)</f>
        <v>0</v>
      </c>
      <c r="AX231" t="s">
        <v>417</v>
      </c>
      <c r="AY231" t="s">
        <v>417</v>
      </c>
      <c r="AZ231">
        <v>0</v>
      </c>
      <c r="BA231">
        <v>0</v>
      </c>
      <c r="BB231">
        <f>1-AZ231/BA231</f>
        <v>0</v>
      </c>
      <c r="BC231">
        <v>0</v>
      </c>
      <c r="BD231" t="s">
        <v>417</v>
      </c>
      <c r="BE231" t="s">
        <v>417</v>
      </c>
      <c r="BF231">
        <v>0</v>
      </c>
      <c r="BG231">
        <v>0</v>
      </c>
      <c r="BH231">
        <f>1-BF231/BG231</f>
        <v>0</v>
      </c>
      <c r="BI231">
        <v>0.5</v>
      </c>
      <c r="BJ231">
        <f>CS231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417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BZ231">
        <v>1248</v>
      </c>
      <c r="CA231">
        <v>300</v>
      </c>
      <c r="CB231">
        <v>300</v>
      </c>
      <c r="CC231">
        <v>300</v>
      </c>
      <c r="CD231">
        <v>10442</v>
      </c>
      <c r="CE231">
        <v>1293.69</v>
      </c>
      <c r="CF231">
        <v>-0.00735246</v>
      </c>
      <c r="CG231">
        <v>0.5</v>
      </c>
      <c r="CH231" t="s">
        <v>417</v>
      </c>
      <c r="CI231" t="s">
        <v>417</v>
      </c>
      <c r="CJ231" t="s">
        <v>417</v>
      </c>
      <c r="CK231" t="s">
        <v>417</v>
      </c>
      <c r="CL231" t="s">
        <v>417</v>
      </c>
      <c r="CM231" t="s">
        <v>417</v>
      </c>
      <c r="CN231" t="s">
        <v>417</v>
      </c>
      <c r="CO231" t="s">
        <v>417</v>
      </c>
      <c r="CP231" t="s">
        <v>417</v>
      </c>
      <c r="CQ231" t="s">
        <v>417</v>
      </c>
      <c r="CR231">
        <f>$B$11*DQ231+$C$11*DR231+$F$11*EC231*(1-EF231)</f>
        <v>0</v>
      </c>
      <c r="CS231">
        <f>CR231*CT231</f>
        <v>0</v>
      </c>
      <c r="CT231">
        <f>($B$11*$D$9+$C$11*$D$9+$F$11*((EP231+EH231)/MAX(EP231+EH231+EQ231, 0.1)*$I$9+EQ231/MAX(EP231+EH231+EQ231, 0.1)*$J$9))/($B$11+$C$11+$F$11)</f>
        <v>0</v>
      </c>
      <c r="CU231">
        <f>($B$11*$K$9+$C$11*$K$9+$F$11*((EP231+EH231)/MAX(EP231+EH231+EQ231, 0.1)*$P$9+EQ231/MAX(EP231+EH231+EQ231, 0.1)*$Q$9))/($B$11+$C$11+$F$11)</f>
        <v>0</v>
      </c>
      <c r="CV231">
        <v>6</v>
      </c>
      <c r="CW231">
        <v>0.5</v>
      </c>
      <c r="CX231" t="s">
        <v>418</v>
      </c>
      <c r="CY231">
        <v>2</v>
      </c>
      <c r="CZ231" t="b">
        <v>1</v>
      </c>
      <c r="DA231">
        <v>1651864825.725</v>
      </c>
      <c r="DB231">
        <v>224.213</v>
      </c>
      <c r="DC231">
        <v>214.03525</v>
      </c>
      <c r="DD231">
        <v>18.357075</v>
      </c>
      <c r="DE231">
        <v>14.12905</v>
      </c>
      <c r="DF231">
        <v>224.87525</v>
      </c>
      <c r="DG231">
        <v>18.336575</v>
      </c>
      <c r="DH231">
        <v>500.066</v>
      </c>
      <c r="DI231">
        <v>89.929</v>
      </c>
      <c r="DJ231">
        <v>0.1000662</v>
      </c>
      <c r="DK231">
        <v>25.6293</v>
      </c>
      <c r="DL231">
        <v>24.99835</v>
      </c>
      <c r="DM231">
        <v>999.9</v>
      </c>
      <c r="DN231">
        <v>0</v>
      </c>
      <c r="DO231">
        <v>0</v>
      </c>
      <c r="DP231">
        <v>9989.0625</v>
      </c>
      <c r="DQ231">
        <v>0</v>
      </c>
      <c r="DR231">
        <v>3.21191</v>
      </c>
      <c r="DS231">
        <v>10.1779</v>
      </c>
      <c r="DT231">
        <v>228.406</v>
      </c>
      <c r="DU231">
        <v>217.10275</v>
      </c>
      <c r="DV231">
        <v>4.227985</v>
      </c>
      <c r="DW231">
        <v>214.03525</v>
      </c>
      <c r="DX231">
        <v>14.12905</v>
      </c>
      <c r="DY231">
        <v>1.6508325</v>
      </c>
      <c r="DZ231">
        <v>1.2706125</v>
      </c>
      <c r="EA231">
        <v>14.441675</v>
      </c>
      <c r="EB231">
        <v>10.45565</v>
      </c>
      <c r="EC231">
        <v>1499.915</v>
      </c>
      <c r="ED231">
        <v>0.973003</v>
      </c>
      <c r="EE231">
        <v>0.02699695</v>
      </c>
      <c r="EF231">
        <v>0</v>
      </c>
      <c r="EG231">
        <v>831.6945000000001</v>
      </c>
      <c r="EH231">
        <v>5.00097</v>
      </c>
      <c r="EI231">
        <v>12354.25</v>
      </c>
      <c r="EJ231">
        <v>12490.9</v>
      </c>
      <c r="EK231">
        <v>37.25</v>
      </c>
      <c r="EL231">
        <v>38.687</v>
      </c>
      <c r="EM231">
        <v>37.625</v>
      </c>
      <c r="EN231">
        <v>38.375</v>
      </c>
      <c r="EO231">
        <v>38.07774999999999</v>
      </c>
      <c r="EP231">
        <v>1454.5575</v>
      </c>
      <c r="EQ231">
        <v>40.3575</v>
      </c>
      <c r="ER231">
        <v>0</v>
      </c>
      <c r="ES231">
        <v>606</v>
      </c>
      <c r="ET231">
        <v>0</v>
      </c>
      <c r="EU231">
        <v>832.5533846153846</v>
      </c>
      <c r="EV231">
        <v>-9.16000000456488</v>
      </c>
      <c r="EW231">
        <v>-129.6923078646823</v>
      </c>
      <c r="EX231">
        <v>12366.91153846154</v>
      </c>
      <c r="EY231">
        <v>15</v>
      </c>
      <c r="EZ231">
        <v>1651864261.1</v>
      </c>
      <c r="FA231" t="s">
        <v>419</v>
      </c>
      <c r="FB231">
        <v>1651864241.6</v>
      </c>
      <c r="FC231">
        <v>1651864261.1</v>
      </c>
      <c r="FD231">
        <v>7</v>
      </c>
      <c r="FE231">
        <v>0.438</v>
      </c>
      <c r="FF231">
        <v>0.002</v>
      </c>
      <c r="FG231">
        <v>-0.988</v>
      </c>
      <c r="FH231">
        <v>-0.066</v>
      </c>
      <c r="FI231">
        <v>400</v>
      </c>
      <c r="FJ231">
        <v>11</v>
      </c>
      <c r="FK231">
        <v>0.05</v>
      </c>
      <c r="FL231">
        <v>0.02</v>
      </c>
      <c r="FM231">
        <v>8.516773902439024</v>
      </c>
      <c r="FN231">
        <v>11.86815888501742</v>
      </c>
      <c r="FO231">
        <v>1.172612275071426</v>
      </c>
      <c r="FP231">
        <v>-1</v>
      </c>
      <c r="FQ231">
        <v>4.221738048780488</v>
      </c>
      <c r="FR231">
        <v>0.0401675958188277</v>
      </c>
      <c r="FS231">
        <v>0.004027981531379314</v>
      </c>
      <c r="FT231">
        <v>-1</v>
      </c>
      <c r="FU231">
        <v>0</v>
      </c>
      <c r="FV231">
        <v>0</v>
      </c>
      <c r="FW231">
        <v>0</v>
      </c>
      <c r="FX231">
        <v>-1</v>
      </c>
      <c r="FY231">
        <v>0</v>
      </c>
      <c r="FZ231">
        <v>0</v>
      </c>
      <c r="GA231" t="s">
        <v>420</v>
      </c>
      <c r="GB231">
        <v>2.98045</v>
      </c>
      <c r="GC231">
        <v>2.70614</v>
      </c>
      <c r="GD231">
        <v>0.0551232</v>
      </c>
      <c r="GE231">
        <v>0.0522366</v>
      </c>
      <c r="GF231">
        <v>0.0876773</v>
      </c>
      <c r="GG231">
        <v>0.0715905</v>
      </c>
      <c r="GH231">
        <v>29818.4</v>
      </c>
      <c r="GI231">
        <v>29975.3</v>
      </c>
      <c r="GJ231">
        <v>29343.5</v>
      </c>
      <c r="GK231">
        <v>29257.9</v>
      </c>
      <c r="GL231">
        <v>35447.1</v>
      </c>
      <c r="GM231">
        <v>36176.3</v>
      </c>
      <c r="GN231">
        <v>41301.9</v>
      </c>
      <c r="GO231">
        <v>41760.5</v>
      </c>
      <c r="GP231">
        <v>1.95505</v>
      </c>
      <c r="GQ231">
        <v>1.8491</v>
      </c>
      <c r="GR231">
        <v>-0.0205077</v>
      </c>
      <c r="GS231">
        <v>0</v>
      </c>
      <c r="GT231">
        <v>25.3375</v>
      </c>
      <c r="GU231">
        <v>999.9</v>
      </c>
      <c r="GV231">
        <v>31.5</v>
      </c>
      <c r="GW231">
        <v>34.3</v>
      </c>
      <c r="GX231">
        <v>19.0315</v>
      </c>
      <c r="GY231">
        <v>62.7175</v>
      </c>
      <c r="GZ231">
        <v>35.2404</v>
      </c>
      <c r="HA231">
        <v>1</v>
      </c>
      <c r="HB231">
        <v>0.108186</v>
      </c>
      <c r="HC231">
        <v>2.33311</v>
      </c>
      <c r="HD231">
        <v>20.318</v>
      </c>
      <c r="HE231">
        <v>5.21624</v>
      </c>
      <c r="HF231">
        <v>12.0099</v>
      </c>
      <c r="HG231">
        <v>4.98895</v>
      </c>
      <c r="HH231">
        <v>3.2885</v>
      </c>
      <c r="HI231">
        <v>1000.5</v>
      </c>
      <c r="HJ231">
        <v>9557.9</v>
      </c>
      <c r="HK231">
        <v>5139.4</v>
      </c>
      <c r="HL231">
        <v>24.9</v>
      </c>
      <c r="HM231">
        <v>1.86751</v>
      </c>
      <c r="HN231">
        <v>1.86646</v>
      </c>
      <c r="HO231">
        <v>1.866</v>
      </c>
      <c r="HP231">
        <v>1.86584</v>
      </c>
      <c r="HQ231">
        <v>1.8677</v>
      </c>
      <c r="HR231">
        <v>1.87025</v>
      </c>
      <c r="HS231">
        <v>1.8689</v>
      </c>
      <c r="HT231">
        <v>1.87026</v>
      </c>
      <c r="HU231">
        <v>0</v>
      </c>
      <c r="HV231">
        <v>0</v>
      </c>
      <c r="HW231">
        <v>0</v>
      </c>
      <c r="HX231">
        <v>0</v>
      </c>
      <c r="HY231" t="s">
        <v>421</v>
      </c>
      <c r="HZ231" t="s">
        <v>422</v>
      </c>
      <c r="IA231" t="s">
        <v>423</v>
      </c>
      <c r="IB231" t="s">
        <v>423</v>
      </c>
      <c r="IC231" t="s">
        <v>423</v>
      </c>
      <c r="ID231" t="s">
        <v>423</v>
      </c>
      <c r="IE231">
        <v>0</v>
      </c>
      <c r="IF231">
        <v>100</v>
      </c>
      <c r="IG231">
        <v>100</v>
      </c>
      <c r="IH231">
        <v>-0.655</v>
      </c>
      <c r="II231">
        <v>0.0205</v>
      </c>
      <c r="IJ231">
        <v>-0.2164499368582429</v>
      </c>
      <c r="IK231">
        <v>-0.002077099775823331</v>
      </c>
      <c r="IL231">
        <v>4.593143279902166E-07</v>
      </c>
      <c r="IM231">
        <v>-1.865383991892071E-10</v>
      </c>
      <c r="IN231">
        <v>-0.06087574426827484</v>
      </c>
      <c r="IO231">
        <v>-0.01129461987421345</v>
      </c>
      <c r="IP231">
        <v>0.00116580895745559</v>
      </c>
      <c r="IQ231">
        <v>-1.679085872906199E-05</v>
      </c>
      <c r="IR231">
        <v>2</v>
      </c>
      <c r="IS231">
        <v>2290</v>
      </c>
      <c r="IT231">
        <v>0</v>
      </c>
      <c r="IU231">
        <v>32</v>
      </c>
      <c r="IV231">
        <v>9.800000000000001</v>
      </c>
      <c r="IW231">
        <v>9.4</v>
      </c>
      <c r="IX231">
        <v>0.577393</v>
      </c>
      <c r="IY231">
        <v>2.25708</v>
      </c>
      <c r="IZ231">
        <v>1.39648</v>
      </c>
      <c r="JA231">
        <v>2.35596</v>
      </c>
      <c r="JB231">
        <v>1.49536</v>
      </c>
      <c r="JC231">
        <v>2.31567</v>
      </c>
      <c r="JD231">
        <v>38.5014</v>
      </c>
      <c r="JE231">
        <v>24.035</v>
      </c>
      <c r="JF231">
        <v>18</v>
      </c>
      <c r="JG231">
        <v>510.98</v>
      </c>
      <c r="JH231">
        <v>428.429</v>
      </c>
      <c r="JI231">
        <v>22.1976</v>
      </c>
      <c r="JJ231">
        <v>28.6928</v>
      </c>
      <c r="JK231">
        <v>30.0001</v>
      </c>
      <c r="JL231">
        <v>28.6569</v>
      </c>
      <c r="JM231">
        <v>28.5944</v>
      </c>
      <c r="JN231">
        <v>11.4958</v>
      </c>
      <c r="JO231">
        <v>26.5129</v>
      </c>
      <c r="JP231">
        <v>0</v>
      </c>
      <c r="JQ231">
        <v>22.1979</v>
      </c>
      <c r="JR231">
        <v>186.149</v>
      </c>
      <c r="JS231">
        <v>14.1431</v>
      </c>
      <c r="JT231">
        <v>100.302</v>
      </c>
      <c r="JU231">
        <v>100.228</v>
      </c>
    </row>
    <row r="232" spans="1:281">
      <c r="A232">
        <v>216</v>
      </c>
      <c r="B232">
        <v>1651864829.1</v>
      </c>
      <c r="C232">
        <v>608.5</v>
      </c>
      <c r="D232" t="s">
        <v>852</v>
      </c>
      <c r="E232" t="s">
        <v>853</v>
      </c>
      <c r="F232">
        <v>2</v>
      </c>
      <c r="G232" t="s">
        <v>413</v>
      </c>
      <c r="H232" t="s">
        <v>414</v>
      </c>
      <c r="I232">
        <v>1651864828.1</v>
      </c>
      <c r="J232">
        <f>(K232)/1000</f>
        <v>0</v>
      </c>
      <c r="K232">
        <f>IF(CZ232, AN232, AH232)</f>
        <v>0</v>
      </c>
      <c r="L232">
        <f>IF(CZ232, AI232, AG232)</f>
        <v>0</v>
      </c>
      <c r="M232">
        <f>DB232 - IF(AU232&gt;1, L232*CV232*100.0/(AW232*DP232), 0)</f>
        <v>0</v>
      </c>
      <c r="N232">
        <f>((T232-J232/2)*M232-L232)/(T232+J232/2)</f>
        <v>0</v>
      </c>
      <c r="O232">
        <f>N232*(DI232+DJ232)/1000.0</f>
        <v>0</v>
      </c>
      <c r="P232">
        <f>(DB232 - IF(AU232&gt;1, L232*CV232*100.0/(AW232*DP232), 0))*(DI232+DJ232)/1000.0</f>
        <v>0</v>
      </c>
      <c r="Q232">
        <f>2.0/((1/S232-1/R232)+SIGN(S232)*SQRT((1/S232-1/R232)*(1/S232-1/R232) + 4*CW232/((CW232+1)*(CW232+1))*(2*1/S232*1/R232-1/R232*1/R232)))</f>
        <v>0</v>
      </c>
      <c r="R232">
        <f>IF(LEFT(CX232,1)&lt;&gt;"0",IF(LEFT(CX232,1)="1",3.0,CY232),$D$5+$E$5*(DP232*DI232/($K$5*1000))+$F$5*(DP232*DI232/($K$5*1000))*MAX(MIN(CV232,$J$5),$I$5)*MAX(MIN(CV232,$J$5),$I$5)+$G$5*MAX(MIN(CV232,$J$5),$I$5)*(DP232*DI232/($K$5*1000))+$H$5*(DP232*DI232/($K$5*1000))*(DP232*DI232/($K$5*1000)))</f>
        <v>0</v>
      </c>
      <c r="S232">
        <f>J232*(1000-(1000*0.61365*exp(17.502*W232/(240.97+W232))/(DI232+DJ232)+DD232)/2)/(1000*0.61365*exp(17.502*W232/(240.97+W232))/(DI232+DJ232)-DD232)</f>
        <v>0</v>
      </c>
      <c r="T232">
        <f>1/((CW232+1)/(Q232/1.6)+1/(R232/1.37)) + CW232/((CW232+1)/(Q232/1.6) + CW232/(R232/1.37))</f>
        <v>0</v>
      </c>
      <c r="U232">
        <f>(CR232*CU232)</f>
        <v>0</v>
      </c>
      <c r="V232">
        <f>(DK232+(U232+2*0.95*5.67E-8*(((DK232+$B$7)+273)^4-(DK232+273)^4)-44100*J232)/(1.84*29.3*R232+8*0.95*5.67E-8*(DK232+273)^3))</f>
        <v>0</v>
      </c>
      <c r="W232">
        <f>($C$7*DL232+$D$7*DM232+$E$7*V232)</f>
        <v>0</v>
      </c>
      <c r="X232">
        <f>0.61365*exp(17.502*W232/(240.97+W232))</f>
        <v>0</v>
      </c>
      <c r="Y232">
        <f>(Z232/AA232*100)</f>
        <v>0</v>
      </c>
      <c r="Z232">
        <f>DD232*(DI232+DJ232)/1000</f>
        <v>0</v>
      </c>
      <c r="AA232">
        <f>0.61365*exp(17.502*DK232/(240.97+DK232))</f>
        <v>0</v>
      </c>
      <c r="AB232">
        <f>(X232-DD232*(DI232+DJ232)/1000)</f>
        <v>0</v>
      </c>
      <c r="AC232">
        <f>(-J232*44100)</f>
        <v>0</v>
      </c>
      <c r="AD232">
        <f>2*29.3*R232*0.92*(DK232-W232)</f>
        <v>0</v>
      </c>
      <c r="AE232">
        <f>2*0.95*5.67E-8*(((DK232+$B$7)+273)^4-(W232+273)^4)</f>
        <v>0</v>
      </c>
      <c r="AF232">
        <f>U232+AE232+AC232+AD232</f>
        <v>0</v>
      </c>
      <c r="AG232">
        <f>DH232*AU232*(DC232-DB232*(1000-AU232*DE232)/(1000-AU232*DD232))/(100*CV232)</f>
        <v>0</v>
      </c>
      <c r="AH232">
        <f>1000*DH232*AU232*(DD232-DE232)/(100*CV232*(1000-AU232*DD232))</f>
        <v>0</v>
      </c>
      <c r="AI232">
        <f>(AJ232 - AK232 - DI232*1E3/(8.314*(DK232+273.15)) * AM232/DH232 * AL232) * DH232/(100*CV232) * (1000 - DE232)/1000</f>
        <v>0</v>
      </c>
      <c r="AJ232">
        <v>215.2046653878091</v>
      </c>
      <c r="AK232">
        <v>219.4771515151514</v>
      </c>
      <c r="AL232">
        <v>-3.109245821951399</v>
      </c>
      <c r="AM232">
        <v>66.38192812717227</v>
      </c>
      <c r="AN232">
        <f>(AP232 - AO232 + DI232*1E3/(8.314*(DK232+273.15)) * AR232/DH232 * AQ232) * DH232/(100*CV232) * 1000/(1000 - AP232)</f>
        <v>0</v>
      </c>
      <c r="AO232">
        <v>14.1298782573806</v>
      </c>
      <c r="AP232">
        <v>18.36007176470586</v>
      </c>
      <c r="AQ232">
        <v>-1.601818420272157E-05</v>
      </c>
      <c r="AR232">
        <v>80.47224507511959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MAX(0,($B$13+$C$13*DP232)/(1+$D$13*DP232)*DI232/(DK232+273)*$E$13)</f>
        <v>0</v>
      </c>
      <c r="AX232" t="s">
        <v>417</v>
      </c>
      <c r="AY232" t="s">
        <v>417</v>
      </c>
      <c r="AZ232">
        <v>0</v>
      </c>
      <c r="BA232">
        <v>0</v>
      </c>
      <c r="BB232">
        <f>1-AZ232/BA232</f>
        <v>0</v>
      </c>
      <c r="BC232">
        <v>0</v>
      </c>
      <c r="BD232" t="s">
        <v>417</v>
      </c>
      <c r="BE232" t="s">
        <v>417</v>
      </c>
      <c r="BF232">
        <v>0</v>
      </c>
      <c r="BG232">
        <v>0</v>
      </c>
      <c r="BH232">
        <f>1-BF232/BG232</f>
        <v>0</v>
      </c>
      <c r="BI232">
        <v>0.5</v>
      </c>
      <c r="BJ232">
        <f>CS232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417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BZ232">
        <v>1248</v>
      </c>
      <c r="CA232">
        <v>300</v>
      </c>
      <c r="CB232">
        <v>300</v>
      </c>
      <c r="CC232">
        <v>300</v>
      </c>
      <c r="CD232">
        <v>10442</v>
      </c>
      <c r="CE232">
        <v>1293.69</v>
      </c>
      <c r="CF232">
        <v>-0.00735246</v>
      </c>
      <c r="CG232">
        <v>0.5</v>
      </c>
      <c r="CH232" t="s">
        <v>417</v>
      </c>
      <c r="CI232" t="s">
        <v>417</v>
      </c>
      <c r="CJ232" t="s">
        <v>417</v>
      </c>
      <c r="CK232" t="s">
        <v>417</v>
      </c>
      <c r="CL232" t="s">
        <v>417</v>
      </c>
      <c r="CM232" t="s">
        <v>417</v>
      </c>
      <c r="CN232" t="s">
        <v>417</v>
      </c>
      <c r="CO232" t="s">
        <v>417</v>
      </c>
      <c r="CP232" t="s">
        <v>417</v>
      </c>
      <c r="CQ232" t="s">
        <v>417</v>
      </c>
      <c r="CR232">
        <f>$B$11*DQ232+$C$11*DR232+$F$11*EC232*(1-EF232)</f>
        <v>0</v>
      </c>
      <c r="CS232">
        <f>CR232*CT232</f>
        <v>0</v>
      </c>
      <c r="CT232">
        <f>($B$11*$D$9+$C$11*$D$9+$F$11*((EP232+EH232)/MAX(EP232+EH232+EQ232, 0.1)*$I$9+EQ232/MAX(EP232+EH232+EQ232, 0.1)*$J$9))/($B$11+$C$11+$F$11)</f>
        <v>0</v>
      </c>
      <c r="CU232">
        <f>($B$11*$K$9+$C$11*$K$9+$F$11*((EP232+EH232)/MAX(EP232+EH232+EQ232, 0.1)*$P$9+EQ232/MAX(EP232+EH232+EQ232, 0.1)*$Q$9))/($B$11+$C$11+$F$11)</f>
        <v>0</v>
      </c>
      <c r="CV232">
        <v>6</v>
      </c>
      <c r="CW232">
        <v>0.5</v>
      </c>
      <c r="CX232" t="s">
        <v>418</v>
      </c>
      <c r="CY232">
        <v>2</v>
      </c>
      <c r="CZ232" t="b">
        <v>1</v>
      </c>
      <c r="DA232">
        <v>1651864828.1</v>
      </c>
      <c r="DB232">
        <v>216.958</v>
      </c>
      <c r="DC232">
        <v>206.7823333333333</v>
      </c>
      <c r="DD232">
        <v>18.3594</v>
      </c>
      <c r="DE232">
        <v>14.12743333333333</v>
      </c>
      <c r="DF232">
        <v>217.6066666666667</v>
      </c>
      <c r="DG232">
        <v>18.3389</v>
      </c>
      <c r="DH232">
        <v>499.989</v>
      </c>
      <c r="DI232">
        <v>89.92853333333333</v>
      </c>
      <c r="DJ232">
        <v>0.1001239</v>
      </c>
      <c r="DK232">
        <v>25.63023333333334</v>
      </c>
      <c r="DL232">
        <v>25.00443333333333</v>
      </c>
      <c r="DM232">
        <v>999.9</v>
      </c>
      <c r="DN232">
        <v>0</v>
      </c>
      <c r="DO232">
        <v>0</v>
      </c>
      <c r="DP232">
        <v>9983.733333333334</v>
      </c>
      <c r="DQ232">
        <v>0</v>
      </c>
      <c r="DR232">
        <v>3.21788</v>
      </c>
      <c r="DS232">
        <v>10.17556666666667</v>
      </c>
      <c r="DT232">
        <v>221.0156666666667</v>
      </c>
      <c r="DU232">
        <v>209.7456666666667</v>
      </c>
      <c r="DV232">
        <v>4.231976666666666</v>
      </c>
      <c r="DW232">
        <v>206.7823333333333</v>
      </c>
      <c r="DX232">
        <v>14.12743333333333</v>
      </c>
      <c r="DY232">
        <v>1.651036666666666</v>
      </c>
      <c r="DZ232">
        <v>1.27046</v>
      </c>
      <c r="EA232">
        <v>14.4436</v>
      </c>
      <c r="EB232">
        <v>10.45386666666666</v>
      </c>
      <c r="EC232">
        <v>1499.95</v>
      </c>
      <c r="ED232">
        <v>0.973002</v>
      </c>
      <c r="EE232">
        <v>0.02699806666666666</v>
      </c>
      <c r="EF232">
        <v>0</v>
      </c>
      <c r="EG232">
        <v>831.3743333333333</v>
      </c>
      <c r="EH232">
        <v>5.00097</v>
      </c>
      <c r="EI232">
        <v>12351.66666666667</v>
      </c>
      <c r="EJ232">
        <v>12491.13333333333</v>
      </c>
      <c r="EK232">
        <v>37.229</v>
      </c>
      <c r="EL232">
        <v>38.687</v>
      </c>
      <c r="EM232">
        <v>37.625</v>
      </c>
      <c r="EN232">
        <v>38.375</v>
      </c>
      <c r="EO232">
        <v>38.104</v>
      </c>
      <c r="EP232">
        <v>1454.59</v>
      </c>
      <c r="EQ232">
        <v>40.36000000000001</v>
      </c>
      <c r="ER232">
        <v>0</v>
      </c>
      <c r="ES232">
        <v>607.7999999523163</v>
      </c>
      <c r="ET232">
        <v>0</v>
      </c>
      <c r="EU232">
        <v>832.2148799999999</v>
      </c>
      <c r="EV232">
        <v>-8.555153855995322</v>
      </c>
      <c r="EW232">
        <v>-111.5615387573002</v>
      </c>
      <c r="EX232">
        <v>12362.676</v>
      </c>
      <c r="EY232">
        <v>15</v>
      </c>
      <c r="EZ232">
        <v>1651864261.1</v>
      </c>
      <c r="FA232" t="s">
        <v>419</v>
      </c>
      <c r="FB232">
        <v>1651864241.6</v>
      </c>
      <c r="FC232">
        <v>1651864261.1</v>
      </c>
      <c r="FD232">
        <v>7</v>
      </c>
      <c r="FE232">
        <v>0.438</v>
      </c>
      <c r="FF232">
        <v>0.002</v>
      </c>
      <c r="FG232">
        <v>-0.988</v>
      </c>
      <c r="FH232">
        <v>-0.066</v>
      </c>
      <c r="FI232">
        <v>400</v>
      </c>
      <c r="FJ232">
        <v>11</v>
      </c>
      <c r="FK232">
        <v>0.05</v>
      </c>
      <c r="FL232">
        <v>0.02</v>
      </c>
      <c r="FM232">
        <v>8.826970249999999</v>
      </c>
      <c r="FN232">
        <v>11.12880146341463</v>
      </c>
      <c r="FO232">
        <v>1.080173557578798</v>
      </c>
      <c r="FP232">
        <v>-1</v>
      </c>
      <c r="FQ232">
        <v>4.222996</v>
      </c>
      <c r="FR232">
        <v>0.04390784240148844</v>
      </c>
      <c r="FS232">
        <v>0.004300423700055603</v>
      </c>
      <c r="FT232">
        <v>-1</v>
      </c>
      <c r="FU232">
        <v>0</v>
      </c>
      <c r="FV232">
        <v>0</v>
      </c>
      <c r="FW232">
        <v>0</v>
      </c>
      <c r="FX232">
        <v>-1</v>
      </c>
      <c r="FY232">
        <v>0</v>
      </c>
      <c r="FZ232">
        <v>0</v>
      </c>
      <c r="GA232" t="s">
        <v>420</v>
      </c>
      <c r="GB232">
        <v>2.98046</v>
      </c>
      <c r="GC232">
        <v>2.7061</v>
      </c>
      <c r="GD232">
        <v>0.0537935</v>
      </c>
      <c r="GE232">
        <v>0.0508801</v>
      </c>
      <c r="GF232">
        <v>0.08768620000000001</v>
      </c>
      <c r="GG232">
        <v>0.0715896</v>
      </c>
      <c r="GH232">
        <v>29860.3</v>
      </c>
      <c r="GI232">
        <v>30018.2</v>
      </c>
      <c r="GJ232">
        <v>29343.5</v>
      </c>
      <c r="GK232">
        <v>29257.9</v>
      </c>
      <c r="GL232">
        <v>35446.4</v>
      </c>
      <c r="GM232">
        <v>36176.3</v>
      </c>
      <c r="GN232">
        <v>41301.6</v>
      </c>
      <c r="GO232">
        <v>41760.5</v>
      </c>
      <c r="GP232">
        <v>1.955</v>
      </c>
      <c r="GQ232">
        <v>1.8488</v>
      </c>
      <c r="GR232">
        <v>-0.0201464</v>
      </c>
      <c r="GS232">
        <v>0</v>
      </c>
      <c r="GT232">
        <v>25.3375</v>
      </c>
      <c r="GU232">
        <v>999.9</v>
      </c>
      <c r="GV232">
        <v>31.5</v>
      </c>
      <c r="GW232">
        <v>34.3</v>
      </c>
      <c r="GX232">
        <v>19.0291</v>
      </c>
      <c r="GY232">
        <v>62.0675</v>
      </c>
      <c r="GZ232">
        <v>34.8598</v>
      </c>
      <c r="HA232">
        <v>1</v>
      </c>
      <c r="HB232">
        <v>0.10814</v>
      </c>
      <c r="HC232">
        <v>2.33209</v>
      </c>
      <c r="HD232">
        <v>20.318</v>
      </c>
      <c r="HE232">
        <v>5.21609</v>
      </c>
      <c r="HF232">
        <v>12.0099</v>
      </c>
      <c r="HG232">
        <v>4.98885</v>
      </c>
      <c r="HH232">
        <v>3.2885</v>
      </c>
      <c r="HI232">
        <v>1000.5</v>
      </c>
      <c r="HJ232">
        <v>9557.9</v>
      </c>
      <c r="HK232">
        <v>5139.4</v>
      </c>
      <c r="HL232">
        <v>24.9</v>
      </c>
      <c r="HM232">
        <v>1.86752</v>
      </c>
      <c r="HN232">
        <v>1.86647</v>
      </c>
      <c r="HO232">
        <v>1.866</v>
      </c>
      <c r="HP232">
        <v>1.86584</v>
      </c>
      <c r="HQ232">
        <v>1.86768</v>
      </c>
      <c r="HR232">
        <v>1.87023</v>
      </c>
      <c r="HS232">
        <v>1.8689</v>
      </c>
      <c r="HT232">
        <v>1.87025</v>
      </c>
      <c r="HU232">
        <v>0</v>
      </c>
      <c r="HV232">
        <v>0</v>
      </c>
      <c r="HW232">
        <v>0</v>
      </c>
      <c r="HX232">
        <v>0</v>
      </c>
      <c r="HY232" t="s">
        <v>421</v>
      </c>
      <c r="HZ232" t="s">
        <v>422</v>
      </c>
      <c r="IA232" t="s">
        <v>423</v>
      </c>
      <c r="IB232" t="s">
        <v>423</v>
      </c>
      <c r="IC232" t="s">
        <v>423</v>
      </c>
      <c r="ID232" t="s">
        <v>423</v>
      </c>
      <c r="IE232">
        <v>0</v>
      </c>
      <c r="IF232">
        <v>100</v>
      </c>
      <c r="IG232">
        <v>100</v>
      </c>
      <c r="IH232">
        <v>-0.643</v>
      </c>
      <c r="II232">
        <v>0.0206</v>
      </c>
      <c r="IJ232">
        <v>-0.2164499368582429</v>
      </c>
      <c r="IK232">
        <v>-0.002077099775823331</v>
      </c>
      <c r="IL232">
        <v>4.593143279902166E-07</v>
      </c>
      <c r="IM232">
        <v>-1.865383991892071E-10</v>
      </c>
      <c r="IN232">
        <v>-0.06087574426827484</v>
      </c>
      <c r="IO232">
        <v>-0.01129461987421345</v>
      </c>
      <c r="IP232">
        <v>0.00116580895745559</v>
      </c>
      <c r="IQ232">
        <v>-1.679085872906199E-05</v>
      </c>
      <c r="IR232">
        <v>2</v>
      </c>
      <c r="IS232">
        <v>2290</v>
      </c>
      <c r="IT232">
        <v>0</v>
      </c>
      <c r="IU232">
        <v>32</v>
      </c>
      <c r="IV232">
        <v>9.800000000000001</v>
      </c>
      <c r="IW232">
        <v>9.5</v>
      </c>
      <c r="IX232">
        <v>0.562744</v>
      </c>
      <c r="IY232">
        <v>2.25464</v>
      </c>
      <c r="IZ232">
        <v>1.39648</v>
      </c>
      <c r="JA232">
        <v>2.35596</v>
      </c>
      <c r="JB232">
        <v>1.49536</v>
      </c>
      <c r="JC232">
        <v>2.37061</v>
      </c>
      <c r="JD232">
        <v>38.5014</v>
      </c>
      <c r="JE232">
        <v>24.035</v>
      </c>
      <c r="JF232">
        <v>18</v>
      </c>
      <c r="JG232">
        <v>510.952</v>
      </c>
      <c r="JH232">
        <v>428.249</v>
      </c>
      <c r="JI232">
        <v>22.1975</v>
      </c>
      <c r="JJ232">
        <v>28.6928</v>
      </c>
      <c r="JK232">
        <v>30.0001</v>
      </c>
      <c r="JL232">
        <v>28.6576</v>
      </c>
      <c r="JM232">
        <v>28.5944</v>
      </c>
      <c r="JN232">
        <v>11.2099</v>
      </c>
      <c r="JO232">
        <v>26.5129</v>
      </c>
      <c r="JP232">
        <v>0</v>
      </c>
      <c r="JQ232">
        <v>22.1977</v>
      </c>
      <c r="JR232">
        <v>179.47</v>
      </c>
      <c r="JS232">
        <v>14.1431</v>
      </c>
      <c r="JT232">
        <v>100.301</v>
      </c>
      <c r="JU232">
        <v>100.228</v>
      </c>
    </row>
    <row r="233" spans="1:281">
      <c r="A233">
        <v>217</v>
      </c>
      <c r="B233">
        <v>1651864831.1</v>
      </c>
      <c r="C233">
        <v>610.5</v>
      </c>
      <c r="D233" t="s">
        <v>854</v>
      </c>
      <c r="E233" t="s">
        <v>855</v>
      </c>
      <c r="F233">
        <v>2</v>
      </c>
      <c r="G233" t="s">
        <v>413</v>
      </c>
      <c r="H233" t="s">
        <v>414</v>
      </c>
      <c r="I233">
        <v>1651864829.725</v>
      </c>
      <c r="J233">
        <f>(K233)/1000</f>
        <v>0</v>
      </c>
      <c r="K233">
        <f>IF(CZ233, AN233, AH233)</f>
        <v>0</v>
      </c>
      <c r="L233">
        <f>IF(CZ233, AI233, AG233)</f>
        <v>0</v>
      </c>
      <c r="M233">
        <f>DB233 - IF(AU233&gt;1, L233*CV233*100.0/(AW233*DP233), 0)</f>
        <v>0</v>
      </c>
      <c r="N233">
        <f>((T233-J233/2)*M233-L233)/(T233+J233/2)</f>
        <v>0</v>
      </c>
      <c r="O233">
        <f>N233*(DI233+DJ233)/1000.0</f>
        <v>0</v>
      </c>
      <c r="P233">
        <f>(DB233 - IF(AU233&gt;1, L233*CV233*100.0/(AW233*DP233), 0))*(DI233+DJ233)/1000.0</f>
        <v>0</v>
      </c>
      <c r="Q233">
        <f>2.0/((1/S233-1/R233)+SIGN(S233)*SQRT((1/S233-1/R233)*(1/S233-1/R233) + 4*CW233/((CW233+1)*(CW233+1))*(2*1/S233*1/R233-1/R233*1/R233)))</f>
        <v>0</v>
      </c>
      <c r="R233">
        <f>IF(LEFT(CX233,1)&lt;&gt;"0",IF(LEFT(CX233,1)="1",3.0,CY233),$D$5+$E$5*(DP233*DI233/($K$5*1000))+$F$5*(DP233*DI233/($K$5*1000))*MAX(MIN(CV233,$J$5),$I$5)*MAX(MIN(CV233,$J$5),$I$5)+$G$5*MAX(MIN(CV233,$J$5),$I$5)*(DP233*DI233/($K$5*1000))+$H$5*(DP233*DI233/($K$5*1000))*(DP233*DI233/($K$5*1000)))</f>
        <v>0</v>
      </c>
      <c r="S233">
        <f>J233*(1000-(1000*0.61365*exp(17.502*W233/(240.97+W233))/(DI233+DJ233)+DD233)/2)/(1000*0.61365*exp(17.502*W233/(240.97+W233))/(DI233+DJ233)-DD233)</f>
        <v>0</v>
      </c>
      <c r="T233">
        <f>1/((CW233+1)/(Q233/1.6)+1/(R233/1.37)) + CW233/((CW233+1)/(Q233/1.6) + CW233/(R233/1.37))</f>
        <v>0</v>
      </c>
      <c r="U233">
        <f>(CR233*CU233)</f>
        <v>0</v>
      </c>
      <c r="V233">
        <f>(DK233+(U233+2*0.95*5.67E-8*(((DK233+$B$7)+273)^4-(DK233+273)^4)-44100*J233)/(1.84*29.3*R233+8*0.95*5.67E-8*(DK233+273)^3))</f>
        <v>0</v>
      </c>
      <c r="W233">
        <f>($C$7*DL233+$D$7*DM233+$E$7*V233)</f>
        <v>0</v>
      </c>
      <c r="X233">
        <f>0.61365*exp(17.502*W233/(240.97+W233))</f>
        <v>0</v>
      </c>
      <c r="Y233">
        <f>(Z233/AA233*100)</f>
        <v>0</v>
      </c>
      <c r="Z233">
        <f>DD233*(DI233+DJ233)/1000</f>
        <v>0</v>
      </c>
      <c r="AA233">
        <f>0.61365*exp(17.502*DK233/(240.97+DK233))</f>
        <v>0</v>
      </c>
      <c r="AB233">
        <f>(X233-DD233*(DI233+DJ233)/1000)</f>
        <v>0</v>
      </c>
      <c r="AC233">
        <f>(-J233*44100)</f>
        <v>0</v>
      </c>
      <c r="AD233">
        <f>2*29.3*R233*0.92*(DK233-W233)</f>
        <v>0</v>
      </c>
      <c r="AE233">
        <f>2*0.95*5.67E-8*(((DK233+$B$7)+273)^4-(W233+273)^4)</f>
        <v>0</v>
      </c>
      <c r="AF233">
        <f>U233+AE233+AC233+AD233</f>
        <v>0</v>
      </c>
      <c r="AG233">
        <f>DH233*AU233*(DC233-DB233*(1000-AU233*DE233)/(1000-AU233*DD233))/(100*CV233)</f>
        <v>0</v>
      </c>
      <c r="AH233">
        <f>1000*DH233*AU233*(DD233-DE233)/(100*CV233*(1000-AU233*DD233))</f>
        <v>0</v>
      </c>
      <c r="AI233">
        <f>(AJ233 - AK233 - DI233*1E3/(8.314*(DK233+273.15)) * AM233/DH233 * AL233) * DH233/(100*CV233) * (1000 - DE233)/1000</f>
        <v>0</v>
      </c>
      <c r="AJ233">
        <v>209.033764287344</v>
      </c>
      <c r="AK233">
        <v>213.3795212121211</v>
      </c>
      <c r="AL233">
        <v>-3.06082496797471</v>
      </c>
      <c r="AM233">
        <v>66.38192812717227</v>
      </c>
      <c r="AN233">
        <f>(AP233 - AO233 + DI233*1E3/(8.314*(DK233+273.15)) * AR233/DH233 * AQ233) * DH233/(100*CV233) * 1000/(1000 - AP233)</f>
        <v>0</v>
      </c>
      <c r="AO233">
        <v>14.12823543946251</v>
      </c>
      <c r="AP233">
        <v>18.36137764705883</v>
      </c>
      <c r="AQ233">
        <v>2.217432071906034E-05</v>
      </c>
      <c r="AR233">
        <v>80.47224507511959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MAX(0,($B$13+$C$13*DP233)/(1+$D$13*DP233)*DI233/(DK233+273)*$E$13)</f>
        <v>0</v>
      </c>
      <c r="AX233" t="s">
        <v>417</v>
      </c>
      <c r="AY233" t="s">
        <v>417</v>
      </c>
      <c r="AZ233">
        <v>0</v>
      </c>
      <c r="BA233">
        <v>0</v>
      </c>
      <c r="BB233">
        <f>1-AZ233/BA233</f>
        <v>0</v>
      </c>
      <c r="BC233">
        <v>0</v>
      </c>
      <c r="BD233" t="s">
        <v>417</v>
      </c>
      <c r="BE233" t="s">
        <v>417</v>
      </c>
      <c r="BF233">
        <v>0</v>
      </c>
      <c r="BG233">
        <v>0</v>
      </c>
      <c r="BH233">
        <f>1-BF233/BG233</f>
        <v>0</v>
      </c>
      <c r="BI233">
        <v>0.5</v>
      </c>
      <c r="BJ233">
        <f>CS233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417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BZ233">
        <v>1248</v>
      </c>
      <c r="CA233">
        <v>300</v>
      </c>
      <c r="CB233">
        <v>300</v>
      </c>
      <c r="CC233">
        <v>300</v>
      </c>
      <c r="CD233">
        <v>10442</v>
      </c>
      <c r="CE233">
        <v>1293.69</v>
      </c>
      <c r="CF233">
        <v>-0.00735246</v>
      </c>
      <c r="CG233">
        <v>0.5</v>
      </c>
      <c r="CH233" t="s">
        <v>417</v>
      </c>
      <c r="CI233" t="s">
        <v>417</v>
      </c>
      <c r="CJ233" t="s">
        <v>417</v>
      </c>
      <c r="CK233" t="s">
        <v>417</v>
      </c>
      <c r="CL233" t="s">
        <v>417</v>
      </c>
      <c r="CM233" t="s">
        <v>417</v>
      </c>
      <c r="CN233" t="s">
        <v>417</v>
      </c>
      <c r="CO233" t="s">
        <v>417</v>
      </c>
      <c r="CP233" t="s">
        <v>417</v>
      </c>
      <c r="CQ233" t="s">
        <v>417</v>
      </c>
      <c r="CR233">
        <f>$B$11*DQ233+$C$11*DR233+$F$11*EC233*(1-EF233)</f>
        <v>0</v>
      </c>
      <c r="CS233">
        <f>CR233*CT233</f>
        <v>0</v>
      </c>
      <c r="CT233">
        <f>($B$11*$D$9+$C$11*$D$9+$F$11*((EP233+EH233)/MAX(EP233+EH233+EQ233, 0.1)*$I$9+EQ233/MAX(EP233+EH233+EQ233, 0.1)*$J$9))/($B$11+$C$11+$F$11)</f>
        <v>0</v>
      </c>
      <c r="CU233">
        <f>($B$11*$K$9+$C$11*$K$9+$F$11*((EP233+EH233)/MAX(EP233+EH233+EQ233, 0.1)*$P$9+EQ233/MAX(EP233+EH233+EQ233, 0.1)*$Q$9))/($B$11+$C$11+$F$11)</f>
        <v>0</v>
      </c>
      <c r="CV233">
        <v>6</v>
      </c>
      <c r="CW233">
        <v>0.5</v>
      </c>
      <c r="CX233" t="s">
        <v>418</v>
      </c>
      <c r="CY233">
        <v>2</v>
      </c>
      <c r="CZ233" t="b">
        <v>1</v>
      </c>
      <c r="DA233">
        <v>1651864829.725</v>
      </c>
      <c r="DB233">
        <v>212.07475</v>
      </c>
      <c r="DC233">
        <v>201.69575</v>
      </c>
      <c r="DD233">
        <v>18.360625</v>
      </c>
      <c r="DE233">
        <v>14.12765</v>
      </c>
      <c r="DF233">
        <v>212.714</v>
      </c>
      <c r="DG233">
        <v>18.3401</v>
      </c>
      <c r="DH233">
        <v>500.0485</v>
      </c>
      <c r="DI233">
        <v>89.930475</v>
      </c>
      <c r="DJ233">
        <v>0.09999047500000001</v>
      </c>
      <c r="DK233">
        <v>25.630125</v>
      </c>
      <c r="DL233">
        <v>25.000525</v>
      </c>
      <c r="DM233">
        <v>999.9</v>
      </c>
      <c r="DN233">
        <v>0</v>
      </c>
      <c r="DO233">
        <v>0</v>
      </c>
      <c r="DP233">
        <v>9992.7875</v>
      </c>
      <c r="DQ233">
        <v>0</v>
      </c>
      <c r="DR233">
        <v>3.21788</v>
      </c>
      <c r="DS233">
        <v>10.378875</v>
      </c>
      <c r="DT233">
        <v>216.04125</v>
      </c>
      <c r="DU233">
        <v>204.586</v>
      </c>
      <c r="DV233">
        <v>4.2329875</v>
      </c>
      <c r="DW233">
        <v>201.69575</v>
      </c>
      <c r="DX233">
        <v>14.12765</v>
      </c>
      <c r="DY233">
        <v>1.65118</v>
      </c>
      <c r="DZ233">
        <v>1.2705075</v>
      </c>
      <c r="EA233">
        <v>14.444925</v>
      </c>
      <c r="EB233">
        <v>10.4544</v>
      </c>
      <c r="EC233">
        <v>1499.925</v>
      </c>
      <c r="ED233">
        <v>0.973003</v>
      </c>
      <c r="EE233">
        <v>0.02699695</v>
      </c>
      <c r="EF233">
        <v>0</v>
      </c>
      <c r="EG233">
        <v>831.636</v>
      </c>
      <c r="EH233">
        <v>5.00097</v>
      </c>
      <c r="EI233">
        <v>12350.075</v>
      </c>
      <c r="EJ233">
        <v>12490.975</v>
      </c>
      <c r="EK233">
        <v>37.20274999999999</v>
      </c>
      <c r="EL233">
        <v>38.687</v>
      </c>
      <c r="EM233">
        <v>37.625</v>
      </c>
      <c r="EN233">
        <v>38.375</v>
      </c>
      <c r="EO233">
        <v>38.0935</v>
      </c>
      <c r="EP233">
        <v>1454.5675</v>
      </c>
      <c r="EQ233">
        <v>40.3575</v>
      </c>
      <c r="ER233">
        <v>0</v>
      </c>
      <c r="ES233">
        <v>610.2000000476837</v>
      </c>
      <c r="ET233">
        <v>0</v>
      </c>
      <c r="EU233">
        <v>831.9661600000001</v>
      </c>
      <c r="EV233">
        <v>-5.981307681392546</v>
      </c>
      <c r="EW233">
        <v>-94.1461537968289</v>
      </c>
      <c r="EX233">
        <v>12358.452</v>
      </c>
      <c r="EY233">
        <v>15</v>
      </c>
      <c r="EZ233">
        <v>1651864261.1</v>
      </c>
      <c r="FA233" t="s">
        <v>419</v>
      </c>
      <c r="FB233">
        <v>1651864241.6</v>
      </c>
      <c r="FC233">
        <v>1651864261.1</v>
      </c>
      <c r="FD233">
        <v>7</v>
      </c>
      <c r="FE233">
        <v>0.438</v>
      </c>
      <c r="FF233">
        <v>0.002</v>
      </c>
      <c r="FG233">
        <v>-0.988</v>
      </c>
      <c r="FH233">
        <v>-0.066</v>
      </c>
      <c r="FI233">
        <v>400</v>
      </c>
      <c r="FJ233">
        <v>11</v>
      </c>
      <c r="FK233">
        <v>0.05</v>
      </c>
      <c r="FL233">
        <v>0.02</v>
      </c>
      <c r="FM233">
        <v>9.188384634146342</v>
      </c>
      <c r="FN233">
        <v>9.840624668989545</v>
      </c>
      <c r="FO233">
        <v>0.9894293361132223</v>
      </c>
      <c r="FP233">
        <v>-1</v>
      </c>
      <c r="FQ233">
        <v>4.224894634146342</v>
      </c>
      <c r="FR233">
        <v>0.04666641114983135</v>
      </c>
      <c r="FS233">
        <v>0.004708150741292869</v>
      </c>
      <c r="FT233">
        <v>-1</v>
      </c>
      <c r="FU233">
        <v>0</v>
      </c>
      <c r="FV233">
        <v>0</v>
      </c>
      <c r="FW233">
        <v>0</v>
      </c>
      <c r="FX233">
        <v>-1</v>
      </c>
      <c r="FY233">
        <v>0</v>
      </c>
      <c r="FZ233">
        <v>0</v>
      </c>
      <c r="GA233" t="s">
        <v>420</v>
      </c>
      <c r="GB233">
        <v>2.98047</v>
      </c>
      <c r="GC233">
        <v>2.70614</v>
      </c>
      <c r="GD233">
        <v>0.0524654</v>
      </c>
      <c r="GE233">
        <v>0.0494548</v>
      </c>
      <c r="GF233">
        <v>0.0876871</v>
      </c>
      <c r="GG233">
        <v>0.07159459999999999</v>
      </c>
      <c r="GH233">
        <v>29901.8</v>
      </c>
      <c r="GI233">
        <v>30063.3</v>
      </c>
      <c r="GJ233">
        <v>29343</v>
      </c>
      <c r="GK233">
        <v>29258</v>
      </c>
      <c r="GL233">
        <v>35445.7</v>
      </c>
      <c r="GM233">
        <v>36176.3</v>
      </c>
      <c r="GN233">
        <v>41300.9</v>
      </c>
      <c r="GO233">
        <v>41760.8</v>
      </c>
      <c r="GP233">
        <v>1.9547</v>
      </c>
      <c r="GQ233">
        <v>1.84875</v>
      </c>
      <c r="GR233">
        <v>-0.020761</v>
      </c>
      <c r="GS233">
        <v>0</v>
      </c>
      <c r="GT233">
        <v>25.3375</v>
      </c>
      <c r="GU233">
        <v>999.9</v>
      </c>
      <c r="GV233">
        <v>31.5</v>
      </c>
      <c r="GW233">
        <v>34.3</v>
      </c>
      <c r="GX233">
        <v>19.0302</v>
      </c>
      <c r="GY233">
        <v>62.6175</v>
      </c>
      <c r="GZ233">
        <v>34.98</v>
      </c>
      <c r="HA233">
        <v>1</v>
      </c>
      <c r="HB233">
        <v>0.108155</v>
      </c>
      <c r="HC233">
        <v>2.33087</v>
      </c>
      <c r="HD233">
        <v>20.3182</v>
      </c>
      <c r="HE233">
        <v>5.21609</v>
      </c>
      <c r="HF233">
        <v>12.0099</v>
      </c>
      <c r="HG233">
        <v>4.98865</v>
      </c>
      <c r="HH233">
        <v>3.2885</v>
      </c>
      <c r="HI233">
        <v>1000.5</v>
      </c>
      <c r="HJ233">
        <v>9557.9</v>
      </c>
      <c r="HK233">
        <v>5139.4</v>
      </c>
      <c r="HL233">
        <v>24.9</v>
      </c>
      <c r="HM233">
        <v>1.86752</v>
      </c>
      <c r="HN233">
        <v>1.86646</v>
      </c>
      <c r="HO233">
        <v>1.866</v>
      </c>
      <c r="HP233">
        <v>1.86585</v>
      </c>
      <c r="HQ233">
        <v>1.86768</v>
      </c>
      <c r="HR233">
        <v>1.87022</v>
      </c>
      <c r="HS233">
        <v>1.8689</v>
      </c>
      <c r="HT233">
        <v>1.87025</v>
      </c>
      <c r="HU233">
        <v>0</v>
      </c>
      <c r="HV233">
        <v>0</v>
      </c>
      <c r="HW233">
        <v>0</v>
      </c>
      <c r="HX233">
        <v>0</v>
      </c>
      <c r="HY233" t="s">
        <v>421</v>
      </c>
      <c r="HZ233" t="s">
        <v>422</v>
      </c>
      <c r="IA233" t="s">
        <v>423</v>
      </c>
      <c r="IB233" t="s">
        <v>423</v>
      </c>
      <c r="IC233" t="s">
        <v>423</v>
      </c>
      <c r="ID233" t="s">
        <v>423</v>
      </c>
      <c r="IE233">
        <v>0</v>
      </c>
      <c r="IF233">
        <v>100</v>
      </c>
      <c r="IG233">
        <v>100</v>
      </c>
      <c r="IH233">
        <v>-0.631</v>
      </c>
      <c r="II233">
        <v>0.0205</v>
      </c>
      <c r="IJ233">
        <v>-0.2164499368582429</v>
      </c>
      <c r="IK233">
        <v>-0.002077099775823331</v>
      </c>
      <c r="IL233">
        <v>4.593143279902166E-07</v>
      </c>
      <c r="IM233">
        <v>-1.865383991892071E-10</v>
      </c>
      <c r="IN233">
        <v>-0.06087574426827484</v>
      </c>
      <c r="IO233">
        <v>-0.01129461987421345</v>
      </c>
      <c r="IP233">
        <v>0.00116580895745559</v>
      </c>
      <c r="IQ233">
        <v>-1.679085872906199E-05</v>
      </c>
      <c r="IR233">
        <v>2</v>
      </c>
      <c r="IS233">
        <v>2290</v>
      </c>
      <c r="IT233">
        <v>0</v>
      </c>
      <c r="IU233">
        <v>32</v>
      </c>
      <c r="IV233">
        <v>9.800000000000001</v>
      </c>
      <c r="IW233">
        <v>9.5</v>
      </c>
      <c r="IX233">
        <v>0.549316</v>
      </c>
      <c r="IY233">
        <v>2.26562</v>
      </c>
      <c r="IZ233">
        <v>1.39648</v>
      </c>
      <c r="JA233">
        <v>2.35596</v>
      </c>
      <c r="JB233">
        <v>1.49536</v>
      </c>
      <c r="JC233">
        <v>2.28027</v>
      </c>
      <c r="JD233">
        <v>38.5014</v>
      </c>
      <c r="JE233">
        <v>24.035</v>
      </c>
      <c r="JF233">
        <v>18</v>
      </c>
      <c r="JG233">
        <v>510.766</v>
      </c>
      <c r="JH233">
        <v>428.219</v>
      </c>
      <c r="JI233">
        <v>22.1973</v>
      </c>
      <c r="JJ233">
        <v>28.6928</v>
      </c>
      <c r="JK233">
        <v>30.0001</v>
      </c>
      <c r="JL233">
        <v>28.6587</v>
      </c>
      <c r="JM233">
        <v>28.5944</v>
      </c>
      <c r="JN233">
        <v>10.9216</v>
      </c>
      <c r="JO233">
        <v>26.5129</v>
      </c>
      <c r="JP233">
        <v>0</v>
      </c>
      <c r="JQ233">
        <v>22.1977</v>
      </c>
      <c r="JR233">
        <v>172.791</v>
      </c>
      <c r="JS233">
        <v>14.1432</v>
      </c>
      <c r="JT233">
        <v>100.299</v>
      </c>
      <c r="JU233">
        <v>100.228</v>
      </c>
    </row>
    <row r="234" spans="1:281">
      <c r="A234">
        <v>218</v>
      </c>
      <c r="B234">
        <v>1651864833.1</v>
      </c>
      <c r="C234">
        <v>612.5</v>
      </c>
      <c r="D234" t="s">
        <v>856</v>
      </c>
      <c r="E234" t="s">
        <v>857</v>
      </c>
      <c r="F234">
        <v>2</v>
      </c>
      <c r="G234" t="s">
        <v>413</v>
      </c>
      <c r="H234" t="s">
        <v>414</v>
      </c>
      <c r="I234">
        <v>1651864832.1</v>
      </c>
      <c r="J234">
        <f>(K234)/1000</f>
        <v>0</v>
      </c>
      <c r="K234">
        <f>IF(CZ234, AN234, AH234)</f>
        <v>0</v>
      </c>
      <c r="L234">
        <f>IF(CZ234, AI234, AG234)</f>
        <v>0</v>
      </c>
      <c r="M234">
        <f>DB234 - IF(AU234&gt;1, L234*CV234*100.0/(AW234*DP234), 0)</f>
        <v>0</v>
      </c>
      <c r="N234">
        <f>((T234-J234/2)*M234-L234)/(T234+J234/2)</f>
        <v>0</v>
      </c>
      <c r="O234">
        <f>N234*(DI234+DJ234)/1000.0</f>
        <v>0</v>
      </c>
      <c r="P234">
        <f>(DB234 - IF(AU234&gt;1, L234*CV234*100.0/(AW234*DP234), 0))*(DI234+DJ234)/1000.0</f>
        <v>0</v>
      </c>
      <c r="Q234">
        <f>2.0/((1/S234-1/R234)+SIGN(S234)*SQRT((1/S234-1/R234)*(1/S234-1/R234) + 4*CW234/((CW234+1)*(CW234+1))*(2*1/S234*1/R234-1/R234*1/R234)))</f>
        <v>0</v>
      </c>
      <c r="R234">
        <f>IF(LEFT(CX234,1)&lt;&gt;"0",IF(LEFT(CX234,1)="1",3.0,CY234),$D$5+$E$5*(DP234*DI234/($K$5*1000))+$F$5*(DP234*DI234/($K$5*1000))*MAX(MIN(CV234,$J$5),$I$5)*MAX(MIN(CV234,$J$5),$I$5)+$G$5*MAX(MIN(CV234,$J$5),$I$5)*(DP234*DI234/($K$5*1000))+$H$5*(DP234*DI234/($K$5*1000))*(DP234*DI234/($K$5*1000)))</f>
        <v>0</v>
      </c>
      <c r="S234">
        <f>J234*(1000-(1000*0.61365*exp(17.502*W234/(240.97+W234))/(DI234+DJ234)+DD234)/2)/(1000*0.61365*exp(17.502*W234/(240.97+W234))/(DI234+DJ234)-DD234)</f>
        <v>0</v>
      </c>
      <c r="T234">
        <f>1/((CW234+1)/(Q234/1.6)+1/(R234/1.37)) + CW234/((CW234+1)/(Q234/1.6) + CW234/(R234/1.37))</f>
        <v>0</v>
      </c>
      <c r="U234">
        <f>(CR234*CU234)</f>
        <v>0</v>
      </c>
      <c r="V234">
        <f>(DK234+(U234+2*0.95*5.67E-8*(((DK234+$B$7)+273)^4-(DK234+273)^4)-44100*J234)/(1.84*29.3*R234+8*0.95*5.67E-8*(DK234+273)^3))</f>
        <v>0</v>
      </c>
      <c r="W234">
        <f>($C$7*DL234+$D$7*DM234+$E$7*V234)</f>
        <v>0</v>
      </c>
      <c r="X234">
        <f>0.61365*exp(17.502*W234/(240.97+W234))</f>
        <v>0</v>
      </c>
      <c r="Y234">
        <f>(Z234/AA234*100)</f>
        <v>0</v>
      </c>
      <c r="Z234">
        <f>DD234*(DI234+DJ234)/1000</f>
        <v>0</v>
      </c>
      <c r="AA234">
        <f>0.61365*exp(17.502*DK234/(240.97+DK234))</f>
        <v>0</v>
      </c>
      <c r="AB234">
        <f>(X234-DD234*(DI234+DJ234)/1000)</f>
        <v>0</v>
      </c>
      <c r="AC234">
        <f>(-J234*44100)</f>
        <v>0</v>
      </c>
      <c r="AD234">
        <f>2*29.3*R234*0.92*(DK234-W234)</f>
        <v>0</v>
      </c>
      <c r="AE234">
        <f>2*0.95*5.67E-8*(((DK234+$B$7)+273)^4-(W234+273)^4)</f>
        <v>0</v>
      </c>
      <c r="AF234">
        <f>U234+AE234+AC234+AD234</f>
        <v>0</v>
      </c>
      <c r="AG234">
        <f>DH234*AU234*(DC234-DB234*(1000-AU234*DE234)/(1000-AU234*DD234))/(100*CV234)</f>
        <v>0</v>
      </c>
      <c r="AH234">
        <f>1000*DH234*AU234*(DD234-DE234)/(100*CV234*(1000-AU234*DD234))</f>
        <v>0</v>
      </c>
      <c r="AI234">
        <f>(AJ234 - AK234 - DI234*1E3/(8.314*(DK234+273.15)) * AM234/DH234 * AL234) * DH234/(100*CV234) * (1000 - DE234)/1000</f>
        <v>0</v>
      </c>
      <c r="AJ234">
        <v>202.6396353521682</v>
      </c>
      <c r="AK234">
        <v>207.2800606060606</v>
      </c>
      <c r="AL234">
        <v>-3.047648194981295</v>
      </c>
      <c r="AM234">
        <v>66.38192812717227</v>
      </c>
      <c r="AN234">
        <f>(AP234 - AO234 + DI234*1E3/(8.314*(DK234+273.15)) * AR234/DH234 * AQ234) * DH234/(100*CV234) * 1000/(1000 - AP234)</f>
        <v>0</v>
      </c>
      <c r="AO234">
        <v>14.12747931897397</v>
      </c>
      <c r="AP234">
        <v>18.36003235294117</v>
      </c>
      <c r="AQ234">
        <v>5.533029512291429E-05</v>
      </c>
      <c r="AR234">
        <v>80.47224507511959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MAX(0,($B$13+$C$13*DP234)/(1+$D$13*DP234)*DI234/(DK234+273)*$E$13)</f>
        <v>0</v>
      </c>
      <c r="AX234" t="s">
        <v>417</v>
      </c>
      <c r="AY234" t="s">
        <v>417</v>
      </c>
      <c r="AZ234">
        <v>0</v>
      </c>
      <c r="BA234">
        <v>0</v>
      </c>
      <c r="BB234">
        <f>1-AZ234/BA234</f>
        <v>0</v>
      </c>
      <c r="BC234">
        <v>0</v>
      </c>
      <c r="BD234" t="s">
        <v>417</v>
      </c>
      <c r="BE234" t="s">
        <v>417</v>
      </c>
      <c r="BF234">
        <v>0</v>
      </c>
      <c r="BG234">
        <v>0</v>
      </c>
      <c r="BH234">
        <f>1-BF234/BG234</f>
        <v>0</v>
      </c>
      <c r="BI234">
        <v>0.5</v>
      </c>
      <c r="BJ234">
        <f>CS234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417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BZ234">
        <v>1248</v>
      </c>
      <c r="CA234">
        <v>300</v>
      </c>
      <c r="CB234">
        <v>300</v>
      </c>
      <c r="CC234">
        <v>300</v>
      </c>
      <c r="CD234">
        <v>10442</v>
      </c>
      <c r="CE234">
        <v>1293.69</v>
      </c>
      <c r="CF234">
        <v>-0.00735246</v>
      </c>
      <c r="CG234">
        <v>0.5</v>
      </c>
      <c r="CH234" t="s">
        <v>417</v>
      </c>
      <c r="CI234" t="s">
        <v>417</v>
      </c>
      <c r="CJ234" t="s">
        <v>417</v>
      </c>
      <c r="CK234" t="s">
        <v>417</v>
      </c>
      <c r="CL234" t="s">
        <v>417</v>
      </c>
      <c r="CM234" t="s">
        <v>417</v>
      </c>
      <c r="CN234" t="s">
        <v>417</v>
      </c>
      <c r="CO234" t="s">
        <v>417</v>
      </c>
      <c r="CP234" t="s">
        <v>417</v>
      </c>
      <c r="CQ234" t="s">
        <v>417</v>
      </c>
      <c r="CR234">
        <f>$B$11*DQ234+$C$11*DR234+$F$11*EC234*(1-EF234)</f>
        <v>0</v>
      </c>
      <c r="CS234">
        <f>CR234*CT234</f>
        <v>0</v>
      </c>
      <c r="CT234">
        <f>($B$11*$D$9+$C$11*$D$9+$F$11*((EP234+EH234)/MAX(EP234+EH234+EQ234, 0.1)*$I$9+EQ234/MAX(EP234+EH234+EQ234, 0.1)*$J$9))/($B$11+$C$11+$F$11)</f>
        <v>0</v>
      </c>
      <c r="CU234">
        <f>($B$11*$K$9+$C$11*$K$9+$F$11*((EP234+EH234)/MAX(EP234+EH234+EQ234, 0.1)*$P$9+EQ234/MAX(EP234+EH234+EQ234, 0.1)*$Q$9))/($B$11+$C$11+$F$11)</f>
        <v>0</v>
      </c>
      <c r="CV234">
        <v>6</v>
      </c>
      <c r="CW234">
        <v>0.5</v>
      </c>
      <c r="CX234" t="s">
        <v>418</v>
      </c>
      <c r="CY234">
        <v>2</v>
      </c>
      <c r="CZ234" t="b">
        <v>1</v>
      </c>
      <c r="DA234">
        <v>1651864832.1</v>
      </c>
      <c r="DB234">
        <v>204.9663333333333</v>
      </c>
      <c r="DC234">
        <v>194.038</v>
      </c>
      <c r="DD234">
        <v>18.36026666666666</v>
      </c>
      <c r="DE234">
        <v>14.1284</v>
      </c>
      <c r="DF234">
        <v>205.5923333333333</v>
      </c>
      <c r="DG234">
        <v>18.33973333333333</v>
      </c>
      <c r="DH234">
        <v>500.0776666666666</v>
      </c>
      <c r="DI234">
        <v>89.93316666666668</v>
      </c>
      <c r="DJ234">
        <v>0.09980983333333333</v>
      </c>
      <c r="DK234">
        <v>25.62836666666666</v>
      </c>
      <c r="DL234">
        <v>24.99453333333333</v>
      </c>
      <c r="DM234">
        <v>999.9</v>
      </c>
      <c r="DN234">
        <v>0</v>
      </c>
      <c r="DO234">
        <v>0</v>
      </c>
      <c r="DP234">
        <v>10010</v>
      </c>
      <c r="DQ234">
        <v>0</v>
      </c>
      <c r="DR234">
        <v>3.228653333333333</v>
      </c>
      <c r="DS234">
        <v>10.9285</v>
      </c>
      <c r="DT234">
        <v>208.8003333333333</v>
      </c>
      <c r="DU234">
        <v>196.8186666666667</v>
      </c>
      <c r="DV234">
        <v>4.231853333333333</v>
      </c>
      <c r="DW234">
        <v>194.038</v>
      </c>
      <c r="DX234">
        <v>14.1284</v>
      </c>
      <c r="DY234">
        <v>1.651196666666667</v>
      </c>
      <c r="DZ234">
        <v>1.270613333333333</v>
      </c>
      <c r="EA234">
        <v>14.4451</v>
      </c>
      <c r="EB234">
        <v>10.45563333333333</v>
      </c>
      <c r="EC234">
        <v>1500.06</v>
      </c>
      <c r="ED234">
        <v>0.9729953333333333</v>
      </c>
      <c r="EE234">
        <v>0.0270046</v>
      </c>
      <c r="EF234">
        <v>0</v>
      </c>
      <c r="EG234">
        <v>831.3679999999999</v>
      </c>
      <c r="EH234">
        <v>5.00097</v>
      </c>
      <c r="EI234">
        <v>12349.93333333333</v>
      </c>
      <c r="EJ234">
        <v>12492.06666666667</v>
      </c>
      <c r="EK234">
        <v>37.25</v>
      </c>
      <c r="EL234">
        <v>38.687</v>
      </c>
      <c r="EM234">
        <v>37.625</v>
      </c>
      <c r="EN234">
        <v>38.375</v>
      </c>
      <c r="EO234">
        <v>38.062</v>
      </c>
      <c r="EP234">
        <v>1454.686666666667</v>
      </c>
      <c r="EQ234">
        <v>40.37333333333333</v>
      </c>
      <c r="ER234">
        <v>0</v>
      </c>
      <c r="ES234">
        <v>612</v>
      </c>
      <c r="ET234">
        <v>0</v>
      </c>
      <c r="EU234">
        <v>831.8218846153848</v>
      </c>
      <c r="EV234">
        <v>-5.737606843836169</v>
      </c>
      <c r="EW234">
        <v>-80.26324803172547</v>
      </c>
      <c r="EX234">
        <v>12356.46538461538</v>
      </c>
      <c r="EY234">
        <v>15</v>
      </c>
      <c r="EZ234">
        <v>1651864261.1</v>
      </c>
      <c r="FA234" t="s">
        <v>419</v>
      </c>
      <c r="FB234">
        <v>1651864241.6</v>
      </c>
      <c r="FC234">
        <v>1651864261.1</v>
      </c>
      <c r="FD234">
        <v>7</v>
      </c>
      <c r="FE234">
        <v>0.438</v>
      </c>
      <c r="FF234">
        <v>0.002</v>
      </c>
      <c r="FG234">
        <v>-0.988</v>
      </c>
      <c r="FH234">
        <v>-0.066</v>
      </c>
      <c r="FI234">
        <v>400</v>
      </c>
      <c r="FJ234">
        <v>11</v>
      </c>
      <c r="FK234">
        <v>0.05</v>
      </c>
      <c r="FL234">
        <v>0.02</v>
      </c>
      <c r="FM234">
        <v>9.482410999999999</v>
      </c>
      <c r="FN234">
        <v>9.161590469043134</v>
      </c>
      <c r="FO234">
        <v>0.8993862563987735</v>
      </c>
      <c r="FP234">
        <v>-1</v>
      </c>
      <c r="FQ234">
        <v>4.226035749999999</v>
      </c>
      <c r="FR234">
        <v>0.04687148217636104</v>
      </c>
      <c r="FS234">
        <v>0.004620042146723308</v>
      </c>
      <c r="FT234">
        <v>-1</v>
      </c>
      <c r="FU234">
        <v>0</v>
      </c>
      <c r="FV234">
        <v>0</v>
      </c>
      <c r="FW234">
        <v>0</v>
      </c>
      <c r="FX234">
        <v>-1</v>
      </c>
      <c r="FY234">
        <v>0</v>
      </c>
      <c r="FZ234">
        <v>0</v>
      </c>
      <c r="GA234" t="s">
        <v>420</v>
      </c>
      <c r="GB234">
        <v>2.98045</v>
      </c>
      <c r="GC234">
        <v>2.70611</v>
      </c>
      <c r="GD234">
        <v>0.0511178</v>
      </c>
      <c r="GE234">
        <v>0.047988</v>
      </c>
      <c r="GF234">
        <v>0.0876884</v>
      </c>
      <c r="GG234">
        <v>0.0715952</v>
      </c>
      <c r="GH234">
        <v>29944.7</v>
      </c>
      <c r="GI234">
        <v>30109.6</v>
      </c>
      <c r="GJ234">
        <v>29343.4</v>
      </c>
      <c r="GK234">
        <v>29257.9</v>
      </c>
      <c r="GL234">
        <v>35446.3</v>
      </c>
      <c r="GM234">
        <v>36176.2</v>
      </c>
      <c r="GN234">
        <v>41301.6</v>
      </c>
      <c r="GO234">
        <v>41760.7</v>
      </c>
      <c r="GP234">
        <v>1.9552</v>
      </c>
      <c r="GQ234">
        <v>1.84883</v>
      </c>
      <c r="GR234">
        <v>-0.0210963</v>
      </c>
      <c r="GS234">
        <v>0</v>
      </c>
      <c r="GT234">
        <v>25.3375</v>
      </c>
      <c r="GU234">
        <v>999.9</v>
      </c>
      <c r="GV234">
        <v>31.5</v>
      </c>
      <c r="GW234">
        <v>34.3</v>
      </c>
      <c r="GX234">
        <v>19.0296</v>
      </c>
      <c r="GY234">
        <v>62.4775</v>
      </c>
      <c r="GZ234">
        <v>35.1482</v>
      </c>
      <c r="HA234">
        <v>1</v>
      </c>
      <c r="HB234">
        <v>0.108262</v>
      </c>
      <c r="HC234">
        <v>2.33022</v>
      </c>
      <c r="HD234">
        <v>20.3182</v>
      </c>
      <c r="HE234">
        <v>5.21624</v>
      </c>
      <c r="HF234">
        <v>12.0099</v>
      </c>
      <c r="HG234">
        <v>4.98865</v>
      </c>
      <c r="HH234">
        <v>3.2885</v>
      </c>
      <c r="HI234">
        <v>1000.5</v>
      </c>
      <c r="HJ234">
        <v>9557.9</v>
      </c>
      <c r="HK234">
        <v>5139.4</v>
      </c>
      <c r="HL234">
        <v>24.9</v>
      </c>
      <c r="HM234">
        <v>1.86752</v>
      </c>
      <c r="HN234">
        <v>1.86646</v>
      </c>
      <c r="HO234">
        <v>1.866</v>
      </c>
      <c r="HP234">
        <v>1.86586</v>
      </c>
      <c r="HQ234">
        <v>1.86768</v>
      </c>
      <c r="HR234">
        <v>1.87023</v>
      </c>
      <c r="HS234">
        <v>1.8689</v>
      </c>
      <c r="HT234">
        <v>1.87025</v>
      </c>
      <c r="HU234">
        <v>0</v>
      </c>
      <c r="HV234">
        <v>0</v>
      </c>
      <c r="HW234">
        <v>0</v>
      </c>
      <c r="HX234">
        <v>0</v>
      </c>
      <c r="HY234" t="s">
        <v>421</v>
      </c>
      <c r="HZ234" t="s">
        <v>422</v>
      </c>
      <c r="IA234" t="s">
        <v>423</v>
      </c>
      <c r="IB234" t="s">
        <v>423</v>
      </c>
      <c r="IC234" t="s">
        <v>423</v>
      </c>
      <c r="ID234" t="s">
        <v>423</v>
      </c>
      <c r="IE234">
        <v>0</v>
      </c>
      <c r="IF234">
        <v>100</v>
      </c>
      <c r="IG234">
        <v>100</v>
      </c>
      <c r="IH234">
        <v>-0.62</v>
      </c>
      <c r="II234">
        <v>0.0206</v>
      </c>
      <c r="IJ234">
        <v>-0.2164499368582429</v>
      </c>
      <c r="IK234">
        <v>-0.002077099775823331</v>
      </c>
      <c r="IL234">
        <v>4.593143279902166E-07</v>
      </c>
      <c r="IM234">
        <v>-1.865383991892071E-10</v>
      </c>
      <c r="IN234">
        <v>-0.06087574426827484</v>
      </c>
      <c r="IO234">
        <v>-0.01129461987421345</v>
      </c>
      <c r="IP234">
        <v>0.00116580895745559</v>
      </c>
      <c r="IQ234">
        <v>-1.679085872906199E-05</v>
      </c>
      <c r="IR234">
        <v>2</v>
      </c>
      <c r="IS234">
        <v>2290</v>
      </c>
      <c r="IT234">
        <v>0</v>
      </c>
      <c r="IU234">
        <v>32</v>
      </c>
      <c r="IV234">
        <v>9.9</v>
      </c>
      <c r="IW234">
        <v>9.5</v>
      </c>
      <c r="IX234">
        <v>0.534668</v>
      </c>
      <c r="IY234">
        <v>2.2583</v>
      </c>
      <c r="IZ234">
        <v>1.39648</v>
      </c>
      <c r="JA234">
        <v>2.35596</v>
      </c>
      <c r="JB234">
        <v>1.49536</v>
      </c>
      <c r="JC234">
        <v>2.37427</v>
      </c>
      <c r="JD234">
        <v>38.5014</v>
      </c>
      <c r="JE234">
        <v>24.035</v>
      </c>
      <c r="JF234">
        <v>18</v>
      </c>
      <c r="JG234">
        <v>511.098</v>
      </c>
      <c r="JH234">
        <v>428.264</v>
      </c>
      <c r="JI234">
        <v>22.1972</v>
      </c>
      <c r="JJ234">
        <v>28.6928</v>
      </c>
      <c r="JK234">
        <v>30.0002</v>
      </c>
      <c r="JL234">
        <v>28.6593</v>
      </c>
      <c r="JM234">
        <v>28.5944</v>
      </c>
      <c r="JN234">
        <v>10.6314</v>
      </c>
      <c r="JO234">
        <v>26.5129</v>
      </c>
      <c r="JP234">
        <v>0</v>
      </c>
      <c r="JQ234">
        <v>22.1977</v>
      </c>
      <c r="JR234">
        <v>166.113</v>
      </c>
      <c r="JS234">
        <v>14.1432</v>
      </c>
      <c r="JT234">
        <v>100.301</v>
      </c>
      <c r="JU234">
        <v>100.228</v>
      </c>
    </row>
    <row r="235" spans="1:281">
      <c r="A235">
        <v>219</v>
      </c>
      <c r="B235">
        <v>1651864835.1</v>
      </c>
      <c r="C235">
        <v>614.5</v>
      </c>
      <c r="D235" t="s">
        <v>858</v>
      </c>
      <c r="E235" t="s">
        <v>859</v>
      </c>
      <c r="F235">
        <v>2</v>
      </c>
      <c r="G235" t="s">
        <v>413</v>
      </c>
      <c r="H235" t="s">
        <v>414</v>
      </c>
      <c r="I235">
        <v>1651864833.725</v>
      </c>
      <c r="J235">
        <f>(K235)/1000</f>
        <v>0</v>
      </c>
      <c r="K235">
        <f>IF(CZ235, AN235, AH235)</f>
        <v>0</v>
      </c>
      <c r="L235">
        <f>IF(CZ235, AI235, AG235)</f>
        <v>0</v>
      </c>
      <c r="M235">
        <f>DB235 - IF(AU235&gt;1, L235*CV235*100.0/(AW235*DP235), 0)</f>
        <v>0</v>
      </c>
      <c r="N235">
        <f>((T235-J235/2)*M235-L235)/(T235+J235/2)</f>
        <v>0</v>
      </c>
      <c r="O235">
        <f>N235*(DI235+DJ235)/1000.0</f>
        <v>0</v>
      </c>
      <c r="P235">
        <f>(DB235 - IF(AU235&gt;1, L235*CV235*100.0/(AW235*DP235), 0))*(DI235+DJ235)/1000.0</f>
        <v>0</v>
      </c>
      <c r="Q235">
        <f>2.0/((1/S235-1/R235)+SIGN(S235)*SQRT((1/S235-1/R235)*(1/S235-1/R235) + 4*CW235/((CW235+1)*(CW235+1))*(2*1/S235*1/R235-1/R235*1/R235)))</f>
        <v>0</v>
      </c>
      <c r="R235">
        <f>IF(LEFT(CX235,1)&lt;&gt;"0",IF(LEFT(CX235,1)="1",3.0,CY235),$D$5+$E$5*(DP235*DI235/($K$5*1000))+$F$5*(DP235*DI235/($K$5*1000))*MAX(MIN(CV235,$J$5),$I$5)*MAX(MIN(CV235,$J$5),$I$5)+$G$5*MAX(MIN(CV235,$J$5),$I$5)*(DP235*DI235/($K$5*1000))+$H$5*(DP235*DI235/($K$5*1000))*(DP235*DI235/($K$5*1000)))</f>
        <v>0</v>
      </c>
      <c r="S235">
        <f>J235*(1000-(1000*0.61365*exp(17.502*W235/(240.97+W235))/(DI235+DJ235)+DD235)/2)/(1000*0.61365*exp(17.502*W235/(240.97+W235))/(DI235+DJ235)-DD235)</f>
        <v>0</v>
      </c>
      <c r="T235">
        <f>1/((CW235+1)/(Q235/1.6)+1/(R235/1.37)) + CW235/((CW235+1)/(Q235/1.6) + CW235/(R235/1.37))</f>
        <v>0</v>
      </c>
      <c r="U235">
        <f>(CR235*CU235)</f>
        <v>0</v>
      </c>
      <c r="V235">
        <f>(DK235+(U235+2*0.95*5.67E-8*(((DK235+$B$7)+273)^4-(DK235+273)^4)-44100*J235)/(1.84*29.3*R235+8*0.95*5.67E-8*(DK235+273)^3))</f>
        <v>0</v>
      </c>
      <c r="W235">
        <f>($C$7*DL235+$D$7*DM235+$E$7*V235)</f>
        <v>0</v>
      </c>
      <c r="X235">
        <f>0.61365*exp(17.502*W235/(240.97+W235))</f>
        <v>0</v>
      </c>
      <c r="Y235">
        <f>(Z235/AA235*100)</f>
        <v>0</v>
      </c>
      <c r="Z235">
        <f>DD235*(DI235+DJ235)/1000</f>
        <v>0</v>
      </c>
      <c r="AA235">
        <f>0.61365*exp(17.502*DK235/(240.97+DK235))</f>
        <v>0</v>
      </c>
      <c r="AB235">
        <f>(X235-DD235*(DI235+DJ235)/1000)</f>
        <v>0</v>
      </c>
      <c r="AC235">
        <f>(-J235*44100)</f>
        <v>0</v>
      </c>
      <c r="AD235">
        <f>2*29.3*R235*0.92*(DK235-W235)</f>
        <v>0</v>
      </c>
      <c r="AE235">
        <f>2*0.95*5.67E-8*(((DK235+$B$7)+273)^4-(W235+273)^4)</f>
        <v>0</v>
      </c>
      <c r="AF235">
        <f>U235+AE235+AC235+AD235</f>
        <v>0</v>
      </c>
      <c r="AG235">
        <f>DH235*AU235*(DC235-DB235*(1000-AU235*DE235)/(1000-AU235*DD235))/(100*CV235)</f>
        <v>0</v>
      </c>
      <c r="AH235">
        <f>1000*DH235*AU235*(DD235-DE235)/(100*CV235*(1000-AU235*DD235))</f>
        <v>0</v>
      </c>
      <c r="AI235">
        <f>(AJ235 - AK235 - DI235*1E3/(8.314*(DK235+273.15)) * AM235/DH235 * AL235) * DH235/(100*CV235) * (1000 - DE235)/1000</f>
        <v>0</v>
      </c>
      <c r="AJ235">
        <v>196.0595426652332</v>
      </c>
      <c r="AK235">
        <v>201.1362787878788</v>
      </c>
      <c r="AL235">
        <v>-3.063104517121827</v>
      </c>
      <c r="AM235">
        <v>66.38192812717227</v>
      </c>
      <c r="AN235">
        <f>(AP235 - AO235 + DI235*1E3/(8.314*(DK235+273.15)) * AR235/DH235 * AQ235) * DH235/(100*CV235) * 1000/(1000 - AP235)</f>
        <v>0</v>
      </c>
      <c r="AO235">
        <v>14.12807080089474</v>
      </c>
      <c r="AP235">
        <v>18.36271588235294</v>
      </c>
      <c r="AQ235">
        <v>-3.364320412021411E-07</v>
      </c>
      <c r="AR235">
        <v>80.47224507511959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MAX(0,($B$13+$C$13*DP235)/(1+$D$13*DP235)*DI235/(DK235+273)*$E$13)</f>
        <v>0</v>
      </c>
      <c r="AX235" t="s">
        <v>417</v>
      </c>
      <c r="AY235" t="s">
        <v>417</v>
      </c>
      <c r="AZ235">
        <v>0</v>
      </c>
      <c r="BA235">
        <v>0</v>
      </c>
      <c r="BB235">
        <f>1-AZ235/BA235</f>
        <v>0</v>
      </c>
      <c r="BC235">
        <v>0</v>
      </c>
      <c r="BD235" t="s">
        <v>417</v>
      </c>
      <c r="BE235" t="s">
        <v>417</v>
      </c>
      <c r="BF235">
        <v>0</v>
      </c>
      <c r="BG235">
        <v>0</v>
      </c>
      <c r="BH235">
        <f>1-BF235/BG235</f>
        <v>0</v>
      </c>
      <c r="BI235">
        <v>0.5</v>
      </c>
      <c r="BJ235">
        <f>CS235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417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BZ235">
        <v>1248</v>
      </c>
      <c r="CA235">
        <v>300</v>
      </c>
      <c r="CB235">
        <v>300</v>
      </c>
      <c r="CC235">
        <v>300</v>
      </c>
      <c r="CD235">
        <v>10442</v>
      </c>
      <c r="CE235">
        <v>1293.69</v>
      </c>
      <c r="CF235">
        <v>-0.00735246</v>
      </c>
      <c r="CG235">
        <v>0.5</v>
      </c>
      <c r="CH235" t="s">
        <v>417</v>
      </c>
      <c r="CI235" t="s">
        <v>417</v>
      </c>
      <c r="CJ235" t="s">
        <v>417</v>
      </c>
      <c r="CK235" t="s">
        <v>417</v>
      </c>
      <c r="CL235" t="s">
        <v>417</v>
      </c>
      <c r="CM235" t="s">
        <v>417</v>
      </c>
      <c r="CN235" t="s">
        <v>417</v>
      </c>
      <c r="CO235" t="s">
        <v>417</v>
      </c>
      <c r="CP235" t="s">
        <v>417</v>
      </c>
      <c r="CQ235" t="s">
        <v>417</v>
      </c>
      <c r="CR235">
        <f>$B$11*DQ235+$C$11*DR235+$F$11*EC235*(1-EF235)</f>
        <v>0</v>
      </c>
      <c r="CS235">
        <f>CR235*CT235</f>
        <v>0</v>
      </c>
      <c r="CT235">
        <f>($B$11*$D$9+$C$11*$D$9+$F$11*((EP235+EH235)/MAX(EP235+EH235+EQ235, 0.1)*$I$9+EQ235/MAX(EP235+EH235+EQ235, 0.1)*$J$9))/($B$11+$C$11+$F$11)</f>
        <v>0</v>
      </c>
      <c r="CU235">
        <f>($B$11*$K$9+$C$11*$K$9+$F$11*((EP235+EH235)/MAX(EP235+EH235+EQ235, 0.1)*$P$9+EQ235/MAX(EP235+EH235+EQ235, 0.1)*$Q$9))/($B$11+$C$11+$F$11)</f>
        <v>0</v>
      </c>
      <c r="CV235">
        <v>6</v>
      </c>
      <c r="CW235">
        <v>0.5</v>
      </c>
      <c r="CX235" t="s">
        <v>418</v>
      </c>
      <c r="CY235">
        <v>2</v>
      </c>
      <c r="CZ235" t="b">
        <v>1</v>
      </c>
      <c r="DA235">
        <v>1651864833.725</v>
      </c>
      <c r="DB235">
        <v>200.08075</v>
      </c>
      <c r="DC235">
        <v>188.733</v>
      </c>
      <c r="DD235">
        <v>18.3621</v>
      </c>
      <c r="DE235">
        <v>14.1278</v>
      </c>
      <c r="DF235">
        <v>200.697</v>
      </c>
      <c r="DG235">
        <v>18.341525</v>
      </c>
      <c r="DH235">
        <v>500.04575</v>
      </c>
      <c r="DI235">
        <v>89.9341</v>
      </c>
      <c r="DJ235">
        <v>0.100046825</v>
      </c>
      <c r="DK235">
        <v>25.628225</v>
      </c>
      <c r="DL235">
        <v>24.994425</v>
      </c>
      <c r="DM235">
        <v>999.9</v>
      </c>
      <c r="DN235">
        <v>0</v>
      </c>
      <c r="DO235">
        <v>0</v>
      </c>
      <c r="DP235">
        <v>9992.8125</v>
      </c>
      <c r="DQ235">
        <v>0</v>
      </c>
      <c r="DR235">
        <v>3.23193</v>
      </c>
      <c r="DS235">
        <v>11.34765</v>
      </c>
      <c r="DT235">
        <v>203.8235</v>
      </c>
      <c r="DU235">
        <v>191.4375</v>
      </c>
      <c r="DV235">
        <v>4.234295</v>
      </c>
      <c r="DW235">
        <v>188.733</v>
      </c>
      <c r="DX235">
        <v>14.1278</v>
      </c>
      <c r="DY235">
        <v>1.65138</v>
      </c>
      <c r="DZ235">
        <v>1.27057</v>
      </c>
      <c r="EA235">
        <v>14.446775</v>
      </c>
      <c r="EB235">
        <v>10.45515</v>
      </c>
      <c r="EC235">
        <v>1500.0075</v>
      </c>
      <c r="ED235">
        <v>0.9730044999999999</v>
      </c>
      <c r="EE235">
        <v>0.026995475</v>
      </c>
      <c r="EF235">
        <v>0</v>
      </c>
      <c r="EG235">
        <v>831.53175</v>
      </c>
      <c r="EH235">
        <v>5.00097</v>
      </c>
      <c r="EI235">
        <v>12349.025</v>
      </c>
      <c r="EJ235">
        <v>12491.675</v>
      </c>
      <c r="EK235">
        <v>37.20274999999999</v>
      </c>
      <c r="EL235">
        <v>38.687</v>
      </c>
      <c r="EM235">
        <v>37.625</v>
      </c>
      <c r="EN235">
        <v>38.375</v>
      </c>
      <c r="EO235">
        <v>38.062</v>
      </c>
      <c r="EP235">
        <v>1454.65</v>
      </c>
      <c r="EQ235">
        <v>40.3575</v>
      </c>
      <c r="ER235">
        <v>0</v>
      </c>
      <c r="ES235">
        <v>613.7999999523163</v>
      </c>
      <c r="ET235">
        <v>0</v>
      </c>
      <c r="EU235">
        <v>831.64736</v>
      </c>
      <c r="EV235">
        <v>-3.27607693060926</v>
      </c>
      <c r="EW235">
        <v>-63.14615401408621</v>
      </c>
      <c r="EX235">
        <v>12353.816</v>
      </c>
      <c r="EY235">
        <v>15</v>
      </c>
      <c r="EZ235">
        <v>1651864261.1</v>
      </c>
      <c r="FA235" t="s">
        <v>419</v>
      </c>
      <c r="FB235">
        <v>1651864241.6</v>
      </c>
      <c r="FC235">
        <v>1651864261.1</v>
      </c>
      <c r="FD235">
        <v>7</v>
      </c>
      <c r="FE235">
        <v>0.438</v>
      </c>
      <c r="FF235">
        <v>0.002</v>
      </c>
      <c r="FG235">
        <v>-0.988</v>
      </c>
      <c r="FH235">
        <v>-0.066</v>
      </c>
      <c r="FI235">
        <v>400</v>
      </c>
      <c r="FJ235">
        <v>11</v>
      </c>
      <c r="FK235">
        <v>0.05</v>
      </c>
      <c r="FL235">
        <v>0.02</v>
      </c>
      <c r="FM235">
        <v>9.860240975609754</v>
      </c>
      <c r="FN235">
        <v>8.985817839721278</v>
      </c>
      <c r="FO235">
        <v>0.9015069795295605</v>
      </c>
      <c r="FP235">
        <v>-1</v>
      </c>
      <c r="FQ235">
        <v>4.227589268292683</v>
      </c>
      <c r="FR235">
        <v>0.04707930313588961</v>
      </c>
      <c r="FS235">
        <v>0.004765588229371236</v>
      </c>
      <c r="FT235">
        <v>-1</v>
      </c>
      <c r="FU235">
        <v>0</v>
      </c>
      <c r="FV235">
        <v>0</v>
      </c>
      <c r="FW235">
        <v>0</v>
      </c>
      <c r="FX235">
        <v>-1</v>
      </c>
      <c r="FY235">
        <v>0</v>
      </c>
      <c r="FZ235">
        <v>0</v>
      </c>
      <c r="GA235" t="s">
        <v>420</v>
      </c>
      <c r="GB235">
        <v>2.98062</v>
      </c>
      <c r="GC235">
        <v>2.70611</v>
      </c>
      <c r="GD235">
        <v>0.0497547</v>
      </c>
      <c r="GE235">
        <v>0.0465011</v>
      </c>
      <c r="GF235">
        <v>0.087699</v>
      </c>
      <c r="GG235">
        <v>0.0715882</v>
      </c>
      <c r="GH235">
        <v>29988.2</v>
      </c>
      <c r="GI235">
        <v>30156.5</v>
      </c>
      <c r="GJ235">
        <v>29343.9</v>
      </c>
      <c r="GK235">
        <v>29257.8</v>
      </c>
      <c r="GL235">
        <v>35446.7</v>
      </c>
      <c r="GM235">
        <v>36176.3</v>
      </c>
      <c r="GN235">
        <v>41302.6</v>
      </c>
      <c r="GO235">
        <v>41760.6</v>
      </c>
      <c r="GP235">
        <v>1.9556</v>
      </c>
      <c r="GQ235">
        <v>1.84883</v>
      </c>
      <c r="GR235">
        <v>-0.0208244</v>
      </c>
      <c r="GS235">
        <v>0</v>
      </c>
      <c r="GT235">
        <v>25.3375</v>
      </c>
      <c r="GU235">
        <v>999.9</v>
      </c>
      <c r="GV235">
        <v>31.5</v>
      </c>
      <c r="GW235">
        <v>34.3</v>
      </c>
      <c r="GX235">
        <v>19.03</v>
      </c>
      <c r="GY235">
        <v>62.4575</v>
      </c>
      <c r="GZ235">
        <v>34.7396</v>
      </c>
      <c r="HA235">
        <v>1</v>
      </c>
      <c r="HB235">
        <v>0.108216</v>
      </c>
      <c r="HC235">
        <v>2.32961</v>
      </c>
      <c r="HD235">
        <v>20.3181</v>
      </c>
      <c r="HE235">
        <v>5.21639</v>
      </c>
      <c r="HF235">
        <v>12.0099</v>
      </c>
      <c r="HG235">
        <v>4.9886</v>
      </c>
      <c r="HH235">
        <v>3.2885</v>
      </c>
      <c r="HI235">
        <v>1000.5</v>
      </c>
      <c r="HJ235">
        <v>9557.9</v>
      </c>
      <c r="HK235">
        <v>5139.4</v>
      </c>
      <c r="HL235">
        <v>24.9</v>
      </c>
      <c r="HM235">
        <v>1.86752</v>
      </c>
      <c r="HN235">
        <v>1.86646</v>
      </c>
      <c r="HO235">
        <v>1.866</v>
      </c>
      <c r="HP235">
        <v>1.86585</v>
      </c>
      <c r="HQ235">
        <v>1.86768</v>
      </c>
      <c r="HR235">
        <v>1.87023</v>
      </c>
      <c r="HS235">
        <v>1.8689</v>
      </c>
      <c r="HT235">
        <v>1.87026</v>
      </c>
      <c r="HU235">
        <v>0</v>
      </c>
      <c r="HV235">
        <v>0</v>
      </c>
      <c r="HW235">
        <v>0</v>
      </c>
      <c r="HX235">
        <v>0</v>
      </c>
      <c r="HY235" t="s">
        <v>421</v>
      </c>
      <c r="HZ235" t="s">
        <v>422</v>
      </c>
      <c r="IA235" t="s">
        <v>423</v>
      </c>
      <c r="IB235" t="s">
        <v>423</v>
      </c>
      <c r="IC235" t="s">
        <v>423</v>
      </c>
      <c r="ID235" t="s">
        <v>423</v>
      </c>
      <c r="IE235">
        <v>0</v>
      </c>
      <c r="IF235">
        <v>100</v>
      </c>
      <c r="IG235">
        <v>100</v>
      </c>
      <c r="IH235">
        <v>-0.608</v>
      </c>
      <c r="II235">
        <v>0.0206</v>
      </c>
      <c r="IJ235">
        <v>-0.2164499368582429</v>
      </c>
      <c r="IK235">
        <v>-0.002077099775823331</v>
      </c>
      <c r="IL235">
        <v>4.593143279902166E-07</v>
      </c>
      <c r="IM235">
        <v>-1.865383991892071E-10</v>
      </c>
      <c r="IN235">
        <v>-0.06087574426827484</v>
      </c>
      <c r="IO235">
        <v>-0.01129461987421345</v>
      </c>
      <c r="IP235">
        <v>0.00116580895745559</v>
      </c>
      <c r="IQ235">
        <v>-1.679085872906199E-05</v>
      </c>
      <c r="IR235">
        <v>2</v>
      </c>
      <c r="IS235">
        <v>2290</v>
      </c>
      <c r="IT235">
        <v>0</v>
      </c>
      <c r="IU235">
        <v>32</v>
      </c>
      <c r="IV235">
        <v>9.9</v>
      </c>
      <c r="IW235">
        <v>9.6</v>
      </c>
      <c r="IX235">
        <v>0.52002</v>
      </c>
      <c r="IY235">
        <v>2.26318</v>
      </c>
      <c r="IZ235">
        <v>1.39648</v>
      </c>
      <c r="JA235">
        <v>2.35596</v>
      </c>
      <c r="JB235">
        <v>1.49536</v>
      </c>
      <c r="JC235">
        <v>2.34009</v>
      </c>
      <c r="JD235">
        <v>38.5014</v>
      </c>
      <c r="JE235">
        <v>24.035</v>
      </c>
      <c r="JF235">
        <v>18</v>
      </c>
      <c r="JG235">
        <v>511.36</v>
      </c>
      <c r="JH235">
        <v>428.264</v>
      </c>
      <c r="JI235">
        <v>22.1972</v>
      </c>
      <c r="JJ235">
        <v>28.6941</v>
      </c>
      <c r="JK235">
        <v>30.0001</v>
      </c>
      <c r="JL235">
        <v>28.6593</v>
      </c>
      <c r="JM235">
        <v>28.5944</v>
      </c>
      <c r="JN235">
        <v>10.3391</v>
      </c>
      <c r="JO235">
        <v>26.5129</v>
      </c>
      <c r="JP235">
        <v>0</v>
      </c>
      <c r="JQ235">
        <v>22.1974</v>
      </c>
      <c r="JR235">
        <v>159.434</v>
      </c>
      <c r="JS235">
        <v>14.1432</v>
      </c>
      <c r="JT235">
        <v>100.303</v>
      </c>
      <c r="JU235">
        <v>100.228</v>
      </c>
    </row>
    <row r="236" spans="1:281">
      <c r="A236">
        <v>220</v>
      </c>
      <c r="B236">
        <v>1651864837.1</v>
      </c>
      <c r="C236">
        <v>616.5</v>
      </c>
      <c r="D236" t="s">
        <v>860</v>
      </c>
      <c r="E236" t="s">
        <v>861</v>
      </c>
      <c r="F236">
        <v>2</v>
      </c>
      <c r="G236" t="s">
        <v>413</v>
      </c>
      <c r="H236" t="s">
        <v>414</v>
      </c>
      <c r="I236">
        <v>1651864836.1</v>
      </c>
      <c r="J236">
        <f>(K236)/1000</f>
        <v>0</v>
      </c>
      <c r="K236">
        <f>IF(CZ236, AN236, AH236)</f>
        <v>0</v>
      </c>
      <c r="L236">
        <f>IF(CZ236, AI236, AG236)</f>
        <v>0</v>
      </c>
      <c r="M236">
        <f>DB236 - IF(AU236&gt;1, L236*CV236*100.0/(AW236*DP236), 0)</f>
        <v>0</v>
      </c>
      <c r="N236">
        <f>((T236-J236/2)*M236-L236)/(T236+J236/2)</f>
        <v>0</v>
      </c>
      <c r="O236">
        <f>N236*(DI236+DJ236)/1000.0</f>
        <v>0</v>
      </c>
      <c r="P236">
        <f>(DB236 - IF(AU236&gt;1, L236*CV236*100.0/(AW236*DP236), 0))*(DI236+DJ236)/1000.0</f>
        <v>0</v>
      </c>
      <c r="Q236">
        <f>2.0/((1/S236-1/R236)+SIGN(S236)*SQRT((1/S236-1/R236)*(1/S236-1/R236) + 4*CW236/((CW236+1)*(CW236+1))*(2*1/S236*1/R236-1/R236*1/R236)))</f>
        <v>0</v>
      </c>
      <c r="R236">
        <f>IF(LEFT(CX236,1)&lt;&gt;"0",IF(LEFT(CX236,1)="1",3.0,CY236),$D$5+$E$5*(DP236*DI236/($K$5*1000))+$F$5*(DP236*DI236/($K$5*1000))*MAX(MIN(CV236,$J$5),$I$5)*MAX(MIN(CV236,$J$5),$I$5)+$G$5*MAX(MIN(CV236,$J$5),$I$5)*(DP236*DI236/($K$5*1000))+$H$5*(DP236*DI236/($K$5*1000))*(DP236*DI236/($K$5*1000)))</f>
        <v>0</v>
      </c>
      <c r="S236">
        <f>J236*(1000-(1000*0.61365*exp(17.502*W236/(240.97+W236))/(DI236+DJ236)+DD236)/2)/(1000*0.61365*exp(17.502*W236/(240.97+W236))/(DI236+DJ236)-DD236)</f>
        <v>0</v>
      </c>
      <c r="T236">
        <f>1/((CW236+1)/(Q236/1.6)+1/(R236/1.37)) + CW236/((CW236+1)/(Q236/1.6) + CW236/(R236/1.37))</f>
        <v>0</v>
      </c>
      <c r="U236">
        <f>(CR236*CU236)</f>
        <v>0</v>
      </c>
      <c r="V236">
        <f>(DK236+(U236+2*0.95*5.67E-8*(((DK236+$B$7)+273)^4-(DK236+273)^4)-44100*J236)/(1.84*29.3*R236+8*0.95*5.67E-8*(DK236+273)^3))</f>
        <v>0</v>
      </c>
      <c r="W236">
        <f>($C$7*DL236+$D$7*DM236+$E$7*V236)</f>
        <v>0</v>
      </c>
      <c r="X236">
        <f>0.61365*exp(17.502*W236/(240.97+W236))</f>
        <v>0</v>
      </c>
      <c r="Y236">
        <f>(Z236/AA236*100)</f>
        <v>0</v>
      </c>
      <c r="Z236">
        <f>DD236*(DI236+DJ236)/1000</f>
        <v>0</v>
      </c>
      <c r="AA236">
        <f>0.61365*exp(17.502*DK236/(240.97+DK236))</f>
        <v>0</v>
      </c>
      <c r="AB236">
        <f>(X236-DD236*(DI236+DJ236)/1000)</f>
        <v>0</v>
      </c>
      <c r="AC236">
        <f>(-J236*44100)</f>
        <v>0</v>
      </c>
      <c r="AD236">
        <f>2*29.3*R236*0.92*(DK236-W236)</f>
        <v>0</v>
      </c>
      <c r="AE236">
        <f>2*0.95*5.67E-8*(((DK236+$B$7)+273)^4-(W236+273)^4)</f>
        <v>0</v>
      </c>
      <c r="AF236">
        <f>U236+AE236+AC236+AD236</f>
        <v>0</v>
      </c>
      <c r="AG236">
        <f>DH236*AU236*(DC236-DB236*(1000-AU236*DE236)/(1000-AU236*DD236))/(100*CV236)</f>
        <v>0</v>
      </c>
      <c r="AH236">
        <f>1000*DH236*AU236*(DD236-DE236)/(100*CV236*(1000-AU236*DD236))</f>
        <v>0</v>
      </c>
      <c r="AI236">
        <f>(AJ236 - AK236 - DI236*1E3/(8.314*(DK236+273.15)) * AM236/DH236 * AL236) * DH236/(100*CV236) * (1000 - DE236)/1000</f>
        <v>0</v>
      </c>
      <c r="AJ236">
        <v>189.4355692405991</v>
      </c>
      <c r="AK236">
        <v>194.9869515151515</v>
      </c>
      <c r="AL236">
        <v>-3.072787758842868</v>
      </c>
      <c r="AM236">
        <v>66.38192812717227</v>
      </c>
      <c r="AN236">
        <f>(AP236 - AO236 + DI236*1E3/(8.314*(DK236+273.15)) * AR236/DH236 * AQ236) * DH236/(100*CV236) * 1000/(1000 - AP236)</f>
        <v>0</v>
      </c>
      <c r="AO236">
        <v>14.1283069936928</v>
      </c>
      <c r="AP236">
        <v>18.3650494117647</v>
      </c>
      <c r="AQ236">
        <v>-3.801166872376817E-06</v>
      </c>
      <c r="AR236">
        <v>80.47224507511959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MAX(0,($B$13+$C$13*DP236)/(1+$D$13*DP236)*DI236/(DK236+273)*$E$13)</f>
        <v>0</v>
      </c>
      <c r="AX236" t="s">
        <v>417</v>
      </c>
      <c r="AY236" t="s">
        <v>417</v>
      </c>
      <c r="AZ236">
        <v>0</v>
      </c>
      <c r="BA236">
        <v>0</v>
      </c>
      <c r="BB236">
        <f>1-AZ236/BA236</f>
        <v>0</v>
      </c>
      <c r="BC236">
        <v>0</v>
      </c>
      <c r="BD236" t="s">
        <v>417</v>
      </c>
      <c r="BE236" t="s">
        <v>417</v>
      </c>
      <c r="BF236">
        <v>0</v>
      </c>
      <c r="BG236">
        <v>0</v>
      </c>
      <c r="BH236">
        <f>1-BF236/BG236</f>
        <v>0</v>
      </c>
      <c r="BI236">
        <v>0.5</v>
      </c>
      <c r="BJ236">
        <f>CS236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417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BZ236">
        <v>1248</v>
      </c>
      <c r="CA236">
        <v>300</v>
      </c>
      <c r="CB236">
        <v>300</v>
      </c>
      <c r="CC236">
        <v>300</v>
      </c>
      <c r="CD236">
        <v>10442</v>
      </c>
      <c r="CE236">
        <v>1293.69</v>
      </c>
      <c r="CF236">
        <v>-0.00735246</v>
      </c>
      <c r="CG236">
        <v>0.5</v>
      </c>
      <c r="CH236" t="s">
        <v>417</v>
      </c>
      <c r="CI236" t="s">
        <v>417</v>
      </c>
      <c r="CJ236" t="s">
        <v>417</v>
      </c>
      <c r="CK236" t="s">
        <v>417</v>
      </c>
      <c r="CL236" t="s">
        <v>417</v>
      </c>
      <c r="CM236" t="s">
        <v>417</v>
      </c>
      <c r="CN236" t="s">
        <v>417</v>
      </c>
      <c r="CO236" t="s">
        <v>417</v>
      </c>
      <c r="CP236" t="s">
        <v>417</v>
      </c>
      <c r="CQ236" t="s">
        <v>417</v>
      </c>
      <c r="CR236">
        <f>$B$11*DQ236+$C$11*DR236+$F$11*EC236*(1-EF236)</f>
        <v>0</v>
      </c>
      <c r="CS236">
        <f>CR236*CT236</f>
        <v>0</v>
      </c>
      <c r="CT236">
        <f>($B$11*$D$9+$C$11*$D$9+$F$11*((EP236+EH236)/MAX(EP236+EH236+EQ236, 0.1)*$I$9+EQ236/MAX(EP236+EH236+EQ236, 0.1)*$J$9))/($B$11+$C$11+$F$11)</f>
        <v>0</v>
      </c>
      <c r="CU236">
        <f>($B$11*$K$9+$C$11*$K$9+$F$11*((EP236+EH236)/MAX(EP236+EH236+EQ236, 0.1)*$P$9+EQ236/MAX(EP236+EH236+EQ236, 0.1)*$Q$9))/($B$11+$C$11+$F$11)</f>
        <v>0</v>
      </c>
      <c r="CV236">
        <v>6</v>
      </c>
      <c r="CW236">
        <v>0.5</v>
      </c>
      <c r="CX236" t="s">
        <v>418</v>
      </c>
      <c r="CY236">
        <v>2</v>
      </c>
      <c r="CZ236" t="b">
        <v>1</v>
      </c>
      <c r="DA236">
        <v>1651864836.1</v>
      </c>
      <c r="DB236">
        <v>192.913</v>
      </c>
      <c r="DC236">
        <v>180.985</v>
      </c>
      <c r="DD236">
        <v>18.36406666666667</v>
      </c>
      <c r="DE236">
        <v>14.12546666666667</v>
      </c>
      <c r="DF236">
        <v>193.5153333333334</v>
      </c>
      <c r="DG236">
        <v>18.34346666666666</v>
      </c>
      <c r="DH236">
        <v>500.0713333333333</v>
      </c>
      <c r="DI236">
        <v>89.93306666666666</v>
      </c>
      <c r="DJ236">
        <v>0.1000389</v>
      </c>
      <c r="DK236">
        <v>25.6292</v>
      </c>
      <c r="DL236">
        <v>24.99276666666666</v>
      </c>
      <c r="DM236">
        <v>999.9</v>
      </c>
      <c r="DN236">
        <v>0</v>
      </c>
      <c r="DO236">
        <v>0</v>
      </c>
      <c r="DP236">
        <v>9994.366666666667</v>
      </c>
      <c r="DQ236">
        <v>0</v>
      </c>
      <c r="DR236">
        <v>3.23193</v>
      </c>
      <c r="DS236">
        <v>11.9279</v>
      </c>
      <c r="DT236">
        <v>196.5216666666667</v>
      </c>
      <c r="DU236">
        <v>183.578</v>
      </c>
      <c r="DV236">
        <v>4.23857</v>
      </c>
      <c r="DW236">
        <v>180.985</v>
      </c>
      <c r="DX236">
        <v>14.12546666666667</v>
      </c>
      <c r="DY236">
        <v>1.651536666666667</v>
      </c>
      <c r="DZ236">
        <v>1.270346666666667</v>
      </c>
      <c r="EA236">
        <v>14.44826666666667</v>
      </c>
      <c r="EB236">
        <v>10.45256666666667</v>
      </c>
      <c r="EC236">
        <v>1500.053333333333</v>
      </c>
      <c r="ED236">
        <v>0.973002</v>
      </c>
      <c r="EE236">
        <v>0.02699806666666666</v>
      </c>
      <c r="EF236">
        <v>0</v>
      </c>
      <c r="EG236">
        <v>831.677</v>
      </c>
      <c r="EH236">
        <v>5.00097</v>
      </c>
      <c r="EI236">
        <v>12349.83333333333</v>
      </c>
      <c r="EJ236">
        <v>12492.06666666667</v>
      </c>
      <c r="EK236">
        <v>37.25</v>
      </c>
      <c r="EL236">
        <v>38.687</v>
      </c>
      <c r="EM236">
        <v>37.625</v>
      </c>
      <c r="EN236">
        <v>38.375</v>
      </c>
      <c r="EO236">
        <v>38.062</v>
      </c>
      <c r="EP236">
        <v>1454.69</v>
      </c>
      <c r="EQ236">
        <v>40.36333333333334</v>
      </c>
      <c r="ER236">
        <v>0</v>
      </c>
      <c r="ES236">
        <v>616.2000000476837</v>
      </c>
      <c r="ET236">
        <v>0</v>
      </c>
      <c r="EU236">
        <v>831.5834</v>
      </c>
      <c r="EV236">
        <v>-0.9876923088620435</v>
      </c>
      <c r="EW236">
        <v>-38.23076917020598</v>
      </c>
      <c r="EX236">
        <v>12351.948</v>
      </c>
      <c r="EY236">
        <v>15</v>
      </c>
      <c r="EZ236">
        <v>1651864261.1</v>
      </c>
      <c r="FA236" t="s">
        <v>419</v>
      </c>
      <c r="FB236">
        <v>1651864241.6</v>
      </c>
      <c r="FC236">
        <v>1651864261.1</v>
      </c>
      <c r="FD236">
        <v>7</v>
      </c>
      <c r="FE236">
        <v>0.438</v>
      </c>
      <c r="FF236">
        <v>0.002</v>
      </c>
      <c r="FG236">
        <v>-0.988</v>
      </c>
      <c r="FH236">
        <v>-0.066</v>
      </c>
      <c r="FI236">
        <v>400</v>
      </c>
      <c r="FJ236">
        <v>11</v>
      </c>
      <c r="FK236">
        <v>0.05</v>
      </c>
      <c r="FL236">
        <v>0.02</v>
      </c>
      <c r="FM236">
        <v>10.159886</v>
      </c>
      <c r="FN236">
        <v>9.053357898686654</v>
      </c>
      <c r="FO236">
        <v>0.8886301628652945</v>
      </c>
      <c r="FP236">
        <v>-1</v>
      </c>
      <c r="FQ236">
        <v>4.229135</v>
      </c>
      <c r="FR236">
        <v>0.04882446529080013</v>
      </c>
      <c r="FS236">
        <v>0.004841364993470329</v>
      </c>
      <c r="FT236">
        <v>-1</v>
      </c>
      <c r="FU236">
        <v>0</v>
      </c>
      <c r="FV236">
        <v>0</v>
      </c>
      <c r="FW236">
        <v>0</v>
      </c>
      <c r="FX236">
        <v>-1</v>
      </c>
      <c r="FY236">
        <v>0</v>
      </c>
      <c r="FZ236">
        <v>0</v>
      </c>
      <c r="GA236" t="s">
        <v>420</v>
      </c>
      <c r="GB236">
        <v>2.98043</v>
      </c>
      <c r="GC236">
        <v>2.70619</v>
      </c>
      <c r="GD236">
        <v>0.0483787</v>
      </c>
      <c r="GE236">
        <v>0.0450026</v>
      </c>
      <c r="GF236">
        <v>0.08769680000000001</v>
      </c>
      <c r="GG236">
        <v>0.0715799</v>
      </c>
      <c r="GH236">
        <v>30031.6</v>
      </c>
      <c r="GI236">
        <v>30204</v>
      </c>
      <c r="GJ236">
        <v>29343.8</v>
      </c>
      <c r="GK236">
        <v>29257.9</v>
      </c>
      <c r="GL236">
        <v>35446.4</v>
      </c>
      <c r="GM236">
        <v>36176.6</v>
      </c>
      <c r="GN236">
        <v>41302.3</v>
      </c>
      <c r="GO236">
        <v>41760.6</v>
      </c>
      <c r="GP236">
        <v>1.95532</v>
      </c>
      <c r="GQ236">
        <v>1.84892</v>
      </c>
      <c r="GR236">
        <v>-0.0207387</v>
      </c>
      <c r="GS236">
        <v>0</v>
      </c>
      <c r="GT236">
        <v>25.3375</v>
      </c>
      <c r="GU236">
        <v>999.9</v>
      </c>
      <c r="GV236">
        <v>31.5</v>
      </c>
      <c r="GW236">
        <v>34.3</v>
      </c>
      <c r="GX236">
        <v>19.0297</v>
      </c>
      <c r="GY236">
        <v>62.7075</v>
      </c>
      <c r="GZ236">
        <v>35.1883</v>
      </c>
      <c r="HA236">
        <v>1</v>
      </c>
      <c r="HB236">
        <v>0.108178</v>
      </c>
      <c r="HC236">
        <v>2.32834</v>
      </c>
      <c r="HD236">
        <v>20.3182</v>
      </c>
      <c r="HE236">
        <v>5.21639</v>
      </c>
      <c r="HF236">
        <v>12.0099</v>
      </c>
      <c r="HG236">
        <v>4.9886</v>
      </c>
      <c r="HH236">
        <v>3.2885</v>
      </c>
      <c r="HI236">
        <v>1000.7</v>
      </c>
      <c r="HJ236">
        <v>9558.700000000001</v>
      </c>
      <c r="HK236">
        <v>5139.4</v>
      </c>
      <c r="HL236">
        <v>24.9</v>
      </c>
      <c r="HM236">
        <v>1.86752</v>
      </c>
      <c r="HN236">
        <v>1.86646</v>
      </c>
      <c r="HO236">
        <v>1.866</v>
      </c>
      <c r="HP236">
        <v>1.86584</v>
      </c>
      <c r="HQ236">
        <v>1.86769</v>
      </c>
      <c r="HR236">
        <v>1.87022</v>
      </c>
      <c r="HS236">
        <v>1.8689</v>
      </c>
      <c r="HT236">
        <v>1.87026</v>
      </c>
      <c r="HU236">
        <v>0</v>
      </c>
      <c r="HV236">
        <v>0</v>
      </c>
      <c r="HW236">
        <v>0</v>
      </c>
      <c r="HX236">
        <v>0</v>
      </c>
      <c r="HY236" t="s">
        <v>421</v>
      </c>
      <c r="HZ236" t="s">
        <v>422</v>
      </c>
      <c r="IA236" t="s">
        <v>423</v>
      </c>
      <c r="IB236" t="s">
        <v>423</v>
      </c>
      <c r="IC236" t="s">
        <v>423</v>
      </c>
      <c r="ID236" t="s">
        <v>423</v>
      </c>
      <c r="IE236">
        <v>0</v>
      </c>
      <c r="IF236">
        <v>100</v>
      </c>
      <c r="IG236">
        <v>100</v>
      </c>
      <c r="IH236">
        <v>-0.596</v>
      </c>
      <c r="II236">
        <v>0.0205</v>
      </c>
      <c r="IJ236">
        <v>-0.2164499368582429</v>
      </c>
      <c r="IK236">
        <v>-0.002077099775823331</v>
      </c>
      <c r="IL236">
        <v>4.593143279902166E-07</v>
      </c>
      <c r="IM236">
        <v>-1.865383991892071E-10</v>
      </c>
      <c r="IN236">
        <v>-0.06087574426827484</v>
      </c>
      <c r="IO236">
        <v>-0.01129461987421345</v>
      </c>
      <c r="IP236">
        <v>0.00116580895745559</v>
      </c>
      <c r="IQ236">
        <v>-1.679085872906199E-05</v>
      </c>
      <c r="IR236">
        <v>2</v>
      </c>
      <c r="IS236">
        <v>2290</v>
      </c>
      <c r="IT236">
        <v>0</v>
      </c>
      <c r="IU236">
        <v>32</v>
      </c>
      <c r="IV236">
        <v>9.9</v>
      </c>
      <c r="IW236">
        <v>9.6</v>
      </c>
      <c r="IX236">
        <v>0.505371</v>
      </c>
      <c r="IY236">
        <v>2.26562</v>
      </c>
      <c r="IZ236">
        <v>1.39648</v>
      </c>
      <c r="JA236">
        <v>2.35474</v>
      </c>
      <c r="JB236">
        <v>1.49536</v>
      </c>
      <c r="JC236">
        <v>2.31323</v>
      </c>
      <c r="JD236">
        <v>38.5014</v>
      </c>
      <c r="JE236">
        <v>24.035</v>
      </c>
      <c r="JF236">
        <v>18</v>
      </c>
      <c r="JG236">
        <v>511.18</v>
      </c>
      <c r="JH236">
        <v>428.332</v>
      </c>
      <c r="JI236">
        <v>22.197</v>
      </c>
      <c r="JJ236">
        <v>28.6952</v>
      </c>
      <c r="JK236">
        <v>30.0001</v>
      </c>
      <c r="JL236">
        <v>28.6593</v>
      </c>
      <c r="JM236">
        <v>28.5955</v>
      </c>
      <c r="JN236">
        <v>10.0441</v>
      </c>
      <c r="JO236">
        <v>26.5129</v>
      </c>
      <c r="JP236">
        <v>0</v>
      </c>
      <c r="JQ236">
        <v>22.1974</v>
      </c>
      <c r="JR236">
        <v>152.756</v>
      </c>
      <c r="JS236">
        <v>14.1432</v>
      </c>
      <c r="JT236">
        <v>100.303</v>
      </c>
      <c r="JU236">
        <v>100.228</v>
      </c>
    </row>
    <row r="237" spans="1:281">
      <c r="A237">
        <v>221</v>
      </c>
      <c r="B237">
        <v>1651864839.1</v>
      </c>
      <c r="C237">
        <v>618.5</v>
      </c>
      <c r="D237" t="s">
        <v>862</v>
      </c>
      <c r="E237" t="s">
        <v>863</v>
      </c>
      <c r="F237">
        <v>2</v>
      </c>
      <c r="G237" t="s">
        <v>413</v>
      </c>
      <c r="H237" t="s">
        <v>414</v>
      </c>
      <c r="I237">
        <v>1651864837.725</v>
      </c>
      <c r="J237">
        <f>(K237)/1000</f>
        <v>0</v>
      </c>
      <c r="K237">
        <f>IF(CZ237, AN237, AH237)</f>
        <v>0</v>
      </c>
      <c r="L237">
        <f>IF(CZ237, AI237, AG237)</f>
        <v>0</v>
      </c>
      <c r="M237">
        <f>DB237 - IF(AU237&gt;1, L237*CV237*100.0/(AW237*DP237), 0)</f>
        <v>0</v>
      </c>
      <c r="N237">
        <f>((T237-J237/2)*M237-L237)/(T237+J237/2)</f>
        <v>0</v>
      </c>
      <c r="O237">
        <f>N237*(DI237+DJ237)/1000.0</f>
        <v>0</v>
      </c>
      <c r="P237">
        <f>(DB237 - IF(AU237&gt;1, L237*CV237*100.0/(AW237*DP237), 0))*(DI237+DJ237)/1000.0</f>
        <v>0</v>
      </c>
      <c r="Q237">
        <f>2.0/((1/S237-1/R237)+SIGN(S237)*SQRT((1/S237-1/R237)*(1/S237-1/R237) + 4*CW237/((CW237+1)*(CW237+1))*(2*1/S237*1/R237-1/R237*1/R237)))</f>
        <v>0</v>
      </c>
      <c r="R237">
        <f>IF(LEFT(CX237,1)&lt;&gt;"0",IF(LEFT(CX237,1)="1",3.0,CY237),$D$5+$E$5*(DP237*DI237/($K$5*1000))+$F$5*(DP237*DI237/($K$5*1000))*MAX(MIN(CV237,$J$5),$I$5)*MAX(MIN(CV237,$J$5),$I$5)+$G$5*MAX(MIN(CV237,$J$5),$I$5)*(DP237*DI237/($K$5*1000))+$H$5*(DP237*DI237/($K$5*1000))*(DP237*DI237/($K$5*1000)))</f>
        <v>0</v>
      </c>
      <c r="S237">
        <f>J237*(1000-(1000*0.61365*exp(17.502*W237/(240.97+W237))/(DI237+DJ237)+DD237)/2)/(1000*0.61365*exp(17.502*W237/(240.97+W237))/(DI237+DJ237)-DD237)</f>
        <v>0</v>
      </c>
      <c r="T237">
        <f>1/((CW237+1)/(Q237/1.6)+1/(R237/1.37)) + CW237/((CW237+1)/(Q237/1.6) + CW237/(R237/1.37))</f>
        <v>0</v>
      </c>
      <c r="U237">
        <f>(CR237*CU237)</f>
        <v>0</v>
      </c>
      <c r="V237">
        <f>(DK237+(U237+2*0.95*5.67E-8*(((DK237+$B$7)+273)^4-(DK237+273)^4)-44100*J237)/(1.84*29.3*R237+8*0.95*5.67E-8*(DK237+273)^3))</f>
        <v>0</v>
      </c>
      <c r="W237">
        <f>($C$7*DL237+$D$7*DM237+$E$7*V237)</f>
        <v>0</v>
      </c>
      <c r="X237">
        <f>0.61365*exp(17.502*W237/(240.97+W237))</f>
        <v>0</v>
      </c>
      <c r="Y237">
        <f>(Z237/AA237*100)</f>
        <v>0</v>
      </c>
      <c r="Z237">
        <f>DD237*(DI237+DJ237)/1000</f>
        <v>0</v>
      </c>
      <c r="AA237">
        <f>0.61365*exp(17.502*DK237/(240.97+DK237))</f>
        <v>0</v>
      </c>
      <c r="AB237">
        <f>(X237-DD237*(DI237+DJ237)/1000)</f>
        <v>0</v>
      </c>
      <c r="AC237">
        <f>(-J237*44100)</f>
        <v>0</v>
      </c>
      <c r="AD237">
        <f>2*29.3*R237*0.92*(DK237-W237)</f>
        <v>0</v>
      </c>
      <c r="AE237">
        <f>2*0.95*5.67E-8*(((DK237+$B$7)+273)^4-(W237+273)^4)</f>
        <v>0</v>
      </c>
      <c r="AF237">
        <f>U237+AE237+AC237+AD237</f>
        <v>0</v>
      </c>
      <c r="AG237">
        <f>DH237*AU237*(DC237-DB237*(1000-AU237*DE237)/(1000-AU237*DD237))/(100*CV237)</f>
        <v>0</v>
      </c>
      <c r="AH237">
        <f>1000*DH237*AU237*(DD237-DE237)/(100*CV237*(1000-AU237*DD237))</f>
        <v>0</v>
      </c>
      <c r="AI237">
        <f>(AJ237 - AK237 - DI237*1E3/(8.314*(DK237+273.15)) * AM237/DH237 * AL237) * DH237/(100*CV237) * (1000 - DE237)/1000</f>
        <v>0</v>
      </c>
      <c r="AJ237">
        <v>182.8146981154013</v>
      </c>
      <c r="AK237">
        <v>188.8217333333333</v>
      </c>
      <c r="AL237">
        <v>-3.079734515291807</v>
      </c>
      <c r="AM237">
        <v>66.38192812717227</v>
      </c>
      <c r="AN237">
        <f>(AP237 - AO237 + DI237*1E3/(8.314*(DK237+273.15)) * AR237/DH237 * AQ237) * DH237/(100*CV237) * 1000/(1000 - AP237)</f>
        <v>0</v>
      </c>
      <c r="AO237">
        <v>14.12701707853774</v>
      </c>
      <c r="AP237">
        <v>18.36214352941177</v>
      </c>
      <c r="AQ237">
        <v>5.962833079804064E-05</v>
      </c>
      <c r="AR237">
        <v>80.47224507511959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MAX(0,($B$13+$C$13*DP237)/(1+$D$13*DP237)*DI237/(DK237+273)*$E$13)</f>
        <v>0</v>
      </c>
      <c r="AX237" t="s">
        <v>417</v>
      </c>
      <c r="AY237" t="s">
        <v>417</v>
      </c>
      <c r="AZ237">
        <v>0</v>
      </c>
      <c r="BA237">
        <v>0</v>
      </c>
      <c r="BB237">
        <f>1-AZ237/BA237</f>
        <v>0</v>
      </c>
      <c r="BC237">
        <v>0</v>
      </c>
      <c r="BD237" t="s">
        <v>417</v>
      </c>
      <c r="BE237" t="s">
        <v>417</v>
      </c>
      <c r="BF237">
        <v>0</v>
      </c>
      <c r="BG237">
        <v>0</v>
      </c>
      <c r="BH237">
        <f>1-BF237/BG237</f>
        <v>0</v>
      </c>
      <c r="BI237">
        <v>0.5</v>
      </c>
      <c r="BJ237">
        <f>CS237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417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BZ237">
        <v>1248</v>
      </c>
      <c r="CA237">
        <v>300</v>
      </c>
      <c r="CB237">
        <v>300</v>
      </c>
      <c r="CC237">
        <v>300</v>
      </c>
      <c r="CD237">
        <v>10442</v>
      </c>
      <c r="CE237">
        <v>1293.69</v>
      </c>
      <c r="CF237">
        <v>-0.00735246</v>
      </c>
      <c r="CG237">
        <v>0.5</v>
      </c>
      <c r="CH237" t="s">
        <v>417</v>
      </c>
      <c r="CI237" t="s">
        <v>417</v>
      </c>
      <c r="CJ237" t="s">
        <v>417</v>
      </c>
      <c r="CK237" t="s">
        <v>417</v>
      </c>
      <c r="CL237" t="s">
        <v>417</v>
      </c>
      <c r="CM237" t="s">
        <v>417</v>
      </c>
      <c r="CN237" t="s">
        <v>417</v>
      </c>
      <c r="CO237" t="s">
        <v>417</v>
      </c>
      <c r="CP237" t="s">
        <v>417</v>
      </c>
      <c r="CQ237" t="s">
        <v>417</v>
      </c>
      <c r="CR237">
        <f>$B$11*DQ237+$C$11*DR237+$F$11*EC237*(1-EF237)</f>
        <v>0</v>
      </c>
      <c r="CS237">
        <f>CR237*CT237</f>
        <v>0</v>
      </c>
      <c r="CT237">
        <f>($B$11*$D$9+$C$11*$D$9+$F$11*((EP237+EH237)/MAX(EP237+EH237+EQ237, 0.1)*$I$9+EQ237/MAX(EP237+EH237+EQ237, 0.1)*$J$9))/($B$11+$C$11+$F$11)</f>
        <v>0</v>
      </c>
      <c r="CU237">
        <f>($B$11*$K$9+$C$11*$K$9+$F$11*((EP237+EH237)/MAX(EP237+EH237+EQ237, 0.1)*$P$9+EQ237/MAX(EP237+EH237+EQ237, 0.1)*$Q$9))/($B$11+$C$11+$F$11)</f>
        <v>0</v>
      </c>
      <c r="CV237">
        <v>6</v>
      </c>
      <c r="CW237">
        <v>0.5</v>
      </c>
      <c r="CX237" t="s">
        <v>418</v>
      </c>
      <c r="CY237">
        <v>2</v>
      </c>
      <c r="CZ237" t="b">
        <v>1</v>
      </c>
      <c r="DA237">
        <v>1651864837.725</v>
      </c>
      <c r="DB237">
        <v>188.0025</v>
      </c>
      <c r="DC237">
        <v>175.6615</v>
      </c>
      <c r="DD237">
        <v>18.36275</v>
      </c>
      <c r="DE237">
        <v>14.123875</v>
      </c>
      <c r="DF237">
        <v>188.5955</v>
      </c>
      <c r="DG237">
        <v>18.34215</v>
      </c>
      <c r="DH237">
        <v>499.9975</v>
      </c>
      <c r="DI237">
        <v>89.931275</v>
      </c>
      <c r="DJ237">
        <v>0.09990299999999999</v>
      </c>
      <c r="DK237">
        <v>25.63</v>
      </c>
      <c r="DL237">
        <v>24.99765</v>
      </c>
      <c r="DM237">
        <v>999.9</v>
      </c>
      <c r="DN237">
        <v>0</v>
      </c>
      <c r="DO237">
        <v>0</v>
      </c>
      <c r="DP237">
        <v>10017.505</v>
      </c>
      <c r="DQ237">
        <v>0</v>
      </c>
      <c r="DR237">
        <v>3.23193</v>
      </c>
      <c r="DS237">
        <v>12.340825</v>
      </c>
      <c r="DT237">
        <v>191.51925</v>
      </c>
      <c r="DU237">
        <v>178.17775</v>
      </c>
      <c r="DV237">
        <v>4.2388925</v>
      </c>
      <c r="DW237">
        <v>175.6615</v>
      </c>
      <c r="DX237">
        <v>14.123875</v>
      </c>
      <c r="DY237">
        <v>1.651385</v>
      </c>
      <c r="DZ237">
        <v>1.270175</v>
      </c>
      <c r="EA237">
        <v>14.446825</v>
      </c>
      <c r="EB237">
        <v>10.450525</v>
      </c>
      <c r="EC237">
        <v>1500.075</v>
      </c>
      <c r="ED237">
        <v>0.9730094999999999</v>
      </c>
      <c r="EE237">
        <v>0.0269904</v>
      </c>
      <c r="EF237">
        <v>0</v>
      </c>
      <c r="EG237">
        <v>831.4857500000001</v>
      </c>
      <c r="EH237">
        <v>5.00097</v>
      </c>
      <c r="EI237">
        <v>12351.05</v>
      </c>
      <c r="EJ237">
        <v>12492.275</v>
      </c>
      <c r="EK237">
        <v>37.20274999999999</v>
      </c>
      <c r="EL237">
        <v>38.687</v>
      </c>
      <c r="EM237">
        <v>37.625</v>
      </c>
      <c r="EN237">
        <v>38.375</v>
      </c>
      <c r="EO237">
        <v>38.062</v>
      </c>
      <c r="EP237">
        <v>1454.7225</v>
      </c>
      <c r="EQ237">
        <v>40.3525</v>
      </c>
      <c r="ER237">
        <v>0</v>
      </c>
      <c r="ES237">
        <v>618</v>
      </c>
      <c r="ET237">
        <v>0</v>
      </c>
      <c r="EU237">
        <v>831.5338461538461</v>
      </c>
      <c r="EV237">
        <v>-0.9293675262026326</v>
      </c>
      <c r="EW237">
        <v>-23.74700851751245</v>
      </c>
      <c r="EX237">
        <v>12351.26923076923</v>
      </c>
      <c r="EY237">
        <v>15</v>
      </c>
      <c r="EZ237">
        <v>1651864261.1</v>
      </c>
      <c r="FA237" t="s">
        <v>419</v>
      </c>
      <c r="FB237">
        <v>1651864241.6</v>
      </c>
      <c r="FC237">
        <v>1651864261.1</v>
      </c>
      <c r="FD237">
        <v>7</v>
      </c>
      <c r="FE237">
        <v>0.438</v>
      </c>
      <c r="FF237">
        <v>0.002</v>
      </c>
      <c r="FG237">
        <v>-0.988</v>
      </c>
      <c r="FH237">
        <v>-0.066</v>
      </c>
      <c r="FI237">
        <v>400</v>
      </c>
      <c r="FJ237">
        <v>11</v>
      </c>
      <c r="FK237">
        <v>0.05</v>
      </c>
      <c r="FL237">
        <v>0.02</v>
      </c>
      <c r="FM237">
        <v>10.56274609756097</v>
      </c>
      <c r="FN237">
        <v>9.756196515679425</v>
      </c>
      <c r="FO237">
        <v>0.9858476375969577</v>
      </c>
      <c r="FP237">
        <v>-1</v>
      </c>
      <c r="FQ237">
        <v>4.231039024390244</v>
      </c>
      <c r="FR237">
        <v>0.04989324041811135</v>
      </c>
      <c r="FS237">
        <v>0.005059115802857465</v>
      </c>
      <c r="FT237">
        <v>-1</v>
      </c>
      <c r="FU237">
        <v>0</v>
      </c>
      <c r="FV237">
        <v>0</v>
      </c>
      <c r="FW237">
        <v>0</v>
      </c>
      <c r="FX237">
        <v>-1</v>
      </c>
      <c r="FY237">
        <v>0</v>
      </c>
      <c r="FZ237">
        <v>0</v>
      </c>
      <c r="GA237" t="s">
        <v>420</v>
      </c>
      <c r="GB237">
        <v>2.98029</v>
      </c>
      <c r="GC237">
        <v>2.70628</v>
      </c>
      <c r="GD237">
        <v>0.0469797</v>
      </c>
      <c r="GE237">
        <v>0.0434816</v>
      </c>
      <c r="GF237">
        <v>0.0876941</v>
      </c>
      <c r="GG237">
        <v>0.0715749</v>
      </c>
      <c r="GH237">
        <v>30075.2</v>
      </c>
      <c r="GI237">
        <v>30252.4</v>
      </c>
      <c r="GJ237">
        <v>29343.3</v>
      </c>
      <c r="GK237">
        <v>29258.2</v>
      </c>
      <c r="GL237">
        <v>35445.9</v>
      </c>
      <c r="GM237">
        <v>36177</v>
      </c>
      <c r="GN237">
        <v>41301.5</v>
      </c>
      <c r="GO237">
        <v>41760.8</v>
      </c>
      <c r="GP237">
        <v>1.9552</v>
      </c>
      <c r="GQ237">
        <v>1.84897</v>
      </c>
      <c r="GR237">
        <v>-0.0206269</v>
      </c>
      <c r="GS237">
        <v>0</v>
      </c>
      <c r="GT237">
        <v>25.3375</v>
      </c>
      <c r="GU237">
        <v>999.9</v>
      </c>
      <c r="GV237">
        <v>31.5</v>
      </c>
      <c r="GW237">
        <v>34.3</v>
      </c>
      <c r="GX237">
        <v>19.0301</v>
      </c>
      <c r="GY237">
        <v>62.6575</v>
      </c>
      <c r="GZ237">
        <v>35.0441</v>
      </c>
      <c r="HA237">
        <v>1</v>
      </c>
      <c r="HB237">
        <v>0.108239</v>
      </c>
      <c r="HC237">
        <v>2.3275</v>
      </c>
      <c r="HD237">
        <v>20.3182</v>
      </c>
      <c r="HE237">
        <v>5.21639</v>
      </c>
      <c r="HF237">
        <v>12.0099</v>
      </c>
      <c r="HG237">
        <v>4.9885</v>
      </c>
      <c r="HH237">
        <v>3.2885</v>
      </c>
      <c r="HI237">
        <v>1000.7</v>
      </c>
      <c r="HJ237">
        <v>9558.700000000001</v>
      </c>
      <c r="HK237">
        <v>5139.4</v>
      </c>
      <c r="HL237">
        <v>24.9</v>
      </c>
      <c r="HM237">
        <v>1.86752</v>
      </c>
      <c r="HN237">
        <v>1.86646</v>
      </c>
      <c r="HO237">
        <v>1.866</v>
      </c>
      <c r="HP237">
        <v>1.86584</v>
      </c>
      <c r="HQ237">
        <v>1.86769</v>
      </c>
      <c r="HR237">
        <v>1.87021</v>
      </c>
      <c r="HS237">
        <v>1.8689</v>
      </c>
      <c r="HT237">
        <v>1.87026</v>
      </c>
      <c r="HU237">
        <v>0</v>
      </c>
      <c r="HV237">
        <v>0</v>
      </c>
      <c r="HW237">
        <v>0</v>
      </c>
      <c r="HX237">
        <v>0</v>
      </c>
      <c r="HY237" t="s">
        <v>421</v>
      </c>
      <c r="HZ237" t="s">
        <v>422</v>
      </c>
      <c r="IA237" t="s">
        <v>423</v>
      </c>
      <c r="IB237" t="s">
        <v>423</v>
      </c>
      <c r="IC237" t="s">
        <v>423</v>
      </c>
      <c r="ID237" t="s">
        <v>423</v>
      </c>
      <c r="IE237">
        <v>0</v>
      </c>
      <c r="IF237">
        <v>100</v>
      </c>
      <c r="IG237">
        <v>100</v>
      </c>
      <c r="IH237">
        <v>-0.585</v>
      </c>
      <c r="II237">
        <v>0.0205</v>
      </c>
      <c r="IJ237">
        <v>-0.2164499368582429</v>
      </c>
      <c r="IK237">
        <v>-0.002077099775823331</v>
      </c>
      <c r="IL237">
        <v>4.593143279902166E-07</v>
      </c>
      <c r="IM237">
        <v>-1.865383991892071E-10</v>
      </c>
      <c r="IN237">
        <v>-0.06087574426827484</v>
      </c>
      <c r="IO237">
        <v>-0.01129461987421345</v>
      </c>
      <c r="IP237">
        <v>0.00116580895745559</v>
      </c>
      <c r="IQ237">
        <v>-1.679085872906199E-05</v>
      </c>
      <c r="IR237">
        <v>2</v>
      </c>
      <c r="IS237">
        <v>2290</v>
      </c>
      <c r="IT237">
        <v>0</v>
      </c>
      <c r="IU237">
        <v>32</v>
      </c>
      <c r="IV237">
        <v>10</v>
      </c>
      <c r="IW237">
        <v>9.6</v>
      </c>
      <c r="IX237">
        <v>0.490723</v>
      </c>
      <c r="IY237">
        <v>2.26318</v>
      </c>
      <c r="IZ237">
        <v>1.39648</v>
      </c>
      <c r="JA237">
        <v>2.35596</v>
      </c>
      <c r="JB237">
        <v>1.49536</v>
      </c>
      <c r="JC237">
        <v>2.37549</v>
      </c>
      <c r="JD237">
        <v>38.5259</v>
      </c>
      <c r="JE237">
        <v>24.035</v>
      </c>
      <c r="JF237">
        <v>18</v>
      </c>
      <c r="JG237">
        <v>511.098</v>
      </c>
      <c r="JH237">
        <v>428.371</v>
      </c>
      <c r="JI237">
        <v>22.1969</v>
      </c>
      <c r="JJ237">
        <v>28.6952</v>
      </c>
      <c r="JK237">
        <v>30.0002</v>
      </c>
      <c r="JL237">
        <v>28.6593</v>
      </c>
      <c r="JM237">
        <v>28.5968</v>
      </c>
      <c r="JN237">
        <v>9.74865</v>
      </c>
      <c r="JO237">
        <v>26.5129</v>
      </c>
      <c r="JP237">
        <v>0</v>
      </c>
      <c r="JQ237">
        <v>22.2</v>
      </c>
      <c r="JR237">
        <v>146.073</v>
      </c>
      <c r="JS237">
        <v>14.1432</v>
      </c>
      <c r="JT237">
        <v>100.301</v>
      </c>
      <c r="JU237">
        <v>100.229</v>
      </c>
    </row>
    <row r="238" spans="1:281">
      <c r="A238">
        <v>222</v>
      </c>
      <c r="B238">
        <v>1651864841.1</v>
      </c>
      <c r="C238">
        <v>620.5</v>
      </c>
      <c r="D238" t="s">
        <v>864</v>
      </c>
      <c r="E238" t="s">
        <v>865</v>
      </c>
      <c r="F238">
        <v>2</v>
      </c>
      <c r="G238" t="s">
        <v>413</v>
      </c>
      <c r="H238" t="s">
        <v>414</v>
      </c>
      <c r="I238">
        <v>1651864840.1</v>
      </c>
      <c r="J238">
        <f>(K238)/1000</f>
        <v>0</v>
      </c>
      <c r="K238">
        <f>IF(CZ238, AN238, AH238)</f>
        <v>0</v>
      </c>
      <c r="L238">
        <f>IF(CZ238, AI238, AG238)</f>
        <v>0</v>
      </c>
      <c r="M238">
        <f>DB238 - IF(AU238&gt;1, L238*CV238*100.0/(AW238*DP238), 0)</f>
        <v>0</v>
      </c>
      <c r="N238">
        <f>((T238-J238/2)*M238-L238)/(T238+J238/2)</f>
        <v>0</v>
      </c>
      <c r="O238">
        <f>N238*(DI238+DJ238)/1000.0</f>
        <v>0</v>
      </c>
      <c r="P238">
        <f>(DB238 - IF(AU238&gt;1, L238*CV238*100.0/(AW238*DP238), 0))*(DI238+DJ238)/1000.0</f>
        <v>0</v>
      </c>
      <c r="Q238">
        <f>2.0/((1/S238-1/R238)+SIGN(S238)*SQRT((1/S238-1/R238)*(1/S238-1/R238) + 4*CW238/((CW238+1)*(CW238+1))*(2*1/S238*1/R238-1/R238*1/R238)))</f>
        <v>0</v>
      </c>
      <c r="R238">
        <f>IF(LEFT(CX238,1)&lt;&gt;"0",IF(LEFT(CX238,1)="1",3.0,CY238),$D$5+$E$5*(DP238*DI238/($K$5*1000))+$F$5*(DP238*DI238/($K$5*1000))*MAX(MIN(CV238,$J$5),$I$5)*MAX(MIN(CV238,$J$5),$I$5)+$G$5*MAX(MIN(CV238,$J$5),$I$5)*(DP238*DI238/($K$5*1000))+$H$5*(DP238*DI238/($K$5*1000))*(DP238*DI238/($K$5*1000)))</f>
        <v>0</v>
      </c>
      <c r="S238">
        <f>J238*(1000-(1000*0.61365*exp(17.502*W238/(240.97+W238))/(DI238+DJ238)+DD238)/2)/(1000*0.61365*exp(17.502*W238/(240.97+W238))/(DI238+DJ238)-DD238)</f>
        <v>0</v>
      </c>
      <c r="T238">
        <f>1/((CW238+1)/(Q238/1.6)+1/(R238/1.37)) + CW238/((CW238+1)/(Q238/1.6) + CW238/(R238/1.37))</f>
        <v>0</v>
      </c>
      <c r="U238">
        <f>(CR238*CU238)</f>
        <v>0</v>
      </c>
      <c r="V238">
        <f>(DK238+(U238+2*0.95*5.67E-8*(((DK238+$B$7)+273)^4-(DK238+273)^4)-44100*J238)/(1.84*29.3*R238+8*0.95*5.67E-8*(DK238+273)^3))</f>
        <v>0</v>
      </c>
      <c r="W238">
        <f>($C$7*DL238+$D$7*DM238+$E$7*V238)</f>
        <v>0</v>
      </c>
      <c r="X238">
        <f>0.61365*exp(17.502*W238/(240.97+W238))</f>
        <v>0</v>
      </c>
      <c r="Y238">
        <f>(Z238/AA238*100)</f>
        <v>0</v>
      </c>
      <c r="Z238">
        <f>DD238*(DI238+DJ238)/1000</f>
        <v>0</v>
      </c>
      <c r="AA238">
        <f>0.61365*exp(17.502*DK238/(240.97+DK238))</f>
        <v>0</v>
      </c>
      <c r="AB238">
        <f>(X238-DD238*(DI238+DJ238)/1000)</f>
        <v>0</v>
      </c>
      <c r="AC238">
        <f>(-J238*44100)</f>
        <v>0</v>
      </c>
      <c r="AD238">
        <f>2*29.3*R238*0.92*(DK238-W238)</f>
        <v>0</v>
      </c>
      <c r="AE238">
        <f>2*0.95*5.67E-8*(((DK238+$B$7)+273)^4-(W238+273)^4)</f>
        <v>0</v>
      </c>
      <c r="AF238">
        <f>U238+AE238+AC238+AD238</f>
        <v>0</v>
      </c>
      <c r="AG238">
        <f>DH238*AU238*(DC238-DB238*(1000-AU238*DE238)/(1000-AU238*DD238))/(100*CV238)</f>
        <v>0</v>
      </c>
      <c r="AH238">
        <f>1000*DH238*AU238*(DD238-DE238)/(100*CV238*(1000-AU238*DD238))</f>
        <v>0</v>
      </c>
      <c r="AI238">
        <f>(AJ238 - AK238 - DI238*1E3/(8.314*(DK238+273.15)) * AM238/DH238 * AL238) * DH238/(100*CV238) * (1000 - DE238)/1000</f>
        <v>0</v>
      </c>
      <c r="AJ238">
        <v>176.1692941698693</v>
      </c>
      <c r="AK238">
        <v>182.5883454545455</v>
      </c>
      <c r="AL238">
        <v>-3.105107843097972</v>
      </c>
      <c r="AM238">
        <v>66.38192812717227</v>
      </c>
      <c r="AN238">
        <f>(AP238 - AO238 + DI238*1E3/(8.314*(DK238+273.15)) * AR238/DH238 * AQ238) * DH238/(100*CV238) * 1000/(1000 - AP238)</f>
        <v>0</v>
      </c>
      <c r="AO238">
        <v>14.12485798346727</v>
      </c>
      <c r="AP238">
        <v>18.36424323529411</v>
      </c>
      <c r="AQ238">
        <v>-1.461119900415602E-06</v>
      </c>
      <c r="AR238">
        <v>80.47224507511959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MAX(0,($B$13+$C$13*DP238)/(1+$D$13*DP238)*DI238/(DK238+273)*$E$13)</f>
        <v>0</v>
      </c>
      <c r="AX238" t="s">
        <v>417</v>
      </c>
      <c r="AY238" t="s">
        <v>417</v>
      </c>
      <c r="AZ238">
        <v>0</v>
      </c>
      <c r="BA238">
        <v>0</v>
      </c>
      <c r="BB238">
        <f>1-AZ238/BA238</f>
        <v>0</v>
      </c>
      <c r="BC238">
        <v>0</v>
      </c>
      <c r="BD238" t="s">
        <v>417</v>
      </c>
      <c r="BE238" t="s">
        <v>417</v>
      </c>
      <c r="BF238">
        <v>0</v>
      </c>
      <c r="BG238">
        <v>0</v>
      </c>
      <c r="BH238">
        <f>1-BF238/BG238</f>
        <v>0</v>
      </c>
      <c r="BI238">
        <v>0.5</v>
      </c>
      <c r="BJ238">
        <f>CS238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417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BZ238">
        <v>1248</v>
      </c>
      <c r="CA238">
        <v>300</v>
      </c>
      <c r="CB238">
        <v>300</v>
      </c>
      <c r="CC238">
        <v>300</v>
      </c>
      <c r="CD238">
        <v>10442</v>
      </c>
      <c r="CE238">
        <v>1293.69</v>
      </c>
      <c r="CF238">
        <v>-0.00735246</v>
      </c>
      <c r="CG238">
        <v>0.5</v>
      </c>
      <c r="CH238" t="s">
        <v>417</v>
      </c>
      <c r="CI238" t="s">
        <v>417</v>
      </c>
      <c r="CJ238" t="s">
        <v>417</v>
      </c>
      <c r="CK238" t="s">
        <v>417</v>
      </c>
      <c r="CL238" t="s">
        <v>417</v>
      </c>
      <c r="CM238" t="s">
        <v>417</v>
      </c>
      <c r="CN238" t="s">
        <v>417</v>
      </c>
      <c r="CO238" t="s">
        <v>417</v>
      </c>
      <c r="CP238" t="s">
        <v>417</v>
      </c>
      <c r="CQ238" t="s">
        <v>417</v>
      </c>
      <c r="CR238">
        <f>$B$11*DQ238+$C$11*DR238+$F$11*EC238*(1-EF238)</f>
        <v>0</v>
      </c>
      <c r="CS238">
        <f>CR238*CT238</f>
        <v>0</v>
      </c>
      <c r="CT238">
        <f>($B$11*$D$9+$C$11*$D$9+$F$11*((EP238+EH238)/MAX(EP238+EH238+EQ238, 0.1)*$I$9+EQ238/MAX(EP238+EH238+EQ238, 0.1)*$J$9))/($B$11+$C$11+$F$11)</f>
        <v>0</v>
      </c>
      <c r="CU238">
        <f>($B$11*$K$9+$C$11*$K$9+$F$11*((EP238+EH238)/MAX(EP238+EH238+EQ238, 0.1)*$P$9+EQ238/MAX(EP238+EH238+EQ238, 0.1)*$Q$9))/($B$11+$C$11+$F$11)</f>
        <v>0</v>
      </c>
      <c r="CV238">
        <v>6</v>
      </c>
      <c r="CW238">
        <v>0.5</v>
      </c>
      <c r="CX238" t="s">
        <v>418</v>
      </c>
      <c r="CY238">
        <v>2</v>
      </c>
      <c r="CZ238" t="b">
        <v>1</v>
      </c>
      <c r="DA238">
        <v>1651864840.1</v>
      </c>
      <c r="DB238">
        <v>180.7716666666667</v>
      </c>
      <c r="DC238">
        <v>167.848</v>
      </c>
      <c r="DD238">
        <v>18.36453333333334</v>
      </c>
      <c r="DE238">
        <v>14.12293333333333</v>
      </c>
      <c r="DF238">
        <v>181.3506666666667</v>
      </c>
      <c r="DG238">
        <v>18.34393333333334</v>
      </c>
      <c r="DH238">
        <v>500.0243333333333</v>
      </c>
      <c r="DI238">
        <v>89.92999999999999</v>
      </c>
      <c r="DJ238">
        <v>0.1000387666666667</v>
      </c>
      <c r="DK238">
        <v>25.6295</v>
      </c>
      <c r="DL238">
        <v>24.9989</v>
      </c>
      <c r="DM238">
        <v>999.9</v>
      </c>
      <c r="DN238">
        <v>0</v>
      </c>
      <c r="DO238">
        <v>0</v>
      </c>
      <c r="DP238">
        <v>10020</v>
      </c>
      <c r="DQ238">
        <v>0</v>
      </c>
      <c r="DR238">
        <v>3.23193</v>
      </c>
      <c r="DS238">
        <v>12.92383333333333</v>
      </c>
      <c r="DT238">
        <v>184.1536666666667</v>
      </c>
      <c r="DU238">
        <v>170.2523333333333</v>
      </c>
      <c r="DV238">
        <v>4.24159</v>
      </c>
      <c r="DW238">
        <v>167.848</v>
      </c>
      <c r="DX238">
        <v>14.12293333333333</v>
      </c>
      <c r="DY238">
        <v>1.651526666666667</v>
      </c>
      <c r="DZ238">
        <v>1.270076666666667</v>
      </c>
      <c r="EA238">
        <v>14.44813333333333</v>
      </c>
      <c r="EB238">
        <v>10.44933333333333</v>
      </c>
      <c r="EC238">
        <v>1500.05</v>
      </c>
      <c r="ED238">
        <v>0.9730103333333333</v>
      </c>
      <c r="EE238">
        <v>0.0269895</v>
      </c>
      <c r="EF238">
        <v>0</v>
      </c>
      <c r="EG238">
        <v>831.2959999999999</v>
      </c>
      <c r="EH238">
        <v>5.00097</v>
      </c>
      <c r="EI238">
        <v>12353.03333333333</v>
      </c>
      <c r="EJ238">
        <v>12492.06666666667</v>
      </c>
      <c r="EK238">
        <v>37.187</v>
      </c>
      <c r="EL238">
        <v>38.687</v>
      </c>
      <c r="EM238">
        <v>37.625</v>
      </c>
      <c r="EN238">
        <v>38.375</v>
      </c>
      <c r="EO238">
        <v>38.062</v>
      </c>
      <c r="EP238">
        <v>1454.7</v>
      </c>
      <c r="EQ238">
        <v>40.35</v>
      </c>
      <c r="ER238">
        <v>0</v>
      </c>
      <c r="ES238">
        <v>619.7999999523163</v>
      </c>
      <c r="ET238">
        <v>0</v>
      </c>
      <c r="EU238">
        <v>831.4716000000001</v>
      </c>
      <c r="EV238">
        <v>-0.1958461607287011</v>
      </c>
      <c r="EW238">
        <v>-3.869230658795889</v>
      </c>
      <c r="EX238">
        <v>12350.668</v>
      </c>
      <c r="EY238">
        <v>15</v>
      </c>
      <c r="EZ238">
        <v>1651864261.1</v>
      </c>
      <c r="FA238" t="s">
        <v>419</v>
      </c>
      <c r="FB238">
        <v>1651864241.6</v>
      </c>
      <c r="FC238">
        <v>1651864261.1</v>
      </c>
      <c r="FD238">
        <v>7</v>
      </c>
      <c r="FE238">
        <v>0.438</v>
      </c>
      <c r="FF238">
        <v>0.002</v>
      </c>
      <c r="FG238">
        <v>-0.988</v>
      </c>
      <c r="FH238">
        <v>-0.066</v>
      </c>
      <c r="FI238">
        <v>400</v>
      </c>
      <c r="FJ238">
        <v>11</v>
      </c>
      <c r="FK238">
        <v>0.05</v>
      </c>
      <c r="FL238">
        <v>0.02</v>
      </c>
      <c r="FM238">
        <v>10.8775425</v>
      </c>
      <c r="FN238">
        <v>10.39264480300186</v>
      </c>
      <c r="FO238">
        <v>1.028426783224625</v>
      </c>
      <c r="FP238">
        <v>-1</v>
      </c>
      <c r="FQ238">
        <v>4.2325065</v>
      </c>
      <c r="FR238">
        <v>0.05057808630394223</v>
      </c>
      <c r="FS238">
        <v>0.005009169367270376</v>
      </c>
      <c r="FT238">
        <v>-1</v>
      </c>
      <c r="FU238">
        <v>0</v>
      </c>
      <c r="FV238">
        <v>0</v>
      </c>
      <c r="FW238">
        <v>0</v>
      </c>
      <c r="FX238">
        <v>-1</v>
      </c>
      <c r="FY238">
        <v>0</v>
      </c>
      <c r="FZ238">
        <v>0</v>
      </c>
      <c r="GA238" t="s">
        <v>420</v>
      </c>
      <c r="GB238">
        <v>2.98055</v>
      </c>
      <c r="GC238">
        <v>2.70635</v>
      </c>
      <c r="GD238">
        <v>0.0455576</v>
      </c>
      <c r="GE238">
        <v>0.0419291</v>
      </c>
      <c r="GF238">
        <v>0.0877068</v>
      </c>
      <c r="GG238">
        <v>0.07157380000000001</v>
      </c>
      <c r="GH238">
        <v>30119.8</v>
      </c>
      <c r="GI238">
        <v>30301.7</v>
      </c>
      <c r="GJ238">
        <v>29343</v>
      </c>
      <c r="GK238">
        <v>29258.3</v>
      </c>
      <c r="GL238">
        <v>35445.1</v>
      </c>
      <c r="GM238">
        <v>36177.1</v>
      </c>
      <c r="GN238">
        <v>41301.2</v>
      </c>
      <c r="GO238">
        <v>41760.9</v>
      </c>
      <c r="GP238">
        <v>1.95527</v>
      </c>
      <c r="GQ238">
        <v>1.84892</v>
      </c>
      <c r="GR238">
        <v>-0.0208244</v>
      </c>
      <c r="GS238">
        <v>0</v>
      </c>
      <c r="GT238">
        <v>25.3364</v>
      </c>
      <c r="GU238">
        <v>999.9</v>
      </c>
      <c r="GV238">
        <v>31.5</v>
      </c>
      <c r="GW238">
        <v>34.3</v>
      </c>
      <c r="GX238">
        <v>19.0329</v>
      </c>
      <c r="GY238">
        <v>62.3675</v>
      </c>
      <c r="GZ238">
        <v>34.8558</v>
      </c>
      <c r="HA238">
        <v>1</v>
      </c>
      <c r="HB238">
        <v>0.108171</v>
      </c>
      <c r="HC238">
        <v>2.32058</v>
      </c>
      <c r="HD238">
        <v>20.3185</v>
      </c>
      <c r="HE238">
        <v>5.21654</v>
      </c>
      <c r="HF238">
        <v>12.0099</v>
      </c>
      <c r="HG238">
        <v>4.98855</v>
      </c>
      <c r="HH238">
        <v>3.28858</v>
      </c>
      <c r="HI238">
        <v>1000.7</v>
      </c>
      <c r="HJ238">
        <v>9558.700000000001</v>
      </c>
      <c r="HK238">
        <v>5139.4</v>
      </c>
      <c r="HL238">
        <v>24.9</v>
      </c>
      <c r="HM238">
        <v>1.86752</v>
      </c>
      <c r="HN238">
        <v>1.86646</v>
      </c>
      <c r="HO238">
        <v>1.866</v>
      </c>
      <c r="HP238">
        <v>1.86586</v>
      </c>
      <c r="HQ238">
        <v>1.86768</v>
      </c>
      <c r="HR238">
        <v>1.87022</v>
      </c>
      <c r="HS238">
        <v>1.8689</v>
      </c>
      <c r="HT238">
        <v>1.87027</v>
      </c>
      <c r="HU238">
        <v>0</v>
      </c>
      <c r="HV238">
        <v>0</v>
      </c>
      <c r="HW238">
        <v>0</v>
      </c>
      <c r="HX238">
        <v>0</v>
      </c>
      <c r="HY238" t="s">
        <v>421</v>
      </c>
      <c r="HZ238" t="s">
        <v>422</v>
      </c>
      <c r="IA238" t="s">
        <v>423</v>
      </c>
      <c r="IB238" t="s">
        <v>423</v>
      </c>
      <c r="IC238" t="s">
        <v>423</v>
      </c>
      <c r="ID238" t="s">
        <v>423</v>
      </c>
      <c r="IE238">
        <v>0</v>
      </c>
      <c r="IF238">
        <v>100</v>
      </c>
      <c r="IG238">
        <v>100</v>
      </c>
      <c r="IH238">
        <v>-0.573</v>
      </c>
      <c r="II238">
        <v>0.0206</v>
      </c>
      <c r="IJ238">
        <v>-0.2164499368582429</v>
      </c>
      <c r="IK238">
        <v>-0.002077099775823331</v>
      </c>
      <c r="IL238">
        <v>4.593143279902166E-07</v>
      </c>
      <c r="IM238">
        <v>-1.865383991892071E-10</v>
      </c>
      <c r="IN238">
        <v>-0.06087574426827484</v>
      </c>
      <c r="IO238">
        <v>-0.01129461987421345</v>
      </c>
      <c r="IP238">
        <v>0.00116580895745559</v>
      </c>
      <c r="IQ238">
        <v>-1.679085872906199E-05</v>
      </c>
      <c r="IR238">
        <v>2</v>
      </c>
      <c r="IS238">
        <v>2290</v>
      </c>
      <c r="IT238">
        <v>0</v>
      </c>
      <c r="IU238">
        <v>32</v>
      </c>
      <c r="IV238">
        <v>10</v>
      </c>
      <c r="IW238">
        <v>9.699999999999999</v>
      </c>
      <c r="IX238">
        <v>0.476074</v>
      </c>
      <c r="IY238">
        <v>2.27173</v>
      </c>
      <c r="IZ238">
        <v>1.39648</v>
      </c>
      <c r="JA238">
        <v>2.35596</v>
      </c>
      <c r="JB238">
        <v>1.49536</v>
      </c>
      <c r="JC238">
        <v>2.29736</v>
      </c>
      <c r="JD238">
        <v>38.5014</v>
      </c>
      <c r="JE238">
        <v>24.0262</v>
      </c>
      <c r="JF238">
        <v>18</v>
      </c>
      <c r="JG238">
        <v>511.147</v>
      </c>
      <c r="JH238">
        <v>428.342</v>
      </c>
      <c r="JI238">
        <v>22.1972</v>
      </c>
      <c r="JJ238">
        <v>28.6952</v>
      </c>
      <c r="JK238">
        <v>30.0001</v>
      </c>
      <c r="JL238">
        <v>28.6593</v>
      </c>
      <c r="JM238">
        <v>28.5968</v>
      </c>
      <c r="JN238">
        <v>9.454660000000001</v>
      </c>
      <c r="JO238">
        <v>26.5129</v>
      </c>
      <c r="JP238">
        <v>0</v>
      </c>
      <c r="JQ238">
        <v>22.2</v>
      </c>
      <c r="JR238">
        <v>139.395</v>
      </c>
      <c r="JS238">
        <v>14.1432</v>
      </c>
      <c r="JT238">
        <v>100.3</v>
      </c>
      <c r="JU238">
        <v>100.229</v>
      </c>
    </row>
    <row r="239" spans="1:281">
      <c r="A239">
        <v>223</v>
      </c>
      <c r="B239">
        <v>1651864843.1</v>
      </c>
      <c r="C239">
        <v>622.5</v>
      </c>
      <c r="D239" t="s">
        <v>866</v>
      </c>
      <c r="E239" t="s">
        <v>867</v>
      </c>
      <c r="F239">
        <v>2</v>
      </c>
      <c r="G239" t="s">
        <v>413</v>
      </c>
      <c r="H239" t="s">
        <v>414</v>
      </c>
      <c r="I239">
        <v>1651864841.725</v>
      </c>
      <c r="J239">
        <f>(K239)/1000</f>
        <v>0</v>
      </c>
      <c r="K239">
        <f>IF(CZ239, AN239, AH239)</f>
        <v>0</v>
      </c>
      <c r="L239">
        <f>IF(CZ239, AI239, AG239)</f>
        <v>0</v>
      </c>
      <c r="M239">
        <f>DB239 - IF(AU239&gt;1, L239*CV239*100.0/(AW239*DP239), 0)</f>
        <v>0</v>
      </c>
      <c r="N239">
        <f>((T239-J239/2)*M239-L239)/(T239+J239/2)</f>
        <v>0</v>
      </c>
      <c r="O239">
        <f>N239*(DI239+DJ239)/1000.0</f>
        <v>0</v>
      </c>
      <c r="P239">
        <f>(DB239 - IF(AU239&gt;1, L239*CV239*100.0/(AW239*DP239), 0))*(DI239+DJ239)/1000.0</f>
        <v>0</v>
      </c>
      <c r="Q239">
        <f>2.0/((1/S239-1/R239)+SIGN(S239)*SQRT((1/S239-1/R239)*(1/S239-1/R239) + 4*CW239/((CW239+1)*(CW239+1))*(2*1/S239*1/R239-1/R239*1/R239)))</f>
        <v>0</v>
      </c>
      <c r="R239">
        <f>IF(LEFT(CX239,1)&lt;&gt;"0",IF(LEFT(CX239,1)="1",3.0,CY239),$D$5+$E$5*(DP239*DI239/($K$5*1000))+$F$5*(DP239*DI239/($K$5*1000))*MAX(MIN(CV239,$J$5),$I$5)*MAX(MIN(CV239,$J$5),$I$5)+$G$5*MAX(MIN(CV239,$J$5),$I$5)*(DP239*DI239/($K$5*1000))+$H$5*(DP239*DI239/($K$5*1000))*(DP239*DI239/($K$5*1000)))</f>
        <v>0</v>
      </c>
      <c r="S239">
        <f>J239*(1000-(1000*0.61365*exp(17.502*W239/(240.97+W239))/(DI239+DJ239)+DD239)/2)/(1000*0.61365*exp(17.502*W239/(240.97+W239))/(DI239+DJ239)-DD239)</f>
        <v>0</v>
      </c>
      <c r="T239">
        <f>1/((CW239+1)/(Q239/1.6)+1/(R239/1.37)) + CW239/((CW239+1)/(Q239/1.6) + CW239/(R239/1.37))</f>
        <v>0</v>
      </c>
      <c r="U239">
        <f>(CR239*CU239)</f>
        <v>0</v>
      </c>
      <c r="V239">
        <f>(DK239+(U239+2*0.95*5.67E-8*(((DK239+$B$7)+273)^4-(DK239+273)^4)-44100*J239)/(1.84*29.3*R239+8*0.95*5.67E-8*(DK239+273)^3))</f>
        <v>0</v>
      </c>
      <c r="W239">
        <f>($C$7*DL239+$D$7*DM239+$E$7*V239)</f>
        <v>0</v>
      </c>
      <c r="X239">
        <f>0.61365*exp(17.502*W239/(240.97+W239))</f>
        <v>0</v>
      </c>
      <c r="Y239">
        <f>(Z239/AA239*100)</f>
        <v>0</v>
      </c>
      <c r="Z239">
        <f>DD239*(DI239+DJ239)/1000</f>
        <v>0</v>
      </c>
      <c r="AA239">
        <f>0.61365*exp(17.502*DK239/(240.97+DK239))</f>
        <v>0</v>
      </c>
      <c r="AB239">
        <f>(X239-DD239*(DI239+DJ239)/1000)</f>
        <v>0</v>
      </c>
      <c r="AC239">
        <f>(-J239*44100)</f>
        <v>0</v>
      </c>
      <c r="AD239">
        <f>2*29.3*R239*0.92*(DK239-W239)</f>
        <v>0</v>
      </c>
      <c r="AE239">
        <f>2*0.95*5.67E-8*(((DK239+$B$7)+273)^4-(W239+273)^4)</f>
        <v>0</v>
      </c>
      <c r="AF239">
        <f>U239+AE239+AC239+AD239</f>
        <v>0</v>
      </c>
      <c r="AG239">
        <f>DH239*AU239*(DC239-DB239*(1000-AU239*DE239)/(1000-AU239*DD239))/(100*CV239)</f>
        <v>0</v>
      </c>
      <c r="AH239">
        <f>1000*DH239*AU239*(DD239-DE239)/(100*CV239*(1000-AU239*DD239))</f>
        <v>0</v>
      </c>
      <c r="AI239">
        <f>(AJ239 - AK239 - DI239*1E3/(8.314*(DK239+273.15)) * AM239/DH239 * AL239) * DH239/(100*CV239) * (1000 - DE239)/1000</f>
        <v>0</v>
      </c>
      <c r="AJ239">
        <v>169.4800532224743</v>
      </c>
      <c r="AK239">
        <v>176.3617454545455</v>
      </c>
      <c r="AL239">
        <v>-3.115770276704097</v>
      </c>
      <c r="AM239">
        <v>66.38192812717227</v>
      </c>
      <c r="AN239">
        <f>(AP239 - AO239 + DI239*1E3/(8.314*(DK239+273.15)) * AR239/DH239 * AQ239) * DH239/(100*CV239) * 1000/(1000 - AP239)</f>
        <v>0</v>
      </c>
      <c r="AO239">
        <v>14.1233684855311</v>
      </c>
      <c r="AP239">
        <v>18.36894147058823</v>
      </c>
      <c r="AQ239">
        <v>-2.925018538360817E-05</v>
      </c>
      <c r="AR239">
        <v>80.47224507511959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MAX(0,($B$13+$C$13*DP239)/(1+$D$13*DP239)*DI239/(DK239+273)*$E$13)</f>
        <v>0</v>
      </c>
      <c r="AX239" t="s">
        <v>417</v>
      </c>
      <c r="AY239" t="s">
        <v>417</v>
      </c>
      <c r="AZ239">
        <v>0</v>
      </c>
      <c r="BA239">
        <v>0</v>
      </c>
      <c r="BB239">
        <f>1-AZ239/BA239</f>
        <v>0</v>
      </c>
      <c r="BC239">
        <v>0</v>
      </c>
      <c r="BD239" t="s">
        <v>417</v>
      </c>
      <c r="BE239" t="s">
        <v>417</v>
      </c>
      <c r="BF239">
        <v>0</v>
      </c>
      <c r="BG239">
        <v>0</v>
      </c>
      <c r="BH239">
        <f>1-BF239/BG239</f>
        <v>0</v>
      </c>
      <c r="BI239">
        <v>0.5</v>
      </c>
      <c r="BJ239">
        <f>CS239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417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BZ239">
        <v>1248</v>
      </c>
      <c r="CA239">
        <v>300</v>
      </c>
      <c r="CB239">
        <v>300</v>
      </c>
      <c r="CC239">
        <v>300</v>
      </c>
      <c r="CD239">
        <v>10442</v>
      </c>
      <c r="CE239">
        <v>1293.69</v>
      </c>
      <c r="CF239">
        <v>-0.00735246</v>
      </c>
      <c r="CG239">
        <v>0.5</v>
      </c>
      <c r="CH239" t="s">
        <v>417</v>
      </c>
      <c r="CI239" t="s">
        <v>417</v>
      </c>
      <c r="CJ239" t="s">
        <v>417</v>
      </c>
      <c r="CK239" t="s">
        <v>417</v>
      </c>
      <c r="CL239" t="s">
        <v>417</v>
      </c>
      <c r="CM239" t="s">
        <v>417</v>
      </c>
      <c r="CN239" t="s">
        <v>417</v>
      </c>
      <c r="CO239" t="s">
        <v>417</v>
      </c>
      <c r="CP239" t="s">
        <v>417</v>
      </c>
      <c r="CQ239" t="s">
        <v>417</v>
      </c>
      <c r="CR239">
        <f>$B$11*DQ239+$C$11*DR239+$F$11*EC239*(1-EF239)</f>
        <v>0</v>
      </c>
      <c r="CS239">
        <f>CR239*CT239</f>
        <v>0</v>
      </c>
      <c r="CT239">
        <f>($B$11*$D$9+$C$11*$D$9+$F$11*((EP239+EH239)/MAX(EP239+EH239+EQ239, 0.1)*$I$9+EQ239/MAX(EP239+EH239+EQ239, 0.1)*$J$9))/($B$11+$C$11+$F$11)</f>
        <v>0</v>
      </c>
      <c r="CU239">
        <f>($B$11*$K$9+$C$11*$K$9+$F$11*((EP239+EH239)/MAX(EP239+EH239+EQ239, 0.1)*$P$9+EQ239/MAX(EP239+EH239+EQ239, 0.1)*$Q$9))/($B$11+$C$11+$F$11)</f>
        <v>0</v>
      </c>
      <c r="CV239">
        <v>6</v>
      </c>
      <c r="CW239">
        <v>0.5</v>
      </c>
      <c r="CX239" t="s">
        <v>418</v>
      </c>
      <c r="CY239">
        <v>2</v>
      </c>
      <c r="CZ239" t="b">
        <v>1</v>
      </c>
      <c r="DA239">
        <v>1651864841.725</v>
      </c>
      <c r="DB239">
        <v>175.8005</v>
      </c>
      <c r="DC239">
        <v>162.4165</v>
      </c>
      <c r="DD239">
        <v>18.367125</v>
      </c>
      <c r="DE239">
        <v>14.12315</v>
      </c>
      <c r="DF239">
        <v>176.37</v>
      </c>
      <c r="DG239">
        <v>18.3465</v>
      </c>
      <c r="DH239">
        <v>500.06775</v>
      </c>
      <c r="DI239">
        <v>89.929275</v>
      </c>
      <c r="DJ239">
        <v>0.100078475</v>
      </c>
      <c r="DK239">
        <v>25.628175</v>
      </c>
      <c r="DL239">
        <v>24.9948</v>
      </c>
      <c r="DM239">
        <v>999.9</v>
      </c>
      <c r="DN239">
        <v>0</v>
      </c>
      <c r="DO239">
        <v>0</v>
      </c>
      <c r="DP239">
        <v>10009.675</v>
      </c>
      <c r="DQ239">
        <v>0</v>
      </c>
      <c r="DR239">
        <v>3.23193</v>
      </c>
      <c r="DS239">
        <v>13.383975</v>
      </c>
      <c r="DT239">
        <v>179.08975</v>
      </c>
      <c r="DU239">
        <v>164.74325</v>
      </c>
      <c r="DV239">
        <v>4.2439825</v>
      </c>
      <c r="DW239">
        <v>162.4165</v>
      </c>
      <c r="DX239">
        <v>14.12315</v>
      </c>
      <c r="DY239">
        <v>1.651745</v>
      </c>
      <c r="DZ239">
        <v>1.270085</v>
      </c>
      <c r="EA239">
        <v>14.450175</v>
      </c>
      <c r="EB239">
        <v>10.449425</v>
      </c>
      <c r="EC239">
        <v>1500.0825</v>
      </c>
      <c r="ED239">
        <v>0.9729995</v>
      </c>
      <c r="EE239">
        <v>0.027000425</v>
      </c>
      <c r="EF239">
        <v>0</v>
      </c>
      <c r="EG239">
        <v>831.633</v>
      </c>
      <c r="EH239">
        <v>5.00097</v>
      </c>
      <c r="EI239">
        <v>12355.05</v>
      </c>
      <c r="EJ239">
        <v>12492.3</v>
      </c>
      <c r="EK239">
        <v>37.2185</v>
      </c>
      <c r="EL239">
        <v>38.687</v>
      </c>
      <c r="EM239">
        <v>37.625</v>
      </c>
      <c r="EN239">
        <v>38.375</v>
      </c>
      <c r="EO239">
        <v>38.0935</v>
      </c>
      <c r="EP239">
        <v>1454.715</v>
      </c>
      <c r="EQ239">
        <v>40.3675</v>
      </c>
      <c r="ER239">
        <v>0</v>
      </c>
      <c r="ES239">
        <v>622.2000000476837</v>
      </c>
      <c r="ET239">
        <v>0</v>
      </c>
      <c r="EU239">
        <v>831.51428</v>
      </c>
      <c r="EV239">
        <v>0.8388461548135797</v>
      </c>
      <c r="EW239">
        <v>23.85384620558991</v>
      </c>
      <c r="EX239">
        <v>12351.176</v>
      </c>
      <c r="EY239">
        <v>15</v>
      </c>
      <c r="EZ239">
        <v>1651864261.1</v>
      </c>
      <c r="FA239" t="s">
        <v>419</v>
      </c>
      <c r="FB239">
        <v>1651864241.6</v>
      </c>
      <c r="FC239">
        <v>1651864261.1</v>
      </c>
      <c r="FD239">
        <v>7</v>
      </c>
      <c r="FE239">
        <v>0.438</v>
      </c>
      <c r="FF239">
        <v>0.002</v>
      </c>
      <c r="FG239">
        <v>-0.988</v>
      </c>
      <c r="FH239">
        <v>-0.066</v>
      </c>
      <c r="FI239">
        <v>400</v>
      </c>
      <c r="FJ239">
        <v>11</v>
      </c>
      <c r="FK239">
        <v>0.05</v>
      </c>
      <c r="FL239">
        <v>0.02</v>
      </c>
      <c r="FM239">
        <v>11.31453512195122</v>
      </c>
      <c r="FN239">
        <v>11.68971825783972</v>
      </c>
      <c r="FO239">
        <v>1.182364194790482</v>
      </c>
      <c r="FP239">
        <v>-1</v>
      </c>
      <c r="FQ239">
        <v>4.234582926829268</v>
      </c>
      <c r="FR239">
        <v>0.05529073170733354</v>
      </c>
      <c r="FS239">
        <v>0.005590024322082607</v>
      </c>
      <c r="FT239">
        <v>-1</v>
      </c>
      <c r="FU239">
        <v>0</v>
      </c>
      <c r="FV239">
        <v>0</v>
      </c>
      <c r="FW239">
        <v>0</v>
      </c>
      <c r="FX239">
        <v>-1</v>
      </c>
      <c r="FY239">
        <v>0</v>
      </c>
      <c r="FZ239">
        <v>0</v>
      </c>
      <c r="GA239" t="s">
        <v>420</v>
      </c>
      <c r="GB239">
        <v>2.98047</v>
      </c>
      <c r="GC239">
        <v>2.70631</v>
      </c>
      <c r="GD239">
        <v>0.0441241</v>
      </c>
      <c r="GE239">
        <v>0.0403401</v>
      </c>
      <c r="GF239">
        <v>0.0877095</v>
      </c>
      <c r="GG239">
        <v>0.0715716</v>
      </c>
      <c r="GH239">
        <v>30165.4</v>
      </c>
      <c r="GI239">
        <v>30351.7</v>
      </c>
      <c r="GJ239">
        <v>29343.4</v>
      </c>
      <c r="GK239">
        <v>29258.2</v>
      </c>
      <c r="GL239">
        <v>35445.4</v>
      </c>
      <c r="GM239">
        <v>36176.8</v>
      </c>
      <c r="GN239">
        <v>41301.7</v>
      </c>
      <c r="GO239">
        <v>41760.6</v>
      </c>
      <c r="GP239">
        <v>1.95537</v>
      </c>
      <c r="GQ239">
        <v>1.8489</v>
      </c>
      <c r="GR239">
        <v>-0.0208914</v>
      </c>
      <c r="GS239">
        <v>0</v>
      </c>
      <c r="GT239">
        <v>25.3354</v>
      </c>
      <c r="GU239">
        <v>999.9</v>
      </c>
      <c r="GV239">
        <v>31.5</v>
      </c>
      <c r="GW239">
        <v>34.3</v>
      </c>
      <c r="GX239">
        <v>19.0315</v>
      </c>
      <c r="GY239">
        <v>62.3775</v>
      </c>
      <c r="GZ239">
        <v>35.2524</v>
      </c>
      <c r="HA239">
        <v>1</v>
      </c>
      <c r="HB239">
        <v>0.108125</v>
      </c>
      <c r="HC239">
        <v>2.31525</v>
      </c>
      <c r="HD239">
        <v>20.3186</v>
      </c>
      <c r="HE239">
        <v>5.21654</v>
      </c>
      <c r="HF239">
        <v>12.0099</v>
      </c>
      <c r="HG239">
        <v>4.9884</v>
      </c>
      <c r="HH239">
        <v>3.28858</v>
      </c>
      <c r="HI239">
        <v>1000.7</v>
      </c>
      <c r="HJ239">
        <v>9558.700000000001</v>
      </c>
      <c r="HK239">
        <v>5139.4</v>
      </c>
      <c r="HL239">
        <v>24.9</v>
      </c>
      <c r="HM239">
        <v>1.86752</v>
      </c>
      <c r="HN239">
        <v>1.86646</v>
      </c>
      <c r="HO239">
        <v>1.866</v>
      </c>
      <c r="HP239">
        <v>1.86586</v>
      </c>
      <c r="HQ239">
        <v>1.86769</v>
      </c>
      <c r="HR239">
        <v>1.87024</v>
      </c>
      <c r="HS239">
        <v>1.8689</v>
      </c>
      <c r="HT239">
        <v>1.87027</v>
      </c>
      <c r="HU239">
        <v>0</v>
      </c>
      <c r="HV239">
        <v>0</v>
      </c>
      <c r="HW239">
        <v>0</v>
      </c>
      <c r="HX239">
        <v>0</v>
      </c>
      <c r="HY239" t="s">
        <v>421</v>
      </c>
      <c r="HZ239" t="s">
        <v>422</v>
      </c>
      <c r="IA239" t="s">
        <v>423</v>
      </c>
      <c r="IB239" t="s">
        <v>423</v>
      </c>
      <c r="IC239" t="s">
        <v>423</v>
      </c>
      <c r="ID239" t="s">
        <v>423</v>
      </c>
      <c r="IE239">
        <v>0</v>
      </c>
      <c r="IF239">
        <v>100</v>
      </c>
      <c r="IG239">
        <v>100</v>
      </c>
      <c r="IH239">
        <v>-0.5610000000000001</v>
      </c>
      <c r="II239">
        <v>0.0207</v>
      </c>
      <c r="IJ239">
        <v>-0.2164499368582429</v>
      </c>
      <c r="IK239">
        <v>-0.002077099775823331</v>
      </c>
      <c r="IL239">
        <v>4.593143279902166E-07</v>
      </c>
      <c r="IM239">
        <v>-1.865383991892071E-10</v>
      </c>
      <c r="IN239">
        <v>-0.06087574426827484</v>
      </c>
      <c r="IO239">
        <v>-0.01129461987421345</v>
      </c>
      <c r="IP239">
        <v>0.00116580895745559</v>
      </c>
      <c r="IQ239">
        <v>-1.679085872906199E-05</v>
      </c>
      <c r="IR239">
        <v>2</v>
      </c>
      <c r="IS239">
        <v>2290</v>
      </c>
      <c r="IT239">
        <v>0</v>
      </c>
      <c r="IU239">
        <v>32</v>
      </c>
      <c r="IV239">
        <v>10</v>
      </c>
      <c r="IW239">
        <v>9.699999999999999</v>
      </c>
      <c r="IX239">
        <v>0.461426</v>
      </c>
      <c r="IY239">
        <v>2.26929</v>
      </c>
      <c r="IZ239">
        <v>1.39648</v>
      </c>
      <c r="JA239">
        <v>2.35596</v>
      </c>
      <c r="JB239">
        <v>1.49536</v>
      </c>
      <c r="JC239">
        <v>2.36938</v>
      </c>
      <c r="JD239">
        <v>38.5014</v>
      </c>
      <c r="JE239">
        <v>24.035</v>
      </c>
      <c r="JF239">
        <v>18</v>
      </c>
      <c r="JG239">
        <v>511.213</v>
      </c>
      <c r="JH239">
        <v>428.327</v>
      </c>
      <c r="JI239">
        <v>22.1981</v>
      </c>
      <c r="JJ239">
        <v>28.6952</v>
      </c>
      <c r="JK239">
        <v>30.0001</v>
      </c>
      <c r="JL239">
        <v>28.6593</v>
      </c>
      <c r="JM239">
        <v>28.5968</v>
      </c>
      <c r="JN239">
        <v>9.16175</v>
      </c>
      <c r="JO239">
        <v>26.5129</v>
      </c>
      <c r="JP239">
        <v>0</v>
      </c>
      <c r="JQ239">
        <v>22.2</v>
      </c>
      <c r="JR239">
        <v>132.716</v>
      </c>
      <c r="JS239">
        <v>14.1432</v>
      </c>
      <c r="JT239">
        <v>100.301</v>
      </c>
      <c r="JU239">
        <v>100.228</v>
      </c>
    </row>
    <row r="240" spans="1:281">
      <c r="A240">
        <v>224</v>
      </c>
      <c r="B240">
        <v>1651864845.1</v>
      </c>
      <c r="C240">
        <v>624.5</v>
      </c>
      <c r="D240" t="s">
        <v>868</v>
      </c>
      <c r="E240" t="s">
        <v>869</v>
      </c>
      <c r="F240">
        <v>2</v>
      </c>
      <c r="G240" t="s">
        <v>413</v>
      </c>
      <c r="H240" t="s">
        <v>414</v>
      </c>
      <c r="I240">
        <v>1651864844.1</v>
      </c>
      <c r="J240">
        <f>(K240)/1000</f>
        <v>0</v>
      </c>
      <c r="K240">
        <f>IF(CZ240, AN240, AH240)</f>
        <v>0</v>
      </c>
      <c r="L240">
        <f>IF(CZ240, AI240, AG240)</f>
        <v>0</v>
      </c>
      <c r="M240">
        <f>DB240 - IF(AU240&gt;1, L240*CV240*100.0/(AW240*DP240), 0)</f>
        <v>0</v>
      </c>
      <c r="N240">
        <f>((T240-J240/2)*M240-L240)/(T240+J240/2)</f>
        <v>0</v>
      </c>
      <c r="O240">
        <f>N240*(DI240+DJ240)/1000.0</f>
        <v>0</v>
      </c>
      <c r="P240">
        <f>(DB240 - IF(AU240&gt;1, L240*CV240*100.0/(AW240*DP240), 0))*(DI240+DJ240)/1000.0</f>
        <v>0</v>
      </c>
      <c r="Q240">
        <f>2.0/((1/S240-1/R240)+SIGN(S240)*SQRT((1/S240-1/R240)*(1/S240-1/R240) + 4*CW240/((CW240+1)*(CW240+1))*(2*1/S240*1/R240-1/R240*1/R240)))</f>
        <v>0</v>
      </c>
      <c r="R240">
        <f>IF(LEFT(CX240,1)&lt;&gt;"0",IF(LEFT(CX240,1)="1",3.0,CY240),$D$5+$E$5*(DP240*DI240/($K$5*1000))+$F$5*(DP240*DI240/($K$5*1000))*MAX(MIN(CV240,$J$5),$I$5)*MAX(MIN(CV240,$J$5),$I$5)+$G$5*MAX(MIN(CV240,$J$5),$I$5)*(DP240*DI240/($K$5*1000))+$H$5*(DP240*DI240/($K$5*1000))*(DP240*DI240/($K$5*1000)))</f>
        <v>0</v>
      </c>
      <c r="S240">
        <f>J240*(1000-(1000*0.61365*exp(17.502*W240/(240.97+W240))/(DI240+DJ240)+DD240)/2)/(1000*0.61365*exp(17.502*W240/(240.97+W240))/(DI240+DJ240)-DD240)</f>
        <v>0</v>
      </c>
      <c r="T240">
        <f>1/((CW240+1)/(Q240/1.6)+1/(R240/1.37)) + CW240/((CW240+1)/(Q240/1.6) + CW240/(R240/1.37))</f>
        <v>0</v>
      </c>
      <c r="U240">
        <f>(CR240*CU240)</f>
        <v>0</v>
      </c>
      <c r="V240">
        <f>(DK240+(U240+2*0.95*5.67E-8*(((DK240+$B$7)+273)^4-(DK240+273)^4)-44100*J240)/(1.84*29.3*R240+8*0.95*5.67E-8*(DK240+273)^3))</f>
        <v>0</v>
      </c>
      <c r="W240">
        <f>($C$7*DL240+$D$7*DM240+$E$7*V240)</f>
        <v>0</v>
      </c>
      <c r="X240">
        <f>0.61365*exp(17.502*W240/(240.97+W240))</f>
        <v>0</v>
      </c>
      <c r="Y240">
        <f>(Z240/AA240*100)</f>
        <v>0</v>
      </c>
      <c r="Z240">
        <f>DD240*(DI240+DJ240)/1000</f>
        <v>0</v>
      </c>
      <c r="AA240">
        <f>0.61365*exp(17.502*DK240/(240.97+DK240))</f>
        <v>0</v>
      </c>
      <c r="AB240">
        <f>(X240-DD240*(DI240+DJ240)/1000)</f>
        <v>0</v>
      </c>
      <c r="AC240">
        <f>(-J240*44100)</f>
        <v>0</v>
      </c>
      <c r="AD240">
        <f>2*29.3*R240*0.92*(DK240-W240)</f>
        <v>0</v>
      </c>
      <c r="AE240">
        <f>2*0.95*5.67E-8*(((DK240+$B$7)+273)^4-(W240+273)^4)</f>
        <v>0</v>
      </c>
      <c r="AF240">
        <f>U240+AE240+AC240+AD240</f>
        <v>0</v>
      </c>
      <c r="AG240">
        <f>DH240*AU240*(DC240-DB240*(1000-AU240*DE240)/(1000-AU240*DD240))/(100*CV240)</f>
        <v>0</v>
      </c>
      <c r="AH240">
        <f>1000*DH240*AU240*(DD240-DE240)/(100*CV240*(1000-AU240*DD240))</f>
        <v>0</v>
      </c>
      <c r="AI240">
        <f>(AJ240 - AK240 - DI240*1E3/(8.314*(DK240+273.15)) * AM240/DH240 * AL240) * DH240/(100*CV240) * (1000 - DE240)/1000</f>
        <v>0</v>
      </c>
      <c r="AJ240">
        <v>162.6776206297912</v>
      </c>
      <c r="AK240">
        <v>170.0753878787878</v>
      </c>
      <c r="AL240">
        <v>-3.132434203743136</v>
      </c>
      <c r="AM240">
        <v>66.38192812717227</v>
      </c>
      <c r="AN240">
        <f>(AP240 - AO240 + DI240*1E3/(8.314*(DK240+273.15)) * AR240/DH240 * AQ240) * DH240/(100*CV240) * 1000/(1000 - AP240)</f>
        <v>0</v>
      </c>
      <c r="AO240">
        <v>14.12310791885326</v>
      </c>
      <c r="AP240">
        <v>18.36792382352941</v>
      </c>
      <c r="AQ240">
        <v>5.150791142840624E-05</v>
      </c>
      <c r="AR240">
        <v>80.47224507511959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MAX(0,($B$13+$C$13*DP240)/(1+$D$13*DP240)*DI240/(DK240+273)*$E$13)</f>
        <v>0</v>
      </c>
      <c r="AX240" t="s">
        <v>417</v>
      </c>
      <c r="AY240" t="s">
        <v>417</v>
      </c>
      <c r="AZ240">
        <v>0</v>
      </c>
      <c r="BA240">
        <v>0</v>
      </c>
      <c r="BB240">
        <f>1-AZ240/BA240</f>
        <v>0</v>
      </c>
      <c r="BC240">
        <v>0</v>
      </c>
      <c r="BD240" t="s">
        <v>417</v>
      </c>
      <c r="BE240" t="s">
        <v>417</v>
      </c>
      <c r="BF240">
        <v>0</v>
      </c>
      <c r="BG240">
        <v>0</v>
      </c>
      <c r="BH240">
        <f>1-BF240/BG240</f>
        <v>0</v>
      </c>
      <c r="BI240">
        <v>0.5</v>
      </c>
      <c r="BJ240">
        <f>CS240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417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BZ240">
        <v>1248</v>
      </c>
      <c r="CA240">
        <v>300</v>
      </c>
      <c r="CB240">
        <v>300</v>
      </c>
      <c r="CC240">
        <v>300</v>
      </c>
      <c r="CD240">
        <v>10442</v>
      </c>
      <c r="CE240">
        <v>1293.69</v>
      </c>
      <c r="CF240">
        <v>-0.00735246</v>
      </c>
      <c r="CG240">
        <v>0.5</v>
      </c>
      <c r="CH240" t="s">
        <v>417</v>
      </c>
      <c r="CI240" t="s">
        <v>417</v>
      </c>
      <c r="CJ240" t="s">
        <v>417</v>
      </c>
      <c r="CK240" t="s">
        <v>417</v>
      </c>
      <c r="CL240" t="s">
        <v>417</v>
      </c>
      <c r="CM240" t="s">
        <v>417</v>
      </c>
      <c r="CN240" t="s">
        <v>417</v>
      </c>
      <c r="CO240" t="s">
        <v>417</v>
      </c>
      <c r="CP240" t="s">
        <v>417</v>
      </c>
      <c r="CQ240" t="s">
        <v>417</v>
      </c>
      <c r="CR240">
        <f>$B$11*DQ240+$C$11*DR240+$F$11*EC240*(1-EF240)</f>
        <v>0</v>
      </c>
      <c r="CS240">
        <f>CR240*CT240</f>
        <v>0</v>
      </c>
      <c r="CT240">
        <f>($B$11*$D$9+$C$11*$D$9+$F$11*((EP240+EH240)/MAX(EP240+EH240+EQ240, 0.1)*$I$9+EQ240/MAX(EP240+EH240+EQ240, 0.1)*$J$9))/($B$11+$C$11+$F$11)</f>
        <v>0</v>
      </c>
      <c r="CU240">
        <f>($B$11*$K$9+$C$11*$K$9+$F$11*((EP240+EH240)/MAX(EP240+EH240+EQ240, 0.1)*$P$9+EQ240/MAX(EP240+EH240+EQ240, 0.1)*$Q$9))/($B$11+$C$11+$F$11)</f>
        <v>0</v>
      </c>
      <c r="CV240">
        <v>6</v>
      </c>
      <c r="CW240">
        <v>0.5</v>
      </c>
      <c r="CX240" t="s">
        <v>418</v>
      </c>
      <c r="CY240">
        <v>2</v>
      </c>
      <c r="CZ240" t="b">
        <v>1</v>
      </c>
      <c r="DA240">
        <v>1651864844.1</v>
      </c>
      <c r="DB240">
        <v>168.495</v>
      </c>
      <c r="DC240">
        <v>154.405</v>
      </c>
      <c r="DD240">
        <v>18.3675</v>
      </c>
      <c r="DE240">
        <v>14.12253333333333</v>
      </c>
      <c r="DF240">
        <v>169.0506666666667</v>
      </c>
      <c r="DG240">
        <v>18.34686666666667</v>
      </c>
      <c r="DH240">
        <v>500.0446666666667</v>
      </c>
      <c r="DI240">
        <v>89.92716666666666</v>
      </c>
      <c r="DJ240">
        <v>0.1000204</v>
      </c>
      <c r="DK240">
        <v>25.62746666666667</v>
      </c>
      <c r="DL240">
        <v>24.99436666666667</v>
      </c>
      <c r="DM240">
        <v>999.9</v>
      </c>
      <c r="DN240">
        <v>0</v>
      </c>
      <c r="DO240">
        <v>0</v>
      </c>
      <c r="DP240">
        <v>10002.5</v>
      </c>
      <c r="DQ240">
        <v>0</v>
      </c>
      <c r="DR240">
        <v>3.23193</v>
      </c>
      <c r="DS240">
        <v>14.09016666666667</v>
      </c>
      <c r="DT240">
        <v>171.6476666666667</v>
      </c>
      <c r="DU240">
        <v>156.617</v>
      </c>
      <c r="DV240">
        <v>4.244983333333334</v>
      </c>
      <c r="DW240">
        <v>154.405</v>
      </c>
      <c r="DX240">
        <v>14.12253333333333</v>
      </c>
      <c r="DY240">
        <v>1.651736666666667</v>
      </c>
      <c r="DZ240">
        <v>1.27</v>
      </c>
      <c r="EA240">
        <v>14.45013333333333</v>
      </c>
      <c r="EB240">
        <v>10.4484</v>
      </c>
      <c r="EC240">
        <v>1499.943333333333</v>
      </c>
      <c r="ED240">
        <v>0.9730086666666665</v>
      </c>
      <c r="EE240">
        <v>0.0269913</v>
      </c>
      <c r="EF240">
        <v>0</v>
      </c>
      <c r="EG240">
        <v>832.1016666666668</v>
      </c>
      <c r="EH240">
        <v>5.00097</v>
      </c>
      <c r="EI240">
        <v>12357.43333333333</v>
      </c>
      <c r="EJ240">
        <v>12491.16666666667</v>
      </c>
      <c r="EK240">
        <v>37.25</v>
      </c>
      <c r="EL240">
        <v>38.687</v>
      </c>
      <c r="EM240">
        <v>37.625</v>
      </c>
      <c r="EN240">
        <v>38.375</v>
      </c>
      <c r="EO240">
        <v>38.062</v>
      </c>
      <c r="EP240">
        <v>1454.593333333333</v>
      </c>
      <c r="EQ240">
        <v>40.35</v>
      </c>
      <c r="ER240">
        <v>0</v>
      </c>
      <c r="ES240">
        <v>624</v>
      </c>
      <c r="ET240">
        <v>0</v>
      </c>
      <c r="EU240">
        <v>831.6156153846155</v>
      </c>
      <c r="EV240">
        <v>2.445196575049333</v>
      </c>
      <c r="EW240">
        <v>39.42564113954705</v>
      </c>
      <c r="EX240">
        <v>12352.00769230769</v>
      </c>
      <c r="EY240">
        <v>15</v>
      </c>
      <c r="EZ240">
        <v>1651864261.1</v>
      </c>
      <c r="FA240" t="s">
        <v>419</v>
      </c>
      <c r="FB240">
        <v>1651864241.6</v>
      </c>
      <c r="FC240">
        <v>1651864261.1</v>
      </c>
      <c r="FD240">
        <v>7</v>
      </c>
      <c r="FE240">
        <v>0.438</v>
      </c>
      <c r="FF240">
        <v>0.002</v>
      </c>
      <c r="FG240">
        <v>-0.988</v>
      </c>
      <c r="FH240">
        <v>-0.066</v>
      </c>
      <c r="FI240">
        <v>400</v>
      </c>
      <c r="FJ240">
        <v>11</v>
      </c>
      <c r="FK240">
        <v>0.05</v>
      </c>
      <c r="FL240">
        <v>0.02</v>
      </c>
      <c r="FM240">
        <v>11.650495</v>
      </c>
      <c r="FN240">
        <v>13.11505666041274</v>
      </c>
      <c r="FO240">
        <v>1.282415825882931</v>
      </c>
      <c r="FP240">
        <v>-1</v>
      </c>
      <c r="FQ240">
        <v>4.236184</v>
      </c>
      <c r="FR240">
        <v>0.05615302063788331</v>
      </c>
      <c r="FS240">
        <v>0.005541718054899556</v>
      </c>
      <c r="FT240">
        <v>-1</v>
      </c>
      <c r="FU240">
        <v>0</v>
      </c>
      <c r="FV240">
        <v>0</v>
      </c>
      <c r="FW240">
        <v>0</v>
      </c>
      <c r="FX240">
        <v>-1</v>
      </c>
      <c r="FY240">
        <v>0</v>
      </c>
      <c r="FZ240">
        <v>0</v>
      </c>
      <c r="GA240" t="s">
        <v>420</v>
      </c>
      <c r="GB240">
        <v>2.98051</v>
      </c>
      <c r="GC240">
        <v>2.70611</v>
      </c>
      <c r="GD240">
        <v>0.0426684</v>
      </c>
      <c r="GE240">
        <v>0.0387401</v>
      </c>
      <c r="GF240">
        <v>0.08770849999999999</v>
      </c>
      <c r="GG240">
        <v>0.0715692</v>
      </c>
      <c r="GH240">
        <v>30211.5</v>
      </c>
      <c r="GI240">
        <v>30401.8</v>
      </c>
      <c r="GJ240">
        <v>29343.6</v>
      </c>
      <c r="GK240">
        <v>29257.7</v>
      </c>
      <c r="GL240">
        <v>35445.6</v>
      </c>
      <c r="GM240">
        <v>36176.5</v>
      </c>
      <c r="GN240">
        <v>41301.9</v>
      </c>
      <c r="GO240">
        <v>41760.2</v>
      </c>
      <c r="GP240">
        <v>1.95522</v>
      </c>
      <c r="GQ240">
        <v>1.84892</v>
      </c>
      <c r="GR240">
        <v>-0.0206009</v>
      </c>
      <c r="GS240">
        <v>0</v>
      </c>
      <c r="GT240">
        <v>25.3349</v>
      </c>
      <c r="GU240">
        <v>999.9</v>
      </c>
      <c r="GV240">
        <v>31.5</v>
      </c>
      <c r="GW240">
        <v>34.3</v>
      </c>
      <c r="GX240">
        <v>19.0322</v>
      </c>
      <c r="GY240">
        <v>62.2375</v>
      </c>
      <c r="GZ240">
        <v>34.8037</v>
      </c>
      <c r="HA240">
        <v>1</v>
      </c>
      <c r="HB240">
        <v>0.108133</v>
      </c>
      <c r="HC240">
        <v>2.31321</v>
      </c>
      <c r="HD240">
        <v>20.3186</v>
      </c>
      <c r="HE240">
        <v>5.21639</v>
      </c>
      <c r="HF240">
        <v>12.0099</v>
      </c>
      <c r="HG240">
        <v>4.9882</v>
      </c>
      <c r="HH240">
        <v>3.2885</v>
      </c>
      <c r="HI240">
        <v>1000.7</v>
      </c>
      <c r="HJ240">
        <v>9558.700000000001</v>
      </c>
      <c r="HK240">
        <v>5139.4</v>
      </c>
      <c r="HL240">
        <v>24.9</v>
      </c>
      <c r="HM240">
        <v>1.86752</v>
      </c>
      <c r="HN240">
        <v>1.86646</v>
      </c>
      <c r="HO240">
        <v>1.866</v>
      </c>
      <c r="HP240">
        <v>1.86584</v>
      </c>
      <c r="HQ240">
        <v>1.86769</v>
      </c>
      <c r="HR240">
        <v>1.87024</v>
      </c>
      <c r="HS240">
        <v>1.8689</v>
      </c>
      <c r="HT240">
        <v>1.87027</v>
      </c>
      <c r="HU240">
        <v>0</v>
      </c>
      <c r="HV240">
        <v>0</v>
      </c>
      <c r="HW240">
        <v>0</v>
      </c>
      <c r="HX240">
        <v>0</v>
      </c>
      <c r="HY240" t="s">
        <v>421</v>
      </c>
      <c r="HZ240" t="s">
        <v>422</v>
      </c>
      <c r="IA240" t="s">
        <v>423</v>
      </c>
      <c r="IB240" t="s">
        <v>423</v>
      </c>
      <c r="IC240" t="s">
        <v>423</v>
      </c>
      <c r="ID240" t="s">
        <v>423</v>
      </c>
      <c r="IE240">
        <v>0</v>
      </c>
      <c r="IF240">
        <v>100</v>
      </c>
      <c r="IG240">
        <v>100</v>
      </c>
      <c r="IH240">
        <v>-0.55</v>
      </c>
      <c r="II240">
        <v>0.0206</v>
      </c>
      <c r="IJ240">
        <v>-0.2164499368582429</v>
      </c>
      <c r="IK240">
        <v>-0.002077099775823331</v>
      </c>
      <c r="IL240">
        <v>4.593143279902166E-07</v>
      </c>
      <c r="IM240">
        <v>-1.865383991892071E-10</v>
      </c>
      <c r="IN240">
        <v>-0.06087574426827484</v>
      </c>
      <c r="IO240">
        <v>-0.01129461987421345</v>
      </c>
      <c r="IP240">
        <v>0.00116580895745559</v>
      </c>
      <c r="IQ240">
        <v>-1.679085872906199E-05</v>
      </c>
      <c r="IR240">
        <v>2</v>
      </c>
      <c r="IS240">
        <v>2290</v>
      </c>
      <c r="IT240">
        <v>0</v>
      </c>
      <c r="IU240">
        <v>32</v>
      </c>
      <c r="IV240">
        <v>10.1</v>
      </c>
      <c r="IW240">
        <v>9.699999999999999</v>
      </c>
      <c r="IX240">
        <v>0.446777</v>
      </c>
      <c r="IY240">
        <v>2.27295</v>
      </c>
      <c r="IZ240">
        <v>1.39648</v>
      </c>
      <c r="JA240">
        <v>2.35596</v>
      </c>
      <c r="JB240">
        <v>1.49536</v>
      </c>
      <c r="JC240">
        <v>2.35962</v>
      </c>
      <c r="JD240">
        <v>38.5014</v>
      </c>
      <c r="JE240">
        <v>24.035</v>
      </c>
      <c r="JF240">
        <v>18</v>
      </c>
      <c r="JG240">
        <v>511.115</v>
      </c>
      <c r="JH240">
        <v>428.342</v>
      </c>
      <c r="JI240">
        <v>22.1991</v>
      </c>
      <c r="JJ240">
        <v>28.6952</v>
      </c>
      <c r="JK240">
        <v>30.0001</v>
      </c>
      <c r="JL240">
        <v>28.6593</v>
      </c>
      <c r="JM240">
        <v>28.5968</v>
      </c>
      <c r="JN240">
        <v>8.867100000000001</v>
      </c>
      <c r="JO240">
        <v>26.5129</v>
      </c>
      <c r="JP240">
        <v>0</v>
      </c>
      <c r="JQ240">
        <v>22.2033</v>
      </c>
      <c r="JR240">
        <v>126.038</v>
      </c>
      <c r="JS240">
        <v>14.1432</v>
      </c>
      <c r="JT240">
        <v>100.302</v>
      </c>
      <c r="JU240">
        <v>100.227</v>
      </c>
    </row>
    <row r="241" spans="1:281">
      <c r="A241">
        <v>225</v>
      </c>
      <c r="B241">
        <v>1651864847.1</v>
      </c>
      <c r="C241">
        <v>626.5</v>
      </c>
      <c r="D241" t="s">
        <v>870</v>
      </c>
      <c r="E241" t="s">
        <v>871</v>
      </c>
      <c r="F241">
        <v>2</v>
      </c>
      <c r="G241" t="s">
        <v>413</v>
      </c>
      <c r="H241" t="s">
        <v>414</v>
      </c>
      <c r="I241">
        <v>1651864845.725</v>
      </c>
      <c r="J241">
        <f>(K241)/1000</f>
        <v>0</v>
      </c>
      <c r="K241">
        <f>IF(CZ241, AN241, AH241)</f>
        <v>0</v>
      </c>
      <c r="L241">
        <f>IF(CZ241, AI241, AG241)</f>
        <v>0</v>
      </c>
      <c r="M241">
        <f>DB241 - IF(AU241&gt;1, L241*CV241*100.0/(AW241*DP241), 0)</f>
        <v>0</v>
      </c>
      <c r="N241">
        <f>((T241-J241/2)*M241-L241)/(T241+J241/2)</f>
        <v>0</v>
      </c>
      <c r="O241">
        <f>N241*(DI241+DJ241)/1000.0</f>
        <v>0</v>
      </c>
      <c r="P241">
        <f>(DB241 - IF(AU241&gt;1, L241*CV241*100.0/(AW241*DP241), 0))*(DI241+DJ241)/1000.0</f>
        <v>0</v>
      </c>
      <c r="Q241">
        <f>2.0/((1/S241-1/R241)+SIGN(S241)*SQRT((1/S241-1/R241)*(1/S241-1/R241) + 4*CW241/((CW241+1)*(CW241+1))*(2*1/S241*1/R241-1/R241*1/R241)))</f>
        <v>0</v>
      </c>
      <c r="R241">
        <f>IF(LEFT(CX241,1)&lt;&gt;"0",IF(LEFT(CX241,1)="1",3.0,CY241),$D$5+$E$5*(DP241*DI241/($K$5*1000))+$F$5*(DP241*DI241/($K$5*1000))*MAX(MIN(CV241,$J$5),$I$5)*MAX(MIN(CV241,$J$5),$I$5)+$G$5*MAX(MIN(CV241,$J$5),$I$5)*(DP241*DI241/($K$5*1000))+$H$5*(DP241*DI241/($K$5*1000))*(DP241*DI241/($K$5*1000)))</f>
        <v>0</v>
      </c>
      <c r="S241">
        <f>J241*(1000-(1000*0.61365*exp(17.502*W241/(240.97+W241))/(DI241+DJ241)+DD241)/2)/(1000*0.61365*exp(17.502*W241/(240.97+W241))/(DI241+DJ241)-DD241)</f>
        <v>0</v>
      </c>
      <c r="T241">
        <f>1/((CW241+1)/(Q241/1.6)+1/(R241/1.37)) + CW241/((CW241+1)/(Q241/1.6) + CW241/(R241/1.37))</f>
        <v>0</v>
      </c>
      <c r="U241">
        <f>(CR241*CU241)</f>
        <v>0</v>
      </c>
      <c r="V241">
        <f>(DK241+(U241+2*0.95*5.67E-8*(((DK241+$B$7)+273)^4-(DK241+273)^4)-44100*J241)/(1.84*29.3*R241+8*0.95*5.67E-8*(DK241+273)^3))</f>
        <v>0</v>
      </c>
      <c r="W241">
        <f>($C$7*DL241+$D$7*DM241+$E$7*V241)</f>
        <v>0</v>
      </c>
      <c r="X241">
        <f>0.61365*exp(17.502*W241/(240.97+W241))</f>
        <v>0</v>
      </c>
      <c r="Y241">
        <f>(Z241/AA241*100)</f>
        <v>0</v>
      </c>
      <c r="Z241">
        <f>DD241*(DI241+DJ241)/1000</f>
        <v>0</v>
      </c>
      <c r="AA241">
        <f>0.61365*exp(17.502*DK241/(240.97+DK241))</f>
        <v>0</v>
      </c>
      <c r="AB241">
        <f>(X241-DD241*(DI241+DJ241)/1000)</f>
        <v>0</v>
      </c>
      <c r="AC241">
        <f>(-J241*44100)</f>
        <v>0</v>
      </c>
      <c r="AD241">
        <f>2*29.3*R241*0.92*(DK241-W241)</f>
        <v>0</v>
      </c>
      <c r="AE241">
        <f>2*0.95*5.67E-8*(((DK241+$B$7)+273)^4-(W241+273)^4)</f>
        <v>0</v>
      </c>
      <c r="AF241">
        <f>U241+AE241+AC241+AD241</f>
        <v>0</v>
      </c>
      <c r="AG241">
        <f>DH241*AU241*(DC241-DB241*(1000-AU241*DE241)/(1000-AU241*DD241))/(100*CV241)</f>
        <v>0</v>
      </c>
      <c r="AH241">
        <f>1000*DH241*AU241*(DD241-DE241)/(100*CV241*(1000-AU241*DD241))</f>
        <v>0</v>
      </c>
      <c r="AI241">
        <f>(AJ241 - AK241 - DI241*1E3/(8.314*(DK241+273.15)) * AM241/DH241 * AL241) * DH241/(100*CV241) * (1000 - DE241)/1000</f>
        <v>0</v>
      </c>
      <c r="AJ241">
        <v>155.8327755706279</v>
      </c>
      <c r="AK241">
        <v>163.7505090909092</v>
      </c>
      <c r="AL241">
        <v>-3.154664421812336</v>
      </c>
      <c r="AM241">
        <v>66.38192812717227</v>
      </c>
      <c r="AN241">
        <f>(AP241 - AO241 + DI241*1E3/(8.314*(DK241+273.15)) * AR241/DH241 * AQ241) * DH241/(100*CV241) * 1000/(1000 - AP241)</f>
        <v>0</v>
      </c>
      <c r="AO241">
        <v>14.12298682796919</v>
      </c>
      <c r="AP241">
        <v>18.36894205882353</v>
      </c>
      <c r="AQ241">
        <v>3.289987238607217E-05</v>
      </c>
      <c r="AR241">
        <v>80.47224507511959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MAX(0,($B$13+$C$13*DP241)/(1+$D$13*DP241)*DI241/(DK241+273)*$E$13)</f>
        <v>0</v>
      </c>
      <c r="AX241" t="s">
        <v>417</v>
      </c>
      <c r="AY241" t="s">
        <v>417</v>
      </c>
      <c r="AZ241">
        <v>0</v>
      </c>
      <c r="BA241">
        <v>0</v>
      </c>
      <c r="BB241">
        <f>1-AZ241/BA241</f>
        <v>0</v>
      </c>
      <c r="BC241">
        <v>0</v>
      </c>
      <c r="BD241" t="s">
        <v>417</v>
      </c>
      <c r="BE241" t="s">
        <v>417</v>
      </c>
      <c r="BF241">
        <v>0</v>
      </c>
      <c r="BG241">
        <v>0</v>
      </c>
      <c r="BH241">
        <f>1-BF241/BG241</f>
        <v>0</v>
      </c>
      <c r="BI241">
        <v>0.5</v>
      </c>
      <c r="BJ241">
        <f>CS241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417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BZ241">
        <v>1248</v>
      </c>
      <c r="CA241">
        <v>300</v>
      </c>
      <c r="CB241">
        <v>300</v>
      </c>
      <c r="CC241">
        <v>300</v>
      </c>
      <c r="CD241">
        <v>10442</v>
      </c>
      <c r="CE241">
        <v>1293.69</v>
      </c>
      <c r="CF241">
        <v>-0.00735246</v>
      </c>
      <c r="CG241">
        <v>0.5</v>
      </c>
      <c r="CH241" t="s">
        <v>417</v>
      </c>
      <c r="CI241" t="s">
        <v>417</v>
      </c>
      <c r="CJ241" t="s">
        <v>417</v>
      </c>
      <c r="CK241" t="s">
        <v>417</v>
      </c>
      <c r="CL241" t="s">
        <v>417</v>
      </c>
      <c r="CM241" t="s">
        <v>417</v>
      </c>
      <c r="CN241" t="s">
        <v>417</v>
      </c>
      <c r="CO241" t="s">
        <v>417</v>
      </c>
      <c r="CP241" t="s">
        <v>417</v>
      </c>
      <c r="CQ241" t="s">
        <v>417</v>
      </c>
      <c r="CR241">
        <f>$B$11*DQ241+$C$11*DR241+$F$11*EC241*(1-EF241)</f>
        <v>0</v>
      </c>
      <c r="CS241">
        <f>CR241*CT241</f>
        <v>0</v>
      </c>
      <c r="CT241">
        <f>($B$11*$D$9+$C$11*$D$9+$F$11*((EP241+EH241)/MAX(EP241+EH241+EQ241, 0.1)*$I$9+EQ241/MAX(EP241+EH241+EQ241, 0.1)*$J$9))/($B$11+$C$11+$F$11)</f>
        <v>0</v>
      </c>
      <c r="CU241">
        <f>($B$11*$K$9+$C$11*$K$9+$F$11*((EP241+EH241)/MAX(EP241+EH241+EQ241, 0.1)*$P$9+EQ241/MAX(EP241+EH241+EQ241, 0.1)*$Q$9))/($B$11+$C$11+$F$11)</f>
        <v>0</v>
      </c>
      <c r="CV241">
        <v>6</v>
      </c>
      <c r="CW241">
        <v>0.5</v>
      </c>
      <c r="CX241" t="s">
        <v>418</v>
      </c>
      <c r="CY241">
        <v>2</v>
      </c>
      <c r="CZ241" t="b">
        <v>1</v>
      </c>
      <c r="DA241">
        <v>1651864845.725</v>
      </c>
      <c r="DB241">
        <v>163.4615</v>
      </c>
      <c r="DC241">
        <v>148.99025</v>
      </c>
      <c r="DD241">
        <v>18.368775</v>
      </c>
      <c r="DE241">
        <v>14.12215</v>
      </c>
      <c r="DF241">
        <v>164.007</v>
      </c>
      <c r="DG241">
        <v>18.3481</v>
      </c>
      <c r="DH241">
        <v>500.051</v>
      </c>
      <c r="DI241">
        <v>89.926525</v>
      </c>
      <c r="DJ241">
        <v>0.099985875</v>
      </c>
      <c r="DK241">
        <v>25.627975</v>
      </c>
      <c r="DL241">
        <v>24.99625</v>
      </c>
      <c r="DM241">
        <v>999.9</v>
      </c>
      <c r="DN241">
        <v>0</v>
      </c>
      <c r="DO241">
        <v>0</v>
      </c>
      <c r="DP241">
        <v>9998.424999999999</v>
      </c>
      <c r="DQ241">
        <v>0</v>
      </c>
      <c r="DR241">
        <v>3.23193</v>
      </c>
      <c r="DS241">
        <v>14.47115</v>
      </c>
      <c r="DT241">
        <v>166.52025</v>
      </c>
      <c r="DU241">
        <v>151.1245</v>
      </c>
      <c r="DV241">
        <v>4.2466075</v>
      </c>
      <c r="DW241">
        <v>148.99025</v>
      </c>
      <c r="DX241">
        <v>14.12215</v>
      </c>
      <c r="DY241">
        <v>1.651835</v>
      </c>
      <c r="DZ241">
        <v>1.269955</v>
      </c>
      <c r="EA241">
        <v>14.451075</v>
      </c>
      <c r="EB241">
        <v>10.4479</v>
      </c>
      <c r="EC241">
        <v>1500.005</v>
      </c>
      <c r="ED241">
        <v>0.9729969999999999</v>
      </c>
      <c r="EE241">
        <v>0.027003</v>
      </c>
      <c r="EF241">
        <v>0</v>
      </c>
      <c r="EG241">
        <v>832.105</v>
      </c>
      <c r="EH241">
        <v>5.00097</v>
      </c>
      <c r="EI241">
        <v>12361.275</v>
      </c>
      <c r="EJ241">
        <v>12491.575</v>
      </c>
      <c r="EK241">
        <v>37.23425</v>
      </c>
      <c r="EL241">
        <v>38.687</v>
      </c>
      <c r="EM241">
        <v>37.625</v>
      </c>
      <c r="EN241">
        <v>38.375</v>
      </c>
      <c r="EO241">
        <v>38.062</v>
      </c>
      <c r="EP241">
        <v>1454.635</v>
      </c>
      <c r="EQ241">
        <v>40.37</v>
      </c>
      <c r="ER241">
        <v>0</v>
      </c>
      <c r="ES241">
        <v>625.7999999523163</v>
      </c>
      <c r="ET241">
        <v>0</v>
      </c>
      <c r="EU241">
        <v>831.70632</v>
      </c>
      <c r="EV241">
        <v>4.549307693980929</v>
      </c>
      <c r="EW241">
        <v>62.23846169262527</v>
      </c>
      <c r="EX241">
        <v>12353.676</v>
      </c>
      <c r="EY241">
        <v>15</v>
      </c>
      <c r="EZ241">
        <v>1651864261.1</v>
      </c>
      <c r="FA241" t="s">
        <v>419</v>
      </c>
      <c r="FB241">
        <v>1651864241.6</v>
      </c>
      <c r="FC241">
        <v>1651864261.1</v>
      </c>
      <c r="FD241">
        <v>7</v>
      </c>
      <c r="FE241">
        <v>0.438</v>
      </c>
      <c r="FF241">
        <v>0.002</v>
      </c>
      <c r="FG241">
        <v>-0.988</v>
      </c>
      <c r="FH241">
        <v>-0.066</v>
      </c>
      <c r="FI241">
        <v>400</v>
      </c>
      <c r="FJ241">
        <v>11</v>
      </c>
      <c r="FK241">
        <v>0.05</v>
      </c>
      <c r="FL241">
        <v>0.02</v>
      </c>
      <c r="FM241">
        <v>12.13590243902439</v>
      </c>
      <c r="FN241">
        <v>14.68376027874564</v>
      </c>
      <c r="FO241">
        <v>1.453831756543897</v>
      </c>
      <c r="FP241">
        <v>-1</v>
      </c>
      <c r="FQ241">
        <v>4.238298292682927</v>
      </c>
      <c r="FR241">
        <v>0.05459811846690041</v>
      </c>
      <c r="FS241">
        <v>0.005517691237942123</v>
      </c>
      <c r="FT241">
        <v>-1</v>
      </c>
      <c r="FU241">
        <v>0</v>
      </c>
      <c r="FV241">
        <v>0</v>
      </c>
      <c r="FW241">
        <v>0</v>
      </c>
      <c r="FX241">
        <v>-1</v>
      </c>
      <c r="FY241">
        <v>0</v>
      </c>
      <c r="FZ241">
        <v>0</v>
      </c>
      <c r="GA241" t="s">
        <v>420</v>
      </c>
      <c r="GB241">
        <v>2.98055</v>
      </c>
      <c r="GC241">
        <v>2.70615</v>
      </c>
      <c r="GD241">
        <v>0.0411868</v>
      </c>
      <c r="GE241">
        <v>0.037151</v>
      </c>
      <c r="GF241">
        <v>0.0877203</v>
      </c>
      <c r="GG241">
        <v>0.07156700000000001</v>
      </c>
      <c r="GH241">
        <v>30258.3</v>
      </c>
      <c r="GI241">
        <v>30451.8</v>
      </c>
      <c r="GJ241">
        <v>29343.6</v>
      </c>
      <c r="GK241">
        <v>29257.4</v>
      </c>
      <c r="GL241">
        <v>35445.4</v>
      </c>
      <c r="GM241">
        <v>36176.3</v>
      </c>
      <c r="GN241">
        <v>41302.3</v>
      </c>
      <c r="GO241">
        <v>41759.8</v>
      </c>
      <c r="GP241">
        <v>1.95515</v>
      </c>
      <c r="GQ241">
        <v>1.84883</v>
      </c>
      <c r="GR241">
        <v>-0.0206083</v>
      </c>
      <c r="GS241">
        <v>0</v>
      </c>
      <c r="GT241">
        <v>25.3338</v>
      </c>
      <c r="GU241">
        <v>999.9</v>
      </c>
      <c r="GV241">
        <v>31.5</v>
      </c>
      <c r="GW241">
        <v>34.3</v>
      </c>
      <c r="GX241">
        <v>19.0328</v>
      </c>
      <c r="GY241">
        <v>62.3375</v>
      </c>
      <c r="GZ241">
        <v>35.1923</v>
      </c>
      <c r="HA241">
        <v>1</v>
      </c>
      <c r="HB241">
        <v>0.108148</v>
      </c>
      <c r="HC241">
        <v>2.30723</v>
      </c>
      <c r="HD241">
        <v>20.3186</v>
      </c>
      <c r="HE241">
        <v>5.21684</v>
      </c>
      <c r="HF241">
        <v>12.0099</v>
      </c>
      <c r="HG241">
        <v>4.98845</v>
      </c>
      <c r="HH241">
        <v>3.28858</v>
      </c>
      <c r="HI241">
        <v>1000.9</v>
      </c>
      <c r="HJ241">
        <v>9559.6</v>
      </c>
      <c r="HK241">
        <v>5139.4</v>
      </c>
      <c r="HL241">
        <v>24.9</v>
      </c>
      <c r="HM241">
        <v>1.86751</v>
      </c>
      <c r="HN241">
        <v>1.86646</v>
      </c>
      <c r="HO241">
        <v>1.866</v>
      </c>
      <c r="HP241">
        <v>1.86584</v>
      </c>
      <c r="HQ241">
        <v>1.86768</v>
      </c>
      <c r="HR241">
        <v>1.87023</v>
      </c>
      <c r="HS241">
        <v>1.8689</v>
      </c>
      <c r="HT241">
        <v>1.87027</v>
      </c>
      <c r="HU241">
        <v>0</v>
      </c>
      <c r="HV241">
        <v>0</v>
      </c>
      <c r="HW241">
        <v>0</v>
      </c>
      <c r="HX241">
        <v>0</v>
      </c>
      <c r="HY241" t="s">
        <v>421</v>
      </c>
      <c r="HZ241" t="s">
        <v>422</v>
      </c>
      <c r="IA241" t="s">
        <v>423</v>
      </c>
      <c r="IB241" t="s">
        <v>423</v>
      </c>
      <c r="IC241" t="s">
        <v>423</v>
      </c>
      <c r="ID241" t="s">
        <v>423</v>
      </c>
      <c r="IE241">
        <v>0</v>
      </c>
      <c r="IF241">
        <v>100</v>
      </c>
      <c r="IG241">
        <v>100</v>
      </c>
      <c r="IH241">
        <v>-0.537</v>
      </c>
      <c r="II241">
        <v>0.0207</v>
      </c>
      <c r="IJ241">
        <v>-0.2164499368582429</v>
      </c>
      <c r="IK241">
        <v>-0.002077099775823331</v>
      </c>
      <c r="IL241">
        <v>4.593143279902166E-07</v>
      </c>
      <c r="IM241">
        <v>-1.865383991892071E-10</v>
      </c>
      <c r="IN241">
        <v>-0.06087574426827484</v>
      </c>
      <c r="IO241">
        <v>-0.01129461987421345</v>
      </c>
      <c r="IP241">
        <v>0.00116580895745559</v>
      </c>
      <c r="IQ241">
        <v>-1.679085872906199E-05</v>
      </c>
      <c r="IR241">
        <v>2</v>
      </c>
      <c r="IS241">
        <v>2290</v>
      </c>
      <c r="IT241">
        <v>0</v>
      </c>
      <c r="IU241">
        <v>32</v>
      </c>
      <c r="IV241">
        <v>10.1</v>
      </c>
      <c r="IW241">
        <v>9.800000000000001</v>
      </c>
      <c r="IX241">
        <v>0.432129</v>
      </c>
      <c r="IY241">
        <v>2.27295</v>
      </c>
      <c r="IZ241">
        <v>1.39648</v>
      </c>
      <c r="JA241">
        <v>2.35596</v>
      </c>
      <c r="JB241">
        <v>1.49536</v>
      </c>
      <c r="JC241">
        <v>2.30835</v>
      </c>
      <c r="JD241">
        <v>38.5259</v>
      </c>
      <c r="JE241">
        <v>24.035</v>
      </c>
      <c r="JF241">
        <v>18</v>
      </c>
      <c r="JG241">
        <v>511.065</v>
      </c>
      <c r="JH241">
        <v>428.282</v>
      </c>
      <c r="JI241">
        <v>22.2003</v>
      </c>
      <c r="JJ241">
        <v>28.6952</v>
      </c>
      <c r="JK241">
        <v>30.0001</v>
      </c>
      <c r="JL241">
        <v>28.6593</v>
      </c>
      <c r="JM241">
        <v>28.5968</v>
      </c>
      <c r="JN241">
        <v>8.571479999999999</v>
      </c>
      <c r="JO241">
        <v>26.5129</v>
      </c>
      <c r="JP241">
        <v>0</v>
      </c>
      <c r="JQ241">
        <v>22.2033</v>
      </c>
      <c r="JR241">
        <v>119.351</v>
      </c>
      <c r="JS241">
        <v>14.1432</v>
      </c>
      <c r="JT241">
        <v>100.302</v>
      </c>
      <c r="JU241">
        <v>100.226</v>
      </c>
    </row>
    <row r="242" spans="1:281">
      <c r="A242">
        <v>226</v>
      </c>
      <c r="B242">
        <v>1651864849.1</v>
      </c>
      <c r="C242">
        <v>628.5</v>
      </c>
      <c r="D242" t="s">
        <v>872</v>
      </c>
      <c r="E242" t="s">
        <v>873</v>
      </c>
      <c r="F242">
        <v>2</v>
      </c>
      <c r="G242" t="s">
        <v>413</v>
      </c>
      <c r="H242" t="s">
        <v>414</v>
      </c>
      <c r="I242">
        <v>1651864848.1</v>
      </c>
      <c r="J242">
        <f>(K242)/1000</f>
        <v>0</v>
      </c>
      <c r="K242">
        <f>IF(CZ242, AN242, AH242)</f>
        <v>0</v>
      </c>
      <c r="L242">
        <f>IF(CZ242, AI242, AG242)</f>
        <v>0</v>
      </c>
      <c r="M242">
        <f>DB242 - IF(AU242&gt;1, L242*CV242*100.0/(AW242*DP242), 0)</f>
        <v>0</v>
      </c>
      <c r="N242">
        <f>((T242-J242/2)*M242-L242)/(T242+J242/2)</f>
        <v>0</v>
      </c>
      <c r="O242">
        <f>N242*(DI242+DJ242)/1000.0</f>
        <v>0</v>
      </c>
      <c r="P242">
        <f>(DB242 - IF(AU242&gt;1, L242*CV242*100.0/(AW242*DP242), 0))*(DI242+DJ242)/1000.0</f>
        <v>0</v>
      </c>
      <c r="Q242">
        <f>2.0/((1/S242-1/R242)+SIGN(S242)*SQRT((1/S242-1/R242)*(1/S242-1/R242) + 4*CW242/((CW242+1)*(CW242+1))*(2*1/S242*1/R242-1/R242*1/R242)))</f>
        <v>0</v>
      </c>
      <c r="R242">
        <f>IF(LEFT(CX242,1)&lt;&gt;"0",IF(LEFT(CX242,1)="1",3.0,CY242),$D$5+$E$5*(DP242*DI242/($K$5*1000))+$F$5*(DP242*DI242/($K$5*1000))*MAX(MIN(CV242,$J$5),$I$5)*MAX(MIN(CV242,$J$5),$I$5)+$G$5*MAX(MIN(CV242,$J$5),$I$5)*(DP242*DI242/($K$5*1000))+$H$5*(DP242*DI242/($K$5*1000))*(DP242*DI242/($K$5*1000)))</f>
        <v>0</v>
      </c>
      <c r="S242">
        <f>J242*(1000-(1000*0.61365*exp(17.502*W242/(240.97+W242))/(DI242+DJ242)+DD242)/2)/(1000*0.61365*exp(17.502*W242/(240.97+W242))/(DI242+DJ242)-DD242)</f>
        <v>0</v>
      </c>
      <c r="T242">
        <f>1/((CW242+1)/(Q242/1.6)+1/(R242/1.37)) + CW242/((CW242+1)/(Q242/1.6) + CW242/(R242/1.37))</f>
        <v>0</v>
      </c>
      <c r="U242">
        <f>(CR242*CU242)</f>
        <v>0</v>
      </c>
      <c r="V242">
        <f>(DK242+(U242+2*0.95*5.67E-8*(((DK242+$B$7)+273)^4-(DK242+273)^4)-44100*J242)/(1.84*29.3*R242+8*0.95*5.67E-8*(DK242+273)^3))</f>
        <v>0</v>
      </c>
      <c r="W242">
        <f>($C$7*DL242+$D$7*DM242+$E$7*V242)</f>
        <v>0</v>
      </c>
      <c r="X242">
        <f>0.61365*exp(17.502*W242/(240.97+W242))</f>
        <v>0</v>
      </c>
      <c r="Y242">
        <f>(Z242/AA242*100)</f>
        <v>0</v>
      </c>
      <c r="Z242">
        <f>DD242*(DI242+DJ242)/1000</f>
        <v>0</v>
      </c>
      <c r="AA242">
        <f>0.61365*exp(17.502*DK242/(240.97+DK242))</f>
        <v>0</v>
      </c>
      <c r="AB242">
        <f>(X242-DD242*(DI242+DJ242)/1000)</f>
        <v>0</v>
      </c>
      <c r="AC242">
        <f>(-J242*44100)</f>
        <v>0</v>
      </c>
      <c r="AD242">
        <f>2*29.3*R242*0.92*(DK242-W242)</f>
        <v>0</v>
      </c>
      <c r="AE242">
        <f>2*0.95*5.67E-8*(((DK242+$B$7)+273)^4-(W242+273)^4)</f>
        <v>0</v>
      </c>
      <c r="AF242">
        <f>U242+AE242+AC242+AD242</f>
        <v>0</v>
      </c>
      <c r="AG242">
        <f>DH242*AU242*(DC242-DB242*(1000-AU242*DE242)/(1000-AU242*DD242))/(100*CV242)</f>
        <v>0</v>
      </c>
      <c r="AH242">
        <f>1000*DH242*AU242*(DD242-DE242)/(100*CV242*(1000-AU242*DD242))</f>
        <v>0</v>
      </c>
      <c r="AI242">
        <f>(AJ242 - AK242 - DI242*1E3/(8.314*(DK242+273.15)) * AM242/DH242 * AL242) * DH242/(100*CV242) * (1000 - DE242)/1000</f>
        <v>0</v>
      </c>
      <c r="AJ242">
        <v>149.0905868487542</v>
      </c>
      <c r="AK242">
        <v>157.4419151515152</v>
      </c>
      <c r="AL242">
        <v>-3.159610729349817</v>
      </c>
      <c r="AM242">
        <v>66.38192812717227</v>
      </c>
      <c r="AN242">
        <f>(AP242 - AO242 + DI242*1E3/(8.314*(DK242+273.15)) * AR242/DH242 * AQ242) * DH242/(100*CV242) * 1000/(1000 - AP242)</f>
        <v>0</v>
      </c>
      <c r="AO242">
        <v>14.12248201615298</v>
      </c>
      <c r="AP242">
        <v>18.37389029411764</v>
      </c>
      <c r="AQ242">
        <v>-1.095479833417198E-05</v>
      </c>
      <c r="AR242">
        <v>80.47224507511959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MAX(0,($B$13+$C$13*DP242)/(1+$D$13*DP242)*DI242/(DK242+273)*$E$13)</f>
        <v>0</v>
      </c>
      <c r="AX242" t="s">
        <v>417</v>
      </c>
      <c r="AY242" t="s">
        <v>417</v>
      </c>
      <c r="AZ242">
        <v>0</v>
      </c>
      <c r="BA242">
        <v>0</v>
      </c>
      <c r="BB242">
        <f>1-AZ242/BA242</f>
        <v>0</v>
      </c>
      <c r="BC242">
        <v>0</v>
      </c>
      <c r="BD242" t="s">
        <v>417</v>
      </c>
      <c r="BE242" t="s">
        <v>417</v>
      </c>
      <c r="BF242">
        <v>0</v>
      </c>
      <c r="BG242">
        <v>0</v>
      </c>
      <c r="BH242">
        <f>1-BF242/BG242</f>
        <v>0</v>
      </c>
      <c r="BI242">
        <v>0.5</v>
      </c>
      <c r="BJ242">
        <f>CS242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417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BZ242">
        <v>1248</v>
      </c>
      <c r="CA242">
        <v>300</v>
      </c>
      <c r="CB242">
        <v>300</v>
      </c>
      <c r="CC242">
        <v>300</v>
      </c>
      <c r="CD242">
        <v>10442</v>
      </c>
      <c r="CE242">
        <v>1293.69</v>
      </c>
      <c r="CF242">
        <v>-0.00735246</v>
      </c>
      <c r="CG242">
        <v>0.5</v>
      </c>
      <c r="CH242" t="s">
        <v>417</v>
      </c>
      <c r="CI242" t="s">
        <v>417</v>
      </c>
      <c r="CJ242" t="s">
        <v>417</v>
      </c>
      <c r="CK242" t="s">
        <v>417</v>
      </c>
      <c r="CL242" t="s">
        <v>417</v>
      </c>
      <c r="CM242" t="s">
        <v>417</v>
      </c>
      <c r="CN242" t="s">
        <v>417</v>
      </c>
      <c r="CO242" t="s">
        <v>417</v>
      </c>
      <c r="CP242" t="s">
        <v>417</v>
      </c>
      <c r="CQ242" t="s">
        <v>417</v>
      </c>
      <c r="CR242">
        <f>$B$11*DQ242+$C$11*DR242+$F$11*EC242*(1-EF242)</f>
        <v>0</v>
      </c>
      <c r="CS242">
        <f>CR242*CT242</f>
        <v>0</v>
      </c>
      <c r="CT242">
        <f>($B$11*$D$9+$C$11*$D$9+$F$11*((EP242+EH242)/MAX(EP242+EH242+EQ242, 0.1)*$I$9+EQ242/MAX(EP242+EH242+EQ242, 0.1)*$J$9))/($B$11+$C$11+$F$11)</f>
        <v>0</v>
      </c>
      <c r="CU242">
        <f>($B$11*$K$9+$C$11*$K$9+$F$11*((EP242+EH242)/MAX(EP242+EH242+EQ242, 0.1)*$P$9+EQ242/MAX(EP242+EH242+EQ242, 0.1)*$Q$9))/($B$11+$C$11+$F$11)</f>
        <v>0</v>
      </c>
      <c r="CV242">
        <v>6</v>
      </c>
      <c r="CW242">
        <v>0.5</v>
      </c>
      <c r="CX242" t="s">
        <v>418</v>
      </c>
      <c r="CY242">
        <v>2</v>
      </c>
      <c r="CZ242" t="b">
        <v>1</v>
      </c>
      <c r="DA242">
        <v>1651864848.1</v>
      </c>
      <c r="DB242">
        <v>156.098</v>
      </c>
      <c r="DC242">
        <v>141.1443333333333</v>
      </c>
      <c r="DD242">
        <v>18.37283333333333</v>
      </c>
      <c r="DE242">
        <v>14.12126666666667</v>
      </c>
      <c r="DF242">
        <v>156.629</v>
      </c>
      <c r="DG242">
        <v>18.35213333333333</v>
      </c>
      <c r="DH242">
        <v>500.035</v>
      </c>
      <c r="DI242">
        <v>89.92636666666668</v>
      </c>
      <c r="DJ242">
        <v>0.1000503333333333</v>
      </c>
      <c r="DK242">
        <v>25.6285</v>
      </c>
      <c r="DL242">
        <v>24.99423333333334</v>
      </c>
      <c r="DM242">
        <v>999.9</v>
      </c>
      <c r="DN242">
        <v>0</v>
      </c>
      <c r="DO242">
        <v>0</v>
      </c>
      <c r="DP242">
        <v>9986.25</v>
      </c>
      <c r="DQ242">
        <v>0</v>
      </c>
      <c r="DR242">
        <v>3.23193</v>
      </c>
      <c r="DS242">
        <v>14.9535</v>
      </c>
      <c r="DT242">
        <v>159.0196666666667</v>
      </c>
      <c r="DU242">
        <v>143.166</v>
      </c>
      <c r="DV242">
        <v>4.251563333333332</v>
      </c>
      <c r="DW242">
        <v>141.1443333333333</v>
      </c>
      <c r="DX242">
        <v>14.12126666666667</v>
      </c>
      <c r="DY242">
        <v>1.652203333333333</v>
      </c>
      <c r="DZ242">
        <v>1.269876666666667</v>
      </c>
      <c r="EA242">
        <v>14.45453333333333</v>
      </c>
      <c r="EB242">
        <v>10.44696666666667</v>
      </c>
      <c r="EC242">
        <v>1499.94</v>
      </c>
      <c r="ED242">
        <v>0.9730086666666665</v>
      </c>
      <c r="EE242">
        <v>0.0269913</v>
      </c>
      <c r="EF242">
        <v>0</v>
      </c>
      <c r="EG242">
        <v>832.5346666666668</v>
      </c>
      <c r="EH242">
        <v>5.00097</v>
      </c>
      <c r="EI242">
        <v>12366.1</v>
      </c>
      <c r="EJ242">
        <v>12491.16666666667</v>
      </c>
      <c r="EK242">
        <v>37.187</v>
      </c>
      <c r="EL242">
        <v>38.687</v>
      </c>
      <c r="EM242">
        <v>37.625</v>
      </c>
      <c r="EN242">
        <v>38.375</v>
      </c>
      <c r="EO242">
        <v>38.062</v>
      </c>
      <c r="EP242">
        <v>1454.59</v>
      </c>
      <c r="EQ242">
        <v>40.35</v>
      </c>
      <c r="ER242">
        <v>0</v>
      </c>
      <c r="ES242">
        <v>628.2000000476837</v>
      </c>
      <c r="ET242">
        <v>0</v>
      </c>
      <c r="EU242">
        <v>831.9024800000001</v>
      </c>
      <c r="EV242">
        <v>5.582153825583799</v>
      </c>
      <c r="EW242">
        <v>84.13846139737318</v>
      </c>
      <c r="EX242">
        <v>12356.476</v>
      </c>
      <c r="EY242">
        <v>15</v>
      </c>
      <c r="EZ242">
        <v>1651864261.1</v>
      </c>
      <c r="FA242" t="s">
        <v>419</v>
      </c>
      <c r="FB242">
        <v>1651864241.6</v>
      </c>
      <c r="FC242">
        <v>1651864261.1</v>
      </c>
      <c r="FD242">
        <v>7</v>
      </c>
      <c r="FE242">
        <v>0.438</v>
      </c>
      <c r="FF242">
        <v>0.002</v>
      </c>
      <c r="FG242">
        <v>-0.988</v>
      </c>
      <c r="FH242">
        <v>-0.066</v>
      </c>
      <c r="FI242">
        <v>400</v>
      </c>
      <c r="FJ242">
        <v>11</v>
      </c>
      <c r="FK242">
        <v>0.05</v>
      </c>
      <c r="FL242">
        <v>0.02</v>
      </c>
      <c r="FM242">
        <v>12.5369375</v>
      </c>
      <c r="FN242">
        <v>15.32186003752343</v>
      </c>
      <c r="FO242">
        <v>1.474786978293391</v>
      </c>
      <c r="FP242">
        <v>-1</v>
      </c>
      <c r="FQ242">
        <v>4.23997325</v>
      </c>
      <c r="FR242">
        <v>0.05914232645402463</v>
      </c>
      <c r="FS242">
        <v>0.005829649383753673</v>
      </c>
      <c r="FT242">
        <v>-1</v>
      </c>
      <c r="FU242">
        <v>0</v>
      </c>
      <c r="FV242">
        <v>0</v>
      </c>
      <c r="FW242">
        <v>0</v>
      </c>
      <c r="FX242">
        <v>-1</v>
      </c>
      <c r="FY242">
        <v>0</v>
      </c>
      <c r="FZ242">
        <v>0</v>
      </c>
      <c r="GA242" t="s">
        <v>420</v>
      </c>
      <c r="GB242">
        <v>2.98038</v>
      </c>
      <c r="GC242">
        <v>2.70614</v>
      </c>
      <c r="GD242">
        <v>0.0396965</v>
      </c>
      <c r="GE242">
        <v>0.0355545</v>
      </c>
      <c r="GF242">
        <v>0.0877276</v>
      </c>
      <c r="GG242">
        <v>0.0715607</v>
      </c>
      <c r="GH242">
        <v>30305.5</v>
      </c>
      <c r="GI242">
        <v>30502.3</v>
      </c>
      <c r="GJ242">
        <v>29343.8</v>
      </c>
      <c r="GK242">
        <v>29257.5</v>
      </c>
      <c r="GL242">
        <v>35445.5</v>
      </c>
      <c r="GM242">
        <v>36176.5</v>
      </c>
      <c r="GN242">
        <v>41302.7</v>
      </c>
      <c r="GO242">
        <v>41759.8</v>
      </c>
      <c r="GP242">
        <v>1.95513</v>
      </c>
      <c r="GQ242">
        <v>1.84875</v>
      </c>
      <c r="GR242">
        <v>-0.0206977</v>
      </c>
      <c r="GS242">
        <v>0</v>
      </c>
      <c r="GT242">
        <v>25.3332</v>
      </c>
      <c r="GU242">
        <v>999.9</v>
      </c>
      <c r="GV242">
        <v>31.5</v>
      </c>
      <c r="GW242">
        <v>34.3</v>
      </c>
      <c r="GX242">
        <v>19.0306</v>
      </c>
      <c r="GY242">
        <v>62.6475</v>
      </c>
      <c r="GZ242">
        <v>35.012</v>
      </c>
      <c r="HA242">
        <v>1</v>
      </c>
      <c r="HB242">
        <v>0.108155</v>
      </c>
      <c r="HC242">
        <v>2.3073</v>
      </c>
      <c r="HD242">
        <v>20.3184</v>
      </c>
      <c r="HE242">
        <v>5.21729</v>
      </c>
      <c r="HF242">
        <v>12.0099</v>
      </c>
      <c r="HG242">
        <v>4.9884</v>
      </c>
      <c r="HH242">
        <v>3.28865</v>
      </c>
      <c r="HI242">
        <v>1000.9</v>
      </c>
      <c r="HJ242">
        <v>9559.6</v>
      </c>
      <c r="HK242">
        <v>5139.4</v>
      </c>
      <c r="HL242">
        <v>24.9</v>
      </c>
      <c r="HM242">
        <v>1.86751</v>
      </c>
      <c r="HN242">
        <v>1.86646</v>
      </c>
      <c r="HO242">
        <v>1.866</v>
      </c>
      <c r="HP242">
        <v>1.86584</v>
      </c>
      <c r="HQ242">
        <v>1.86768</v>
      </c>
      <c r="HR242">
        <v>1.87025</v>
      </c>
      <c r="HS242">
        <v>1.8689</v>
      </c>
      <c r="HT242">
        <v>1.87027</v>
      </c>
      <c r="HU242">
        <v>0</v>
      </c>
      <c r="HV242">
        <v>0</v>
      </c>
      <c r="HW242">
        <v>0</v>
      </c>
      <c r="HX242">
        <v>0</v>
      </c>
      <c r="HY242" t="s">
        <v>421</v>
      </c>
      <c r="HZ242" t="s">
        <v>422</v>
      </c>
      <c r="IA242" t="s">
        <v>423</v>
      </c>
      <c r="IB242" t="s">
        <v>423</v>
      </c>
      <c r="IC242" t="s">
        <v>423</v>
      </c>
      <c r="ID242" t="s">
        <v>423</v>
      </c>
      <c r="IE242">
        <v>0</v>
      </c>
      <c r="IF242">
        <v>100</v>
      </c>
      <c r="IG242">
        <v>100</v>
      </c>
      <c r="IH242">
        <v>-0.526</v>
      </c>
      <c r="II242">
        <v>0.0207</v>
      </c>
      <c r="IJ242">
        <v>-0.2164499368582429</v>
      </c>
      <c r="IK242">
        <v>-0.002077099775823331</v>
      </c>
      <c r="IL242">
        <v>4.593143279902166E-07</v>
      </c>
      <c r="IM242">
        <v>-1.865383991892071E-10</v>
      </c>
      <c r="IN242">
        <v>-0.06087574426827484</v>
      </c>
      <c r="IO242">
        <v>-0.01129461987421345</v>
      </c>
      <c r="IP242">
        <v>0.00116580895745559</v>
      </c>
      <c r="IQ242">
        <v>-1.679085872906199E-05</v>
      </c>
      <c r="IR242">
        <v>2</v>
      </c>
      <c r="IS242">
        <v>2290</v>
      </c>
      <c r="IT242">
        <v>0</v>
      </c>
      <c r="IU242">
        <v>32</v>
      </c>
      <c r="IV242">
        <v>10.1</v>
      </c>
      <c r="IW242">
        <v>9.800000000000001</v>
      </c>
      <c r="IX242">
        <v>0.41748</v>
      </c>
      <c r="IY242">
        <v>2.27417</v>
      </c>
      <c r="IZ242">
        <v>1.39648</v>
      </c>
      <c r="JA242">
        <v>2.35596</v>
      </c>
      <c r="JB242">
        <v>1.49536</v>
      </c>
      <c r="JC242">
        <v>2.3584</v>
      </c>
      <c r="JD242">
        <v>38.5014</v>
      </c>
      <c r="JE242">
        <v>24.035</v>
      </c>
      <c r="JF242">
        <v>18</v>
      </c>
      <c r="JG242">
        <v>511.049</v>
      </c>
      <c r="JH242">
        <v>428.237</v>
      </c>
      <c r="JI242">
        <v>22.2019</v>
      </c>
      <c r="JJ242">
        <v>28.6952</v>
      </c>
      <c r="JK242">
        <v>30.0001</v>
      </c>
      <c r="JL242">
        <v>28.6593</v>
      </c>
      <c r="JM242">
        <v>28.5968</v>
      </c>
      <c r="JN242">
        <v>8.273860000000001</v>
      </c>
      <c r="JO242">
        <v>26.5129</v>
      </c>
      <c r="JP242">
        <v>0</v>
      </c>
      <c r="JQ242">
        <v>22.2065</v>
      </c>
      <c r="JR242">
        <v>112.658</v>
      </c>
      <c r="JS242">
        <v>14.1432</v>
      </c>
      <c r="JT242">
        <v>100.303</v>
      </c>
      <c r="JU242">
        <v>100.226</v>
      </c>
    </row>
    <row r="243" spans="1:281">
      <c r="A243">
        <v>227</v>
      </c>
      <c r="B243">
        <v>1651864851.1</v>
      </c>
      <c r="C243">
        <v>630.5</v>
      </c>
      <c r="D243" t="s">
        <v>874</v>
      </c>
      <c r="E243" t="s">
        <v>875</v>
      </c>
      <c r="F243">
        <v>2</v>
      </c>
      <c r="G243" t="s">
        <v>413</v>
      </c>
      <c r="H243" t="s">
        <v>414</v>
      </c>
      <c r="I243">
        <v>1651864849.725</v>
      </c>
      <c r="J243">
        <f>(K243)/1000</f>
        <v>0</v>
      </c>
      <c r="K243">
        <f>IF(CZ243, AN243, AH243)</f>
        <v>0</v>
      </c>
      <c r="L243">
        <f>IF(CZ243, AI243, AG243)</f>
        <v>0</v>
      </c>
      <c r="M243">
        <f>DB243 - IF(AU243&gt;1, L243*CV243*100.0/(AW243*DP243), 0)</f>
        <v>0</v>
      </c>
      <c r="N243">
        <f>((T243-J243/2)*M243-L243)/(T243+J243/2)</f>
        <v>0</v>
      </c>
      <c r="O243">
        <f>N243*(DI243+DJ243)/1000.0</f>
        <v>0</v>
      </c>
      <c r="P243">
        <f>(DB243 - IF(AU243&gt;1, L243*CV243*100.0/(AW243*DP243), 0))*(DI243+DJ243)/1000.0</f>
        <v>0</v>
      </c>
      <c r="Q243">
        <f>2.0/((1/S243-1/R243)+SIGN(S243)*SQRT((1/S243-1/R243)*(1/S243-1/R243) + 4*CW243/((CW243+1)*(CW243+1))*(2*1/S243*1/R243-1/R243*1/R243)))</f>
        <v>0</v>
      </c>
      <c r="R243">
        <f>IF(LEFT(CX243,1)&lt;&gt;"0",IF(LEFT(CX243,1)="1",3.0,CY243),$D$5+$E$5*(DP243*DI243/($K$5*1000))+$F$5*(DP243*DI243/($K$5*1000))*MAX(MIN(CV243,$J$5),$I$5)*MAX(MIN(CV243,$J$5),$I$5)+$G$5*MAX(MIN(CV243,$J$5),$I$5)*(DP243*DI243/($K$5*1000))+$H$5*(DP243*DI243/($K$5*1000))*(DP243*DI243/($K$5*1000)))</f>
        <v>0</v>
      </c>
      <c r="S243">
        <f>J243*(1000-(1000*0.61365*exp(17.502*W243/(240.97+W243))/(DI243+DJ243)+DD243)/2)/(1000*0.61365*exp(17.502*W243/(240.97+W243))/(DI243+DJ243)-DD243)</f>
        <v>0</v>
      </c>
      <c r="T243">
        <f>1/((CW243+1)/(Q243/1.6)+1/(R243/1.37)) + CW243/((CW243+1)/(Q243/1.6) + CW243/(R243/1.37))</f>
        <v>0</v>
      </c>
      <c r="U243">
        <f>(CR243*CU243)</f>
        <v>0</v>
      </c>
      <c r="V243">
        <f>(DK243+(U243+2*0.95*5.67E-8*(((DK243+$B$7)+273)^4-(DK243+273)^4)-44100*J243)/(1.84*29.3*R243+8*0.95*5.67E-8*(DK243+273)^3))</f>
        <v>0</v>
      </c>
      <c r="W243">
        <f>($C$7*DL243+$D$7*DM243+$E$7*V243)</f>
        <v>0</v>
      </c>
      <c r="X243">
        <f>0.61365*exp(17.502*W243/(240.97+W243))</f>
        <v>0</v>
      </c>
      <c r="Y243">
        <f>(Z243/AA243*100)</f>
        <v>0</v>
      </c>
      <c r="Z243">
        <f>DD243*(DI243+DJ243)/1000</f>
        <v>0</v>
      </c>
      <c r="AA243">
        <f>0.61365*exp(17.502*DK243/(240.97+DK243))</f>
        <v>0</v>
      </c>
      <c r="AB243">
        <f>(X243-DD243*(DI243+DJ243)/1000)</f>
        <v>0</v>
      </c>
      <c r="AC243">
        <f>(-J243*44100)</f>
        <v>0</v>
      </c>
      <c r="AD243">
        <f>2*29.3*R243*0.92*(DK243-W243)</f>
        <v>0</v>
      </c>
      <c r="AE243">
        <f>2*0.95*5.67E-8*(((DK243+$B$7)+273)^4-(W243+273)^4)</f>
        <v>0</v>
      </c>
      <c r="AF243">
        <f>U243+AE243+AC243+AD243</f>
        <v>0</v>
      </c>
      <c r="AG243">
        <f>DH243*AU243*(DC243-DB243*(1000-AU243*DE243)/(1000-AU243*DD243))/(100*CV243)</f>
        <v>0</v>
      </c>
      <c r="AH243">
        <f>1000*DH243*AU243*(DD243-DE243)/(100*CV243*(1000-AU243*DD243))</f>
        <v>0</v>
      </c>
      <c r="AI243">
        <f>(AJ243 - AK243 - DI243*1E3/(8.314*(DK243+273.15)) * AM243/DH243 * AL243) * DH243/(100*CV243) * (1000 - DE243)/1000</f>
        <v>0</v>
      </c>
      <c r="AJ243">
        <v>142.3982886880353</v>
      </c>
      <c r="AK243">
        <v>151.1588</v>
      </c>
      <c r="AL243">
        <v>-3.14699703136014</v>
      </c>
      <c r="AM243">
        <v>66.38192812717227</v>
      </c>
      <c r="AN243">
        <f>(AP243 - AO243 + DI243*1E3/(8.314*(DK243+273.15)) * AR243/DH243 * AQ243) * DH243/(100*CV243) * 1000/(1000 - AP243)</f>
        <v>0</v>
      </c>
      <c r="AO243">
        <v>14.12198391011944</v>
      </c>
      <c r="AP243">
        <v>18.37614205882352</v>
      </c>
      <c r="AQ243">
        <v>3.288943657416707E-05</v>
      </c>
      <c r="AR243">
        <v>80.47224507511959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MAX(0,($B$13+$C$13*DP243)/(1+$D$13*DP243)*DI243/(DK243+273)*$E$13)</f>
        <v>0</v>
      </c>
      <c r="AX243" t="s">
        <v>417</v>
      </c>
      <c r="AY243" t="s">
        <v>417</v>
      </c>
      <c r="AZ243">
        <v>0</v>
      </c>
      <c r="BA243">
        <v>0</v>
      </c>
      <c r="BB243">
        <f>1-AZ243/BA243</f>
        <v>0</v>
      </c>
      <c r="BC243">
        <v>0</v>
      </c>
      <c r="BD243" t="s">
        <v>417</v>
      </c>
      <c r="BE243" t="s">
        <v>417</v>
      </c>
      <c r="BF243">
        <v>0</v>
      </c>
      <c r="BG243">
        <v>0</v>
      </c>
      <c r="BH243">
        <f>1-BF243/BG243</f>
        <v>0</v>
      </c>
      <c r="BI243">
        <v>0.5</v>
      </c>
      <c r="BJ243">
        <f>CS243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417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BZ243">
        <v>1248</v>
      </c>
      <c r="CA243">
        <v>300</v>
      </c>
      <c r="CB243">
        <v>300</v>
      </c>
      <c r="CC243">
        <v>300</v>
      </c>
      <c r="CD243">
        <v>10442</v>
      </c>
      <c r="CE243">
        <v>1293.69</v>
      </c>
      <c r="CF243">
        <v>-0.00735246</v>
      </c>
      <c r="CG243">
        <v>0.5</v>
      </c>
      <c r="CH243" t="s">
        <v>417</v>
      </c>
      <c r="CI243" t="s">
        <v>417</v>
      </c>
      <c r="CJ243" t="s">
        <v>417</v>
      </c>
      <c r="CK243" t="s">
        <v>417</v>
      </c>
      <c r="CL243" t="s">
        <v>417</v>
      </c>
      <c r="CM243" t="s">
        <v>417</v>
      </c>
      <c r="CN243" t="s">
        <v>417</v>
      </c>
      <c r="CO243" t="s">
        <v>417</v>
      </c>
      <c r="CP243" t="s">
        <v>417</v>
      </c>
      <c r="CQ243" t="s">
        <v>417</v>
      </c>
      <c r="CR243">
        <f>$B$11*DQ243+$C$11*DR243+$F$11*EC243*(1-EF243)</f>
        <v>0</v>
      </c>
      <c r="CS243">
        <f>CR243*CT243</f>
        <v>0</v>
      </c>
      <c r="CT243">
        <f>($B$11*$D$9+$C$11*$D$9+$F$11*((EP243+EH243)/MAX(EP243+EH243+EQ243, 0.1)*$I$9+EQ243/MAX(EP243+EH243+EQ243, 0.1)*$J$9))/($B$11+$C$11+$F$11)</f>
        <v>0</v>
      </c>
      <c r="CU243">
        <f>($B$11*$K$9+$C$11*$K$9+$F$11*((EP243+EH243)/MAX(EP243+EH243+EQ243, 0.1)*$P$9+EQ243/MAX(EP243+EH243+EQ243, 0.1)*$Q$9))/($B$11+$C$11+$F$11)</f>
        <v>0</v>
      </c>
      <c r="CV243">
        <v>6</v>
      </c>
      <c r="CW243">
        <v>0.5</v>
      </c>
      <c r="CX243" t="s">
        <v>418</v>
      </c>
      <c r="CY243">
        <v>2</v>
      </c>
      <c r="CZ243" t="b">
        <v>1</v>
      </c>
      <c r="DA243">
        <v>1651864849.725</v>
      </c>
      <c r="DB243">
        <v>151.0765</v>
      </c>
      <c r="DC243">
        <v>135.7845</v>
      </c>
      <c r="DD243">
        <v>18.374775</v>
      </c>
      <c r="DE243">
        <v>14.11965</v>
      </c>
      <c r="DF243">
        <v>151.59775</v>
      </c>
      <c r="DG243">
        <v>18.35405</v>
      </c>
      <c r="DH243">
        <v>500.048</v>
      </c>
      <c r="DI243">
        <v>89.92642499999999</v>
      </c>
      <c r="DJ243">
        <v>0.1000919</v>
      </c>
      <c r="DK243">
        <v>25.627925</v>
      </c>
      <c r="DL243">
        <v>24.994</v>
      </c>
      <c r="DM243">
        <v>999.9</v>
      </c>
      <c r="DN243">
        <v>0</v>
      </c>
      <c r="DO243">
        <v>0</v>
      </c>
      <c r="DP243">
        <v>9983.4375</v>
      </c>
      <c r="DQ243">
        <v>0</v>
      </c>
      <c r="DR243">
        <v>3.23193</v>
      </c>
      <c r="DS243">
        <v>15.29175</v>
      </c>
      <c r="DT243">
        <v>153.9045</v>
      </c>
      <c r="DU243">
        <v>137.729</v>
      </c>
      <c r="DV243">
        <v>4.2551075</v>
      </c>
      <c r="DW243">
        <v>135.7845</v>
      </c>
      <c r="DX243">
        <v>14.11965</v>
      </c>
      <c r="DY243">
        <v>1.6523775</v>
      </c>
      <c r="DZ243">
        <v>1.2697325</v>
      </c>
      <c r="EA243">
        <v>14.456125</v>
      </c>
      <c r="EB243">
        <v>10.445275</v>
      </c>
      <c r="EC243">
        <v>1499.9225</v>
      </c>
      <c r="ED243">
        <v>0.97300325</v>
      </c>
      <c r="EE243">
        <v>0.026996825</v>
      </c>
      <c r="EF243">
        <v>0</v>
      </c>
      <c r="EG243">
        <v>832.64275</v>
      </c>
      <c r="EH243">
        <v>5.00097</v>
      </c>
      <c r="EI243">
        <v>12369.7</v>
      </c>
      <c r="EJ243">
        <v>12490.975</v>
      </c>
      <c r="EK243">
        <v>37.187</v>
      </c>
      <c r="EL243">
        <v>38.687</v>
      </c>
      <c r="EM243">
        <v>37.625</v>
      </c>
      <c r="EN243">
        <v>38.375</v>
      </c>
      <c r="EO243">
        <v>38.062</v>
      </c>
      <c r="EP243">
        <v>1454.565</v>
      </c>
      <c r="EQ243">
        <v>40.3575</v>
      </c>
      <c r="ER243">
        <v>0</v>
      </c>
      <c r="ES243">
        <v>630</v>
      </c>
      <c r="ET243">
        <v>0</v>
      </c>
      <c r="EU243">
        <v>832.0570769230769</v>
      </c>
      <c r="EV243">
        <v>6.271452983034175</v>
      </c>
      <c r="EW243">
        <v>100.8991452883791</v>
      </c>
      <c r="EX243">
        <v>12358.99615384615</v>
      </c>
      <c r="EY243">
        <v>15</v>
      </c>
      <c r="EZ243">
        <v>1651864261.1</v>
      </c>
      <c r="FA243" t="s">
        <v>419</v>
      </c>
      <c r="FB243">
        <v>1651864241.6</v>
      </c>
      <c r="FC243">
        <v>1651864261.1</v>
      </c>
      <c r="FD243">
        <v>7</v>
      </c>
      <c r="FE243">
        <v>0.438</v>
      </c>
      <c r="FF243">
        <v>0.002</v>
      </c>
      <c r="FG243">
        <v>-0.988</v>
      </c>
      <c r="FH243">
        <v>-0.066</v>
      </c>
      <c r="FI243">
        <v>400</v>
      </c>
      <c r="FJ243">
        <v>11</v>
      </c>
      <c r="FK243">
        <v>0.05</v>
      </c>
      <c r="FL243">
        <v>0.02</v>
      </c>
      <c r="FM243">
        <v>13.08703902439024</v>
      </c>
      <c r="FN243">
        <v>15.17051707317074</v>
      </c>
      <c r="FO243">
        <v>1.497080107486969</v>
      </c>
      <c r="FP243">
        <v>-1</v>
      </c>
      <c r="FQ243">
        <v>4.242426585365854</v>
      </c>
      <c r="FR243">
        <v>0.07051003484321201</v>
      </c>
      <c r="FS243">
        <v>0.007061656549162002</v>
      </c>
      <c r="FT243">
        <v>-1</v>
      </c>
      <c r="FU243">
        <v>0</v>
      </c>
      <c r="FV243">
        <v>0</v>
      </c>
      <c r="FW243">
        <v>0</v>
      </c>
      <c r="FX243">
        <v>-1</v>
      </c>
      <c r="FY243">
        <v>0</v>
      </c>
      <c r="FZ243">
        <v>0</v>
      </c>
      <c r="GA243" t="s">
        <v>420</v>
      </c>
      <c r="GB243">
        <v>2.9805</v>
      </c>
      <c r="GC243">
        <v>2.70609</v>
      </c>
      <c r="GD243">
        <v>0.0382075</v>
      </c>
      <c r="GE243">
        <v>0.0339393</v>
      </c>
      <c r="GF243">
        <v>0.0877309</v>
      </c>
      <c r="GG243">
        <v>0.0715553</v>
      </c>
      <c r="GH243">
        <v>30352.6</v>
      </c>
      <c r="GI243">
        <v>30553.4</v>
      </c>
      <c r="GJ243">
        <v>29343.9</v>
      </c>
      <c r="GK243">
        <v>29257.5</v>
      </c>
      <c r="GL243">
        <v>35445.4</v>
      </c>
      <c r="GM243">
        <v>36176.6</v>
      </c>
      <c r="GN243">
        <v>41302.9</v>
      </c>
      <c r="GO243">
        <v>41759.7</v>
      </c>
      <c r="GP243">
        <v>1.95502</v>
      </c>
      <c r="GQ243">
        <v>1.8486</v>
      </c>
      <c r="GR243">
        <v>-0.0208057</v>
      </c>
      <c r="GS243">
        <v>0</v>
      </c>
      <c r="GT243">
        <v>25.3322</v>
      </c>
      <c r="GU243">
        <v>999.9</v>
      </c>
      <c r="GV243">
        <v>31.5</v>
      </c>
      <c r="GW243">
        <v>34.3</v>
      </c>
      <c r="GX243">
        <v>19.031</v>
      </c>
      <c r="GY243">
        <v>62.5075</v>
      </c>
      <c r="GZ243">
        <v>34.8958</v>
      </c>
      <c r="HA243">
        <v>1</v>
      </c>
      <c r="HB243">
        <v>0.10811</v>
      </c>
      <c r="HC243">
        <v>2.30259</v>
      </c>
      <c r="HD243">
        <v>20.3184</v>
      </c>
      <c r="HE243">
        <v>5.21744</v>
      </c>
      <c r="HF243">
        <v>12.0099</v>
      </c>
      <c r="HG243">
        <v>4.9883</v>
      </c>
      <c r="HH243">
        <v>3.28865</v>
      </c>
      <c r="HI243">
        <v>1000.9</v>
      </c>
      <c r="HJ243">
        <v>9559.6</v>
      </c>
      <c r="HK243">
        <v>5139.4</v>
      </c>
      <c r="HL243">
        <v>24.9</v>
      </c>
      <c r="HM243">
        <v>1.86752</v>
      </c>
      <c r="HN243">
        <v>1.86646</v>
      </c>
      <c r="HO243">
        <v>1.866</v>
      </c>
      <c r="HP243">
        <v>1.86585</v>
      </c>
      <c r="HQ243">
        <v>1.86768</v>
      </c>
      <c r="HR243">
        <v>1.87023</v>
      </c>
      <c r="HS243">
        <v>1.8689</v>
      </c>
      <c r="HT243">
        <v>1.87026</v>
      </c>
      <c r="HU243">
        <v>0</v>
      </c>
      <c r="HV243">
        <v>0</v>
      </c>
      <c r="HW243">
        <v>0</v>
      </c>
      <c r="HX243">
        <v>0</v>
      </c>
      <c r="HY243" t="s">
        <v>421</v>
      </c>
      <c r="HZ243" t="s">
        <v>422</v>
      </c>
      <c r="IA243" t="s">
        <v>423</v>
      </c>
      <c r="IB243" t="s">
        <v>423</v>
      </c>
      <c r="IC243" t="s">
        <v>423</v>
      </c>
      <c r="ID243" t="s">
        <v>423</v>
      </c>
      <c r="IE243">
        <v>0</v>
      </c>
      <c r="IF243">
        <v>100</v>
      </c>
      <c r="IG243">
        <v>100</v>
      </c>
      <c r="IH243">
        <v>-0.514</v>
      </c>
      <c r="II243">
        <v>0.0208</v>
      </c>
      <c r="IJ243">
        <v>-0.2164499368582429</v>
      </c>
      <c r="IK243">
        <v>-0.002077099775823331</v>
      </c>
      <c r="IL243">
        <v>4.593143279902166E-07</v>
      </c>
      <c r="IM243">
        <v>-1.865383991892071E-10</v>
      </c>
      <c r="IN243">
        <v>-0.06087574426827484</v>
      </c>
      <c r="IO243">
        <v>-0.01129461987421345</v>
      </c>
      <c r="IP243">
        <v>0.00116580895745559</v>
      </c>
      <c r="IQ243">
        <v>-1.679085872906199E-05</v>
      </c>
      <c r="IR243">
        <v>2</v>
      </c>
      <c r="IS243">
        <v>2290</v>
      </c>
      <c r="IT243">
        <v>0</v>
      </c>
      <c r="IU243">
        <v>32</v>
      </c>
      <c r="IV243">
        <v>10.2</v>
      </c>
      <c r="IW243">
        <v>9.800000000000001</v>
      </c>
      <c r="IX243">
        <v>0.401611</v>
      </c>
      <c r="IY243">
        <v>2.27905</v>
      </c>
      <c r="IZ243">
        <v>1.39648</v>
      </c>
      <c r="JA243">
        <v>2.35596</v>
      </c>
      <c r="JB243">
        <v>1.49536</v>
      </c>
      <c r="JC243">
        <v>2.30103</v>
      </c>
      <c r="JD243">
        <v>38.5014</v>
      </c>
      <c r="JE243">
        <v>24.035</v>
      </c>
      <c r="JF243">
        <v>18</v>
      </c>
      <c r="JG243">
        <v>510.984</v>
      </c>
      <c r="JH243">
        <v>428.147</v>
      </c>
      <c r="JI243">
        <v>22.2031</v>
      </c>
      <c r="JJ243">
        <v>28.6952</v>
      </c>
      <c r="JK243">
        <v>30.0001</v>
      </c>
      <c r="JL243">
        <v>28.6593</v>
      </c>
      <c r="JM243">
        <v>28.5968</v>
      </c>
      <c r="JN243">
        <v>7.9757</v>
      </c>
      <c r="JO243">
        <v>26.5129</v>
      </c>
      <c r="JP243">
        <v>0</v>
      </c>
      <c r="JQ243">
        <v>22.2065</v>
      </c>
      <c r="JR243">
        <v>105.957</v>
      </c>
      <c r="JS243">
        <v>14.1432</v>
      </c>
      <c r="JT243">
        <v>100.303</v>
      </c>
      <c r="JU243">
        <v>100.226</v>
      </c>
    </row>
    <row r="244" spans="1:281">
      <c r="A244">
        <v>228</v>
      </c>
      <c r="B244">
        <v>1651864853.1</v>
      </c>
      <c r="C244">
        <v>632.5</v>
      </c>
      <c r="D244" t="s">
        <v>876</v>
      </c>
      <c r="E244" t="s">
        <v>877</v>
      </c>
      <c r="F244">
        <v>2</v>
      </c>
      <c r="G244" t="s">
        <v>413</v>
      </c>
      <c r="H244" t="s">
        <v>414</v>
      </c>
      <c r="I244">
        <v>1651864852.1</v>
      </c>
      <c r="J244">
        <f>(K244)/1000</f>
        <v>0</v>
      </c>
      <c r="K244">
        <f>IF(CZ244, AN244, AH244)</f>
        <v>0</v>
      </c>
      <c r="L244">
        <f>IF(CZ244, AI244, AG244)</f>
        <v>0</v>
      </c>
      <c r="M244">
        <f>DB244 - IF(AU244&gt;1, L244*CV244*100.0/(AW244*DP244), 0)</f>
        <v>0</v>
      </c>
      <c r="N244">
        <f>((T244-J244/2)*M244-L244)/(T244+J244/2)</f>
        <v>0</v>
      </c>
      <c r="O244">
        <f>N244*(DI244+DJ244)/1000.0</f>
        <v>0</v>
      </c>
      <c r="P244">
        <f>(DB244 - IF(AU244&gt;1, L244*CV244*100.0/(AW244*DP244), 0))*(DI244+DJ244)/1000.0</f>
        <v>0</v>
      </c>
      <c r="Q244">
        <f>2.0/((1/S244-1/R244)+SIGN(S244)*SQRT((1/S244-1/R244)*(1/S244-1/R244) + 4*CW244/((CW244+1)*(CW244+1))*(2*1/S244*1/R244-1/R244*1/R244)))</f>
        <v>0</v>
      </c>
      <c r="R244">
        <f>IF(LEFT(CX244,1)&lt;&gt;"0",IF(LEFT(CX244,1)="1",3.0,CY244),$D$5+$E$5*(DP244*DI244/($K$5*1000))+$F$5*(DP244*DI244/($K$5*1000))*MAX(MIN(CV244,$J$5),$I$5)*MAX(MIN(CV244,$J$5),$I$5)+$G$5*MAX(MIN(CV244,$J$5),$I$5)*(DP244*DI244/($K$5*1000))+$H$5*(DP244*DI244/($K$5*1000))*(DP244*DI244/($K$5*1000)))</f>
        <v>0</v>
      </c>
      <c r="S244">
        <f>J244*(1000-(1000*0.61365*exp(17.502*W244/(240.97+W244))/(DI244+DJ244)+DD244)/2)/(1000*0.61365*exp(17.502*W244/(240.97+W244))/(DI244+DJ244)-DD244)</f>
        <v>0</v>
      </c>
      <c r="T244">
        <f>1/((CW244+1)/(Q244/1.6)+1/(R244/1.37)) + CW244/((CW244+1)/(Q244/1.6) + CW244/(R244/1.37))</f>
        <v>0</v>
      </c>
      <c r="U244">
        <f>(CR244*CU244)</f>
        <v>0</v>
      </c>
      <c r="V244">
        <f>(DK244+(U244+2*0.95*5.67E-8*(((DK244+$B$7)+273)^4-(DK244+273)^4)-44100*J244)/(1.84*29.3*R244+8*0.95*5.67E-8*(DK244+273)^3))</f>
        <v>0</v>
      </c>
      <c r="W244">
        <f>($C$7*DL244+$D$7*DM244+$E$7*V244)</f>
        <v>0</v>
      </c>
      <c r="X244">
        <f>0.61365*exp(17.502*W244/(240.97+W244))</f>
        <v>0</v>
      </c>
      <c r="Y244">
        <f>(Z244/AA244*100)</f>
        <v>0</v>
      </c>
      <c r="Z244">
        <f>DD244*(DI244+DJ244)/1000</f>
        <v>0</v>
      </c>
      <c r="AA244">
        <f>0.61365*exp(17.502*DK244/(240.97+DK244))</f>
        <v>0</v>
      </c>
      <c r="AB244">
        <f>(X244-DD244*(DI244+DJ244)/1000)</f>
        <v>0</v>
      </c>
      <c r="AC244">
        <f>(-J244*44100)</f>
        <v>0</v>
      </c>
      <c r="AD244">
        <f>2*29.3*R244*0.92*(DK244-W244)</f>
        <v>0</v>
      </c>
      <c r="AE244">
        <f>2*0.95*5.67E-8*(((DK244+$B$7)+273)^4-(W244+273)^4)</f>
        <v>0</v>
      </c>
      <c r="AF244">
        <f>U244+AE244+AC244+AD244</f>
        <v>0</v>
      </c>
      <c r="AG244">
        <f>DH244*AU244*(DC244-DB244*(1000-AU244*DE244)/(1000-AU244*DD244))/(100*CV244)</f>
        <v>0</v>
      </c>
      <c r="AH244">
        <f>1000*DH244*AU244*(DD244-DE244)/(100*CV244*(1000-AU244*DD244))</f>
        <v>0</v>
      </c>
      <c r="AI244">
        <f>(AJ244 - AK244 - DI244*1E3/(8.314*(DK244+273.15)) * AM244/DH244 * AL244) * DH244/(100*CV244) * (1000 - DE244)/1000</f>
        <v>0</v>
      </c>
      <c r="AJ244">
        <v>135.7006696683938</v>
      </c>
      <c r="AK244">
        <v>144.8780484848485</v>
      </c>
      <c r="AL244">
        <v>-3.138879457571955</v>
      </c>
      <c r="AM244">
        <v>66.38192812717227</v>
      </c>
      <c r="AN244">
        <f>(AP244 - AO244 + DI244*1E3/(8.314*(DK244+273.15)) * AR244/DH244 * AQ244) * DH244/(100*CV244) * 1000/(1000 - AP244)</f>
        <v>0</v>
      </c>
      <c r="AO244">
        <v>14.12065107955589</v>
      </c>
      <c r="AP244">
        <v>18.37581470588234</v>
      </c>
      <c r="AQ244">
        <v>5.642309262171265E-05</v>
      </c>
      <c r="AR244">
        <v>80.47224507511959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MAX(0,($B$13+$C$13*DP244)/(1+$D$13*DP244)*DI244/(DK244+273)*$E$13)</f>
        <v>0</v>
      </c>
      <c r="AX244" t="s">
        <v>417</v>
      </c>
      <c r="AY244" t="s">
        <v>417</v>
      </c>
      <c r="AZ244">
        <v>0</v>
      </c>
      <c r="BA244">
        <v>0</v>
      </c>
      <c r="BB244">
        <f>1-AZ244/BA244</f>
        <v>0</v>
      </c>
      <c r="BC244">
        <v>0</v>
      </c>
      <c r="BD244" t="s">
        <v>417</v>
      </c>
      <c r="BE244" t="s">
        <v>417</v>
      </c>
      <c r="BF244">
        <v>0</v>
      </c>
      <c r="BG244">
        <v>0</v>
      </c>
      <c r="BH244">
        <f>1-BF244/BG244</f>
        <v>0</v>
      </c>
      <c r="BI244">
        <v>0.5</v>
      </c>
      <c r="BJ244">
        <f>CS244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417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BZ244">
        <v>1248</v>
      </c>
      <c r="CA244">
        <v>300</v>
      </c>
      <c r="CB244">
        <v>300</v>
      </c>
      <c r="CC244">
        <v>300</v>
      </c>
      <c r="CD244">
        <v>10442</v>
      </c>
      <c r="CE244">
        <v>1293.69</v>
      </c>
      <c r="CF244">
        <v>-0.00735246</v>
      </c>
      <c r="CG244">
        <v>0.5</v>
      </c>
      <c r="CH244" t="s">
        <v>417</v>
      </c>
      <c r="CI244" t="s">
        <v>417</v>
      </c>
      <c r="CJ244" t="s">
        <v>417</v>
      </c>
      <c r="CK244" t="s">
        <v>417</v>
      </c>
      <c r="CL244" t="s">
        <v>417</v>
      </c>
      <c r="CM244" t="s">
        <v>417</v>
      </c>
      <c r="CN244" t="s">
        <v>417</v>
      </c>
      <c r="CO244" t="s">
        <v>417</v>
      </c>
      <c r="CP244" t="s">
        <v>417</v>
      </c>
      <c r="CQ244" t="s">
        <v>417</v>
      </c>
      <c r="CR244">
        <f>$B$11*DQ244+$C$11*DR244+$F$11*EC244*(1-EF244)</f>
        <v>0</v>
      </c>
      <c r="CS244">
        <f>CR244*CT244</f>
        <v>0</v>
      </c>
      <c r="CT244">
        <f>($B$11*$D$9+$C$11*$D$9+$F$11*((EP244+EH244)/MAX(EP244+EH244+EQ244, 0.1)*$I$9+EQ244/MAX(EP244+EH244+EQ244, 0.1)*$J$9))/($B$11+$C$11+$F$11)</f>
        <v>0</v>
      </c>
      <c r="CU244">
        <f>($B$11*$K$9+$C$11*$K$9+$F$11*((EP244+EH244)/MAX(EP244+EH244+EQ244, 0.1)*$P$9+EQ244/MAX(EP244+EH244+EQ244, 0.1)*$Q$9))/($B$11+$C$11+$F$11)</f>
        <v>0</v>
      </c>
      <c r="CV244">
        <v>6</v>
      </c>
      <c r="CW244">
        <v>0.5</v>
      </c>
      <c r="CX244" t="s">
        <v>418</v>
      </c>
      <c r="CY244">
        <v>2</v>
      </c>
      <c r="CZ244" t="b">
        <v>1</v>
      </c>
      <c r="DA244">
        <v>1651864852.1</v>
      </c>
      <c r="DB244">
        <v>143.7576666666666</v>
      </c>
      <c r="DC244">
        <v>127.908</v>
      </c>
      <c r="DD244">
        <v>18.3758</v>
      </c>
      <c r="DE244">
        <v>14.11893333333333</v>
      </c>
      <c r="DF244">
        <v>144.2646666666667</v>
      </c>
      <c r="DG244">
        <v>18.35503333333333</v>
      </c>
      <c r="DH244">
        <v>500.037</v>
      </c>
      <c r="DI244">
        <v>89.92700000000001</v>
      </c>
      <c r="DJ244">
        <v>0.09987309999999999</v>
      </c>
      <c r="DK244">
        <v>25.6272</v>
      </c>
      <c r="DL244">
        <v>24.9913</v>
      </c>
      <c r="DM244">
        <v>999.9</v>
      </c>
      <c r="DN244">
        <v>0</v>
      </c>
      <c r="DO244">
        <v>0</v>
      </c>
      <c r="DP244">
        <v>10010.62666666667</v>
      </c>
      <c r="DQ244">
        <v>0</v>
      </c>
      <c r="DR244">
        <v>3.23193</v>
      </c>
      <c r="DS244">
        <v>15.84953333333333</v>
      </c>
      <c r="DT244">
        <v>146.449</v>
      </c>
      <c r="DU244">
        <v>129.74</v>
      </c>
      <c r="DV244">
        <v>4.256863333333333</v>
      </c>
      <c r="DW244">
        <v>127.908</v>
      </c>
      <c r="DX244">
        <v>14.11893333333333</v>
      </c>
      <c r="DY244">
        <v>1.65248</v>
      </c>
      <c r="DZ244">
        <v>1.26967</v>
      </c>
      <c r="EA244">
        <v>14.4571</v>
      </c>
      <c r="EB244">
        <v>10.44456666666667</v>
      </c>
      <c r="EC244">
        <v>1499.96</v>
      </c>
      <c r="ED244">
        <v>0.973002</v>
      </c>
      <c r="EE244">
        <v>0.02699806666666666</v>
      </c>
      <c r="EF244">
        <v>0</v>
      </c>
      <c r="EG244">
        <v>833.096</v>
      </c>
      <c r="EH244">
        <v>5.00097</v>
      </c>
      <c r="EI244">
        <v>12376.9</v>
      </c>
      <c r="EJ244">
        <v>12491.26666666667</v>
      </c>
      <c r="EK244">
        <v>37.187</v>
      </c>
      <c r="EL244">
        <v>38.687</v>
      </c>
      <c r="EM244">
        <v>37.625</v>
      </c>
      <c r="EN244">
        <v>38.375</v>
      </c>
      <c r="EO244">
        <v>38.062</v>
      </c>
      <c r="EP244">
        <v>1454.6</v>
      </c>
      <c r="EQ244">
        <v>40.36000000000001</v>
      </c>
      <c r="ER244">
        <v>0</v>
      </c>
      <c r="ES244">
        <v>631.7999999523163</v>
      </c>
      <c r="ET244">
        <v>0</v>
      </c>
      <c r="EU244">
        <v>832.2602800000002</v>
      </c>
      <c r="EV244">
        <v>8.606461535460936</v>
      </c>
      <c r="EW244">
        <v>121.9461539236446</v>
      </c>
      <c r="EX244">
        <v>12362.776</v>
      </c>
      <c r="EY244">
        <v>15</v>
      </c>
      <c r="EZ244">
        <v>1651864261.1</v>
      </c>
      <c r="FA244" t="s">
        <v>419</v>
      </c>
      <c r="FB244">
        <v>1651864241.6</v>
      </c>
      <c r="FC244">
        <v>1651864261.1</v>
      </c>
      <c r="FD244">
        <v>7</v>
      </c>
      <c r="FE244">
        <v>0.438</v>
      </c>
      <c r="FF244">
        <v>0.002</v>
      </c>
      <c r="FG244">
        <v>-0.988</v>
      </c>
      <c r="FH244">
        <v>-0.066</v>
      </c>
      <c r="FI244">
        <v>400</v>
      </c>
      <c r="FJ244">
        <v>11</v>
      </c>
      <c r="FK244">
        <v>0.05</v>
      </c>
      <c r="FL244">
        <v>0.02</v>
      </c>
      <c r="FM244">
        <v>13.520255</v>
      </c>
      <c r="FN244">
        <v>14.9721410881801</v>
      </c>
      <c r="FO244">
        <v>1.441917976507332</v>
      </c>
      <c r="FP244">
        <v>-1</v>
      </c>
      <c r="FQ244">
        <v>4.24452175</v>
      </c>
      <c r="FR244">
        <v>0.07261834896809814</v>
      </c>
      <c r="FS244">
        <v>0.007094523200152351</v>
      </c>
      <c r="FT244">
        <v>-1</v>
      </c>
      <c r="FU244">
        <v>0</v>
      </c>
      <c r="FV244">
        <v>0</v>
      </c>
      <c r="FW244">
        <v>0</v>
      </c>
      <c r="FX244">
        <v>-1</v>
      </c>
      <c r="FY244">
        <v>0</v>
      </c>
      <c r="FZ244">
        <v>0</v>
      </c>
      <c r="GA244" t="s">
        <v>420</v>
      </c>
      <c r="GB244">
        <v>2.98036</v>
      </c>
      <c r="GC244">
        <v>2.70616</v>
      </c>
      <c r="GD244">
        <v>0.0367006</v>
      </c>
      <c r="GE244">
        <v>0.0323009</v>
      </c>
      <c r="GF244">
        <v>0.08773889999999999</v>
      </c>
      <c r="GG244">
        <v>0.0715562</v>
      </c>
      <c r="GH244">
        <v>30400.2</v>
      </c>
      <c r="GI244">
        <v>30605.4</v>
      </c>
      <c r="GJ244">
        <v>29343.9</v>
      </c>
      <c r="GK244">
        <v>29257.6</v>
      </c>
      <c r="GL244">
        <v>35445.1</v>
      </c>
      <c r="GM244">
        <v>36176.7</v>
      </c>
      <c r="GN244">
        <v>41302.9</v>
      </c>
      <c r="GO244">
        <v>41759.9</v>
      </c>
      <c r="GP244">
        <v>1.95505</v>
      </c>
      <c r="GQ244">
        <v>1.8485</v>
      </c>
      <c r="GR244">
        <v>-0.0210442</v>
      </c>
      <c r="GS244">
        <v>0</v>
      </c>
      <c r="GT244">
        <v>25.3311</v>
      </c>
      <c r="GU244">
        <v>999.9</v>
      </c>
      <c r="GV244">
        <v>31.5</v>
      </c>
      <c r="GW244">
        <v>34.3</v>
      </c>
      <c r="GX244">
        <v>19.0322</v>
      </c>
      <c r="GY244">
        <v>62.1875</v>
      </c>
      <c r="GZ244">
        <v>35.2724</v>
      </c>
      <c r="HA244">
        <v>1</v>
      </c>
      <c r="HB244">
        <v>0.108087</v>
      </c>
      <c r="HC244">
        <v>2.2983</v>
      </c>
      <c r="HD244">
        <v>20.3185</v>
      </c>
      <c r="HE244">
        <v>5.21714</v>
      </c>
      <c r="HF244">
        <v>12.0099</v>
      </c>
      <c r="HG244">
        <v>4.98835</v>
      </c>
      <c r="HH244">
        <v>3.28865</v>
      </c>
      <c r="HI244">
        <v>1000.9</v>
      </c>
      <c r="HJ244">
        <v>9559.6</v>
      </c>
      <c r="HK244">
        <v>5139.4</v>
      </c>
      <c r="HL244">
        <v>24.9</v>
      </c>
      <c r="HM244">
        <v>1.86751</v>
      </c>
      <c r="HN244">
        <v>1.86646</v>
      </c>
      <c r="HO244">
        <v>1.866</v>
      </c>
      <c r="HP244">
        <v>1.86584</v>
      </c>
      <c r="HQ244">
        <v>1.86768</v>
      </c>
      <c r="HR244">
        <v>1.87021</v>
      </c>
      <c r="HS244">
        <v>1.8689</v>
      </c>
      <c r="HT244">
        <v>1.87024</v>
      </c>
      <c r="HU244">
        <v>0</v>
      </c>
      <c r="HV244">
        <v>0</v>
      </c>
      <c r="HW244">
        <v>0</v>
      </c>
      <c r="HX244">
        <v>0</v>
      </c>
      <c r="HY244" t="s">
        <v>421</v>
      </c>
      <c r="HZ244" t="s">
        <v>422</v>
      </c>
      <c r="IA244" t="s">
        <v>423</v>
      </c>
      <c r="IB244" t="s">
        <v>423</v>
      </c>
      <c r="IC244" t="s">
        <v>423</v>
      </c>
      <c r="ID244" t="s">
        <v>423</v>
      </c>
      <c r="IE244">
        <v>0</v>
      </c>
      <c r="IF244">
        <v>100</v>
      </c>
      <c r="IG244">
        <v>100</v>
      </c>
      <c r="IH244">
        <v>-0.501</v>
      </c>
      <c r="II244">
        <v>0.0208</v>
      </c>
      <c r="IJ244">
        <v>-0.2164499368582429</v>
      </c>
      <c r="IK244">
        <v>-0.002077099775823331</v>
      </c>
      <c r="IL244">
        <v>4.593143279902166E-07</v>
      </c>
      <c r="IM244">
        <v>-1.865383991892071E-10</v>
      </c>
      <c r="IN244">
        <v>-0.06087574426827484</v>
      </c>
      <c r="IO244">
        <v>-0.01129461987421345</v>
      </c>
      <c r="IP244">
        <v>0.00116580895745559</v>
      </c>
      <c r="IQ244">
        <v>-1.679085872906199E-05</v>
      </c>
      <c r="IR244">
        <v>2</v>
      </c>
      <c r="IS244">
        <v>2290</v>
      </c>
      <c r="IT244">
        <v>0</v>
      </c>
      <c r="IU244">
        <v>32</v>
      </c>
      <c r="IV244">
        <v>10.2</v>
      </c>
      <c r="IW244">
        <v>9.9</v>
      </c>
      <c r="IX244">
        <v>0.393066</v>
      </c>
      <c r="IY244">
        <v>2.27417</v>
      </c>
      <c r="IZ244">
        <v>1.39648</v>
      </c>
      <c r="JA244">
        <v>2.35596</v>
      </c>
      <c r="JB244">
        <v>1.49536</v>
      </c>
      <c r="JC244">
        <v>2.36572</v>
      </c>
      <c r="JD244">
        <v>38.5259</v>
      </c>
      <c r="JE244">
        <v>24.035</v>
      </c>
      <c r="JF244">
        <v>18</v>
      </c>
      <c r="JG244">
        <v>511</v>
      </c>
      <c r="JH244">
        <v>428.088</v>
      </c>
      <c r="JI244">
        <v>22.2046</v>
      </c>
      <c r="JJ244">
        <v>28.6952</v>
      </c>
      <c r="JK244">
        <v>30</v>
      </c>
      <c r="JL244">
        <v>28.6593</v>
      </c>
      <c r="JM244">
        <v>28.5968</v>
      </c>
      <c r="JN244">
        <v>7.67236</v>
      </c>
      <c r="JO244">
        <v>26.5129</v>
      </c>
      <c r="JP244">
        <v>0</v>
      </c>
      <c r="JQ244">
        <v>22.2065</v>
      </c>
      <c r="JR244">
        <v>98.95569999999999</v>
      </c>
      <c r="JS244">
        <v>14.1432</v>
      </c>
      <c r="JT244">
        <v>100.304</v>
      </c>
      <c r="JU244">
        <v>100.227</v>
      </c>
    </row>
    <row r="245" spans="1:281">
      <c r="A245">
        <v>229</v>
      </c>
      <c r="B245">
        <v>1651864855.1</v>
      </c>
      <c r="C245">
        <v>634.5</v>
      </c>
      <c r="D245" t="s">
        <v>878</v>
      </c>
      <c r="E245" t="s">
        <v>879</v>
      </c>
      <c r="F245">
        <v>2</v>
      </c>
      <c r="G245" t="s">
        <v>413</v>
      </c>
      <c r="H245" t="s">
        <v>414</v>
      </c>
      <c r="I245">
        <v>1651864853.725</v>
      </c>
      <c r="J245">
        <f>(K245)/1000</f>
        <v>0</v>
      </c>
      <c r="K245">
        <f>IF(CZ245, AN245, AH245)</f>
        <v>0</v>
      </c>
      <c r="L245">
        <f>IF(CZ245, AI245, AG245)</f>
        <v>0</v>
      </c>
      <c r="M245">
        <f>DB245 - IF(AU245&gt;1, L245*CV245*100.0/(AW245*DP245), 0)</f>
        <v>0</v>
      </c>
      <c r="N245">
        <f>((T245-J245/2)*M245-L245)/(T245+J245/2)</f>
        <v>0</v>
      </c>
      <c r="O245">
        <f>N245*(DI245+DJ245)/1000.0</f>
        <v>0</v>
      </c>
      <c r="P245">
        <f>(DB245 - IF(AU245&gt;1, L245*CV245*100.0/(AW245*DP245), 0))*(DI245+DJ245)/1000.0</f>
        <v>0</v>
      </c>
      <c r="Q245">
        <f>2.0/((1/S245-1/R245)+SIGN(S245)*SQRT((1/S245-1/R245)*(1/S245-1/R245) + 4*CW245/((CW245+1)*(CW245+1))*(2*1/S245*1/R245-1/R245*1/R245)))</f>
        <v>0</v>
      </c>
      <c r="R245">
        <f>IF(LEFT(CX245,1)&lt;&gt;"0",IF(LEFT(CX245,1)="1",3.0,CY245),$D$5+$E$5*(DP245*DI245/($K$5*1000))+$F$5*(DP245*DI245/($K$5*1000))*MAX(MIN(CV245,$J$5),$I$5)*MAX(MIN(CV245,$J$5),$I$5)+$G$5*MAX(MIN(CV245,$J$5),$I$5)*(DP245*DI245/($K$5*1000))+$H$5*(DP245*DI245/($K$5*1000))*(DP245*DI245/($K$5*1000)))</f>
        <v>0</v>
      </c>
      <c r="S245">
        <f>J245*(1000-(1000*0.61365*exp(17.502*W245/(240.97+W245))/(DI245+DJ245)+DD245)/2)/(1000*0.61365*exp(17.502*W245/(240.97+W245))/(DI245+DJ245)-DD245)</f>
        <v>0</v>
      </c>
      <c r="T245">
        <f>1/((CW245+1)/(Q245/1.6)+1/(R245/1.37)) + CW245/((CW245+1)/(Q245/1.6) + CW245/(R245/1.37))</f>
        <v>0</v>
      </c>
      <c r="U245">
        <f>(CR245*CU245)</f>
        <v>0</v>
      </c>
      <c r="V245">
        <f>(DK245+(U245+2*0.95*5.67E-8*(((DK245+$B$7)+273)^4-(DK245+273)^4)-44100*J245)/(1.84*29.3*R245+8*0.95*5.67E-8*(DK245+273)^3))</f>
        <v>0</v>
      </c>
      <c r="W245">
        <f>($C$7*DL245+$D$7*DM245+$E$7*V245)</f>
        <v>0</v>
      </c>
      <c r="X245">
        <f>0.61365*exp(17.502*W245/(240.97+W245))</f>
        <v>0</v>
      </c>
      <c r="Y245">
        <f>(Z245/AA245*100)</f>
        <v>0</v>
      </c>
      <c r="Z245">
        <f>DD245*(DI245+DJ245)/1000</f>
        <v>0</v>
      </c>
      <c r="AA245">
        <f>0.61365*exp(17.502*DK245/(240.97+DK245))</f>
        <v>0</v>
      </c>
      <c r="AB245">
        <f>(X245-DD245*(DI245+DJ245)/1000)</f>
        <v>0</v>
      </c>
      <c r="AC245">
        <f>(-J245*44100)</f>
        <v>0</v>
      </c>
      <c r="AD245">
        <f>2*29.3*R245*0.92*(DK245-W245)</f>
        <v>0</v>
      </c>
      <c r="AE245">
        <f>2*0.95*5.67E-8*(((DK245+$B$7)+273)^4-(W245+273)^4)</f>
        <v>0</v>
      </c>
      <c r="AF245">
        <f>U245+AE245+AC245+AD245</f>
        <v>0</v>
      </c>
      <c r="AG245">
        <f>DH245*AU245*(DC245-DB245*(1000-AU245*DE245)/(1000-AU245*DD245))/(100*CV245)</f>
        <v>0</v>
      </c>
      <c r="AH245">
        <f>1000*DH245*AU245*(DD245-DE245)/(100*CV245*(1000-AU245*DD245))</f>
        <v>0</v>
      </c>
      <c r="AI245">
        <f>(AJ245 - AK245 - DI245*1E3/(8.314*(DK245+273.15)) * AM245/DH245 * AL245) * DH245/(100*CV245) * (1000 - DE245)/1000</f>
        <v>0</v>
      </c>
      <c r="AJ245">
        <v>128.9628085268354</v>
      </c>
      <c r="AK245">
        <v>138.5502666666666</v>
      </c>
      <c r="AL245">
        <v>-3.155669937668026</v>
      </c>
      <c r="AM245">
        <v>66.38192812717227</v>
      </c>
      <c r="AN245">
        <f>(AP245 - AO245 + DI245*1E3/(8.314*(DK245+273.15)) * AR245/DH245 * AQ245) * DH245/(100*CV245) * 1000/(1000 - AP245)</f>
        <v>0</v>
      </c>
      <c r="AO245">
        <v>14.11920576395278</v>
      </c>
      <c r="AP245">
        <v>18.37761411764706</v>
      </c>
      <c r="AQ245">
        <v>2.333183654187339E-05</v>
      </c>
      <c r="AR245">
        <v>80.47224507511959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MAX(0,($B$13+$C$13*DP245)/(1+$D$13*DP245)*DI245/(DK245+273)*$E$13)</f>
        <v>0</v>
      </c>
      <c r="AX245" t="s">
        <v>417</v>
      </c>
      <c r="AY245" t="s">
        <v>417</v>
      </c>
      <c r="AZ245">
        <v>0</v>
      </c>
      <c r="BA245">
        <v>0</v>
      </c>
      <c r="BB245">
        <f>1-AZ245/BA245</f>
        <v>0</v>
      </c>
      <c r="BC245">
        <v>0</v>
      </c>
      <c r="BD245" t="s">
        <v>417</v>
      </c>
      <c r="BE245" t="s">
        <v>417</v>
      </c>
      <c r="BF245">
        <v>0</v>
      </c>
      <c r="BG245">
        <v>0</v>
      </c>
      <c r="BH245">
        <f>1-BF245/BG245</f>
        <v>0</v>
      </c>
      <c r="BI245">
        <v>0.5</v>
      </c>
      <c r="BJ245">
        <f>CS245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417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BZ245">
        <v>1248</v>
      </c>
      <c r="CA245">
        <v>300</v>
      </c>
      <c r="CB245">
        <v>300</v>
      </c>
      <c r="CC245">
        <v>300</v>
      </c>
      <c r="CD245">
        <v>10442</v>
      </c>
      <c r="CE245">
        <v>1293.69</v>
      </c>
      <c r="CF245">
        <v>-0.00735246</v>
      </c>
      <c r="CG245">
        <v>0.5</v>
      </c>
      <c r="CH245" t="s">
        <v>417</v>
      </c>
      <c r="CI245" t="s">
        <v>417</v>
      </c>
      <c r="CJ245" t="s">
        <v>417</v>
      </c>
      <c r="CK245" t="s">
        <v>417</v>
      </c>
      <c r="CL245" t="s">
        <v>417</v>
      </c>
      <c r="CM245" t="s">
        <v>417</v>
      </c>
      <c r="CN245" t="s">
        <v>417</v>
      </c>
      <c r="CO245" t="s">
        <v>417</v>
      </c>
      <c r="CP245" t="s">
        <v>417</v>
      </c>
      <c r="CQ245" t="s">
        <v>417</v>
      </c>
      <c r="CR245">
        <f>$B$11*DQ245+$C$11*DR245+$F$11*EC245*(1-EF245)</f>
        <v>0</v>
      </c>
      <c r="CS245">
        <f>CR245*CT245</f>
        <v>0</v>
      </c>
      <c r="CT245">
        <f>($B$11*$D$9+$C$11*$D$9+$F$11*((EP245+EH245)/MAX(EP245+EH245+EQ245, 0.1)*$I$9+EQ245/MAX(EP245+EH245+EQ245, 0.1)*$J$9))/($B$11+$C$11+$F$11)</f>
        <v>0</v>
      </c>
      <c r="CU245">
        <f>($B$11*$K$9+$C$11*$K$9+$F$11*((EP245+EH245)/MAX(EP245+EH245+EQ245, 0.1)*$P$9+EQ245/MAX(EP245+EH245+EQ245, 0.1)*$Q$9))/($B$11+$C$11+$F$11)</f>
        <v>0</v>
      </c>
      <c r="CV245">
        <v>6</v>
      </c>
      <c r="CW245">
        <v>0.5</v>
      </c>
      <c r="CX245" t="s">
        <v>418</v>
      </c>
      <c r="CY245">
        <v>2</v>
      </c>
      <c r="CZ245" t="b">
        <v>1</v>
      </c>
      <c r="DA245">
        <v>1651864853.725</v>
      </c>
      <c r="DB245">
        <v>138.7235</v>
      </c>
      <c r="DC245">
        <v>122.495</v>
      </c>
      <c r="DD245">
        <v>18.37715</v>
      </c>
      <c r="DE245">
        <v>14.11875</v>
      </c>
      <c r="DF245">
        <v>139.22075</v>
      </c>
      <c r="DG245">
        <v>18.35635</v>
      </c>
      <c r="DH245">
        <v>500.02925</v>
      </c>
      <c r="DI245">
        <v>89.92735</v>
      </c>
      <c r="DJ245">
        <v>0.09974744999999999</v>
      </c>
      <c r="DK245">
        <v>25.627325</v>
      </c>
      <c r="DL245">
        <v>24.983925</v>
      </c>
      <c r="DM245">
        <v>999.9</v>
      </c>
      <c r="DN245">
        <v>0</v>
      </c>
      <c r="DO245">
        <v>0</v>
      </c>
      <c r="DP245">
        <v>10025</v>
      </c>
      <c r="DQ245">
        <v>0</v>
      </c>
      <c r="DR245">
        <v>3.23193</v>
      </c>
      <c r="DS245">
        <v>16.228225</v>
      </c>
      <c r="DT245">
        <v>141.3205</v>
      </c>
      <c r="DU245">
        <v>124.24975</v>
      </c>
      <c r="DV245">
        <v>4.258405</v>
      </c>
      <c r="DW245">
        <v>122.495</v>
      </c>
      <c r="DX245">
        <v>14.11875</v>
      </c>
      <c r="DY245">
        <v>1.6526075</v>
      </c>
      <c r="DZ245">
        <v>1.26966</v>
      </c>
      <c r="EA245">
        <v>14.4583</v>
      </c>
      <c r="EB245">
        <v>10.444425</v>
      </c>
      <c r="EC245">
        <v>1499.9325</v>
      </c>
      <c r="ED245">
        <v>0.9730082499999999</v>
      </c>
      <c r="EE245">
        <v>0.02699175</v>
      </c>
      <c r="EF245">
        <v>0</v>
      </c>
      <c r="EG245">
        <v>833.546</v>
      </c>
      <c r="EH245">
        <v>5.00097</v>
      </c>
      <c r="EI245">
        <v>12381.15</v>
      </c>
      <c r="EJ245">
        <v>12491.05</v>
      </c>
      <c r="EK245">
        <v>37.187</v>
      </c>
      <c r="EL245">
        <v>38.687</v>
      </c>
      <c r="EM245">
        <v>37.625</v>
      </c>
      <c r="EN245">
        <v>38.375</v>
      </c>
      <c r="EO245">
        <v>38.062</v>
      </c>
      <c r="EP245">
        <v>1454.5825</v>
      </c>
      <c r="EQ245">
        <v>40.35</v>
      </c>
      <c r="ER245">
        <v>0</v>
      </c>
      <c r="ES245">
        <v>634.2000000476837</v>
      </c>
      <c r="ET245">
        <v>0</v>
      </c>
      <c r="EU245">
        <v>832.6540400000001</v>
      </c>
      <c r="EV245">
        <v>9.212846136900424</v>
      </c>
      <c r="EW245">
        <v>140.3692304537989</v>
      </c>
      <c r="EX245">
        <v>12367.812</v>
      </c>
      <c r="EY245">
        <v>15</v>
      </c>
      <c r="EZ245">
        <v>1651864261.1</v>
      </c>
      <c r="FA245" t="s">
        <v>419</v>
      </c>
      <c r="FB245">
        <v>1651864241.6</v>
      </c>
      <c r="FC245">
        <v>1651864261.1</v>
      </c>
      <c r="FD245">
        <v>7</v>
      </c>
      <c r="FE245">
        <v>0.438</v>
      </c>
      <c r="FF245">
        <v>0.002</v>
      </c>
      <c r="FG245">
        <v>-0.988</v>
      </c>
      <c r="FH245">
        <v>-0.066</v>
      </c>
      <c r="FI245">
        <v>400</v>
      </c>
      <c r="FJ245">
        <v>11</v>
      </c>
      <c r="FK245">
        <v>0.05</v>
      </c>
      <c r="FL245">
        <v>0.02</v>
      </c>
      <c r="FM245">
        <v>14.06859024390244</v>
      </c>
      <c r="FN245">
        <v>14.68226132404181</v>
      </c>
      <c r="FO245">
        <v>1.449650224727041</v>
      </c>
      <c r="FP245">
        <v>-1</v>
      </c>
      <c r="FQ245">
        <v>4.24731243902439</v>
      </c>
      <c r="FR245">
        <v>0.07202466898954965</v>
      </c>
      <c r="FS245">
        <v>0.007203269847103086</v>
      </c>
      <c r="FT245">
        <v>-1</v>
      </c>
      <c r="FU245">
        <v>0</v>
      </c>
      <c r="FV245">
        <v>0</v>
      </c>
      <c r="FW245">
        <v>0</v>
      </c>
      <c r="FX245">
        <v>-1</v>
      </c>
      <c r="FY245">
        <v>0</v>
      </c>
      <c r="FZ245">
        <v>0</v>
      </c>
      <c r="GA245" t="s">
        <v>420</v>
      </c>
      <c r="GB245">
        <v>2.98046</v>
      </c>
      <c r="GC245">
        <v>2.70619</v>
      </c>
      <c r="GD245">
        <v>0.0351736</v>
      </c>
      <c r="GE245">
        <v>0.0306547</v>
      </c>
      <c r="GF245">
        <v>0.08774469999999999</v>
      </c>
      <c r="GG245">
        <v>0.0715556</v>
      </c>
      <c r="GH245">
        <v>30448.3</v>
      </c>
      <c r="GI245">
        <v>30657.5</v>
      </c>
      <c r="GJ245">
        <v>29343.8</v>
      </c>
      <c r="GK245">
        <v>29257.7</v>
      </c>
      <c r="GL245">
        <v>35444.4</v>
      </c>
      <c r="GM245">
        <v>36176.8</v>
      </c>
      <c r="GN245">
        <v>41302.4</v>
      </c>
      <c r="GO245">
        <v>41760.1</v>
      </c>
      <c r="GP245">
        <v>1.95505</v>
      </c>
      <c r="GQ245">
        <v>1.84842</v>
      </c>
      <c r="GR245">
        <v>-0.0212118</v>
      </c>
      <c r="GS245">
        <v>0</v>
      </c>
      <c r="GT245">
        <v>25.3306</v>
      </c>
      <c r="GU245">
        <v>999.9</v>
      </c>
      <c r="GV245">
        <v>31.5</v>
      </c>
      <c r="GW245">
        <v>34.3</v>
      </c>
      <c r="GX245">
        <v>19.0306</v>
      </c>
      <c r="GY245">
        <v>62.3175</v>
      </c>
      <c r="GZ245">
        <v>34.7917</v>
      </c>
      <c r="HA245">
        <v>1</v>
      </c>
      <c r="HB245">
        <v>0.108155</v>
      </c>
      <c r="HC245">
        <v>2.29434</v>
      </c>
      <c r="HD245">
        <v>20.3185</v>
      </c>
      <c r="HE245">
        <v>5.21699</v>
      </c>
      <c r="HF245">
        <v>12.0099</v>
      </c>
      <c r="HG245">
        <v>4.9882</v>
      </c>
      <c r="HH245">
        <v>3.28858</v>
      </c>
      <c r="HI245">
        <v>1000.9</v>
      </c>
      <c r="HJ245">
        <v>9559.6</v>
      </c>
      <c r="HK245">
        <v>5139.4</v>
      </c>
      <c r="HL245">
        <v>24.9</v>
      </c>
      <c r="HM245">
        <v>1.86752</v>
      </c>
      <c r="HN245">
        <v>1.86646</v>
      </c>
      <c r="HO245">
        <v>1.866</v>
      </c>
      <c r="HP245">
        <v>1.86584</v>
      </c>
      <c r="HQ245">
        <v>1.86769</v>
      </c>
      <c r="HR245">
        <v>1.87021</v>
      </c>
      <c r="HS245">
        <v>1.8689</v>
      </c>
      <c r="HT245">
        <v>1.87024</v>
      </c>
      <c r="HU245">
        <v>0</v>
      </c>
      <c r="HV245">
        <v>0</v>
      </c>
      <c r="HW245">
        <v>0</v>
      </c>
      <c r="HX245">
        <v>0</v>
      </c>
      <c r="HY245" t="s">
        <v>421</v>
      </c>
      <c r="HZ245" t="s">
        <v>422</v>
      </c>
      <c r="IA245" t="s">
        <v>423</v>
      </c>
      <c r="IB245" t="s">
        <v>423</v>
      </c>
      <c r="IC245" t="s">
        <v>423</v>
      </c>
      <c r="ID245" t="s">
        <v>423</v>
      </c>
      <c r="IE245">
        <v>0</v>
      </c>
      <c r="IF245">
        <v>100</v>
      </c>
      <c r="IG245">
        <v>100</v>
      </c>
      <c r="IH245">
        <v>-0.489</v>
      </c>
      <c r="II245">
        <v>0.0208</v>
      </c>
      <c r="IJ245">
        <v>-0.2164499368582429</v>
      </c>
      <c r="IK245">
        <v>-0.002077099775823331</v>
      </c>
      <c r="IL245">
        <v>4.593143279902166E-07</v>
      </c>
      <c r="IM245">
        <v>-1.865383991892071E-10</v>
      </c>
      <c r="IN245">
        <v>-0.06087574426827484</v>
      </c>
      <c r="IO245">
        <v>-0.01129461987421345</v>
      </c>
      <c r="IP245">
        <v>0.00116580895745559</v>
      </c>
      <c r="IQ245">
        <v>-1.679085872906199E-05</v>
      </c>
      <c r="IR245">
        <v>2</v>
      </c>
      <c r="IS245">
        <v>2290</v>
      </c>
      <c r="IT245">
        <v>0</v>
      </c>
      <c r="IU245">
        <v>32</v>
      </c>
      <c r="IV245">
        <v>10.2</v>
      </c>
      <c r="IW245">
        <v>9.9</v>
      </c>
      <c r="IX245">
        <v>0.371094</v>
      </c>
      <c r="IY245">
        <v>2.28027</v>
      </c>
      <c r="IZ245">
        <v>1.39648</v>
      </c>
      <c r="JA245">
        <v>2.35596</v>
      </c>
      <c r="JB245">
        <v>1.49536</v>
      </c>
      <c r="JC245">
        <v>2.35352</v>
      </c>
      <c r="JD245">
        <v>38.5259</v>
      </c>
      <c r="JE245">
        <v>24.035</v>
      </c>
      <c r="JF245">
        <v>18</v>
      </c>
      <c r="JG245">
        <v>511</v>
      </c>
      <c r="JH245">
        <v>428.043</v>
      </c>
      <c r="JI245">
        <v>22.2062</v>
      </c>
      <c r="JJ245">
        <v>28.6952</v>
      </c>
      <c r="JK245">
        <v>30.0001</v>
      </c>
      <c r="JL245">
        <v>28.6593</v>
      </c>
      <c r="JM245">
        <v>28.5968</v>
      </c>
      <c r="JN245">
        <v>7.3661</v>
      </c>
      <c r="JO245">
        <v>26.5129</v>
      </c>
      <c r="JP245">
        <v>0</v>
      </c>
      <c r="JQ245">
        <v>22.2137</v>
      </c>
      <c r="JR245">
        <v>92.26000000000001</v>
      </c>
      <c r="JS245">
        <v>14.1432</v>
      </c>
      <c r="JT245">
        <v>100.303</v>
      </c>
      <c r="JU245">
        <v>100.227</v>
      </c>
    </row>
    <row r="246" spans="1:281">
      <c r="A246">
        <v>230</v>
      </c>
      <c r="B246">
        <v>1651864857.1</v>
      </c>
      <c r="C246">
        <v>636.5</v>
      </c>
      <c r="D246" t="s">
        <v>880</v>
      </c>
      <c r="E246" t="s">
        <v>881</v>
      </c>
      <c r="F246">
        <v>2</v>
      </c>
      <c r="G246" t="s">
        <v>413</v>
      </c>
      <c r="H246" t="s">
        <v>414</v>
      </c>
      <c r="I246">
        <v>1651864856.1</v>
      </c>
      <c r="J246">
        <f>(K246)/1000</f>
        <v>0</v>
      </c>
      <c r="K246">
        <f>IF(CZ246, AN246, AH246)</f>
        <v>0</v>
      </c>
      <c r="L246">
        <f>IF(CZ246, AI246, AG246)</f>
        <v>0</v>
      </c>
      <c r="M246">
        <f>DB246 - IF(AU246&gt;1, L246*CV246*100.0/(AW246*DP246), 0)</f>
        <v>0</v>
      </c>
      <c r="N246">
        <f>((T246-J246/2)*M246-L246)/(T246+J246/2)</f>
        <v>0</v>
      </c>
      <c r="O246">
        <f>N246*(DI246+DJ246)/1000.0</f>
        <v>0</v>
      </c>
      <c r="P246">
        <f>(DB246 - IF(AU246&gt;1, L246*CV246*100.0/(AW246*DP246), 0))*(DI246+DJ246)/1000.0</f>
        <v>0</v>
      </c>
      <c r="Q246">
        <f>2.0/((1/S246-1/R246)+SIGN(S246)*SQRT((1/S246-1/R246)*(1/S246-1/R246) + 4*CW246/((CW246+1)*(CW246+1))*(2*1/S246*1/R246-1/R246*1/R246)))</f>
        <v>0</v>
      </c>
      <c r="R246">
        <f>IF(LEFT(CX246,1)&lt;&gt;"0",IF(LEFT(CX246,1)="1",3.0,CY246),$D$5+$E$5*(DP246*DI246/($K$5*1000))+$F$5*(DP246*DI246/($K$5*1000))*MAX(MIN(CV246,$J$5),$I$5)*MAX(MIN(CV246,$J$5),$I$5)+$G$5*MAX(MIN(CV246,$J$5),$I$5)*(DP246*DI246/($K$5*1000))+$H$5*(DP246*DI246/($K$5*1000))*(DP246*DI246/($K$5*1000)))</f>
        <v>0</v>
      </c>
      <c r="S246">
        <f>J246*(1000-(1000*0.61365*exp(17.502*W246/(240.97+W246))/(DI246+DJ246)+DD246)/2)/(1000*0.61365*exp(17.502*W246/(240.97+W246))/(DI246+DJ246)-DD246)</f>
        <v>0</v>
      </c>
      <c r="T246">
        <f>1/((CW246+1)/(Q246/1.6)+1/(R246/1.37)) + CW246/((CW246+1)/(Q246/1.6) + CW246/(R246/1.37))</f>
        <v>0</v>
      </c>
      <c r="U246">
        <f>(CR246*CU246)</f>
        <v>0</v>
      </c>
      <c r="V246">
        <f>(DK246+(U246+2*0.95*5.67E-8*(((DK246+$B$7)+273)^4-(DK246+273)^4)-44100*J246)/(1.84*29.3*R246+8*0.95*5.67E-8*(DK246+273)^3))</f>
        <v>0</v>
      </c>
      <c r="W246">
        <f>($C$7*DL246+$D$7*DM246+$E$7*V246)</f>
        <v>0</v>
      </c>
      <c r="X246">
        <f>0.61365*exp(17.502*W246/(240.97+W246))</f>
        <v>0</v>
      </c>
      <c r="Y246">
        <f>(Z246/AA246*100)</f>
        <v>0</v>
      </c>
      <c r="Z246">
        <f>DD246*(DI246+DJ246)/1000</f>
        <v>0</v>
      </c>
      <c r="AA246">
        <f>0.61365*exp(17.502*DK246/(240.97+DK246))</f>
        <v>0</v>
      </c>
      <c r="AB246">
        <f>(X246-DD246*(DI246+DJ246)/1000)</f>
        <v>0</v>
      </c>
      <c r="AC246">
        <f>(-J246*44100)</f>
        <v>0</v>
      </c>
      <c r="AD246">
        <f>2*29.3*R246*0.92*(DK246-W246)</f>
        <v>0</v>
      </c>
      <c r="AE246">
        <f>2*0.95*5.67E-8*(((DK246+$B$7)+273)^4-(W246+273)^4)</f>
        <v>0</v>
      </c>
      <c r="AF246">
        <f>U246+AE246+AC246+AD246</f>
        <v>0</v>
      </c>
      <c r="AG246">
        <f>DH246*AU246*(DC246-DB246*(1000-AU246*DE246)/(1000-AU246*DD246))/(100*CV246)</f>
        <v>0</v>
      </c>
      <c r="AH246">
        <f>1000*DH246*AU246*(DD246-DE246)/(100*CV246*(1000-AU246*DD246))</f>
        <v>0</v>
      </c>
      <c r="AI246">
        <f>(AJ246 - AK246 - DI246*1E3/(8.314*(DK246+273.15)) * AM246/DH246 * AL246) * DH246/(100*CV246) * (1000 - DE246)/1000</f>
        <v>0</v>
      </c>
      <c r="AJ246">
        <v>122.2193938641993</v>
      </c>
      <c r="AK246">
        <v>132.2399151515151</v>
      </c>
      <c r="AL246">
        <v>-3.159078055714259</v>
      </c>
      <c r="AM246">
        <v>66.38192812717227</v>
      </c>
      <c r="AN246">
        <f>(AP246 - AO246 + DI246*1E3/(8.314*(DK246+273.15)) * AR246/DH246 * AQ246) * DH246/(100*CV246) * 1000/(1000 - AP246)</f>
        <v>0</v>
      </c>
      <c r="AO246">
        <v>14.1189520280743</v>
      </c>
      <c r="AP246">
        <v>18.38085705882352</v>
      </c>
      <c r="AQ246">
        <v>2.272133619673719E-06</v>
      </c>
      <c r="AR246">
        <v>80.47224507511959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MAX(0,($B$13+$C$13*DP246)/(1+$D$13*DP246)*DI246/(DK246+273)*$E$13)</f>
        <v>0</v>
      </c>
      <c r="AX246" t="s">
        <v>417</v>
      </c>
      <c r="AY246" t="s">
        <v>417</v>
      </c>
      <c r="AZ246">
        <v>0</v>
      </c>
      <c r="BA246">
        <v>0</v>
      </c>
      <c r="BB246">
        <f>1-AZ246/BA246</f>
        <v>0</v>
      </c>
      <c r="BC246">
        <v>0</v>
      </c>
      <c r="BD246" t="s">
        <v>417</v>
      </c>
      <c r="BE246" t="s">
        <v>417</v>
      </c>
      <c r="BF246">
        <v>0</v>
      </c>
      <c r="BG246">
        <v>0</v>
      </c>
      <c r="BH246">
        <f>1-BF246/BG246</f>
        <v>0</v>
      </c>
      <c r="BI246">
        <v>0.5</v>
      </c>
      <c r="BJ246">
        <f>CS246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417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BZ246">
        <v>1248</v>
      </c>
      <c r="CA246">
        <v>300</v>
      </c>
      <c r="CB246">
        <v>300</v>
      </c>
      <c r="CC246">
        <v>300</v>
      </c>
      <c r="CD246">
        <v>10442</v>
      </c>
      <c r="CE246">
        <v>1293.69</v>
      </c>
      <c r="CF246">
        <v>-0.00735246</v>
      </c>
      <c r="CG246">
        <v>0.5</v>
      </c>
      <c r="CH246" t="s">
        <v>417</v>
      </c>
      <c r="CI246" t="s">
        <v>417</v>
      </c>
      <c r="CJ246" t="s">
        <v>417</v>
      </c>
      <c r="CK246" t="s">
        <v>417</v>
      </c>
      <c r="CL246" t="s">
        <v>417</v>
      </c>
      <c r="CM246" t="s">
        <v>417</v>
      </c>
      <c r="CN246" t="s">
        <v>417</v>
      </c>
      <c r="CO246" t="s">
        <v>417</v>
      </c>
      <c r="CP246" t="s">
        <v>417</v>
      </c>
      <c r="CQ246" t="s">
        <v>417</v>
      </c>
      <c r="CR246">
        <f>$B$11*DQ246+$C$11*DR246+$F$11*EC246*(1-EF246)</f>
        <v>0</v>
      </c>
      <c r="CS246">
        <f>CR246*CT246</f>
        <v>0</v>
      </c>
      <c r="CT246">
        <f>($B$11*$D$9+$C$11*$D$9+$F$11*((EP246+EH246)/MAX(EP246+EH246+EQ246, 0.1)*$I$9+EQ246/MAX(EP246+EH246+EQ246, 0.1)*$J$9))/($B$11+$C$11+$F$11)</f>
        <v>0</v>
      </c>
      <c r="CU246">
        <f>($B$11*$K$9+$C$11*$K$9+$F$11*((EP246+EH246)/MAX(EP246+EH246+EQ246, 0.1)*$P$9+EQ246/MAX(EP246+EH246+EQ246, 0.1)*$Q$9))/($B$11+$C$11+$F$11)</f>
        <v>0</v>
      </c>
      <c r="CV246">
        <v>6</v>
      </c>
      <c r="CW246">
        <v>0.5</v>
      </c>
      <c r="CX246" t="s">
        <v>418</v>
      </c>
      <c r="CY246">
        <v>2</v>
      </c>
      <c r="CZ246" t="b">
        <v>1</v>
      </c>
      <c r="DA246">
        <v>1651864856.1</v>
      </c>
      <c r="DB246">
        <v>131.3583333333333</v>
      </c>
      <c r="DC246">
        <v>114.6033333333333</v>
      </c>
      <c r="DD246">
        <v>18.38013333333333</v>
      </c>
      <c r="DE246">
        <v>14.1177</v>
      </c>
      <c r="DF246">
        <v>131.841</v>
      </c>
      <c r="DG246">
        <v>18.35933333333334</v>
      </c>
      <c r="DH246">
        <v>500.0516666666667</v>
      </c>
      <c r="DI246">
        <v>89.9276</v>
      </c>
      <c r="DJ246">
        <v>0.1000598333333333</v>
      </c>
      <c r="DK246">
        <v>25.6289</v>
      </c>
      <c r="DL246">
        <v>24.9814</v>
      </c>
      <c r="DM246">
        <v>999.9</v>
      </c>
      <c r="DN246">
        <v>0</v>
      </c>
      <c r="DO246">
        <v>0</v>
      </c>
      <c r="DP246">
        <v>10006.25</v>
      </c>
      <c r="DQ246">
        <v>0</v>
      </c>
      <c r="DR246">
        <v>3.23193</v>
      </c>
      <c r="DS246">
        <v>16.7549</v>
      </c>
      <c r="DT246">
        <v>133.818</v>
      </c>
      <c r="DU246">
        <v>116.2446666666667</v>
      </c>
      <c r="DV246">
        <v>4.262433333333333</v>
      </c>
      <c r="DW246">
        <v>114.6033333333333</v>
      </c>
      <c r="DX246">
        <v>14.1177</v>
      </c>
      <c r="DY246">
        <v>1.65288</v>
      </c>
      <c r="DZ246">
        <v>1.26957</v>
      </c>
      <c r="EA246">
        <v>14.46083333333333</v>
      </c>
      <c r="EB246">
        <v>10.44336666666667</v>
      </c>
      <c r="EC246">
        <v>1500.043333333333</v>
      </c>
      <c r="ED246">
        <v>0.9730086666666665</v>
      </c>
      <c r="EE246">
        <v>0.0269913</v>
      </c>
      <c r="EF246">
        <v>0</v>
      </c>
      <c r="EG246">
        <v>834.225</v>
      </c>
      <c r="EH246">
        <v>5.00097</v>
      </c>
      <c r="EI246">
        <v>12389.06666666667</v>
      </c>
      <c r="EJ246">
        <v>12491.96666666667</v>
      </c>
      <c r="EK246">
        <v>37.187</v>
      </c>
      <c r="EL246">
        <v>38.687</v>
      </c>
      <c r="EM246">
        <v>37.625</v>
      </c>
      <c r="EN246">
        <v>38.375</v>
      </c>
      <c r="EO246">
        <v>38.062</v>
      </c>
      <c r="EP246">
        <v>1454.69</v>
      </c>
      <c r="EQ246">
        <v>40.35333333333333</v>
      </c>
      <c r="ER246">
        <v>0</v>
      </c>
      <c r="ES246">
        <v>636</v>
      </c>
      <c r="ET246">
        <v>0</v>
      </c>
      <c r="EU246">
        <v>832.9202692307692</v>
      </c>
      <c r="EV246">
        <v>10.41090598693425</v>
      </c>
      <c r="EW246">
        <v>152.8136751940884</v>
      </c>
      <c r="EX246">
        <v>12371.6</v>
      </c>
      <c r="EY246">
        <v>15</v>
      </c>
      <c r="EZ246">
        <v>1651864261.1</v>
      </c>
      <c r="FA246" t="s">
        <v>419</v>
      </c>
      <c r="FB246">
        <v>1651864241.6</v>
      </c>
      <c r="FC246">
        <v>1651864261.1</v>
      </c>
      <c r="FD246">
        <v>7</v>
      </c>
      <c r="FE246">
        <v>0.438</v>
      </c>
      <c r="FF246">
        <v>0.002</v>
      </c>
      <c r="FG246">
        <v>-0.988</v>
      </c>
      <c r="FH246">
        <v>-0.066</v>
      </c>
      <c r="FI246">
        <v>400</v>
      </c>
      <c r="FJ246">
        <v>11</v>
      </c>
      <c r="FK246">
        <v>0.05</v>
      </c>
      <c r="FL246">
        <v>0.02</v>
      </c>
      <c r="FM246">
        <v>14.4928425</v>
      </c>
      <c r="FN246">
        <v>14.39927392120075</v>
      </c>
      <c r="FO246">
        <v>1.387310471900126</v>
      </c>
      <c r="FP246">
        <v>-1</v>
      </c>
      <c r="FQ246">
        <v>4.2493165</v>
      </c>
      <c r="FR246">
        <v>0.07617410881800153</v>
      </c>
      <c r="FS246">
        <v>0.007407055943490669</v>
      </c>
      <c r="FT246">
        <v>-1</v>
      </c>
      <c r="FU246">
        <v>0</v>
      </c>
      <c r="FV246">
        <v>0</v>
      </c>
      <c r="FW246">
        <v>0</v>
      </c>
      <c r="FX246">
        <v>-1</v>
      </c>
      <c r="FY246">
        <v>0</v>
      </c>
      <c r="FZ246">
        <v>0</v>
      </c>
      <c r="GA246" t="s">
        <v>420</v>
      </c>
      <c r="GB246">
        <v>2.98053</v>
      </c>
      <c r="GC246">
        <v>2.70638</v>
      </c>
      <c r="GD246">
        <v>0.0336375</v>
      </c>
      <c r="GE246">
        <v>0.0289715</v>
      </c>
      <c r="GF246">
        <v>0.0877512</v>
      </c>
      <c r="GG246">
        <v>0.07155</v>
      </c>
      <c r="GH246">
        <v>30496.9</v>
      </c>
      <c r="GI246">
        <v>30710.7</v>
      </c>
      <c r="GJ246">
        <v>29344</v>
      </c>
      <c r="GK246">
        <v>29257.6</v>
      </c>
      <c r="GL246">
        <v>35444.1</v>
      </c>
      <c r="GM246">
        <v>36176.8</v>
      </c>
      <c r="GN246">
        <v>41302.3</v>
      </c>
      <c r="GO246">
        <v>41759.8</v>
      </c>
      <c r="GP246">
        <v>1.9551</v>
      </c>
      <c r="GQ246">
        <v>1.8484</v>
      </c>
      <c r="GR246">
        <v>-0.0210404</v>
      </c>
      <c r="GS246">
        <v>0</v>
      </c>
      <c r="GT246">
        <v>25.3295</v>
      </c>
      <c r="GU246">
        <v>999.9</v>
      </c>
      <c r="GV246">
        <v>31.5</v>
      </c>
      <c r="GW246">
        <v>34.3</v>
      </c>
      <c r="GX246">
        <v>19.032</v>
      </c>
      <c r="GY246">
        <v>62.4475</v>
      </c>
      <c r="GZ246">
        <v>35.2444</v>
      </c>
      <c r="HA246">
        <v>1</v>
      </c>
      <c r="HB246">
        <v>0.10814</v>
      </c>
      <c r="HC246">
        <v>2.27868</v>
      </c>
      <c r="HD246">
        <v>20.3188</v>
      </c>
      <c r="HE246">
        <v>5.21699</v>
      </c>
      <c r="HF246">
        <v>12.0099</v>
      </c>
      <c r="HG246">
        <v>4.9879</v>
      </c>
      <c r="HH246">
        <v>3.2885</v>
      </c>
      <c r="HI246">
        <v>1000.9</v>
      </c>
      <c r="HJ246">
        <v>9559.6</v>
      </c>
      <c r="HK246">
        <v>5139.4</v>
      </c>
      <c r="HL246">
        <v>24.9</v>
      </c>
      <c r="HM246">
        <v>1.86752</v>
      </c>
      <c r="HN246">
        <v>1.86646</v>
      </c>
      <c r="HO246">
        <v>1.866</v>
      </c>
      <c r="HP246">
        <v>1.86584</v>
      </c>
      <c r="HQ246">
        <v>1.8677</v>
      </c>
      <c r="HR246">
        <v>1.87022</v>
      </c>
      <c r="HS246">
        <v>1.86889</v>
      </c>
      <c r="HT246">
        <v>1.87026</v>
      </c>
      <c r="HU246">
        <v>0</v>
      </c>
      <c r="HV246">
        <v>0</v>
      </c>
      <c r="HW246">
        <v>0</v>
      </c>
      <c r="HX246">
        <v>0</v>
      </c>
      <c r="HY246" t="s">
        <v>421</v>
      </c>
      <c r="HZ246" t="s">
        <v>422</v>
      </c>
      <c r="IA246" t="s">
        <v>423</v>
      </c>
      <c r="IB246" t="s">
        <v>423</v>
      </c>
      <c r="IC246" t="s">
        <v>423</v>
      </c>
      <c r="ID246" t="s">
        <v>423</v>
      </c>
      <c r="IE246">
        <v>0</v>
      </c>
      <c r="IF246">
        <v>100</v>
      </c>
      <c r="IG246">
        <v>100</v>
      </c>
      <c r="IH246">
        <v>-0.477</v>
      </c>
      <c r="II246">
        <v>0.0208</v>
      </c>
      <c r="IJ246">
        <v>-0.2164499368582429</v>
      </c>
      <c r="IK246">
        <v>-0.002077099775823331</v>
      </c>
      <c r="IL246">
        <v>4.593143279902166E-07</v>
      </c>
      <c r="IM246">
        <v>-1.865383991892071E-10</v>
      </c>
      <c r="IN246">
        <v>-0.06087574426827484</v>
      </c>
      <c r="IO246">
        <v>-0.01129461987421345</v>
      </c>
      <c r="IP246">
        <v>0.00116580895745559</v>
      </c>
      <c r="IQ246">
        <v>-1.679085872906199E-05</v>
      </c>
      <c r="IR246">
        <v>2</v>
      </c>
      <c r="IS246">
        <v>2290</v>
      </c>
      <c r="IT246">
        <v>0</v>
      </c>
      <c r="IU246">
        <v>32</v>
      </c>
      <c r="IV246">
        <v>10.3</v>
      </c>
      <c r="IW246">
        <v>9.9</v>
      </c>
      <c r="IX246">
        <v>0.356445</v>
      </c>
      <c r="IY246">
        <v>2.28516</v>
      </c>
      <c r="IZ246">
        <v>1.39648</v>
      </c>
      <c r="JA246">
        <v>2.35596</v>
      </c>
      <c r="JB246">
        <v>1.49536</v>
      </c>
      <c r="JC246">
        <v>2.30469</v>
      </c>
      <c r="JD246">
        <v>38.5259</v>
      </c>
      <c r="JE246">
        <v>24.035</v>
      </c>
      <c r="JF246">
        <v>18</v>
      </c>
      <c r="JG246">
        <v>511.043</v>
      </c>
      <c r="JH246">
        <v>428.028</v>
      </c>
      <c r="JI246">
        <v>22.2078</v>
      </c>
      <c r="JJ246">
        <v>28.6952</v>
      </c>
      <c r="JK246">
        <v>30.0001</v>
      </c>
      <c r="JL246">
        <v>28.6606</v>
      </c>
      <c r="JM246">
        <v>28.5968</v>
      </c>
      <c r="JN246">
        <v>7.0677</v>
      </c>
      <c r="JO246">
        <v>26.5129</v>
      </c>
      <c r="JP246">
        <v>0</v>
      </c>
      <c r="JQ246">
        <v>22.2137</v>
      </c>
      <c r="JR246">
        <v>85.575</v>
      </c>
      <c r="JS246">
        <v>14.1432</v>
      </c>
      <c r="JT246">
        <v>100.303</v>
      </c>
      <c r="JU246">
        <v>100.226</v>
      </c>
    </row>
    <row r="247" spans="1:281">
      <c r="A247">
        <v>231</v>
      </c>
      <c r="B247">
        <v>1651864859.1</v>
      </c>
      <c r="C247">
        <v>638.5</v>
      </c>
      <c r="D247" t="s">
        <v>882</v>
      </c>
      <c r="E247" t="s">
        <v>883</v>
      </c>
      <c r="F247">
        <v>2</v>
      </c>
      <c r="G247" t="s">
        <v>413</v>
      </c>
      <c r="H247" t="s">
        <v>414</v>
      </c>
      <c r="I247">
        <v>1651864857.725</v>
      </c>
      <c r="J247">
        <f>(K247)/1000</f>
        <v>0</v>
      </c>
      <c r="K247">
        <f>IF(CZ247, AN247, AH247)</f>
        <v>0</v>
      </c>
      <c r="L247">
        <f>IF(CZ247, AI247, AG247)</f>
        <v>0</v>
      </c>
      <c r="M247">
        <f>DB247 - IF(AU247&gt;1, L247*CV247*100.0/(AW247*DP247), 0)</f>
        <v>0</v>
      </c>
      <c r="N247">
        <f>((T247-J247/2)*M247-L247)/(T247+J247/2)</f>
        <v>0</v>
      </c>
      <c r="O247">
        <f>N247*(DI247+DJ247)/1000.0</f>
        <v>0</v>
      </c>
      <c r="P247">
        <f>(DB247 - IF(AU247&gt;1, L247*CV247*100.0/(AW247*DP247), 0))*(DI247+DJ247)/1000.0</f>
        <v>0</v>
      </c>
      <c r="Q247">
        <f>2.0/((1/S247-1/R247)+SIGN(S247)*SQRT((1/S247-1/R247)*(1/S247-1/R247) + 4*CW247/((CW247+1)*(CW247+1))*(2*1/S247*1/R247-1/R247*1/R247)))</f>
        <v>0</v>
      </c>
      <c r="R247">
        <f>IF(LEFT(CX247,1)&lt;&gt;"0",IF(LEFT(CX247,1)="1",3.0,CY247),$D$5+$E$5*(DP247*DI247/($K$5*1000))+$F$5*(DP247*DI247/($K$5*1000))*MAX(MIN(CV247,$J$5),$I$5)*MAX(MIN(CV247,$J$5),$I$5)+$G$5*MAX(MIN(CV247,$J$5),$I$5)*(DP247*DI247/($K$5*1000))+$H$5*(DP247*DI247/($K$5*1000))*(DP247*DI247/($K$5*1000)))</f>
        <v>0</v>
      </c>
      <c r="S247">
        <f>J247*(1000-(1000*0.61365*exp(17.502*W247/(240.97+W247))/(DI247+DJ247)+DD247)/2)/(1000*0.61365*exp(17.502*W247/(240.97+W247))/(DI247+DJ247)-DD247)</f>
        <v>0</v>
      </c>
      <c r="T247">
        <f>1/((CW247+1)/(Q247/1.6)+1/(R247/1.37)) + CW247/((CW247+1)/(Q247/1.6) + CW247/(R247/1.37))</f>
        <v>0</v>
      </c>
      <c r="U247">
        <f>(CR247*CU247)</f>
        <v>0</v>
      </c>
      <c r="V247">
        <f>(DK247+(U247+2*0.95*5.67E-8*(((DK247+$B$7)+273)^4-(DK247+273)^4)-44100*J247)/(1.84*29.3*R247+8*0.95*5.67E-8*(DK247+273)^3))</f>
        <v>0</v>
      </c>
      <c r="W247">
        <f>($C$7*DL247+$D$7*DM247+$E$7*V247)</f>
        <v>0</v>
      </c>
      <c r="X247">
        <f>0.61365*exp(17.502*W247/(240.97+W247))</f>
        <v>0</v>
      </c>
      <c r="Y247">
        <f>(Z247/AA247*100)</f>
        <v>0</v>
      </c>
      <c r="Z247">
        <f>DD247*(DI247+DJ247)/1000</f>
        <v>0</v>
      </c>
      <c r="AA247">
        <f>0.61365*exp(17.502*DK247/(240.97+DK247))</f>
        <v>0</v>
      </c>
      <c r="AB247">
        <f>(X247-DD247*(DI247+DJ247)/1000)</f>
        <v>0</v>
      </c>
      <c r="AC247">
        <f>(-J247*44100)</f>
        <v>0</v>
      </c>
      <c r="AD247">
        <f>2*29.3*R247*0.92*(DK247-W247)</f>
        <v>0</v>
      </c>
      <c r="AE247">
        <f>2*0.95*5.67E-8*(((DK247+$B$7)+273)^4-(W247+273)^4)</f>
        <v>0</v>
      </c>
      <c r="AF247">
        <f>U247+AE247+AC247+AD247</f>
        <v>0</v>
      </c>
      <c r="AG247">
        <f>DH247*AU247*(DC247-DB247*(1000-AU247*DE247)/(1000-AU247*DD247))/(100*CV247)</f>
        <v>0</v>
      </c>
      <c r="AH247">
        <f>1000*DH247*AU247*(DD247-DE247)/(100*CV247*(1000-AU247*DD247))</f>
        <v>0</v>
      </c>
      <c r="AI247">
        <f>(AJ247 - AK247 - DI247*1E3/(8.314*(DK247+273.15)) * AM247/DH247 * AL247) * DH247/(100*CV247) * (1000 - DE247)/1000</f>
        <v>0</v>
      </c>
      <c r="AJ247">
        <v>115.4595121877178</v>
      </c>
      <c r="AK247">
        <v>125.911096969697</v>
      </c>
      <c r="AL247">
        <v>-3.161625884172051</v>
      </c>
      <c r="AM247">
        <v>66.38192812717227</v>
      </c>
      <c r="AN247">
        <f>(AP247 - AO247 + DI247*1E3/(8.314*(DK247+273.15)) * AR247/DH247 * AQ247) * DH247/(100*CV247) * 1000/(1000 - AP247)</f>
        <v>0</v>
      </c>
      <c r="AO247">
        <v>14.1184808191141</v>
      </c>
      <c r="AP247">
        <v>18.38040000000001</v>
      </c>
      <c r="AQ247">
        <v>3.357427484615859E-05</v>
      </c>
      <c r="AR247">
        <v>80.47224507511959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MAX(0,($B$13+$C$13*DP247)/(1+$D$13*DP247)*DI247/(DK247+273)*$E$13)</f>
        <v>0</v>
      </c>
      <c r="AX247" t="s">
        <v>417</v>
      </c>
      <c r="AY247" t="s">
        <v>417</v>
      </c>
      <c r="AZ247">
        <v>0</v>
      </c>
      <c r="BA247">
        <v>0</v>
      </c>
      <c r="BB247">
        <f>1-AZ247/BA247</f>
        <v>0</v>
      </c>
      <c r="BC247">
        <v>0</v>
      </c>
      <c r="BD247" t="s">
        <v>417</v>
      </c>
      <c r="BE247" t="s">
        <v>417</v>
      </c>
      <c r="BF247">
        <v>0</v>
      </c>
      <c r="BG247">
        <v>0</v>
      </c>
      <c r="BH247">
        <f>1-BF247/BG247</f>
        <v>0</v>
      </c>
      <c r="BI247">
        <v>0.5</v>
      </c>
      <c r="BJ247">
        <f>CS247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417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BZ247">
        <v>1248</v>
      </c>
      <c r="CA247">
        <v>300</v>
      </c>
      <c r="CB247">
        <v>300</v>
      </c>
      <c r="CC247">
        <v>300</v>
      </c>
      <c r="CD247">
        <v>10442</v>
      </c>
      <c r="CE247">
        <v>1293.69</v>
      </c>
      <c r="CF247">
        <v>-0.00735246</v>
      </c>
      <c r="CG247">
        <v>0.5</v>
      </c>
      <c r="CH247" t="s">
        <v>417</v>
      </c>
      <c r="CI247" t="s">
        <v>417</v>
      </c>
      <c r="CJ247" t="s">
        <v>417</v>
      </c>
      <c r="CK247" t="s">
        <v>417</v>
      </c>
      <c r="CL247" t="s">
        <v>417</v>
      </c>
      <c r="CM247" t="s">
        <v>417</v>
      </c>
      <c r="CN247" t="s">
        <v>417</v>
      </c>
      <c r="CO247" t="s">
        <v>417</v>
      </c>
      <c r="CP247" t="s">
        <v>417</v>
      </c>
      <c r="CQ247" t="s">
        <v>417</v>
      </c>
      <c r="CR247">
        <f>$B$11*DQ247+$C$11*DR247+$F$11*EC247*(1-EF247)</f>
        <v>0</v>
      </c>
      <c r="CS247">
        <f>CR247*CT247</f>
        <v>0</v>
      </c>
      <c r="CT247">
        <f>($B$11*$D$9+$C$11*$D$9+$F$11*((EP247+EH247)/MAX(EP247+EH247+EQ247, 0.1)*$I$9+EQ247/MAX(EP247+EH247+EQ247, 0.1)*$J$9))/($B$11+$C$11+$F$11)</f>
        <v>0</v>
      </c>
      <c r="CU247">
        <f>($B$11*$K$9+$C$11*$K$9+$F$11*((EP247+EH247)/MAX(EP247+EH247+EQ247, 0.1)*$P$9+EQ247/MAX(EP247+EH247+EQ247, 0.1)*$Q$9))/($B$11+$C$11+$F$11)</f>
        <v>0</v>
      </c>
      <c r="CV247">
        <v>6</v>
      </c>
      <c r="CW247">
        <v>0.5</v>
      </c>
      <c r="CX247" t="s">
        <v>418</v>
      </c>
      <c r="CY247">
        <v>2</v>
      </c>
      <c r="CZ247" t="b">
        <v>1</v>
      </c>
      <c r="DA247">
        <v>1651864857.725</v>
      </c>
      <c r="DB247">
        <v>126.31675</v>
      </c>
      <c r="DC247">
        <v>109.0645</v>
      </c>
      <c r="DD247">
        <v>18.380175</v>
      </c>
      <c r="DE247">
        <v>14.116975</v>
      </c>
      <c r="DF247">
        <v>126.78975</v>
      </c>
      <c r="DG247">
        <v>18.359375</v>
      </c>
      <c r="DH247">
        <v>500.04775</v>
      </c>
      <c r="DI247">
        <v>89.92705000000001</v>
      </c>
      <c r="DJ247">
        <v>0.100294</v>
      </c>
      <c r="DK247">
        <v>25.627725</v>
      </c>
      <c r="DL247">
        <v>24.984075</v>
      </c>
      <c r="DM247">
        <v>999.9</v>
      </c>
      <c r="DN247">
        <v>0</v>
      </c>
      <c r="DO247">
        <v>0</v>
      </c>
      <c r="DP247">
        <v>9992.799999999999</v>
      </c>
      <c r="DQ247">
        <v>0</v>
      </c>
      <c r="DR247">
        <v>3.23193</v>
      </c>
      <c r="DS247">
        <v>17.252225</v>
      </c>
      <c r="DT247">
        <v>128.682</v>
      </c>
      <c r="DU247">
        <v>110.62625</v>
      </c>
      <c r="DV247">
        <v>4.2631675</v>
      </c>
      <c r="DW247">
        <v>109.0645</v>
      </c>
      <c r="DX247">
        <v>14.116975</v>
      </c>
      <c r="DY247">
        <v>1.6528775</v>
      </c>
      <c r="DZ247">
        <v>1.2695</v>
      </c>
      <c r="EA247">
        <v>14.460775</v>
      </c>
      <c r="EB247">
        <v>10.442525</v>
      </c>
      <c r="EC247">
        <v>1500.015</v>
      </c>
      <c r="ED247">
        <v>0.973004</v>
      </c>
      <c r="EE247">
        <v>0.026995725</v>
      </c>
      <c r="EF247">
        <v>0</v>
      </c>
      <c r="EG247">
        <v>834.72325</v>
      </c>
      <c r="EH247">
        <v>5.00097</v>
      </c>
      <c r="EI247">
        <v>12395.375</v>
      </c>
      <c r="EJ247">
        <v>12491.725</v>
      </c>
      <c r="EK247">
        <v>37.187</v>
      </c>
      <c r="EL247">
        <v>38.687</v>
      </c>
      <c r="EM247">
        <v>37.625</v>
      </c>
      <c r="EN247">
        <v>38.375</v>
      </c>
      <c r="EO247">
        <v>38.062</v>
      </c>
      <c r="EP247">
        <v>1454.6575</v>
      </c>
      <c r="EQ247">
        <v>40.3575</v>
      </c>
      <c r="ER247">
        <v>0</v>
      </c>
      <c r="ES247">
        <v>637.7999999523163</v>
      </c>
      <c r="ET247">
        <v>0</v>
      </c>
      <c r="EU247">
        <v>833.31864</v>
      </c>
      <c r="EV247">
        <v>11.35900001652233</v>
      </c>
      <c r="EW247">
        <v>169.4076924892753</v>
      </c>
      <c r="EX247">
        <v>12377.132</v>
      </c>
      <c r="EY247">
        <v>15</v>
      </c>
      <c r="EZ247">
        <v>1651864261.1</v>
      </c>
      <c r="FA247" t="s">
        <v>419</v>
      </c>
      <c r="FB247">
        <v>1651864241.6</v>
      </c>
      <c r="FC247">
        <v>1651864261.1</v>
      </c>
      <c r="FD247">
        <v>7</v>
      </c>
      <c r="FE247">
        <v>0.438</v>
      </c>
      <c r="FF247">
        <v>0.002</v>
      </c>
      <c r="FG247">
        <v>-0.988</v>
      </c>
      <c r="FH247">
        <v>-0.066</v>
      </c>
      <c r="FI247">
        <v>400</v>
      </c>
      <c r="FJ247">
        <v>11</v>
      </c>
      <c r="FK247">
        <v>0.05</v>
      </c>
      <c r="FL247">
        <v>0.02</v>
      </c>
      <c r="FM247">
        <v>15.04337317073171</v>
      </c>
      <c r="FN247">
        <v>14.28301463414633</v>
      </c>
      <c r="FO247">
        <v>1.410234008608602</v>
      </c>
      <c r="FP247">
        <v>-1</v>
      </c>
      <c r="FQ247">
        <v>4.252037560975609</v>
      </c>
      <c r="FR247">
        <v>0.0770117770034891</v>
      </c>
      <c r="FS247">
        <v>0.007665100759997629</v>
      </c>
      <c r="FT247">
        <v>-1</v>
      </c>
      <c r="FU247">
        <v>0</v>
      </c>
      <c r="FV247">
        <v>0</v>
      </c>
      <c r="FW247">
        <v>0</v>
      </c>
      <c r="FX247">
        <v>-1</v>
      </c>
      <c r="FY247">
        <v>0</v>
      </c>
      <c r="FZ247">
        <v>0</v>
      </c>
      <c r="GA247" t="s">
        <v>420</v>
      </c>
      <c r="GB247">
        <v>2.9805</v>
      </c>
      <c r="GC247">
        <v>2.70633</v>
      </c>
      <c r="GD247">
        <v>0.0320787</v>
      </c>
      <c r="GE247">
        <v>0.0272324</v>
      </c>
      <c r="GF247">
        <v>0.0877501</v>
      </c>
      <c r="GG247">
        <v>0.0715452</v>
      </c>
      <c r="GH247">
        <v>30546.5</v>
      </c>
      <c r="GI247">
        <v>30765.8</v>
      </c>
      <c r="GJ247">
        <v>29344.4</v>
      </c>
      <c r="GK247">
        <v>29257.7</v>
      </c>
      <c r="GL247">
        <v>35444.5</v>
      </c>
      <c r="GM247">
        <v>36177.1</v>
      </c>
      <c r="GN247">
        <v>41302.8</v>
      </c>
      <c r="GO247">
        <v>41760</v>
      </c>
      <c r="GP247">
        <v>1.95532</v>
      </c>
      <c r="GQ247">
        <v>1.8484</v>
      </c>
      <c r="GR247">
        <v>-0.0210442</v>
      </c>
      <c r="GS247">
        <v>0</v>
      </c>
      <c r="GT247">
        <v>25.3289</v>
      </c>
      <c r="GU247">
        <v>999.9</v>
      </c>
      <c r="GV247">
        <v>31.5</v>
      </c>
      <c r="GW247">
        <v>34.3</v>
      </c>
      <c r="GX247">
        <v>19.0338</v>
      </c>
      <c r="GY247">
        <v>62.7875</v>
      </c>
      <c r="GZ247">
        <v>34.8838</v>
      </c>
      <c r="HA247">
        <v>1</v>
      </c>
      <c r="HB247">
        <v>0.108049</v>
      </c>
      <c r="HC247">
        <v>2.2763</v>
      </c>
      <c r="HD247">
        <v>20.3189</v>
      </c>
      <c r="HE247">
        <v>5.21669</v>
      </c>
      <c r="HF247">
        <v>12.0099</v>
      </c>
      <c r="HG247">
        <v>4.9877</v>
      </c>
      <c r="HH247">
        <v>3.28848</v>
      </c>
      <c r="HI247">
        <v>1001.1</v>
      </c>
      <c r="HJ247">
        <v>9560.5</v>
      </c>
      <c r="HK247">
        <v>5139.4</v>
      </c>
      <c r="HL247">
        <v>24.9</v>
      </c>
      <c r="HM247">
        <v>1.86752</v>
      </c>
      <c r="HN247">
        <v>1.86646</v>
      </c>
      <c r="HO247">
        <v>1.866</v>
      </c>
      <c r="HP247">
        <v>1.86584</v>
      </c>
      <c r="HQ247">
        <v>1.86769</v>
      </c>
      <c r="HR247">
        <v>1.87024</v>
      </c>
      <c r="HS247">
        <v>1.86889</v>
      </c>
      <c r="HT247">
        <v>1.87026</v>
      </c>
      <c r="HU247">
        <v>0</v>
      </c>
      <c r="HV247">
        <v>0</v>
      </c>
      <c r="HW247">
        <v>0</v>
      </c>
      <c r="HX247">
        <v>0</v>
      </c>
      <c r="HY247" t="s">
        <v>421</v>
      </c>
      <c r="HZ247" t="s">
        <v>422</v>
      </c>
      <c r="IA247" t="s">
        <v>423</v>
      </c>
      <c r="IB247" t="s">
        <v>423</v>
      </c>
      <c r="IC247" t="s">
        <v>423</v>
      </c>
      <c r="ID247" t="s">
        <v>423</v>
      </c>
      <c r="IE247">
        <v>0</v>
      </c>
      <c r="IF247">
        <v>100</v>
      </c>
      <c r="IG247">
        <v>100</v>
      </c>
      <c r="IH247">
        <v>-0.464</v>
      </c>
      <c r="II247">
        <v>0.0208</v>
      </c>
      <c r="IJ247">
        <v>-0.2164499368582429</v>
      </c>
      <c r="IK247">
        <v>-0.002077099775823331</v>
      </c>
      <c r="IL247">
        <v>4.593143279902166E-07</v>
      </c>
      <c r="IM247">
        <v>-1.865383991892071E-10</v>
      </c>
      <c r="IN247">
        <v>-0.06087574426827484</v>
      </c>
      <c r="IO247">
        <v>-0.01129461987421345</v>
      </c>
      <c r="IP247">
        <v>0.00116580895745559</v>
      </c>
      <c r="IQ247">
        <v>-1.679085872906199E-05</v>
      </c>
      <c r="IR247">
        <v>2</v>
      </c>
      <c r="IS247">
        <v>2290</v>
      </c>
      <c r="IT247">
        <v>0</v>
      </c>
      <c r="IU247">
        <v>32</v>
      </c>
      <c r="IV247">
        <v>10.3</v>
      </c>
      <c r="IW247">
        <v>10</v>
      </c>
      <c r="IX247">
        <v>0.341797</v>
      </c>
      <c r="IY247">
        <v>2.28271</v>
      </c>
      <c r="IZ247">
        <v>1.39648</v>
      </c>
      <c r="JA247">
        <v>2.35596</v>
      </c>
      <c r="JB247">
        <v>1.49536</v>
      </c>
      <c r="JC247">
        <v>2.37305</v>
      </c>
      <c r="JD247">
        <v>38.5014</v>
      </c>
      <c r="JE247">
        <v>24.035</v>
      </c>
      <c r="JF247">
        <v>18</v>
      </c>
      <c r="JG247">
        <v>511.2</v>
      </c>
      <c r="JH247">
        <v>428.028</v>
      </c>
      <c r="JI247">
        <v>22.2107</v>
      </c>
      <c r="JJ247">
        <v>28.6952</v>
      </c>
      <c r="JK247">
        <v>30</v>
      </c>
      <c r="JL247">
        <v>28.6618</v>
      </c>
      <c r="JM247">
        <v>28.5968</v>
      </c>
      <c r="JN247">
        <v>6.77077</v>
      </c>
      <c r="JO247">
        <v>26.5129</v>
      </c>
      <c r="JP247">
        <v>0</v>
      </c>
      <c r="JQ247">
        <v>22.2255</v>
      </c>
      <c r="JR247">
        <v>78.88079999999999</v>
      </c>
      <c r="JS247">
        <v>14.1432</v>
      </c>
      <c r="JT247">
        <v>100.304</v>
      </c>
      <c r="JU247">
        <v>100.227</v>
      </c>
    </row>
    <row r="248" spans="1:281">
      <c r="A248">
        <v>232</v>
      </c>
      <c r="B248">
        <v>1651864861.1</v>
      </c>
      <c r="C248">
        <v>640.5</v>
      </c>
      <c r="D248" t="s">
        <v>884</v>
      </c>
      <c r="E248" t="s">
        <v>885</v>
      </c>
      <c r="F248">
        <v>2</v>
      </c>
      <c r="G248" t="s">
        <v>413</v>
      </c>
      <c r="H248" t="s">
        <v>414</v>
      </c>
      <c r="I248">
        <v>1651864860.1</v>
      </c>
      <c r="J248">
        <f>(K248)/1000</f>
        <v>0</v>
      </c>
      <c r="K248">
        <f>IF(CZ248, AN248, AH248)</f>
        <v>0</v>
      </c>
      <c r="L248">
        <f>IF(CZ248, AI248, AG248)</f>
        <v>0</v>
      </c>
      <c r="M248">
        <f>DB248 - IF(AU248&gt;1, L248*CV248*100.0/(AW248*DP248), 0)</f>
        <v>0</v>
      </c>
      <c r="N248">
        <f>((T248-J248/2)*M248-L248)/(T248+J248/2)</f>
        <v>0</v>
      </c>
      <c r="O248">
        <f>N248*(DI248+DJ248)/1000.0</f>
        <v>0</v>
      </c>
      <c r="P248">
        <f>(DB248 - IF(AU248&gt;1, L248*CV248*100.0/(AW248*DP248), 0))*(DI248+DJ248)/1000.0</f>
        <v>0</v>
      </c>
      <c r="Q248">
        <f>2.0/((1/S248-1/R248)+SIGN(S248)*SQRT((1/S248-1/R248)*(1/S248-1/R248) + 4*CW248/((CW248+1)*(CW248+1))*(2*1/S248*1/R248-1/R248*1/R248)))</f>
        <v>0</v>
      </c>
      <c r="R248">
        <f>IF(LEFT(CX248,1)&lt;&gt;"0",IF(LEFT(CX248,1)="1",3.0,CY248),$D$5+$E$5*(DP248*DI248/($K$5*1000))+$F$5*(DP248*DI248/($K$5*1000))*MAX(MIN(CV248,$J$5),$I$5)*MAX(MIN(CV248,$J$5),$I$5)+$G$5*MAX(MIN(CV248,$J$5),$I$5)*(DP248*DI248/($K$5*1000))+$H$5*(DP248*DI248/($K$5*1000))*(DP248*DI248/($K$5*1000)))</f>
        <v>0</v>
      </c>
      <c r="S248">
        <f>J248*(1000-(1000*0.61365*exp(17.502*W248/(240.97+W248))/(DI248+DJ248)+DD248)/2)/(1000*0.61365*exp(17.502*W248/(240.97+W248))/(DI248+DJ248)-DD248)</f>
        <v>0</v>
      </c>
      <c r="T248">
        <f>1/((CW248+1)/(Q248/1.6)+1/(R248/1.37)) + CW248/((CW248+1)/(Q248/1.6) + CW248/(R248/1.37))</f>
        <v>0</v>
      </c>
      <c r="U248">
        <f>(CR248*CU248)</f>
        <v>0</v>
      </c>
      <c r="V248">
        <f>(DK248+(U248+2*0.95*5.67E-8*(((DK248+$B$7)+273)^4-(DK248+273)^4)-44100*J248)/(1.84*29.3*R248+8*0.95*5.67E-8*(DK248+273)^3))</f>
        <v>0</v>
      </c>
      <c r="W248">
        <f>($C$7*DL248+$D$7*DM248+$E$7*V248)</f>
        <v>0</v>
      </c>
      <c r="X248">
        <f>0.61365*exp(17.502*W248/(240.97+W248))</f>
        <v>0</v>
      </c>
      <c r="Y248">
        <f>(Z248/AA248*100)</f>
        <v>0</v>
      </c>
      <c r="Z248">
        <f>DD248*(DI248+DJ248)/1000</f>
        <v>0</v>
      </c>
      <c r="AA248">
        <f>0.61365*exp(17.502*DK248/(240.97+DK248))</f>
        <v>0</v>
      </c>
      <c r="AB248">
        <f>(X248-DD248*(DI248+DJ248)/1000)</f>
        <v>0</v>
      </c>
      <c r="AC248">
        <f>(-J248*44100)</f>
        <v>0</v>
      </c>
      <c r="AD248">
        <f>2*29.3*R248*0.92*(DK248-W248)</f>
        <v>0</v>
      </c>
      <c r="AE248">
        <f>2*0.95*5.67E-8*(((DK248+$B$7)+273)^4-(W248+273)^4)</f>
        <v>0</v>
      </c>
      <c r="AF248">
        <f>U248+AE248+AC248+AD248</f>
        <v>0</v>
      </c>
      <c r="AG248">
        <f>DH248*AU248*(DC248-DB248*(1000-AU248*DE248)/(1000-AU248*DD248))/(100*CV248)</f>
        <v>0</v>
      </c>
      <c r="AH248">
        <f>1000*DH248*AU248*(DD248-DE248)/(100*CV248*(1000-AU248*DD248))</f>
        <v>0</v>
      </c>
      <c r="AI248">
        <f>(AJ248 - AK248 - DI248*1E3/(8.314*(DK248+273.15)) * AM248/DH248 * AL248) * DH248/(100*CV248) * (1000 - DE248)/1000</f>
        <v>0</v>
      </c>
      <c r="AJ248">
        <v>108.5108294179889</v>
      </c>
      <c r="AK248">
        <v>119.5046484848484</v>
      </c>
      <c r="AL248">
        <v>-3.190283745607327</v>
      </c>
      <c r="AM248">
        <v>66.38192812717227</v>
      </c>
      <c r="AN248">
        <f>(AP248 - AO248 + DI248*1E3/(8.314*(DK248+273.15)) * AR248/DH248 * AQ248) * DH248/(100*CV248) * 1000/(1000 - AP248)</f>
        <v>0</v>
      </c>
      <c r="AO248">
        <v>14.11744888727035</v>
      </c>
      <c r="AP248">
        <v>18.38048088235292</v>
      </c>
      <c r="AQ248">
        <v>3.042105547020928E-05</v>
      </c>
      <c r="AR248">
        <v>80.47224507511959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MAX(0,($B$13+$C$13*DP248)/(1+$D$13*DP248)*DI248/(DK248+273)*$E$13)</f>
        <v>0</v>
      </c>
      <c r="AX248" t="s">
        <v>417</v>
      </c>
      <c r="AY248" t="s">
        <v>417</v>
      </c>
      <c r="AZ248">
        <v>0</v>
      </c>
      <c r="BA248">
        <v>0</v>
      </c>
      <c r="BB248">
        <f>1-AZ248/BA248</f>
        <v>0</v>
      </c>
      <c r="BC248">
        <v>0</v>
      </c>
      <c r="BD248" t="s">
        <v>417</v>
      </c>
      <c r="BE248" t="s">
        <v>417</v>
      </c>
      <c r="BF248">
        <v>0</v>
      </c>
      <c r="BG248">
        <v>0</v>
      </c>
      <c r="BH248">
        <f>1-BF248/BG248</f>
        <v>0</v>
      </c>
      <c r="BI248">
        <v>0.5</v>
      </c>
      <c r="BJ248">
        <f>CS248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417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BZ248">
        <v>1248</v>
      </c>
      <c r="CA248">
        <v>300</v>
      </c>
      <c r="CB248">
        <v>300</v>
      </c>
      <c r="CC248">
        <v>300</v>
      </c>
      <c r="CD248">
        <v>10442</v>
      </c>
      <c r="CE248">
        <v>1293.69</v>
      </c>
      <c r="CF248">
        <v>-0.00735246</v>
      </c>
      <c r="CG248">
        <v>0.5</v>
      </c>
      <c r="CH248" t="s">
        <v>417</v>
      </c>
      <c r="CI248" t="s">
        <v>417</v>
      </c>
      <c r="CJ248" t="s">
        <v>417</v>
      </c>
      <c r="CK248" t="s">
        <v>417</v>
      </c>
      <c r="CL248" t="s">
        <v>417</v>
      </c>
      <c r="CM248" t="s">
        <v>417</v>
      </c>
      <c r="CN248" t="s">
        <v>417</v>
      </c>
      <c r="CO248" t="s">
        <v>417</v>
      </c>
      <c r="CP248" t="s">
        <v>417</v>
      </c>
      <c r="CQ248" t="s">
        <v>417</v>
      </c>
      <c r="CR248">
        <f>$B$11*DQ248+$C$11*DR248+$F$11*EC248*(1-EF248)</f>
        <v>0</v>
      </c>
      <c r="CS248">
        <f>CR248*CT248</f>
        <v>0</v>
      </c>
      <c r="CT248">
        <f>($B$11*$D$9+$C$11*$D$9+$F$11*((EP248+EH248)/MAX(EP248+EH248+EQ248, 0.1)*$I$9+EQ248/MAX(EP248+EH248+EQ248, 0.1)*$J$9))/($B$11+$C$11+$F$11)</f>
        <v>0</v>
      </c>
      <c r="CU248">
        <f>($B$11*$K$9+$C$11*$K$9+$F$11*((EP248+EH248)/MAX(EP248+EH248+EQ248, 0.1)*$P$9+EQ248/MAX(EP248+EH248+EQ248, 0.1)*$Q$9))/($B$11+$C$11+$F$11)</f>
        <v>0</v>
      </c>
      <c r="CV248">
        <v>6</v>
      </c>
      <c r="CW248">
        <v>0.5</v>
      </c>
      <c r="CX248" t="s">
        <v>418</v>
      </c>
      <c r="CY248">
        <v>2</v>
      </c>
      <c r="CZ248" t="b">
        <v>1</v>
      </c>
      <c r="DA248">
        <v>1651864860.1</v>
      </c>
      <c r="DB248">
        <v>118.8853333333333</v>
      </c>
      <c r="DC248">
        <v>100.8845333333333</v>
      </c>
      <c r="DD248">
        <v>18.38076666666667</v>
      </c>
      <c r="DE248">
        <v>14.11593333333334</v>
      </c>
      <c r="DF248">
        <v>119.3433333333333</v>
      </c>
      <c r="DG248">
        <v>18.3599</v>
      </c>
      <c r="DH248">
        <v>500.0426666666667</v>
      </c>
      <c r="DI248">
        <v>89.92649999999999</v>
      </c>
      <c r="DJ248">
        <v>0.1001206333333333</v>
      </c>
      <c r="DK248">
        <v>25.623</v>
      </c>
      <c r="DL248">
        <v>24.9854</v>
      </c>
      <c r="DM248">
        <v>999.9</v>
      </c>
      <c r="DN248">
        <v>0</v>
      </c>
      <c r="DO248">
        <v>0</v>
      </c>
      <c r="DP248">
        <v>9992.5</v>
      </c>
      <c r="DQ248">
        <v>0</v>
      </c>
      <c r="DR248">
        <v>3.23193</v>
      </c>
      <c r="DS248">
        <v>18.0007</v>
      </c>
      <c r="DT248">
        <v>121.111</v>
      </c>
      <c r="DU248">
        <v>102.329</v>
      </c>
      <c r="DV248">
        <v>4.264833333333334</v>
      </c>
      <c r="DW248">
        <v>100.8845333333333</v>
      </c>
      <c r="DX248">
        <v>14.11593333333334</v>
      </c>
      <c r="DY248">
        <v>1.652916666666667</v>
      </c>
      <c r="DZ248">
        <v>1.269393333333333</v>
      </c>
      <c r="EA248">
        <v>14.46116666666667</v>
      </c>
      <c r="EB248">
        <v>10.4413</v>
      </c>
      <c r="EC248">
        <v>1500.05</v>
      </c>
      <c r="ED248">
        <v>0.9730086666666665</v>
      </c>
      <c r="EE248">
        <v>0.0269913</v>
      </c>
      <c r="EF248">
        <v>0</v>
      </c>
      <c r="EG248">
        <v>835.378</v>
      </c>
      <c r="EH248">
        <v>5.00097</v>
      </c>
      <c r="EI248">
        <v>12405.16666666667</v>
      </c>
      <c r="EJ248">
        <v>12492.06666666667</v>
      </c>
      <c r="EK248">
        <v>37.187</v>
      </c>
      <c r="EL248">
        <v>38.687</v>
      </c>
      <c r="EM248">
        <v>37.625</v>
      </c>
      <c r="EN248">
        <v>38.375</v>
      </c>
      <c r="EO248">
        <v>38.062</v>
      </c>
      <c r="EP248">
        <v>1454.696666666667</v>
      </c>
      <c r="EQ248">
        <v>40.35333333333333</v>
      </c>
      <c r="ER248">
        <v>0</v>
      </c>
      <c r="ES248">
        <v>640.2000000476837</v>
      </c>
      <c r="ET248">
        <v>0</v>
      </c>
      <c r="EU248">
        <v>833.8206000000001</v>
      </c>
      <c r="EV248">
        <v>13.48930767245644</v>
      </c>
      <c r="EW248">
        <v>191.4769227801549</v>
      </c>
      <c r="EX248">
        <v>12384.496</v>
      </c>
      <c r="EY248">
        <v>15</v>
      </c>
      <c r="EZ248">
        <v>1651864261.1</v>
      </c>
      <c r="FA248" t="s">
        <v>419</v>
      </c>
      <c r="FB248">
        <v>1651864241.6</v>
      </c>
      <c r="FC248">
        <v>1651864261.1</v>
      </c>
      <c r="FD248">
        <v>7</v>
      </c>
      <c r="FE248">
        <v>0.438</v>
      </c>
      <c r="FF248">
        <v>0.002</v>
      </c>
      <c r="FG248">
        <v>-0.988</v>
      </c>
      <c r="FH248">
        <v>-0.066</v>
      </c>
      <c r="FI248">
        <v>400</v>
      </c>
      <c r="FJ248">
        <v>11</v>
      </c>
      <c r="FK248">
        <v>0.05</v>
      </c>
      <c r="FL248">
        <v>0.02</v>
      </c>
      <c r="FM248">
        <v>15.4849675</v>
      </c>
      <c r="FN248">
        <v>14.33447392120071</v>
      </c>
      <c r="FO248">
        <v>1.381398537965691</v>
      </c>
      <c r="FP248">
        <v>-1</v>
      </c>
      <c r="FQ248">
        <v>4.25416225</v>
      </c>
      <c r="FR248">
        <v>0.0752515947467199</v>
      </c>
      <c r="FS248">
        <v>0.007324876615855076</v>
      </c>
      <c r="FT248">
        <v>-1</v>
      </c>
      <c r="FU248">
        <v>0</v>
      </c>
      <c r="FV248">
        <v>0</v>
      </c>
      <c r="FW248">
        <v>0</v>
      </c>
      <c r="FX248">
        <v>-1</v>
      </c>
      <c r="FY248">
        <v>0</v>
      </c>
      <c r="FZ248">
        <v>0</v>
      </c>
      <c r="GA248" t="s">
        <v>420</v>
      </c>
      <c r="GB248">
        <v>2.98057</v>
      </c>
      <c r="GC248">
        <v>2.70606</v>
      </c>
      <c r="GD248">
        <v>0.0304964</v>
      </c>
      <c r="GE248">
        <v>0.0255021</v>
      </c>
      <c r="GF248">
        <v>0.08775429999999999</v>
      </c>
      <c r="GG248">
        <v>0.07154290000000001</v>
      </c>
      <c r="GH248">
        <v>30596.7</v>
      </c>
      <c r="GI248">
        <v>30820.6</v>
      </c>
      <c r="GJ248">
        <v>29344.6</v>
      </c>
      <c r="GK248">
        <v>29257.8</v>
      </c>
      <c r="GL248">
        <v>35444.7</v>
      </c>
      <c r="GM248">
        <v>36177.3</v>
      </c>
      <c r="GN248">
        <v>41303.2</v>
      </c>
      <c r="GO248">
        <v>41760.1</v>
      </c>
      <c r="GP248">
        <v>1.95525</v>
      </c>
      <c r="GQ248">
        <v>1.84822</v>
      </c>
      <c r="GR248">
        <v>-0.0206754</v>
      </c>
      <c r="GS248">
        <v>0</v>
      </c>
      <c r="GT248">
        <v>25.3284</v>
      </c>
      <c r="GU248">
        <v>999.9</v>
      </c>
      <c r="GV248">
        <v>31.5</v>
      </c>
      <c r="GW248">
        <v>34.3</v>
      </c>
      <c r="GX248">
        <v>19.03</v>
      </c>
      <c r="GY248">
        <v>61.8675</v>
      </c>
      <c r="GZ248">
        <v>35.0921</v>
      </c>
      <c r="HA248">
        <v>1</v>
      </c>
      <c r="HB248">
        <v>0.108056</v>
      </c>
      <c r="HC248">
        <v>2.25695</v>
      </c>
      <c r="HD248">
        <v>20.3191</v>
      </c>
      <c r="HE248">
        <v>5.21714</v>
      </c>
      <c r="HF248">
        <v>12.0099</v>
      </c>
      <c r="HG248">
        <v>4.9878</v>
      </c>
      <c r="HH248">
        <v>3.28855</v>
      </c>
      <c r="HI248">
        <v>1001.1</v>
      </c>
      <c r="HJ248">
        <v>9560.5</v>
      </c>
      <c r="HK248">
        <v>5139.4</v>
      </c>
      <c r="HL248">
        <v>24.9</v>
      </c>
      <c r="HM248">
        <v>1.86751</v>
      </c>
      <c r="HN248">
        <v>1.86646</v>
      </c>
      <c r="HO248">
        <v>1.866</v>
      </c>
      <c r="HP248">
        <v>1.86584</v>
      </c>
      <c r="HQ248">
        <v>1.86768</v>
      </c>
      <c r="HR248">
        <v>1.87025</v>
      </c>
      <c r="HS248">
        <v>1.86889</v>
      </c>
      <c r="HT248">
        <v>1.87026</v>
      </c>
      <c r="HU248">
        <v>0</v>
      </c>
      <c r="HV248">
        <v>0</v>
      </c>
      <c r="HW248">
        <v>0</v>
      </c>
      <c r="HX248">
        <v>0</v>
      </c>
      <c r="HY248" t="s">
        <v>421</v>
      </c>
      <c r="HZ248" t="s">
        <v>422</v>
      </c>
      <c r="IA248" t="s">
        <v>423</v>
      </c>
      <c r="IB248" t="s">
        <v>423</v>
      </c>
      <c r="IC248" t="s">
        <v>423</v>
      </c>
      <c r="ID248" t="s">
        <v>423</v>
      </c>
      <c r="IE248">
        <v>0</v>
      </c>
      <c r="IF248">
        <v>100</v>
      </c>
      <c r="IG248">
        <v>100</v>
      </c>
      <c r="IH248">
        <v>-0.452</v>
      </c>
      <c r="II248">
        <v>0.0208</v>
      </c>
      <c r="IJ248">
        <v>-0.2164499368582429</v>
      </c>
      <c r="IK248">
        <v>-0.002077099775823331</v>
      </c>
      <c r="IL248">
        <v>4.593143279902166E-07</v>
      </c>
      <c r="IM248">
        <v>-1.865383991892071E-10</v>
      </c>
      <c r="IN248">
        <v>-0.06087574426827484</v>
      </c>
      <c r="IO248">
        <v>-0.01129461987421345</v>
      </c>
      <c r="IP248">
        <v>0.00116580895745559</v>
      </c>
      <c r="IQ248">
        <v>-1.679085872906199E-05</v>
      </c>
      <c r="IR248">
        <v>2</v>
      </c>
      <c r="IS248">
        <v>2290</v>
      </c>
      <c r="IT248">
        <v>0</v>
      </c>
      <c r="IU248">
        <v>32</v>
      </c>
      <c r="IV248">
        <v>10.3</v>
      </c>
      <c r="IW248">
        <v>10</v>
      </c>
      <c r="IX248">
        <v>0.327148</v>
      </c>
      <c r="IY248">
        <v>2.29736</v>
      </c>
      <c r="IZ248">
        <v>1.39648</v>
      </c>
      <c r="JA248">
        <v>2.35718</v>
      </c>
      <c r="JB248">
        <v>1.49536</v>
      </c>
      <c r="JC248">
        <v>2.26318</v>
      </c>
      <c r="JD248">
        <v>38.5014</v>
      </c>
      <c r="JE248">
        <v>24.035</v>
      </c>
      <c r="JF248">
        <v>18</v>
      </c>
      <c r="JG248">
        <v>511.151</v>
      </c>
      <c r="JH248">
        <v>427.923</v>
      </c>
      <c r="JI248">
        <v>22.2142</v>
      </c>
      <c r="JJ248">
        <v>28.6952</v>
      </c>
      <c r="JK248">
        <v>30</v>
      </c>
      <c r="JL248">
        <v>28.6618</v>
      </c>
      <c r="JM248">
        <v>28.5968</v>
      </c>
      <c r="JN248">
        <v>6.47298</v>
      </c>
      <c r="JO248">
        <v>26.5129</v>
      </c>
      <c r="JP248">
        <v>0</v>
      </c>
      <c r="JQ248">
        <v>22.2255</v>
      </c>
      <c r="JR248">
        <v>72.1848</v>
      </c>
      <c r="JS248">
        <v>14.1432</v>
      </c>
      <c r="JT248">
        <v>100.305</v>
      </c>
      <c r="JU248">
        <v>100.227</v>
      </c>
    </row>
    <row r="249" spans="1:281">
      <c r="A249">
        <v>233</v>
      </c>
      <c r="B249">
        <v>1651864863.1</v>
      </c>
      <c r="C249">
        <v>642.5</v>
      </c>
      <c r="D249" t="s">
        <v>886</v>
      </c>
      <c r="E249" t="s">
        <v>887</v>
      </c>
      <c r="F249">
        <v>2</v>
      </c>
      <c r="G249" t="s">
        <v>413</v>
      </c>
      <c r="H249" t="s">
        <v>414</v>
      </c>
      <c r="I249">
        <v>1651864861.725</v>
      </c>
      <c r="J249">
        <f>(K249)/1000</f>
        <v>0</v>
      </c>
      <c r="K249">
        <f>IF(CZ249, AN249, AH249)</f>
        <v>0</v>
      </c>
      <c r="L249">
        <f>IF(CZ249, AI249, AG249)</f>
        <v>0</v>
      </c>
      <c r="M249">
        <f>DB249 - IF(AU249&gt;1, L249*CV249*100.0/(AW249*DP249), 0)</f>
        <v>0</v>
      </c>
      <c r="N249">
        <f>((T249-J249/2)*M249-L249)/(T249+J249/2)</f>
        <v>0</v>
      </c>
      <c r="O249">
        <f>N249*(DI249+DJ249)/1000.0</f>
        <v>0</v>
      </c>
      <c r="P249">
        <f>(DB249 - IF(AU249&gt;1, L249*CV249*100.0/(AW249*DP249), 0))*(DI249+DJ249)/1000.0</f>
        <v>0</v>
      </c>
      <c r="Q249">
        <f>2.0/((1/S249-1/R249)+SIGN(S249)*SQRT((1/S249-1/R249)*(1/S249-1/R249) + 4*CW249/((CW249+1)*(CW249+1))*(2*1/S249*1/R249-1/R249*1/R249)))</f>
        <v>0</v>
      </c>
      <c r="R249">
        <f>IF(LEFT(CX249,1)&lt;&gt;"0",IF(LEFT(CX249,1)="1",3.0,CY249),$D$5+$E$5*(DP249*DI249/($K$5*1000))+$F$5*(DP249*DI249/($K$5*1000))*MAX(MIN(CV249,$J$5),$I$5)*MAX(MIN(CV249,$J$5),$I$5)+$G$5*MAX(MIN(CV249,$J$5),$I$5)*(DP249*DI249/($K$5*1000))+$H$5*(DP249*DI249/($K$5*1000))*(DP249*DI249/($K$5*1000)))</f>
        <v>0</v>
      </c>
      <c r="S249">
        <f>J249*(1000-(1000*0.61365*exp(17.502*W249/(240.97+W249))/(DI249+DJ249)+DD249)/2)/(1000*0.61365*exp(17.502*W249/(240.97+W249))/(DI249+DJ249)-DD249)</f>
        <v>0</v>
      </c>
      <c r="T249">
        <f>1/((CW249+1)/(Q249/1.6)+1/(R249/1.37)) + CW249/((CW249+1)/(Q249/1.6) + CW249/(R249/1.37))</f>
        <v>0</v>
      </c>
      <c r="U249">
        <f>(CR249*CU249)</f>
        <v>0</v>
      </c>
      <c r="V249">
        <f>(DK249+(U249+2*0.95*5.67E-8*(((DK249+$B$7)+273)^4-(DK249+273)^4)-44100*J249)/(1.84*29.3*R249+8*0.95*5.67E-8*(DK249+273)^3))</f>
        <v>0</v>
      </c>
      <c r="W249">
        <f>($C$7*DL249+$D$7*DM249+$E$7*V249)</f>
        <v>0</v>
      </c>
      <c r="X249">
        <f>0.61365*exp(17.502*W249/(240.97+W249))</f>
        <v>0</v>
      </c>
      <c r="Y249">
        <f>(Z249/AA249*100)</f>
        <v>0</v>
      </c>
      <c r="Z249">
        <f>DD249*(DI249+DJ249)/1000</f>
        <v>0</v>
      </c>
      <c r="AA249">
        <f>0.61365*exp(17.502*DK249/(240.97+DK249))</f>
        <v>0</v>
      </c>
      <c r="AB249">
        <f>(X249-DD249*(DI249+DJ249)/1000)</f>
        <v>0</v>
      </c>
      <c r="AC249">
        <f>(-J249*44100)</f>
        <v>0</v>
      </c>
      <c r="AD249">
        <f>2*29.3*R249*0.92*(DK249-W249)</f>
        <v>0</v>
      </c>
      <c r="AE249">
        <f>2*0.95*5.67E-8*(((DK249+$B$7)+273)^4-(W249+273)^4)</f>
        <v>0</v>
      </c>
      <c r="AF249">
        <f>U249+AE249+AC249+AD249</f>
        <v>0</v>
      </c>
      <c r="AG249">
        <f>DH249*AU249*(DC249-DB249*(1000-AU249*DE249)/(1000-AU249*DD249))/(100*CV249)</f>
        <v>0</v>
      </c>
      <c r="AH249">
        <f>1000*DH249*AU249*(DD249-DE249)/(100*CV249*(1000-AU249*DD249))</f>
        <v>0</v>
      </c>
      <c r="AI249">
        <f>(AJ249 - AK249 - DI249*1E3/(8.314*(DK249+273.15)) * AM249/DH249 * AL249) * DH249/(100*CV249) * (1000 - DE249)/1000</f>
        <v>0</v>
      </c>
      <c r="AJ249">
        <v>101.5363797225126</v>
      </c>
      <c r="AK249">
        <v>113.0766545454546</v>
      </c>
      <c r="AL249">
        <v>-3.211032472036548</v>
      </c>
      <c r="AM249">
        <v>66.38192812717227</v>
      </c>
      <c r="AN249">
        <f>(AP249 - AO249 + DI249*1E3/(8.314*(DK249+273.15)) * AR249/DH249 * AQ249) * DH249/(100*CV249) * 1000/(1000 - AP249)</f>
        <v>0</v>
      </c>
      <c r="AO249">
        <v>14.11655781068044</v>
      </c>
      <c r="AP249">
        <v>18.3837594117647</v>
      </c>
      <c r="AQ249">
        <v>-8.115059206889116E-06</v>
      </c>
      <c r="AR249">
        <v>80.47224507511959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MAX(0,($B$13+$C$13*DP249)/(1+$D$13*DP249)*DI249/(DK249+273)*$E$13)</f>
        <v>0</v>
      </c>
      <c r="AX249" t="s">
        <v>417</v>
      </c>
      <c r="AY249" t="s">
        <v>417</v>
      </c>
      <c r="AZ249">
        <v>0</v>
      </c>
      <c r="BA249">
        <v>0</v>
      </c>
      <c r="BB249">
        <f>1-AZ249/BA249</f>
        <v>0</v>
      </c>
      <c r="BC249">
        <v>0</v>
      </c>
      <c r="BD249" t="s">
        <v>417</v>
      </c>
      <c r="BE249" t="s">
        <v>417</v>
      </c>
      <c r="BF249">
        <v>0</v>
      </c>
      <c r="BG249">
        <v>0</v>
      </c>
      <c r="BH249">
        <f>1-BF249/BG249</f>
        <v>0</v>
      </c>
      <c r="BI249">
        <v>0.5</v>
      </c>
      <c r="BJ249">
        <f>CS249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417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BZ249">
        <v>1248</v>
      </c>
      <c r="CA249">
        <v>300</v>
      </c>
      <c r="CB249">
        <v>300</v>
      </c>
      <c r="CC249">
        <v>300</v>
      </c>
      <c r="CD249">
        <v>10442</v>
      </c>
      <c r="CE249">
        <v>1293.69</v>
      </c>
      <c r="CF249">
        <v>-0.00735246</v>
      </c>
      <c r="CG249">
        <v>0.5</v>
      </c>
      <c r="CH249" t="s">
        <v>417</v>
      </c>
      <c r="CI249" t="s">
        <v>417</v>
      </c>
      <c r="CJ249" t="s">
        <v>417</v>
      </c>
      <c r="CK249" t="s">
        <v>417</v>
      </c>
      <c r="CL249" t="s">
        <v>417</v>
      </c>
      <c r="CM249" t="s">
        <v>417</v>
      </c>
      <c r="CN249" t="s">
        <v>417</v>
      </c>
      <c r="CO249" t="s">
        <v>417</v>
      </c>
      <c r="CP249" t="s">
        <v>417</v>
      </c>
      <c r="CQ249" t="s">
        <v>417</v>
      </c>
      <c r="CR249">
        <f>$B$11*DQ249+$C$11*DR249+$F$11*EC249*(1-EF249)</f>
        <v>0</v>
      </c>
      <c r="CS249">
        <f>CR249*CT249</f>
        <v>0</v>
      </c>
      <c r="CT249">
        <f>($B$11*$D$9+$C$11*$D$9+$F$11*((EP249+EH249)/MAX(EP249+EH249+EQ249, 0.1)*$I$9+EQ249/MAX(EP249+EH249+EQ249, 0.1)*$J$9))/($B$11+$C$11+$F$11)</f>
        <v>0</v>
      </c>
      <c r="CU249">
        <f>($B$11*$K$9+$C$11*$K$9+$F$11*((EP249+EH249)/MAX(EP249+EH249+EQ249, 0.1)*$P$9+EQ249/MAX(EP249+EH249+EQ249, 0.1)*$Q$9))/($B$11+$C$11+$F$11)</f>
        <v>0</v>
      </c>
      <c r="CV249">
        <v>6</v>
      </c>
      <c r="CW249">
        <v>0.5</v>
      </c>
      <c r="CX249" t="s">
        <v>418</v>
      </c>
      <c r="CY249">
        <v>2</v>
      </c>
      <c r="CZ249" t="b">
        <v>1</v>
      </c>
      <c r="DA249">
        <v>1651864861.725</v>
      </c>
      <c r="DB249">
        <v>113.76175</v>
      </c>
      <c r="DC249">
        <v>95.39327499999999</v>
      </c>
      <c r="DD249">
        <v>18.382625</v>
      </c>
      <c r="DE249">
        <v>14.115</v>
      </c>
      <c r="DF249">
        <v>114.21</v>
      </c>
      <c r="DG249">
        <v>18.36175</v>
      </c>
      <c r="DH249">
        <v>500.0385</v>
      </c>
      <c r="DI249">
        <v>89.92847500000001</v>
      </c>
      <c r="DJ249">
        <v>0.09983162500000001</v>
      </c>
      <c r="DK249">
        <v>25.621275</v>
      </c>
      <c r="DL249">
        <v>24.9887</v>
      </c>
      <c r="DM249">
        <v>999.9</v>
      </c>
      <c r="DN249">
        <v>0</v>
      </c>
      <c r="DO249">
        <v>0</v>
      </c>
      <c r="DP249">
        <v>10007.625</v>
      </c>
      <c r="DQ249">
        <v>0</v>
      </c>
      <c r="DR249">
        <v>3.23193</v>
      </c>
      <c r="DS249">
        <v>18.368575</v>
      </c>
      <c r="DT249">
        <v>115.892</v>
      </c>
      <c r="DU249">
        <v>96.7591</v>
      </c>
      <c r="DV249">
        <v>4.2676</v>
      </c>
      <c r="DW249">
        <v>95.39327499999999</v>
      </c>
      <c r="DX249">
        <v>14.115</v>
      </c>
      <c r="DY249">
        <v>1.65312</v>
      </c>
      <c r="DZ249">
        <v>1.2693425</v>
      </c>
      <c r="EA249">
        <v>14.463075</v>
      </c>
      <c r="EB249">
        <v>10.44065</v>
      </c>
      <c r="EC249">
        <v>1500.0725</v>
      </c>
      <c r="ED249">
        <v>0.9730094999999999</v>
      </c>
      <c r="EE249">
        <v>0.0269904</v>
      </c>
      <c r="EF249">
        <v>0</v>
      </c>
      <c r="EG249">
        <v>835.6285</v>
      </c>
      <c r="EH249">
        <v>5.00097</v>
      </c>
      <c r="EI249">
        <v>12411.425</v>
      </c>
      <c r="EJ249">
        <v>12492.25</v>
      </c>
      <c r="EK249">
        <v>37.187</v>
      </c>
      <c r="EL249">
        <v>38.687</v>
      </c>
      <c r="EM249">
        <v>37.625</v>
      </c>
      <c r="EN249">
        <v>38.375</v>
      </c>
      <c r="EO249">
        <v>38.062</v>
      </c>
      <c r="EP249">
        <v>1454.72</v>
      </c>
      <c r="EQ249">
        <v>40.3525</v>
      </c>
      <c r="ER249">
        <v>0</v>
      </c>
      <c r="ES249">
        <v>642</v>
      </c>
      <c r="ET249">
        <v>0</v>
      </c>
      <c r="EU249">
        <v>834.1431923076923</v>
      </c>
      <c r="EV249">
        <v>14.7261880487526</v>
      </c>
      <c r="EW249">
        <v>201.5589745335555</v>
      </c>
      <c r="EX249">
        <v>12389.44615384615</v>
      </c>
      <c r="EY249">
        <v>15</v>
      </c>
      <c r="EZ249">
        <v>1651864261.1</v>
      </c>
      <c r="FA249" t="s">
        <v>419</v>
      </c>
      <c r="FB249">
        <v>1651864241.6</v>
      </c>
      <c r="FC249">
        <v>1651864261.1</v>
      </c>
      <c r="FD249">
        <v>7</v>
      </c>
      <c r="FE249">
        <v>0.438</v>
      </c>
      <c r="FF249">
        <v>0.002</v>
      </c>
      <c r="FG249">
        <v>-0.988</v>
      </c>
      <c r="FH249">
        <v>-0.066</v>
      </c>
      <c r="FI249">
        <v>400</v>
      </c>
      <c r="FJ249">
        <v>11</v>
      </c>
      <c r="FK249">
        <v>0.05</v>
      </c>
      <c r="FL249">
        <v>0.02</v>
      </c>
      <c r="FM249">
        <v>16.04968536585366</v>
      </c>
      <c r="FN249">
        <v>14.52717282229961</v>
      </c>
      <c r="FO249">
        <v>1.435413938013832</v>
      </c>
      <c r="FP249">
        <v>-1</v>
      </c>
      <c r="FQ249">
        <v>4.256785853658537</v>
      </c>
      <c r="FR249">
        <v>0.07517268292683085</v>
      </c>
      <c r="FS249">
        <v>0.007499149862585166</v>
      </c>
      <c r="FT249">
        <v>-1</v>
      </c>
      <c r="FU249">
        <v>0</v>
      </c>
      <c r="FV249">
        <v>0</v>
      </c>
      <c r="FW249">
        <v>0</v>
      </c>
      <c r="FX249">
        <v>-1</v>
      </c>
      <c r="FY249">
        <v>0</v>
      </c>
      <c r="FZ249">
        <v>0</v>
      </c>
      <c r="GA249" t="s">
        <v>420</v>
      </c>
      <c r="GB249">
        <v>2.98043</v>
      </c>
      <c r="GC249">
        <v>2.70608</v>
      </c>
      <c r="GD249">
        <v>0.0288948</v>
      </c>
      <c r="GE249">
        <v>0.02378</v>
      </c>
      <c r="GF249">
        <v>0.0877679</v>
      </c>
      <c r="GG249">
        <v>0.0715418</v>
      </c>
      <c r="GH249">
        <v>30647.1</v>
      </c>
      <c r="GI249">
        <v>30875.1</v>
      </c>
      <c r="GJ249">
        <v>29344.4</v>
      </c>
      <c r="GK249">
        <v>29257.8</v>
      </c>
      <c r="GL249">
        <v>35444.2</v>
      </c>
      <c r="GM249">
        <v>36177.2</v>
      </c>
      <c r="GN249">
        <v>41303.3</v>
      </c>
      <c r="GO249">
        <v>41760</v>
      </c>
      <c r="GP249">
        <v>1.95532</v>
      </c>
      <c r="GQ249">
        <v>1.84833</v>
      </c>
      <c r="GR249">
        <v>-0.0205226</v>
      </c>
      <c r="GS249">
        <v>0</v>
      </c>
      <c r="GT249">
        <v>25.3274</v>
      </c>
      <c r="GU249">
        <v>999.9</v>
      </c>
      <c r="GV249">
        <v>31.5</v>
      </c>
      <c r="GW249">
        <v>34.3</v>
      </c>
      <c r="GX249">
        <v>19.0307</v>
      </c>
      <c r="GY249">
        <v>62.2675</v>
      </c>
      <c r="GZ249">
        <v>35.0801</v>
      </c>
      <c r="HA249">
        <v>1</v>
      </c>
      <c r="HB249">
        <v>0.108049</v>
      </c>
      <c r="HC249">
        <v>2.24197</v>
      </c>
      <c r="HD249">
        <v>20.3194</v>
      </c>
      <c r="HE249">
        <v>5.21729</v>
      </c>
      <c r="HF249">
        <v>12.0099</v>
      </c>
      <c r="HG249">
        <v>4.9879</v>
      </c>
      <c r="HH249">
        <v>3.28865</v>
      </c>
      <c r="HI249">
        <v>1001.1</v>
      </c>
      <c r="HJ249">
        <v>9560.5</v>
      </c>
      <c r="HK249">
        <v>5139.4</v>
      </c>
      <c r="HL249">
        <v>24.9</v>
      </c>
      <c r="HM249">
        <v>1.86751</v>
      </c>
      <c r="HN249">
        <v>1.86646</v>
      </c>
      <c r="HO249">
        <v>1.866</v>
      </c>
      <c r="HP249">
        <v>1.86584</v>
      </c>
      <c r="HQ249">
        <v>1.86768</v>
      </c>
      <c r="HR249">
        <v>1.87024</v>
      </c>
      <c r="HS249">
        <v>1.86889</v>
      </c>
      <c r="HT249">
        <v>1.87027</v>
      </c>
      <c r="HU249">
        <v>0</v>
      </c>
      <c r="HV249">
        <v>0</v>
      </c>
      <c r="HW249">
        <v>0</v>
      </c>
      <c r="HX249">
        <v>0</v>
      </c>
      <c r="HY249" t="s">
        <v>421</v>
      </c>
      <c r="HZ249" t="s">
        <v>422</v>
      </c>
      <c r="IA249" t="s">
        <v>423</v>
      </c>
      <c r="IB249" t="s">
        <v>423</v>
      </c>
      <c r="IC249" t="s">
        <v>423</v>
      </c>
      <c r="ID249" t="s">
        <v>423</v>
      </c>
      <c r="IE249">
        <v>0</v>
      </c>
      <c r="IF249">
        <v>100</v>
      </c>
      <c r="IG249">
        <v>100</v>
      </c>
      <c r="IH249">
        <v>-0.439</v>
      </c>
      <c r="II249">
        <v>0.0208</v>
      </c>
      <c r="IJ249">
        <v>-0.2164499368582429</v>
      </c>
      <c r="IK249">
        <v>-0.002077099775823331</v>
      </c>
      <c r="IL249">
        <v>4.593143279902166E-07</v>
      </c>
      <c r="IM249">
        <v>-1.865383991892071E-10</v>
      </c>
      <c r="IN249">
        <v>-0.06087574426827484</v>
      </c>
      <c r="IO249">
        <v>-0.01129461987421345</v>
      </c>
      <c r="IP249">
        <v>0.00116580895745559</v>
      </c>
      <c r="IQ249">
        <v>-1.679085872906199E-05</v>
      </c>
      <c r="IR249">
        <v>2</v>
      </c>
      <c r="IS249">
        <v>2290</v>
      </c>
      <c r="IT249">
        <v>0</v>
      </c>
      <c r="IU249">
        <v>32</v>
      </c>
      <c r="IV249">
        <v>10.4</v>
      </c>
      <c r="IW249">
        <v>10</v>
      </c>
      <c r="IX249">
        <v>0.311279</v>
      </c>
      <c r="IY249">
        <v>2.29248</v>
      </c>
      <c r="IZ249">
        <v>1.39648</v>
      </c>
      <c r="JA249">
        <v>2.35596</v>
      </c>
      <c r="JB249">
        <v>1.49536</v>
      </c>
      <c r="JC249">
        <v>2.34863</v>
      </c>
      <c r="JD249">
        <v>38.5259</v>
      </c>
      <c r="JE249">
        <v>24.035</v>
      </c>
      <c r="JF249">
        <v>18</v>
      </c>
      <c r="JG249">
        <v>511.2</v>
      </c>
      <c r="JH249">
        <v>427.986</v>
      </c>
      <c r="JI249">
        <v>22.2193</v>
      </c>
      <c r="JJ249">
        <v>28.6952</v>
      </c>
      <c r="JK249">
        <v>30</v>
      </c>
      <c r="JL249">
        <v>28.6618</v>
      </c>
      <c r="JM249">
        <v>28.5974</v>
      </c>
      <c r="JN249">
        <v>6.17804</v>
      </c>
      <c r="JO249">
        <v>26.5129</v>
      </c>
      <c r="JP249">
        <v>0</v>
      </c>
      <c r="JQ249">
        <v>22.2255</v>
      </c>
      <c r="JR249">
        <v>65.4919</v>
      </c>
      <c r="JS249">
        <v>14.1432</v>
      </c>
      <c r="JT249">
        <v>100.305</v>
      </c>
      <c r="JU249">
        <v>100.227</v>
      </c>
    </row>
    <row r="250" spans="1:281">
      <c r="A250">
        <v>234</v>
      </c>
      <c r="B250">
        <v>1651864865.1</v>
      </c>
      <c r="C250">
        <v>644.5</v>
      </c>
      <c r="D250" t="s">
        <v>888</v>
      </c>
      <c r="E250" t="s">
        <v>889</v>
      </c>
      <c r="F250">
        <v>2</v>
      </c>
      <c r="G250" t="s">
        <v>413</v>
      </c>
      <c r="H250" t="s">
        <v>414</v>
      </c>
      <c r="I250">
        <v>1651864864.1</v>
      </c>
      <c r="J250">
        <f>(K250)/1000</f>
        <v>0</v>
      </c>
      <c r="K250">
        <f>IF(CZ250, AN250, AH250)</f>
        <v>0</v>
      </c>
      <c r="L250">
        <f>IF(CZ250, AI250, AG250)</f>
        <v>0</v>
      </c>
      <c r="M250">
        <f>DB250 - IF(AU250&gt;1, L250*CV250*100.0/(AW250*DP250), 0)</f>
        <v>0</v>
      </c>
      <c r="N250">
        <f>((T250-J250/2)*M250-L250)/(T250+J250/2)</f>
        <v>0</v>
      </c>
      <c r="O250">
        <f>N250*(DI250+DJ250)/1000.0</f>
        <v>0</v>
      </c>
      <c r="P250">
        <f>(DB250 - IF(AU250&gt;1, L250*CV250*100.0/(AW250*DP250), 0))*(DI250+DJ250)/1000.0</f>
        <v>0</v>
      </c>
      <c r="Q250">
        <f>2.0/((1/S250-1/R250)+SIGN(S250)*SQRT((1/S250-1/R250)*(1/S250-1/R250) + 4*CW250/((CW250+1)*(CW250+1))*(2*1/S250*1/R250-1/R250*1/R250)))</f>
        <v>0</v>
      </c>
      <c r="R250">
        <f>IF(LEFT(CX250,1)&lt;&gt;"0",IF(LEFT(CX250,1)="1",3.0,CY250),$D$5+$E$5*(DP250*DI250/($K$5*1000))+$F$5*(DP250*DI250/($K$5*1000))*MAX(MIN(CV250,$J$5),$I$5)*MAX(MIN(CV250,$J$5),$I$5)+$G$5*MAX(MIN(CV250,$J$5),$I$5)*(DP250*DI250/($K$5*1000))+$H$5*(DP250*DI250/($K$5*1000))*(DP250*DI250/($K$5*1000)))</f>
        <v>0</v>
      </c>
      <c r="S250">
        <f>J250*(1000-(1000*0.61365*exp(17.502*W250/(240.97+W250))/(DI250+DJ250)+DD250)/2)/(1000*0.61365*exp(17.502*W250/(240.97+W250))/(DI250+DJ250)-DD250)</f>
        <v>0</v>
      </c>
      <c r="T250">
        <f>1/((CW250+1)/(Q250/1.6)+1/(R250/1.37)) + CW250/((CW250+1)/(Q250/1.6) + CW250/(R250/1.37))</f>
        <v>0</v>
      </c>
      <c r="U250">
        <f>(CR250*CU250)</f>
        <v>0</v>
      </c>
      <c r="V250">
        <f>(DK250+(U250+2*0.95*5.67E-8*(((DK250+$B$7)+273)^4-(DK250+273)^4)-44100*J250)/(1.84*29.3*R250+8*0.95*5.67E-8*(DK250+273)^3))</f>
        <v>0</v>
      </c>
      <c r="W250">
        <f>($C$7*DL250+$D$7*DM250+$E$7*V250)</f>
        <v>0</v>
      </c>
      <c r="X250">
        <f>0.61365*exp(17.502*W250/(240.97+W250))</f>
        <v>0</v>
      </c>
      <c r="Y250">
        <f>(Z250/AA250*100)</f>
        <v>0</v>
      </c>
      <c r="Z250">
        <f>DD250*(DI250+DJ250)/1000</f>
        <v>0</v>
      </c>
      <c r="AA250">
        <f>0.61365*exp(17.502*DK250/(240.97+DK250))</f>
        <v>0</v>
      </c>
      <c r="AB250">
        <f>(X250-DD250*(DI250+DJ250)/1000)</f>
        <v>0</v>
      </c>
      <c r="AC250">
        <f>(-J250*44100)</f>
        <v>0</v>
      </c>
      <c r="AD250">
        <f>2*29.3*R250*0.92*(DK250-W250)</f>
        <v>0</v>
      </c>
      <c r="AE250">
        <f>2*0.95*5.67E-8*(((DK250+$B$7)+273)^4-(W250+273)^4)</f>
        <v>0</v>
      </c>
      <c r="AF250">
        <f>U250+AE250+AC250+AD250</f>
        <v>0</v>
      </c>
      <c r="AG250">
        <f>DH250*AU250*(DC250-DB250*(1000-AU250*DE250)/(1000-AU250*DD250))/(100*CV250)</f>
        <v>0</v>
      </c>
      <c r="AH250">
        <f>1000*DH250*AU250*(DD250-DE250)/(100*CV250*(1000-AU250*DD250))</f>
        <v>0</v>
      </c>
      <c r="AI250">
        <f>(AJ250 - AK250 - DI250*1E3/(8.314*(DK250+273.15)) * AM250/DH250 * AL250) * DH250/(100*CV250) * (1000 - DE250)/1000</f>
        <v>0</v>
      </c>
      <c r="AJ250">
        <v>94.68630140221573</v>
      </c>
      <c r="AK250">
        <v>106.6385636363637</v>
      </c>
      <c r="AL250">
        <v>-3.218224509801745</v>
      </c>
      <c r="AM250">
        <v>66.38192812717227</v>
      </c>
      <c r="AN250">
        <f>(AP250 - AO250 + DI250*1E3/(8.314*(DK250+273.15)) * AR250/DH250 * AQ250) * DH250/(100*CV250) * 1000/(1000 - AP250)</f>
        <v>0</v>
      </c>
      <c r="AO250">
        <v>14.11565317157269</v>
      </c>
      <c r="AP250">
        <v>18.38734117647058</v>
      </c>
      <c r="AQ250">
        <v>3.258809398103156E-06</v>
      </c>
      <c r="AR250">
        <v>80.47224507511959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MAX(0,($B$13+$C$13*DP250)/(1+$D$13*DP250)*DI250/(DK250+273)*$E$13)</f>
        <v>0</v>
      </c>
      <c r="AX250" t="s">
        <v>417</v>
      </c>
      <c r="AY250" t="s">
        <v>417</v>
      </c>
      <c r="AZ250">
        <v>0</v>
      </c>
      <c r="BA250">
        <v>0</v>
      </c>
      <c r="BB250">
        <f>1-AZ250/BA250</f>
        <v>0</v>
      </c>
      <c r="BC250">
        <v>0</v>
      </c>
      <c r="BD250" t="s">
        <v>417</v>
      </c>
      <c r="BE250" t="s">
        <v>417</v>
      </c>
      <c r="BF250">
        <v>0</v>
      </c>
      <c r="BG250">
        <v>0</v>
      </c>
      <c r="BH250">
        <f>1-BF250/BG250</f>
        <v>0</v>
      </c>
      <c r="BI250">
        <v>0.5</v>
      </c>
      <c r="BJ250">
        <f>CS250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417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BZ250">
        <v>1248</v>
      </c>
      <c r="CA250">
        <v>300</v>
      </c>
      <c r="CB250">
        <v>300</v>
      </c>
      <c r="CC250">
        <v>300</v>
      </c>
      <c r="CD250">
        <v>10442</v>
      </c>
      <c r="CE250">
        <v>1293.69</v>
      </c>
      <c r="CF250">
        <v>-0.00735246</v>
      </c>
      <c r="CG250">
        <v>0.5</v>
      </c>
      <c r="CH250" t="s">
        <v>417</v>
      </c>
      <c r="CI250" t="s">
        <v>417</v>
      </c>
      <c r="CJ250" t="s">
        <v>417</v>
      </c>
      <c r="CK250" t="s">
        <v>417</v>
      </c>
      <c r="CL250" t="s">
        <v>417</v>
      </c>
      <c r="CM250" t="s">
        <v>417</v>
      </c>
      <c r="CN250" t="s">
        <v>417</v>
      </c>
      <c r="CO250" t="s">
        <v>417</v>
      </c>
      <c r="CP250" t="s">
        <v>417</v>
      </c>
      <c r="CQ250" t="s">
        <v>417</v>
      </c>
      <c r="CR250">
        <f>$B$11*DQ250+$C$11*DR250+$F$11*EC250*(1-EF250)</f>
        <v>0</v>
      </c>
      <c r="CS250">
        <f>CR250*CT250</f>
        <v>0</v>
      </c>
      <c r="CT250">
        <f>($B$11*$D$9+$C$11*$D$9+$F$11*((EP250+EH250)/MAX(EP250+EH250+EQ250, 0.1)*$I$9+EQ250/MAX(EP250+EH250+EQ250, 0.1)*$J$9))/($B$11+$C$11+$F$11)</f>
        <v>0</v>
      </c>
      <c r="CU250">
        <f>($B$11*$K$9+$C$11*$K$9+$F$11*((EP250+EH250)/MAX(EP250+EH250+EQ250, 0.1)*$P$9+EQ250/MAX(EP250+EH250+EQ250, 0.1)*$Q$9))/($B$11+$C$11+$F$11)</f>
        <v>0</v>
      </c>
      <c r="CV250">
        <v>6</v>
      </c>
      <c r="CW250">
        <v>0.5</v>
      </c>
      <c r="CX250" t="s">
        <v>418</v>
      </c>
      <c r="CY250">
        <v>2</v>
      </c>
      <c r="CZ250" t="b">
        <v>1</v>
      </c>
      <c r="DA250">
        <v>1651864864.1</v>
      </c>
      <c r="DB250">
        <v>106.2576666666667</v>
      </c>
      <c r="DC250">
        <v>87.38053333333333</v>
      </c>
      <c r="DD250">
        <v>18.38623333333333</v>
      </c>
      <c r="DE250">
        <v>14.11356666666667</v>
      </c>
      <c r="DF250">
        <v>106.691</v>
      </c>
      <c r="DG250">
        <v>18.36533333333334</v>
      </c>
      <c r="DH250">
        <v>500.058</v>
      </c>
      <c r="DI250">
        <v>89.931</v>
      </c>
      <c r="DJ250">
        <v>0.09989946666666667</v>
      </c>
      <c r="DK250">
        <v>25.62163333333334</v>
      </c>
      <c r="DL250">
        <v>24.99053333333333</v>
      </c>
      <c r="DM250">
        <v>999.9</v>
      </c>
      <c r="DN250">
        <v>0</v>
      </c>
      <c r="DO250">
        <v>0</v>
      </c>
      <c r="DP250">
        <v>9998.733333333334</v>
      </c>
      <c r="DQ250">
        <v>0</v>
      </c>
      <c r="DR250">
        <v>3.23193</v>
      </c>
      <c r="DS250">
        <v>18.87726666666667</v>
      </c>
      <c r="DT250">
        <v>108.248</v>
      </c>
      <c r="DU250">
        <v>88.63143333333335</v>
      </c>
      <c r="DV250">
        <v>4.272663333333333</v>
      </c>
      <c r="DW250">
        <v>87.38053333333333</v>
      </c>
      <c r="DX250">
        <v>14.11356666666667</v>
      </c>
      <c r="DY250">
        <v>1.653496666666667</v>
      </c>
      <c r="DZ250">
        <v>1.26925</v>
      </c>
      <c r="EA250">
        <v>14.4666</v>
      </c>
      <c r="EB250">
        <v>10.43956666666667</v>
      </c>
      <c r="EC250">
        <v>1500.05</v>
      </c>
      <c r="ED250">
        <v>0.9730103333333333</v>
      </c>
      <c r="EE250">
        <v>0.0269895</v>
      </c>
      <c r="EF250">
        <v>0</v>
      </c>
      <c r="EG250">
        <v>836.2253333333333</v>
      </c>
      <c r="EH250">
        <v>5.00097</v>
      </c>
      <c r="EI250">
        <v>12421.96666666667</v>
      </c>
      <c r="EJ250">
        <v>12492.06666666667</v>
      </c>
      <c r="EK250">
        <v>37.187</v>
      </c>
      <c r="EL250">
        <v>38.687</v>
      </c>
      <c r="EM250">
        <v>37.625</v>
      </c>
      <c r="EN250">
        <v>38.375</v>
      </c>
      <c r="EO250">
        <v>38.062</v>
      </c>
      <c r="EP250">
        <v>1454.7</v>
      </c>
      <c r="EQ250">
        <v>40.35</v>
      </c>
      <c r="ER250">
        <v>0</v>
      </c>
      <c r="ES250">
        <v>643.7999999523163</v>
      </c>
      <c r="ET250">
        <v>0</v>
      </c>
      <c r="EU250">
        <v>834.6551599999999</v>
      </c>
      <c r="EV250">
        <v>15.41469234268108</v>
      </c>
      <c r="EW250">
        <v>216.8000004359153</v>
      </c>
      <c r="EX250">
        <v>12396.644</v>
      </c>
      <c r="EY250">
        <v>15</v>
      </c>
      <c r="EZ250">
        <v>1651864261.1</v>
      </c>
      <c r="FA250" t="s">
        <v>419</v>
      </c>
      <c r="FB250">
        <v>1651864241.6</v>
      </c>
      <c r="FC250">
        <v>1651864261.1</v>
      </c>
      <c r="FD250">
        <v>7</v>
      </c>
      <c r="FE250">
        <v>0.438</v>
      </c>
      <c r="FF250">
        <v>0.002</v>
      </c>
      <c r="FG250">
        <v>-0.988</v>
      </c>
      <c r="FH250">
        <v>-0.066</v>
      </c>
      <c r="FI250">
        <v>400</v>
      </c>
      <c r="FJ250">
        <v>11</v>
      </c>
      <c r="FK250">
        <v>0.05</v>
      </c>
      <c r="FL250">
        <v>0.02</v>
      </c>
      <c r="FM250">
        <v>16.4720925</v>
      </c>
      <c r="FN250">
        <v>14.71547729831145</v>
      </c>
      <c r="FO250">
        <v>1.418516050735327</v>
      </c>
      <c r="FP250">
        <v>-1</v>
      </c>
      <c r="FQ250">
        <v>4.25907325</v>
      </c>
      <c r="FR250">
        <v>0.07565414634146378</v>
      </c>
      <c r="FS250">
        <v>0.007368646207920427</v>
      </c>
      <c r="FT250">
        <v>-1</v>
      </c>
      <c r="FU250">
        <v>0</v>
      </c>
      <c r="FV250">
        <v>0</v>
      </c>
      <c r="FW250">
        <v>0</v>
      </c>
      <c r="FX250">
        <v>-1</v>
      </c>
      <c r="FY250">
        <v>0</v>
      </c>
      <c r="FZ250">
        <v>0</v>
      </c>
      <c r="GA250" t="s">
        <v>420</v>
      </c>
      <c r="GB250">
        <v>2.9805</v>
      </c>
      <c r="GC250">
        <v>2.70606</v>
      </c>
      <c r="GD250">
        <v>0.027284</v>
      </c>
      <c r="GE250">
        <v>0.0220529</v>
      </c>
      <c r="GF250">
        <v>0.0877772</v>
      </c>
      <c r="GG250">
        <v>0.0715351</v>
      </c>
      <c r="GH250">
        <v>30697.8</v>
      </c>
      <c r="GI250">
        <v>30929.6</v>
      </c>
      <c r="GJ250">
        <v>29344.3</v>
      </c>
      <c r="GK250">
        <v>29257.8</v>
      </c>
      <c r="GL250">
        <v>35443.8</v>
      </c>
      <c r="GM250">
        <v>36177.3</v>
      </c>
      <c r="GN250">
        <v>41303.3</v>
      </c>
      <c r="GO250">
        <v>41759.9</v>
      </c>
      <c r="GP250">
        <v>1.95525</v>
      </c>
      <c r="GQ250">
        <v>1.84862</v>
      </c>
      <c r="GR250">
        <v>-0.0205524</v>
      </c>
      <c r="GS250">
        <v>0</v>
      </c>
      <c r="GT250">
        <v>25.3268</v>
      </c>
      <c r="GU250">
        <v>999.9</v>
      </c>
      <c r="GV250">
        <v>31.5</v>
      </c>
      <c r="GW250">
        <v>34.3</v>
      </c>
      <c r="GX250">
        <v>19.0302</v>
      </c>
      <c r="GY250">
        <v>62.6675</v>
      </c>
      <c r="GZ250">
        <v>34.7756</v>
      </c>
      <c r="HA250">
        <v>1</v>
      </c>
      <c r="HB250">
        <v>0.108041</v>
      </c>
      <c r="HC250">
        <v>2.25083</v>
      </c>
      <c r="HD250">
        <v>20.3193</v>
      </c>
      <c r="HE250">
        <v>5.21699</v>
      </c>
      <c r="HF250">
        <v>12.0099</v>
      </c>
      <c r="HG250">
        <v>4.98775</v>
      </c>
      <c r="HH250">
        <v>3.28865</v>
      </c>
      <c r="HI250">
        <v>1001.1</v>
      </c>
      <c r="HJ250">
        <v>9560.5</v>
      </c>
      <c r="HK250">
        <v>5139.4</v>
      </c>
      <c r="HL250">
        <v>24.9</v>
      </c>
      <c r="HM250">
        <v>1.8675</v>
      </c>
      <c r="HN250">
        <v>1.86646</v>
      </c>
      <c r="HO250">
        <v>1.866</v>
      </c>
      <c r="HP250">
        <v>1.86584</v>
      </c>
      <c r="HQ250">
        <v>1.86768</v>
      </c>
      <c r="HR250">
        <v>1.8702</v>
      </c>
      <c r="HS250">
        <v>1.8689</v>
      </c>
      <c r="HT250">
        <v>1.87027</v>
      </c>
      <c r="HU250">
        <v>0</v>
      </c>
      <c r="HV250">
        <v>0</v>
      </c>
      <c r="HW250">
        <v>0</v>
      </c>
      <c r="HX250">
        <v>0</v>
      </c>
      <c r="HY250" t="s">
        <v>421</v>
      </c>
      <c r="HZ250" t="s">
        <v>422</v>
      </c>
      <c r="IA250" t="s">
        <v>423</v>
      </c>
      <c r="IB250" t="s">
        <v>423</v>
      </c>
      <c r="IC250" t="s">
        <v>423</v>
      </c>
      <c r="ID250" t="s">
        <v>423</v>
      </c>
      <c r="IE250">
        <v>0</v>
      </c>
      <c r="IF250">
        <v>100</v>
      </c>
      <c r="IG250">
        <v>100</v>
      </c>
      <c r="IH250">
        <v>-0.427</v>
      </c>
      <c r="II250">
        <v>0.0209</v>
      </c>
      <c r="IJ250">
        <v>-0.2164499368582429</v>
      </c>
      <c r="IK250">
        <v>-0.002077099775823331</v>
      </c>
      <c r="IL250">
        <v>4.593143279902166E-07</v>
      </c>
      <c r="IM250">
        <v>-1.865383991892071E-10</v>
      </c>
      <c r="IN250">
        <v>-0.06087574426827484</v>
      </c>
      <c r="IO250">
        <v>-0.01129461987421345</v>
      </c>
      <c r="IP250">
        <v>0.00116580895745559</v>
      </c>
      <c r="IQ250">
        <v>-1.679085872906199E-05</v>
      </c>
      <c r="IR250">
        <v>2</v>
      </c>
      <c r="IS250">
        <v>2290</v>
      </c>
      <c r="IT250">
        <v>0</v>
      </c>
      <c r="IU250">
        <v>32</v>
      </c>
      <c r="IV250">
        <v>10.4</v>
      </c>
      <c r="IW250">
        <v>10.1</v>
      </c>
      <c r="IX250">
        <v>0.296631</v>
      </c>
      <c r="IY250">
        <v>2.30347</v>
      </c>
      <c r="IZ250">
        <v>1.39648</v>
      </c>
      <c r="JA250">
        <v>2.35596</v>
      </c>
      <c r="JB250">
        <v>1.49536</v>
      </c>
      <c r="JC250">
        <v>2.33276</v>
      </c>
      <c r="JD250">
        <v>38.5014</v>
      </c>
      <c r="JE250">
        <v>24.0262</v>
      </c>
      <c r="JF250">
        <v>18</v>
      </c>
      <c r="JG250">
        <v>511.152</v>
      </c>
      <c r="JH250">
        <v>428.175</v>
      </c>
      <c r="JI250">
        <v>22.2246</v>
      </c>
      <c r="JJ250">
        <v>28.6952</v>
      </c>
      <c r="JK250">
        <v>30</v>
      </c>
      <c r="JL250">
        <v>28.6618</v>
      </c>
      <c r="JM250">
        <v>28.5986</v>
      </c>
      <c r="JN250">
        <v>5.88024</v>
      </c>
      <c r="JO250">
        <v>26.5129</v>
      </c>
      <c r="JP250">
        <v>0</v>
      </c>
      <c r="JQ250">
        <v>22.2335</v>
      </c>
      <c r="JR250">
        <v>58.8052</v>
      </c>
      <c r="JS250">
        <v>14.1432</v>
      </c>
      <c r="JT250">
        <v>100.305</v>
      </c>
      <c r="JU250">
        <v>100.227</v>
      </c>
    </row>
    <row r="251" spans="1:281">
      <c r="A251">
        <v>235</v>
      </c>
      <c r="B251">
        <v>1651864867.1</v>
      </c>
      <c r="C251">
        <v>646.5</v>
      </c>
      <c r="D251" t="s">
        <v>890</v>
      </c>
      <c r="E251" t="s">
        <v>891</v>
      </c>
      <c r="F251">
        <v>2</v>
      </c>
      <c r="G251" t="s">
        <v>413</v>
      </c>
      <c r="H251" t="s">
        <v>414</v>
      </c>
      <c r="I251">
        <v>1651864865.725</v>
      </c>
      <c r="J251">
        <f>(K251)/1000</f>
        <v>0</v>
      </c>
      <c r="K251">
        <f>IF(CZ251, AN251, AH251)</f>
        <v>0</v>
      </c>
      <c r="L251">
        <f>IF(CZ251, AI251, AG251)</f>
        <v>0</v>
      </c>
      <c r="M251">
        <f>DB251 - IF(AU251&gt;1, L251*CV251*100.0/(AW251*DP251), 0)</f>
        <v>0</v>
      </c>
      <c r="N251">
        <f>((T251-J251/2)*M251-L251)/(T251+J251/2)</f>
        <v>0</v>
      </c>
      <c r="O251">
        <f>N251*(DI251+DJ251)/1000.0</f>
        <v>0</v>
      </c>
      <c r="P251">
        <f>(DB251 - IF(AU251&gt;1, L251*CV251*100.0/(AW251*DP251), 0))*(DI251+DJ251)/1000.0</f>
        <v>0</v>
      </c>
      <c r="Q251">
        <f>2.0/((1/S251-1/R251)+SIGN(S251)*SQRT((1/S251-1/R251)*(1/S251-1/R251) + 4*CW251/((CW251+1)*(CW251+1))*(2*1/S251*1/R251-1/R251*1/R251)))</f>
        <v>0</v>
      </c>
      <c r="R251">
        <f>IF(LEFT(CX251,1)&lt;&gt;"0",IF(LEFT(CX251,1)="1",3.0,CY251),$D$5+$E$5*(DP251*DI251/($K$5*1000))+$F$5*(DP251*DI251/($K$5*1000))*MAX(MIN(CV251,$J$5),$I$5)*MAX(MIN(CV251,$J$5),$I$5)+$G$5*MAX(MIN(CV251,$J$5),$I$5)*(DP251*DI251/($K$5*1000))+$H$5*(DP251*DI251/($K$5*1000))*(DP251*DI251/($K$5*1000)))</f>
        <v>0</v>
      </c>
      <c r="S251">
        <f>J251*(1000-(1000*0.61365*exp(17.502*W251/(240.97+W251))/(DI251+DJ251)+DD251)/2)/(1000*0.61365*exp(17.502*W251/(240.97+W251))/(DI251+DJ251)-DD251)</f>
        <v>0</v>
      </c>
      <c r="T251">
        <f>1/((CW251+1)/(Q251/1.6)+1/(R251/1.37)) + CW251/((CW251+1)/(Q251/1.6) + CW251/(R251/1.37))</f>
        <v>0</v>
      </c>
      <c r="U251">
        <f>(CR251*CU251)</f>
        <v>0</v>
      </c>
      <c r="V251">
        <f>(DK251+(U251+2*0.95*5.67E-8*(((DK251+$B$7)+273)^4-(DK251+273)^4)-44100*J251)/(1.84*29.3*R251+8*0.95*5.67E-8*(DK251+273)^3))</f>
        <v>0</v>
      </c>
      <c r="W251">
        <f>($C$7*DL251+$D$7*DM251+$E$7*V251)</f>
        <v>0</v>
      </c>
      <c r="X251">
        <f>0.61365*exp(17.502*W251/(240.97+W251))</f>
        <v>0</v>
      </c>
      <c r="Y251">
        <f>(Z251/AA251*100)</f>
        <v>0</v>
      </c>
      <c r="Z251">
        <f>DD251*(DI251+DJ251)/1000</f>
        <v>0</v>
      </c>
      <c r="AA251">
        <f>0.61365*exp(17.502*DK251/(240.97+DK251))</f>
        <v>0</v>
      </c>
      <c r="AB251">
        <f>(X251-DD251*(DI251+DJ251)/1000)</f>
        <v>0</v>
      </c>
      <c r="AC251">
        <f>(-J251*44100)</f>
        <v>0</v>
      </c>
      <c r="AD251">
        <f>2*29.3*R251*0.92*(DK251-W251)</f>
        <v>0</v>
      </c>
      <c r="AE251">
        <f>2*0.95*5.67E-8*(((DK251+$B$7)+273)^4-(W251+273)^4)</f>
        <v>0</v>
      </c>
      <c r="AF251">
        <f>U251+AE251+AC251+AD251</f>
        <v>0</v>
      </c>
      <c r="AG251">
        <f>DH251*AU251*(DC251-DB251*(1000-AU251*DE251)/(1000-AU251*DD251))/(100*CV251)</f>
        <v>0</v>
      </c>
      <c r="AH251">
        <f>1000*DH251*AU251*(DD251-DE251)/(100*CV251*(1000-AU251*DD251))</f>
        <v>0</v>
      </c>
      <c r="AI251">
        <f>(AJ251 - AK251 - DI251*1E3/(8.314*(DK251+273.15)) * AM251/DH251 * AL251) * DH251/(100*CV251) * (1000 - DE251)/1000</f>
        <v>0</v>
      </c>
      <c r="AJ251">
        <v>87.84554707838956</v>
      </c>
      <c r="AK251">
        <v>100.2546181818182</v>
      </c>
      <c r="AL251">
        <v>-3.20111765625041</v>
      </c>
      <c r="AM251">
        <v>66.38192812717227</v>
      </c>
      <c r="AN251">
        <f>(AP251 - AO251 + DI251*1E3/(8.314*(DK251+273.15)) * AR251/DH251 * AQ251) * DH251/(100*CV251) * 1000/(1000 - AP251)</f>
        <v>0</v>
      </c>
      <c r="AO251">
        <v>14.11449601800369</v>
      </c>
      <c r="AP251">
        <v>18.38983058823529</v>
      </c>
      <c r="AQ251">
        <v>2.859228577698795E-05</v>
      </c>
      <c r="AR251">
        <v>80.47224507511959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MAX(0,($B$13+$C$13*DP251)/(1+$D$13*DP251)*DI251/(DK251+273)*$E$13)</f>
        <v>0</v>
      </c>
      <c r="AX251" t="s">
        <v>417</v>
      </c>
      <c r="AY251" t="s">
        <v>417</v>
      </c>
      <c r="AZ251">
        <v>0</v>
      </c>
      <c r="BA251">
        <v>0</v>
      </c>
      <c r="BB251">
        <f>1-AZ251/BA251</f>
        <v>0</v>
      </c>
      <c r="BC251">
        <v>0</v>
      </c>
      <c r="BD251" t="s">
        <v>417</v>
      </c>
      <c r="BE251" t="s">
        <v>417</v>
      </c>
      <c r="BF251">
        <v>0</v>
      </c>
      <c r="BG251">
        <v>0</v>
      </c>
      <c r="BH251">
        <f>1-BF251/BG251</f>
        <v>0</v>
      </c>
      <c r="BI251">
        <v>0.5</v>
      </c>
      <c r="BJ251">
        <f>CS251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417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BZ251">
        <v>1248</v>
      </c>
      <c r="CA251">
        <v>300</v>
      </c>
      <c r="CB251">
        <v>300</v>
      </c>
      <c r="CC251">
        <v>300</v>
      </c>
      <c r="CD251">
        <v>10442</v>
      </c>
      <c r="CE251">
        <v>1293.69</v>
      </c>
      <c r="CF251">
        <v>-0.00735246</v>
      </c>
      <c r="CG251">
        <v>0.5</v>
      </c>
      <c r="CH251" t="s">
        <v>417</v>
      </c>
      <c r="CI251" t="s">
        <v>417</v>
      </c>
      <c r="CJ251" t="s">
        <v>417</v>
      </c>
      <c r="CK251" t="s">
        <v>417</v>
      </c>
      <c r="CL251" t="s">
        <v>417</v>
      </c>
      <c r="CM251" t="s">
        <v>417</v>
      </c>
      <c r="CN251" t="s">
        <v>417</v>
      </c>
      <c r="CO251" t="s">
        <v>417</v>
      </c>
      <c r="CP251" t="s">
        <v>417</v>
      </c>
      <c r="CQ251" t="s">
        <v>417</v>
      </c>
      <c r="CR251">
        <f>$B$11*DQ251+$C$11*DR251+$F$11*EC251*(1-EF251)</f>
        <v>0</v>
      </c>
      <c r="CS251">
        <f>CR251*CT251</f>
        <v>0</v>
      </c>
      <c r="CT251">
        <f>($B$11*$D$9+$C$11*$D$9+$F$11*((EP251+EH251)/MAX(EP251+EH251+EQ251, 0.1)*$I$9+EQ251/MAX(EP251+EH251+EQ251, 0.1)*$J$9))/($B$11+$C$11+$F$11)</f>
        <v>0</v>
      </c>
      <c r="CU251">
        <f>($B$11*$K$9+$C$11*$K$9+$F$11*((EP251+EH251)/MAX(EP251+EH251+EQ251, 0.1)*$P$9+EQ251/MAX(EP251+EH251+EQ251, 0.1)*$Q$9))/($B$11+$C$11+$F$11)</f>
        <v>0</v>
      </c>
      <c r="CV251">
        <v>6</v>
      </c>
      <c r="CW251">
        <v>0.5</v>
      </c>
      <c r="CX251" t="s">
        <v>418</v>
      </c>
      <c r="CY251">
        <v>2</v>
      </c>
      <c r="CZ251" t="b">
        <v>1</v>
      </c>
      <c r="DA251">
        <v>1651864865.725</v>
      </c>
      <c r="DB251">
        <v>101.151875</v>
      </c>
      <c r="DC251">
        <v>81.93867499999999</v>
      </c>
      <c r="DD251">
        <v>18.3885</v>
      </c>
      <c r="DE251">
        <v>14.11255</v>
      </c>
      <c r="DF251">
        <v>101.5748</v>
      </c>
      <c r="DG251">
        <v>18.3676</v>
      </c>
      <c r="DH251">
        <v>500.058</v>
      </c>
      <c r="DI251">
        <v>89.93067500000001</v>
      </c>
      <c r="DJ251">
        <v>0.1000625</v>
      </c>
      <c r="DK251">
        <v>25.62395</v>
      </c>
      <c r="DL251">
        <v>24.9946</v>
      </c>
      <c r="DM251">
        <v>999.9</v>
      </c>
      <c r="DN251">
        <v>0</v>
      </c>
      <c r="DO251">
        <v>0</v>
      </c>
      <c r="DP251">
        <v>9982.030000000001</v>
      </c>
      <c r="DQ251">
        <v>0</v>
      </c>
      <c r="DR251">
        <v>3.23193</v>
      </c>
      <c r="DS251">
        <v>19.213225</v>
      </c>
      <c r="DT251">
        <v>103.04675</v>
      </c>
      <c r="DU251">
        <v>83.111575</v>
      </c>
      <c r="DV251">
        <v>4.2759775</v>
      </c>
      <c r="DW251">
        <v>81.93867499999999</v>
      </c>
      <c r="DX251">
        <v>14.11255</v>
      </c>
      <c r="DY251">
        <v>1.653695</v>
      </c>
      <c r="DZ251">
        <v>1.2691525</v>
      </c>
      <c r="EA251">
        <v>14.46845</v>
      </c>
      <c r="EB251">
        <v>10.438425</v>
      </c>
      <c r="EC251">
        <v>1500.07</v>
      </c>
      <c r="ED251">
        <v>0.9730095</v>
      </c>
      <c r="EE251">
        <v>0.0269904</v>
      </c>
      <c r="EF251">
        <v>0</v>
      </c>
      <c r="EG251">
        <v>836.9202499999999</v>
      </c>
      <c r="EH251">
        <v>5.00097</v>
      </c>
      <c r="EI251">
        <v>12429</v>
      </c>
      <c r="EJ251">
        <v>12492.2</v>
      </c>
      <c r="EK251">
        <v>37.187</v>
      </c>
      <c r="EL251">
        <v>38.687</v>
      </c>
      <c r="EM251">
        <v>37.625</v>
      </c>
      <c r="EN251">
        <v>38.375</v>
      </c>
      <c r="EO251">
        <v>38.062</v>
      </c>
      <c r="EP251">
        <v>1454.7175</v>
      </c>
      <c r="EQ251">
        <v>40.3525</v>
      </c>
      <c r="ER251">
        <v>0</v>
      </c>
      <c r="ES251">
        <v>646.2000000476837</v>
      </c>
      <c r="ET251">
        <v>0</v>
      </c>
      <c r="EU251">
        <v>835.3503999999999</v>
      </c>
      <c r="EV251">
        <v>16.8557692169626</v>
      </c>
      <c r="EW251">
        <v>238.1230766420445</v>
      </c>
      <c r="EX251">
        <v>12405.748</v>
      </c>
      <c r="EY251">
        <v>15</v>
      </c>
      <c r="EZ251">
        <v>1651864261.1</v>
      </c>
      <c r="FA251" t="s">
        <v>419</v>
      </c>
      <c r="FB251">
        <v>1651864241.6</v>
      </c>
      <c r="FC251">
        <v>1651864261.1</v>
      </c>
      <c r="FD251">
        <v>7</v>
      </c>
      <c r="FE251">
        <v>0.438</v>
      </c>
      <c r="FF251">
        <v>0.002</v>
      </c>
      <c r="FG251">
        <v>-0.988</v>
      </c>
      <c r="FH251">
        <v>-0.066</v>
      </c>
      <c r="FI251">
        <v>400</v>
      </c>
      <c r="FJ251">
        <v>11</v>
      </c>
      <c r="FK251">
        <v>0.05</v>
      </c>
      <c r="FL251">
        <v>0.02</v>
      </c>
      <c r="FM251">
        <v>17.00548536585366</v>
      </c>
      <c r="FN251">
        <v>14.87628919860627</v>
      </c>
      <c r="FO251">
        <v>1.468913980871745</v>
      </c>
      <c r="FP251">
        <v>-1</v>
      </c>
      <c r="FQ251">
        <v>4.262384146341463</v>
      </c>
      <c r="FR251">
        <v>0.07708013937281911</v>
      </c>
      <c r="FS251">
        <v>0.007699632862837471</v>
      </c>
      <c r="FT251">
        <v>-1</v>
      </c>
      <c r="FU251">
        <v>0</v>
      </c>
      <c r="FV251">
        <v>0</v>
      </c>
      <c r="FW251">
        <v>0</v>
      </c>
      <c r="FX251">
        <v>-1</v>
      </c>
      <c r="FY251">
        <v>0</v>
      </c>
      <c r="FZ251">
        <v>0</v>
      </c>
      <c r="GA251" t="s">
        <v>420</v>
      </c>
      <c r="GB251">
        <v>2.98039</v>
      </c>
      <c r="GC251">
        <v>2.70605</v>
      </c>
      <c r="GD251">
        <v>0.0256763</v>
      </c>
      <c r="GE251">
        <v>0.020331</v>
      </c>
      <c r="GF251">
        <v>0.0877901</v>
      </c>
      <c r="GG251">
        <v>0.07153039999999999</v>
      </c>
      <c r="GH251">
        <v>30748.8</v>
      </c>
      <c r="GI251">
        <v>30984.1</v>
      </c>
      <c r="GJ251">
        <v>29344.6</v>
      </c>
      <c r="GK251">
        <v>29257.8</v>
      </c>
      <c r="GL251">
        <v>35443.7</v>
      </c>
      <c r="GM251">
        <v>36177.5</v>
      </c>
      <c r="GN251">
        <v>41303.8</v>
      </c>
      <c r="GO251">
        <v>41759.9</v>
      </c>
      <c r="GP251">
        <v>1.95515</v>
      </c>
      <c r="GQ251">
        <v>1.84845</v>
      </c>
      <c r="GR251">
        <v>-0.0197329</v>
      </c>
      <c r="GS251">
        <v>0</v>
      </c>
      <c r="GT251">
        <v>25.3258</v>
      </c>
      <c r="GU251">
        <v>999.9</v>
      </c>
      <c r="GV251">
        <v>31.5</v>
      </c>
      <c r="GW251">
        <v>34.3</v>
      </c>
      <c r="GX251">
        <v>19.0325</v>
      </c>
      <c r="GY251">
        <v>62.6475</v>
      </c>
      <c r="GZ251">
        <v>35.2204</v>
      </c>
      <c r="HA251">
        <v>1</v>
      </c>
      <c r="HB251">
        <v>0.108018</v>
      </c>
      <c r="HC251">
        <v>2.24545</v>
      </c>
      <c r="HD251">
        <v>20.3194</v>
      </c>
      <c r="HE251">
        <v>5.21699</v>
      </c>
      <c r="HF251">
        <v>12.0099</v>
      </c>
      <c r="HG251">
        <v>4.98775</v>
      </c>
      <c r="HH251">
        <v>3.28865</v>
      </c>
      <c r="HI251">
        <v>1001.1</v>
      </c>
      <c r="HJ251">
        <v>9560.5</v>
      </c>
      <c r="HK251">
        <v>5139.4</v>
      </c>
      <c r="HL251">
        <v>24.9</v>
      </c>
      <c r="HM251">
        <v>1.8675</v>
      </c>
      <c r="HN251">
        <v>1.86646</v>
      </c>
      <c r="HO251">
        <v>1.866</v>
      </c>
      <c r="HP251">
        <v>1.86584</v>
      </c>
      <c r="HQ251">
        <v>1.86768</v>
      </c>
      <c r="HR251">
        <v>1.87018</v>
      </c>
      <c r="HS251">
        <v>1.8689</v>
      </c>
      <c r="HT251">
        <v>1.87027</v>
      </c>
      <c r="HU251">
        <v>0</v>
      </c>
      <c r="HV251">
        <v>0</v>
      </c>
      <c r="HW251">
        <v>0</v>
      </c>
      <c r="HX251">
        <v>0</v>
      </c>
      <c r="HY251" t="s">
        <v>421</v>
      </c>
      <c r="HZ251" t="s">
        <v>422</v>
      </c>
      <c r="IA251" t="s">
        <v>423</v>
      </c>
      <c r="IB251" t="s">
        <v>423</v>
      </c>
      <c r="IC251" t="s">
        <v>423</v>
      </c>
      <c r="ID251" t="s">
        <v>423</v>
      </c>
      <c r="IE251">
        <v>0</v>
      </c>
      <c r="IF251">
        <v>100</v>
      </c>
      <c r="IG251">
        <v>100</v>
      </c>
      <c r="IH251">
        <v>-0.414</v>
      </c>
      <c r="II251">
        <v>0.021</v>
      </c>
      <c r="IJ251">
        <v>-0.2164499368582429</v>
      </c>
      <c r="IK251">
        <v>-0.002077099775823331</v>
      </c>
      <c r="IL251">
        <v>4.593143279902166E-07</v>
      </c>
      <c r="IM251">
        <v>-1.865383991892071E-10</v>
      </c>
      <c r="IN251">
        <v>-0.06087574426827484</v>
      </c>
      <c r="IO251">
        <v>-0.01129461987421345</v>
      </c>
      <c r="IP251">
        <v>0.00116580895745559</v>
      </c>
      <c r="IQ251">
        <v>-1.679085872906199E-05</v>
      </c>
      <c r="IR251">
        <v>2</v>
      </c>
      <c r="IS251">
        <v>2290</v>
      </c>
      <c r="IT251">
        <v>0</v>
      </c>
      <c r="IU251">
        <v>32</v>
      </c>
      <c r="IV251">
        <v>10.4</v>
      </c>
      <c r="IW251">
        <v>10.1</v>
      </c>
      <c r="IX251">
        <v>0.281982</v>
      </c>
      <c r="IY251">
        <v>2.29614</v>
      </c>
      <c r="IZ251">
        <v>1.39648</v>
      </c>
      <c r="JA251">
        <v>2.35596</v>
      </c>
      <c r="JB251">
        <v>1.49536</v>
      </c>
      <c r="JC251">
        <v>2.31201</v>
      </c>
      <c r="JD251">
        <v>38.5014</v>
      </c>
      <c r="JE251">
        <v>24.035</v>
      </c>
      <c r="JF251">
        <v>18</v>
      </c>
      <c r="JG251">
        <v>511.086</v>
      </c>
      <c r="JH251">
        <v>428.075</v>
      </c>
      <c r="JI251">
        <v>22.2286</v>
      </c>
      <c r="JJ251">
        <v>28.6952</v>
      </c>
      <c r="JK251">
        <v>30</v>
      </c>
      <c r="JL251">
        <v>28.6618</v>
      </c>
      <c r="JM251">
        <v>28.5992</v>
      </c>
      <c r="JN251">
        <v>5.58323</v>
      </c>
      <c r="JO251">
        <v>26.5129</v>
      </c>
      <c r="JP251">
        <v>0</v>
      </c>
      <c r="JQ251">
        <v>22.2335</v>
      </c>
      <c r="JR251">
        <v>52.1086</v>
      </c>
      <c r="JS251">
        <v>14.1432</v>
      </c>
      <c r="JT251">
        <v>100.306</v>
      </c>
      <c r="JU251">
        <v>100.227</v>
      </c>
    </row>
    <row r="252" spans="1:281">
      <c r="A252">
        <v>236</v>
      </c>
      <c r="B252">
        <v>1651864869.1</v>
      </c>
      <c r="C252">
        <v>648.5</v>
      </c>
      <c r="D252" t="s">
        <v>892</v>
      </c>
      <c r="E252" t="s">
        <v>893</v>
      </c>
      <c r="F252">
        <v>2</v>
      </c>
      <c r="G252" t="s">
        <v>413</v>
      </c>
      <c r="H252" t="s">
        <v>414</v>
      </c>
      <c r="I252">
        <v>1651864868.1</v>
      </c>
      <c r="J252">
        <f>(K252)/1000</f>
        <v>0</v>
      </c>
      <c r="K252">
        <f>IF(CZ252, AN252, AH252)</f>
        <v>0</v>
      </c>
      <c r="L252">
        <f>IF(CZ252, AI252, AG252)</f>
        <v>0</v>
      </c>
      <c r="M252">
        <f>DB252 - IF(AU252&gt;1, L252*CV252*100.0/(AW252*DP252), 0)</f>
        <v>0</v>
      </c>
      <c r="N252">
        <f>((T252-J252/2)*M252-L252)/(T252+J252/2)</f>
        <v>0</v>
      </c>
      <c r="O252">
        <f>N252*(DI252+DJ252)/1000.0</f>
        <v>0</v>
      </c>
      <c r="P252">
        <f>(DB252 - IF(AU252&gt;1, L252*CV252*100.0/(AW252*DP252), 0))*(DI252+DJ252)/1000.0</f>
        <v>0</v>
      </c>
      <c r="Q252">
        <f>2.0/((1/S252-1/R252)+SIGN(S252)*SQRT((1/S252-1/R252)*(1/S252-1/R252) + 4*CW252/((CW252+1)*(CW252+1))*(2*1/S252*1/R252-1/R252*1/R252)))</f>
        <v>0</v>
      </c>
      <c r="R252">
        <f>IF(LEFT(CX252,1)&lt;&gt;"0",IF(LEFT(CX252,1)="1",3.0,CY252),$D$5+$E$5*(DP252*DI252/($K$5*1000))+$F$5*(DP252*DI252/($K$5*1000))*MAX(MIN(CV252,$J$5),$I$5)*MAX(MIN(CV252,$J$5),$I$5)+$G$5*MAX(MIN(CV252,$J$5),$I$5)*(DP252*DI252/($K$5*1000))+$H$5*(DP252*DI252/($K$5*1000))*(DP252*DI252/($K$5*1000)))</f>
        <v>0</v>
      </c>
      <c r="S252">
        <f>J252*(1000-(1000*0.61365*exp(17.502*W252/(240.97+W252))/(DI252+DJ252)+DD252)/2)/(1000*0.61365*exp(17.502*W252/(240.97+W252))/(DI252+DJ252)-DD252)</f>
        <v>0</v>
      </c>
      <c r="T252">
        <f>1/((CW252+1)/(Q252/1.6)+1/(R252/1.37)) + CW252/((CW252+1)/(Q252/1.6) + CW252/(R252/1.37))</f>
        <v>0</v>
      </c>
      <c r="U252">
        <f>(CR252*CU252)</f>
        <v>0</v>
      </c>
      <c r="V252">
        <f>(DK252+(U252+2*0.95*5.67E-8*(((DK252+$B$7)+273)^4-(DK252+273)^4)-44100*J252)/(1.84*29.3*R252+8*0.95*5.67E-8*(DK252+273)^3))</f>
        <v>0</v>
      </c>
      <c r="W252">
        <f>($C$7*DL252+$D$7*DM252+$E$7*V252)</f>
        <v>0</v>
      </c>
      <c r="X252">
        <f>0.61365*exp(17.502*W252/(240.97+W252))</f>
        <v>0</v>
      </c>
      <c r="Y252">
        <f>(Z252/AA252*100)</f>
        <v>0</v>
      </c>
      <c r="Z252">
        <f>DD252*(DI252+DJ252)/1000</f>
        <v>0</v>
      </c>
      <c r="AA252">
        <f>0.61365*exp(17.502*DK252/(240.97+DK252))</f>
        <v>0</v>
      </c>
      <c r="AB252">
        <f>(X252-DD252*(DI252+DJ252)/1000)</f>
        <v>0</v>
      </c>
      <c r="AC252">
        <f>(-J252*44100)</f>
        <v>0</v>
      </c>
      <c r="AD252">
        <f>2*29.3*R252*0.92*(DK252-W252)</f>
        <v>0</v>
      </c>
      <c r="AE252">
        <f>2*0.95*5.67E-8*(((DK252+$B$7)+273)^4-(W252+273)^4)</f>
        <v>0</v>
      </c>
      <c r="AF252">
        <f>U252+AE252+AC252+AD252</f>
        <v>0</v>
      </c>
      <c r="AG252">
        <f>DH252*AU252*(DC252-DB252*(1000-AU252*DE252)/(1000-AU252*DD252))/(100*CV252)</f>
        <v>0</v>
      </c>
      <c r="AH252">
        <f>1000*DH252*AU252*(DD252-DE252)/(100*CV252*(1000-AU252*DD252))</f>
        <v>0</v>
      </c>
      <c r="AI252">
        <f>(AJ252 - AK252 - DI252*1E3/(8.314*(DK252+273.15)) * AM252/DH252 * AL252) * DH252/(100*CV252) * (1000 - DE252)/1000</f>
        <v>0</v>
      </c>
      <c r="AJ252">
        <v>81.06837759577694</v>
      </c>
      <c r="AK252">
        <v>93.8812212121212</v>
      </c>
      <c r="AL252">
        <v>-3.187468821709001</v>
      </c>
      <c r="AM252">
        <v>66.38192812717227</v>
      </c>
      <c r="AN252">
        <f>(AP252 - AO252 + DI252*1E3/(8.314*(DK252+273.15)) * AR252/DH252 * AQ252) * DH252/(100*CV252) * 1000/(1000 - AP252)</f>
        <v>0</v>
      </c>
      <c r="AO252">
        <v>14.11324226342732</v>
      </c>
      <c r="AP252">
        <v>18.39293117647059</v>
      </c>
      <c r="AQ252">
        <v>3.603576830501312E-05</v>
      </c>
      <c r="AR252">
        <v>80.47224507511959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MAX(0,($B$13+$C$13*DP252)/(1+$D$13*DP252)*DI252/(DK252+273)*$E$13)</f>
        <v>0</v>
      </c>
      <c r="AX252" t="s">
        <v>417</v>
      </c>
      <c r="AY252" t="s">
        <v>417</v>
      </c>
      <c r="AZ252">
        <v>0</v>
      </c>
      <c r="BA252">
        <v>0</v>
      </c>
      <c r="BB252">
        <f>1-AZ252/BA252</f>
        <v>0</v>
      </c>
      <c r="BC252">
        <v>0</v>
      </c>
      <c r="BD252" t="s">
        <v>417</v>
      </c>
      <c r="BE252" t="s">
        <v>417</v>
      </c>
      <c r="BF252">
        <v>0</v>
      </c>
      <c r="BG252">
        <v>0</v>
      </c>
      <c r="BH252">
        <f>1-BF252/BG252</f>
        <v>0</v>
      </c>
      <c r="BI252">
        <v>0.5</v>
      </c>
      <c r="BJ252">
        <f>CS252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417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BZ252">
        <v>1248</v>
      </c>
      <c r="CA252">
        <v>300</v>
      </c>
      <c r="CB252">
        <v>300</v>
      </c>
      <c r="CC252">
        <v>300</v>
      </c>
      <c r="CD252">
        <v>10442</v>
      </c>
      <c r="CE252">
        <v>1293.69</v>
      </c>
      <c r="CF252">
        <v>-0.00735246</v>
      </c>
      <c r="CG252">
        <v>0.5</v>
      </c>
      <c r="CH252" t="s">
        <v>417</v>
      </c>
      <c r="CI252" t="s">
        <v>417</v>
      </c>
      <c r="CJ252" t="s">
        <v>417</v>
      </c>
      <c r="CK252" t="s">
        <v>417</v>
      </c>
      <c r="CL252" t="s">
        <v>417</v>
      </c>
      <c r="CM252" t="s">
        <v>417</v>
      </c>
      <c r="CN252" t="s">
        <v>417</v>
      </c>
      <c r="CO252" t="s">
        <v>417</v>
      </c>
      <c r="CP252" t="s">
        <v>417</v>
      </c>
      <c r="CQ252" t="s">
        <v>417</v>
      </c>
      <c r="CR252">
        <f>$B$11*DQ252+$C$11*DR252+$F$11*EC252*(1-EF252)</f>
        <v>0</v>
      </c>
      <c r="CS252">
        <f>CR252*CT252</f>
        <v>0</v>
      </c>
      <c r="CT252">
        <f>($B$11*$D$9+$C$11*$D$9+$F$11*((EP252+EH252)/MAX(EP252+EH252+EQ252, 0.1)*$I$9+EQ252/MAX(EP252+EH252+EQ252, 0.1)*$J$9))/($B$11+$C$11+$F$11)</f>
        <v>0</v>
      </c>
      <c r="CU252">
        <f>($B$11*$K$9+$C$11*$K$9+$F$11*((EP252+EH252)/MAX(EP252+EH252+EQ252, 0.1)*$P$9+EQ252/MAX(EP252+EH252+EQ252, 0.1)*$Q$9))/($B$11+$C$11+$F$11)</f>
        <v>0</v>
      </c>
      <c r="CV252">
        <v>6</v>
      </c>
      <c r="CW252">
        <v>0.5</v>
      </c>
      <c r="CX252" t="s">
        <v>418</v>
      </c>
      <c r="CY252">
        <v>2</v>
      </c>
      <c r="CZ252" t="b">
        <v>1</v>
      </c>
      <c r="DA252">
        <v>1651864868.1</v>
      </c>
      <c r="DB252">
        <v>93.71423333333333</v>
      </c>
      <c r="DC252">
        <v>74.01703333333333</v>
      </c>
      <c r="DD252">
        <v>18.39233333333333</v>
      </c>
      <c r="DE252">
        <v>14.11093333333334</v>
      </c>
      <c r="DF252">
        <v>94.12223333333333</v>
      </c>
      <c r="DG252">
        <v>18.37133333333334</v>
      </c>
      <c r="DH252">
        <v>499.9843333333333</v>
      </c>
      <c r="DI252">
        <v>89.92926666666666</v>
      </c>
      <c r="DJ252">
        <v>0.09986060000000001</v>
      </c>
      <c r="DK252">
        <v>25.62503333333333</v>
      </c>
      <c r="DL252">
        <v>25.0076</v>
      </c>
      <c r="DM252">
        <v>999.9</v>
      </c>
      <c r="DN252">
        <v>0</v>
      </c>
      <c r="DO252">
        <v>0</v>
      </c>
      <c r="DP252">
        <v>10016.03333333333</v>
      </c>
      <c r="DQ252">
        <v>0</v>
      </c>
      <c r="DR252">
        <v>3.23193</v>
      </c>
      <c r="DS252">
        <v>19.6972</v>
      </c>
      <c r="DT252">
        <v>95.47013333333332</v>
      </c>
      <c r="DU252">
        <v>75.07643333333333</v>
      </c>
      <c r="DV252">
        <v>4.281416666666666</v>
      </c>
      <c r="DW252">
        <v>74.01703333333333</v>
      </c>
      <c r="DX252">
        <v>14.11093333333334</v>
      </c>
      <c r="DY252">
        <v>1.654006666666667</v>
      </c>
      <c r="DZ252">
        <v>1.268986666666666</v>
      </c>
      <c r="EA252">
        <v>14.47136666666667</v>
      </c>
      <c r="EB252">
        <v>10.43646666666667</v>
      </c>
      <c r="EC252">
        <v>1499.96</v>
      </c>
      <c r="ED252">
        <v>0.9730086666666665</v>
      </c>
      <c r="EE252">
        <v>0.0269913</v>
      </c>
      <c r="EF252">
        <v>0</v>
      </c>
      <c r="EG252">
        <v>837.86</v>
      </c>
      <c r="EH252">
        <v>5.00097</v>
      </c>
      <c r="EI252">
        <v>12438.1</v>
      </c>
      <c r="EJ252">
        <v>12491.26666666667</v>
      </c>
      <c r="EK252">
        <v>37.187</v>
      </c>
      <c r="EL252">
        <v>38.687</v>
      </c>
      <c r="EM252">
        <v>37.625</v>
      </c>
      <c r="EN252">
        <v>38.375</v>
      </c>
      <c r="EO252">
        <v>38.062</v>
      </c>
      <c r="EP252">
        <v>1454.61</v>
      </c>
      <c r="EQ252">
        <v>40.35</v>
      </c>
      <c r="ER252">
        <v>0</v>
      </c>
      <c r="ES252">
        <v>648</v>
      </c>
      <c r="ET252">
        <v>0</v>
      </c>
      <c r="EU252">
        <v>835.763</v>
      </c>
      <c r="EV252">
        <v>18.31364104745402</v>
      </c>
      <c r="EW252">
        <v>246.8102566731666</v>
      </c>
      <c r="EX252">
        <v>12411.78461538462</v>
      </c>
      <c r="EY252">
        <v>15</v>
      </c>
      <c r="EZ252">
        <v>1651864261.1</v>
      </c>
      <c r="FA252" t="s">
        <v>419</v>
      </c>
      <c r="FB252">
        <v>1651864241.6</v>
      </c>
      <c r="FC252">
        <v>1651864261.1</v>
      </c>
      <c r="FD252">
        <v>7</v>
      </c>
      <c r="FE252">
        <v>0.438</v>
      </c>
      <c r="FF252">
        <v>0.002</v>
      </c>
      <c r="FG252">
        <v>-0.988</v>
      </c>
      <c r="FH252">
        <v>-0.066</v>
      </c>
      <c r="FI252">
        <v>400</v>
      </c>
      <c r="FJ252">
        <v>11</v>
      </c>
      <c r="FK252">
        <v>0.05</v>
      </c>
      <c r="FL252">
        <v>0.02</v>
      </c>
      <c r="FM252">
        <v>17.418305</v>
      </c>
      <c r="FN252">
        <v>14.88183714821762</v>
      </c>
      <c r="FO252">
        <v>1.433850184982727</v>
      </c>
      <c r="FP252">
        <v>-1</v>
      </c>
      <c r="FQ252">
        <v>4.26502325</v>
      </c>
      <c r="FR252">
        <v>0.08142270168855435</v>
      </c>
      <c r="FS252">
        <v>0.008000433234362966</v>
      </c>
      <c r="FT252">
        <v>-1</v>
      </c>
      <c r="FU252">
        <v>0</v>
      </c>
      <c r="FV252">
        <v>0</v>
      </c>
      <c r="FW252">
        <v>0</v>
      </c>
      <c r="FX252">
        <v>-1</v>
      </c>
      <c r="FY252">
        <v>0</v>
      </c>
      <c r="FZ252">
        <v>0</v>
      </c>
      <c r="GA252" t="s">
        <v>420</v>
      </c>
      <c r="GB252">
        <v>2.98039</v>
      </c>
      <c r="GC252">
        <v>2.70631</v>
      </c>
      <c r="GD252">
        <v>0.0240608</v>
      </c>
      <c r="GE252">
        <v>0.018584</v>
      </c>
      <c r="GF252">
        <v>0.0877952</v>
      </c>
      <c r="GG252">
        <v>0.0715286</v>
      </c>
      <c r="GH252">
        <v>30799.6</v>
      </c>
      <c r="GI252">
        <v>31039.2</v>
      </c>
      <c r="GJ252">
        <v>29344.4</v>
      </c>
      <c r="GK252">
        <v>29257.7</v>
      </c>
      <c r="GL252">
        <v>35443.2</v>
      </c>
      <c r="GM252">
        <v>36177.4</v>
      </c>
      <c r="GN252">
        <v>41303.5</v>
      </c>
      <c r="GO252">
        <v>41759.8</v>
      </c>
      <c r="GP252">
        <v>1.95537</v>
      </c>
      <c r="GQ252">
        <v>1.8483</v>
      </c>
      <c r="GR252">
        <v>-0.019405</v>
      </c>
      <c r="GS252">
        <v>0</v>
      </c>
      <c r="GT252">
        <v>25.3242</v>
      </c>
      <c r="GU252">
        <v>999.9</v>
      </c>
      <c r="GV252">
        <v>31.5</v>
      </c>
      <c r="GW252">
        <v>34.3</v>
      </c>
      <c r="GX252">
        <v>19.0299</v>
      </c>
      <c r="GY252">
        <v>62.3275</v>
      </c>
      <c r="GZ252">
        <v>34.9359</v>
      </c>
      <c r="HA252">
        <v>1</v>
      </c>
      <c r="HB252">
        <v>0.107975</v>
      </c>
      <c r="HC252">
        <v>2.25134</v>
      </c>
      <c r="HD252">
        <v>20.3192</v>
      </c>
      <c r="HE252">
        <v>5.21714</v>
      </c>
      <c r="HF252">
        <v>12.0099</v>
      </c>
      <c r="HG252">
        <v>4.98805</v>
      </c>
      <c r="HH252">
        <v>3.28865</v>
      </c>
      <c r="HI252">
        <v>1001.3</v>
      </c>
      <c r="HJ252">
        <v>9561.4</v>
      </c>
      <c r="HK252">
        <v>5139.4</v>
      </c>
      <c r="HL252">
        <v>24.9</v>
      </c>
      <c r="HM252">
        <v>1.8675</v>
      </c>
      <c r="HN252">
        <v>1.86646</v>
      </c>
      <c r="HO252">
        <v>1.866</v>
      </c>
      <c r="HP252">
        <v>1.86584</v>
      </c>
      <c r="HQ252">
        <v>1.86768</v>
      </c>
      <c r="HR252">
        <v>1.87021</v>
      </c>
      <c r="HS252">
        <v>1.8689</v>
      </c>
      <c r="HT252">
        <v>1.87026</v>
      </c>
      <c r="HU252">
        <v>0</v>
      </c>
      <c r="HV252">
        <v>0</v>
      </c>
      <c r="HW252">
        <v>0</v>
      </c>
      <c r="HX252">
        <v>0</v>
      </c>
      <c r="HY252" t="s">
        <v>421</v>
      </c>
      <c r="HZ252" t="s">
        <v>422</v>
      </c>
      <c r="IA252" t="s">
        <v>423</v>
      </c>
      <c r="IB252" t="s">
        <v>423</v>
      </c>
      <c r="IC252" t="s">
        <v>423</v>
      </c>
      <c r="ID252" t="s">
        <v>423</v>
      </c>
      <c r="IE252">
        <v>0</v>
      </c>
      <c r="IF252">
        <v>100</v>
      </c>
      <c r="IG252">
        <v>100</v>
      </c>
      <c r="IH252">
        <v>-0.402</v>
      </c>
      <c r="II252">
        <v>0.021</v>
      </c>
      <c r="IJ252">
        <v>-0.2164499368582429</v>
      </c>
      <c r="IK252">
        <v>-0.002077099775823331</v>
      </c>
      <c r="IL252">
        <v>4.593143279902166E-07</v>
      </c>
      <c r="IM252">
        <v>-1.865383991892071E-10</v>
      </c>
      <c r="IN252">
        <v>-0.06087574426827484</v>
      </c>
      <c r="IO252">
        <v>-0.01129461987421345</v>
      </c>
      <c r="IP252">
        <v>0.00116580895745559</v>
      </c>
      <c r="IQ252">
        <v>-1.679085872906199E-05</v>
      </c>
      <c r="IR252">
        <v>2</v>
      </c>
      <c r="IS252">
        <v>2290</v>
      </c>
      <c r="IT252">
        <v>0</v>
      </c>
      <c r="IU252">
        <v>32</v>
      </c>
      <c r="IV252">
        <v>10.5</v>
      </c>
      <c r="IW252">
        <v>10.1</v>
      </c>
      <c r="IX252">
        <v>0.267334</v>
      </c>
      <c r="IY252">
        <v>2.30713</v>
      </c>
      <c r="IZ252">
        <v>1.39648</v>
      </c>
      <c r="JA252">
        <v>2.35596</v>
      </c>
      <c r="JB252">
        <v>1.49536</v>
      </c>
      <c r="JC252">
        <v>2.36938</v>
      </c>
      <c r="JD252">
        <v>38.5014</v>
      </c>
      <c r="JE252">
        <v>24.035</v>
      </c>
      <c r="JF252">
        <v>18</v>
      </c>
      <c r="JG252">
        <v>511.233</v>
      </c>
      <c r="JH252">
        <v>427.985</v>
      </c>
      <c r="JI252">
        <v>22.2328</v>
      </c>
      <c r="JJ252">
        <v>28.6952</v>
      </c>
      <c r="JK252">
        <v>30</v>
      </c>
      <c r="JL252">
        <v>28.6618</v>
      </c>
      <c r="JM252">
        <v>28.5992</v>
      </c>
      <c r="JN252">
        <v>5.2891</v>
      </c>
      <c r="JO252">
        <v>26.5129</v>
      </c>
      <c r="JP252">
        <v>0</v>
      </c>
      <c r="JQ252">
        <v>22.2336</v>
      </c>
      <c r="JR252">
        <v>45.428</v>
      </c>
      <c r="JS252">
        <v>14.1432</v>
      </c>
      <c r="JT252">
        <v>100.305</v>
      </c>
      <c r="JU252">
        <v>100.226</v>
      </c>
    </row>
    <row r="253" spans="1:281">
      <c r="A253">
        <v>237</v>
      </c>
      <c r="B253">
        <v>1651864871.1</v>
      </c>
      <c r="C253">
        <v>650.5</v>
      </c>
      <c r="D253" t="s">
        <v>894</v>
      </c>
      <c r="E253" t="s">
        <v>895</v>
      </c>
      <c r="F253">
        <v>2</v>
      </c>
      <c r="G253" t="s">
        <v>413</v>
      </c>
      <c r="H253" t="s">
        <v>414</v>
      </c>
      <c r="I253">
        <v>1651864869.725</v>
      </c>
      <c r="J253">
        <f>(K253)/1000</f>
        <v>0</v>
      </c>
      <c r="K253">
        <f>IF(CZ253, AN253, AH253)</f>
        <v>0</v>
      </c>
      <c r="L253">
        <f>IF(CZ253, AI253, AG253)</f>
        <v>0</v>
      </c>
      <c r="M253">
        <f>DB253 - IF(AU253&gt;1, L253*CV253*100.0/(AW253*DP253), 0)</f>
        <v>0</v>
      </c>
      <c r="N253">
        <f>((T253-J253/2)*M253-L253)/(T253+J253/2)</f>
        <v>0</v>
      </c>
      <c r="O253">
        <f>N253*(DI253+DJ253)/1000.0</f>
        <v>0</v>
      </c>
      <c r="P253">
        <f>(DB253 - IF(AU253&gt;1, L253*CV253*100.0/(AW253*DP253), 0))*(DI253+DJ253)/1000.0</f>
        <v>0</v>
      </c>
      <c r="Q253">
        <f>2.0/((1/S253-1/R253)+SIGN(S253)*SQRT((1/S253-1/R253)*(1/S253-1/R253) + 4*CW253/((CW253+1)*(CW253+1))*(2*1/S253*1/R253-1/R253*1/R253)))</f>
        <v>0</v>
      </c>
      <c r="R253">
        <f>IF(LEFT(CX253,1)&lt;&gt;"0",IF(LEFT(CX253,1)="1",3.0,CY253),$D$5+$E$5*(DP253*DI253/($K$5*1000))+$F$5*(DP253*DI253/($K$5*1000))*MAX(MIN(CV253,$J$5),$I$5)*MAX(MIN(CV253,$J$5),$I$5)+$G$5*MAX(MIN(CV253,$J$5),$I$5)*(DP253*DI253/($K$5*1000))+$H$5*(DP253*DI253/($K$5*1000))*(DP253*DI253/($K$5*1000)))</f>
        <v>0</v>
      </c>
      <c r="S253">
        <f>J253*(1000-(1000*0.61365*exp(17.502*W253/(240.97+W253))/(DI253+DJ253)+DD253)/2)/(1000*0.61365*exp(17.502*W253/(240.97+W253))/(DI253+DJ253)-DD253)</f>
        <v>0</v>
      </c>
      <c r="T253">
        <f>1/((CW253+1)/(Q253/1.6)+1/(R253/1.37)) + CW253/((CW253+1)/(Q253/1.6) + CW253/(R253/1.37))</f>
        <v>0</v>
      </c>
      <c r="U253">
        <f>(CR253*CU253)</f>
        <v>0</v>
      </c>
      <c r="V253">
        <f>(DK253+(U253+2*0.95*5.67E-8*(((DK253+$B$7)+273)^4-(DK253+273)^4)-44100*J253)/(1.84*29.3*R253+8*0.95*5.67E-8*(DK253+273)^3))</f>
        <v>0</v>
      </c>
      <c r="W253">
        <f>($C$7*DL253+$D$7*DM253+$E$7*V253)</f>
        <v>0</v>
      </c>
      <c r="X253">
        <f>0.61365*exp(17.502*W253/(240.97+W253))</f>
        <v>0</v>
      </c>
      <c r="Y253">
        <f>(Z253/AA253*100)</f>
        <v>0</v>
      </c>
      <c r="Z253">
        <f>DD253*(DI253+DJ253)/1000</f>
        <v>0</v>
      </c>
      <c r="AA253">
        <f>0.61365*exp(17.502*DK253/(240.97+DK253))</f>
        <v>0</v>
      </c>
      <c r="AB253">
        <f>(X253-DD253*(DI253+DJ253)/1000)</f>
        <v>0</v>
      </c>
      <c r="AC253">
        <f>(-J253*44100)</f>
        <v>0</v>
      </c>
      <c r="AD253">
        <f>2*29.3*R253*0.92*(DK253-W253)</f>
        <v>0</v>
      </c>
      <c r="AE253">
        <f>2*0.95*5.67E-8*(((DK253+$B$7)+273)^4-(W253+273)^4)</f>
        <v>0</v>
      </c>
      <c r="AF253">
        <f>U253+AE253+AC253+AD253</f>
        <v>0</v>
      </c>
      <c r="AG253">
        <f>DH253*AU253*(DC253-DB253*(1000-AU253*DE253)/(1000-AU253*DD253))/(100*CV253)</f>
        <v>0</v>
      </c>
      <c r="AH253">
        <f>1000*DH253*AU253*(DD253-DE253)/(100*CV253*(1000-AU253*DD253))</f>
        <v>0</v>
      </c>
      <c r="AI253">
        <f>(AJ253 - AK253 - DI253*1E3/(8.314*(DK253+273.15)) * AM253/DH253 * AL253) * DH253/(100*CV253) * (1000 - DE253)/1000</f>
        <v>0</v>
      </c>
      <c r="AJ253">
        <v>74.29034425191698</v>
      </c>
      <c r="AK253">
        <v>87.49152787878786</v>
      </c>
      <c r="AL253">
        <v>-3.190197368514241</v>
      </c>
      <c r="AM253">
        <v>66.38192812717227</v>
      </c>
      <c r="AN253">
        <f>(AP253 - AO253 + DI253*1E3/(8.314*(DK253+273.15)) * AR253/DH253 * AQ253) * DH253/(100*CV253) * 1000/(1000 - AP253)</f>
        <v>0</v>
      </c>
      <c r="AO253">
        <v>14.11197058558025</v>
      </c>
      <c r="AP253">
        <v>18.39381941176471</v>
      </c>
      <c r="AQ253">
        <v>4.22624436744203E-05</v>
      </c>
      <c r="AR253">
        <v>80.47224507511959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MAX(0,($B$13+$C$13*DP253)/(1+$D$13*DP253)*DI253/(DK253+273)*$E$13)</f>
        <v>0</v>
      </c>
      <c r="AX253" t="s">
        <v>417</v>
      </c>
      <c r="AY253" t="s">
        <v>417</v>
      </c>
      <c r="AZ253">
        <v>0</v>
      </c>
      <c r="BA253">
        <v>0</v>
      </c>
      <c r="BB253">
        <f>1-AZ253/BA253</f>
        <v>0</v>
      </c>
      <c r="BC253">
        <v>0</v>
      </c>
      <c r="BD253" t="s">
        <v>417</v>
      </c>
      <c r="BE253" t="s">
        <v>417</v>
      </c>
      <c r="BF253">
        <v>0</v>
      </c>
      <c r="BG253">
        <v>0</v>
      </c>
      <c r="BH253">
        <f>1-BF253/BG253</f>
        <v>0</v>
      </c>
      <c r="BI253">
        <v>0.5</v>
      </c>
      <c r="BJ253">
        <f>CS253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417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BZ253">
        <v>1248</v>
      </c>
      <c r="CA253">
        <v>300</v>
      </c>
      <c r="CB253">
        <v>300</v>
      </c>
      <c r="CC253">
        <v>300</v>
      </c>
      <c r="CD253">
        <v>10442</v>
      </c>
      <c r="CE253">
        <v>1293.69</v>
      </c>
      <c r="CF253">
        <v>-0.00735246</v>
      </c>
      <c r="CG253">
        <v>0.5</v>
      </c>
      <c r="CH253" t="s">
        <v>417</v>
      </c>
      <c r="CI253" t="s">
        <v>417</v>
      </c>
      <c r="CJ253" t="s">
        <v>417</v>
      </c>
      <c r="CK253" t="s">
        <v>417</v>
      </c>
      <c r="CL253" t="s">
        <v>417</v>
      </c>
      <c r="CM253" t="s">
        <v>417</v>
      </c>
      <c r="CN253" t="s">
        <v>417</v>
      </c>
      <c r="CO253" t="s">
        <v>417</v>
      </c>
      <c r="CP253" t="s">
        <v>417</v>
      </c>
      <c r="CQ253" t="s">
        <v>417</v>
      </c>
      <c r="CR253">
        <f>$B$11*DQ253+$C$11*DR253+$F$11*EC253*(1-EF253)</f>
        <v>0</v>
      </c>
      <c r="CS253">
        <f>CR253*CT253</f>
        <v>0</v>
      </c>
      <c r="CT253">
        <f>($B$11*$D$9+$C$11*$D$9+$F$11*((EP253+EH253)/MAX(EP253+EH253+EQ253, 0.1)*$I$9+EQ253/MAX(EP253+EH253+EQ253, 0.1)*$J$9))/($B$11+$C$11+$F$11)</f>
        <v>0</v>
      </c>
      <c r="CU253">
        <f>($B$11*$K$9+$C$11*$K$9+$F$11*((EP253+EH253)/MAX(EP253+EH253+EQ253, 0.1)*$P$9+EQ253/MAX(EP253+EH253+EQ253, 0.1)*$Q$9))/($B$11+$C$11+$F$11)</f>
        <v>0</v>
      </c>
      <c r="CV253">
        <v>6</v>
      </c>
      <c r="CW253">
        <v>0.5</v>
      </c>
      <c r="CX253" t="s">
        <v>418</v>
      </c>
      <c r="CY253">
        <v>2</v>
      </c>
      <c r="CZ253" t="b">
        <v>1</v>
      </c>
      <c r="DA253">
        <v>1651864869.725</v>
      </c>
      <c r="DB253">
        <v>88.622775</v>
      </c>
      <c r="DC253">
        <v>68.50049999999999</v>
      </c>
      <c r="DD253">
        <v>18.393175</v>
      </c>
      <c r="DE253">
        <v>14.110475</v>
      </c>
      <c r="DF253">
        <v>89.02062500000001</v>
      </c>
      <c r="DG253">
        <v>18.372175</v>
      </c>
      <c r="DH253">
        <v>500.024</v>
      </c>
      <c r="DI253">
        <v>89.92975</v>
      </c>
      <c r="DJ253">
        <v>0.09996534999999999</v>
      </c>
      <c r="DK253">
        <v>25.62285</v>
      </c>
      <c r="DL253">
        <v>24.999025</v>
      </c>
      <c r="DM253">
        <v>999.9</v>
      </c>
      <c r="DN253">
        <v>0</v>
      </c>
      <c r="DO253">
        <v>0</v>
      </c>
      <c r="DP253">
        <v>10015.475</v>
      </c>
      <c r="DQ253">
        <v>0</v>
      </c>
      <c r="DR253">
        <v>3.23193</v>
      </c>
      <c r="DS253">
        <v>20.122275</v>
      </c>
      <c r="DT253">
        <v>90.28337500000001</v>
      </c>
      <c r="DU253">
        <v>69.48095000000001</v>
      </c>
      <c r="DV253">
        <v>4.28267</v>
      </c>
      <c r="DW253">
        <v>68.50049999999999</v>
      </c>
      <c r="DX253">
        <v>14.110475</v>
      </c>
      <c r="DY253">
        <v>1.6540925</v>
      </c>
      <c r="DZ253">
        <v>1.2689525</v>
      </c>
      <c r="EA253">
        <v>14.472175</v>
      </c>
      <c r="EB253">
        <v>10.43605</v>
      </c>
      <c r="EC253">
        <v>1499.865</v>
      </c>
      <c r="ED253">
        <v>0.973007</v>
      </c>
      <c r="EE253">
        <v>0.0269931</v>
      </c>
      <c r="EF253">
        <v>0</v>
      </c>
      <c r="EG253">
        <v>838.16425</v>
      </c>
      <c r="EH253">
        <v>5.00097</v>
      </c>
      <c r="EI253">
        <v>12446</v>
      </c>
      <c r="EJ253">
        <v>12490.45</v>
      </c>
      <c r="EK253">
        <v>37.187</v>
      </c>
      <c r="EL253">
        <v>38.687</v>
      </c>
      <c r="EM253">
        <v>37.60925</v>
      </c>
      <c r="EN253">
        <v>38.375</v>
      </c>
      <c r="EO253">
        <v>38.062</v>
      </c>
      <c r="EP253">
        <v>1454.515</v>
      </c>
      <c r="EQ253">
        <v>40.35</v>
      </c>
      <c r="ER253">
        <v>0</v>
      </c>
      <c r="ES253">
        <v>649.7999999523163</v>
      </c>
      <c r="ET253">
        <v>0</v>
      </c>
      <c r="EU253">
        <v>836.4217600000001</v>
      </c>
      <c r="EV253">
        <v>18.68053848944232</v>
      </c>
      <c r="EW253">
        <v>256.3384620328551</v>
      </c>
      <c r="EX253">
        <v>12420.38</v>
      </c>
      <c r="EY253">
        <v>15</v>
      </c>
      <c r="EZ253">
        <v>1651864261.1</v>
      </c>
      <c r="FA253" t="s">
        <v>419</v>
      </c>
      <c r="FB253">
        <v>1651864241.6</v>
      </c>
      <c r="FC253">
        <v>1651864261.1</v>
      </c>
      <c r="FD253">
        <v>7</v>
      </c>
      <c r="FE253">
        <v>0.438</v>
      </c>
      <c r="FF253">
        <v>0.002</v>
      </c>
      <c r="FG253">
        <v>-0.988</v>
      </c>
      <c r="FH253">
        <v>-0.066</v>
      </c>
      <c r="FI253">
        <v>400</v>
      </c>
      <c r="FJ253">
        <v>11</v>
      </c>
      <c r="FK253">
        <v>0.05</v>
      </c>
      <c r="FL253">
        <v>0.02</v>
      </c>
      <c r="FM253">
        <v>17.95980975609756</v>
      </c>
      <c r="FN253">
        <v>14.69548013937279</v>
      </c>
      <c r="FO253">
        <v>1.451600491938984</v>
      </c>
      <c r="FP253">
        <v>-1</v>
      </c>
      <c r="FQ253">
        <v>4.268185853658538</v>
      </c>
      <c r="FR253">
        <v>0.08862250871081037</v>
      </c>
      <c r="FS253">
        <v>0.008872746976298371</v>
      </c>
      <c r="FT253">
        <v>-1</v>
      </c>
      <c r="FU253">
        <v>0</v>
      </c>
      <c r="FV253">
        <v>0</v>
      </c>
      <c r="FW253">
        <v>0</v>
      </c>
      <c r="FX253">
        <v>-1</v>
      </c>
      <c r="FY253">
        <v>0</v>
      </c>
      <c r="FZ253">
        <v>0</v>
      </c>
      <c r="GA253" t="s">
        <v>420</v>
      </c>
      <c r="GB253">
        <v>2.98055</v>
      </c>
      <c r="GC253">
        <v>2.70616</v>
      </c>
      <c r="GD253">
        <v>0.0224379</v>
      </c>
      <c r="GE253">
        <v>0.0168063</v>
      </c>
      <c r="GF253">
        <v>0.0877976</v>
      </c>
      <c r="GG253">
        <v>0.07152600000000001</v>
      </c>
      <c r="GH253">
        <v>30850.7</v>
      </c>
      <c r="GI253">
        <v>31095.2</v>
      </c>
      <c r="GJ253">
        <v>29344.3</v>
      </c>
      <c r="GK253">
        <v>29257.5</v>
      </c>
      <c r="GL253">
        <v>35442.8</v>
      </c>
      <c r="GM253">
        <v>36177.4</v>
      </c>
      <c r="GN253">
        <v>41303.1</v>
      </c>
      <c r="GO253">
        <v>41759.6</v>
      </c>
      <c r="GP253">
        <v>1.9553</v>
      </c>
      <c r="GQ253">
        <v>1.84835</v>
      </c>
      <c r="GR253">
        <v>-0.0203326</v>
      </c>
      <c r="GS253">
        <v>0</v>
      </c>
      <c r="GT253">
        <v>25.3231</v>
      </c>
      <c r="GU253">
        <v>999.9</v>
      </c>
      <c r="GV253">
        <v>31.5</v>
      </c>
      <c r="GW253">
        <v>34.3</v>
      </c>
      <c r="GX253">
        <v>19.0301</v>
      </c>
      <c r="GY253">
        <v>62.5475</v>
      </c>
      <c r="GZ253">
        <v>34.988</v>
      </c>
      <c r="HA253">
        <v>1</v>
      </c>
      <c r="HB253">
        <v>0.108016</v>
      </c>
      <c r="HC253">
        <v>2.26603</v>
      </c>
      <c r="HD253">
        <v>20.319</v>
      </c>
      <c r="HE253">
        <v>5.21714</v>
      </c>
      <c r="HF253">
        <v>12.0099</v>
      </c>
      <c r="HG253">
        <v>4.9879</v>
      </c>
      <c r="HH253">
        <v>3.28865</v>
      </c>
      <c r="HI253">
        <v>1001.3</v>
      </c>
      <c r="HJ253">
        <v>9561.4</v>
      </c>
      <c r="HK253">
        <v>5139.4</v>
      </c>
      <c r="HL253">
        <v>24.9</v>
      </c>
      <c r="HM253">
        <v>1.8675</v>
      </c>
      <c r="HN253">
        <v>1.86646</v>
      </c>
      <c r="HO253">
        <v>1.866</v>
      </c>
      <c r="HP253">
        <v>1.86585</v>
      </c>
      <c r="HQ253">
        <v>1.86768</v>
      </c>
      <c r="HR253">
        <v>1.87022</v>
      </c>
      <c r="HS253">
        <v>1.8689</v>
      </c>
      <c r="HT253">
        <v>1.87024</v>
      </c>
      <c r="HU253">
        <v>0</v>
      </c>
      <c r="HV253">
        <v>0</v>
      </c>
      <c r="HW253">
        <v>0</v>
      </c>
      <c r="HX253">
        <v>0</v>
      </c>
      <c r="HY253" t="s">
        <v>421</v>
      </c>
      <c r="HZ253" t="s">
        <v>422</v>
      </c>
      <c r="IA253" t="s">
        <v>423</v>
      </c>
      <c r="IB253" t="s">
        <v>423</v>
      </c>
      <c r="IC253" t="s">
        <v>423</v>
      </c>
      <c r="ID253" t="s">
        <v>423</v>
      </c>
      <c r="IE253">
        <v>0</v>
      </c>
      <c r="IF253">
        <v>100</v>
      </c>
      <c r="IG253">
        <v>100</v>
      </c>
      <c r="IH253">
        <v>-0.389</v>
      </c>
      <c r="II253">
        <v>0.021</v>
      </c>
      <c r="IJ253">
        <v>-0.2164499368582429</v>
      </c>
      <c r="IK253">
        <v>-0.002077099775823331</v>
      </c>
      <c r="IL253">
        <v>4.593143279902166E-07</v>
      </c>
      <c r="IM253">
        <v>-1.865383991892071E-10</v>
      </c>
      <c r="IN253">
        <v>-0.06087574426827484</v>
      </c>
      <c r="IO253">
        <v>-0.01129461987421345</v>
      </c>
      <c r="IP253">
        <v>0.00116580895745559</v>
      </c>
      <c r="IQ253">
        <v>-1.679085872906199E-05</v>
      </c>
      <c r="IR253">
        <v>2</v>
      </c>
      <c r="IS253">
        <v>2290</v>
      </c>
      <c r="IT253">
        <v>0</v>
      </c>
      <c r="IU253">
        <v>32</v>
      </c>
      <c r="IV253">
        <v>10.5</v>
      </c>
      <c r="IW253">
        <v>10.2</v>
      </c>
      <c r="IX253">
        <v>0.252686</v>
      </c>
      <c r="IY253">
        <v>2.3291</v>
      </c>
      <c r="IZ253">
        <v>1.39648</v>
      </c>
      <c r="JA253">
        <v>2.35718</v>
      </c>
      <c r="JB253">
        <v>1.49536</v>
      </c>
      <c r="JC253">
        <v>2.26929</v>
      </c>
      <c r="JD253">
        <v>38.5014</v>
      </c>
      <c r="JE253">
        <v>24.0262</v>
      </c>
      <c r="JF253">
        <v>18</v>
      </c>
      <c r="JG253">
        <v>511.184</v>
      </c>
      <c r="JH253">
        <v>428.015</v>
      </c>
      <c r="JI253">
        <v>22.2355</v>
      </c>
      <c r="JJ253">
        <v>28.6952</v>
      </c>
      <c r="JK253">
        <v>30</v>
      </c>
      <c r="JL253">
        <v>28.6618</v>
      </c>
      <c r="JM253">
        <v>28.5992</v>
      </c>
      <c r="JN253">
        <v>4.9964</v>
      </c>
      <c r="JO253">
        <v>26.5129</v>
      </c>
      <c r="JP253">
        <v>0</v>
      </c>
      <c r="JQ253">
        <v>22.2336</v>
      </c>
      <c r="JR253">
        <v>38.7368</v>
      </c>
      <c r="JS253">
        <v>14.1432</v>
      </c>
      <c r="JT253">
        <v>100.304</v>
      </c>
      <c r="JU253">
        <v>100.226</v>
      </c>
    </row>
    <row r="254" spans="1:281">
      <c r="A254">
        <v>238</v>
      </c>
      <c r="B254">
        <v>1651864873.1</v>
      </c>
      <c r="C254">
        <v>652.5</v>
      </c>
      <c r="D254" t="s">
        <v>896</v>
      </c>
      <c r="E254" t="s">
        <v>897</v>
      </c>
      <c r="F254">
        <v>2</v>
      </c>
      <c r="G254" t="s">
        <v>413</v>
      </c>
      <c r="H254" t="s">
        <v>414</v>
      </c>
      <c r="I254">
        <v>1651864872.1</v>
      </c>
      <c r="J254">
        <f>(K254)/1000</f>
        <v>0</v>
      </c>
      <c r="K254">
        <f>IF(CZ254, AN254, AH254)</f>
        <v>0</v>
      </c>
      <c r="L254">
        <f>IF(CZ254, AI254, AG254)</f>
        <v>0</v>
      </c>
      <c r="M254">
        <f>DB254 - IF(AU254&gt;1, L254*CV254*100.0/(AW254*DP254), 0)</f>
        <v>0</v>
      </c>
      <c r="N254">
        <f>((T254-J254/2)*M254-L254)/(T254+J254/2)</f>
        <v>0</v>
      </c>
      <c r="O254">
        <f>N254*(DI254+DJ254)/1000.0</f>
        <v>0</v>
      </c>
      <c r="P254">
        <f>(DB254 - IF(AU254&gt;1, L254*CV254*100.0/(AW254*DP254), 0))*(DI254+DJ254)/1000.0</f>
        <v>0</v>
      </c>
      <c r="Q254">
        <f>2.0/((1/S254-1/R254)+SIGN(S254)*SQRT((1/S254-1/R254)*(1/S254-1/R254) + 4*CW254/((CW254+1)*(CW254+1))*(2*1/S254*1/R254-1/R254*1/R254)))</f>
        <v>0</v>
      </c>
      <c r="R254">
        <f>IF(LEFT(CX254,1)&lt;&gt;"0",IF(LEFT(CX254,1)="1",3.0,CY254),$D$5+$E$5*(DP254*DI254/($K$5*1000))+$F$5*(DP254*DI254/($K$5*1000))*MAX(MIN(CV254,$J$5),$I$5)*MAX(MIN(CV254,$J$5),$I$5)+$G$5*MAX(MIN(CV254,$J$5),$I$5)*(DP254*DI254/($K$5*1000))+$H$5*(DP254*DI254/($K$5*1000))*(DP254*DI254/($K$5*1000)))</f>
        <v>0</v>
      </c>
      <c r="S254">
        <f>J254*(1000-(1000*0.61365*exp(17.502*W254/(240.97+W254))/(DI254+DJ254)+DD254)/2)/(1000*0.61365*exp(17.502*W254/(240.97+W254))/(DI254+DJ254)-DD254)</f>
        <v>0</v>
      </c>
      <c r="T254">
        <f>1/((CW254+1)/(Q254/1.6)+1/(R254/1.37)) + CW254/((CW254+1)/(Q254/1.6) + CW254/(R254/1.37))</f>
        <v>0</v>
      </c>
      <c r="U254">
        <f>(CR254*CU254)</f>
        <v>0</v>
      </c>
      <c r="V254">
        <f>(DK254+(U254+2*0.95*5.67E-8*(((DK254+$B$7)+273)^4-(DK254+273)^4)-44100*J254)/(1.84*29.3*R254+8*0.95*5.67E-8*(DK254+273)^3))</f>
        <v>0</v>
      </c>
      <c r="W254">
        <f>($C$7*DL254+$D$7*DM254+$E$7*V254)</f>
        <v>0</v>
      </c>
      <c r="X254">
        <f>0.61365*exp(17.502*W254/(240.97+W254))</f>
        <v>0</v>
      </c>
      <c r="Y254">
        <f>(Z254/AA254*100)</f>
        <v>0</v>
      </c>
      <c r="Z254">
        <f>DD254*(DI254+DJ254)/1000</f>
        <v>0</v>
      </c>
      <c r="AA254">
        <f>0.61365*exp(17.502*DK254/(240.97+DK254))</f>
        <v>0</v>
      </c>
      <c r="AB254">
        <f>(X254-DD254*(DI254+DJ254)/1000)</f>
        <v>0</v>
      </c>
      <c r="AC254">
        <f>(-J254*44100)</f>
        <v>0</v>
      </c>
      <c r="AD254">
        <f>2*29.3*R254*0.92*(DK254-W254)</f>
        <v>0</v>
      </c>
      <c r="AE254">
        <f>2*0.95*5.67E-8*(((DK254+$B$7)+273)^4-(W254+273)^4)</f>
        <v>0</v>
      </c>
      <c r="AF254">
        <f>U254+AE254+AC254+AD254</f>
        <v>0</v>
      </c>
      <c r="AG254">
        <f>DH254*AU254*(DC254-DB254*(1000-AU254*DE254)/(1000-AU254*DD254))/(100*CV254)</f>
        <v>0</v>
      </c>
      <c r="AH254">
        <f>1000*DH254*AU254*(DD254-DE254)/(100*CV254*(1000-AU254*DD254))</f>
        <v>0</v>
      </c>
      <c r="AI254">
        <f>(AJ254 - AK254 - DI254*1E3/(8.314*(DK254+273.15)) * AM254/DH254 * AL254) * DH254/(100*CV254) * (1000 - DE254)/1000</f>
        <v>0</v>
      </c>
      <c r="AJ254">
        <v>67.39031855134257</v>
      </c>
      <c r="AK254">
        <v>81.1509763636363</v>
      </c>
      <c r="AL254">
        <v>-3.1789072045234</v>
      </c>
      <c r="AM254">
        <v>66.38192812717227</v>
      </c>
      <c r="AN254">
        <f>(AP254 - AO254 + DI254*1E3/(8.314*(DK254+273.15)) * AR254/DH254 * AQ254) * DH254/(100*CV254) * 1000/(1000 - AP254)</f>
        <v>0</v>
      </c>
      <c r="AO254">
        <v>14.11084853218526</v>
      </c>
      <c r="AP254">
        <v>18.3945838235294</v>
      </c>
      <c r="AQ254">
        <v>2.975443569026934E-05</v>
      </c>
      <c r="AR254">
        <v>80.47224507511959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MAX(0,($B$13+$C$13*DP254)/(1+$D$13*DP254)*DI254/(DK254+273)*$E$13)</f>
        <v>0</v>
      </c>
      <c r="AX254" t="s">
        <v>417</v>
      </c>
      <c r="AY254" t="s">
        <v>417</v>
      </c>
      <c r="AZ254">
        <v>0</v>
      </c>
      <c r="BA254">
        <v>0</v>
      </c>
      <c r="BB254">
        <f>1-AZ254/BA254</f>
        <v>0</v>
      </c>
      <c r="BC254">
        <v>0</v>
      </c>
      <c r="BD254" t="s">
        <v>417</v>
      </c>
      <c r="BE254" t="s">
        <v>417</v>
      </c>
      <c r="BF254">
        <v>0</v>
      </c>
      <c r="BG254">
        <v>0</v>
      </c>
      <c r="BH254">
        <f>1-BF254/BG254</f>
        <v>0</v>
      </c>
      <c r="BI254">
        <v>0.5</v>
      </c>
      <c r="BJ254">
        <f>CS254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417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BZ254">
        <v>1248</v>
      </c>
      <c r="CA254">
        <v>300</v>
      </c>
      <c r="CB254">
        <v>300</v>
      </c>
      <c r="CC254">
        <v>300</v>
      </c>
      <c r="CD254">
        <v>10442</v>
      </c>
      <c r="CE254">
        <v>1293.69</v>
      </c>
      <c r="CF254">
        <v>-0.00735246</v>
      </c>
      <c r="CG254">
        <v>0.5</v>
      </c>
      <c r="CH254" t="s">
        <v>417</v>
      </c>
      <c r="CI254" t="s">
        <v>417</v>
      </c>
      <c r="CJ254" t="s">
        <v>417</v>
      </c>
      <c r="CK254" t="s">
        <v>417</v>
      </c>
      <c r="CL254" t="s">
        <v>417</v>
      </c>
      <c r="CM254" t="s">
        <v>417</v>
      </c>
      <c r="CN254" t="s">
        <v>417</v>
      </c>
      <c r="CO254" t="s">
        <v>417</v>
      </c>
      <c r="CP254" t="s">
        <v>417</v>
      </c>
      <c r="CQ254" t="s">
        <v>417</v>
      </c>
      <c r="CR254">
        <f>$B$11*DQ254+$C$11*DR254+$F$11*EC254*(1-EF254)</f>
        <v>0</v>
      </c>
      <c r="CS254">
        <f>CR254*CT254</f>
        <v>0</v>
      </c>
      <c r="CT254">
        <f>($B$11*$D$9+$C$11*$D$9+$F$11*((EP254+EH254)/MAX(EP254+EH254+EQ254, 0.1)*$I$9+EQ254/MAX(EP254+EH254+EQ254, 0.1)*$J$9))/($B$11+$C$11+$F$11)</f>
        <v>0</v>
      </c>
      <c r="CU254">
        <f>($B$11*$K$9+$C$11*$K$9+$F$11*((EP254+EH254)/MAX(EP254+EH254+EQ254, 0.1)*$P$9+EQ254/MAX(EP254+EH254+EQ254, 0.1)*$Q$9))/($B$11+$C$11+$F$11)</f>
        <v>0</v>
      </c>
      <c r="CV254">
        <v>6</v>
      </c>
      <c r="CW254">
        <v>0.5</v>
      </c>
      <c r="CX254" t="s">
        <v>418</v>
      </c>
      <c r="CY254">
        <v>2</v>
      </c>
      <c r="CZ254" t="b">
        <v>1</v>
      </c>
      <c r="DA254">
        <v>1651864872.1</v>
      </c>
      <c r="DB254">
        <v>81.21686666666666</v>
      </c>
      <c r="DC254">
        <v>60.40113333333333</v>
      </c>
      <c r="DD254">
        <v>18.39446666666667</v>
      </c>
      <c r="DE254">
        <v>14.10966666666667</v>
      </c>
      <c r="DF254">
        <v>81.5998</v>
      </c>
      <c r="DG254">
        <v>18.37343333333333</v>
      </c>
      <c r="DH254">
        <v>500.0446666666667</v>
      </c>
      <c r="DI254">
        <v>89.93123333333331</v>
      </c>
      <c r="DJ254">
        <v>0.1000363</v>
      </c>
      <c r="DK254">
        <v>25.62163333333334</v>
      </c>
      <c r="DL254">
        <v>24.98536666666666</v>
      </c>
      <c r="DM254">
        <v>999.9</v>
      </c>
      <c r="DN254">
        <v>0</v>
      </c>
      <c r="DO254">
        <v>0</v>
      </c>
      <c r="DP254">
        <v>9990.416666666666</v>
      </c>
      <c r="DQ254">
        <v>0</v>
      </c>
      <c r="DR254">
        <v>3.23193</v>
      </c>
      <c r="DS254">
        <v>20.81566666666667</v>
      </c>
      <c r="DT254">
        <v>82.73876666666666</v>
      </c>
      <c r="DU254">
        <v>61.2656</v>
      </c>
      <c r="DV254">
        <v>4.284776666666667</v>
      </c>
      <c r="DW254">
        <v>60.40113333333333</v>
      </c>
      <c r="DX254">
        <v>14.10966666666667</v>
      </c>
      <c r="DY254">
        <v>1.654236666666667</v>
      </c>
      <c r="DZ254">
        <v>1.2689</v>
      </c>
      <c r="EA254">
        <v>14.47353333333333</v>
      </c>
      <c r="EB254">
        <v>10.43546666666666</v>
      </c>
      <c r="EC254">
        <v>1500.083333333333</v>
      </c>
      <c r="ED254">
        <v>0.9729953333333334</v>
      </c>
      <c r="EE254">
        <v>0.02700466666666667</v>
      </c>
      <c r="EF254">
        <v>0</v>
      </c>
      <c r="EG254">
        <v>838.8663333333334</v>
      </c>
      <c r="EH254">
        <v>5.00097</v>
      </c>
      <c r="EI254">
        <v>12459.93333333333</v>
      </c>
      <c r="EJ254">
        <v>12492.26666666667</v>
      </c>
      <c r="EK254">
        <v>37.187</v>
      </c>
      <c r="EL254">
        <v>38.687</v>
      </c>
      <c r="EM254">
        <v>37.625</v>
      </c>
      <c r="EN254">
        <v>38.375</v>
      </c>
      <c r="EO254">
        <v>38.062</v>
      </c>
      <c r="EP254">
        <v>1454.71</v>
      </c>
      <c r="EQ254">
        <v>40.37333333333333</v>
      </c>
      <c r="ER254">
        <v>0</v>
      </c>
      <c r="ES254">
        <v>652.2000000476837</v>
      </c>
      <c r="ET254">
        <v>0</v>
      </c>
      <c r="EU254">
        <v>837.1345200000001</v>
      </c>
      <c r="EV254">
        <v>19.17392304044224</v>
      </c>
      <c r="EW254">
        <v>273.7846150770546</v>
      </c>
      <c r="EX254">
        <v>12431.18</v>
      </c>
      <c r="EY254">
        <v>15</v>
      </c>
      <c r="EZ254">
        <v>1651864261.1</v>
      </c>
      <c r="FA254" t="s">
        <v>419</v>
      </c>
      <c r="FB254">
        <v>1651864241.6</v>
      </c>
      <c r="FC254">
        <v>1651864261.1</v>
      </c>
      <c r="FD254">
        <v>7</v>
      </c>
      <c r="FE254">
        <v>0.438</v>
      </c>
      <c r="FF254">
        <v>0.002</v>
      </c>
      <c r="FG254">
        <v>-0.988</v>
      </c>
      <c r="FH254">
        <v>-0.066</v>
      </c>
      <c r="FI254">
        <v>400</v>
      </c>
      <c r="FJ254">
        <v>11</v>
      </c>
      <c r="FK254">
        <v>0.05</v>
      </c>
      <c r="FL254">
        <v>0.02</v>
      </c>
      <c r="FM254">
        <v>18.392455</v>
      </c>
      <c r="FN254">
        <v>14.67073395872418</v>
      </c>
      <c r="FO254">
        <v>1.413985428133897</v>
      </c>
      <c r="FP254">
        <v>-1</v>
      </c>
      <c r="FQ254">
        <v>4.270528000000001</v>
      </c>
      <c r="FR254">
        <v>0.09111894934332647</v>
      </c>
      <c r="FS254">
        <v>0.008879966835523606</v>
      </c>
      <c r="FT254">
        <v>-1</v>
      </c>
      <c r="FU254">
        <v>0</v>
      </c>
      <c r="FV254">
        <v>0</v>
      </c>
      <c r="FW254">
        <v>0</v>
      </c>
      <c r="FX254">
        <v>-1</v>
      </c>
      <c r="FY254">
        <v>0</v>
      </c>
      <c r="FZ254">
        <v>0</v>
      </c>
      <c r="GA254" t="s">
        <v>420</v>
      </c>
      <c r="GB254">
        <v>2.98038</v>
      </c>
      <c r="GC254">
        <v>2.70604</v>
      </c>
      <c r="GD254">
        <v>0.0208065</v>
      </c>
      <c r="GE254">
        <v>0.0150247</v>
      </c>
      <c r="GF254">
        <v>0.08780979999999999</v>
      </c>
      <c r="GG254">
        <v>0.07152169999999999</v>
      </c>
      <c r="GH254">
        <v>30902.5</v>
      </c>
      <c r="GI254">
        <v>31151.7</v>
      </c>
      <c r="GJ254">
        <v>29344.7</v>
      </c>
      <c r="GK254">
        <v>29257.6</v>
      </c>
      <c r="GL254">
        <v>35442.7</v>
      </c>
      <c r="GM254">
        <v>36177.7</v>
      </c>
      <c r="GN254">
        <v>41303.6</v>
      </c>
      <c r="GO254">
        <v>41759.8</v>
      </c>
      <c r="GP254">
        <v>1.9553</v>
      </c>
      <c r="GQ254">
        <v>1.84825</v>
      </c>
      <c r="GR254">
        <v>-0.0205524</v>
      </c>
      <c r="GS254">
        <v>0</v>
      </c>
      <c r="GT254">
        <v>25.322</v>
      </c>
      <c r="GU254">
        <v>999.9</v>
      </c>
      <c r="GV254">
        <v>31.5</v>
      </c>
      <c r="GW254">
        <v>34.3</v>
      </c>
      <c r="GX254">
        <v>19.0297</v>
      </c>
      <c r="GY254">
        <v>62.0175</v>
      </c>
      <c r="GZ254">
        <v>35.2244</v>
      </c>
      <c r="HA254">
        <v>1</v>
      </c>
      <c r="HB254">
        <v>0.108021</v>
      </c>
      <c r="HC254">
        <v>2.27446</v>
      </c>
      <c r="HD254">
        <v>20.3187</v>
      </c>
      <c r="HE254">
        <v>5.21759</v>
      </c>
      <c r="HF254">
        <v>12.0099</v>
      </c>
      <c r="HG254">
        <v>4.9877</v>
      </c>
      <c r="HH254">
        <v>3.28865</v>
      </c>
      <c r="HI254">
        <v>1001.3</v>
      </c>
      <c r="HJ254">
        <v>9561.4</v>
      </c>
      <c r="HK254">
        <v>5139.4</v>
      </c>
      <c r="HL254">
        <v>24.9</v>
      </c>
      <c r="HM254">
        <v>1.86751</v>
      </c>
      <c r="HN254">
        <v>1.86646</v>
      </c>
      <c r="HO254">
        <v>1.866</v>
      </c>
      <c r="HP254">
        <v>1.86585</v>
      </c>
      <c r="HQ254">
        <v>1.86768</v>
      </c>
      <c r="HR254">
        <v>1.87021</v>
      </c>
      <c r="HS254">
        <v>1.8689</v>
      </c>
      <c r="HT254">
        <v>1.87022</v>
      </c>
      <c r="HU254">
        <v>0</v>
      </c>
      <c r="HV254">
        <v>0</v>
      </c>
      <c r="HW254">
        <v>0</v>
      </c>
      <c r="HX254">
        <v>0</v>
      </c>
      <c r="HY254" t="s">
        <v>421</v>
      </c>
      <c r="HZ254" t="s">
        <v>422</v>
      </c>
      <c r="IA254" t="s">
        <v>423</v>
      </c>
      <c r="IB254" t="s">
        <v>423</v>
      </c>
      <c r="IC254" t="s">
        <v>423</v>
      </c>
      <c r="ID254" t="s">
        <v>423</v>
      </c>
      <c r="IE254">
        <v>0</v>
      </c>
      <c r="IF254">
        <v>100</v>
      </c>
      <c r="IG254">
        <v>100</v>
      </c>
      <c r="IH254">
        <v>-0.377</v>
      </c>
      <c r="II254">
        <v>0.021</v>
      </c>
      <c r="IJ254">
        <v>-0.2164499368582429</v>
      </c>
      <c r="IK254">
        <v>-0.002077099775823331</v>
      </c>
      <c r="IL254">
        <v>4.593143279902166E-07</v>
      </c>
      <c r="IM254">
        <v>-1.865383991892071E-10</v>
      </c>
      <c r="IN254">
        <v>-0.06087574426827484</v>
      </c>
      <c r="IO254">
        <v>-0.01129461987421345</v>
      </c>
      <c r="IP254">
        <v>0.00116580895745559</v>
      </c>
      <c r="IQ254">
        <v>-1.679085872906199E-05</v>
      </c>
      <c r="IR254">
        <v>2</v>
      </c>
      <c r="IS254">
        <v>2290</v>
      </c>
      <c r="IT254">
        <v>0</v>
      </c>
      <c r="IU254">
        <v>32</v>
      </c>
      <c r="IV254">
        <v>10.5</v>
      </c>
      <c r="IW254">
        <v>10.2</v>
      </c>
      <c r="IX254">
        <v>0.238037</v>
      </c>
      <c r="IY254">
        <v>2.29492</v>
      </c>
      <c r="IZ254">
        <v>1.39648</v>
      </c>
      <c r="JA254">
        <v>2.35596</v>
      </c>
      <c r="JB254">
        <v>1.49536</v>
      </c>
      <c r="JC254">
        <v>2.34497</v>
      </c>
      <c r="JD254">
        <v>38.5014</v>
      </c>
      <c r="JE254">
        <v>24.035</v>
      </c>
      <c r="JF254">
        <v>18</v>
      </c>
      <c r="JG254">
        <v>511.184</v>
      </c>
      <c r="JH254">
        <v>427.955</v>
      </c>
      <c r="JI254">
        <v>22.2363</v>
      </c>
      <c r="JJ254">
        <v>28.6952</v>
      </c>
      <c r="JK254">
        <v>30</v>
      </c>
      <c r="JL254">
        <v>28.6618</v>
      </c>
      <c r="JM254">
        <v>28.5992</v>
      </c>
      <c r="JN254">
        <v>4.70534</v>
      </c>
      <c r="JO254">
        <v>26.5129</v>
      </c>
      <c r="JP254">
        <v>0</v>
      </c>
      <c r="JQ254">
        <v>22.2336</v>
      </c>
      <c r="JR254">
        <v>32.0487</v>
      </c>
      <c r="JS254">
        <v>14.1432</v>
      </c>
      <c r="JT254">
        <v>100.306</v>
      </c>
      <c r="JU254">
        <v>100.226</v>
      </c>
    </row>
    <row r="255" spans="1:281">
      <c r="A255">
        <v>239</v>
      </c>
      <c r="B255">
        <v>1651864875.1</v>
      </c>
      <c r="C255">
        <v>654.5</v>
      </c>
      <c r="D255" t="s">
        <v>898</v>
      </c>
      <c r="E255" t="s">
        <v>899</v>
      </c>
      <c r="F255">
        <v>2</v>
      </c>
      <c r="G255" t="s">
        <v>413</v>
      </c>
      <c r="H255" t="s">
        <v>414</v>
      </c>
      <c r="I255">
        <v>1651864873.725</v>
      </c>
      <c r="J255">
        <f>(K255)/1000</f>
        <v>0</v>
      </c>
      <c r="K255">
        <f>IF(CZ255, AN255, AH255)</f>
        <v>0</v>
      </c>
      <c r="L255">
        <f>IF(CZ255, AI255, AG255)</f>
        <v>0</v>
      </c>
      <c r="M255">
        <f>DB255 - IF(AU255&gt;1, L255*CV255*100.0/(AW255*DP255), 0)</f>
        <v>0</v>
      </c>
      <c r="N255">
        <f>((T255-J255/2)*M255-L255)/(T255+J255/2)</f>
        <v>0</v>
      </c>
      <c r="O255">
        <f>N255*(DI255+DJ255)/1000.0</f>
        <v>0</v>
      </c>
      <c r="P255">
        <f>(DB255 - IF(AU255&gt;1, L255*CV255*100.0/(AW255*DP255), 0))*(DI255+DJ255)/1000.0</f>
        <v>0</v>
      </c>
      <c r="Q255">
        <f>2.0/((1/S255-1/R255)+SIGN(S255)*SQRT((1/S255-1/R255)*(1/S255-1/R255) + 4*CW255/((CW255+1)*(CW255+1))*(2*1/S255*1/R255-1/R255*1/R255)))</f>
        <v>0</v>
      </c>
      <c r="R255">
        <f>IF(LEFT(CX255,1)&lt;&gt;"0",IF(LEFT(CX255,1)="1",3.0,CY255),$D$5+$E$5*(DP255*DI255/($K$5*1000))+$F$5*(DP255*DI255/($K$5*1000))*MAX(MIN(CV255,$J$5),$I$5)*MAX(MIN(CV255,$J$5),$I$5)+$G$5*MAX(MIN(CV255,$J$5),$I$5)*(DP255*DI255/($K$5*1000))+$H$5*(DP255*DI255/($K$5*1000))*(DP255*DI255/($K$5*1000)))</f>
        <v>0</v>
      </c>
      <c r="S255">
        <f>J255*(1000-(1000*0.61365*exp(17.502*W255/(240.97+W255))/(DI255+DJ255)+DD255)/2)/(1000*0.61365*exp(17.502*W255/(240.97+W255))/(DI255+DJ255)-DD255)</f>
        <v>0</v>
      </c>
      <c r="T255">
        <f>1/((CW255+1)/(Q255/1.6)+1/(R255/1.37)) + CW255/((CW255+1)/(Q255/1.6) + CW255/(R255/1.37))</f>
        <v>0</v>
      </c>
      <c r="U255">
        <f>(CR255*CU255)</f>
        <v>0</v>
      </c>
      <c r="V255">
        <f>(DK255+(U255+2*0.95*5.67E-8*(((DK255+$B$7)+273)^4-(DK255+273)^4)-44100*J255)/(1.84*29.3*R255+8*0.95*5.67E-8*(DK255+273)^3))</f>
        <v>0</v>
      </c>
      <c r="W255">
        <f>($C$7*DL255+$D$7*DM255+$E$7*V255)</f>
        <v>0</v>
      </c>
      <c r="X255">
        <f>0.61365*exp(17.502*W255/(240.97+W255))</f>
        <v>0</v>
      </c>
      <c r="Y255">
        <f>(Z255/AA255*100)</f>
        <v>0</v>
      </c>
      <c r="Z255">
        <f>DD255*(DI255+DJ255)/1000</f>
        <v>0</v>
      </c>
      <c r="AA255">
        <f>0.61365*exp(17.502*DK255/(240.97+DK255))</f>
        <v>0</v>
      </c>
      <c r="AB255">
        <f>(X255-DD255*(DI255+DJ255)/1000)</f>
        <v>0</v>
      </c>
      <c r="AC255">
        <f>(-J255*44100)</f>
        <v>0</v>
      </c>
      <c r="AD255">
        <f>2*29.3*R255*0.92*(DK255-W255)</f>
        <v>0</v>
      </c>
      <c r="AE255">
        <f>2*0.95*5.67E-8*(((DK255+$B$7)+273)^4-(W255+273)^4)</f>
        <v>0</v>
      </c>
      <c r="AF255">
        <f>U255+AE255+AC255+AD255</f>
        <v>0</v>
      </c>
      <c r="AG255">
        <f>DH255*AU255*(DC255-DB255*(1000-AU255*DE255)/(1000-AU255*DD255))/(100*CV255)</f>
        <v>0</v>
      </c>
      <c r="AH255">
        <f>1000*DH255*AU255*(DD255-DE255)/(100*CV255*(1000-AU255*DD255))</f>
        <v>0</v>
      </c>
      <c r="AI255">
        <f>(AJ255 - AK255 - DI255*1E3/(8.314*(DK255+273.15)) * AM255/DH255 * AL255) * DH255/(100*CV255) * (1000 - DE255)/1000</f>
        <v>0</v>
      </c>
      <c r="AJ255">
        <v>60.47419145258441</v>
      </c>
      <c r="AK255">
        <v>74.77056</v>
      </c>
      <c r="AL255">
        <v>-3.185348310413556</v>
      </c>
      <c r="AM255">
        <v>66.38192812717227</v>
      </c>
      <c r="AN255">
        <f>(AP255 - AO255 + DI255*1E3/(8.314*(DK255+273.15)) * AR255/DH255 * AQ255) * DH255/(100*CV255) * 1000/(1000 - AP255)</f>
        <v>0</v>
      </c>
      <c r="AO255">
        <v>14.11023893169877</v>
      </c>
      <c r="AP255">
        <v>18.39983</v>
      </c>
      <c r="AQ255">
        <v>-3.981198592057244E-06</v>
      </c>
      <c r="AR255">
        <v>80.47224507511959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MAX(0,($B$13+$C$13*DP255)/(1+$D$13*DP255)*DI255/(DK255+273)*$E$13)</f>
        <v>0</v>
      </c>
      <c r="AX255" t="s">
        <v>417</v>
      </c>
      <c r="AY255" t="s">
        <v>417</v>
      </c>
      <c r="AZ255">
        <v>0</v>
      </c>
      <c r="BA255">
        <v>0</v>
      </c>
      <c r="BB255">
        <f>1-AZ255/BA255</f>
        <v>0</v>
      </c>
      <c r="BC255">
        <v>0</v>
      </c>
      <c r="BD255" t="s">
        <v>417</v>
      </c>
      <c r="BE255" t="s">
        <v>417</v>
      </c>
      <c r="BF255">
        <v>0</v>
      </c>
      <c r="BG255">
        <v>0</v>
      </c>
      <c r="BH255">
        <f>1-BF255/BG255</f>
        <v>0</v>
      </c>
      <c r="BI255">
        <v>0.5</v>
      </c>
      <c r="BJ255">
        <f>CS255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417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BZ255">
        <v>1248</v>
      </c>
      <c r="CA255">
        <v>300</v>
      </c>
      <c r="CB255">
        <v>300</v>
      </c>
      <c r="CC255">
        <v>300</v>
      </c>
      <c r="CD255">
        <v>10442</v>
      </c>
      <c r="CE255">
        <v>1293.69</v>
      </c>
      <c r="CF255">
        <v>-0.00735246</v>
      </c>
      <c r="CG255">
        <v>0.5</v>
      </c>
      <c r="CH255" t="s">
        <v>417</v>
      </c>
      <c r="CI255" t="s">
        <v>417</v>
      </c>
      <c r="CJ255" t="s">
        <v>417</v>
      </c>
      <c r="CK255" t="s">
        <v>417</v>
      </c>
      <c r="CL255" t="s">
        <v>417</v>
      </c>
      <c r="CM255" t="s">
        <v>417</v>
      </c>
      <c r="CN255" t="s">
        <v>417</v>
      </c>
      <c r="CO255" t="s">
        <v>417</v>
      </c>
      <c r="CP255" t="s">
        <v>417</v>
      </c>
      <c r="CQ255" t="s">
        <v>417</v>
      </c>
      <c r="CR255">
        <f>$B$11*DQ255+$C$11*DR255+$F$11*EC255*(1-EF255)</f>
        <v>0</v>
      </c>
      <c r="CS255">
        <f>CR255*CT255</f>
        <v>0</v>
      </c>
      <c r="CT255">
        <f>($B$11*$D$9+$C$11*$D$9+$F$11*((EP255+EH255)/MAX(EP255+EH255+EQ255, 0.1)*$I$9+EQ255/MAX(EP255+EH255+EQ255, 0.1)*$J$9))/($B$11+$C$11+$F$11)</f>
        <v>0</v>
      </c>
      <c r="CU255">
        <f>($B$11*$K$9+$C$11*$K$9+$F$11*((EP255+EH255)/MAX(EP255+EH255+EQ255, 0.1)*$P$9+EQ255/MAX(EP255+EH255+EQ255, 0.1)*$Q$9))/($B$11+$C$11+$F$11)</f>
        <v>0</v>
      </c>
      <c r="CV255">
        <v>6</v>
      </c>
      <c r="CW255">
        <v>0.5</v>
      </c>
      <c r="CX255" t="s">
        <v>418</v>
      </c>
      <c r="CY255">
        <v>2</v>
      </c>
      <c r="CZ255" t="b">
        <v>1</v>
      </c>
      <c r="DA255">
        <v>1651864873.725</v>
      </c>
      <c r="DB255">
        <v>76.134675</v>
      </c>
      <c r="DC255">
        <v>54.893075</v>
      </c>
      <c r="DD255">
        <v>18.3981</v>
      </c>
      <c r="DE255">
        <v>14.10875</v>
      </c>
      <c r="DF255">
        <v>76.507425</v>
      </c>
      <c r="DG255">
        <v>18.377025</v>
      </c>
      <c r="DH255">
        <v>500.04</v>
      </c>
      <c r="DI255">
        <v>89.93074999999999</v>
      </c>
      <c r="DJ255">
        <v>0.09987255</v>
      </c>
      <c r="DK255">
        <v>25.622825</v>
      </c>
      <c r="DL255">
        <v>24.9895</v>
      </c>
      <c r="DM255">
        <v>999.9</v>
      </c>
      <c r="DN255">
        <v>0</v>
      </c>
      <c r="DO255">
        <v>0</v>
      </c>
      <c r="DP255">
        <v>9997.799999999999</v>
      </c>
      <c r="DQ255">
        <v>0</v>
      </c>
      <c r="DR255">
        <v>3.23193</v>
      </c>
      <c r="DS255">
        <v>21.2416</v>
      </c>
      <c r="DT255">
        <v>77.56167500000001</v>
      </c>
      <c r="DU255">
        <v>55.67865</v>
      </c>
      <c r="DV255">
        <v>4.28936</v>
      </c>
      <c r="DW255">
        <v>54.893075</v>
      </c>
      <c r="DX255">
        <v>14.10875</v>
      </c>
      <c r="DY255">
        <v>1.654555</v>
      </c>
      <c r="DZ255">
        <v>1.2688125</v>
      </c>
      <c r="EA255">
        <v>14.4765</v>
      </c>
      <c r="EB255">
        <v>10.4344</v>
      </c>
      <c r="EC255">
        <v>1500.105</v>
      </c>
      <c r="ED255">
        <v>0.9729995</v>
      </c>
      <c r="EE255">
        <v>0.027000425</v>
      </c>
      <c r="EF255">
        <v>0</v>
      </c>
      <c r="EG255">
        <v>839.6512500000001</v>
      </c>
      <c r="EH255">
        <v>5.00097</v>
      </c>
      <c r="EI255">
        <v>12467.925</v>
      </c>
      <c r="EJ255">
        <v>12492.45</v>
      </c>
      <c r="EK255">
        <v>37.187</v>
      </c>
      <c r="EL255">
        <v>38.687</v>
      </c>
      <c r="EM255">
        <v>37.625</v>
      </c>
      <c r="EN255">
        <v>38.375</v>
      </c>
      <c r="EO255">
        <v>38.062</v>
      </c>
      <c r="EP255">
        <v>1454.7375</v>
      </c>
      <c r="EQ255">
        <v>40.3675</v>
      </c>
      <c r="ER255">
        <v>0</v>
      </c>
      <c r="ES255">
        <v>654</v>
      </c>
      <c r="ET255">
        <v>0</v>
      </c>
      <c r="EU255">
        <v>837.6216538461539</v>
      </c>
      <c r="EV255">
        <v>20.04126495893223</v>
      </c>
      <c r="EW255">
        <v>281.1965814901457</v>
      </c>
      <c r="EX255">
        <v>12438.13076923077</v>
      </c>
      <c r="EY255">
        <v>15</v>
      </c>
      <c r="EZ255">
        <v>1651864261.1</v>
      </c>
      <c r="FA255" t="s">
        <v>419</v>
      </c>
      <c r="FB255">
        <v>1651864241.6</v>
      </c>
      <c r="FC255">
        <v>1651864261.1</v>
      </c>
      <c r="FD255">
        <v>7</v>
      </c>
      <c r="FE255">
        <v>0.438</v>
      </c>
      <c r="FF255">
        <v>0.002</v>
      </c>
      <c r="FG255">
        <v>-0.988</v>
      </c>
      <c r="FH255">
        <v>-0.066</v>
      </c>
      <c r="FI255">
        <v>400</v>
      </c>
      <c r="FJ255">
        <v>11</v>
      </c>
      <c r="FK255">
        <v>0.05</v>
      </c>
      <c r="FL255">
        <v>0.02</v>
      </c>
      <c r="FM255">
        <v>18.95510243902439</v>
      </c>
      <c r="FN255">
        <v>14.70979233449476</v>
      </c>
      <c r="FO255">
        <v>1.453057189462173</v>
      </c>
      <c r="FP255">
        <v>-1</v>
      </c>
      <c r="FQ255">
        <v>4.274014146341464</v>
      </c>
      <c r="FR255">
        <v>0.09619505226480397</v>
      </c>
      <c r="FS255">
        <v>0.009584887997770445</v>
      </c>
      <c r="FT255">
        <v>-1</v>
      </c>
      <c r="FU255">
        <v>0</v>
      </c>
      <c r="FV255">
        <v>0</v>
      </c>
      <c r="FW255">
        <v>0</v>
      </c>
      <c r="FX255">
        <v>-1</v>
      </c>
      <c r="FY255">
        <v>0</v>
      </c>
      <c r="FZ255">
        <v>0</v>
      </c>
      <c r="GA255" t="s">
        <v>420</v>
      </c>
      <c r="GB255">
        <v>2.98038</v>
      </c>
      <c r="GC255">
        <v>2.7062</v>
      </c>
      <c r="GD255">
        <v>0.0191595</v>
      </c>
      <c r="GE255">
        <v>0.0132474</v>
      </c>
      <c r="GF255">
        <v>0.087823</v>
      </c>
      <c r="GG255">
        <v>0.0715165</v>
      </c>
      <c r="GH255">
        <v>30954.5</v>
      </c>
      <c r="GI255">
        <v>31208</v>
      </c>
      <c r="GJ255">
        <v>29344.7</v>
      </c>
      <c r="GK255">
        <v>29257.7</v>
      </c>
      <c r="GL255">
        <v>35442.2</v>
      </c>
      <c r="GM255">
        <v>36177.8</v>
      </c>
      <c r="GN255">
        <v>41303.6</v>
      </c>
      <c r="GO255">
        <v>41759.8</v>
      </c>
      <c r="GP255">
        <v>1.95532</v>
      </c>
      <c r="GQ255">
        <v>1.84837</v>
      </c>
      <c r="GR255">
        <v>-0.0198111</v>
      </c>
      <c r="GS255">
        <v>0</v>
      </c>
      <c r="GT255">
        <v>25.321</v>
      </c>
      <c r="GU255">
        <v>999.9</v>
      </c>
      <c r="GV255">
        <v>31.5</v>
      </c>
      <c r="GW255">
        <v>34.3</v>
      </c>
      <c r="GX255">
        <v>19.0304</v>
      </c>
      <c r="GY255">
        <v>62.5375</v>
      </c>
      <c r="GZ255">
        <v>34.8438</v>
      </c>
      <c r="HA255">
        <v>1</v>
      </c>
      <c r="HB255">
        <v>0.107993</v>
      </c>
      <c r="HC255">
        <v>2.27132</v>
      </c>
      <c r="HD255">
        <v>20.3188</v>
      </c>
      <c r="HE255">
        <v>5.21804</v>
      </c>
      <c r="HF255">
        <v>12.0099</v>
      </c>
      <c r="HG255">
        <v>4.988</v>
      </c>
      <c r="HH255">
        <v>3.28865</v>
      </c>
      <c r="HI255">
        <v>1001.3</v>
      </c>
      <c r="HJ255">
        <v>9561.4</v>
      </c>
      <c r="HK255">
        <v>5139.4</v>
      </c>
      <c r="HL255">
        <v>24.9</v>
      </c>
      <c r="HM255">
        <v>1.86752</v>
      </c>
      <c r="HN255">
        <v>1.86646</v>
      </c>
      <c r="HO255">
        <v>1.866</v>
      </c>
      <c r="HP255">
        <v>1.86584</v>
      </c>
      <c r="HQ255">
        <v>1.86768</v>
      </c>
      <c r="HR255">
        <v>1.87021</v>
      </c>
      <c r="HS255">
        <v>1.8689</v>
      </c>
      <c r="HT255">
        <v>1.87024</v>
      </c>
      <c r="HU255">
        <v>0</v>
      </c>
      <c r="HV255">
        <v>0</v>
      </c>
      <c r="HW255">
        <v>0</v>
      </c>
      <c r="HX255">
        <v>0</v>
      </c>
      <c r="HY255" t="s">
        <v>421</v>
      </c>
      <c r="HZ255" t="s">
        <v>422</v>
      </c>
      <c r="IA255" t="s">
        <v>423</v>
      </c>
      <c r="IB255" t="s">
        <v>423</v>
      </c>
      <c r="IC255" t="s">
        <v>423</v>
      </c>
      <c r="ID255" t="s">
        <v>423</v>
      </c>
      <c r="IE255">
        <v>0</v>
      </c>
      <c r="IF255">
        <v>100</v>
      </c>
      <c r="IG255">
        <v>100</v>
      </c>
      <c r="IH255">
        <v>-0.364</v>
      </c>
      <c r="II255">
        <v>0.0212</v>
      </c>
      <c r="IJ255">
        <v>-0.2164499368582429</v>
      </c>
      <c r="IK255">
        <v>-0.002077099775823331</v>
      </c>
      <c r="IL255">
        <v>4.593143279902166E-07</v>
      </c>
      <c r="IM255">
        <v>-1.865383991892071E-10</v>
      </c>
      <c r="IN255">
        <v>-0.06087574426827484</v>
      </c>
      <c r="IO255">
        <v>-0.01129461987421345</v>
      </c>
      <c r="IP255">
        <v>0.00116580895745559</v>
      </c>
      <c r="IQ255">
        <v>-1.679085872906199E-05</v>
      </c>
      <c r="IR255">
        <v>2</v>
      </c>
      <c r="IS255">
        <v>2290</v>
      </c>
      <c r="IT255">
        <v>0</v>
      </c>
      <c r="IU255">
        <v>32</v>
      </c>
      <c r="IV255">
        <v>10.6</v>
      </c>
      <c r="IW255">
        <v>10.2</v>
      </c>
      <c r="IX255">
        <v>0.223389</v>
      </c>
      <c r="IY255">
        <v>2.25708</v>
      </c>
      <c r="IZ255">
        <v>1.39648</v>
      </c>
      <c r="JA255">
        <v>2.35596</v>
      </c>
      <c r="JB255">
        <v>1.49536</v>
      </c>
      <c r="JC255">
        <v>2.33276</v>
      </c>
      <c r="JD255">
        <v>38.5259</v>
      </c>
      <c r="JE255">
        <v>24.0262</v>
      </c>
      <c r="JF255">
        <v>18</v>
      </c>
      <c r="JG255">
        <v>511.2</v>
      </c>
      <c r="JH255">
        <v>428.03</v>
      </c>
      <c r="JI255">
        <v>22.2365</v>
      </c>
      <c r="JJ255">
        <v>28.6952</v>
      </c>
      <c r="JK255">
        <v>30</v>
      </c>
      <c r="JL255">
        <v>28.6618</v>
      </c>
      <c r="JM255">
        <v>28.5992</v>
      </c>
      <c r="JN255">
        <v>4.41529</v>
      </c>
      <c r="JO255">
        <v>26.5129</v>
      </c>
      <c r="JP255">
        <v>0</v>
      </c>
      <c r="JQ255">
        <v>22.2407</v>
      </c>
      <c r="JR255">
        <v>25.3688</v>
      </c>
      <c r="JS255">
        <v>14.1432</v>
      </c>
      <c r="JT255">
        <v>100.306</v>
      </c>
      <c r="JU255">
        <v>100.226</v>
      </c>
    </row>
    <row r="256" spans="1:281">
      <c r="A256">
        <v>240</v>
      </c>
      <c r="B256">
        <v>1651864877.1</v>
      </c>
      <c r="C256">
        <v>656.5</v>
      </c>
      <c r="D256" t="s">
        <v>900</v>
      </c>
      <c r="E256" t="s">
        <v>901</v>
      </c>
      <c r="F256">
        <v>2</v>
      </c>
      <c r="G256" t="s">
        <v>413</v>
      </c>
      <c r="H256" t="s">
        <v>414</v>
      </c>
      <c r="I256">
        <v>1651864876.1</v>
      </c>
      <c r="J256">
        <f>(K256)/1000</f>
        <v>0</v>
      </c>
      <c r="K256">
        <f>IF(CZ256, AN256, AH256)</f>
        <v>0</v>
      </c>
      <c r="L256">
        <f>IF(CZ256, AI256, AG256)</f>
        <v>0</v>
      </c>
      <c r="M256">
        <f>DB256 - IF(AU256&gt;1, L256*CV256*100.0/(AW256*DP256), 0)</f>
        <v>0</v>
      </c>
      <c r="N256">
        <f>((T256-J256/2)*M256-L256)/(T256+J256/2)</f>
        <v>0</v>
      </c>
      <c r="O256">
        <f>N256*(DI256+DJ256)/1000.0</f>
        <v>0</v>
      </c>
      <c r="P256">
        <f>(DB256 - IF(AU256&gt;1, L256*CV256*100.0/(AW256*DP256), 0))*(DI256+DJ256)/1000.0</f>
        <v>0</v>
      </c>
      <c r="Q256">
        <f>2.0/((1/S256-1/R256)+SIGN(S256)*SQRT((1/S256-1/R256)*(1/S256-1/R256) + 4*CW256/((CW256+1)*(CW256+1))*(2*1/S256*1/R256-1/R256*1/R256)))</f>
        <v>0</v>
      </c>
      <c r="R256">
        <f>IF(LEFT(CX256,1)&lt;&gt;"0",IF(LEFT(CX256,1)="1",3.0,CY256),$D$5+$E$5*(DP256*DI256/($K$5*1000))+$F$5*(DP256*DI256/($K$5*1000))*MAX(MIN(CV256,$J$5),$I$5)*MAX(MIN(CV256,$J$5),$I$5)+$G$5*MAX(MIN(CV256,$J$5),$I$5)*(DP256*DI256/($K$5*1000))+$H$5*(DP256*DI256/($K$5*1000))*(DP256*DI256/($K$5*1000)))</f>
        <v>0</v>
      </c>
      <c r="S256">
        <f>J256*(1000-(1000*0.61365*exp(17.502*W256/(240.97+W256))/(DI256+DJ256)+DD256)/2)/(1000*0.61365*exp(17.502*W256/(240.97+W256))/(DI256+DJ256)-DD256)</f>
        <v>0</v>
      </c>
      <c r="T256">
        <f>1/((CW256+1)/(Q256/1.6)+1/(R256/1.37)) + CW256/((CW256+1)/(Q256/1.6) + CW256/(R256/1.37))</f>
        <v>0</v>
      </c>
      <c r="U256">
        <f>(CR256*CU256)</f>
        <v>0</v>
      </c>
      <c r="V256">
        <f>(DK256+(U256+2*0.95*5.67E-8*(((DK256+$B$7)+273)^4-(DK256+273)^4)-44100*J256)/(1.84*29.3*R256+8*0.95*5.67E-8*(DK256+273)^3))</f>
        <v>0</v>
      </c>
      <c r="W256">
        <f>($C$7*DL256+$D$7*DM256+$E$7*V256)</f>
        <v>0</v>
      </c>
      <c r="X256">
        <f>0.61365*exp(17.502*W256/(240.97+W256))</f>
        <v>0</v>
      </c>
      <c r="Y256">
        <f>(Z256/AA256*100)</f>
        <v>0</v>
      </c>
      <c r="Z256">
        <f>DD256*(DI256+DJ256)/1000</f>
        <v>0</v>
      </c>
      <c r="AA256">
        <f>0.61365*exp(17.502*DK256/(240.97+DK256))</f>
        <v>0</v>
      </c>
      <c r="AB256">
        <f>(X256-DD256*(DI256+DJ256)/1000)</f>
        <v>0</v>
      </c>
      <c r="AC256">
        <f>(-J256*44100)</f>
        <v>0</v>
      </c>
      <c r="AD256">
        <f>2*29.3*R256*0.92*(DK256-W256)</f>
        <v>0</v>
      </c>
      <c r="AE256">
        <f>2*0.95*5.67E-8*(((DK256+$B$7)+273)^4-(W256+273)^4)</f>
        <v>0</v>
      </c>
      <c r="AF256">
        <f>U256+AE256+AC256+AD256</f>
        <v>0</v>
      </c>
      <c r="AG256">
        <f>DH256*AU256*(DC256-DB256*(1000-AU256*DE256)/(1000-AU256*DD256))/(100*CV256)</f>
        <v>0</v>
      </c>
      <c r="AH256">
        <f>1000*DH256*AU256*(DD256-DE256)/(100*CV256*(1000-AU256*DD256))</f>
        <v>0</v>
      </c>
      <c r="AI256">
        <f>(AJ256 - AK256 - DI256*1E3/(8.314*(DK256+273.15)) * AM256/DH256 * AL256) * DH256/(100*CV256) * (1000 - DE256)/1000</f>
        <v>0</v>
      </c>
      <c r="AJ256">
        <v>53.60140728290264</v>
      </c>
      <c r="AK256">
        <v>68.34848242424242</v>
      </c>
      <c r="AL256">
        <v>-3.202676518212408</v>
      </c>
      <c r="AM256">
        <v>66.38192812717227</v>
      </c>
      <c r="AN256">
        <f>(AP256 - AO256 + DI256*1E3/(8.314*(DK256+273.15)) * AR256/DH256 * AQ256) * DH256/(100*CV256) * 1000/(1000 - AP256)</f>
        <v>0</v>
      </c>
      <c r="AO256">
        <v>14.1094354243935</v>
      </c>
      <c r="AP256">
        <v>18.40383852941177</v>
      </c>
      <c r="AQ256">
        <v>1.763273416201237E-05</v>
      </c>
      <c r="AR256">
        <v>80.47224507511959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MAX(0,($B$13+$C$13*DP256)/(1+$D$13*DP256)*DI256/(DK256+273)*$E$13)</f>
        <v>0</v>
      </c>
      <c r="AX256" t="s">
        <v>417</v>
      </c>
      <c r="AY256" t="s">
        <v>417</v>
      </c>
      <c r="AZ256">
        <v>0</v>
      </c>
      <c r="BA256">
        <v>0</v>
      </c>
      <c r="BB256">
        <f>1-AZ256/BA256</f>
        <v>0</v>
      </c>
      <c r="BC256">
        <v>0</v>
      </c>
      <c r="BD256" t="s">
        <v>417</v>
      </c>
      <c r="BE256" t="s">
        <v>417</v>
      </c>
      <c r="BF256">
        <v>0</v>
      </c>
      <c r="BG256">
        <v>0</v>
      </c>
      <c r="BH256">
        <f>1-BF256/BG256</f>
        <v>0</v>
      </c>
      <c r="BI256">
        <v>0.5</v>
      </c>
      <c r="BJ256">
        <f>CS256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417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BZ256">
        <v>1248</v>
      </c>
      <c r="CA256">
        <v>300</v>
      </c>
      <c r="CB256">
        <v>300</v>
      </c>
      <c r="CC256">
        <v>300</v>
      </c>
      <c r="CD256">
        <v>10442</v>
      </c>
      <c r="CE256">
        <v>1293.69</v>
      </c>
      <c r="CF256">
        <v>-0.00735246</v>
      </c>
      <c r="CG256">
        <v>0.5</v>
      </c>
      <c r="CH256" t="s">
        <v>417</v>
      </c>
      <c r="CI256" t="s">
        <v>417</v>
      </c>
      <c r="CJ256" t="s">
        <v>417</v>
      </c>
      <c r="CK256" t="s">
        <v>417</v>
      </c>
      <c r="CL256" t="s">
        <v>417</v>
      </c>
      <c r="CM256" t="s">
        <v>417</v>
      </c>
      <c r="CN256" t="s">
        <v>417</v>
      </c>
      <c r="CO256" t="s">
        <v>417</v>
      </c>
      <c r="CP256" t="s">
        <v>417</v>
      </c>
      <c r="CQ256" t="s">
        <v>417</v>
      </c>
      <c r="CR256">
        <f>$B$11*DQ256+$C$11*DR256+$F$11*EC256*(1-EF256)</f>
        <v>0</v>
      </c>
      <c r="CS256">
        <f>CR256*CT256</f>
        <v>0</v>
      </c>
      <c r="CT256">
        <f>($B$11*$D$9+$C$11*$D$9+$F$11*((EP256+EH256)/MAX(EP256+EH256+EQ256, 0.1)*$I$9+EQ256/MAX(EP256+EH256+EQ256, 0.1)*$J$9))/($B$11+$C$11+$F$11)</f>
        <v>0</v>
      </c>
      <c r="CU256">
        <f>($B$11*$K$9+$C$11*$K$9+$F$11*((EP256+EH256)/MAX(EP256+EH256+EQ256, 0.1)*$P$9+EQ256/MAX(EP256+EH256+EQ256, 0.1)*$Q$9))/($B$11+$C$11+$F$11)</f>
        <v>0</v>
      </c>
      <c r="CV256">
        <v>6</v>
      </c>
      <c r="CW256">
        <v>0.5</v>
      </c>
      <c r="CX256" t="s">
        <v>418</v>
      </c>
      <c r="CY256">
        <v>2</v>
      </c>
      <c r="CZ256" t="b">
        <v>1</v>
      </c>
      <c r="DA256">
        <v>1651864876.1</v>
      </c>
      <c r="DB256">
        <v>68.66629999999999</v>
      </c>
      <c r="DC256">
        <v>46.88956666666667</v>
      </c>
      <c r="DD256">
        <v>18.40253333333333</v>
      </c>
      <c r="DE256">
        <v>14.10713333333333</v>
      </c>
      <c r="DF256">
        <v>69.024</v>
      </c>
      <c r="DG256">
        <v>18.38143333333333</v>
      </c>
      <c r="DH256">
        <v>500.0406666666667</v>
      </c>
      <c r="DI256">
        <v>89.9294</v>
      </c>
      <c r="DJ256">
        <v>0.09987953333333333</v>
      </c>
      <c r="DK256">
        <v>25.62403333333333</v>
      </c>
      <c r="DL256">
        <v>24.9969</v>
      </c>
      <c r="DM256">
        <v>999.9</v>
      </c>
      <c r="DN256">
        <v>0</v>
      </c>
      <c r="DO256">
        <v>0</v>
      </c>
      <c r="DP256">
        <v>10005.20666666667</v>
      </c>
      <c r="DQ256">
        <v>0</v>
      </c>
      <c r="DR256">
        <v>3.23193</v>
      </c>
      <c r="DS256">
        <v>21.77673333333333</v>
      </c>
      <c r="DT256">
        <v>69.95359999999999</v>
      </c>
      <c r="DU256">
        <v>47.5605</v>
      </c>
      <c r="DV256">
        <v>4.29545</v>
      </c>
      <c r="DW256">
        <v>46.88956666666667</v>
      </c>
      <c r="DX256">
        <v>14.10713333333333</v>
      </c>
      <c r="DY256">
        <v>1.65493</v>
      </c>
      <c r="DZ256">
        <v>1.268646666666667</v>
      </c>
      <c r="EA256">
        <v>14.48003333333333</v>
      </c>
      <c r="EB256">
        <v>10.43246666666667</v>
      </c>
      <c r="EC256">
        <v>1500.066666666667</v>
      </c>
      <c r="ED256">
        <v>0.9730103333333333</v>
      </c>
      <c r="EE256">
        <v>0.0269895</v>
      </c>
      <c r="EF256">
        <v>0</v>
      </c>
      <c r="EG256">
        <v>840.4836666666666</v>
      </c>
      <c r="EH256">
        <v>5.00097</v>
      </c>
      <c r="EI256">
        <v>12481.03333333333</v>
      </c>
      <c r="EJ256">
        <v>12492.2</v>
      </c>
      <c r="EK256">
        <v>37.187</v>
      </c>
      <c r="EL256">
        <v>38.687</v>
      </c>
      <c r="EM256">
        <v>37.625</v>
      </c>
      <c r="EN256">
        <v>38.375</v>
      </c>
      <c r="EO256">
        <v>38.062</v>
      </c>
      <c r="EP256">
        <v>1454.716666666666</v>
      </c>
      <c r="EQ256">
        <v>40.35</v>
      </c>
      <c r="ER256">
        <v>0</v>
      </c>
      <c r="ES256">
        <v>655.7999999523163</v>
      </c>
      <c r="ET256">
        <v>0</v>
      </c>
      <c r="EU256">
        <v>838.3187999999999</v>
      </c>
      <c r="EV256">
        <v>20.42000002365803</v>
      </c>
      <c r="EW256">
        <v>291.9846159115523</v>
      </c>
      <c r="EX256">
        <v>12448.036</v>
      </c>
      <c r="EY256">
        <v>15</v>
      </c>
      <c r="EZ256">
        <v>1651864261.1</v>
      </c>
      <c r="FA256" t="s">
        <v>419</v>
      </c>
      <c r="FB256">
        <v>1651864241.6</v>
      </c>
      <c r="FC256">
        <v>1651864261.1</v>
      </c>
      <c r="FD256">
        <v>7</v>
      </c>
      <c r="FE256">
        <v>0.438</v>
      </c>
      <c r="FF256">
        <v>0.002</v>
      </c>
      <c r="FG256">
        <v>-0.988</v>
      </c>
      <c r="FH256">
        <v>-0.066</v>
      </c>
      <c r="FI256">
        <v>400</v>
      </c>
      <c r="FJ256">
        <v>11</v>
      </c>
      <c r="FK256">
        <v>0.05</v>
      </c>
      <c r="FL256">
        <v>0.02</v>
      </c>
      <c r="FM256">
        <v>19.396765</v>
      </c>
      <c r="FN256">
        <v>14.51053733583489</v>
      </c>
      <c r="FO256">
        <v>1.398031836288072</v>
      </c>
      <c r="FP256">
        <v>-1</v>
      </c>
      <c r="FQ256">
        <v>4.2768825</v>
      </c>
      <c r="FR256">
        <v>0.1034269418386371</v>
      </c>
      <c r="FS256">
        <v>0.01004333255199691</v>
      </c>
      <c r="FT256">
        <v>-1</v>
      </c>
      <c r="FU256">
        <v>0</v>
      </c>
      <c r="FV256">
        <v>0</v>
      </c>
      <c r="FW256">
        <v>0</v>
      </c>
      <c r="FX256">
        <v>-1</v>
      </c>
      <c r="FY256">
        <v>0</v>
      </c>
      <c r="FZ256">
        <v>0</v>
      </c>
      <c r="GA256" t="s">
        <v>420</v>
      </c>
      <c r="GB256">
        <v>2.98045</v>
      </c>
      <c r="GC256">
        <v>2.70618</v>
      </c>
      <c r="GD256">
        <v>0.0175015</v>
      </c>
      <c r="GE256">
        <v>0.0114783</v>
      </c>
      <c r="GF256">
        <v>0.0878273</v>
      </c>
      <c r="GG256">
        <v>0.07151</v>
      </c>
      <c r="GH256">
        <v>31006.5</v>
      </c>
      <c r="GI256">
        <v>31263.9</v>
      </c>
      <c r="GJ256">
        <v>29344.4</v>
      </c>
      <c r="GK256">
        <v>29257.6</v>
      </c>
      <c r="GL256">
        <v>35441.7</v>
      </c>
      <c r="GM256">
        <v>36178</v>
      </c>
      <c r="GN256">
        <v>41303.3</v>
      </c>
      <c r="GO256">
        <v>41759.7</v>
      </c>
      <c r="GP256">
        <v>1.95527</v>
      </c>
      <c r="GQ256">
        <v>1.84848</v>
      </c>
      <c r="GR256">
        <v>-0.0195689</v>
      </c>
      <c r="GS256">
        <v>0</v>
      </c>
      <c r="GT256">
        <v>25.3199</v>
      </c>
      <c r="GU256">
        <v>999.9</v>
      </c>
      <c r="GV256">
        <v>31.5</v>
      </c>
      <c r="GW256">
        <v>34.3</v>
      </c>
      <c r="GX256">
        <v>19.0292</v>
      </c>
      <c r="GY256">
        <v>61.9775</v>
      </c>
      <c r="GZ256">
        <v>35.2845</v>
      </c>
      <c r="HA256">
        <v>1</v>
      </c>
      <c r="HB256">
        <v>0.107993</v>
      </c>
      <c r="HC256">
        <v>2.26056</v>
      </c>
      <c r="HD256">
        <v>20.319</v>
      </c>
      <c r="HE256">
        <v>5.21759</v>
      </c>
      <c r="HF256">
        <v>12.0099</v>
      </c>
      <c r="HG256">
        <v>4.988</v>
      </c>
      <c r="HH256">
        <v>3.28865</v>
      </c>
      <c r="HI256">
        <v>1001.3</v>
      </c>
      <c r="HJ256">
        <v>9561.4</v>
      </c>
      <c r="HK256">
        <v>5139.4</v>
      </c>
      <c r="HL256">
        <v>24.9</v>
      </c>
      <c r="HM256">
        <v>1.86752</v>
      </c>
      <c r="HN256">
        <v>1.86646</v>
      </c>
      <c r="HO256">
        <v>1.866</v>
      </c>
      <c r="HP256">
        <v>1.86584</v>
      </c>
      <c r="HQ256">
        <v>1.86769</v>
      </c>
      <c r="HR256">
        <v>1.87022</v>
      </c>
      <c r="HS256">
        <v>1.8689</v>
      </c>
      <c r="HT256">
        <v>1.87027</v>
      </c>
      <c r="HU256">
        <v>0</v>
      </c>
      <c r="HV256">
        <v>0</v>
      </c>
      <c r="HW256">
        <v>0</v>
      </c>
      <c r="HX256">
        <v>0</v>
      </c>
      <c r="HY256" t="s">
        <v>421</v>
      </c>
      <c r="HZ256" t="s">
        <v>422</v>
      </c>
      <c r="IA256" t="s">
        <v>423</v>
      </c>
      <c r="IB256" t="s">
        <v>423</v>
      </c>
      <c r="IC256" t="s">
        <v>423</v>
      </c>
      <c r="ID256" t="s">
        <v>423</v>
      </c>
      <c r="IE256">
        <v>0</v>
      </c>
      <c r="IF256">
        <v>100</v>
      </c>
      <c r="IG256">
        <v>100</v>
      </c>
      <c r="IH256">
        <v>-0.351</v>
      </c>
      <c r="II256">
        <v>0.0212</v>
      </c>
      <c r="IJ256">
        <v>-0.2164499368582429</v>
      </c>
      <c r="IK256">
        <v>-0.002077099775823331</v>
      </c>
      <c r="IL256">
        <v>4.593143279902166E-07</v>
      </c>
      <c r="IM256">
        <v>-1.865383991892071E-10</v>
      </c>
      <c r="IN256">
        <v>-0.06087574426827484</v>
      </c>
      <c r="IO256">
        <v>-0.01129461987421345</v>
      </c>
      <c r="IP256">
        <v>0.00116580895745559</v>
      </c>
      <c r="IQ256">
        <v>-1.679085872906199E-05</v>
      </c>
      <c r="IR256">
        <v>2</v>
      </c>
      <c r="IS256">
        <v>2290</v>
      </c>
      <c r="IT256">
        <v>0</v>
      </c>
      <c r="IU256">
        <v>32</v>
      </c>
      <c r="IV256">
        <v>10.6</v>
      </c>
      <c r="IW256">
        <v>10.3</v>
      </c>
      <c r="IX256">
        <v>0.20874</v>
      </c>
      <c r="IY256">
        <v>2.29492</v>
      </c>
      <c r="IZ256">
        <v>1.39648</v>
      </c>
      <c r="JA256">
        <v>2.35718</v>
      </c>
      <c r="JB256">
        <v>1.49536</v>
      </c>
      <c r="JC256">
        <v>2.33154</v>
      </c>
      <c r="JD256">
        <v>38.5014</v>
      </c>
      <c r="JE256">
        <v>24.035</v>
      </c>
      <c r="JF256">
        <v>18</v>
      </c>
      <c r="JG256">
        <v>511.168</v>
      </c>
      <c r="JH256">
        <v>428.09</v>
      </c>
      <c r="JI256">
        <v>22.2378</v>
      </c>
      <c r="JJ256">
        <v>28.6952</v>
      </c>
      <c r="JK256">
        <v>30</v>
      </c>
      <c r="JL256">
        <v>28.6618</v>
      </c>
      <c r="JM256">
        <v>28.5992</v>
      </c>
      <c r="JN256">
        <v>4.12515</v>
      </c>
      <c r="JO256">
        <v>26.5129</v>
      </c>
      <c r="JP256">
        <v>0</v>
      </c>
      <c r="JQ256">
        <v>22.2407</v>
      </c>
      <c r="JR256">
        <v>18.69</v>
      </c>
      <c r="JS256">
        <v>14.1432</v>
      </c>
      <c r="JT256">
        <v>100.305</v>
      </c>
      <c r="JU256">
        <v>100.226</v>
      </c>
    </row>
    <row r="257" spans="1:281">
      <c r="A257">
        <v>241</v>
      </c>
      <c r="B257">
        <v>1651864879.1</v>
      </c>
      <c r="C257">
        <v>658.5</v>
      </c>
      <c r="D257" t="s">
        <v>902</v>
      </c>
      <c r="E257" t="s">
        <v>903</v>
      </c>
      <c r="F257">
        <v>2</v>
      </c>
      <c r="G257" t="s">
        <v>413</v>
      </c>
      <c r="H257" t="s">
        <v>414</v>
      </c>
      <c r="I257">
        <v>1651864877.725</v>
      </c>
      <c r="J257">
        <f>(K257)/1000</f>
        <v>0</v>
      </c>
      <c r="K257">
        <f>IF(CZ257, AN257, AH257)</f>
        <v>0</v>
      </c>
      <c r="L257">
        <f>IF(CZ257, AI257, AG257)</f>
        <v>0</v>
      </c>
      <c r="M257">
        <f>DB257 - IF(AU257&gt;1, L257*CV257*100.0/(AW257*DP257), 0)</f>
        <v>0</v>
      </c>
      <c r="N257">
        <f>((T257-J257/2)*M257-L257)/(T257+J257/2)</f>
        <v>0</v>
      </c>
      <c r="O257">
        <f>N257*(DI257+DJ257)/1000.0</f>
        <v>0</v>
      </c>
      <c r="P257">
        <f>(DB257 - IF(AU257&gt;1, L257*CV257*100.0/(AW257*DP257), 0))*(DI257+DJ257)/1000.0</f>
        <v>0</v>
      </c>
      <c r="Q257">
        <f>2.0/((1/S257-1/R257)+SIGN(S257)*SQRT((1/S257-1/R257)*(1/S257-1/R257) + 4*CW257/((CW257+1)*(CW257+1))*(2*1/S257*1/R257-1/R257*1/R257)))</f>
        <v>0</v>
      </c>
      <c r="R257">
        <f>IF(LEFT(CX257,1)&lt;&gt;"0",IF(LEFT(CX257,1)="1",3.0,CY257),$D$5+$E$5*(DP257*DI257/($K$5*1000))+$F$5*(DP257*DI257/($K$5*1000))*MAX(MIN(CV257,$J$5),$I$5)*MAX(MIN(CV257,$J$5),$I$5)+$G$5*MAX(MIN(CV257,$J$5),$I$5)*(DP257*DI257/($K$5*1000))+$H$5*(DP257*DI257/($K$5*1000))*(DP257*DI257/($K$5*1000)))</f>
        <v>0</v>
      </c>
      <c r="S257">
        <f>J257*(1000-(1000*0.61365*exp(17.502*W257/(240.97+W257))/(DI257+DJ257)+DD257)/2)/(1000*0.61365*exp(17.502*W257/(240.97+W257))/(DI257+DJ257)-DD257)</f>
        <v>0</v>
      </c>
      <c r="T257">
        <f>1/((CW257+1)/(Q257/1.6)+1/(R257/1.37)) + CW257/((CW257+1)/(Q257/1.6) + CW257/(R257/1.37))</f>
        <v>0</v>
      </c>
      <c r="U257">
        <f>(CR257*CU257)</f>
        <v>0</v>
      </c>
      <c r="V257">
        <f>(DK257+(U257+2*0.95*5.67E-8*(((DK257+$B$7)+273)^4-(DK257+273)^4)-44100*J257)/(1.84*29.3*R257+8*0.95*5.67E-8*(DK257+273)^3))</f>
        <v>0</v>
      </c>
      <c r="W257">
        <f>($C$7*DL257+$D$7*DM257+$E$7*V257)</f>
        <v>0</v>
      </c>
      <c r="X257">
        <f>0.61365*exp(17.502*W257/(240.97+W257))</f>
        <v>0</v>
      </c>
      <c r="Y257">
        <f>(Z257/AA257*100)</f>
        <v>0</v>
      </c>
      <c r="Z257">
        <f>DD257*(DI257+DJ257)/1000</f>
        <v>0</v>
      </c>
      <c r="AA257">
        <f>0.61365*exp(17.502*DK257/(240.97+DK257))</f>
        <v>0</v>
      </c>
      <c r="AB257">
        <f>(X257-DD257*(DI257+DJ257)/1000)</f>
        <v>0</v>
      </c>
      <c r="AC257">
        <f>(-J257*44100)</f>
        <v>0</v>
      </c>
      <c r="AD257">
        <f>2*29.3*R257*0.92*(DK257-W257)</f>
        <v>0</v>
      </c>
      <c r="AE257">
        <f>2*0.95*5.67E-8*(((DK257+$B$7)+273)^4-(W257+273)^4)</f>
        <v>0</v>
      </c>
      <c r="AF257">
        <f>U257+AE257+AC257+AD257</f>
        <v>0</v>
      </c>
      <c r="AG257">
        <f>DH257*AU257*(DC257-DB257*(1000-AU257*DE257)/(1000-AU257*DD257))/(100*CV257)</f>
        <v>0</v>
      </c>
      <c r="AH257">
        <f>1000*DH257*AU257*(DD257-DE257)/(100*CV257*(1000-AU257*DD257))</f>
        <v>0</v>
      </c>
      <c r="AI257">
        <f>(AJ257 - AK257 - DI257*1E3/(8.314*(DK257+273.15)) * AM257/DH257 * AL257) * DH257/(100*CV257) * (1000 - DE257)/1000</f>
        <v>0</v>
      </c>
      <c r="AJ257">
        <v>46.77477409080871</v>
      </c>
      <c r="AK257">
        <v>61.93979757575755</v>
      </c>
      <c r="AL257">
        <v>-3.205899093826908</v>
      </c>
      <c r="AM257">
        <v>66.38192812717227</v>
      </c>
      <c r="AN257">
        <f>(AP257 - AO257 + DI257*1E3/(8.314*(DK257+273.15)) * AR257/DH257 * AQ257) * DH257/(100*CV257) * 1000/(1000 - AP257)</f>
        <v>0</v>
      </c>
      <c r="AO257">
        <v>14.10819739316176</v>
      </c>
      <c r="AP257">
        <v>18.40304205882353</v>
      </c>
      <c r="AQ257">
        <v>5.701862471716932E-05</v>
      </c>
      <c r="AR257">
        <v>80.47224507511959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MAX(0,($B$13+$C$13*DP257)/(1+$D$13*DP257)*DI257/(DK257+273)*$E$13)</f>
        <v>0</v>
      </c>
      <c r="AX257" t="s">
        <v>417</v>
      </c>
      <c r="AY257" t="s">
        <v>417</v>
      </c>
      <c r="AZ257">
        <v>0</v>
      </c>
      <c r="BA257">
        <v>0</v>
      </c>
      <c r="BB257">
        <f>1-AZ257/BA257</f>
        <v>0</v>
      </c>
      <c r="BC257">
        <v>0</v>
      </c>
      <c r="BD257" t="s">
        <v>417</v>
      </c>
      <c r="BE257" t="s">
        <v>417</v>
      </c>
      <c r="BF257">
        <v>0</v>
      </c>
      <c r="BG257">
        <v>0</v>
      </c>
      <c r="BH257">
        <f>1-BF257/BG257</f>
        <v>0</v>
      </c>
      <c r="BI257">
        <v>0.5</v>
      </c>
      <c r="BJ257">
        <f>CS257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417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BZ257">
        <v>1248</v>
      </c>
      <c r="CA257">
        <v>300</v>
      </c>
      <c r="CB257">
        <v>300</v>
      </c>
      <c r="CC257">
        <v>300</v>
      </c>
      <c r="CD257">
        <v>10442</v>
      </c>
      <c r="CE257">
        <v>1293.69</v>
      </c>
      <c r="CF257">
        <v>-0.00735246</v>
      </c>
      <c r="CG257">
        <v>0.5</v>
      </c>
      <c r="CH257" t="s">
        <v>417</v>
      </c>
      <c r="CI257" t="s">
        <v>417</v>
      </c>
      <c r="CJ257" t="s">
        <v>417</v>
      </c>
      <c r="CK257" t="s">
        <v>417</v>
      </c>
      <c r="CL257" t="s">
        <v>417</v>
      </c>
      <c r="CM257" t="s">
        <v>417</v>
      </c>
      <c r="CN257" t="s">
        <v>417</v>
      </c>
      <c r="CO257" t="s">
        <v>417</v>
      </c>
      <c r="CP257" t="s">
        <v>417</v>
      </c>
      <c r="CQ257" t="s">
        <v>417</v>
      </c>
      <c r="CR257">
        <f>$B$11*DQ257+$C$11*DR257+$F$11*EC257*(1-EF257)</f>
        <v>0</v>
      </c>
      <c r="CS257">
        <f>CR257*CT257</f>
        <v>0</v>
      </c>
      <c r="CT257">
        <f>($B$11*$D$9+$C$11*$D$9+$F$11*((EP257+EH257)/MAX(EP257+EH257+EQ257, 0.1)*$I$9+EQ257/MAX(EP257+EH257+EQ257, 0.1)*$J$9))/($B$11+$C$11+$F$11)</f>
        <v>0</v>
      </c>
      <c r="CU257">
        <f>($B$11*$K$9+$C$11*$K$9+$F$11*((EP257+EH257)/MAX(EP257+EH257+EQ257, 0.1)*$P$9+EQ257/MAX(EP257+EH257+EQ257, 0.1)*$Q$9))/($B$11+$C$11+$F$11)</f>
        <v>0</v>
      </c>
      <c r="CV257">
        <v>6</v>
      </c>
      <c r="CW257">
        <v>0.5</v>
      </c>
      <c r="CX257" t="s">
        <v>418</v>
      </c>
      <c r="CY257">
        <v>2</v>
      </c>
      <c r="CZ257" t="b">
        <v>1</v>
      </c>
      <c r="DA257">
        <v>1651864877.725</v>
      </c>
      <c r="DB257">
        <v>63.5532</v>
      </c>
      <c r="DC257">
        <v>41.439475</v>
      </c>
      <c r="DD257">
        <v>18.40275</v>
      </c>
      <c r="DE257">
        <v>14.10575</v>
      </c>
      <c r="DF257">
        <v>63.9005</v>
      </c>
      <c r="DG257">
        <v>18.38165</v>
      </c>
      <c r="DH257">
        <v>500.0185</v>
      </c>
      <c r="DI257">
        <v>89.92865</v>
      </c>
      <c r="DJ257">
        <v>0.0999876</v>
      </c>
      <c r="DK257">
        <v>25.6232</v>
      </c>
      <c r="DL257">
        <v>24.9965</v>
      </c>
      <c r="DM257">
        <v>999.9</v>
      </c>
      <c r="DN257">
        <v>0</v>
      </c>
      <c r="DO257">
        <v>0</v>
      </c>
      <c r="DP257">
        <v>10002.8</v>
      </c>
      <c r="DQ257">
        <v>0</v>
      </c>
      <c r="DR257">
        <v>3.23193</v>
      </c>
      <c r="DS257">
        <v>22.113725</v>
      </c>
      <c r="DT257">
        <v>64.74465000000001</v>
      </c>
      <c r="DU257">
        <v>42.03232499999999</v>
      </c>
      <c r="DV257">
        <v>4.297015</v>
      </c>
      <c r="DW257">
        <v>41.439475</v>
      </c>
      <c r="DX257">
        <v>14.10575</v>
      </c>
      <c r="DY257">
        <v>1.6549325</v>
      </c>
      <c r="DZ257">
        <v>1.2685075</v>
      </c>
      <c r="EA257">
        <v>14.480075</v>
      </c>
      <c r="EB257">
        <v>10.43085</v>
      </c>
      <c r="EC257">
        <v>1500.025</v>
      </c>
      <c r="ED257">
        <v>0.9730044999999999</v>
      </c>
      <c r="EE257">
        <v>0.026995475</v>
      </c>
      <c r="EF257">
        <v>0</v>
      </c>
      <c r="EG257">
        <v>841.152</v>
      </c>
      <c r="EH257">
        <v>5.00097</v>
      </c>
      <c r="EI257">
        <v>12488.95</v>
      </c>
      <c r="EJ257">
        <v>12491.85</v>
      </c>
      <c r="EK257">
        <v>37.187</v>
      </c>
      <c r="EL257">
        <v>38.687</v>
      </c>
      <c r="EM257">
        <v>37.60925</v>
      </c>
      <c r="EN257">
        <v>38.375</v>
      </c>
      <c r="EO257">
        <v>38.062</v>
      </c>
      <c r="EP257">
        <v>1454.6675</v>
      </c>
      <c r="EQ257">
        <v>40.3575</v>
      </c>
      <c r="ER257">
        <v>0</v>
      </c>
      <c r="ES257">
        <v>658.2000000476837</v>
      </c>
      <c r="ET257">
        <v>0</v>
      </c>
      <c r="EU257">
        <v>839.20136</v>
      </c>
      <c r="EV257">
        <v>21.28384611571874</v>
      </c>
      <c r="EW257">
        <v>302.799999638627</v>
      </c>
      <c r="EX257">
        <v>12459.836</v>
      </c>
      <c r="EY257">
        <v>15</v>
      </c>
      <c r="EZ257">
        <v>1651864261.1</v>
      </c>
      <c r="FA257" t="s">
        <v>419</v>
      </c>
      <c r="FB257">
        <v>1651864241.6</v>
      </c>
      <c r="FC257">
        <v>1651864261.1</v>
      </c>
      <c r="FD257">
        <v>7</v>
      </c>
      <c r="FE257">
        <v>0.438</v>
      </c>
      <c r="FF257">
        <v>0.002</v>
      </c>
      <c r="FG257">
        <v>-0.988</v>
      </c>
      <c r="FH257">
        <v>-0.066</v>
      </c>
      <c r="FI257">
        <v>400</v>
      </c>
      <c r="FJ257">
        <v>11</v>
      </c>
      <c r="FK257">
        <v>0.05</v>
      </c>
      <c r="FL257">
        <v>0.02</v>
      </c>
      <c r="FM257">
        <v>19.94632195121951</v>
      </c>
      <c r="FN257">
        <v>14.27998954703835</v>
      </c>
      <c r="FO257">
        <v>1.409676488835889</v>
      </c>
      <c r="FP257">
        <v>-1</v>
      </c>
      <c r="FQ257">
        <v>4.280665609756097</v>
      </c>
      <c r="FR257">
        <v>0.1079055052264845</v>
      </c>
      <c r="FS257">
        <v>0.01070008731415949</v>
      </c>
      <c r="FT257">
        <v>-1</v>
      </c>
      <c r="FU257">
        <v>0</v>
      </c>
      <c r="FV257">
        <v>0</v>
      </c>
      <c r="FW257">
        <v>0</v>
      </c>
      <c r="FX257">
        <v>-1</v>
      </c>
      <c r="FY257">
        <v>0</v>
      </c>
      <c r="FZ257">
        <v>0</v>
      </c>
      <c r="GA257" t="s">
        <v>420</v>
      </c>
      <c r="GB257">
        <v>2.98048</v>
      </c>
      <c r="GC257">
        <v>2.70615</v>
      </c>
      <c r="GD257">
        <v>0.0158394</v>
      </c>
      <c r="GE257">
        <v>0.00971171</v>
      </c>
      <c r="GF257">
        <v>0.0878283</v>
      </c>
      <c r="GG257">
        <v>0.0715039</v>
      </c>
      <c r="GH257">
        <v>31059.1</v>
      </c>
      <c r="GI257">
        <v>31320</v>
      </c>
      <c r="GJ257">
        <v>29344.5</v>
      </c>
      <c r="GK257">
        <v>29257.9</v>
      </c>
      <c r="GL257">
        <v>35441.7</v>
      </c>
      <c r="GM257">
        <v>36178.3</v>
      </c>
      <c r="GN257">
        <v>41303.4</v>
      </c>
      <c r="GO257">
        <v>41759.8</v>
      </c>
      <c r="GP257">
        <v>1.9552</v>
      </c>
      <c r="GQ257">
        <v>1.8482</v>
      </c>
      <c r="GR257">
        <v>-0.0200495</v>
      </c>
      <c r="GS257">
        <v>0</v>
      </c>
      <c r="GT257">
        <v>25.3188</v>
      </c>
      <c r="GU257">
        <v>999.9</v>
      </c>
      <c r="GV257">
        <v>31.5</v>
      </c>
      <c r="GW257">
        <v>34.3</v>
      </c>
      <c r="GX257">
        <v>19.031</v>
      </c>
      <c r="GY257">
        <v>62.2275</v>
      </c>
      <c r="GZ257">
        <v>34.8718</v>
      </c>
      <c r="HA257">
        <v>1</v>
      </c>
      <c r="HB257">
        <v>0.107993</v>
      </c>
      <c r="HC257">
        <v>2.26238</v>
      </c>
      <c r="HD257">
        <v>20.3189</v>
      </c>
      <c r="HE257">
        <v>5.21759</v>
      </c>
      <c r="HF257">
        <v>12.0099</v>
      </c>
      <c r="HG257">
        <v>4.98785</v>
      </c>
      <c r="HH257">
        <v>3.28863</v>
      </c>
      <c r="HI257">
        <v>1001.5</v>
      </c>
      <c r="HJ257">
        <v>9562.299999999999</v>
      </c>
      <c r="HK257">
        <v>5139.4</v>
      </c>
      <c r="HL257">
        <v>24.9</v>
      </c>
      <c r="HM257">
        <v>1.86752</v>
      </c>
      <c r="HN257">
        <v>1.86646</v>
      </c>
      <c r="HO257">
        <v>1.866</v>
      </c>
      <c r="HP257">
        <v>1.86584</v>
      </c>
      <c r="HQ257">
        <v>1.86769</v>
      </c>
      <c r="HR257">
        <v>1.87022</v>
      </c>
      <c r="HS257">
        <v>1.8689</v>
      </c>
      <c r="HT257">
        <v>1.87027</v>
      </c>
      <c r="HU257">
        <v>0</v>
      </c>
      <c r="HV257">
        <v>0</v>
      </c>
      <c r="HW257">
        <v>0</v>
      </c>
      <c r="HX257">
        <v>0</v>
      </c>
      <c r="HY257" t="s">
        <v>421</v>
      </c>
      <c r="HZ257" t="s">
        <v>422</v>
      </c>
      <c r="IA257" t="s">
        <v>423</v>
      </c>
      <c r="IB257" t="s">
        <v>423</v>
      </c>
      <c r="IC257" t="s">
        <v>423</v>
      </c>
      <c r="ID257" t="s">
        <v>423</v>
      </c>
      <c r="IE257">
        <v>0</v>
      </c>
      <c r="IF257">
        <v>100</v>
      </c>
      <c r="IG257">
        <v>100</v>
      </c>
      <c r="IH257">
        <v>-0.339</v>
      </c>
      <c r="II257">
        <v>0.0211</v>
      </c>
      <c r="IJ257">
        <v>-0.2164499368582429</v>
      </c>
      <c r="IK257">
        <v>-0.002077099775823331</v>
      </c>
      <c r="IL257">
        <v>4.593143279902166E-07</v>
      </c>
      <c r="IM257">
        <v>-1.865383991892071E-10</v>
      </c>
      <c r="IN257">
        <v>-0.06087574426827484</v>
      </c>
      <c r="IO257">
        <v>-0.01129461987421345</v>
      </c>
      <c r="IP257">
        <v>0.00116580895745559</v>
      </c>
      <c r="IQ257">
        <v>-1.679085872906199E-05</v>
      </c>
      <c r="IR257">
        <v>2</v>
      </c>
      <c r="IS257">
        <v>2290</v>
      </c>
      <c r="IT257">
        <v>0</v>
      </c>
      <c r="IU257">
        <v>32</v>
      </c>
      <c r="IV257">
        <v>10.6</v>
      </c>
      <c r="IW257">
        <v>10.3</v>
      </c>
      <c r="IX257">
        <v>0.200195</v>
      </c>
      <c r="IY257">
        <v>2.323</v>
      </c>
      <c r="IZ257">
        <v>1.39648</v>
      </c>
      <c r="JA257">
        <v>2.35596</v>
      </c>
      <c r="JB257">
        <v>1.49536</v>
      </c>
      <c r="JC257">
        <v>2.35474</v>
      </c>
      <c r="JD257">
        <v>38.5014</v>
      </c>
      <c r="JE257">
        <v>24.035</v>
      </c>
      <c r="JF257">
        <v>18</v>
      </c>
      <c r="JG257">
        <v>511.119</v>
      </c>
      <c r="JH257">
        <v>427.925</v>
      </c>
      <c r="JI257">
        <v>22.2405</v>
      </c>
      <c r="JJ257">
        <v>28.6952</v>
      </c>
      <c r="JK257">
        <v>30</v>
      </c>
      <c r="JL257">
        <v>28.6618</v>
      </c>
      <c r="JM257">
        <v>28.5992</v>
      </c>
      <c r="JN257">
        <v>3.83528</v>
      </c>
      <c r="JO257">
        <v>26.5129</v>
      </c>
      <c r="JP257">
        <v>0</v>
      </c>
      <c r="JQ257">
        <v>22.2437</v>
      </c>
      <c r="JR257">
        <v>12.0103</v>
      </c>
      <c r="JS257">
        <v>14.1432</v>
      </c>
      <c r="JT257">
        <v>100.305</v>
      </c>
      <c r="JU257">
        <v>100.227</v>
      </c>
    </row>
    <row r="258" spans="1:281">
      <c r="A258">
        <v>242</v>
      </c>
      <c r="B258">
        <v>1651864880.6</v>
      </c>
      <c r="C258">
        <v>660</v>
      </c>
      <c r="D258" t="s">
        <v>904</v>
      </c>
      <c r="E258" t="s">
        <v>905</v>
      </c>
      <c r="F258">
        <v>2</v>
      </c>
      <c r="G258" t="s">
        <v>413</v>
      </c>
      <c r="H258" t="s">
        <v>414</v>
      </c>
      <c r="I258">
        <v>1651864879.1</v>
      </c>
      <c r="J258">
        <f>(K258)/1000</f>
        <v>0</v>
      </c>
      <c r="K258">
        <f>IF(CZ258, AN258, AH258)</f>
        <v>0</v>
      </c>
      <c r="L258">
        <f>IF(CZ258, AI258, AG258)</f>
        <v>0</v>
      </c>
      <c r="M258">
        <f>DB258 - IF(AU258&gt;1, L258*CV258*100.0/(AW258*DP258), 0)</f>
        <v>0</v>
      </c>
      <c r="N258">
        <f>((T258-J258/2)*M258-L258)/(T258+J258/2)</f>
        <v>0</v>
      </c>
      <c r="O258">
        <f>N258*(DI258+DJ258)/1000.0</f>
        <v>0</v>
      </c>
      <c r="P258">
        <f>(DB258 - IF(AU258&gt;1, L258*CV258*100.0/(AW258*DP258), 0))*(DI258+DJ258)/1000.0</f>
        <v>0</v>
      </c>
      <c r="Q258">
        <f>2.0/((1/S258-1/R258)+SIGN(S258)*SQRT((1/S258-1/R258)*(1/S258-1/R258) + 4*CW258/((CW258+1)*(CW258+1))*(2*1/S258*1/R258-1/R258*1/R258)))</f>
        <v>0</v>
      </c>
      <c r="R258">
        <f>IF(LEFT(CX258,1)&lt;&gt;"0",IF(LEFT(CX258,1)="1",3.0,CY258),$D$5+$E$5*(DP258*DI258/($K$5*1000))+$F$5*(DP258*DI258/($K$5*1000))*MAX(MIN(CV258,$J$5),$I$5)*MAX(MIN(CV258,$J$5),$I$5)+$G$5*MAX(MIN(CV258,$J$5),$I$5)*(DP258*DI258/($K$5*1000))+$H$5*(DP258*DI258/($K$5*1000))*(DP258*DI258/($K$5*1000)))</f>
        <v>0</v>
      </c>
      <c r="S258">
        <f>J258*(1000-(1000*0.61365*exp(17.502*W258/(240.97+W258))/(DI258+DJ258)+DD258)/2)/(1000*0.61365*exp(17.502*W258/(240.97+W258))/(DI258+DJ258)-DD258)</f>
        <v>0</v>
      </c>
      <c r="T258">
        <f>1/((CW258+1)/(Q258/1.6)+1/(R258/1.37)) + CW258/((CW258+1)/(Q258/1.6) + CW258/(R258/1.37))</f>
        <v>0</v>
      </c>
      <c r="U258">
        <f>(CR258*CU258)</f>
        <v>0</v>
      </c>
      <c r="V258">
        <f>(DK258+(U258+2*0.95*5.67E-8*(((DK258+$B$7)+273)^4-(DK258+273)^4)-44100*J258)/(1.84*29.3*R258+8*0.95*5.67E-8*(DK258+273)^3))</f>
        <v>0</v>
      </c>
      <c r="W258">
        <f>($C$7*DL258+$D$7*DM258+$E$7*V258)</f>
        <v>0</v>
      </c>
      <c r="X258">
        <f>0.61365*exp(17.502*W258/(240.97+W258))</f>
        <v>0</v>
      </c>
      <c r="Y258">
        <f>(Z258/AA258*100)</f>
        <v>0</v>
      </c>
      <c r="Z258">
        <f>DD258*(DI258+DJ258)/1000</f>
        <v>0</v>
      </c>
      <c r="AA258">
        <f>0.61365*exp(17.502*DK258/(240.97+DK258))</f>
        <v>0</v>
      </c>
      <c r="AB258">
        <f>(X258-DD258*(DI258+DJ258)/1000)</f>
        <v>0</v>
      </c>
      <c r="AC258">
        <f>(-J258*44100)</f>
        <v>0</v>
      </c>
      <c r="AD258">
        <f>2*29.3*R258*0.92*(DK258-W258)</f>
        <v>0</v>
      </c>
      <c r="AE258">
        <f>2*0.95*5.67E-8*(((DK258+$B$7)+273)^4-(W258+273)^4)</f>
        <v>0</v>
      </c>
      <c r="AF258">
        <f>U258+AE258+AC258+AD258</f>
        <v>0</v>
      </c>
      <c r="AG258">
        <f>DH258*AU258*(DC258-DB258*(1000-AU258*DE258)/(1000-AU258*DD258))/(100*CV258)</f>
        <v>0</v>
      </c>
      <c r="AH258">
        <f>1000*DH258*AU258*(DD258-DE258)/(100*CV258*(1000-AU258*DD258))</f>
        <v>0</v>
      </c>
      <c r="AI258">
        <f>(AJ258 - AK258 - DI258*1E3/(8.314*(DK258+273.15)) * AM258/DH258 * AL258) * DH258/(100*CV258) * (1000 - DE258)/1000</f>
        <v>0</v>
      </c>
      <c r="AJ258">
        <v>41.67598354658956</v>
      </c>
      <c r="AK258">
        <v>57.16103636363638</v>
      </c>
      <c r="AL258">
        <v>-3.196273318693176</v>
      </c>
      <c r="AM258">
        <v>66.38192812717227</v>
      </c>
      <c r="AN258">
        <f>(AP258 - AO258 + DI258*1E3/(8.314*(DK258+273.15)) * AR258/DH258 * AQ258) * DH258/(100*CV258) * 1000/(1000 - AP258)</f>
        <v>0</v>
      </c>
      <c r="AO258">
        <v>14.10695765742058</v>
      </c>
      <c r="AP258">
        <v>18.40368970588235</v>
      </c>
      <c r="AQ258">
        <v>3.742375299696193E-05</v>
      </c>
      <c r="AR258">
        <v>80.47224507511959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MAX(0,($B$13+$C$13*DP258)/(1+$D$13*DP258)*DI258/(DK258+273)*$E$13)</f>
        <v>0</v>
      </c>
      <c r="AX258" t="s">
        <v>417</v>
      </c>
      <c r="AY258" t="s">
        <v>417</v>
      </c>
      <c r="AZ258">
        <v>0</v>
      </c>
      <c r="BA258">
        <v>0</v>
      </c>
      <c r="BB258">
        <f>1-AZ258/BA258</f>
        <v>0</v>
      </c>
      <c r="BC258">
        <v>0</v>
      </c>
      <c r="BD258" t="s">
        <v>417</v>
      </c>
      <c r="BE258" t="s">
        <v>417</v>
      </c>
      <c r="BF258">
        <v>0</v>
      </c>
      <c r="BG258">
        <v>0</v>
      </c>
      <c r="BH258">
        <f>1-BF258/BG258</f>
        <v>0</v>
      </c>
      <c r="BI258">
        <v>0.5</v>
      </c>
      <c r="BJ258">
        <f>CS258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417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BZ258">
        <v>1248</v>
      </c>
      <c r="CA258">
        <v>300</v>
      </c>
      <c r="CB258">
        <v>300</v>
      </c>
      <c r="CC258">
        <v>300</v>
      </c>
      <c r="CD258">
        <v>10442</v>
      </c>
      <c r="CE258">
        <v>1293.69</v>
      </c>
      <c r="CF258">
        <v>-0.00735246</v>
      </c>
      <c r="CG258">
        <v>0.5</v>
      </c>
      <c r="CH258" t="s">
        <v>417</v>
      </c>
      <c r="CI258" t="s">
        <v>417</v>
      </c>
      <c r="CJ258" t="s">
        <v>417</v>
      </c>
      <c r="CK258" t="s">
        <v>417</v>
      </c>
      <c r="CL258" t="s">
        <v>417</v>
      </c>
      <c r="CM258" t="s">
        <v>417</v>
      </c>
      <c r="CN258" t="s">
        <v>417</v>
      </c>
      <c r="CO258" t="s">
        <v>417</v>
      </c>
      <c r="CP258" t="s">
        <v>417</v>
      </c>
      <c r="CQ258" t="s">
        <v>417</v>
      </c>
      <c r="CR258">
        <f>$B$11*DQ258+$C$11*DR258+$F$11*EC258*(1-EF258)</f>
        <v>0</v>
      </c>
      <c r="CS258">
        <f>CR258*CT258</f>
        <v>0</v>
      </c>
      <c r="CT258">
        <f>($B$11*$D$9+$C$11*$D$9+$F$11*((EP258+EH258)/MAX(EP258+EH258+EQ258, 0.1)*$I$9+EQ258/MAX(EP258+EH258+EQ258, 0.1)*$J$9))/($B$11+$C$11+$F$11)</f>
        <v>0</v>
      </c>
      <c r="CU258">
        <f>($B$11*$K$9+$C$11*$K$9+$F$11*((EP258+EH258)/MAX(EP258+EH258+EQ258, 0.1)*$P$9+EQ258/MAX(EP258+EH258+EQ258, 0.1)*$Q$9))/($B$11+$C$11+$F$11)</f>
        <v>0</v>
      </c>
      <c r="CV258">
        <v>6</v>
      </c>
      <c r="CW258">
        <v>0.5</v>
      </c>
      <c r="CX258" t="s">
        <v>418</v>
      </c>
      <c r="CY258">
        <v>2</v>
      </c>
      <c r="CZ258" t="b">
        <v>1</v>
      </c>
      <c r="DA258">
        <v>1651864879.1</v>
      </c>
      <c r="DB258">
        <v>59.2389</v>
      </c>
      <c r="DC258">
        <v>36.8248</v>
      </c>
      <c r="DD258">
        <v>18.403625</v>
      </c>
      <c r="DE258">
        <v>14.104925</v>
      </c>
      <c r="DF258">
        <v>59.577475</v>
      </c>
      <c r="DG258">
        <v>18.3825</v>
      </c>
      <c r="DH258">
        <v>500.0415</v>
      </c>
      <c r="DI258">
        <v>89.92789999999999</v>
      </c>
      <c r="DJ258">
        <v>0.1000289</v>
      </c>
      <c r="DK258">
        <v>25.62255</v>
      </c>
      <c r="DL258">
        <v>24.9921</v>
      </c>
      <c r="DM258">
        <v>999.9</v>
      </c>
      <c r="DN258">
        <v>0</v>
      </c>
      <c r="DO258">
        <v>0</v>
      </c>
      <c r="DP258">
        <v>10000.77</v>
      </c>
      <c r="DQ258">
        <v>0</v>
      </c>
      <c r="DR258">
        <v>3.23193</v>
      </c>
      <c r="DS258">
        <v>22.4141</v>
      </c>
      <c r="DT258">
        <v>60.34955</v>
      </c>
      <c r="DU258">
        <v>37.351625</v>
      </c>
      <c r="DV258">
        <v>4.2987075</v>
      </c>
      <c r="DW258">
        <v>36.8248</v>
      </c>
      <c r="DX258">
        <v>14.104925</v>
      </c>
      <c r="DY258">
        <v>1.6549975</v>
      </c>
      <c r="DZ258">
        <v>1.268425</v>
      </c>
      <c r="EA258">
        <v>14.480675</v>
      </c>
      <c r="EB258">
        <v>10.42985</v>
      </c>
      <c r="EC258">
        <v>1500.0225</v>
      </c>
      <c r="ED258">
        <v>0.97300325</v>
      </c>
      <c r="EE258">
        <v>0.026996825</v>
      </c>
      <c r="EF258">
        <v>0</v>
      </c>
      <c r="EG258">
        <v>841.9704999999999</v>
      </c>
      <c r="EH258">
        <v>5.00097</v>
      </c>
      <c r="EI258">
        <v>12496.25</v>
      </c>
      <c r="EJ258">
        <v>12491.8</v>
      </c>
      <c r="EK258">
        <v>37.187</v>
      </c>
      <c r="EL258">
        <v>38.687</v>
      </c>
      <c r="EM258">
        <v>37.57774999999999</v>
      </c>
      <c r="EN258">
        <v>38.375</v>
      </c>
      <c r="EO258">
        <v>38.062</v>
      </c>
      <c r="EP258">
        <v>1454.6625</v>
      </c>
      <c r="EQ258">
        <v>40.36</v>
      </c>
      <c r="ER258">
        <v>0</v>
      </c>
      <c r="ES258">
        <v>659.4000000953674</v>
      </c>
      <c r="ET258">
        <v>0</v>
      </c>
      <c r="EU258">
        <v>839.6678799999999</v>
      </c>
      <c r="EV258">
        <v>22.27207691923141</v>
      </c>
      <c r="EW258">
        <v>311.5923077571091</v>
      </c>
      <c r="EX258">
        <v>12466.096</v>
      </c>
      <c r="EY258">
        <v>15</v>
      </c>
      <c r="EZ258">
        <v>1651864261.1</v>
      </c>
      <c r="FA258" t="s">
        <v>419</v>
      </c>
      <c r="FB258">
        <v>1651864241.6</v>
      </c>
      <c r="FC258">
        <v>1651864261.1</v>
      </c>
      <c r="FD258">
        <v>7</v>
      </c>
      <c r="FE258">
        <v>0.438</v>
      </c>
      <c r="FF258">
        <v>0.002</v>
      </c>
      <c r="FG258">
        <v>-0.988</v>
      </c>
      <c r="FH258">
        <v>-0.066</v>
      </c>
      <c r="FI258">
        <v>400</v>
      </c>
      <c r="FJ258">
        <v>11</v>
      </c>
      <c r="FK258">
        <v>0.05</v>
      </c>
      <c r="FL258">
        <v>0.02</v>
      </c>
      <c r="FM258">
        <v>20.356435</v>
      </c>
      <c r="FN258">
        <v>14.30047879924951</v>
      </c>
      <c r="FO258">
        <v>1.377277906696757</v>
      </c>
      <c r="FP258">
        <v>-1</v>
      </c>
      <c r="FQ258">
        <v>4.28368725</v>
      </c>
      <c r="FR258">
        <v>0.1070867166979212</v>
      </c>
      <c r="FS258">
        <v>0.01036743941084303</v>
      </c>
      <c r="FT258">
        <v>-1</v>
      </c>
      <c r="FU258">
        <v>0</v>
      </c>
      <c r="FV258">
        <v>0</v>
      </c>
      <c r="FW258">
        <v>0</v>
      </c>
      <c r="FX258">
        <v>-1</v>
      </c>
      <c r="FY258">
        <v>0</v>
      </c>
      <c r="FZ258">
        <v>0</v>
      </c>
      <c r="GA258" t="s">
        <v>420</v>
      </c>
      <c r="GB258">
        <v>2.98029</v>
      </c>
      <c r="GC258">
        <v>2.7062</v>
      </c>
      <c r="GD258">
        <v>0.0145928</v>
      </c>
      <c r="GE258">
        <v>0.008375830000000001</v>
      </c>
      <c r="GF258">
        <v>0.0878364</v>
      </c>
      <c r="GG258">
        <v>0.0714993</v>
      </c>
      <c r="GH258">
        <v>31098.5</v>
      </c>
      <c r="GI258">
        <v>31362.4</v>
      </c>
      <c r="GJ258">
        <v>29344.6</v>
      </c>
      <c r="GK258">
        <v>29258</v>
      </c>
      <c r="GL258">
        <v>35441.4</v>
      </c>
      <c r="GM258">
        <v>36178.6</v>
      </c>
      <c r="GN258">
        <v>41303.5</v>
      </c>
      <c r="GO258">
        <v>41759.9</v>
      </c>
      <c r="GP258">
        <v>1.9551</v>
      </c>
      <c r="GQ258">
        <v>1.84822</v>
      </c>
      <c r="GR258">
        <v>-0.0200719</v>
      </c>
      <c r="GS258">
        <v>0</v>
      </c>
      <c r="GT258">
        <v>25.3182</v>
      </c>
      <c r="GU258">
        <v>999.9</v>
      </c>
      <c r="GV258">
        <v>31.5</v>
      </c>
      <c r="GW258">
        <v>34.3</v>
      </c>
      <c r="GX258">
        <v>19.0319</v>
      </c>
      <c r="GY258">
        <v>62.1875</v>
      </c>
      <c r="GZ258">
        <v>35.1843</v>
      </c>
      <c r="HA258">
        <v>1</v>
      </c>
      <c r="HB258">
        <v>0.107945</v>
      </c>
      <c r="HC258">
        <v>2.26457</v>
      </c>
      <c r="HD258">
        <v>20.319</v>
      </c>
      <c r="HE258">
        <v>5.21744</v>
      </c>
      <c r="HF258">
        <v>12.0099</v>
      </c>
      <c r="HG258">
        <v>4.9879</v>
      </c>
      <c r="HH258">
        <v>3.28863</v>
      </c>
      <c r="HI258">
        <v>1001.5</v>
      </c>
      <c r="HJ258">
        <v>9562.299999999999</v>
      </c>
      <c r="HK258">
        <v>5139.4</v>
      </c>
      <c r="HL258">
        <v>24.9</v>
      </c>
      <c r="HM258">
        <v>1.86752</v>
      </c>
      <c r="HN258">
        <v>1.86646</v>
      </c>
      <c r="HO258">
        <v>1.866</v>
      </c>
      <c r="HP258">
        <v>1.86584</v>
      </c>
      <c r="HQ258">
        <v>1.86768</v>
      </c>
      <c r="HR258">
        <v>1.8702</v>
      </c>
      <c r="HS258">
        <v>1.8689</v>
      </c>
      <c r="HT258">
        <v>1.87026</v>
      </c>
      <c r="HU258">
        <v>0</v>
      </c>
      <c r="HV258">
        <v>0</v>
      </c>
      <c r="HW258">
        <v>0</v>
      </c>
      <c r="HX258">
        <v>0</v>
      </c>
      <c r="HY258" t="s">
        <v>421</v>
      </c>
      <c r="HZ258" t="s">
        <v>422</v>
      </c>
      <c r="IA258" t="s">
        <v>423</v>
      </c>
      <c r="IB258" t="s">
        <v>423</v>
      </c>
      <c r="IC258" t="s">
        <v>423</v>
      </c>
      <c r="ID258" t="s">
        <v>423</v>
      </c>
      <c r="IE258">
        <v>0</v>
      </c>
      <c r="IF258">
        <v>100</v>
      </c>
      <c r="IG258">
        <v>100</v>
      </c>
      <c r="IH258">
        <v>-0.329</v>
      </c>
      <c r="II258">
        <v>0.0212</v>
      </c>
      <c r="IJ258">
        <v>-0.2164499368582429</v>
      </c>
      <c r="IK258">
        <v>-0.002077099775823331</v>
      </c>
      <c r="IL258">
        <v>4.593143279902166E-07</v>
      </c>
      <c r="IM258">
        <v>-1.865383991892071E-10</v>
      </c>
      <c r="IN258">
        <v>-0.06087574426827484</v>
      </c>
      <c r="IO258">
        <v>-0.01129461987421345</v>
      </c>
      <c r="IP258">
        <v>0.00116580895745559</v>
      </c>
      <c r="IQ258">
        <v>-1.679085872906199E-05</v>
      </c>
      <c r="IR258">
        <v>2</v>
      </c>
      <c r="IS258">
        <v>2290</v>
      </c>
      <c r="IT258">
        <v>0</v>
      </c>
      <c r="IU258">
        <v>32</v>
      </c>
      <c r="IV258">
        <v>10.7</v>
      </c>
      <c r="IW258">
        <v>10.3</v>
      </c>
      <c r="IX258">
        <v>0.185547</v>
      </c>
      <c r="IY258">
        <v>2.33887</v>
      </c>
      <c r="IZ258">
        <v>1.39771</v>
      </c>
      <c r="JA258">
        <v>2.35596</v>
      </c>
      <c r="JB258">
        <v>1.49536</v>
      </c>
      <c r="JC258">
        <v>2.2876</v>
      </c>
      <c r="JD258">
        <v>38.5014</v>
      </c>
      <c r="JE258">
        <v>24.035</v>
      </c>
      <c r="JF258">
        <v>18</v>
      </c>
      <c r="JG258">
        <v>511.053</v>
      </c>
      <c r="JH258">
        <v>427.94</v>
      </c>
      <c r="JI258">
        <v>22.2418</v>
      </c>
      <c r="JJ258">
        <v>28.6952</v>
      </c>
      <c r="JK258">
        <v>30</v>
      </c>
      <c r="JL258">
        <v>28.6618</v>
      </c>
      <c r="JM258">
        <v>28.5992</v>
      </c>
      <c r="JN258">
        <v>3.60746</v>
      </c>
      <c r="JO258">
        <v>26.5129</v>
      </c>
      <c r="JP258">
        <v>0</v>
      </c>
      <c r="JQ258">
        <v>22.2437</v>
      </c>
      <c r="JR258">
        <v>5.326</v>
      </c>
      <c r="JS258">
        <v>14.1432</v>
      </c>
      <c r="JT258">
        <v>100.305</v>
      </c>
      <c r="JU258">
        <v>100.227</v>
      </c>
    </row>
    <row r="259" spans="1:281">
      <c r="A259">
        <v>243</v>
      </c>
      <c r="B259">
        <v>1651865482.1</v>
      </c>
      <c r="C259">
        <v>1261.5</v>
      </c>
      <c r="D259" t="s">
        <v>906</v>
      </c>
      <c r="E259" t="s">
        <v>907</v>
      </c>
      <c r="F259">
        <v>2</v>
      </c>
      <c r="G259" t="s">
        <v>908</v>
      </c>
      <c r="H259" t="s">
        <v>414</v>
      </c>
      <c r="I259">
        <v>1651865480.85</v>
      </c>
      <c r="J259">
        <f>(K259)/1000</f>
        <v>0</v>
      </c>
      <c r="K259">
        <f>IF(CZ259, AN259, AH259)</f>
        <v>0</v>
      </c>
      <c r="L259">
        <f>IF(CZ259, AI259, AG259)</f>
        <v>0</v>
      </c>
      <c r="M259">
        <f>DB259 - IF(AU259&gt;1, L259*CV259*100.0/(AW259*DP259), 0)</f>
        <v>0</v>
      </c>
      <c r="N259">
        <f>((T259-J259/2)*M259-L259)/(T259+J259/2)</f>
        <v>0</v>
      </c>
      <c r="O259">
        <f>N259*(DI259+DJ259)/1000.0</f>
        <v>0</v>
      </c>
      <c r="P259">
        <f>(DB259 - IF(AU259&gt;1, L259*CV259*100.0/(AW259*DP259), 0))*(DI259+DJ259)/1000.0</f>
        <v>0</v>
      </c>
      <c r="Q259">
        <f>2.0/((1/S259-1/R259)+SIGN(S259)*SQRT((1/S259-1/R259)*(1/S259-1/R259) + 4*CW259/((CW259+1)*(CW259+1))*(2*1/S259*1/R259-1/R259*1/R259)))</f>
        <v>0</v>
      </c>
      <c r="R259">
        <f>IF(LEFT(CX259,1)&lt;&gt;"0",IF(LEFT(CX259,1)="1",3.0,CY259),$D$5+$E$5*(DP259*DI259/($K$5*1000))+$F$5*(DP259*DI259/($K$5*1000))*MAX(MIN(CV259,$J$5),$I$5)*MAX(MIN(CV259,$J$5),$I$5)+$G$5*MAX(MIN(CV259,$J$5),$I$5)*(DP259*DI259/($K$5*1000))+$H$5*(DP259*DI259/($K$5*1000))*(DP259*DI259/($K$5*1000)))</f>
        <v>0</v>
      </c>
      <c r="S259">
        <f>J259*(1000-(1000*0.61365*exp(17.502*W259/(240.97+W259))/(DI259+DJ259)+DD259)/2)/(1000*0.61365*exp(17.502*W259/(240.97+W259))/(DI259+DJ259)-DD259)</f>
        <v>0</v>
      </c>
      <c r="T259">
        <f>1/((CW259+1)/(Q259/1.6)+1/(R259/1.37)) + CW259/((CW259+1)/(Q259/1.6) + CW259/(R259/1.37))</f>
        <v>0</v>
      </c>
      <c r="U259">
        <f>(CR259*CU259)</f>
        <v>0</v>
      </c>
      <c r="V259">
        <f>(DK259+(U259+2*0.95*5.67E-8*(((DK259+$B$7)+273)^4-(DK259+273)^4)-44100*J259)/(1.84*29.3*R259+8*0.95*5.67E-8*(DK259+273)^3))</f>
        <v>0</v>
      </c>
      <c r="W259">
        <f>($C$7*DL259+$D$7*DM259+$E$7*V259)</f>
        <v>0</v>
      </c>
      <c r="X259">
        <f>0.61365*exp(17.502*W259/(240.97+W259))</f>
        <v>0</v>
      </c>
      <c r="Y259">
        <f>(Z259/AA259*100)</f>
        <v>0</v>
      </c>
      <c r="Z259">
        <f>DD259*(DI259+DJ259)/1000</f>
        <v>0</v>
      </c>
      <c r="AA259">
        <f>0.61365*exp(17.502*DK259/(240.97+DK259))</f>
        <v>0</v>
      </c>
      <c r="AB259">
        <f>(X259-DD259*(DI259+DJ259)/1000)</f>
        <v>0</v>
      </c>
      <c r="AC259">
        <f>(-J259*44100)</f>
        <v>0</v>
      </c>
      <c r="AD259">
        <f>2*29.3*R259*0.92*(DK259-W259)</f>
        <v>0</v>
      </c>
      <c r="AE259">
        <f>2*0.95*5.67E-8*(((DK259+$B$7)+273)^4-(W259+273)^4)</f>
        <v>0</v>
      </c>
      <c r="AF259">
        <f>U259+AE259+AC259+AD259</f>
        <v>0</v>
      </c>
      <c r="AG259">
        <f>DH259*AU259*(DC259-DB259*(1000-AU259*DE259)/(1000-AU259*DD259))/(100*CV259)</f>
        <v>0</v>
      </c>
      <c r="AH259">
        <f>1000*DH259*AU259*(DD259-DE259)/(100*CV259*(1000-AU259*DD259))</f>
        <v>0</v>
      </c>
      <c r="AI259">
        <f>(AJ259 - AK259 - DI259*1E3/(8.314*(DK259+273.15)) * AM259/DH259 * AL259) * DH259/(100*CV259) * (1000 - DE259)/1000</f>
        <v>0</v>
      </c>
      <c r="AJ259">
        <v>404.7181053504746</v>
      </c>
      <c r="AK259">
        <v>377.8559393939395</v>
      </c>
      <c r="AL259">
        <v>-0.0006394794359346738</v>
      </c>
      <c r="AM259">
        <v>66.38192812717227</v>
      </c>
      <c r="AN259">
        <f>(AP259 - AO259 + DI259*1E3/(8.314*(DK259+273.15)) * AR259/DH259 * AQ259) * DH259/(100*CV259) * 1000/(1000 - AP259)</f>
        <v>0</v>
      </c>
      <c r="AO259">
        <v>11.45617964242808</v>
      </c>
      <c r="AP259">
        <v>18.49555323529411</v>
      </c>
      <c r="AQ259">
        <v>-1.721745170159357E-05</v>
      </c>
      <c r="AR259">
        <v>80.47224507511959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MAX(0,($B$13+$C$13*DP259)/(1+$D$13*DP259)*DI259/(DK259+273)*$E$13)</f>
        <v>0</v>
      </c>
      <c r="AX259" t="s">
        <v>415</v>
      </c>
      <c r="AY259">
        <v>10510</v>
      </c>
      <c r="AZ259">
        <v>590.42</v>
      </c>
      <c r="BA259">
        <v>2650.6</v>
      </c>
      <c r="BB259">
        <f>1-AZ259/BA259</f>
        <v>0</v>
      </c>
      <c r="BC259">
        <v>-1.816883183993991</v>
      </c>
      <c r="BD259" t="s">
        <v>909</v>
      </c>
      <c r="BE259">
        <v>10442.4</v>
      </c>
      <c r="BF259">
        <v>959.6234615384617</v>
      </c>
      <c r="BG259">
        <v>1300.82</v>
      </c>
      <c r="BH259">
        <f>1-BF259/BG259</f>
        <v>0</v>
      </c>
      <c r="BI259">
        <v>0.5</v>
      </c>
      <c r="BJ259">
        <f>CS259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417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BZ259">
        <v>1249</v>
      </c>
      <c r="CA259">
        <v>300</v>
      </c>
      <c r="CB259">
        <v>300</v>
      </c>
      <c r="CC259">
        <v>300</v>
      </c>
      <c r="CD259">
        <v>10442.4</v>
      </c>
      <c r="CE259">
        <v>1239.69</v>
      </c>
      <c r="CF259">
        <v>-0.00735276</v>
      </c>
      <c r="CG259">
        <v>0.07000000000000001</v>
      </c>
      <c r="CH259" t="s">
        <v>417</v>
      </c>
      <c r="CI259" t="s">
        <v>417</v>
      </c>
      <c r="CJ259" t="s">
        <v>417</v>
      </c>
      <c r="CK259" t="s">
        <v>417</v>
      </c>
      <c r="CL259" t="s">
        <v>417</v>
      </c>
      <c r="CM259" t="s">
        <v>417</v>
      </c>
      <c r="CN259" t="s">
        <v>417</v>
      </c>
      <c r="CO259" t="s">
        <v>417</v>
      </c>
      <c r="CP259" t="s">
        <v>417</v>
      </c>
      <c r="CQ259" t="s">
        <v>417</v>
      </c>
      <c r="CR259">
        <f>$B$11*DQ259+$C$11*DR259+$F$11*EC259*(1-EF259)</f>
        <v>0</v>
      </c>
      <c r="CS259">
        <f>CR259*CT259</f>
        <v>0</v>
      </c>
      <c r="CT259">
        <f>($B$11*$D$9+$C$11*$D$9+$F$11*((EP259+EH259)/MAX(EP259+EH259+EQ259, 0.1)*$I$9+EQ259/MAX(EP259+EH259+EQ259, 0.1)*$J$9))/($B$11+$C$11+$F$11)</f>
        <v>0</v>
      </c>
      <c r="CU259">
        <f>($B$11*$K$9+$C$11*$K$9+$F$11*((EP259+EH259)/MAX(EP259+EH259+EQ259, 0.1)*$P$9+EQ259/MAX(EP259+EH259+EQ259, 0.1)*$Q$9))/($B$11+$C$11+$F$11)</f>
        <v>0</v>
      </c>
      <c r="CV259">
        <v>6</v>
      </c>
      <c r="CW259">
        <v>0.5</v>
      </c>
      <c r="CX259" t="s">
        <v>418</v>
      </c>
      <c r="CY259">
        <v>2</v>
      </c>
      <c r="CZ259" t="b">
        <v>1</v>
      </c>
      <c r="DA259">
        <v>1651865480.85</v>
      </c>
      <c r="DB259">
        <v>370.8849999999999</v>
      </c>
      <c r="DC259">
        <v>400.0195000000001</v>
      </c>
      <c r="DD259">
        <v>18.414225</v>
      </c>
      <c r="DE259">
        <v>11.44375</v>
      </c>
      <c r="DF259">
        <v>371.812</v>
      </c>
      <c r="DG259">
        <v>18.476225</v>
      </c>
      <c r="DH259">
        <v>500.0405</v>
      </c>
      <c r="DI259">
        <v>89.92555</v>
      </c>
      <c r="DJ259">
        <v>0.099939625</v>
      </c>
      <c r="DK259">
        <v>25.744925</v>
      </c>
      <c r="DL259">
        <v>24.985475</v>
      </c>
      <c r="DM259">
        <v>999.9</v>
      </c>
      <c r="DN259">
        <v>0</v>
      </c>
      <c r="DO259">
        <v>0</v>
      </c>
      <c r="DP259">
        <v>10008.75</v>
      </c>
      <c r="DQ259">
        <v>0</v>
      </c>
      <c r="DR259">
        <v>3.14762</v>
      </c>
      <c r="DS259">
        <v>-29.14215</v>
      </c>
      <c r="DT259">
        <v>377.8675</v>
      </c>
      <c r="DU259">
        <v>404.65025</v>
      </c>
      <c r="DV259">
        <v>7.054985</v>
      </c>
      <c r="DW259">
        <v>400.0195000000001</v>
      </c>
      <c r="DX259">
        <v>11.44375</v>
      </c>
      <c r="DY259">
        <v>1.66351</v>
      </c>
      <c r="DZ259">
        <v>1.0290875</v>
      </c>
      <c r="EA259">
        <v>14.560025</v>
      </c>
      <c r="EB259">
        <v>7.3348075</v>
      </c>
      <c r="EC259">
        <v>1500.045</v>
      </c>
      <c r="ED259">
        <v>0.9730005</v>
      </c>
      <c r="EE259">
        <v>0.02699982500000001</v>
      </c>
      <c r="EF259">
        <v>0</v>
      </c>
      <c r="EG259">
        <v>960.57875</v>
      </c>
      <c r="EH259">
        <v>5.00097</v>
      </c>
      <c r="EI259">
        <v>14234.275</v>
      </c>
      <c r="EJ259">
        <v>12491.975</v>
      </c>
      <c r="EK259">
        <v>37</v>
      </c>
      <c r="EL259">
        <v>38.437</v>
      </c>
      <c r="EM259">
        <v>37.375</v>
      </c>
      <c r="EN259">
        <v>38.1405</v>
      </c>
      <c r="EO259">
        <v>37.875</v>
      </c>
      <c r="EP259">
        <v>1454.6825</v>
      </c>
      <c r="EQ259">
        <v>40.3625</v>
      </c>
      <c r="ER259">
        <v>0</v>
      </c>
      <c r="ES259">
        <v>1261.200000047684</v>
      </c>
      <c r="ET259">
        <v>0</v>
      </c>
      <c r="EU259">
        <v>959.6234615384617</v>
      </c>
      <c r="EV259">
        <v>9.037880335975995</v>
      </c>
      <c r="EW259">
        <v>139.5726494406961</v>
      </c>
      <c r="EX259">
        <v>14220.01153846154</v>
      </c>
      <c r="EY259">
        <v>15</v>
      </c>
      <c r="EZ259">
        <v>1651865518.1</v>
      </c>
      <c r="FA259" t="s">
        <v>910</v>
      </c>
      <c r="FB259">
        <v>1651865507.1</v>
      </c>
      <c r="FC259">
        <v>1651865518.1</v>
      </c>
      <c r="FD259">
        <v>8</v>
      </c>
      <c r="FE259">
        <v>0.06</v>
      </c>
      <c r="FF259">
        <v>0</v>
      </c>
      <c r="FG259">
        <v>-0.927</v>
      </c>
      <c r="FH259">
        <v>-0.062</v>
      </c>
      <c r="FI259">
        <v>400</v>
      </c>
      <c r="FJ259">
        <v>11</v>
      </c>
      <c r="FK259">
        <v>0.11</v>
      </c>
      <c r="FL259">
        <v>0.01</v>
      </c>
      <c r="FM259">
        <v>-29.0910925</v>
      </c>
      <c r="FN259">
        <v>-0.8133782363977289</v>
      </c>
      <c r="FO259">
        <v>0.08615561614746921</v>
      </c>
      <c r="FP259">
        <v>-1</v>
      </c>
      <c r="FQ259">
        <v>6.98669175</v>
      </c>
      <c r="FR259">
        <v>0.4891858536585342</v>
      </c>
      <c r="FS259">
        <v>0.04812628449649424</v>
      </c>
      <c r="FT259">
        <v>-1</v>
      </c>
      <c r="FU259">
        <v>0</v>
      </c>
      <c r="FV259">
        <v>0</v>
      </c>
      <c r="FW259">
        <v>0</v>
      </c>
      <c r="FX259">
        <v>-1</v>
      </c>
      <c r="FY259">
        <v>0</v>
      </c>
      <c r="FZ259">
        <v>0</v>
      </c>
      <c r="GA259" t="s">
        <v>420</v>
      </c>
      <c r="GB259">
        <v>2.98062</v>
      </c>
      <c r="GC259">
        <v>2.70619</v>
      </c>
      <c r="GD259">
        <v>0.08503280000000001</v>
      </c>
      <c r="GE259">
        <v>0.08907519999999999</v>
      </c>
      <c r="GF259">
        <v>0.08817369999999999</v>
      </c>
      <c r="GG259">
        <v>0.0612658</v>
      </c>
      <c r="GH259">
        <v>28885.5</v>
      </c>
      <c r="GI259">
        <v>28821</v>
      </c>
      <c r="GJ259">
        <v>29353.4</v>
      </c>
      <c r="GK259">
        <v>29268.2</v>
      </c>
      <c r="GL259">
        <v>35439.3</v>
      </c>
      <c r="GM259">
        <v>36596.2</v>
      </c>
      <c r="GN259">
        <v>41315.4</v>
      </c>
      <c r="GO259">
        <v>41776.5</v>
      </c>
      <c r="GP259">
        <v>1.95928</v>
      </c>
      <c r="GQ259">
        <v>1.8483</v>
      </c>
      <c r="GR259">
        <v>-0.0131875</v>
      </c>
      <c r="GS259">
        <v>0</v>
      </c>
      <c r="GT259">
        <v>25.2033</v>
      </c>
      <c r="GU259">
        <v>999.9</v>
      </c>
      <c r="GV259">
        <v>30.9</v>
      </c>
      <c r="GW259">
        <v>34.3</v>
      </c>
      <c r="GX259">
        <v>18.6688</v>
      </c>
      <c r="GY259">
        <v>62.4975</v>
      </c>
      <c r="GZ259">
        <v>35.1362</v>
      </c>
      <c r="HA259">
        <v>1</v>
      </c>
      <c r="HB259">
        <v>0.09004570000000001</v>
      </c>
      <c r="HC259">
        <v>1.82557</v>
      </c>
      <c r="HD259">
        <v>20.3258</v>
      </c>
      <c r="HE259">
        <v>5.22448</v>
      </c>
      <c r="HF259">
        <v>12.0099</v>
      </c>
      <c r="HG259">
        <v>4.99</v>
      </c>
      <c r="HH259">
        <v>3.29</v>
      </c>
      <c r="HI259">
        <v>1013.8</v>
      </c>
      <c r="HJ259">
        <v>9621.299999999999</v>
      </c>
      <c r="HK259">
        <v>5139.4</v>
      </c>
      <c r="HL259">
        <v>25.1</v>
      </c>
      <c r="HM259">
        <v>1.86747</v>
      </c>
      <c r="HN259">
        <v>1.86646</v>
      </c>
      <c r="HO259">
        <v>1.866</v>
      </c>
      <c r="HP259">
        <v>1.86584</v>
      </c>
      <c r="HQ259">
        <v>1.86768</v>
      </c>
      <c r="HR259">
        <v>1.87015</v>
      </c>
      <c r="HS259">
        <v>1.8689</v>
      </c>
      <c r="HT259">
        <v>1.87022</v>
      </c>
      <c r="HU259">
        <v>0</v>
      </c>
      <c r="HV259">
        <v>0</v>
      </c>
      <c r="HW259">
        <v>0</v>
      </c>
      <c r="HX259">
        <v>0</v>
      </c>
      <c r="HY259" t="s">
        <v>421</v>
      </c>
      <c r="HZ259" t="s">
        <v>422</v>
      </c>
      <c r="IA259" t="s">
        <v>423</v>
      </c>
      <c r="IB259" t="s">
        <v>423</v>
      </c>
      <c r="IC259" t="s">
        <v>423</v>
      </c>
      <c r="ID259" t="s">
        <v>423</v>
      </c>
      <c r="IE259">
        <v>0</v>
      </c>
      <c r="IF259">
        <v>100</v>
      </c>
      <c r="IG259">
        <v>100</v>
      </c>
      <c r="IH259">
        <v>-0.927</v>
      </c>
      <c r="II259">
        <v>-0.062</v>
      </c>
      <c r="IJ259">
        <v>-0.2164499368582429</v>
      </c>
      <c r="IK259">
        <v>-0.002077099775823331</v>
      </c>
      <c r="IL259">
        <v>4.593143279902166E-07</v>
      </c>
      <c r="IM259">
        <v>-1.865383991892071E-10</v>
      </c>
      <c r="IN259">
        <v>-0.06087574426827484</v>
      </c>
      <c r="IO259">
        <v>-0.01129461987421345</v>
      </c>
      <c r="IP259">
        <v>0.00116580895745559</v>
      </c>
      <c r="IQ259">
        <v>-1.679085872906199E-05</v>
      </c>
      <c r="IR259">
        <v>2</v>
      </c>
      <c r="IS259">
        <v>2290</v>
      </c>
      <c r="IT259">
        <v>0</v>
      </c>
      <c r="IU259">
        <v>32</v>
      </c>
      <c r="IV259">
        <v>20.7</v>
      </c>
      <c r="IW259">
        <v>20.4</v>
      </c>
      <c r="IX259">
        <v>1.0022</v>
      </c>
      <c r="IY259">
        <v>2.24731</v>
      </c>
      <c r="IZ259">
        <v>1.39648</v>
      </c>
      <c r="JA259">
        <v>2.35474</v>
      </c>
      <c r="JB259">
        <v>1.49536</v>
      </c>
      <c r="JC259">
        <v>2.38037</v>
      </c>
      <c r="JD259">
        <v>38.2812</v>
      </c>
      <c r="JE259">
        <v>24.0437</v>
      </c>
      <c r="JF259">
        <v>18</v>
      </c>
      <c r="JG259">
        <v>512.413</v>
      </c>
      <c r="JH259">
        <v>426.863</v>
      </c>
      <c r="JI259">
        <v>22.786</v>
      </c>
      <c r="JJ259">
        <v>28.4827</v>
      </c>
      <c r="JK259">
        <v>29.9998</v>
      </c>
      <c r="JL259">
        <v>28.5001</v>
      </c>
      <c r="JM259">
        <v>28.4443</v>
      </c>
      <c r="JN259">
        <v>20.0623</v>
      </c>
      <c r="JO259">
        <v>37.8809</v>
      </c>
      <c r="JP259">
        <v>0</v>
      </c>
      <c r="JQ259">
        <v>22.7949</v>
      </c>
      <c r="JR259">
        <v>400</v>
      </c>
      <c r="JS259">
        <v>11.3802</v>
      </c>
      <c r="JT259">
        <v>100.335</v>
      </c>
      <c r="JU259">
        <v>100.265</v>
      </c>
    </row>
    <row r="260" spans="1:281">
      <c r="A260">
        <v>244</v>
      </c>
      <c r="B260">
        <v>1651866252.5</v>
      </c>
      <c r="C260">
        <v>2031.900000095367</v>
      </c>
      <c r="D260" t="s">
        <v>911</v>
      </c>
      <c r="E260" t="s">
        <v>912</v>
      </c>
      <c r="F260">
        <v>2</v>
      </c>
      <c r="G260" t="s">
        <v>908</v>
      </c>
      <c r="H260" t="s">
        <v>414</v>
      </c>
      <c r="I260">
        <v>1651866251.25</v>
      </c>
      <c r="J260">
        <f>(K260)/1000</f>
        <v>0</v>
      </c>
      <c r="K260">
        <f>IF(CZ260, AN260, AH260)</f>
        <v>0</v>
      </c>
      <c r="L260">
        <f>IF(CZ260, AI260, AG260)</f>
        <v>0</v>
      </c>
      <c r="M260">
        <f>DB260 - IF(AU260&gt;1, L260*CV260*100.0/(AW260*DP260), 0)</f>
        <v>0</v>
      </c>
      <c r="N260">
        <f>((T260-J260/2)*M260-L260)/(T260+J260/2)</f>
        <v>0</v>
      </c>
      <c r="O260">
        <f>N260*(DI260+DJ260)/1000.0</f>
        <v>0</v>
      </c>
      <c r="P260">
        <f>(DB260 - IF(AU260&gt;1, L260*CV260*100.0/(AW260*DP260), 0))*(DI260+DJ260)/1000.0</f>
        <v>0</v>
      </c>
      <c r="Q260">
        <f>2.0/((1/S260-1/R260)+SIGN(S260)*SQRT((1/S260-1/R260)*(1/S260-1/R260) + 4*CW260/((CW260+1)*(CW260+1))*(2*1/S260*1/R260-1/R260*1/R260)))</f>
        <v>0</v>
      </c>
      <c r="R260">
        <f>IF(LEFT(CX260,1)&lt;&gt;"0",IF(LEFT(CX260,1)="1",3.0,CY260),$D$5+$E$5*(DP260*DI260/($K$5*1000))+$F$5*(DP260*DI260/($K$5*1000))*MAX(MIN(CV260,$J$5),$I$5)*MAX(MIN(CV260,$J$5),$I$5)+$G$5*MAX(MIN(CV260,$J$5),$I$5)*(DP260*DI260/($K$5*1000))+$H$5*(DP260*DI260/($K$5*1000))*(DP260*DI260/($K$5*1000)))</f>
        <v>0</v>
      </c>
      <c r="S260">
        <f>J260*(1000-(1000*0.61365*exp(17.502*W260/(240.97+W260))/(DI260+DJ260)+DD260)/2)/(1000*0.61365*exp(17.502*W260/(240.97+W260))/(DI260+DJ260)-DD260)</f>
        <v>0</v>
      </c>
      <c r="T260">
        <f>1/((CW260+1)/(Q260/1.6)+1/(R260/1.37)) + CW260/((CW260+1)/(Q260/1.6) + CW260/(R260/1.37))</f>
        <v>0</v>
      </c>
      <c r="U260">
        <f>(CR260*CU260)</f>
        <v>0</v>
      </c>
      <c r="V260">
        <f>(DK260+(U260+2*0.95*5.67E-8*(((DK260+$B$7)+273)^4-(DK260+273)^4)-44100*J260)/(1.84*29.3*R260+8*0.95*5.67E-8*(DK260+273)^3))</f>
        <v>0</v>
      </c>
      <c r="W260">
        <f>($C$7*DL260+$D$7*DM260+$E$7*V260)</f>
        <v>0</v>
      </c>
      <c r="X260">
        <f>0.61365*exp(17.502*W260/(240.97+W260))</f>
        <v>0</v>
      </c>
      <c r="Y260">
        <f>(Z260/AA260*100)</f>
        <v>0</v>
      </c>
      <c r="Z260">
        <f>DD260*(DI260+DJ260)/1000</f>
        <v>0</v>
      </c>
      <c r="AA260">
        <f>0.61365*exp(17.502*DK260/(240.97+DK260))</f>
        <v>0</v>
      </c>
      <c r="AB260">
        <f>(X260-DD260*(DI260+DJ260)/1000)</f>
        <v>0</v>
      </c>
      <c r="AC260">
        <f>(-J260*44100)</f>
        <v>0</v>
      </c>
      <c r="AD260">
        <f>2*29.3*R260*0.92*(DK260-W260)</f>
        <v>0</v>
      </c>
      <c r="AE260">
        <f>2*0.95*5.67E-8*(((DK260+$B$7)+273)^4-(W260+273)^4)</f>
        <v>0</v>
      </c>
      <c r="AF260">
        <f>U260+AE260+AC260+AD260</f>
        <v>0</v>
      </c>
      <c r="AG260">
        <f>DH260*AU260*(DC260-DB260*(1000-AU260*DE260)/(1000-AU260*DD260))/(100*CV260)</f>
        <v>0</v>
      </c>
      <c r="AH260">
        <f>1000*DH260*AU260*(DD260-DE260)/(100*CV260*(1000-AU260*DD260))</f>
        <v>0</v>
      </c>
      <c r="AI260">
        <f>(AJ260 - AK260 - DI260*1E3/(8.314*(DK260+273.15)) * AM260/DH260 * AL260) * DH260/(100*CV260) * (1000 - DE260)/1000</f>
        <v>0</v>
      </c>
      <c r="AJ260">
        <v>10.12986447694653</v>
      </c>
      <c r="AK260">
        <v>14.52828484848485</v>
      </c>
      <c r="AL260">
        <v>-5.276846753125748E-05</v>
      </c>
      <c r="AM260">
        <v>66.38195617057868</v>
      </c>
      <c r="AN260">
        <f>(AP260 - AO260 + DI260*1E3/(8.314*(DK260+273.15)) * AR260/DH260 * AQ260) * DH260/(100*CV260) * 1000/(1000 - AP260)</f>
        <v>0</v>
      </c>
      <c r="AO260">
        <v>9.55723696563035</v>
      </c>
      <c r="AP260">
        <v>18.53472852941176</v>
      </c>
      <c r="AQ260">
        <v>0.005776795827416345</v>
      </c>
      <c r="AR260">
        <v>80.47178418790507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MAX(0,($B$13+$C$13*DP260)/(1+$D$13*DP260)*DI260/(DK260+273)*$E$13)</f>
        <v>0</v>
      </c>
      <c r="AX260" t="s">
        <v>417</v>
      </c>
      <c r="AY260" t="s">
        <v>417</v>
      </c>
      <c r="AZ260">
        <v>0</v>
      </c>
      <c r="BA260">
        <v>0</v>
      </c>
      <c r="BB260">
        <f>1-AZ260/BA260</f>
        <v>0</v>
      </c>
      <c r="BC260">
        <v>0</v>
      </c>
      <c r="BD260" t="s">
        <v>417</v>
      </c>
      <c r="BE260" t="s">
        <v>417</v>
      </c>
      <c r="BF260">
        <v>0</v>
      </c>
      <c r="BG260">
        <v>0</v>
      </c>
      <c r="BH260">
        <f>1-BF260/BG260</f>
        <v>0</v>
      </c>
      <c r="BI260">
        <v>0.5</v>
      </c>
      <c r="BJ260">
        <f>CS260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417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BZ260">
        <v>1249</v>
      </c>
      <c r="CA260">
        <v>300</v>
      </c>
      <c r="CB260">
        <v>300</v>
      </c>
      <c r="CC260">
        <v>300</v>
      </c>
      <c r="CD260">
        <v>10442.4</v>
      </c>
      <c r="CE260">
        <v>1239.69</v>
      </c>
      <c r="CF260">
        <v>-0.00735276</v>
      </c>
      <c r="CG260">
        <v>0.07000000000000001</v>
      </c>
      <c r="CH260" t="s">
        <v>417</v>
      </c>
      <c r="CI260" t="s">
        <v>417</v>
      </c>
      <c r="CJ260" t="s">
        <v>417</v>
      </c>
      <c r="CK260" t="s">
        <v>417</v>
      </c>
      <c r="CL260" t="s">
        <v>417</v>
      </c>
      <c r="CM260" t="s">
        <v>417</v>
      </c>
      <c r="CN260" t="s">
        <v>417</v>
      </c>
      <c r="CO260" t="s">
        <v>417</v>
      </c>
      <c r="CP260" t="s">
        <v>417</v>
      </c>
      <c r="CQ260" t="s">
        <v>417</v>
      </c>
      <c r="CR260">
        <f>$B$11*DQ260+$C$11*DR260+$F$11*EC260*(1-EF260)</f>
        <v>0</v>
      </c>
      <c r="CS260">
        <f>CR260*CT260</f>
        <v>0</v>
      </c>
      <c r="CT260">
        <f>($B$11*$D$9+$C$11*$D$9+$F$11*((EP260+EH260)/MAX(EP260+EH260+EQ260, 0.1)*$I$9+EQ260/MAX(EP260+EH260+EQ260, 0.1)*$J$9))/($B$11+$C$11+$F$11)</f>
        <v>0</v>
      </c>
      <c r="CU260">
        <f>($B$11*$K$9+$C$11*$K$9+$F$11*((EP260+EH260)/MAX(EP260+EH260+EQ260, 0.1)*$P$9+EQ260/MAX(EP260+EH260+EQ260, 0.1)*$Q$9))/($B$11+$C$11+$F$11)</f>
        <v>0</v>
      </c>
      <c r="CV260">
        <v>6</v>
      </c>
      <c r="CW260">
        <v>0.5</v>
      </c>
      <c r="CX260" t="s">
        <v>418</v>
      </c>
      <c r="CY260">
        <v>2</v>
      </c>
      <c r="CZ260" t="b">
        <v>1</v>
      </c>
      <c r="DA260">
        <v>1651866251.25</v>
      </c>
      <c r="DB260">
        <v>14.2605</v>
      </c>
      <c r="DC260">
        <v>10.06525</v>
      </c>
      <c r="DD260">
        <v>18.533275</v>
      </c>
      <c r="DE260">
        <v>9.557645000000001</v>
      </c>
      <c r="DF260">
        <v>14.4464</v>
      </c>
      <c r="DG260">
        <v>18.5101</v>
      </c>
      <c r="DH260">
        <v>499.9905</v>
      </c>
      <c r="DI260">
        <v>89.914025</v>
      </c>
      <c r="DJ260">
        <v>0.09976697500000001</v>
      </c>
      <c r="DK260">
        <v>25.822425</v>
      </c>
      <c r="DL260">
        <v>24.999225</v>
      </c>
      <c r="DM260">
        <v>999.9</v>
      </c>
      <c r="DN260">
        <v>0</v>
      </c>
      <c r="DO260">
        <v>0</v>
      </c>
      <c r="DP260">
        <v>9991.875</v>
      </c>
      <c r="DQ260">
        <v>0</v>
      </c>
      <c r="DR260">
        <v>3.20383</v>
      </c>
      <c r="DS260">
        <v>4.1952675</v>
      </c>
      <c r="DT260">
        <v>14.5298</v>
      </c>
      <c r="DU260">
        <v>10.162375</v>
      </c>
      <c r="DV260">
        <v>8.975620000000001</v>
      </c>
      <c r="DW260">
        <v>10.06525</v>
      </c>
      <c r="DX260">
        <v>9.557645000000001</v>
      </c>
      <c r="DY260">
        <v>1.6664025</v>
      </c>
      <c r="DZ260">
        <v>0.85936625</v>
      </c>
      <c r="EA260">
        <v>14.586925</v>
      </c>
      <c r="EB260">
        <v>4.727675</v>
      </c>
      <c r="EC260">
        <v>1499.8975</v>
      </c>
      <c r="ED260">
        <v>0.972997</v>
      </c>
      <c r="EE260">
        <v>0.0270027</v>
      </c>
      <c r="EF260">
        <v>0</v>
      </c>
      <c r="EG260">
        <v>866.20525</v>
      </c>
      <c r="EH260">
        <v>5.00097</v>
      </c>
      <c r="EI260">
        <v>12857.075</v>
      </c>
      <c r="EJ260">
        <v>12490.675</v>
      </c>
      <c r="EK260">
        <v>37.562</v>
      </c>
      <c r="EL260">
        <v>39.562</v>
      </c>
      <c r="EM260">
        <v>37.906</v>
      </c>
      <c r="EN260">
        <v>39.437</v>
      </c>
      <c r="EO260">
        <v>38.812</v>
      </c>
      <c r="EP260">
        <v>1454.5275</v>
      </c>
      <c r="EQ260">
        <v>40.37</v>
      </c>
      <c r="ER260">
        <v>0</v>
      </c>
      <c r="ES260">
        <v>770</v>
      </c>
      <c r="ET260">
        <v>0</v>
      </c>
      <c r="EU260">
        <v>865.9389230769231</v>
      </c>
      <c r="EV260">
        <v>2.497094013539061</v>
      </c>
      <c r="EW260">
        <v>73.04615396152751</v>
      </c>
      <c r="EX260">
        <v>12849.87692307692</v>
      </c>
      <c r="EY260">
        <v>15</v>
      </c>
      <c r="EZ260">
        <v>1651865518.1</v>
      </c>
      <c r="FA260" t="s">
        <v>910</v>
      </c>
      <c r="FB260">
        <v>1651865507.1</v>
      </c>
      <c r="FC260">
        <v>1651865518.1</v>
      </c>
      <c r="FD260">
        <v>8</v>
      </c>
      <c r="FE260">
        <v>0.06</v>
      </c>
      <c r="FF260">
        <v>0</v>
      </c>
      <c r="FG260">
        <v>-0.927</v>
      </c>
      <c r="FH260">
        <v>-0.062</v>
      </c>
      <c r="FI260">
        <v>400</v>
      </c>
      <c r="FJ260">
        <v>11</v>
      </c>
      <c r="FK260">
        <v>0.11</v>
      </c>
      <c r="FL260">
        <v>0.01</v>
      </c>
      <c r="FM260">
        <v>4.309792</v>
      </c>
      <c r="FN260">
        <v>-0.3740447279549706</v>
      </c>
      <c r="FO260">
        <v>0.05890173393882386</v>
      </c>
      <c r="FP260">
        <v>-1</v>
      </c>
      <c r="FQ260">
        <v>8.975448</v>
      </c>
      <c r="FR260">
        <v>-0.02373996247655798</v>
      </c>
      <c r="FS260">
        <v>0.005734553251997934</v>
      </c>
      <c r="FT260">
        <v>-1</v>
      </c>
      <c r="FU260">
        <v>0</v>
      </c>
      <c r="FV260">
        <v>0</v>
      </c>
      <c r="FW260">
        <v>0</v>
      </c>
      <c r="FX260">
        <v>-1</v>
      </c>
      <c r="FY260">
        <v>0</v>
      </c>
      <c r="FZ260">
        <v>0</v>
      </c>
      <c r="GA260" t="s">
        <v>420</v>
      </c>
      <c r="GB260">
        <v>2.98134</v>
      </c>
      <c r="GC260">
        <v>2.70585</v>
      </c>
      <c r="GD260">
        <v>0.00384514</v>
      </c>
      <c r="GE260">
        <v>0.00265431</v>
      </c>
      <c r="GF260">
        <v>0.08840870000000001</v>
      </c>
      <c r="GG260">
        <v>0.0535217</v>
      </c>
      <c r="GH260">
        <v>31475.6</v>
      </c>
      <c r="GI260">
        <v>31581.5</v>
      </c>
      <c r="GJ260">
        <v>29375.4</v>
      </c>
      <c r="GK260">
        <v>29290.2</v>
      </c>
      <c r="GL260">
        <v>35454.1</v>
      </c>
      <c r="GM260">
        <v>36926.8</v>
      </c>
      <c r="GN260">
        <v>41346</v>
      </c>
      <c r="GO260">
        <v>41808.3</v>
      </c>
      <c r="GP260">
        <v>1.96592</v>
      </c>
      <c r="GQ260">
        <v>1.85185</v>
      </c>
      <c r="GR260">
        <v>-0.0045225</v>
      </c>
      <c r="GS260">
        <v>0</v>
      </c>
      <c r="GT260">
        <v>25.0741</v>
      </c>
      <c r="GU260">
        <v>999.9</v>
      </c>
      <c r="GV260">
        <v>29.9</v>
      </c>
      <c r="GW260">
        <v>34.2</v>
      </c>
      <c r="GX260">
        <v>17.9676</v>
      </c>
      <c r="GY260">
        <v>62.3276</v>
      </c>
      <c r="GZ260">
        <v>35.0721</v>
      </c>
      <c r="HA260">
        <v>1</v>
      </c>
      <c r="HB260">
        <v>0.049314</v>
      </c>
      <c r="HC260">
        <v>1.47452</v>
      </c>
      <c r="HD260">
        <v>20.3306</v>
      </c>
      <c r="HE260">
        <v>5.22058</v>
      </c>
      <c r="HF260">
        <v>12.0099</v>
      </c>
      <c r="HG260">
        <v>4.99015</v>
      </c>
      <c r="HH260">
        <v>3.28925</v>
      </c>
      <c r="HI260">
        <v>1029.2</v>
      </c>
      <c r="HJ260">
        <v>9720.5</v>
      </c>
      <c r="HK260">
        <v>5139.4</v>
      </c>
      <c r="HL260">
        <v>25.3</v>
      </c>
      <c r="HM260">
        <v>1.86743</v>
      </c>
      <c r="HN260">
        <v>1.86646</v>
      </c>
      <c r="HO260">
        <v>1.866</v>
      </c>
      <c r="HP260">
        <v>1.86584</v>
      </c>
      <c r="HQ260">
        <v>1.86768</v>
      </c>
      <c r="HR260">
        <v>1.87018</v>
      </c>
      <c r="HS260">
        <v>1.8689</v>
      </c>
      <c r="HT260">
        <v>1.87024</v>
      </c>
      <c r="HU260">
        <v>0</v>
      </c>
      <c r="HV260">
        <v>0</v>
      </c>
      <c r="HW260">
        <v>0</v>
      </c>
      <c r="HX260">
        <v>0</v>
      </c>
      <c r="HY260" t="s">
        <v>421</v>
      </c>
      <c r="HZ260" t="s">
        <v>422</v>
      </c>
      <c r="IA260" t="s">
        <v>423</v>
      </c>
      <c r="IB260" t="s">
        <v>423</v>
      </c>
      <c r="IC260" t="s">
        <v>423</v>
      </c>
      <c r="ID260" t="s">
        <v>423</v>
      </c>
      <c r="IE260">
        <v>0</v>
      </c>
      <c r="IF260">
        <v>100</v>
      </c>
      <c r="IG260">
        <v>100</v>
      </c>
      <c r="IH260">
        <v>-0.186</v>
      </c>
      <c r="II260">
        <v>0.0233</v>
      </c>
      <c r="IJ260">
        <v>-0.1559367209035702</v>
      </c>
      <c r="IK260">
        <v>-0.002077099775823331</v>
      </c>
      <c r="IL260">
        <v>4.593143279902166E-07</v>
      </c>
      <c r="IM260">
        <v>-1.865383991892071E-10</v>
      </c>
      <c r="IN260">
        <v>-0.0607165066849496</v>
      </c>
      <c r="IO260">
        <v>-0.01129461987421345</v>
      </c>
      <c r="IP260">
        <v>0.00116580895745559</v>
      </c>
      <c r="IQ260">
        <v>-1.679085872906199E-05</v>
      </c>
      <c r="IR260">
        <v>2</v>
      </c>
      <c r="IS260">
        <v>2290</v>
      </c>
      <c r="IT260">
        <v>0</v>
      </c>
      <c r="IU260">
        <v>32</v>
      </c>
      <c r="IV260">
        <v>12.4</v>
      </c>
      <c r="IW260">
        <v>12.2</v>
      </c>
      <c r="IX260">
        <v>0.169678</v>
      </c>
      <c r="IY260">
        <v>2.32544</v>
      </c>
      <c r="IZ260">
        <v>1.39648</v>
      </c>
      <c r="JA260">
        <v>2.35474</v>
      </c>
      <c r="JB260">
        <v>1.49536</v>
      </c>
      <c r="JC260">
        <v>2.34985</v>
      </c>
      <c r="JD260">
        <v>38.0134</v>
      </c>
      <c r="JE260">
        <v>24.0437</v>
      </c>
      <c r="JF260">
        <v>18</v>
      </c>
      <c r="JG260">
        <v>512.453</v>
      </c>
      <c r="JH260">
        <v>425.34</v>
      </c>
      <c r="JI260">
        <v>23.1704</v>
      </c>
      <c r="JJ260">
        <v>27.9641</v>
      </c>
      <c r="JK260">
        <v>29.9998</v>
      </c>
      <c r="JL260">
        <v>27.9965</v>
      </c>
      <c r="JM260">
        <v>27.9438</v>
      </c>
      <c r="JN260">
        <v>3.48382</v>
      </c>
      <c r="JO260">
        <v>44.3442</v>
      </c>
      <c r="JP260">
        <v>0</v>
      </c>
      <c r="JQ260">
        <v>23.1703</v>
      </c>
      <c r="JR260">
        <v>16.6927</v>
      </c>
      <c r="JS260">
        <v>9.543760000000001</v>
      </c>
      <c r="JT260">
        <v>100.409</v>
      </c>
      <c r="JU260">
        <v>100.341</v>
      </c>
    </row>
    <row r="261" spans="1:281">
      <c r="A261">
        <v>245</v>
      </c>
      <c r="B261">
        <v>1651866254.5</v>
      </c>
      <c r="C261">
        <v>2033.900000095367</v>
      </c>
      <c r="D261" t="s">
        <v>913</v>
      </c>
      <c r="E261" t="s">
        <v>914</v>
      </c>
      <c r="F261">
        <v>2</v>
      </c>
      <c r="G261" t="s">
        <v>908</v>
      </c>
      <c r="H261" t="s">
        <v>414</v>
      </c>
      <c r="I261">
        <v>1651866253.5</v>
      </c>
      <c r="J261">
        <f>(K261)/1000</f>
        <v>0</v>
      </c>
      <c r="K261">
        <f>IF(CZ261, AN261, AH261)</f>
        <v>0</v>
      </c>
      <c r="L261">
        <f>IF(CZ261, AI261, AG261)</f>
        <v>0</v>
      </c>
      <c r="M261">
        <f>DB261 - IF(AU261&gt;1, L261*CV261*100.0/(AW261*DP261), 0)</f>
        <v>0</v>
      </c>
      <c r="N261">
        <f>((T261-J261/2)*M261-L261)/(T261+J261/2)</f>
        <v>0</v>
      </c>
      <c r="O261">
        <f>N261*(DI261+DJ261)/1000.0</f>
        <v>0</v>
      </c>
      <c r="P261">
        <f>(DB261 - IF(AU261&gt;1, L261*CV261*100.0/(AW261*DP261), 0))*(DI261+DJ261)/1000.0</f>
        <v>0</v>
      </c>
      <c r="Q261">
        <f>2.0/((1/S261-1/R261)+SIGN(S261)*SQRT((1/S261-1/R261)*(1/S261-1/R261) + 4*CW261/((CW261+1)*(CW261+1))*(2*1/S261*1/R261-1/R261*1/R261)))</f>
        <v>0</v>
      </c>
      <c r="R261">
        <f>IF(LEFT(CX261,1)&lt;&gt;"0",IF(LEFT(CX261,1)="1",3.0,CY261),$D$5+$E$5*(DP261*DI261/($K$5*1000))+$F$5*(DP261*DI261/($K$5*1000))*MAX(MIN(CV261,$J$5),$I$5)*MAX(MIN(CV261,$J$5),$I$5)+$G$5*MAX(MIN(CV261,$J$5),$I$5)*(DP261*DI261/($K$5*1000))+$H$5*(DP261*DI261/($K$5*1000))*(DP261*DI261/($K$5*1000)))</f>
        <v>0</v>
      </c>
      <c r="S261">
        <f>J261*(1000-(1000*0.61365*exp(17.502*W261/(240.97+W261))/(DI261+DJ261)+DD261)/2)/(1000*0.61365*exp(17.502*W261/(240.97+W261))/(DI261+DJ261)-DD261)</f>
        <v>0</v>
      </c>
      <c r="T261">
        <f>1/((CW261+1)/(Q261/1.6)+1/(R261/1.37)) + CW261/((CW261+1)/(Q261/1.6) + CW261/(R261/1.37))</f>
        <v>0</v>
      </c>
      <c r="U261">
        <f>(CR261*CU261)</f>
        <v>0</v>
      </c>
      <c r="V261">
        <f>(DK261+(U261+2*0.95*5.67E-8*(((DK261+$B$7)+273)^4-(DK261+273)^4)-44100*J261)/(1.84*29.3*R261+8*0.95*5.67E-8*(DK261+273)^3))</f>
        <v>0</v>
      </c>
      <c r="W261">
        <f>($C$7*DL261+$D$7*DM261+$E$7*V261)</f>
        <v>0</v>
      </c>
      <c r="X261">
        <f>0.61365*exp(17.502*W261/(240.97+W261))</f>
        <v>0</v>
      </c>
      <c r="Y261">
        <f>(Z261/AA261*100)</f>
        <v>0</v>
      </c>
      <c r="Z261">
        <f>DD261*(DI261+DJ261)/1000</f>
        <v>0</v>
      </c>
      <c r="AA261">
        <f>0.61365*exp(17.502*DK261/(240.97+DK261))</f>
        <v>0</v>
      </c>
      <c r="AB261">
        <f>(X261-DD261*(DI261+DJ261)/1000)</f>
        <v>0</v>
      </c>
      <c r="AC261">
        <f>(-J261*44100)</f>
        <v>0</v>
      </c>
      <c r="AD261">
        <f>2*29.3*R261*0.92*(DK261-W261)</f>
        <v>0</v>
      </c>
      <c r="AE261">
        <f>2*0.95*5.67E-8*(((DK261+$B$7)+273)^4-(W261+273)^4)</f>
        <v>0</v>
      </c>
      <c r="AF261">
        <f>U261+AE261+AC261+AD261</f>
        <v>0</v>
      </c>
      <c r="AG261">
        <f>DH261*AU261*(DC261-DB261*(1000-AU261*DE261)/(1000-AU261*DD261))/(100*CV261)</f>
        <v>0</v>
      </c>
      <c r="AH261">
        <f>1000*DH261*AU261*(DD261-DE261)/(100*CV261*(1000-AU261*DD261))</f>
        <v>0</v>
      </c>
      <c r="AI261">
        <f>(AJ261 - AK261 - DI261*1E3/(8.314*(DK261+273.15)) * AM261/DH261 * AL261) * DH261/(100*CV261) * (1000 - DE261)/1000</f>
        <v>0</v>
      </c>
      <c r="AJ261">
        <v>10.17097778707085</v>
      </c>
      <c r="AK261">
        <v>14.54816666666667</v>
      </c>
      <c r="AL261">
        <v>0.0001872667855576551</v>
      </c>
      <c r="AM261">
        <v>66.38195617057868</v>
      </c>
      <c r="AN261">
        <f>(AP261 - AO261 + DI261*1E3/(8.314*(DK261+273.15)) * AR261/DH261 * AQ261) * DH261/(100*CV261) * 1000/(1000 - AP261)</f>
        <v>0</v>
      </c>
      <c r="AO261">
        <v>9.558099909932343</v>
      </c>
      <c r="AP261">
        <v>18.54097705882352</v>
      </c>
      <c r="AQ261">
        <v>0.002090642874190741</v>
      </c>
      <c r="AR261">
        <v>80.47178418790507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MAX(0,($B$13+$C$13*DP261)/(1+$D$13*DP261)*DI261/(DK261+273)*$E$13)</f>
        <v>0</v>
      </c>
      <c r="AX261" t="s">
        <v>417</v>
      </c>
      <c r="AY261" t="s">
        <v>417</v>
      </c>
      <c r="AZ261">
        <v>0</v>
      </c>
      <c r="BA261">
        <v>0</v>
      </c>
      <c r="BB261">
        <f>1-AZ261/BA261</f>
        <v>0</v>
      </c>
      <c r="BC261">
        <v>0</v>
      </c>
      <c r="BD261" t="s">
        <v>417</v>
      </c>
      <c r="BE261" t="s">
        <v>417</v>
      </c>
      <c r="BF261">
        <v>0</v>
      </c>
      <c r="BG261">
        <v>0</v>
      </c>
      <c r="BH261">
        <f>1-BF261/BG261</f>
        <v>0</v>
      </c>
      <c r="BI261">
        <v>0.5</v>
      </c>
      <c r="BJ261">
        <f>CS261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417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BZ261">
        <v>1249</v>
      </c>
      <c r="CA261">
        <v>300</v>
      </c>
      <c r="CB261">
        <v>300</v>
      </c>
      <c r="CC261">
        <v>300</v>
      </c>
      <c r="CD261">
        <v>10442.4</v>
      </c>
      <c r="CE261">
        <v>1239.69</v>
      </c>
      <c r="CF261">
        <v>-0.00735276</v>
      </c>
      <c r="CG261">
        <v>0.07000000000000001</v>
      </c>
      <c r="CH261" t="s">
        <v>417</v>
      </c>
      <c r="CI261" t="s">
        <v>417</v>
      </c>
      <c r="CJ261" t="s">
        <v>417</v>
      </c>
      <c r="CK261" t="s">
        <v>417</v>
      </c>
      <c r="CL261" t="s">
        <v>417</v>
      </c>
      <c r="CM261" t="s">
        <v>417</v>
      </c>
      <c r="CN261" t="s">
        <v>417</v>
      </c>
      <c r="CO261" t="s">
        <v>417</v>
      </c>
      <c r="CP261" t="s">
        <v>417</v>
      </c>
      <c r="CQ261" t="s">
        <v>417</v>
      </c>
      <c r="CR261">
        <f>$B$11*DQ261+$C$11*DR261+$F$11*EC261*(1-EF261)</f>
        <v>0</v>
      </c>
      <c r="CS261">
        <f>CR261*CT261</f>
        <v>0</v>
      </c>
      <c r="CT261">
        <f>($B$11*$D$9+$C$11*$D$9+$F$11*((EP261+EH261)/MAX(EP261+EH261+EQ261, 0.1)*$I$9+EQ261/MAX(EP261+EH261+EQ261, 0.1)*$J$9))/($B$11+$C$11+$F$11)</f>
        <v>0</v>
      </c>
      <c r="CU261">
        <f>($B$11*$K$9+$C$11*$K$9+$F$11*((EP261+EH261)/MAX(EP261+EH261+EQ261, 0.1)*$P$9+EQ261/MAX(EP261+EH261+EQ261, 0.1)*$Q$9))/($B$11+$C$11+$F$11)</f>
        <v>0</v>
      </c>
      <c r="CV261">
        <v>6</v>
      </c>
      <c r="CW261">
        <v>0.5</v>
      </c>
      <c r="CX261" t="s">
        <v>418</v>
      </c>
      <c r="CY261">
        <v>2</v>
      </c>
      <c r="CZ261" t="b">
        <v>1</v>
      </c>
      <c r="DA261">
        <v>1651866253.5</v>
      </c>
      <c r="DB261">
        <v>14.27603333333333</v>
      </c>
      <c r="DC261">
        <v>10.05783333333333</v>
      </c>
      <c r="DD261">
        <v>18.5402</v>
      </c>
      <c r="DE261">
        <v>9.556603333333333</v>
      </c>
      <c r="DF261">
        <v>14.46193333333333</v>
      </c>
      <c r="DG261">
        <v>18.5169</v>
      </c>
      <c r="DH261">
        <v>499.897</v>
      </c>
      <c r="DI261">
        <v>89.9139</v>
      </c>
      <c r="DJ261">
        <v>0.09960776666666667</v>
      </c>
      <c r="DK261">
        <v>25.8235</v>
      </c>
      <c r="DL261">
        <v>25.0011</v>
      </c>
      <c r="DM261">
        <v>999.9</v>
      </c>
      <c r="DN261">
        <v>0</v>
      </c>
      <c r="DO261">
        <v>0</v>
      </c>
      <c r="DP261">
        <v>9996.440000000001</v>
      </c>
      <c r="DQ261">
        <v>0</v>
      </c>
      <c r="DR261">
        <v>3.208983333333334</v>
      </c>
      <c r="DS261">
        <v>4.218186666666667</v>
      </c>
      <c r="DT261">
        <v>14.54573333333333</v>
      </c>
      <c r="DU261">
        <v>10.15486666666667</v>
      </c>
      <c r="DV261">
        <v>8.983576666666666</v>
      </c>
      <c r="DW261">
        <v>10.05783333333333</v>
      </c>
      <c r="DX261">
        <v>9.556603333333333</v>
      </c>
      <c r="DY261">
        <v>1.66702</v>
      </c>
      <c r="DZ261">
        <v>0.859271</v>
      </c>
      <c r="EA261">
        <v>14.5927</v>
      </c>
      <c r="EB261">
        <v>4.72609</v>
      </c>
      <c r="EC261">
        <v>1499.96</v>
      </c>
      <c r="ED261">
        <v>0.9729990000000001</v>
      </c>
      <c r="EE261">
        <v>0.0270009</v>
      </c>
      <c r="EF261">
        <v>0</v>
      </c>
      <c r="EG261">
        <v>866.1026666666667</v>
      </c>
      <c r="EH261">
        <v>5.00097</v>
      </c>
      <c r="EI261">
        <v>12860.76666666667</v>
      </c>
      <c r="EJ261">
        <v>12491.23333333333</v>
      </c>
      <c r="EK261">
        <v>37.604</v>
      </c>
      <c r="EL261">
        <v>39.625</v>
      </c>
      <c r="EM261">
        <v>37.937</v>
      </c>
      <c r="EN261">
        <v>39.5</v>
      </c>
      <c r="EO261">
        <v>38.875</v>
      </c>
      <c r="EP261">
        <v>1454.59</v>
      </c>
      <c r="EQ261">
        <v>40.37</v>
      </c>
      <c r="ER261">
        <v>0</v>
      </c>
      <c r="ES261">
        <v>771.7999999523163</v>
      </c>
      <c r="ET261">
        <v>0</v>
      </c>
      <c r="EU261">
        <v>866.0006800000001</v>
      </c>
      <c r="EV261">
        <v>3.419384606974109</v>
      </c>
      <c r="EW261">
        <v>73.25384636917617</v>
      </c>
      <c r="EX261">
        <v>12852.524</v>
      </c>
      <c r="EY261">
        <v>15</v>
      </c>
      <c r="EZ261">
        <v>1651865518.1</v>
      </c>
      <c r="FA261" t="s">
        <v>910</v>
      </c>
      <c r="FB261">
        <v>1651865507.1</v>
      </c>
      <c r="FC261">
        <v>1651865518.1</v>
      </c>
      <c r="FD261">
        <v>8</v>
      </c>
      <c r="FE261">
        <v>0.06</v>
      </c>
      <c r="FF261">
        <v>0</v>
      </c>
      <c r="FG261">
        <v>-0.927</v>
      </c>
      <c r="FH261">
        <v>-0.062</v>
      </c>
      <c r="FI261">
        <v>400</v>
      </c>
      <c r="FJ261">
        <v>11</v>
      </c>
      <c r="FK261">
        <v>0.11</v>
      </c>
      <c r="FL261">
        <v>0.01</v>
      </c>
      <c r="FM261">
        <v>4.3047475</v>
      </c>
      <c r="FN261">
        <v>-0.4806200375234629</v>
      </c>
      <c r="FO261">
        <v>0.06378291604144477</v>
      </c>
      <c r="FP261">
        <v>-1</v>
      </c>
      <c r="FQ261">
        <v>8.9759045</v>
      </c>
      <c r="FR261">
        <v>-0.02203452157598016</v>
      </c>
      <c r="FS261">
        <v>0.005810292139815354</v>
      </c>
      <c r="FT261">
        <v>-1</v>
      </c>
      <c r="FU261">
        <v>0</v>
      </c>
      <c r="FV261">
        <v>0</v>
      </c>
      <c r="FW261">
        <v>0</v>
      </c>
      <c r="FX261">
        <v>-1</v>
      </c>
      <c r="FY261">
        <v>0</v>
      </c>
      <c r="FZ261">
        <v>0</v>
      </c>
      <c r="GA261" t="s">
        <v>420</v>
      </c>
      <c r="GB261">
        <v>2.98132</v>
      </c>
      <c r="GC261">
        <v>2.706</v>
      </c>
      <c r="GD261">
        <v>0.00384581</v>
      </c>
      <c r="GE261">
        <v>0.0026495</v>
      </c>
      <c r="GF261">
        <v>0.0884267</v>
      </c>
      <c r="GG261">
        <v>0.0535208</v>
      </c>
      <c r="GH261">
        <v>31475.7</v>
      </c>
      <c r="GI261">
        <v>31581.8</v>
      </c>
      <c r="GJ261">
        <v>29375.6</v>
      </c>
      <c r="GK261">
        <v>29290.5</v>
      </c>
      <c r="GL261">
        <v>35453.7</v>
      </c>
      <c r="GM261">
        <v>36927.2</v>
      </c>
      <c r="GN261">
        <v>41346.3</v>
      </c>
      <c r="GO261">
        <v>41808.8</v>
      </c>
      <c r="GP261">
        <v>1.9659</v>
      </c>
      <c r="GQ261">
        <v>1.85192</v>
      </c>
      <c r="GR261">
        <v>-0.00438839</v>
      </c>
      <c r="GS261">
        <v>0</v>
      </c>
      <c r="GT261">
        <v>25.0741</v>
      </c>
      <c r="GU261">
        <v>999.9</v>
      </c>
      <c r="GV261">
        <v>29.9</v>
      </c>
      <c r="GW261">
        <v>34.2</v>
      </c>
      <c r="GX261">
        <v>17.9684</v>
      </c>
      <c r="GY261">
        <v>62.2776</v>
      </c>
      <c r="GZ261">
        <v>35.1362</v>
      </c>
      <c r="HA261">
        <v>1</v>
      </c>
      <c r="HB261">
        <v>0.0490422</v>
      </c>
      <c r="HC261">
        <v>1.47534</v>
      </c>
      <c r="HD261">
        <v>20.33</v>
      </c>
      <c r="HE261">
        <v>5.21624</v>
      </c>
      <c r="HF261">
        <v>12.0099</v>
      </c>
      <c r="HG261">
        <v>4.98905</v>
      </c>
      <c r="HH261">
        <v>3.2885</v>
      </c>
      <c r="HI261">
        <v>1029.4</v>
      </c>
      <c r="HJ261">
        <v>9721.9</v>
      </c>
      <c r="HK261">
        <v>5139.4</v>
      </c>
      <c r="HL261">
        <v>25.3</v>
      </c>
      <c r="HM261">
        <v>1.86743</v>
      </c>
      <c r="HN261">
        <v>1.86646</v>
      </c>
      <c r="HO261">
        <v>1.866</v>
      </c>
      <c r="HP261">
        <v>1.86584</v>
      </c>
      <c r="HQ261">
        <v>1.86768</v>
      </c>
      <c r="HR261">
        <v>1.87016</v>
      </c>
      <c r="HS261">
        <v>1.8689</v>
      </c>
      <c r="HT261">
        <v>1.87022</v>
      </c>
      <c r="HU261">
        <v>0</v>
      </c>
      <c r="HV261">
        <v>0</v>
      </c>
      <c r="HW261">
        <v>0</v>
      </c>
      <c r="HX261">
        <v>0</v>
      </c>
      <c r="HY261" t="s">
        <v>421</v>
      </c>
      <c r="HZ261" t="s">
        <v>422</v>
      </c>
      <c r="IA261" t="s">
        <v>423</v>
      </c>
      <c r="IB261" t="s">
        <v>423</v>
      </c>
      <c r="IC261" t="s">
        <v>423</v>
      </c>
      <c r="ID261" t="s">
        <v>423</v>
      </c>
      <c r="IE261">
        <v>0</v>
      </c>
      <c r="IF261">
        <v>100</v>
      </c>
      <c r="IG261">
        <v>100</v>
      </c>
      <c r="IH261">
        <v>-0.186</v>
      </c>
      <c r="II261">
        <v>0.0233</v>
      </c>
      <c r="IJ261">
        <v>-0.1559367209035702</v>
      </c>
      <c r="IK261">
        <v>-0.002077099775823331</v>
      </c>
      <c r="IL261">
        <v>4.593143279902166E-07</v>
      </c>
      <c r="IM261">
        <v>-1.865383991892071E-10</v>
      </c>
      <c r="IN261">
        <v>-0.0607165066849496</v>
      </c>
      <c r="IO261">
        <v>-0.01129461987421345</v>
      </c>
      <c r="IP261">
        <v>0.00116580895745559</v>
      </c>
      <c r="IQ261">
        <v>-1.679085872906199E-05</v>
      </c>
      <c r="IR261">
        <v>2</v>
      </c>
      <c r="IS261">
        <v>2290</v>
      </c>
      <c r="IT261">
        <v>0</v>
      </c>
      <c r="IU261">
        <v>32</v>
      </c>
      <c r="IV261">
        <v>12.5</v>
      </c>
      <c r="IW261">
        <v>12.3</v>
      </c>
      <c r="IX261">
        <v>0.178223</v>
      </c>
      <c r="IY261">
        <v>2.32788</v>
      </c>
      <c r="IZ261">
        <v>1.39648</v>
      </c>
      <c r="JA261">
        <v>2.35474</v>
      </c>
      <c r="JB261">
        <v>1.49536</v>
      </c>
      <c r="JC261">
        <v>2.36694</v>
      </c>
      <c r="JD261">
        <v>38.0377</v>
      </c>
      <c r="JE261">
        <v>24.0437</v>
      </c>
      <c r="JF261">
        <v>18</v>
      </c>
      <c r="JG261">
        <v>512.427</v>
      </c>
      <c r="JH261">
        <v>425.376</v>
      </c>
      <c r="JI261">
        <v>23.1699</v>
      </c>
      <c r="JJ261">
        <v>27.9629</v>
      </c>
      <c r="JK261">
        <v>29.9998</v>
      </c>
      <c r="JL261">
        <v>27.9953</v>
      </c>
      <c r="JM261">
        <v>27.9426</v>
      </c>
      <c r="JN261">
        <v>3.66903</v>
      </c>
      <c r="JO261">
        <v>44.3442</v>
      </c>
      <c r="JP261">
        <v>0</v>
      </c>
      <c r="JQ261">
        <v>23.1703</v>
      </c>
      <c r="JR261">
        <v>23.3878</v>
      </c>
      <c r="JS261">
        <v>9.54546</v>
      </c>
      <c r="JT261">
        <v>100.41</v>
      </c>
      <c r="JU261">
        <v>100.342</v>
      </c>
    </row>
    <row r="262" spans="1:281">
      <c r="A262">
        <v>246</v>
      </c>
      <c r="B262">
        <v>1651866256.5</v>
      </c>
      <c r="C262">
        <v>2035.900000095367</v>
      </c>
      <c r="D262" t="s">
        <v>915</v>
      </c>
      <c r="E262" t="s">
        <v>916</v>
      </c>
      <c r="F262">
        <v>2</v>
      </c>
      <c r="G262" t="s">
        <v>908</v>
      </c>
      <c r="H262" t="s">
        <v>414</v>
      </c>
      <c r="I262">
        <v>1651866255.125</v>
      </c>
      <c r="J262">
        <f>(K262)/1000</f>
        <v>0</v>
      </c>
      <c r="K262">
        <f>IF(CZ262, AN262, AH262)</f>
        <v>0</v>
      </c>
      <c r="L262">
        <f>IF(CZ262, AI262, AG262)</f>
        <v>0</v>
      </c>
      <c r="M262">
        <f>DB262 - IF(AU262&gt;1, L262*CV262*100.0/(AW262*DP262), 0)</f>
        <v>0</v>
      </c>
      <c r="N262">
        <f>((T262-J262/2)*M262-L262)/(T262+J262/2)</f>
        <v>0</v>
      </c>
      <c r="O262">
        <f>N262*(DI262+DJ262)/1000.0</f>
        <v>0</v>
      </c>
      <c r="P262">
        <f>(DB262 - IF(AU262&gt;1, L262*CV262*100.0/(AW262*DP262), 0))*(DI262+DJ262)/1000.0</f>
        <v>0</v>
      </c>
      <c r="Q262">
        <f>2.0/((1/S262-1/R262)+SIGN(S262)*SQRT((1/S262-1/R262)*(1/S262-1/R262) + 4*CW262/((CW262+1)*(CW262+1))*(2*1/S262*1/R262-1/R262*1/R262)))</f>
        <v>0</v>
      </c>
      <c r="R262">
        <f>IF(LEFT(CX262,1)&lt;&gt;"0",IF(LEFT(CX262,1)="1",3.0,CY262),$D$5+$E$5*(DP262*DI262/($K$5*1000))+$F$5*(DP262*DI262/($K$5*1000))*MAX(MIN(CV262,$J$5),$I$5)*MAX(MIN(CV262,$J$5),$I$5)+$G$5*MAX(MIN(CV262,$J$5),$I$5)*(DP262*DI262/($K$5*1000))+$H$5*(DP262*DI262/($K$5*1000))*(DP262*DI262/($K$5*1000)))</f>
        <v>0</v>
      </c>
      <c r="S262">
        <f>J262*(1000-(1000*0.61365*exp(17.502*W262/(240.97+W262))/(DI262+DJ262)+DD262)/2)/(1000*0.61365*exp(17.502*W262/(240.97+W262))/(DI262+DJ262)-DD262)</f>
        <v>0</v>
      </c>
      <c r="T262">
        <f>1/((CW262+1)/(Q262/1.6)+1/(R262/1.37)) + CW262/((CW262+1)/(Q262/1.6) + CW262/(R262/1.37))</f>
        <v>0</v>
      </c>
      <c r="U262">
        <f>(CR262*CU262)</f>
        <v>0</v>
      </c>
      <c r="V262">
        <f>(DK262+(U262+2*0.95*5.67E-8*(((DK262+$B$7)+273)^4-(DK262+273)^4)-44100*J262)/(1.84*29.3*R262+8*0.95*5.67E-8*(DK262+273)^3))</f>
        <v>0</v>
      </c>
      <c r="W262">
        <f>($C$7*DL262+$D$7*DM262+$E$7*V262)</f>
        <v>0</v>
      </c>
      <c r="X262">
        <f>0.61365*exp(17.502*W262/(240.97+W262))</f>
        <v>0</v>
      </c>
      <c r="Y262">
        <f>(Z262/AA262*100)</f>
        <v>0</v>
      </c>
      <c r="Z262">
        <f>DD262*(DI262+DJ262)/1000</f>
        <v>0</v>
      </c>
      <c r="AA262">
        <f>0.61365*exp(17.502*DK262/(240.97+DK262))</f>
        <v>0</v>
      </c>
      <c r="AB262">
        <f>(X262-DD262*(DI262+DJ262)/1000)</f>
        <v>0</v>
      </c>
      <c r="AC262">
        <f>(-J262*44100)</f>
        <v>0</v>
      </c>
      <c r="AD262">
        <f>2*29.3*R262*0.92*(DK262-W262)</f>
        <v>0</v>
      </c>
      <c r="AE262">
        <f>2*0.95*5.67E-8*(((DK262+$B$7)+273)^4-(W262+273)^4)</f>
        <v>0</v>
      </c>
      <c r="AF262">
        <f>U262+AE262+AC262+AD262</f>
        <v>0</v>
      </c>
      <c r="AG262">
        <f>DH262*AU262*(DC262-DB262*(1000-AU262*DE262)/(1000-AU262*DD262))/(100*CV262)</f>
        <v>0</v>
      </c>
      <c r="AH262">
        <f>1000*DH262*AU262*(DD262-DE262)/(100*CV262*(1000-AU262*DD262))</f>
        <v>0</v>
      </c>
      <c r="AI262">
        <f>(AJ262 - AK262 - DI262*1E3/(8.314*(DK262+273.15)) * AM262/DH262 * AL262) * DH262/(100*CV262) * (1000 - DE262)/1000</f>
        <v>0</v>
      </c>
      <c r="AJ262">
        <v>10.11120817770524</v>
      </c>
      <c r="AK262">
        <v>14.53747878787879</v>
      </c>
      <c r="AL262">
        <v>-1.511122835774853E-05</v>
      </c>
      <c r="AM262">
        <v>66.38195617057868</v>
      </c>
      <c r="AN262">
        <f>(AP262 - AO262 + DI262*1E3/(8.314*(DK262+273.15)) * AR262/DH262 * AQ262) * DH262/(100*CV262) * 1000/(1000 - AP262)</f>
        <v>0</v>
      </c>
      <c r="AO262">
        <v>9.557320556351693</v>
      </c>
      <c r="AP262">
        <v>18.54810323529412</v>
      </c>
      <c r="AQ262">
        <v>0.0007350138549803588</v>
      </c>
      <c r="AR262">
        <v>80.47178418790507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MAX(0,($B$13+$C$13*DP262)/(1+$D$13*DP262)*DI262/(DK262+273)*$E$13)</f>
        <v>0</v>
      </c>
      <c r="AX262" t="s">
        <v>417</v>
      </c>
      <c r="AY262" t="s">
        <v>417</v>
      </c>
      <c r="AZ262">
        <v>0</v>
      </c>
      <c r="BA262">
        <v>0</v>
      </c>
      <c r="BB262">
        <f>1-AZ262/BA262</f>
        <v>0</v>
      </c>
      <c r="BC262">
        <v>0</v>
      </c>
      <c r="BD262" t="s">
        <v>417</v>
      </c>
      <c r="BE262" t="s">
        <v>417</v>
      </c>
      <c r="BF262">
        <v>0</v>
      </c>
      <c r="BG262">
        <v>0</v>
      </c>
      <c r="BH262">
        <f>1-BF262/BG262</f>
        <v>0</v>
      </c>
      <c r="BI262">
        <v>0.5</v>
      </c>
      <c r="BJ262">
        <f>CS262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417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BZ262">
        <v>1249</v>
      </c>
      <c r="CA262">
        <v>300</v>
      </c>
      <c r="CB262">
        <v>300</v>
      </c>
      <c r="CC262">
        <v>300</v>
      </c>
      <c r="CD262">
        <v>10442.4</v>
      </c>
      <c r="CE262">
        <v>1239.69</v>
      </c>
      <c r="CF262">
        <v>-0.00735276</v>
      </c>
      <c r="CG262">
        <v>0.07000000000000001</v>
      </c>
      <c r="CH262" t="s">
        <v>417</v>
      </c>
      <c r="CI262" t="s">
        <v>417</v>
      </c>
      <c r="CJ262" t="s">
        <v>417</v>
      </c>
      <c r="CK262" t="s">
        <v>417</v>
      </c>
      <c r="CL262" t="s">
        <v>417</v>
      </c>
      <c r="CM262" t="s">
        <v>417</v>
      </c>
      <c r="CN262" t="s">
        <v>417</v>
      </c>
      <c r="CO262" t="s">
        <v>417</v>
      </c>
      <c r="CP262" t="s">
        <v>417</v>
      </c>
      <c r="CQ262" t="s">
        <v>417</v>
      </c>
      <c r="CR262">
        <f>$B$11*DQ262+$C$11*DR262+$F$11*EC262*(1-EF262)</f>
        <v>0</v>
      </c>
      <c r="CS262">
        <f>CR262*CT262</f>
        <v>0</v>
      </c>
      <c r="CT262">
        <f>($B$11*$D$9+$C$11*$D$9+$F$11*((EP262+EH262)/MAX(EP262+EH262+EQ262, 0.1)*$I$9+EQ262/MAX(EP262+EH262+EQ262, 0.1)*$J$9))/($B$11+$C$11+$F$11)</f>
        <v>0</v>
      </c>
      <c r="CU262">
        <f>($B$11*$K$9+$C$11*$K$9+$F$11*((EP262+EH262)/MAX(EP262+EH262+EQ262, 0.1)*$P$9+EQ262/MAX(EP262+EH262+EQ262, 0.1)*$Q$9))/($B$11+$C$11+$F$11)</f>
        <v>0</v>
      </c>
      <c r="CV262">
        <v>6</v>
      </c>
      <c r="CW262">
        <v>0.5</v>
      </c>
      <c r="CX262" t="s">
        <v>418</v>
      </c>
      <c r="CY262">
        <v>2</v>
      </c>
      <c r="CZ262" t="b">
        <v>1</v>
      </c>
      <c r="DA262">
        <v>1651866255.125</v>
      </c>
      <c r="DB262">
        <v>14.274825</v>
      </c>
      <c r="DC262">
        <v>10.283075</v>
      </c>
      <c r="DD262">
        <v>18.5451</v>
      </c>
      <c r="DE262">
        <v>9.556215</v>
      </c>
      <c r="DF262">
        <v>14.460725</v>
      </c>
      <c r="DG262">
        <v>18.521725</v>
      </c>
      <c r="DH262">
        <v>499.99775</v>
      </c>
      <c r="DI262">
        <v>89.91275</v>
      </c>
      <c r="DJ262">
        <v>0.09992205</v>
      </c>
      <c r="DK262">
        <v>25.822875</v>
      </c>
      <c r="DL262">
        <v>25.00345</v>
      </c>
      <c r="DM262">
        <v>999.9</v>
      </c>
      <c r="DN262">
        <v>0</v>
      </c>
      <c r="DO262">
        <v>0</v>
      </c>
      <c r="DP262">
        <v>9990.924999999999</v>
      </c>
      <c r="DQ262">
        <v>0</v>
      </c>
      <c r="DR262">
        <v>3.2171775</v>
      </c>
      <c r="DS262">
        <v>3.9917575</v>
      </c>
      <c r="DT262">
        <v>14.54455</v>
      </c>
      <c r="DU262">
        <v>10.382275</v>
      </c>
      <c r="DV262">
        <v>8.9888625</v>
      </c>
      <c r="DW262">
        <v>10.283075</v>
      </c>
      <c r="DX262">
        <v>9.556215</v>
      </c>
      <c r="DY262">
        <v>1.66744</v>
      </c>
      <c r="DZ262">
        <v>0.85922575</v>
      </c>
      <c r="EA262">
        <v>14.5966</v>
      </c>
      <c r="EB262">
        <v>4.72533</v>
      </c>
      <c r="EC262">
        <v>1499.9775</v>
      </c>
      <c r="ED262">
        <v>0.9729985</v>
      </c>
      <c r="EE262">
        <v>0.02700135</v>
      </c>
      <c r="EF262">
        <v>0</v>
      </c>
      <c r="EG262">
        <v>866.2565</v>
      </c>
      <c r="EH262">
        <v>5.00097</v>
      </c>
      <c r="EI262">
        <v>12862.85</v>
      </c>
      <c r="EJ262">
        <v>12491.4</v>
      </c>
      <c r="EK262">
        <v>37.625</v>
      </c>
      <c r="EL262">
        <v>39.625</v>
      </c>
      <c r="EM262">
        <v>37.98425</v>
      </c>
      <c r="EN262">
        <v>39.578</v>
      </c>
      <c r="EO262">
        <v>38.875</v>
      </c>
      <c r="EP262">
        <v>1454.61</v>
      </c>
      <c r="EQ262">
        <v>40.36499999999999</v>
      </c>
      <c r="ER262">
        <v>0</v>
      </c>
      <c r="ES262">
        <v>774.2000000476837</v>
      </c>
      <c r="ET262">
        <v>0</v>
      </c>
      <c r="EU262">
        <v>866.14592</v>
      </c>
      <c r="EV262">
        <v>2.273230749124157</v>
      </c>
      <c r="EW262">
        <v>75.39999999138203</v>
      </c>
      <c r="EX262">
        <v>12855.652</v>
      </c>
      <c r="EY262">
        <v>15</v>
      </c>
      <c r="EZ262">
        <v>1651865518.1</v>
      </c>
      <c r="FA262" t="s">
        <v>910</v>
      </c>
      <c r="FB262">
        <v>1651865507.1</v>
      </c>
      <c r="FC262">
        <v>1651865518.1</v>
      </c>
      <c r="FD262">
        <v>8</v>
      </c>
      <c r="FE262">
        <v>0.06</v>
      </c>
      <c r="FF262">
        <v>0</v>
      </c>
      <c r="FG262">
        <v>-0.927</v>
      </c>
      <c r="FH262">
        <v>-0.062</v>
      </c>
      <c r="FI262">
        <v>400</v>
      </c>
      <c r="FJ262">
        <v>11</v>
      </c>
      <c r="FK262">
        <v>0.11</v>
      </c>
      <c r="FL262">
        <v>0.01</v>
      </c>
      <c r="FM262">
        <v>4.267950000000001</v>
      </c>
      <c r="FN262">
        <v>-1.047344690431536</v>
      </c>
      <c r="FO262">
        <v>0.1333353686948815</v>
      </c>
      <c r="FP262">
        <v>-1</v>
      </c>
      <c r="FQ262">
        <v>8.977645000000001</v>
      </c>
      <c r="FR262">
        <v>0.004777035647300975</v>
      </c>
      <c r="FS262">
        <v>0.007155307820073229</v>
      </c>
      <c r="FT262">
        <v>-1</v>
      </c>
      <c r="FU262">
        <v>0</v>
      </c>
      <c r="FV262">
        <v>0</v>
      </c>
      <c r="FW262">
        <v>0</v>
      </c>
      <c r="FX262">
        <v>-1</v>
      </c>
      <c r="FY262">
        <v>0</v>
      </c>
      <c r="FZ262">
        <v>0</v>
      </c>
      <c r="GA262" t="s">
        <v>420</v>
      </c>
      <c r="GB262">
        <v>2.98137</v>
      </c>
      <c r="GC262">
        <v>2.70611</v>
      </c>
      <c r="GD262">
        <v>0.00384679</v>
      </c>
      <c r="GE262">
        <v>0.00290233</v>
      </c>
      <c r="GF262">
        <v>0.0884394</v>
      </c>
      <c r="GG262">
        <v>0.0535181</v>
      </c>
      <c r="GH262">
        <v>31475.6</v>
      </c>
      <c r="GI262">
        <v>31573.8</v>
      </c>
      <c r="GJ262">
        <v>29375.5</v>
      </c>
      <c r="GK262">
        <v>29290.4</v>
      </c>
      <c r="GL262">
        <v>35453.2</v>
      </c>
      <c r="GM262">
        <v>36927.3</v>
      </c>
      <c r="GN262">
        <v>41346.3</v>
      </c>
      <c r="GO262">
        <v>41808.7</v>
      </c>
      <c r="GP262">
        <v>1.966</v>
      </c>
      <c r="GQ262">
        <v>1.8517</v>
      </c>
      <c r="GR262">
        <v>-0.00422448</v>
      </c>
      <c r="GS262">
        <v>0</v>
      </c>
      <c r="GT262">
        <v>25.0741</v>
      </c>
      <c r="GU262">
        <v>999.9</v>
      </c>
      <c r="GV262">
        <v>29.9</v>
      </c>
      <c r="GW262">
        <v>34.2</v>
      </c>
      <c r="GX262">
        <v>17.9679</v>
      </c>
      <c r="GY262">
        <v>62.6176</v>
      </c>
      <c r="GZ262">
        <v>35.2003</v>
      </c>
      <c r="HA262">
        <v>1</v>
      </c>
      <c r="HB262">
        <v>0.0488059</v>
      </c>
      <c r="HC262">
        <v>1.47282</v>
      </c>
      <c r="HD262">
        <v>20.3299</v>
      </c>
      <c r="HE262">
        <v>5.21654</v>
      </c>
      <c r="HF262">
        <v>12.0099</v>
      </c>
      <c r="HG262">
        <v>4.9891</v>
      </c>
      <c r="HH262">
        <v>3.28858</v>
      </c>
      <c r="HI262">
        <v>1029.4</v>
      </c>
      <c r="HJ262">
        <v>9721.9</v>
      </c>
      <c r="HK262">
        <v>5139.4</v>
      </c>
      <c r="HL262">
        <v>25.3</v>
      </c>
      <c r="HM262">
        <v>1.86743</v>
      </c>
      <c r="HN262">
        <v>1.86646</v>
      </c>
      <c r="HO262">
        <v>1.866</v>
      </c>
      <c r="HP262">
        <v>1.86584</v>
      </c>
      <c r="HQ262">
        <v>1.86768</v>
      </c>
      <c r="HR262">
        <v>1.87014</v>
      </c>
      <c r="HS262">
        <v>1.8689</v>
      </c>
      <c r="HT262">
        <v>1.8702</v>
      </c>
      <c r="HU262">
        <v>0</v>
      </c>
      <c r="HV262">
        <v>0</v>
      </c>
      <c r="HW262">
        <v>0</v>
      </c>
      <c r="HX262">
        <v>0</v>
      </c>
      <c r="HY262" t="s">
        <v>421</v>
      </c>
      <c r="HZ262" t="s">
        <v>422</v>
      </c>
      <c r="IA262" t="s">
        <v>423</v>
      </c>
      <c r="IB262" t="s">
        <v>423</v>
      </c>
      <c r="IC262" t="s">
        <v>423</v>
      </c>
      <c r="ID262" t="s">
        <v>423</v>
      </c>
      <c r="IE262">
        <v>0</v>
      </c>
      <c r="IF262">
        <v>100</v>
      </c>
      <c r="IG262">
        <v>100</v>
      </c>
      <c r="IH262">
        <v>-0.186</v>
      </c>
      <c r="II262">
        <v>0.0233</v>
      </c>
      <c r="IJ262">
        <v>-0.1559367209035702</v>
      </c>
      <c r="IK262">
        <v>-0.002077099775823331</v>
      </c>
      <c r="IL262">
        <v>4.593143279902166E-07</v>
      </c>
      <c r="IM262">
        <v>-1.865383991892071E-10</v>
      </c>
      <c r="IN262">
        <v>-0.0607165066849496</v>
      </c>
      <c r="IO262">
        <v>-0.01129461987421345</v>
      </c>
      <c r="IP262">
        <v>0.00116580895745559</v>
      </c>
      <c r="IQ262">
        <v>-1.679085872906199E-05</v>
      </c>
      <c r="IR262">
        <v>2</v>
      </c>
      <c r="IS262">
        <v>2290</v>
      </c>
      <c r="IT262">
        <v>0</v>
      </c>
      <c r="IU262">
        <v>32</v>
      </c>
      <c r="IV262">
        <v>12.5</v>
      </c>
      <c r="IW262">
        <v>12.3</v>
      </c>
      <c r="IX262">
        <v>0.189209</v>
      </c>
      <c r="IY262">
        <v>2.3291</v>
      </c>
      <c r="IZ262">
        <v>1.39648</v>
      </c>
      <c r="JA262">
        <v>2.35474</v>
      </c>
      <c r="JB262">
        <v>1.49536</v>
      </c>
      <c r="JC262">
        <v>2.30103</v>
      </c>
      <c r="JD262">
        <v>38.0377</v>
      </c>
      <c r="JE262">
        <v>24.0437</v>
      </c>
      <c r="JF262">
        <v>18</v>
      </c>
      <c r="JG262">
        <v>512.481</v>
      </c>
      <c r="JH262">
        <v>425.234</v>
      </c>
      <c r="JI262">
        <v>23.1694</v>
      </c>
      <c r="JJ262">
        <v>27.9617</v>
      </c>
      <c r="JK262">
        <v>29.9999</v>
      </c>
      <c r="JL262">
        <v>27.9941</v>
      </c>
      <c r="JM262">
        <v>27.9414</v>
      </c>
      <c r="JN262">
        <v>3.90783</v>
      </c>
      <c r="JO262">
        <v>44.3442</v>
      </c>
      <c r="JP262">
        <v>0</v>
      </c>
      <c r="JQ262">
        <v>23.1697</v>
      </c>
      <c r="JR262">
        <v>30.0991</v>
      </c>
      <c r="JS262">
        <v>9.540789999999999</v>
      </c>
      <c r="JT262">
        <v>100.41</v>
      </c>
      <c r="JU262">
        <v>100.342</v>
      </c>
    </row>
    <row r="263" spans="1:281">
      <c r="A263">
        <v>247</v>
      </c>
      <c r="B263">
        <v>1651866258.5</v>
      </c>
      <c r="C263">
        <v>2037.900000095367</v>
      </c>
      <c r="D263" t="s">
        <v>917</v>
      </c>
      <c r="E263" t="s">
        <v>918</v>
      </c>
      <c r="F263">
        <v>2</v>
      </c>
      <c r="G263" t="s">
        <v>908</v>
      </c>
      <c r="H263" t="s">
        <v>414</v>
      </c>
      <c r="I263">
        <v>1651866257.5</v>
      </c>
      <c r="J263">
        <f>(K263)/1000</f>
        <v>0</v>
      </c>
      <c r="K263">
        <f>IF(CZ263, AN263, AH263)</f>
        <v>0</v>
      </c>
      <c r="L263">
        <f>IF(CZ263, AI263, AG263)</f>
        <v>0</v>
      </c>
      <c r="M263">
        <f>DB263 - IF(AU263&gt;1, L263*CV263*100.0/(AW263*DP263), 0)</f>
        <v>0</v>
      </c>
      <c r="N263">
        <f>((T263-J263/2)*M263-L263)/(T263+J263/2)</f>
        <v>0</v>
      </c>
      <c r="O263">
        <f>N263*(DI263+DJ263)/1000.0</f>
        <v>0</v>
      </c>
      <c r="P263">
        <f>(DB263 - IF(AU263&gt;1, L263*CV263*100.0/(AW263*DP263), 0))*(DI263+DJ263)/1000.0</f>
        <v>0</v>
      </c>
      <c r="Q263">
        <f>2.0/((1/S263-1/R263)+SIGN(S263)*SQRT((1/S263-1/R263)*(1/S263-1/R263) + 4*CW263/((CW263+1)*(CW263+1))*(2*1/S263*1/R263-1/R263*1/R263)))</f>
        <v>0</v>
      </c>
      <c r="R263">
        <f>IF(LEFT(CX263,1)&lt;&gt;"0",IF(LEFT(CX263,1)="1",3.0,CY263),$D$5+$E$5*(DP263*DI263/($K$5*1000))+$F$5*(DP263*DI263/($K$5*1000))*MAX(MIN(CV263,$J$5),$I$5)*MAX(MIN(CV263,$J$5),$I$5)+$G$5*MAX(MIN(CV263,$J$5),$I$5)*(DP263*DI263/($K$5*1000))+$H$5*(DP263*DI263/($K$5*1000))*(DP263*DI263/($K$5*1000)))</f>
        <v>0</v>
      </c>
      <c r="S263">
        <f>J263*(1000-(1000*0.61365*exp(17.502*W263/(240.97+W263))/(DI263+DJ263)+DD263)/2)/(1000*0.61365*exp(17.502*W263/(240.97+W263))/(DI263+DJ263)-DD263)</f>
        <v>0</v>
      </c>
      <c r="T263">
        <f>1/((CW263+1)/(Q263/1.6)+1/(R263/1.37)) + CW263/((CW263+1)/(Q263/1.6) + CW263/(R263/1.37))</f>
        <v>0</v>
      </c>
      <c r="U263">
        <f>(CR263*CU263)</f>
        <v>0</v>
      </c>
      <c r="V263">
        <f>(DK263+(U263+2*0.95*5.67E-8*(((DK263+$B$7)+273)^4-(DK263+273)^4)-44100*J263)/(1.84*29.3*R263+8*0.95*5.67E-8*(DK263+273)^3))</f>
        <v>0</v>
      </c>
      <c r="W263">
        <f>($C$7*DL263+$D$7*DM263+$E$7*V263)</f>
        <v>0</v>
      </c>
      <c r="X263">
        <f>0.61365*exp(17.502*W263/(240.97+W263))</f>
        <v>0</v>
      </c>
      <c r="Y263">
        <f>(Z263/AA263*100)</f>
        <v>0</v>
      </c>
      <c r="Z263">
        <f>DD263*(DI263+DJ263)/1000</f>
        <v>0</v>
      </c>
      <c r="AA263">
        <f>0.61365*exp(17.502*DK263/(240.97+DK263))</f>
        <v>0</v>
      </c>
      <c r="AB263">
        <f>(X263-DD263*(DI263+DJ263)/1000)</f>
        <v>0</v>
      </c>
      <c r="AC263">
        <f>(-J263*44100)</f>
        <v>0</v>
      </c>
      <c r="AD263">
        <f>2*29.3*R263*0.92*(DK263-W263)</f>
        <v>0</v>
      </c>
      <c r="AE263">
        <f>2*0.95*5.67E-8*(((DK263+$B$7)+273)^4-(W263+273)^4)</f>
        <v>0</v>
      </c>
      <c r="AF263">
        <f>U263+AE263+AC263+AD263</f>
        <v>0</v>
      </c>
      <c r="AG263">
        <f>DH263*AU263*(DC263-DB263*(1000-AU263*DE263)/(1000-AU263*DD263))/(100*CV263)</f>
        <v>0</v>
      </c>
      <c r="AH263">
        <f>1000*DH263*AU263*(DD263-DE263)/(100*CV263*(1000-AU263*DD263))</f>
        <v>0</v>
      </c>
      <c r="AI263">
        <f>(AJ263 - AK263 - DI263*1E3/(8.314*(DK263+273.15)) * AM263/DH263 * AL263) * DH263/(100*CV263) * (1000 - DE263)/1000</f>
        <v>0</v>
      </c>
      <c r="AJ263">
        <v>10.52003692206766</v>
      </c>
      <c r="AK263">
        <v>14.69330787878789</v>
      </c>
      <c r="AL263">
        <v>0.04873001865181213</v>
      </c>
      <c r="AM263">
        <v>66.38195617057868</v>
      </c>
      <c r="AN263">
        <f>(AP263 - AO263 + DI263*1E3/(8.314*(DK263+273.15)) * AR263/DH263 * AQ263) * DH263/(100*CV263) * 1000/(1000 - AP263)</f>
        <v>0</v>
      </c>
      <c r="AO263">
        <v>9.556530999221241</v>
      </c>
      <c r="AP263">
        <v>18.54810029411764</v>
      </c>
      <c r="AQ263">
        <v>0.001067031386340852</v>
      </c>
      <c r="AR263">
        <v>80.47178418790507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MAX(0,($B$13+$C$13*DP263)/(1+$D$13*DP263)*DI263/(DK263+273)*$E$13)</f>
        <v>0</v>
      </c>
      <c r="AX263" t="s">
        <v>417</v>
      </c>
      <c r="AY263" t="s">
        <v>417</v>
      </c>
      <c r="AZ263">
        <v>0</v>
      </c>
      <c r="BA263">
        <v>0</v>
      </c>
      <c r="BB263">
        <f>1-AZ263/BA263</f>
        <v>0</v>
      </c>
      <c r="BC263">
        <v>0</v>
      </c>
      <c r="BD263" t="s">
        <v>417</v>
      </c>
      <c r="BE263" t="s">
        <v>417</v>
      </c>
      <c r="BF263">
        <v>0</v>
      </c>
      <c r="BG263">
        <v>0</v>
      </c>
      <c r="BH263">
        <f>1-BF263/BG263</f>
        <v>0</v>
      </c>
      <c r="BI263">
        <v>0.5</v>
      </c>
      <c r="BJ263">
        <f>CS263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417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BZ263">
        <v>1249</v>
      </c>
      <c r="CA263">
        <v>300</v>
      </c>
      <c r="CB263">
        <v>300</v>
      </c>
      <c r="CC263">
        <v>300</v>
      </c>
      <c r="CD263">
        <v>10442.4</v>
      </c>
      <c r="CE263">
        <v>1239.69</v>
      </c>
      <c r="CF263">
        <v>-0.00735276</v>
      </c>
      <c r="CG263">
        <v>0.07000000000000001</v>
      </c>
      <c r="CH263" t="s">
        <v>417</v>
      </c>
      <c r="CI263" t="s">
        <v>417</v>
      </c>
      <c r="CJ263" t="s">
        <v>417</v>
      </c>
      <c r="CK263" t="s">
        <v>417</v>
      </c>
      <c r="CL263" t="s">
        <v>417</v>
      </c>
      <c r="CM263" t="s">
        <v>417</v>
      </c>
      <c r="CN263" t="s">
        <v>417</v>
      </c>
      <c r="CO263" t="s">
        <v>417</v>
      </c>
      <c r="CP263" t="s">
        <v>417</v>
      </c>
      <c r="CQ263" t="s">
        <v>417</v>
      </c>
      <c r="CR263">
        <f>$B$11*DQ263+$C$11*DR263+$F$11*EC263*(1-EF263)</f>
        <v>0</v>
      </c>
      <c r="CS263">
        <f>CR263*CT263</f>
        <v>0</v>
      </c>
      <c r="CT263">
        <f>($B$11*$D$9+$C$11*$D$9+$F$11*((EP263+EH263)/MAX(EP263+EH263+EQ263, 0.1)*$I$9+EQ263/MAX(EP263+EH263+EQ263, 0.1)*$J$9))/($B$11+$C$11+$F$11)</f>
        <v>0</v>
      </c>
      <c r="CU263">
        <f>($B$11*$K$9+$C$11*$K$9+$F$11*((EP263+EH263)/MAX(EP263+EH263+EQ263, 0.1)*$P$9+EQ263/MAX(EP263+EH263+EQ263, 0.1)*$Q$9))/($B$11+$C$11+$F$11)</f>
        <v>0</v>
      </c>
      <c r="CV263">
        <v>6</v>
      </c>
      <c r="CW263">
        <v>0.5</v>
      </c>
      <c r="CX263" t="s">
        <v>418</v>
      </c>
      <c r="CY263">
        <v>2</v>
      </c>
      <c r="CZ263" t="b">
        <v>1</v>
      </c>
      <c r="DA263">
        <v>1651866257.5</v>
      </c>
      <c r="DB263">
        <v>14.3643</v>
      </c>
      <c r="DC263">
        <v>12.37036666666667</v>
      </c>
      <c r="DD263">
        <v>18.54736666666667</v>
      </c>
      <c r="DE263">
        <v>9.555953333333333</v>
      </c>
      <c r="DF263">
        <v>14.55036666666667</v>
      </c>
      <c r="DG263">
        <v>18.524</v>
      </c>
      <c r="DH263">
        <v>500.07</v>
      </c>
      <c r="DI263">
        <v>89.9114</v>
      </c>
      <c r="DJ263">
        <v>0.1001343333333333</v>
      </c>
      <c r="DK263">
        <v>25.8229</v>
      </c>
      <c r="DL263">
        <v>25.006</v>
      </c>
      <c r="DM263">
        <v>999.9</v>
      </c>
      <c r="DN263">
        <v>0</v>
      </c>
      <c r="DO263">
        <v>0</v>
      </c>
      <c r="DP263">
        <v>9970</v>
      </c>
      <c r="DQ263">
        <v>0</v>
      </c>
      <c r="DR263">
        <v>3.21273</v>
      </c>
      <c r="DS263">
        <v>1.993943333333333</v>
      </c>
      <c r="DT263">
        <v>14.63576666666667</v>
      </c>
      <c r="DU263">
        <v>12.48973333333333</v>
      </c>
      <c r="DV263">
        <v>8.991403333333333</v>
      </c>
      <c r="DW263">
        <v>12.37036666666667</v>
      </c>
      <c r="DX263">
        <v>9.555953333333333</v>
      </c>
      <c r="DY263">
        <v>1.667616666666667</v>
      </c>
      <c r="DZ263">
        <v>0.8591886666666667</v>
      </c>
      <c r="EA263">
        <v>14.59823333333333</v>
      </c>
      <c r="EB263">
        <v>4.724713333333333</v>
      </c>
      <c r="EC263">
        <v>1499.98</v>
      </c>
      <c r="ED263">
        <v>0.973001</v>
      </c>
      <c r="EE263">
        <v>0.0269991</v>
      </c>
      <c r="EF263">
        <v>0</v>
      </c>
      <c r="EG263">
        <v>866.3716666666666</v>
      </c>
      <c r="EH263">
        <v>5.00097</v>
      </c>
      <c r="EI263">
        <v>12864.1</v>
      </c>
      <c r="EJ263">
        <v>12491.4</v>
      </c>
      <c r="EK263">
        <v>37.687</v>
      </c>
      <c r="EL263">
        <v>39.687</v>
      </c>
      <c r="EM263">
        <v>38.04133333333333</v>
      </c>
      <c r="EN263">
        <v>39.625</v>
      </c>
      <c r="EO263">
        <v>38.937</v>
      </c>
      <c r="EP263">
        <v>1454.62</v>
      </c>
      <c r="EQ263">
        <v>40.36</v>
      </c>
      <c r="ER263">
        <v>0</v>
      </c>
      <c r="ES263">
        <v>776</v>
      </c>
      <c r="ET263">
        <v>0</v>
      </c>
      <c r="EU263">
        <v>866.1787307692307</v>
      </c>
      <c r="EV263">
        <v>1.794222207275745</v>
      </c>
      <c r="EW263">
        <v>68.18803434091325</v>
      </c>
      <c r="EX263">
        <v>12857.29615384616</v>
      </c>
      <c r="EY263">
        <v>15</v>
      </c>
      <c r="EZ263">
        <v>1651865518.1</v>
      </c>
      <c r="FA263" t="s">
        <v>910</v>
      </c>
      <c r="FB263">
        <v>1651865507.1</v>
      </c>
      <c r="FC263">
        <v>1651865518.1</v>
      </c>
      <c r="FD263">
        <v>8</v>
      </c>
      <c r="FE263">
        <v>0.06</v>
      </c>
      <c r="FF263">
        <v>0</v>
      </c>
      <c r="FG263">
        <v>-0.927</v>
      </c>
      <c r="FH263">
        <v>-0.062</v>
      </c>
      <c r="FI263">
        <v>400</v>
      </c>
      <c r="FJ263">
        <v>11</v>
      </c>
      <c r="FK263">
        <v>0.11</v>
      </c>
      <c r="FL263">
        <v>0.01</v>
      </c>
      <c r="FM263">
        <v>4.147392682926831</v>
      </c>
      <c r="FN263">
        <v>-2.834336655052267</v>
      </c>
      <c r="FO263">
        <v>0.4558848705594396</v>
      </c>
      <c r="FP263">
        <v>-1</v>
      </c>
      <c r="FQ263">
        <v>8.978487073170733</v>
      </c>
      <c r="FR263">
        <v>0.0227724041811877</v>
      </c>
      <c r="FS263">
        <v>0.007865066400384176</v>
      </c>
      <c r="FT263">
        <v>-1</v>
      </c>
      <c r="FU263">
        <v>0</v>
      </c>
      <c r="FV263">
        <v>0</v>
      </c>
      <c r="FW263">
        <v>0</v>
      </c>
      <c r="FX263">
        <v>-1</v>
      </c>
      <c r="FY263">
        <v>0</v>
      </c>
      <c r="FZ263">
        <v>0</v>
      </c>
      <c r="GA263" t="s">
        <v>420</v>
      </c>
      <c r="GB263">
        <v>2.98153</v>
      </c>
      <c r="GC263">
        <v>2.70592</v>
      </c>
      <c r="GD263">
        <v>0.00393327</v>
      </c>
      <c r="GE263">
        <v>0.00375437</v>
      </c>
      <c r="GF263">
        <v>0.0884458</v>
      </c>
      <c r="GG263">
        <v>0.0535179</v>
      </c>
      <c r="GH263">
        <v>31472.8</v>
      </c>
      <c r="GI263">
        <v>31546.7</v>
      </c>
      <c r="GJ263">
        <v>29375.4</v>
      </c>
      <c r="GK263">
        <v>29290.3</v>
      </c>
      <c r="GL263">
        <v>35452.7</v>
      </c>
      <c r="GM263">
        <v>36927.1</v>
      </c>
      <c r="GN263">
        <v>41346.1</v>
      </c>
      <c r="GO263">
        <v>41808.5</v>
      </c>
      <c r="GP263">
        <v>1.96592</v>
      </c>
      <c r="GQ263">
        <v>1.85163</v>
      </c>
      <c r="GR263">
        <v>-0.00419095</v>
      </c>
      <c r="GS263">
        <v>0</v>
      </c>
      <c r="GT263">
        <v>25.0741</v>
      </c>
      <c r="GU263">
        <v>999.9</v>
      </c>
      <c r="GV263">
        <v>29.9</v>
      </c>
      <c r="GW263">
        <v>34.2</v>
      </c>
      <c r="GX263">
        <v>17.9669</v>
      </c>
      <c r="GY263">
        <v>62.3576</v>
      </c>
      <c r="GZ263">
        <v>35.0801</v>
      </c>
      <c r="HA263">
        <v>1</v>
      </c>
      <c r="HB263">
        <v>0.0487602</v>
      </c>
      <c r="HC263">
        <v>1.47296</v>
      </c>
      <c r="HD263">
        <v>20.3298</v>
      </c>
      <c r="HE263">
        <v>5.21609</v>
      </c>
      <c r="HF263">
        <v>12.0099</v>
      </c>
      <c r="HG263">
        <v>4.98885</v>
      </c>
      <c r="HH263">
        <v>3.28855</v>
      </c>
      <c r="HI263">
        <v>1029.4</v>
      </c>
      <c r="HJ263">
        <v>9721.9</v>
      </c>
      <c r="HK263">
        <v>5139.4</v>
      </c>
      <c r="HL263">
        <v>25.3</v>
      </c>
      <c r="HM263">
        <v>1.86744</v>
      </c>
      <c r="HN263">
        <v>1.86646</v>
      </c>
      <c r="HO263">
        <v>1.866</v>
      </c>
      <c r="HP263">
        <v>1.86584</v>
      </c>
      <c r="HQ263">
        <v>1.86768</v>
      </c>
      <c r="HR263">
        <v>1.87014</v>
      </c>
      <c r="HS263">
        <v>1.86889</v>
      </c>
      <c r="HT263">
        <v>1.87018</v>
      </c>
      <c r="HU263">
        <v>0</v>
      </c>
      <c r="HV263">
        <v>0</v>
      </c>
      <c r="HW263">
        <v>0</v>
      </c>
      <c r="HX263">
        <v>0</v>
      </c>
      <c r="HY263" t="s">
        <v>421</v>
      </c>
      <c r="HZ263" t="s">
        <v>422</v>
      </c>
      <c r="IA263" t="s">
        <v>423</v>
      </c>
      <c r="IB263" t="s">
        <v>423</v>
      </c>
      <c r="IC263" t="s">
        <v>423</v>
      </c>
      <c r="ID263" t="s">
        <v>423</v>
      </c>
      <c r="IE263">
        <v>0</v>
      </c>
      <c r="IF263">
        <v>100</v>
      </c>
      <c r="IG263">
        <v>100</v>
      </c>
      <c r="IH263">
        <v>-0.186</v>
      </c>
      <c r="II263">
        <v>0.0234</v>
      </c>
      <c r="IJ263">
        <v>-0.1559367209035702</v>
      </c>
      <c r="IK263">
        <v>-0.002077099775823331</v>
      </c>
      <c r="IL263">
        <v>4.593143279902166E-07</v>
      </c>
      <c r="IM263">
        <v>-1.865383991892071E-10</v>
      </c>
      <c r="IN263">
        <v>-0.0607165066849496</v>
      </c>
      <c r="IO263">
        <v>-0.01129461987421345</v>
      </c>
      <c r="IP263">
        <v>0.00116580895745559</v>
      </c>
      <c r="IQ263">
        <v>-1.679085872906199E-05</v>
      </c>
      <c r="IR263">
        <v>2</v>
      </c>
      <c r="IS263">
        <v>2290</v>
      </c>
      <c r="IT263">
        <v>0</v>
      </c>
      <c r="IU263">
        <v>32</v>
      </c>
      <c r="IV263">
        <v>12.5</v>
      </c>
      <c r="IW263">
        <v>12.3</v>
      </c>
      <c r="IX263">
        <v>0.201416</v>
      </c>
      <c r="IY263">
        <v>2.32178</v>
      </c>
      <c r="IZ263">
        <v>1.39648</v>
      </c>
      <c r="JA263">
        <v>2.35474</v>
      </c>
      <c r="JB263">
        <v>1.49536</v>
      </c>
      <c r="JC263">
        <v>2.30957</v>
      </c>
      <c r="JD263">
        <v>38.0134</v>
      </c>
      <c r="JE263">
        <v>24.0437</v>
      </c>
      <c r="JF263">
        <v>18</v>
      </c>
      <c r="JG263">
        <v>512.422</v>
      </c>
      <c r="JH263">
        <v>425.181</v>
      </c>
      <c r="JI263">
        <v>23.1693</v>
      </c>
      <c r="JJ263">
        <v>27.9605</v>
      </c>
      <c r="JK263">
        <v>29.9999</v>
      </c>
      <c r="JL263">
        <v>27.9929</v>
      </c>
      <c r="JM263">
        <v>27.9402</v>
      </c>
      <c r="JN263">
        <v>4.16502</v>
      </c>
      <c r="JO263">
        <v>44.3442</v>
      </c>
      <c r="JP263">
        <v>0</v>
      </c>
      <c r="JQ263">
        <v>23.1697</v>
      </c>
      <c r="JR263">
        <v>36.8155</v>
      </c>
      <c r="JS263">
        <v>9.531890000000001</v>
      </c>
      <c r="JT263">
        <v>100.41</v>
      </c>
      <c r="JU263">
        <v>100.341</v>
      </c>
    </row>
    <row r="264" spans="1:281">
      <c r="A264">
        <v>248</v>
      </c>
      <c r="B264">
        <v>1651866260.5</v>
      </c>
      <c r="C264">
        <v>2039.900000095367</v>
      </c>
      <c r="D264" t="s">
        <v>919</v>
      </c>
      <c r="E264" t="s">
        <v>920</v>
      </c>
      <c r="F264">
        <v>2</v>
      </c>
      <c r="G264" t="s">
        <v>908</v>
      </c>
      <c r="H264" t="s">
        <v>414</v>
      </c>
      <c r="I264">
        <v>1651866259.125</v>
      </c>
      <c r="J264">
        <f>(K264)/1000</f>
        <v>0</v>
      </c>
      <c r="K264">
        <f>IF(CZ264, AN264, AH264)</f>
        <v>0</v>
      </c>
      <c r="L264">
        <f>IF(CZ264, AI264, AG264)</f>
        <v>0</v>
      </c>
      <c r="M264">
        <f>DB264 - IF(AU264&gt;1, L264*CV264*100.0/(AW264*DP264), 0)</f>
        <v>0</v>
      </c>
      <c r="N264">
        <f>((T264-J264/2)*M264-L264)/(T264+J264/2)</f>
        <v>0</v>
      </c>
      <c r="O264">
        <f>N264*(DI264+DJ264)/1000.0</f>
        <v>0</v>
      </c>
      <c r="P264">
        <f>(DB264 - IF(AU264&gt;1, L264*CV264*100.0/(AW264*DP264), 0))*(DI264+DJ264)/1000.0</f>
        <v>0</v>
      </c>
      <c r="Q264">
        <f>2.0/((1/S264-1/R264)+SIGN(S264)*SQRT((1/S264-1/R264)*(1/S264-1/R264) + 4*CW264/((CW264+1)*(CW264+1))*(2*1/S264*1/R264-1/R264*1/R264)))</f>
        <v>0</v>
      </c>
      <c r="R264">
        <f>IF(LEFT(CX264,1)&lt;&gt;"0",IF(LEFT(CX264,1)="1",3.0,CY264),$D$5+$E$5*(DP264*DI264/($K$5*1000))+$F$5*(DP264*DI264/($K$5*1000))*MAX(MIN(CV264,$J$5),$I$5)*MAX(MIN(CV264,$J$5),$I$5)+$G$5*MAX(MIN(CV264,$J$5),$I$5)*(DP264*DI264/($K$5*1000))+$H$5*(DP264*DI264/($K$5*1000))*(DP264*DI264/($K$5*1000)))</f>
        <v>0</v>
      </c>
      <c r="S264">
        <f>J264*(1000-(1000*0.61365*exp(17.502*W264/(240.97+W264))/(DI264+DJ264)+DD264)/2)/(1000*0.61365*exp(17.502*W264/(240.97+W264))/(DI264+DJ264)-DD264)</f>
        <v>0</v>
      </c>
      <c r="T264">
        <f>1/((CW264+1)/(Q264/1.6)+1/(R264/1.37)) + CW264/((CW264+1)/(Q264/1.6) + CW264/(R264/1.37))</f>
        <v>0</v>
      </c>
      <c r="U264">
        <f>(CR264*CU264)</f>
        <v>0</v>
      </c>
      <c r="V264">
        <f>(DK264+(U264+2*0.95*5.67E-8*(((DK264+$B$7)+273)^4-(DK264+273)^4)-44100*J264)/(1.84*29.3*R264+8*0.95*5.67E-8*(DK264+273)^3))</f>
        <v>0</v>
      </c>
      <c r="W264">
        <f>($C$7*DL264+$D$7*DM264+$E$7*V264)</f>
        <v>0</v>
      </c>
      <c r="X264">
        <f>0.61365*exp(17.502*W264/(240.97+W264))</f>
        <v>0</v>
      </c>
      <c r="Y264">
        <f>(Z264/AA264*100)</f>
        <v>0</v>
      </c>
      <c r="Z264">
        <f>DD264*(DI264+DJ264)/1000</f>
        <v>0</v>
      </c>
      <c r="AA264">
        <f>0.61365*exp(17.502*DK264/(240.97+DK264))</f>
        <v>0</v>
      </c>
      <c r="AB264">
        <f>(X264-DD264*(DI264+DJ264)/1000)</f>
        <v>0</v>
      </c>
      <c r="AC264">
        <f>(-J264*44100)</f>
        <v>0</v>
      </c>
      <c r="AD264">
        <f>2*29.3*R264*0.92*(DK264-W264)</f>
        <v>0</v>
      </c>
      <c r="AE264">
        <f>2*0.95*5.67E-8*(((DK264+$B$7)+273)^4-(W264+273)^4)</f>
        <v>0</v>
      </c>
      <c r="AF264">
        <f>U264+AE264+AC264+AD264</f>
        <v>0</v>
      </c>
      <c r="AG264">
        <f>DH264*AU264*(DC264-DB264*(1000-AU264*DE264)/(1000-AU264*DD264))/(100*CV264)</f>
        <v>0</v>
      </c>
      <c r="AH264">
        <f>1000*DH264*AU264*(DD264-DE264)/(100*CV264*(1000-AU264*DD264))</f>
        <v>0</v>
      </c>
      <c r="AI264">
        <f>(AJ264 - AK264 - DI264*1E3/(8.314*(DK264+273.15)) * AM264/DH264 * AL264) * DH264/(100*CV264) * (1000 - DE264)/1000</f>
        <v>0</v>
      </c>
      <c r="AJ264">
        <v>12.85244403335678</v>
      </c>
      <c r="AK264">
        <v>15.61642909090908</v>
      </c>
      <c r="AL264">
        <v>0.3287800726617309</v>
      </c>
      <c r="AM264">
        <v>66.38195617057868</v>
      </c>
      <c r="AN264">
        <f>(AP264 - AO264 + DI264*1E3/(8.314*(DK264+273.15)) * AR264/DH264 * AQ264) * DH264/(100*CV264) * 1000/(1000 - AP264)</f>
        <v>0</v>
      </c>
      <c r="AO264">
        <v>9.556062423416602</v>
      </c>
      <c r="AP264">
        <v>18.54973029411764</v>
      </c>
      <c r="AQ264">
        <v>0.0005903842464460259</v>
      </c>
      <c r="AR264">
        <v>80.47178418790507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MAX(0,($B$13+$C$13*DP264)/(1+$D$13*DP264)*DI264/(DK264+273)*$E$13)</f>
        <v>0</v>
      </c>
      <c r="AX264" t="s">
        <v>417</v>
      </c>
      <c r="AY264" t="s">
        <v>417</v>
      </c>
      <c r="AZ264">
        <v>0</v>
      </c>
      <c r="BA264">
        <v>0</v>
      </c>
      <c r="BB264">
        <f>1-AZ264/BA264</f>
        <v>0</v>
      </c>
      <c r="BC264">
        <v>0</v>
      </c>
      <c r="BD264" t="s">
        <v>417</v>
      </c>
      <c r="BE264" t="s">
        <v>417</v>
      </c>
      <c r="BF264">
        <v>0</v>
      </c>
      <c r="BG264">
        <v>0</v>
      </c>
      <c r="BH264">
        <f>1-BF264/BG264</f>
        <v>0</v>
      </c>
      <c r="BI264">
        <v>0.5</v>
      </c>
      <c r="BJ264">
        <f>CS264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417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BZ264">
        <v>1249</v>
      </c>
      <c r="CA264">
        <v>300</v>
      </c>
      <c r="CB264">
        <v>300</v>
      </c>
      <c r="CC264">
        <v>300</v>
      </c>
      <c r="CD264">
        <v>10442.4</v>
      </c>
      <c r="CE264">
        <v>1239.69</v>
      </c>
      <c r="CF264">
        <v>-0.00735276</v>
      </c>
      <c r="CG264">
        <v>0.07000000000000001</v>
      </c>
      <c r="CH264" t="s">
        <v>417</v>
      </c>
      <c r="CI264" t="s">
        <v>417</v>
      </c>
      <c r="CJ264" t="s">
        <v>417</v>
      </c>
      <c r="CK264" t="s">
        <v>417</v>
      </c>
      <c r="CL264" t="s">
        <v>417</v>
      </c>
      <c r="CM264" t="s">
        <v>417</v>
      </c>
      <c r="CN264" t="s">
        <v>417</v>
      </c>
      <c r="CO264" t="s">
        <v>417</v>
      </c>
      <c r="CP264" t="s">
        <v>417</v>
      </c>
      <c r="CQ264" t="s">
        <v>417</v>
      </c>
      <c r="CR264">
        <f>$B$11*DQ264+$C$11*DR264+$F$11*EC264*(1-EF264)</f>
        <v>0</v>
      </c>
      <c r="CS264">
        <f>CR264*CT264</f>
        <v>0</v>
      </c>
      <c r="CT264">
        <f>($B$11*$D$9+$C$11*$D$9+$F$11*((EP264+EH264)/MAX(EP264+EH264+EQ264, 0.1)*$I$9+EQ264/MAX(EP264+EH264+EQ264, 0.1)*$J$9))/($B$11+$C$11+$F$11)</f>
        <v>0</v>
      </c>
      <c r="CU264">
        <f>($B$11*$K$9+$C$11*$K$9+$F$11*((EP264+EH264)/MAX(EP264+EH264+EQ264, 0.1)*$P$9+EQ264/MAX(EP264+EH264+EQ264, 0.1)*$Q$9))/($B$11+$C$11+$F$11)</f>
        <v>0</v>
      </c>
      <c r="CV264">
        <v>6</v>
      </c>
      <c r="CW264">
        <v>0.5</v>
      </c>
      <c r="CX264" t="s">
        <v>418</v>
      </c>
      <c r="CY264">
        <v>2</v>
      </c>
      <c r="CZ264" t="b">
        <v>1</v>
      </c>
      <c r="DA264">
        <v>1651866259.125</v>
      </c>
      <c r="DB264">
        <v>14.898025</v>
      </c>
      <c r="DC264">
        <v>15.806325</v>
      </c>
      <c r="DD264">
        <v>18.5495</v>
      </c>
      <c r="DE264">
        <v>9.556152500000001</v>
      </c>
      <c r="DF264">
        <v>15.0852</v>
      </c>
      <c r="DG264">
        <v>18.526075</v>
      </c>
      <c r="DH264">
        <v>500.0337499999999</v>
      </c>
      <c r="DI264">
        <v>89.91305</v>
      </c>
      <c r="DJ264">
        <v>0.09986247499999999</v>
      </c>
      <c r="DK264">
        <v>25.823725</v>
      </c>
      <c r="DL264">
        <v>25.0042</v>
      </c>
      <c r="DM264">
        <v>999.9</v>
      </c>
      <c r="DN264">
        <v>0</v>
      </c>
      <c r="DO264">
        <v>0</v>
      </c>
      <c r="DP264">
        <v>9987.487499999999</v>
      </c>
      <c r="DQ264">
        <v>0</v>
      </c>
      <c r="DR264">
        <v>3.2045325</v>
      </c>
      <c r="DS264">
        <v>-0.9082855000000001</v>
      </c>
      <c r="DT264">
        <v>15.179625</v>
      </c>
      <c r="DU264">
        <v>15.95885</v>
      </c>
      <c r="DV264">
        <v>8.993327500000001</v>
      </c>
      <c r="DW264">
        <v>15.806325</v>
      </c>
      <c r="DX264">
        <v>9.556152500000001</v>
      </c>
      <c r="DY264">
        <v>1.66784</v>
      </c>
      <c r="DZ264">
        <v>0.85922275</v>
      </c>
      <c r="EA264">
        <v>14.6003</v>
      </c>
      <c r="EB264">
        <v>4.7252825</v>
      </c>
      <c r="EC264">
        <v>1500.05</v>
      </c>
      <c r="ED264">
        <v>0.973003</v>
      </c>
      <c r="EE264">
        <v>0.0269973</v>
      </c>
      <c r="EF264">
        <v>0</v>
      </c>
      <c r="EG264">
        <v>866.2845</v>
      </c>
      <c r="EH264">
        <v>5.00097</v>
      </c>
      <c r="EI264">
        <v>12861.65</v>
      </c>
      <c r="EJ264">
        <v>12492</v>
      </c>
      <c r="EK264">
        <v>37.687</v>
      </c>
      <c r="EL264">
        <v>39.73425</v>
      </c>
      <c r="EM264">
        <v>38.062</v>
      </c>
      <c r="EN264">
        <v>39.67149999999999</v>
      </c>
      <c r="EO264">
        <v>38.9685</v>
      </c>
      <c r="EP264">
        <v>1454.69</v>
      </c>
      <c r="EQ264">
        <v>40.36</v>
      </c>
      <c r="ER264">
        <v>0</v>
      </c>
      <c r="ES264">
        <v>777.7999999523163</v>
      </c>
      <c r="ET264">
        <v>0</v>
      </c>
      <c r="EU264">
        <v>866.2159200000001</v>
      </c>
      <c r="EV264">
        <v>0.1387692229874319</v>
      </c>
      <c r="EW264">
        <v>50.42307714744823</v>
      </c>
      <c r="EX264">
        <v>12858.84</v>
      </c>
      <c r="EY264">
        <v>15</v>
      </c>
      <c r="EZ264">
        <v>1651865518.1</v>
      </c>
      <c r="FA264" t="s">
        <v>910</v>
      </c>
      <c r="FB264">
        <v>1651865507.1</v>
      </c>
      <c r="FC264">
        <v>1651865518.1</v>
      </c>
      <c r="FD264">
        <v>8</v>
      </c>
      <c r="FE264">
        <v>0.06</v>
      </c>
      <c r="FF264">
        <v>0</v>
      </c>
      <c r="FG264">
        <v>-0.927</v>
      </c>
      <c r="FH264">
        <v>-0.062</v>
      </c>
      <c r="FI264">
        <v>400</v>
      </c>
      <c r="FJ264">
        <v>11</v>
      </c>
      <c r="FK264">
        <v>0.11</v>
      </c>
      <c r="FL264">
        <v>0.01</v>
      </c>
      <c r="FM264">
        <v>3.514964975</v>
      </c>
      <c r="FN264">
        <v>-12.07055523827393</v>
      </c>
      <c r="FO264">
        <v>1.710012878557607</v>
      </c>
      <c r="FP264">
        <v>-1</v>
      </c>
      <c r="FQ264">
        <v>8.9799655</v>
      </c>
      <c r="FR264">
        <v>0.06101110694182627</v>
      </c>
      <c r="FS264">
        <v>0.009343911373188523</v>
      </c>
      <c r="FT264">
        <v>-1</v>
      </c>
      <c r="FU264">
        <v>0</v>
      </c>
      <c r="FV264">
        <v>0</v>
      </c>
      <c r="FW264">
        <v>0</v>
      </c>
      <c r="FX264">
        <v>-1</v>
      </c>
      <c r="FY264">
        <v>0</v>
      </c>
      <c r="FZ264">
        <v>0</v>
      </c>
      <c r="GA264" t="s">
        <v>420</v>
      </c>
      <c r="GB264">
        <v>2.98138</v>
      </c>
      <c r="GC264">
        <v>2.70594</v>
      </c>
      <c r="GD264">
        <v>0.00423751</v>
      </c>
      <c r="GE264">
        <v>0.00511304</v>
      </c>
      <c r="GF264">
        <v>0.0884557</v>
      </c>
      <c r="GG264">
        <v>0.0535219</v>
      </c>
      <c r="GH264">
        <v>31463.4</v>
      </c>
      <c r="GI264">
        <v>31503.8</v>
      </c>
      <c r="GJ264">
        <v>29375.6</v>
      </c>
      <c r="GK264">
        <v>29290.4</v>
      </c>
      <c r="GL264">
        <v>35452.4</v>
      </c>
      <c r="GM264">
        <v>36927</v>
      </c>
      <c r="GN264">
        <v>41346.2</v>
      </c>
      <c r="GO264">
        <v>41808.5</v>
      </c>
      <c r="GP264">
        <v>1.9659</v>
      </c>
      <c r="GQ264">
        <v>1.85168</v>
      </c>
      <c r="GR264">
        <v>-0.00428408</v>
      </c>
      <c r="GS264">
        <v>0</v>
      </c>
      <c r="GT264">
        <v>25.0741</v>
      </c>
      <c r="GU264">
        <v>999.9</v>
      </c>
      <c r="GV264">
        <v>29.9</v>
      </c>
      <c r="GW264">
        <v>34.3</v>
      </c>
      <c r="GX264">
        <v>18.0671</v>
      </c>
      <c r="GY264">
        <v>62.0976</v>
      </c>
      <c r="GZ264">
        <v>35.2965</v>
      </c>
      <c r="HA264">
        <v>1</v>
      </c>
      <c r="HB264">
        <v>0.0487805</v>
      </c>
      <c r="HC264">
        <v>1.47612</v>
      </c>
      <c r="HD264">
        <v>20.3298</v>
      </c>
      <c r="HE264">
        <v>5.21609</v>
      </c>
      <c r="HF264">
        <v>12.0099</v>
      </c>
      <c r="HG264">
        <v>4.9889</v>
      </c>
      <c r="HH264">
        <v>3.28855</v>
      </c>
      <c r="HI264">
        <v>1029.4</v>
      </c>
      <c r="HJ264">
        <v>9721.9</v>
      </c>
      <c r="HK264">
        <v>5139.4</v>
      </c>
      <c r="HL264">
        <v>25.3</v>
      </c>
      <c r="HM264">
        <v>1.86742</v>
      </c>
      <c r="HN264">
        <v>1.86646</v>
      </c>
      <c r="HO264">
        <v>1.866</v>
      </c>
      <c r="HP264">
        <v>1.86584</v>
      </c>
      <c r="HQ264">
        <v>1.86768</v>
      </c>
      <c r="HR264">
        <v>1.87014</v>
      </c>
      <c r="HS264">
        <v>1.8689</v>
      </c>
      <c r="HT264">
        <v>1.87021</v>
      </c>
      <c r="HU264">
        <v>0</v>
      </c>
      <c r="HV264">
        <v>0</v>
      </c>
      <c r="HW264">
        <v>0</v>
      </c>
      <c r="HX264">
        <v>0</v>
      </c>
      <c r="HY264" t="s">
        <v>421</v>
      </c>
      <c r="HZ264" t="s">
        <v>422</v>
      </c>
      <c r="IA264" t="s">
        <v>423</v>
      </c>
      <c r="IB264" t="s">
        <v>423</v>
      </c>
      <c r="IC264" t="s">
        <v>423</v>
      </c>
      <c r="ID264" t="s">
        <v>423</v>
      </c>
      <c r="IE264">
        <v>0</v>
      </c>
      <c r="IF264">
        <v>100</v>
      </c>
      <c r="IG264">
        <v>100</v>
      </c>
      <c r="IH264">
        <v>-0.189</v>
      </c>
      <c r="II264">
        <v>0.0234</v>
      </c>
      <c r="IJ264">
        <v>-0.1559367209035702</v>
      </c>
      <c r="IK264">
        <v>-0.002077099775823331</v>
      </c>
      <c r="IL264">
        <v>4.593143279902166E-07</v>
      </c>
      <c r="IM264">
        <v>-1.865383991892071E-10</v>
      </c>
      <c r="IN264">
        <v>-0.0607165066849496</v>
      </c>
      <c r="IO264">
        <v>-0.01129461987421345</v>
      </c>
      <c r="IP264">
        <v>0.00116580895745559</v>
      </c>
      <c r="IQ264">
        <v>-1.679085872906199E-05</v>
      </c>
      <c r="IR264">
        <v>2</v>
      </c>
      <c r="IS264">
        <v>2290</v>
      </c>
      <c r="IT264">
        <v>0</v>
      </c>
      <c r="IU264">
        <v>32</v>
      </c>
      <c r="IV264">
        <v>12.6</v>
      </c>
      <c r="IW264">
        <v>12.4</v>
      </c>
      <c r="IX264">
        <v>0.214844</v>
      </c>
      <c r="IY264">
        <v>2.31079</v>
      </c>
      <c r="IZ264">
        <v>1.39648</v>
      </c>
      <c r="JA264">
        <v>2.35596</v>
      </c>
      <c r="JB264">
        <v>1.49536</v>
      </c>
      <c r="JC264">
        <v>2.35718</v>
      </c>
      <c r="JD264">
        <v>38.0377</v>
      </c>
      <c r="JE264">
        <v>24.0437</v>
      </c>
      <c r="JF264">
        <v>18</v>
      </c>
      <c r="JG264">
        <v>512.396</v>
      </c>
      <c r="JH264">
        <v>425.202</v>
      </c>
      <c r="JI264">
        <v>23.1693</v>
      </c>
      <c r="JJ264">
        <v>27.9593</v>
      </c>
      <c r="JK264">
        <v>29.9999</v>
      </c>
      <c r="JL264">
        <v>27.9918</v>
      </c>
      <c r="JM264">
        <v>27.9391</v>
      </c>
      <c r="JN264">
        <v>4.43004</v>
      </c>
      <c r="JO264">
        <v>44.3442</v>
      </c>
      <c r="JP264">
        <v>0</v>
      </c>
      <c r="JQ264">
        <v>23.165</v>
      </c>
      <c r="JR264">
        <v>43.5335</v>
      </c>
      <c r="JS264">
        <v>9.526809999999999</v>
      </c>
      <c r="JT264">
        <v>100.41</v>
      </c>
      <c r="JU264">
        <v>100.341</v>
      </c>
    </row>
    <row r="265" spans="1:281">
      <c r="A265">
        <v>249</v>
      </c>
      <c r="B265">
        <v>1651866262.5</v>
      </c>
      <c r="C265">
        <v>2041.900000095367</v>
      </c>
      <c r="D265" t="s">
        <v>921</v>
      </c>
      <c r="E265" t="s">
        <v>922</v>
      </c>
      <c r="F265">
        <v>2</v>
      </c>
      <c r="G265" t="s">
        <v>908</v>
      </c>
      <c r="H265" t="s">
        <v>414</v>
      </c>
      <c r="I265">
        <v>1651866261.5</v>
      </c>
      <c r="J265">
        <f>(K265)/1000</f>
        <v>0</v>
      </c>
      <c r="K265">
        <f>IF(CZ265, AN265, AH265)</f>
        <v>0</v>
      </c>
      <c r="L265">
        <f>IF(CZ265, AI265, AG265)</f>
        <v>0</v>
      </c>
      <c r="M265">
        <f>DB265 - IF(AU265&gt;1, L265*CV265*100.0/(AW265*DP265), 0)</f>
        <v>0</v>
      </c>
      <c r="N265">
        <f>((T265-J265/2)*M265-L265)/(T265+J265/2)</f>
        <v>0</v>
      </c>
      <c r="O265">
        <f>N265*(DI265+DJ265)/1000.0</f>
        <v>0</v>
      </c>
      <c r="P265">
        <f>(DB265 - IF(AU265&gt;1, L265*CV265*100.0/(AW265*DP265), 0))*(DI265+DJ265)/1000.0</f>
        <v>0</v>
      </c>
      <c r="Q265">
        <f>2.0/((1/S265-1/R265)+SIGN(S265)*SQRT((1/S265-1/R265)*(1/S265-1/R265) + 4*CW265/((CW265+1)*(CW265+1))*(2*1/S265*1/R265-1/R265*1/R265)))</f>
        <v>0</v>
      </c>
      <c r="R265">
        <f>IF(LEFT(CX265,1)&lt;&gt;"0",IF(LEFT(CX265,1)="1",3.0,CY265),$D$5+$E$5*(DP265*DI265/($K$5*1000))+$F$5*(DP265*DI265/($K$5*1000))*MAX(MIN(CV265,$J$5),$I$5)*MAX(MIN(CV265,$J$5),$I$5)+$G$5*MAX(MIN(CV265,$J$5),$I$5)*(DP265*DI265/($K$5*1000))+$H$5*(DP265*DI265/($K$5*1000))*(DP265*DI265/($K$5*1000)))</f>
        <v>0</v>
      </c>
      <c r="S265">
        <f>J265*(1000-(1000*0.61365*exp(17.502*W265/(240.97+W265))/(DI265+DJ265)+DD265)/2)/(1000*0.61365*exp(17.502*W265/(240.97+W265))/(DI265+DJ265)-DD265)</f>
        <v>0</v>
      </c>
      <c r="T265">
        <f>1/((CW265+1)/(Q265/1.6)+1/(R265/1.37)) + CW265/((CW265+1)/(Q265/1.6) + CW265/(R265/1.37))</f>
        <v>0</v>
      </c>
      <c r="U265">
        <f>(CR265*CU265)</f>
        <v>0</v>
      </c>
      <c r="V265">
        <f>(DK265+(U265+2*0.95*5.67E-8*(((DK265+$B$7)+273)^4-(DK265+273)^4)-44100*J265)/(1.84*29.3*R265+8*0.95*5.67E-8*(DK265+273)^3))</f>
        <v>0</v>
      </c>
      <c r="W265">
        <f>($C$7*DL265+$D$7*DM265+$E$7*V265)</f>
        <v>0</v>
      </c>
      <c r="X265">
        <f>0.61365*exp(17.502*W265/(240.97+W265))</f>
        <v>0</v>
      </c>
      <c r="Y265">
        <f>(Z265/AA265*100)</f>
        <v>0</v>
      </c>
      <c r="Z265">
        <f>DD265*(DI265+DJ265)/1000</f>
        <v>0</v>
      </c>
      <c r="AA265">
        <f>0.61365*exp(17.502*DK265/(240.97+DK265))</f>
        <v>0</v>
      </c>
      <c r="AB265">
        <f>(X265-DD265*(DI265+DJ265)/1000)</f>
        <v>0</v>
      </c>
      <c r="AC265">
        <f>(-J265*44100)</f>
        <v>0</v>
      </c>
      <c r="AD265">
        <f>2*29.3*R265*0.92*(DK265-W265)</f>
        <v>0</v>
      </c>
      <c r="AE265">
        <f>2*0.95*5.67E-8*(((DK265+$B$7)+273)^4-(W265+273)^4)</f>
        <v>0</v>
      </c>
      <c r="AF265">
        <f>U265+AE265+AC265+AD265</f>
        <v>0</v>
      </c>
      <c r="AG265">
        <f>DH265*AU265*(DC265-DB265*(1000-AU265*DE265)/(1000-AU265*DD265))/(100*CV265)</f>
        <v>0</v>
      </c>
      <c r="AH265">
        <f>1000*DH265*AU265*(DD265-DE265)/(100*CV265*(1000-AU265*DD265))</f>
        <v>0</v>
      </c>
      <c r="AI265">
        <f>(AJ265 - AK265 - DI265*1E3/(8.314*(DK265+273.15)) * AM265/DH265 * AL265) * DH265/(100*CV265) * (1000 - DE265)/1000</f>
        <v>0</v>
      </c>
      <c r="AJ265">
        <v>17.43018950601008</v>
      </c>
      <c r="AK265">
        <v>17.60818909090909</v>
      </c>
      <c r="AL265">
        <v>0.8126106695456692</v>
      </c>
      <c r="AM265">
        <v>66.38195617057868</v>
      </c>
      <c r="AN265">
        <f>(AP265 - AO265 + DI265*1E3/(8.314*(DK265+273.15)) * AR265/DH265 * AQ265) * DH265/(100*CV265) * 1000/(1000 - AP265)</f>
        <v>0</v>
      </c>
      <c r="AO265">
        <v>9.556011169418966</v>
      </c>
      <c r="AP265">
        <v>18.55406323529411</v>
      </c>
      <c r="AQ265">
        <v>0.0001193032017598582</v>
      </c>
      <c r="AR265">
        <v>80.47178418790507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MAX(0,($B$13+$C$13*DP265)/(1+$D$13*DP265)*DI265/(DK265+273)*$E$13)</f>
        <v>0</v>
      </c>
      <c r="AX265" t="s">
        <v>417</v>
      </c>
      <c r="AY265" t="s">
        <v>417</v>
      </c>
      <c r="AZ265">
        <v>0</v>
      </c>
      <c r="BA265">
        <v>0</v>
      </c>
      <c r="BB265">
        <f>1-AZ265/BA265</f>
        <v>0</v>
      </c>
      <c r="BC265">
        <v>0</v>
      </c>
      <c r="BD265" t="s">
        <v>417</v>
      </c>
      <c r="BE265" t="s">
        <v>417</v>
      </c>
      <c r="BF265">
        <v>0</v>
      </c>
      <c r="BG265">
        <v>0</v>
      </c>
      <c r="BH265">
        <f>1-BF265/BG265</f>
        <v>0</v>
      </c>
      <c r="BI265">
        <v>0.5</v>
      </c>
      <c r="BJ265">
        <f>CS265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417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BZ265">
        <v>1249</v>
      </c>
      <c r="CA265">
        <v>300</v>
      </c>
      <c r="CB265">
        <v>300</v>
      </c>
      <c r="CC265">
        <v>300</v>
      </c>
      <c r="CD265">
        <v>10442.4</v>
      </c>
      <c r="CE265">
        <v>1239.69</v>
      </c>
      <c r="CF265">
        <v>-0.00735276</v>
      </c>
      <c r="CG265">
        <v>0.07000000000000001</v>
      </c>
      <c r="CH265" t="s">
        <v>417</v>
      </c>
      <c r="CI265" t="s">
        <v>417</v>
      </c>
      <c r="CJ265" t="s">
        <v>417</v>
      </c>
      <c r="CK265" t="s">
        <v>417</v>
      </c>
      <c r="CL265" t="s">
        <v>417</v>
      </c>
      <c r="CM265" t="s">
        <v>417</v>
      </c>
      <c r="CN265" t="s">
        <v>417</v>
      </c>
      <c r="CO265" t="s">
        <v>417</v>
      </c>
      <c r="CP265" t="s">
        <v>417</v>
      </c>
      <c r="CQ265" t="s">
        <v>417</v>
      </c>
      <c r="CR265">
        <f>$B$11*DQ265+$C$11*DR265+$F$11*EC265*(1-EF265)</f>
        <v>0</v>
      </c>
      <c r="CS265">
        <f>CR265*CT265</f>
        <v>0</v>
      </c>
      <c r="CT265">
        <f>($B$11*$D$9+$C$11*$D$9+$F$11*((EP265+EH265)/MAX(EP265+EH265+EQ265, 0.1)*$I$9+EQ265/MAX(EP265+EH265+EQ265, 0.1)*$J$9))/($B$11+$C$11+$F$11)</f>
        <v>0</v>
      </c>
      <c r="CU265">
        <f>($B$11*$K$9+$C$11*$K$9+$F$11*((EP265+EH265)/MAX(EP265+EH265+EQ265, 0.1)*$P$9+EQ265/MAX(EP265+EH265+EQ265, 0.1)*$Q$9))/($B$11+$C$11+$F$11)</f>
        <v>0</v>
      </c>
      <c r="CV265">
        <v>6</v>
      </c>
      <c r="CW265">
        <v>0.5</v>
      </c>
      <c r="CX265" t="s">
        <v>418</v>
      </c>
      <c r="CY265">
        <v>2</v>
      </c>
      <c r="CZ265" t="b">
        <v>1</v>
      </c>
      <c r="DA265">
        <v>1651866261.5</v>
      </c>
      <c r="DB265">
        <v>16.72013333333333</v>
      </c>
      <c r="DC265">
        <v>22.31253333333333</v>
      </c>
      <c r="DD265">
        <v>18.55343333333333</v>
      </c>
      <c r="DE265">
        <v>9.55677</v>
      </c>
      <c r="DF265">
        <v>16.9111</v>
      </c>
      <c r="DG265">
        <v>18.52996666666667</v>
      </c>
      <c r="DH265">
        <v>499.9726666666666</v>
      </c>
      <c r="DI265">
        <v>89.91550000000001</v>
      </c>
      <c r="DJ265">
        <v>0.09981293333333334</v>
      </c>
      <c r="DK265">
        <v>25.82753333333334</v>
      </c>
      <c r="DL265">
        <v>25.0029</v>
      </c>
      <c r="DM265">
        <v>999.9</v>
      </c>
      <c r="DN265">
        <v>0</v>
      </c>
      <c r="DO265">
        <v>0</v>
      </c>
      <c r="DP265">
        <v>10007.5</v>
      </c>
      <c r="DQ265">
        <v>0</v>
      </c>
      <c r="DR265">
        <v>3.20383</v>
      </c>
      <c r="DS265">
        <v>-5.592356666666667</v>
      </c>
      <c r="DT265">
        <v>17.03623333333333</v>
      </c>
      <c r="DU265">
        <v>22.5278</v>
      </c>
      <c r="DV265">
        <v>8.99666</v>
      </c>
      <c r="DW265">
        <v>22.31253333333333</v>
      </c>
      <c r="DX265">
        <v>9.55677</v>
      </c>
      <c r="DY265">
        <v>1.66824</v>
      </c>
      <c r="DZ265">
        <v>0.8593016666666667</v>
      </c>
      <c r="EA265">
        <v>14.60403333333333</v>
      </c>
      <c r="EB265">
        <v>4.726593333333333</v>
      </c>
      <c r="EC265">
        <v>1500</v>
      </c>
      <c r="ED265">
        <v>0.973003</v>
      </c>
      <c r="EE265">
        <v>0.0269973</v>
      </c>
      <c r="EF265">
        <v>0</v>
      </c>
      <c r="EG265">
        <v>865.2883333333333</v>
      </c>
      <c r="EH265">
        <v>5.00097</v>
      </c>
      <c r="EI265">
        <v>12853.46666666667</v>
      </c>
      <c r="EJ265">
        <v>12491.63333333333</v>
      </c>
      <c r="EK265">
        <v>37.75</v>
      </c>
      <c r="EL265">
        <v>39.79133333333333</v>
      </c>
      <c r="EM265">
        <v>38.104</v>
      </c>
      <c r="EN265">
        <v>39.75</v>
      </c>
      <c r="EO265">
        <v>39</v>
      </c>
      <c r="EP265">
        <v>1454.64</v>
      </c>
      <c r="EQ265">
        <v>40.36</v>
      </c>
      <c r="ER265">
        <v>0</v>
      </c>
      <c r="ES265">
        <v>780.2000000476837</v>
      </c>
      <c r="ET265">
        <v>0</v>
      </c>
      <c r="EU265">
        <v>866.0596399999999</v>
      </c>
      <c r="EV265">
        <v>-2.905461548897705</v>
      </c>
      <c r="EW265">
        <v>-2.092307627899592</v>
      </c>
      <c r="EX265">
        <v>12858.756</v>
      </c>
      <c r="EY265">
        <v>15</v>
      </c>
      <c r="EZ265">
        <v>1651865518.1</v>
      </c>
      <c r="FA265" t="s">
        <v>910</v>
      </c>
      <c r="FB265">
        <v>1651865507.1</v>
      </c>
      <c r="FC265">
        <v>1651865518.1</v>
      </c>
      <c r="FD265">
        <v>8</v>
      </c>
      <c r="FE265">
        <v>0.06</v>
      </c>
      <c r="FF265">
        <v>0</v>
      </c>
      <c r="FG265">
        <v>-0.927</v>
      </c>
      <c r="FH265">
        <v>-0.062</v>
      </c>
      <c r="FI265">
        <v>400</v>
      </c>
      <c r="FJ265">
        <v>11</v>
      </c>
      <c r="FK265">
        <v>0.11</v>
      </c>
      <c r="FL265">
        <v>0.01</v>
      </c>
      <c r="FM265">
        <v>2.875656317073171</v>
      </c>
      <c r="FN265">
        <v>-20.16906409756098</v>
      </c>
      <c r="FO265">
        <v>2.704334686953471</v>
      </c>
      <c r="FP265">
        <v>-1</v>
      </c>
      <c r="FQ265">
        <v>8.981055853658539</v>
      </c>
      <c r="FR265">
        <v>0.07613101045298197</v>
      </c>
      <c r="FS265">
        <v>0.0100855552287055</v>
      </c>
      <c r="FT265">
        <v>-1</v>
      </c>
      <c r="FU265">
        <v>0</v>
      </c>
      <c r="FV265">
        <v>0</v>
      </c>
      <c r="FW265">
        <v>0</v>
      </c>
      <c r="FX265">
        <v>-1</v>
      </c>
      <c r="FY265">
        <v>0</v>
      </c>
      <c r="FZ265">
        <v>0</v>
      </c>
      <c r="GA265" t="s">
        <v>420</v>
      </c>
      <c r="GB265">
        <v>2.98126</v>
      </c>
      <c r="GC265">
        <v>2.70618</v>
      </c>
      <c r="GD265">
        <v>0.00482262</v>
      </c>
      <c r="GE265">
        <v>0.00668296</v>
      </c>
      <c r="GF265">
        <v>0.0884735</v>
      </c>
      <c r="GG265">
        <v>0.053521</v>
      </c>
      <c r="GH265">
        <v>31445</v>
      </c>
      <c r="GI265">
        <v>31454.3</v>
      </c>
      <c r="GJ265">
        <v>29375.6</v>
      </c>
      <c r="GK265">
        <v>29290.6</v>
      </c>
      <c r="GL265">
        <v>35451.9</v>
      </c>
      <c r="GM265">
        <v>36927.3</v>
      </c>
      <c r="GN265">
        <v>41346.4</v>
      </c>
      <c r="GO265">
        <v>41808.8</v>
      </c>
      <c r="GP265">
        <v>1.96595</v>
      </c>
      <c r="GQ265">
        <v>1.85172</v>
      </c>
      <c r="GR265">
        <v>-0.00440702</v>
      </c>
      <c r="GS265">
        <v>0</v>
      </c>
      <c r="GT265">
        <v>25.0741</v>
      </c>
      <c r="GU265">
        <v>999.9</v>
      </c>
      <c r="GV265">
        <v>29.9</v>
      </c>
      <c r="GW265">
        <v>34.3</v>
      </c>
      <c r="GX265">
        <v>18.0669</v>
      </c>
      <c r="GY265">
        <v>62.4676</v>
      </c>
      <c r="GZ265">
        <v>35.5248</v>
      </c>
      <c r="HA265">
        <v>1</v>
      </c>
      <c r="HB265">
        <v>0.0487729</v>
      </c>
      <c r="HC265">
        <v>1.48581</v>
      </c>
      <c r="HD265">
        <v>20.3297</v>
      </c>
      <c r="HE265">
        <v>5.21654</v>
      </c>
      <c r="HF265">
        <v>12.0099</v>
      </c>
      <c r="HG265">
        <v>4.98915</v>
      </c>
      <c r="HH265">
        <v>3.28865</v>
      </c>
      <c r="HI265">
        <v>1029.4</v>
      </c>
      <c r="HJ265">
        <v>9721.9</v>
      </c>
      <c r="HK265">
        <v>5139.4</v>
      </c>
      <c r="HL265">
        <v>25.3</v>
      </c>
      <c r="HM265">
        <v>1.86743</v>
      </c>
      <c r="HN265">
        <v>1.86646</v>
      </c>
      <c r="HO265">
        <v>1.866</v>
      </c>
      <c r="HP265">
        <v>1.86584</v>
      </c>
      <c r="HQ265">
        <v>1.86768</v>
      </c>
      <c r="HR265">
        <v>1.87015</v>
      </c>
      <c r="HS265">
        <v>1.8689</v>
      </c>
      <c r="HT265">
        <v>1.87022</v>
      </c>
      <c r="HU265">
        <v>0</v>
      </c>
      <c r="HV265">
        <v>0</v>
      </c>
      <c r="HW265">
        <v>0</v>
      </c>
      <c r="HX265">
        <v>0</v>
      </c>
      <c r="HY265" t="s">
        <v>421</v>
      </c>
      <c r="HZ265" t="s">
        <v>422</v>
      </c>
      <c r="IA265" t="s">
        <v>423</v>
      </c>
      <c r="IB265" t="s">
        <v>423</v>
      </c>
      <c r="IC265" t="s">
        <v>423</v>
      </c>
      <c r="ID265" t="s">
        <v>423</v>
      </c>
      <c r="IE265">
        <v>0</v>
      </c>
      <c r="IF265">
        <v>100</v>
      </c>
      <c r="IG265">
        <v>100</v>
      </c>
      <c r="IH265">
        <v>-0.193</v>
      </c>
      <c r="II265">
        <v>0.0235</v>
      </c>
      <c r="IJ265">
        <v>-0.1559367209035702</v>
      </c>
      <c r="IK265">
        <v>-0.002077099775823331</v>
      </c>
      <c r="IL265">
        <v>4.593143279902166E-07</v>
      </c>
      <c r="IM265">
        <v>-1.865383991892071E-10</v>
      </c>
      <c r="IN265">
        <v>-0.0607165066849496</v>
      </c>
      <c r="IO265">
        <v>-0.01129461987421345</v>
      </c>
      <c r="IP265">
        <v>0.00116580895745559</v>
      </c>
      <c r="IQ265">
        <v>-1.679085872906199E-05</v>
      </c>
      <c r="IR265">
        <v>2</v>
      </c>
      <c r="IS265">
        <v>2290</v>
      </c>
      <c r="IT265">
        <v>0</v>
      </c>
      <c r="IU265">
        <v>32</v>
      </c>
      <c r="IV265">
        <v>12.6</v>
      </c>
      <c r="IW265">
        <v>12.4</v>
      </c>
      <c r="IX265">
        <v>0.228271</v>
      </c>
      <c r="IY265">
        <v>2.30835</v>
      </c>
      <c r="IZ265">
        <v>1.39648</v>
      </c>
      <c r="JA265">
        <v>2.35474</v>
      </c>
      <c r="JB265">
        <v>1.49536</v>
      </c>
      <c r="JC265">
        <v>2.36816</v>
      </c>
      <c r="JD265">
        <v>38.0134</v>
      </c>
      <c r="JE265">
        <v>24.0437</v>
      </c>
      <c r="JF265">
        <v>18</v>
      </c>
      <c r="JG265">
        <v>512.419</v>
      </c>
      <c r="JH265">
        <v>425.223</v>
      </c>
      <c r="JI265">
        <v>23.1688</v>
      </c>
      <c r="JJ265">
        <v>27.9581</v>
      </c>
      <c r="JK265">
        <v>29.9999</v>
      </c>
      <c r="JL265">
        <v>27.9906</v>
      </c>
      <c r="JM265">
        <v>27.9379</v>
      </c>
      <c r="JN265">
        <v>4.70539</v>
      </c>
      <c r="JO265">
        <v>44.3442</v>
      </c>
      <c r="JP265">
        <v>0</v>
      </c>
      <c r="JQ265">
        <v>23.165</v>
      </c>
      <c r="JR265">
        <v>50.2489</v>
      </c>
      <c r="JS265">
        <v>9.512219999999999</v>
      </c>
      <c r="JT265">
        <v>100.41</v>
      </c>
      <c r="JU265">
        <v>100.342</v>
      </c>
    </row>
    <row r="266" spans="1:281">
      <c r="A266">
        <v>250</v>
      </c>
      <c r="B266">
        <v>1651866264.5</v>
      </c>
      <c r="C266">
        <v>2043.900000095367</v>
      </c>
      <c r="D266" t="s">
        <v>923</v>
      </c>
      <c r="E266" t="s">
        <v>924</v>
      </c>
      <c r="F266">
        <v>2</v>
      </c>
      <c r="G266" t="s">
        <v>908</v>
      </c>
      <c r="H266" t="s">
        <v>414</v>
      </c>
      <c r="I266">
        <v>1651866263.125</v>
      </c>
      <c r="J266">
        <f>(K266)/1000</f>
        <v>0</v>
      </c>
      <c r="K266">
        <f>IF(CZ266, AN266, AH266)</f>
        <v>0</v>
      </c>
      <c r="L266">
        <f>IF(CZ266, AI266, AG266)</f>
        <v>0</v>
      </c>
      <c r="M266">
        <f>DB266 - IF(AU266&gt;1, L266*CV266*100.0/(AW266*DP266), 0)</f>
        <v>0</v>
      </c>
      <c r="N266">
        <f>((T266-J266/2)*M266-L266)/(T266+J266/2)</f>
        <v>0</v>
      </c>
      <c r="O266">
        <f>N266*(DI266+DJ266)/1000.0</f>
        <v>0</v>
      </c>
      <c r="P266">
        <f>(DB266 - IF(AU266&gt;1, L266*CV266*100.0/(AW266*DP266), 0))*(DI266+DJ266)/1000.0</f>
        <v>0</v>
      </c>
      <c r="Q266">
        <f>2.0/((1/S266-1/R266)+SIGN(S266)*SQRT((1/S266-1/R266)*(1/S266-1/R266) + 4*CW266/((CW266+1)*(CW266+1))*(2*1/S266*1/R266-1/R266*1/R266)))</f>
        <v>0</v>
      </c>
      <c r="R266">
        <f>IF(LEFT(CX266,1)&lt;&gt;"0",IF(LEFT(CX266,1)="1",3.0,CY266),$D$5+$E$5*(DP266*DI266/($K$5*1000))+$F$5*(DP266*DI266/($K$5*1000))*MAX(MIN(CV266,$J$5),$I$5)*MAX(MIN(CV266,$J$5),$I$5)+$G$5*MAX(MIN(CV266,$J$5),$I$5)*(DP266*DI266/($K$5*1000))+$H$5*(DP266*DI266/($K$5*1000))*(DP266*DI266/($K$5*1000)))</f>
        <v>0</v>
      </c>
      <c r="S266">
        <f>J266*(1000-(1000*0.61365*exp(17.502*W266/(240.97+W266))/(DI266+DJ266)+DD266)/2)/(1000*0.61365*exp(17.502*W266/(240.97+W266))/(DI266+DJ266)-DD266)</f>
        <v>0</v>
      </c>
      <c r="T266">
        <f>1/((CW266+1)/(Q266/1.6)+1/(R266/1.37)) + CW266/((CW266+1)/(Q266/1.6) + CW266/(R266/1.37))</f>
        <v>0</v>
      </c>
      <c r="U266">
        <f>(CR266*CU266)</f>
        <v>0</v>
      </c>
      <c r="V266">
        <f>(DK266+(U266+2*0.95*5.67E-8*(((DK266+$B$7)+273)^4-(DK266+273)^4)-44100*J266)/(1.84*29.3*R266+8*0.95*5.67E-8*(DK266+273)^3))</f>
        <v>0</v>
      </c>
      <c r="W266">
        <f>($C$7*DL266+$D$7*DM266+$E$7*V266)</f>
        <v>0</v>
      </c>
      <c r="X266">
        <f>0.61365*exp(17.502*W266/(240.97+W266))</f>
        <v>0</v>
      </c>
      <c r="Y266">
        <f>(Z266/AA266*100)</f>
        <v>0</v>
      </c>
      <c r="Z266">
        <f>DD266*(DI266+DJ266)/1000</f>
        <v>0</v>
      </c>
      <c r="AA266">
        <f>0.61365*exp(17.502*DK266/(240.97+DK266))</f>
        <v>0</v>
      </c>
      <c r="AB266">
        <f>(X266-DD266*(DI266+DJ266)/1000)</f>
        <v>0</v>
      </c>
      <c r="AC266">
        <f>(-J266*44100)</f>
        <v>0</v>
      </c>
      <c r="AD266">
        <f>2*29.3*R266*0.92*(DK266-W266)</f>
        <v>0</v>
      </c>
      <c r="AE266">
        <f>2*0.95*5.67E-8*(((DK266+$B$7)+273)^4-(W266+273)^4)</f>
        <v>0</v>
      </c>
      <c r="AF266">
        <f>U266+AE266+AC266+AD266</f>
        <v>0</v>
      </c>
      <c r="AG266">
        <f>DH266*AU266*(DC266-DB266*(1000-AU266*DE266)/(1000-AU266*DD266))/(100*CV266)</f>
        <v>0</v>
      </c>
      <c r="AH266">
        <f>1000*DH266*AU266*(DD266-DE266)/(100*CV266*(1000-AU266*DD266))</f>
        <v>0</v>
      </c>
      <c r="AI266">
        <f>(AJ266 - AK266 - DI266*1E3/(8.314*(DK266+273.15)) * AM266/DH266 * AL266) * DH266/(100*CV266) * (1000 - DE266)/1000</f>
        <v>0</v>
      </c>
      <c r="AJ266">
        <v>23.21400892348406</v>
      </c>
      <c r="AK266">
        <v>20.61333333333332</v>
      </c>
      <c r="AL266">
        <v>1.334962035825248</v>
      </c>
      <c r="AM266">
        <v>66.38195617057868</v>
      </c>
      <c r="AN266">
        <f>(AP266 - AO266 + DI266*1E3/(8.314*(DK266+273.15)) * AR266/DH266 * AQ266) * DH266/(100*CV266) * 1000/(1000 - AP266)</f>
        <v>0</v>
      </c>
      <c r="AO266">
        <v>9.556527270798293</v>
      </c>
      <c r="AP266">
        <v>18.55889147058823</v>
      </c>
      <c r="AQ266">
        <v>0.0001480526494577093</v>
      </c>
      <c r="AR266">
        <v>80.47178418790507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MAX(0,($B$13+$C$13*DP266)/(1+$D$13*DP266)*DI266/(DK266+273)*$E$13)</f>
        <v>0</v>
      </c>
      <c r="AX266" t="s">
        <v>417</v>
      </c>
      <c r="AY266" t="s">
        <v>417</v>
      </c>
      <c r="AZ266">
        <v>0</v>
      </c>
      <c r="BA266">
        <v>0</v>
      </c>
      <c r="BB266">
        <f>1-AZ266/BA266</f>
        <v>0</v>
      </c>
      <c r="BC266">
        <v>0</v>
      </c>
      <c r="BD266" t="s">
        <v>417</v>
      </c>
      <c r="BE266" t="s">
        <v>417</v>
      </c>
      <c r="BF266">
        <v>0</v>
      </c>
      <c r="BG266">
        <v>0</v>
      </c>
      <c r="BH266">
        <f>1-BF266/BG266</f>
        <v>0</v>
      </c>
      <c r="BI266">
        <v>0.5</v>
      </c>
      <c r="BJ266">
        <f>CS266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417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BZ266">
        <v>1249</v>
      </c>
      <c r="CA266">
        <v>300</v>
      </c>
      <c r="CB266">
        <v>300</v>
      </c>
      <c r="CC266">
        <v>300</v>
      </c>
      <c r="CD266">
        <v>10442.4</v>
      </c>
      <c r="CE266">
        <v>1239.69</v>
      </c>
      <c r="CF266">
        <v>-0.00735276</v>
      </c>
      <c r="CG266">
        <v>0.07000000000000001</v>
      </c>
      <c r="CH266" t="s">
        <v>417</v>
      </c>
      <c r="CI266" t="s">
        <v>417</v>
      </c>
      <c r="CJ266" t="s">
        <v>417</v>
      </c>
      <c r="CK266" t="s">
        <v>417</v>
      </c>
      <c r="CL266" t="s">
        <v>417</v>
      </c>
      <c r="CM266" t="s">
        <v>417</v>
      </c>
      <c r="CN266" t="s">
        <v>417</v>
      </c>
      <c r="CO266" t="s">
        <v>417</v>
      </c>
      <c r="CP266" t="s">
        <v>417</v>
      </c>
      <c r="CQ266" t="s">
        <v>417</v>
      </c>
      <c r="CR266">
        <f>$B$11*DQ266+$C$11*DR266+$F$11*EC266*(1-EF266)</f>
        <v>0</v>
      </c>
      <c r="CS266">
        <f>CR266*CT266</f>
        <v>0</v>
      </c>
      <c r="CT266">
        <f>($B$11*$D$9+$C$11*$D$9+$F$11*((EP266+EH266)/MAX(EP266+EH266+EQ266, 0.1)*$I$9+EQ266/MAX(EP266+EH266+EQ266, 0.1)*$J$9))/($B$11+$C$11+$F$11)</f>
        <v>0</v>
      </c>
      <c r="CU266">
        <f>($B$11*$K$9+$C$11*$K$9+$F$11*((EP266+EH266)/MAX(EP266+EH266+EQ266, 0.1)*$P$9+EQ266/MAX(EP266+EH266+EQ266, 0.1)*$Q$9))/($B$11+$C$11+$F$11)</f>
        <v>0</v>
      </c>
      <c r="CV266">
        <v>6</v>
      </c>
      <c r="CW266">
        <v>0.5</v>
      </c>
      <c r="CX266" t="s">
        <v>418</v>
      </c>
      <c r="CY266">
        <v>2</v>
      </c>
      <c r="CZ266" t="b">
        <v>1</v>
      </c>
      <c r="DA266">
        <v>1651866263.125</v>
      </c>
      <c r="DB266">
        <v>18.888875</v>
      </c>
      <c r="DC266">
        <v>27.23735</v>
      </c>
      <c r="DD266">
        <v>18.55675</v>
      </c>
      <c r="DE266">
        <v>9.5559125</v>
      </c>
      <c r="DF266">
        <v>19.0843</v>
      </c>
      <c r="DG266">
        <v>18.53325</v>
      </c>
      <c r="DH266">
        <v>500.04075</v>
      </c>
      <c r="DI266">
        <v>89.916425</v>
      </c>
      <c r="DJ266">
        <v>0.10005395</v>
      </c>
      <c r="DK266">
        <v>25.830925</v>
      </c>
      <c r="DL266">
        <v>25.000875</v>
      </c>
      <c r="DM266">
        <v>999.9</v>
      </c>
      <c r="DN266">
        <v>0</v>
      </c>
      <c r="DO266">
        <v>0</v>
      </c>
      <c r="DP266">
        <v>10001.875</v>
      </c>
      <c r="DQ266">
        <v>0</v>
      </c>
      <c r="DR266">
        <v>3.20383</v>
      </c>
      <c r="DS266">
        <v>-8.3484725</v>
      </c>
      <c r="DT266">
        <v>19.246025</v>
      </c>
      <c r="DU266">
        <v>27.500125</v>
      </c>
      <c r="DV266">
        <v>9.000852500000001</v>
      </c>
      <c r="DW266">
        <v>27.23735</v>
      </c>
      <c r="DX266">
        <v>9.5559125</v>
      </c>
      <c r="DY266">
        <v>1.6685575</v>
      </c>
      <c r="DZ266">
        <v>0.8592335</v>
      </c>
      <c r="EA266">
        <v>14.606975</v>
      </c>
      <c r="EB266">
        <v>4.7254575</v>
      </c>
      <c r="EC266">
        <v>1499.9575</v>
      </c>
      <c r="ED266">
        <v>0.973003</v>
      </c>
      <c r="EE266">
        <v>0.0269973</v>
      </c>
      <c r="EF266">
        <v>0</v>
      </c>
      <c r="EG266">
        <v>864.8340000000001</v>
      </c>
      <c r="EH266">
        <v>5.00097</v>
      </c>
      <c r="EI266">
        <v>12845.525</v>
      </c>
      <c r="EJ266">
        <v>12491.275</v>
      </c>
      <c r="EK266">
        <v>37.781</v>
      </c>
      <c r="EL266">
        <v>39.812</v>
      </c>
      <c r="EM266">
        <v>38.125</v>
      </c>
      <c r="EN266">
        <v>39.79649999999999</v>
      </c>
      <c r="EO266">
        <v>39.04649999999999</v>
      </c>
      <c r="EP266">
        <v>1454.5975</v>
      </c>
      <c r="EQ266">
        <v>40.36</v>
      </c>
      <c r="ER266">
        <v>0</v>
      </c>
      <c r="ES266">
        <v>782</v>
      </c>
      <c r="ET266">
        <v>0</v>
      </c>
      <c r="EU266">
        <v>865.8550769230768</v>
      </c>
      <c r="EV266">
        <v>-6.658393177057836</v>
      </c>
      <c r="EW266">
        <v>-53.67179474811331</v>
      </c>
      <c r="EX266">
        <v>12856.98846153846</v>
      </c>
      <c r="EY266">
        <v>15</v>
      </c>
      <c r="EZ266">
        <v>1651865518.1</v>
      </c>
      <c r="FA266" t="s">
        <v>910</v>
      </c>
      <c r="FB266">
        <v>1651865507.1</v>
      </c>
      <c r="FC266">
        <v>1651865518.1</v>
      </c>
      <c r="FD266">
        <v>8</v>
      </c>
      <c r="FE266">
        <v>0.06</v>
      </c>
      <c r="FF266">
        <v>0</v>
      </c>
      <c r="FG266">
        <v>-0.927</v>
      </c>
      <c r="FH266">
        <v>-0.062</v>
      </c>
      <c r="FI266">
        <v>400</v>
      </c>
      <c r="FJ266">
        <v>11</v>
      </c>
      <c r="FK266">
        <v>0.11</v>
      </c>
      <c r="FL266">
        <v>0.01</v>
      </c>
      <c r="FM266">
        <v>1.272430225</v>
      </c>
      <c r="FN266">
        <v>-38.98365490806756</v>
      </c>
      <c r="FO266">
        <v>4.467980744602485</v>
      </c>
      <c r="FP266">
        <v>-1</v>
      </c>
      <c r="FQ266">
        <v>8.983476249999999</v>
      </c>
      <c r="FR266">
        <v>0.1214880675422125</v>
      </c>
      <c r="FS266">
        <v>0.01207911828063214</v>
      </c>
      <c r="FT266">
        <v>-1</v>
      </c>
      <c r="FU266">
        <v>0</v>
      </c>
      <c r="FV266">
        <v>0</v>
      </c>
      <c r="FW266">
        <v>0</v>
      </c>
      <c r="FX266">
        <v>-1</v>
      </c>
      <c r="FY266">
        <v>0</v>
      </c>
      <c r="FZ266">
        <v>0</v>
      </c>
      <c r="GA266" t="s">
        <v>420</v>
      </c>
      <c r="GB266">
        <v>2.98148</v>
      </c>
      <c r="GC266">
        <v>2.7063</v>
      </c>
      <c r="GD266">
        <v>0.00566995</v>
      </c>
      <c r="GE266">
        <v>0.00831696</v>
      </c>
      <c r="GF266">
        <v>0.08849070000000001</v>
      </c>
      <c r="GG266">
        <v>0.0535154</v>
      </c>
      <c r="GH266">
        <v>31418.2</v>
      </c>
      <c r="GI266">
        <v>31402.6</v>
      </c>
      <c r="GJ266">
        <v>29375.6</v>
      </c>
      <c r="GK266">
        <v>29290.6</v>
      </c>
      <c r="GL266">
        <v>35451.4</v>
      </c>
      <c r="GM266">
        <v>36927.6</v>
      </c>
      <c r="GN266">
        <v>41346.6</v>
      </c>
      <c r="GO266">
        <v>41808.8</v>
      </c>
      <c r="GP266">
        <v>1.966</v>
      </c>
      <c r="GQ266">
        <v>1.85177</v>
      </c>
      <c r="GR266">
        <v>-0.00460073</v>
      </c>
      <c r="GS266">
        <v>0</v>
      </c>
      <c r="GT266">
        <v>25.0742</v>
      </c>
      <c r="GU266">
        <v>999.9</v>
      </c>
      <c r="GV266">
        <v>29.9</v>
      </c>
      <c r="GW266">
        <v>34.2</v>
      </c>
      <c r="GX266">
        <v>17.964</v>
      </c>
      <c r="GY266">
        <v>62.3876</v>
      </c>
      <c r="GZ266">
        <v>35.1843</v>
      </c>
      <c r="HA266">
        <v>1</v>
      </c>
      <c r="HB266">
        <v>0.048717</v>
      </c>
      <c r="HC266">
        <v>1.49129</v>
      </c>
      <c r="HD266">
        <v>20.3296</v>
      </c>
      <c r="HE266">
        <v>5.21639</v>
      </c>
      <c r="HF266">
        <v>12.0099</v>
      </c>
      <c r="HG266">
        <v>4.98895</v>
      </c>
      <c r="HH266">
        <v>3.28865</v>
      </c>
      <c r="HI266">
        <v>1029.6</v>
      </c>
      <c r="HJ266">
        <v>9723.200000000001</v>
      </c>
      <c r="HK266">
        <v>5139.4</v>
      </c>
      <c r="HL266">
        <v>25.3</v>
      </c>
      <c r="HM266">
        <v>1.86747</v>
      </c>
      <c r="HN266">
        <v>1.86646</v>
      </c>
      <c r="HO266">
        <v>1.866</v>
      </c>
      <c r="HP266">
        <v>1.86584</v>
      </c>
      <c r="HQ266">
        <v>1.86768</v>
      </c>
      <c r="HR266">
        <v>1.87015</v>
      </c>
      <c r="HS266">
        <v>1.8689</v>
      </c>
      <c r="HT266">
        <v>1.87023</v>
      </c>
      <c r="HU266">
        <v>0</v>
      </c>
      <c r="HV266">
        <v>0</v>
      </c>
      <c r="HW266">
        <v>0</v>
      </c>
      <c r="HX266">
        <v>0</v>
      </c>
      <c r="HY266" t="s">
        <v>421</v>
      </c>
      <c r="HZ266" t="s">
        <v>422</v>
      </c>
      <c r="IA266" t="s">
        <v>423</v>
      </c>
      <c r="IB266" t="s">
        <v>423</v>
      </c>
      <c r="IC266" t="s">
        <v>423</v>
      </c>
      <c r="ID266" t="s">
        <v>423</v>
      </c>
      <c r="IE266">
        <v>0</v>
      </c>
      <c r="IF266">
        <v>100</v>
      </c>
      <c r="IG266">
        <v>100</v>
      </c>
      <c r="IH266">
        <v>-0.2</v>
      </c>
      <c r="II266">
        <v>0.0236</v>
      </c>
      <c r="IJ266">
        <v>-0.1559367209035702</v>
      </c>
      <c r="IK266">
        <v>-0.002077099775823331</v>
      </c>
      <c r="IL266">
        <v>4.593143279902166E-07</v>
      </c>
      <c r="IM266">
        <v>-1.865383991892071E-10</v>
      </c>
      <c r="IN266">
        <v>-0.0607165066849496</v>
      </c>
      <c r="IO266">
        <v>-0.01129461987421345</v>
      </c>
      <c r="IP266">
        <v>0.00116580895745559</v>
      </c>
      <c r="IQ266">
        <v>-1.679085872906199E-05</v>
      </c>
      <c r="IR266">
        <v>2</v>
      </c>
      <c r="IS266">
        <v>2290</v>
      </c>
      <c r="IT266">
        <v>0</v>
      </c>
      <c r="IU266">
        <v>32</v>
      </c>
      <c r="IV266">
        <v>12.6</v>
      </c>
      <c r="IW266">
        <v>12.4</v>
      </c>
      <c r="IX266">
        <v>0.24292</v>
      </c>
      <c r="IY266">
        <v>2.30469</v>
      </c>
      <c r="IZ266">
        <v>1.39648</v>
      </c>
      <c r="JA266">
        <v>2.35474</v>
      </c>
      <c r="JB266">
        <v>1.49536</v>
      </c>
      <c r="JC266">
        <v>2.30347</v>
      </c>
      <c r="JD266">
        <v>38.0134</v>
      </c>
      <c r="JE266">
        <v>24.0437</v>
      </c>
      <c r="JF266">
        <v>18</v>
      </c>
      <c r="JG266">
        <v>512.441</v>
      </c>
      <c r="JH266">
        <v>425.244</v>
      </c>
      <c r="JI266">
        <v>23.1671</v>
      </c>
      <c r="JJ266">
        <v>27.957</v>
      </c>
      <c r="JK266">
        <v>29.9999</v>
      </c>
      <c r="JL266">
        <v>27.9894</v>
      </c>
      <c r="JM266">
        <v>27.9367</v>
      </c>
      <c r="JN266">
        <v>4.98493</v>
      </c>
      <c r="JO266">
        <v>44.3442</v>
      </c>
      <c r="JP266">
        <v>0</v>
      </c>
      <c r="JQ266">
        <v>23.165</v>
      </c>
      <c r="JR266">
        <v>56.9665</v>
      </c>
      <c r="JS266">
        <v>9.507199999999999</v>
      </c>
      <c r="JT266">
        <v>100.411</v>
      </c>
      <c r="JU266">
        <v>100.342</v>
      </c>
    </row>
    <row r="267" spans="1:281">
      <c r="A267">
        <v>251</v>
      </c>
      <c r="B267">
        <v>1651866266.5</v>
      </c>
      <c r="C267">
        <v>2045.900000095367</v>
      </c>
      <c r="D267" t="s">
        <v>925</v>
      </c>
      <c r="E267" t="s">
        <v>926</v>
      </c>
      <c r="F267">
        <v>2</v>
      </c>
      <c r="G267" t="s">
        <v>908</v>
      </c>
      <c r="H267" t="s">
        <v>414</v>
      </c>
      <c r="I267">
        <v>1651866265.5</v>
      </c>
      <c r="J267">
        <f>(K267)/1000</f>
        <v>0</v>
      </c>
      <c r="K267">
        <f>IF(CZ267, AN267, AH267)</f>
        <v>0</v>
      </c>
      <c r="L267">
        <f>IF(CZ267, AI267, AG267)</f>
        <v>0</v>
      </c>
      <c r="M267">
        <f>DB267 - IF(AU267&gt;1, L267*CV267*100.0/(AW267*DP267), 0)</f>
        <v>0</v>
      </c>
      <c r="N267">
        <f>((T267-J267/2)*M267-L267)/(T267+J267/2)</f>
        <v>0</v>
      </c>
      <c r="O267">
        <f>N267*(DI267+DJ267)/1000.0</f>
        <v>0</v>
      </c>
      <c r="P267">
        <f>(DB267 - IF(AU267&gt;1, L267*CV267*100.0/(AW267*DP267), 0))*(DI267+DJ267)/1000.0</f>
        <v>0</v>
      </c>
      <c r="Q267">
        <f>2.0/((1/S267-1/R267)+SIGN(S267)*SQRT((1/S267-1/R267)*(1/S267-1/R267) + 4*CW267/((CW267+1)*(CW267+1))*(2*1/S267*1/R267-1/R267*1/R267)))</f>
        <v>0</v>
      </c>
      <c r="R267">
        <f>IF(LEFT(CX267,1)&lt;&gt;"0",IF(LEFT(CX267,1)="1",3.0,CY267),$D$5+$E$5*(DP267*DI267/($K$5*1000))+$F$5*(DP267*DI267/($K$5*1000))*MAX(MIN(CV267,$J$5),$I$5)*MAX(MIN(CV267,$J$5),$I$5)+$G$5*MAX(MIN(CV267,$J$5),$I$5)*(DP267*DI267/($K$5*1000))+$H$5*(DP267*DI267/($K$5*1000))*(DP267*DI267/($K$5*1000)))</f>
        <v>0</v>
      </c>
      <c r="S267">
        <f>J267*(1000-(1000*0.61365*exp(17.502*W267/(240.97+W267))/(DI267+DJ267)+DD267)/2)/(1000*0.61365*exp(17.502*W267/(240.97+W267))/(DI267+DJ267)-DD267)</f>
        <v>0</v>
      </c>
      <c r="T267">
        <f>1/((CW267+1)/(Q267/1.6)+1/(R267/1.37)) + CW267/((CW267+1)/(Q267/1.6) + CW267/(R267/1.37))</f>
        <v>0</v>
      </c>
      <c r="U267">
        <f>(CR267*CU267)</f>
        <v>0</v>
      </c>
      <c r="V267">
        <f>(DK267+(U267+2*0.95*5.67E-8*(((DK267+$B$7)+273)^4-(DK267+273)^4)-44100*J267)/(1.84*29.3*R267+8*0.95*5.67E-8*(DK267+273)^3))</f>
        <v>0</v>
      </c>
      <c r="W267">
        <f>($C$7*DL267+$D$7*DM267+$E$7*V267)</f>
        <v>0</v>
      </c>
      <c r="X267">
        <f>0.61365*exp(17.502*W267/(240.97+W267))</f>
        <v>0</v>
      </c>
      <c r="Y267">
        <f>(Z267/AA267*100)</f>
        <v>0</v>
      </c>
      <c r="Z267">
        <f>DD267*(DI267+DJ267)/1000</f>
        <v>0</v>
      </c>
      <c r="AA267">
        <f>0.61365*exp(17.502*DK267/(240.97+DK267))</f>
        <v>0</v>
      </c>
      <c r="AB267">
        <f>(X267-DD267*(DI267+DJ267)/1000)</f>
        <v>0</v>
      </c>
      <c r="AC267">
        <f>(-J267*44100)</f>
        <v>0</v>
      </c>
      <c r="AD267">
        <f>2*29.3*R267*0.92*(DK267-W267)</f>
        <v>0</v>
      </c>
      <c r="AE267">
        <f>2*0.95*5.67E-8*(((DK267+$B$7)+273)^4-(W267+273)^4)</f>
        <v>0</v>
      </c>
      <c r="AF267">
        <f>U267+AE267+AC267+AD267</f>
        <v>0</v>
      </c>
      <c r="AG267">
        <f>DH267*AU267*(DC267-DB267*(1000-AU267*DE267)/(1000-AU267*DD267))/(100*CV267)</f>
        <v>0</v>
      </c>
      <c r="AH267">
        <f>1000*DH267*AU267*(DD267-DE267)/(100*CV267*(1000-AU267*DD267))</f>
        <v>0</v>
      </c>
      <c r="AI267">
        <f>(AJ267 - AK267 - DI267*1E3/(8.314*(DK267+273.15)) * AM267/DH267 * AL267) * DH267/(100*CV267) * (1000 - DE267)/1000</f>
        <v>0</v>
      </c>
      <c r="AJ267">
        <v>29.37029508098913</v>
      </c>
      <c r="AK267">
        <v>24.42821757575758</v>
      </c>
      <c r="AL267">
        <v>1.778747139252501</v>
      </c>
      <c r="AM267">
        <v>66.38195617057868</v>
      </c>
      <c r="AN267">
        <f>(AP267 - AO267 + DI267*1E3/(8.314*(DK267+273.15)) * AR267/DH267 * AQ267) * DH267/(100*CV267) * 1000/(1000 - AP267)</f>
        <v>0</v>
      </c>
      <c r="AO267">
        <v>9.55651066565137</v>
      </c>
      <c r="AP267">
        <v>18.56434470588234</v>
      </c>
      <c r="AQ267">
        <v>0.0001769365052483499</v>
      </c>
      <c r="AR267">
        <v>80.47178418790507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MAX(0,($B$13+$C$13*DP267)/(1+$D$13*DP267)*DI267/(DK267+273)*$E$13)</f>
        <v>0</v>
      </c>
      <c r="AX267" t="s">
        <v>417</v>
      </c>
      <c r="AY267" t="s">
        <v>417</v>
      </c>
      <c r="AZ267">
        <v>0</v>
      </c>
      <c r="BA267">
        <v>0</v>
      </c>
      <c r="BB267">
        <f>1-AZ267/BA267</f>
        <v>0</v>
      </c>
      <c r="BC267">
        <v>0</v>
      </c>
      <c r="BD267" t="s">
        <v>417</v>
      </c>
      <c r="BE267" t="s">
        <v>417</v>
      </c>
      <c r="BF267">
        <v>0</v>
      </c>
      <c r="BG267">
        <v>0</v>
      </c>
      <c r="BH267">
        <f>1-BF267/BG267</f>
        <v>0</v>
      </c>
      <c r="BI267">
        <v>0.5</v>
      </c>
      <c r="BJ267">
        <f>CS267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417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BZ267">
        <v>1249</v>
      </c>
      <c r="CA267">
        <v>300</v>
      </c>
      <c r="CB267">
        <v>300</v>
      </c>
      <c r="CC267">
        <v>300</v>
      </c>
      <c r="CD267">
        <v>10442.4</v>
      </c>
      <c r="CE267">
        <v>1239.69</v>
      </c>
      <c r="CF267">
        <v>-0.00735276</v>
      </c>
      <c r="CG267">
        <v>0.07000000000000001</v>
      </c>
      <c r="CH267" t="s">
        <v>417</v>
      </c>
      <c r="CI267" t="s">
        <v>417</v>
      </c>
      <c r="CJ267" t="s">
        <v>417</v>
      </c>
      <c r="CK267" t="s">
        <v>417</v>
      </c>
      <c r="CL267" t="s">
        <v>417</v>
      </c>
      <c r="CM267" t="s">
        <v>417</v>
      </c>
      <c r="CN267" t="s">
        <v>417</v>
      </c>
      <c r="CO267" t="s">
        <v>417</v>
      </c>
      <c r="CP267" t="s">
        <v>417</v>
      </c>
      <c r="CQ267" t="s">
        <v>417</v>
      </c>
      <c r="CR267">
        <f>$B$11*DQ267+$C$11*DR267+$F$11*EC267*(1-EF267)</f>
        <v>0</v>
      </c>
      <c r="CS267">
        <f>CR267*CT267</f>
        <v>0</v>
      </c>
      <c r="CT267">
        <f>($B$11*$D$9+$C$11*$D$9+$F$11*((EP267+EH267)/MAX(EP267+EH267+EQ267, 0.1)*$I$9+EQ267/MAX(EP267+EH267+EQ267, 0.1)*$J$9))/($B$11+$C$11+$F$11)</f>
        <v>0</v>
      </c>
      <c r="CU267">
        <f>($B$11*$K$9+$C$11*$K$9+$F$11*((EP267+EH267)/MAX(EP267+EH267+EQ267, 0.1)*$P$9+EQ267/MAX(EP267+EH267+EQ267, 0.1)*$Q$9))/($B$11+$C$11+$F$11)</f>
        <v>0</v>
      </c>
      <c r="CV267">
        <v>6</v>
      </c>
      <c r="CW267">
        <v>0.5</v>
      </c>
      <c r="CX267" t="s">
        <v>418</v>
      </c>
      <c r="CY267">
        <v>2</v>
      </c>
      <c r="CZ267" t="b">
        <v>1</v>
      </c>
      <c r="DA267">
        <v>1651866265.5</v>
      </c>
      <c r="DB267">
        <v>22.98096666666667</v>
      </c>
      <c r="DC267">
        <v>34.62343333333333</v>
      </c>
      <c r="DD267">
        <v>18.56273333333333</v>
      </c>
      <c r="DE267">
        <v>9.553970000000001</v>
      </c>
      <c r="DF267">
        <v>23.1848</v>
      </c>
      <c r="DG267">
        <v>18.53916666666667</v>
      </c>
      <c r="DH267">
        <v>500.0966666666666</v>
      </c>
      <c r="DI267">
        <v>89.91793333333334</v>
      </c>
      <c r="DJ267">
        <v>0.09998003333333334</v>
      </c>
      <c r="DK267">
        <v>25.8316</v>
      </c>
      <c r="DL267">
        <v>25.00026666666666</v>
      </c>
      <c r="DM267">
        <v>999.9</v>
      </c>
      <c r="DN267">
        <v>0</v>
      </c>
      <c r="DO267">
        <v>0</v>
      </c>
      <c r="DP267">
        <v>10012.5</v>
      </c>
      <c r="DQ267">
        <v>0</v>
      </c>
      <c r="DR267">
        <v>3.20383</v>
      </c>
      <c r="DS267">
        <v>-11.64246666666667</v>
      </c>
      <c r="DT267">
        <v>23.41563333333333</v>
      </c>
      <c r="DU267">
        <v>34.9574</v>
      </c>
      <c r="DV267">
        <v>9.008750000000001</v>
      </c>
      <c r="DW267">
        <v>34.62343333333333</v>
      </c>
      <c r="DX267">
        <v>9.553970000000001</v>
      </c>
      <c r="DY267">
        <v>1.66912</v>
      </c>
      <c r="DZ267">
        <v>0.859073</v>
      </c>
      <c r="EA267">
        <v>14.61223333333333</v>
      </c>
      <c r="EB267">
        <v>4.722786666666667</v>
      </c>
      <c r="EC267">
        <v>1499.916666666667</v>
      </c>
      <c r="ED267">
        <v>0.973003</v>
      </c>
      <c r="EE267">
        <v>0.0269973</v>
      </c>
      <c r="EF267">
        <v>0</v>
      </c>
      <c r="EG267">
        <v>863.6060000000001</v>
      </c>
      <c r="EH267">
        <v>5.00097</v>
      </c>
      <c r="EI267">
        <v>12830.96666666667</v>
      </c>
      <c r="EJ267">
        <v>12490.9</v>
      </c>
      <c r="EK267">
        <v>37.812</v>
      </c>
      <c r="EL267">
        <v>39.875</v>
      </c>
      <c r="EM267">
        <v>38.187</v>
      </c>
      <c r="EN267">
        <v>39.875</v>
      </c>
      <c r="EO267">
        <v>39.104</v>
      </c>
      <c r="EP267">
        <v>1454.556666666667</v>
      </c>
      <c r="EQ267">
        <v>40.36</v>
      </c>
      <c r="ER267">
        <v>0</v>
      </c>
      <c r="ES267">
        <v>784.4000000953674</v>
      </c>
      <c r="ET267">
        <v>0</v>
      </c>
      <c r="EU267">
        <v>865.4415</v>
      </c>
      <c r="EV267">
        <v>-12.8451624184178</v>
      </c>
      <c r="EW267">
        <v>-146.8034188782917</v>
      </c>
      <c r="EX267">
        <v>12852.57692307692</v>
      </c>
      <c r="EY267">
        <v>15</v>
      </c>
      <c r="EZ267">
        <v>1651865518.1</v>
      </c>
      <c r="FA267" t="s">
        <v>910</v>
      </c>
      <c r="FB267">
        <v>1651865507.1</v>
      </c>
      <c r="FC267">
        <v>1651865518.1</v>
      </c>
      <c r="FD267">
        <v>8</v>
      </c>
      <c r="FE267">
        <v>0.06</v>
      </c>
      <c r="FF267">
        <v>0</v>
      </c>
      <c r="FG267">
        <v>-0.927</v>
      </c>
      <c r="FH267">
        <v>-0.062</v>
      </c>
      <c r="FI267">
        <v>400</v>
      </c>
      <c r="FJ267">
        <v>11</v>
      </c>
      <c r="FK267">
        <v>0.11</v>
      </c>
      <c r="FL267">
        <v>0.01</v>
      </c>
      <c r="FM267">
        <v>0.2245197317073171</v>
      </c>
      <c r="FN267">
        <v>-48.1541115261324</v>
      </c>
      <c r="FO267">
        <v>5.386688134346585</v>
      </c>
      <c r="FP267">
        <v>-1</v>
      </c>
      <c r="FQ267">
        <v>8.985740731707317</v>
      </c>
      <c r="FR267">
        <v>0.1312200000000066</v>
      </c>
      <c r="FS267">
        <v>0.01312560231189308</v>
      </c>
      <c r="FT267">
        <v>-1</v>
      </c>
      <c r="FU267">
        <v>0</v>
      </c>
      <c r="FV267">
        <v>0</v>
      </c>
      <c r="FW267">
        <v>0</v>
      </c>
      <c r="FX267">
        <v>-1</v>
      </c>
      <c r="FY267">
        <v>0</v>
      </c>
      <c r="FZ267">
        <v>0</v>
      </c>
      <c r="GA267" t="s">
        <v>420</v>
      </c>
      <c r="GB267">
        <v>2.98141</v>
      </c>
      <c r="GC267">
        <v>2.70632</v>
      </c>
      <c r="GD267">
        <v>0.00671592</v>
      </c>
      <c r="GE267">
        <v>0.00999119</v>
      </c>
      <c r="GF267">
        <v>0.0885087</v>
      </c>
      <c r="GG267">
        <v>0.0535138</v>
      </c>
      <c r="GH267">
        <v>31385.3</v>
      </c>
      <c r="GI267">
        <v>31349.5</v>
      </c>
      <c r="GJ267">
        <v>29375.7</v>
      </c>
      <c r="GK267">
        <v>29290.5</v>
      </c>
      <c r="GL267">
        <v>35450.7</v>
      </c>
      <c r="GM267">
        <v>36927.8</v>
      </c>
      <c r="GN267">
        <v>41346.6</v>
      </c>
      <c r="GO267">
        <v>41808.9</v>
      </c>
      <c r="GP267">
        <v>1.96615</v>
      </c>
      <c r="GQ267">
        <v>1.85182</v>
      </c>
      <c r="GR267">
        <v>-0.00432879</v>
      </c>
      <c r="GS267">
        <v>0</v>
      </c>
      <c r="GT267">
        <v>25.0753</v>
      </c>
      <c r="GU267">
        <v>999.9</v>
      </c>
      <c r="GV267">
        <v>29.9</v>
      </c>
      <c r="GW267">
        <v>34.2</v>
      </c>
      <c r="GX267">
        <v>17.9663</v>
      </c>
      <c r="GY267">
        <v>62.3976</v>
      </c>
      <c r="GZ267">
        <v>35.2644</v>
      </c>
      <c r="HA267">
        <v>1</v>
      </c>
      <c r="HB267">
        <v>0.0486712</v>
      </c>
      <c r="HC267">
        <v>1.48732</v>
      </c>
      <c r="HD267">
        <v>20.3296</v>
      </c>
      <c r="HE267">
        <v>5.21609</v>
      </c>
      <c r="HF267">
        <v>12.0099</v>
      </c>
      <c r="HG267">
        <v>4.98875</v>
      </c>
      <c r="HH267">
        <v>3.28855</v>
      </c>
      <c r="HI267">
        <v>1029.6</v>
      </c>
      <c r="HJ267">
        <v>9723.200000000001</v>
      </c>
      <c r="HK267">
        <v>5139.4</v>
      </c>
      <c r="HL267">
        <v>25.3</v>
      </c>
      <c r="HM267">
        <v>1.86747</v>
      </c>
      <c r="HN267">
        <v>1.86646</v>
      </c>
      <c r="HO267">
        <v>1.866</v>
      </c>
      <c r="HP267">
        <v>1.86584</v>
      </c>
      <c r="HQ267">
        <v>1.86768</v>
      </c>
      <c r="HR267">
        <v>1.87014</v>
      </c>
      <c r="HS267">
        <v>1.86889</v>
      </c>
      <c r="HT267">
        <v>1.87022</v>
      </c>
      <c r="HU267">
        <v>0</v>
      </c>
      <c r="HV267">
        <v>0</v>
      </c>
      <c r="HW267">
        <v>0</v>
      </c>
      <c r="HX267">
        <v>0</v>
      </c>
      <c r="HY267" t="s">
        <v>421</v>
      </c>
      <c r="HZ267" t="s">
        <v>422</v>
      </c>
      <c r="IA267" t="s">
        <v>423</v>
      </c>
      <c r="IB267" t="s">
        <v>423</v>
      </c>
      <c r="IC267" t="s">
        <v>423</v>
      </c>
      <c r="ID267" t="s">
        <v>423</v>
      </c>
      <c r="IE267">
        <v>0</v>
      </c>
      <c r="IF267">
        <v>100</v>
      </c>
      <c r="IG267">
        <v>100</v>
      </c>
      <c r="IH267">
        <v>-0.208</v>
      </c>
      <c r="II267">
        <v>0.0236</v>
      </c>
      <c r="IJ267">
        <v>-0.1559367209035702</v>
      </c>
      <c r="IK267">
        <v>-0.002077099775823331</v>
      </c>
      <c r="IL267">
        <v>4.593143279902166E-07</v>
      </c>
      <c r="IM267">
        <v>-1.865383991892071E-10</v>
      </c>
      <c r="IN267">
        <v>-0.0607165066849496</v>
      </c>
      <c r="IO267">
        <v>-0.01129461987421345</v>
      </c>
      <c r="IP267">
        <v>0.00116580895745559</v>
      </c>
      <c r="IQ267">
        <v>-1.679085872906199E-05</v>
      </c>
      <c r="IR267">
        <v>2</v>
      </c>
      <c r="IS267">
        <v>2290</v>
      </c>
      <c r="IT267">
        <v>0</v>
      </c>
      <c r="IU267">
        <v>32</v>
      </c>
      <c r="IV267">
        <v>12.7</v>
      </c>
      <c r="IW267">
        <v>12.5</v>
      </c>
      <c r="IX267">
        <v>0.256348</v>
      </c>
      <c r="IY267">
        <v>2.30103</v>
      </c>
      <c r="IZ267">
        <v>1.39648</v>
      </c>
      <c r="JA267">
        <v>2.35474</v>
      </c>
      <c r="JB267">
        <v>1.49536</v>
      </c>
      <c r="JC267">
        <v>2.29858</v>
      </c>
      <c r="JD267">
        <v>38.0377</v>
      </c>
      <c r="JE267">
        <v>24.035</v>
      </c>
      <c r="JF267">
        <v>18</v>
      </c>
      <c r="JG267">
        <v>512.528</v>
      </c>
      <c r="JH267">
        <v>425.265</v>
      </c>
      <c r="JI267">
        <v>23.1653</v>
      </c>
      <c r="JJ267">
        <v>27.9557</v>
      </c>
      <c r="JK267">
        <v>29.9998</v>
      </c>
      <c r="JL267">
        <v>27.9881</v>
      </c>
      <c r="JM267">
        <v>27.9355</v>
      </c>
      <c r="JN267">
        <v>5.26915</v>
      </c>
      <c r="JO267">
        <v>44.3442</v>
      </c>
      <c r="JP267">
        <v>0</v>
      </c>
      <c r="JQ267">
        <v>23.1638</v>
      </c>
      <c r="JR267">
        <v>63.6806</v>
      </c>
      <c r="JS267">
        <v>9.49268</v>
      </c>
      <c r="JT267">
        <v>100.411</v>
      </c>
      <c r="JU267">
        <v>100.342</v>
      </c>
    </row>
    <row r="268" spans="1:281">
      <c r="A268">
        <v>252</v>
      </c>
      <c r="B268">
        <v>1651866268.5</v>
      </c>
      <c r="C268">
        <v>2047.900000095367</v>
      </c>
      <c r="D268" t="s">
        <v>927</v>
      </c>
      <c r="E268" t="s">
        <v>928</v>
      </c>
      <c r="F268">
        <v>2</v>
      </c>
      <c r="G268" t="s">
        <v>908</v>
      </c>
      <c r="H268" t="s">
        <v>414</v>
      </c>
      <c r="I268">
        <v>1651866267.125</v>
      </c>
      <c r="J268">
        <f>(K268)/1000</f>
        <v>0</v>
      </c>
      <c r="K268">
        <f>IF(CZ268, AN268, AH268)</f>
        <v>0</v>
      </c>
      <c r="L268">
        <f>IF(CZ268, AI268, AG268)</f>
        <v>0</v>
      </c>
      <c r="M268">
        <f>DB268 - IF(AU268&gt;1, L268*CV268*100.0/(AW268*DP268), 0)</f>
        <v>0</v>
      </c>
      <c r="N268">
        <f>((T268-J268/2)*M268-L268)/(T268+J268/2)</f>
        <v>0</v>
      </c>
      <c r="O268">
        <f>N268*(DI268+DJ268)/1000.0</f>
        <v>0</v>
      </c>
      <c r="P268">
        <f>(DB268 - IF(AU268&gt;1, L268*CV268*100.0/(AW268*DP268), 0))*(DI268+DJ268)/1000.0</f>
        <v>0</v>
      </c>
      <c r="Q268">
        <f>2.0/((1/S268-1/R268)+SIGN(S268)*SQRT((1/S268-1/R268)*(1/S268-1/R268) + 4*CW268/((CW268+1)*(CW268+1))*(2*1/S268*1/R268-1/R268*1/R268)))</f>
        <v>0</v>
      </c>
      <c r="R268">
        <f>IF(LEFT(CX268,1)&lt;&gt;"0",IF(LEFT(CX268,1)="1",3.0,CY268),$D$5+$E$5*(DP268*DI268/($K$5*1000))+$F$5*(DP268*DI268/($K$5*1000))*MAX(MIN(CV268,$J$5),$I$5)*MAX(MIN(CV268,$J$5),$I$5)+$G$5*MAX(MIN(CV268,$J$5),$I$5)*(DP268*DI268/($K$5*1000))+$H$5*(DP268*DI268/($K$5*1000))*(DP268*DI268/($K$5*1000)))</f>
        <v>0</v>
      </c>
      <c r="S268">
        <f>J268*(1000-(1000*0.61365*exp(17.502*W268/(240.97+W268))/(DI268+DJ268)+DD268)/2)/(1000*0.61365*exp(17.502*W268/(240.97+W268))/(DI268+DJ268)-DD268)</f>
        <v>0</v>
      </c>
      <c r="T268">
        <f>1/((CW268+1)/(Q268/1.6)+1/(R268/1.37)) + CW268/((CW268+1)/(Q268/1.6) + CW268/(R268/1.37))</f>
        <v>0</v>
      </c>
      <c r="U268">
        <f>(CR268*CU268)</f>
        <v>0</v>
      </c>
      <c r="V268">
        <f>(DK268+(U268+2*0.95*5.67E-8*(((DK268+$B$7)+273)^4-(DK268+273)^4)-44100*J268)/(1.84*29.3*R268+8*0.95*5.67E-8*(DK268+273)^3))</f>
        <v>0</v>
      </c>
      <c r="W268">
        <f>($C$7*DL268+$D$7*DM268+$E$7*V268)</f>
        <v>0</v>
      </c>
      <c r="X268">
        <f>0.61365*exp(17.502*W268/(240.97+W268))</f>
        <v>0</v>
      </c>
      <c r="Y268">
        <f>(Z268/AA268*100)</f>
        <v>0</v>
      </c>
      <c r="Z268">
        <f>DD268*(DI268+DJ268)/1000</f>
        <v>0</v>
      </c>
      <c r="AA268">
        <f>0.61365*exp(17.502*DK268/(240.97+DK268))</f>
        <v>0</v>
      </c>
      <c r="AB268">
        <f>(X268-DD268*(DI268+DJ268)/1000)</f>
        <v>0</v>
      </c>
      <c r="AC268">
        <f>(-J268*44100)</f>
        <v>0</v>
      </c>
      <c r="AD268">
        <f>2*29.3*R268*0.92*(DK268-W268)</f>
        <v>0</v>
      </c>
      <c r="AE268">
        <f>2*0.95*5.67E-8*(((DK268+$B$7)+273)^4-(W268+273)^4)</f>
        <v>0</v>
      </c>
      <c r="AF268">
        <f>U268+AE268+AC268+AD268</f>
        <v>0</v>
      </c>
      <c r="AG268">
        <f>DH268*AU268*(DC268-DB268*(1000-AU268*DE268)/(1000-AU268*DD268))/(100*CV268)</f>
        <v>0</v>
      </c>
      <c r="AH268">
        <f>1000*DH268*AU268*(DD268-DE268)/(100*CV268*(1000-AU268*DD268))</f>
        <v>0</v>
      </c>
      <c r="AI268">
        <f>(AJ268 - AK268 - DI268*1E3/(8.314*(DK268+273.15)) * AM268/DH268 * AL268) * DH268/(100*CV268) * (1000 - DE268)/1000</f>
        <v>0</v>
      </c>
      <c r="AJ268">
        <v>35.68982588901952</v>
      </c>
      <c r="AK268">
        <v>28.82710060606061</v>
      </c>
      <c r="AL268">
        <v>2.109420952104712</v>
      </c>
      <c r="AM268">
        <v>66.38195617057868</v>
      </c>
      <c r="AN268">
        <f>(AP268 - AO268 + DI268*1E3/(8.314*(DK268+273.15)) * AR268/DH268 * AQ268) * DH268/(100*CV268) * 1000/(1000 - AP268)</f>
        <v>0</v>
      </c>
      <c r="AO268">
        <v>9.555063197872979</v>
      </c>
      <c r="AP268">
        <v>18.56667382352941</v>
      </c>
      <c r="AQ268">
        <v>0.0003010743673133283</v>
      </c>
      <c r="AR268">
        <v>80.47178418790507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MAX(0,($B$13+$C$13*DP268)/(1+$D$13*DP268)*DI268/(DK268+273)*$E$13)</f>
        <v>0</v>
      </c>
      <c r="AX268" t="s">
        <v>417</v>
      </c>
      <c r="AY268" t="s">
        <v>417</v>
      </c>
      <c r="AZ268">
        <v>0</v>
      </c>
      <c r="BA268">
        <v>0</v>
      </c>
      <c r="BB268">
        <f>1-AZ268/BA268</f>
        <v>0</v>
      </c>
      <c r="BC268">
        <v>0</v>
      </c>
      <c r="BD268" t="s">
        <v>417</v>
      </c>
      <c r="BE268" t="s">
        <v>417</v>
      </c>
      <c r="BF268">
        <v>0</v>
      </c>
      <c r="BG268">
        <v>0</v>
      </c>
      <c r="BH268">
        <f>1-BF268/BG268</f>
        <v>0</v>
      </c>
      <c r="BI268">
        <v>0.5</v>
      </c>
      <c r="BJ268">
        <f>CS268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417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BZ268">
        <v>1249</v>
      </c>
      <c r="CA268">
        <v>300</v>
      </c>
      <c r="CB268">
        <v>300</v>
      </c>
      <c r="CC268">
        <v>300</v>
      </c>
      <c r="CD268">
        <v>10442.4</v>
      </c>
      <c r="CE268">
        <v>1239.69</v>
      </c>
      <c r="CF268">
        <v>-0.00735276</v>
      </c>
      <c r="CG268">
        <v>0.07000000000000001</v>
      </c>
      <c r="CH268" t="s">
        <v>417</v>
      </c>
      <c r="CI268" t="s">
        <v>417</v>
      </c>
      <c r="CJ268" t="s">
        <v>417</v>
      </c>
      <c r="CK268" t="s">
        <v>417</v>
      </c>
      <c r="CL268" t="s">
        <v>417</v>
      </c>
      <c r="CM268" t="s">
        <v>417</v>
      </c>
      <c r="CN268" t="s">
        <v>417</v>
      </c>
      <c r="CO268" t="s">
        <v>417</v>
      </c>
      <c r="CP268" t="s">
        <v>417</v>
      </c>
      <c r="CQ268" t="s">
        <v>417</v>
      </c>
      <c r="CR268">
        <f>$B$11*DQ268+$C$11*DR268+$F$11*EC268*(1-EF268)</f>
        <v>0</v>
      </c>
      <c r="CS268">
        <f>CR268*CT268</f>
        <v>0</v>
      </c>
      <c r="CT268">
        <f>($B$11*$D$9+$C$11*$D$9+$F$11*((EP268+EH268)/MAX(EP268+EH268+EQ268, 0.1)*$I$9+EQ268/MAX(EP268+EH268+EQ268, 0.1)*$J$9))/($B$11+$C$11+$F$11)</f>
        <v>0</v>
      </c>
      <c r="CU268">
        <f>($B$11*$K$9+$C$11*$K$9+$F$11*((EP268+EH268)/MAX(EP268+EH268+EQ268, 0.1)*$P$9+EQ268/MAX(EP268+EH268+EQ268, 0.1)*$Q$9))/($B$11+$C$11+$F$11)</f>
        <v>0</v>
      </c>
      <c r="CV268">
        <v>6</v>
      </c>
      <c r="CW268">
        <v>0.5</v>
      </c>
      <c r="CX268" t="s">
        <v>418</v>
      </c>
      <c r="CY268">
        <v>2</v>
      </c>
      <c r="CZ268" t="b">
        <v>1</v>
      </c>
      <c r="DA268">
        <v>1651866267.125</v>
      </c>
      <c r="DB268">
        <v>26.3683</v>
      </c>
      <c r="DC268">
        <v>39.834175</v>
      </c>
      <c r="DD268">
        <v>18.565275</v>
      </c>
      <c r="DE268">
        <v>9.554197500000001</v>
      </c>
      <c r="DF268">
        <v>26.5791</v>
      </c>
      <c r="DG268">
        <v>18.541675</v>
      </c>
      <c r="DH268">
        <v>500.047</v>
      </c>
      <c r="DI268">
        <v>89.91772499999999</v>
      </c>
      <c r="DJ268">
        <v>0.09996345000000001</v>
      </c>
      <c r="DK268">
        <v>25.831425</v>
      </c>
      <c r="DL268">
        <v>25.00555</v>
      </c>
      <c r="DM268">
        <v>999.9</v>
      </c>
      <c r="DN268">
        <v>0</v>
      </c>
      <c r="DO268">
        <v>0</v>
      </c>
      <c r="DP268">
        <v>10018.15</v>
      </c>
      <c r="DQ268">
        <v>0</v>
      </c>
      <c r="DR268">
        <v>3.207695</v>
      </c>
      <c r="DS268">
        <v>-13.465875</v>
      </c>
      <c r="DT268">
        <v>26.867075</v>
      </c>
      <c r="DU268">
        <v>40.218425</v>
      </c>
      <c r="DV268">
        <v>9.011075</v>
      </c>
      <c r="DW268">
        <v>39.834175</v>
      </c>
      <c r="DX268">
        <v>9.554197500000001</v>
      </c>
      <c r="DY268">
        <v>1.6693475</v>
      </c>
      <c r="DZ268">
        <v>0.8590917499999999</v>
      </c>
      <c r="EA268">
        <v>14.6143</v>
      </c>
      <c r="EB268">
        <v>4.7230925</v>
      </c>
      <c r="EC268">
        <v>1499.9625</v>
      </c>
      <c r="ED268">
        <v>0.973003</v>
      </c>
      <c r="EE268">
        <v>0.0269973</v>
      </c>
      <c r="EF268">
        <v>0</v>
      </c>
      <c r="EG268">
        <v>862.8185</v>
      </c>
      <c r="EH268">
        <v>5.00097</v>
      </c>
      <c r="EI268">
        <v>12821.775</v>
      </c>
      <c r="EJ268">
        <v>12491.275</v>
      </c>
      <c r="EK268">
        <v>37.85925</v>
      </c>
      <c r="EL268">
        <v>39.92149999999999</v>
      </c>
      <c r="EM268">
        <v>38.187</v>
      </c>
      <c r="EN268">
        <v>39.92149999999999</v>
      </c>
      <c r="EO268">
        <v>39.125</v>
      </c>
      <c r="EP268">
        <v>1454.6</v>
      </c>
      <c r="EQ268">
        <v>40.3625</v>
      </c>
      <c r="ER268">
        <v>0</v>
      </c>
      <c r="ES268">
        <v>786.2000000476837</v>
      </c>
      <c r="ET268">
        <v>0</v>
      </c>
      <c r="EU268">
        <v>864.95052</v>
      </c>
      <c r="EV268">
        <v>-19.53284612968686</v>
      </c>
      <c r="EW268">
        <v>-226.2999995002779</v>
      </c>
      <c r="EX268">
        <v>12847.108</v>
      </c>
      <c r="EY268">
        <v>15</v>
      </c>
      <c r="EZ268">
        <v>1651865518.1</v>
      </c>
      <c r="FA268" t="s">
        <v>910</v>
      </c>
      <c r="FB268">
        <v>1651865507.1</v>
      </c>
      <c r="FC268">
        <v>1651865518.1</v>
      </c>
      <c r="FD268">
        <v>8</v>
      </c>
      <c r="FE268">
        <v>0.06</v>
      </c>
      <c r="FF268">
        <v>0</v>
      </c>
      <c r="FG268">
        <v>-0.927</v>
      </c>
      <c r="FH268">
        <v>-0.062</v>
      </c>
      <c r="FI268">
        <v>400</v>
      </c>
      <c r="FJ268">
        <v>11</v>
      </c>
      <c r="FK268">
        <v>0.11</v>
      </c>
      <c r="FL268">
        <v>0.01</v>
      </c>
      <c r="FM268">
        <v>-2.078698275</v>
      </c>
      <c r="FN268">
        <v>-66.09076046904316</v>
      </c>
      <c r="FO268">
        <v>6.710225171158875</v>
      </c>
      <c r="FP268">
        <v>-1</v>
      </c>
      <c r="FQ268">
        <v>8.991942249999999</v>
      </c>
      <c r="FR268">
        <v>0.1285559099436953</v>
      </c>
      <c r="FS268">
        <v>0.01251500748851159</v>
      </c>
      <c r="FT268">
        <v>-1</v>
      </c>
      <c r="FU268">
        <v>0</v>
      </c>
      <c r="FV268">
        <v>0</v>
      </c>
      <c r="FW268">
        <v>0</v>
      </c>
      <c r="FX268">
        <v>-1</v>
      </c>
      <c r="FY268">
        <v>0</v>
      </c>
      <c r="FZ268">
        <v>0</v>
      </c>
      <c r="GA268" t="s">
        <v>420</v>
      </c>
      <c r="GB268">
        <v>2.98127</v>
      </c>
      <c r="GC268">
        <v>2.70632</v>
      </c>
      <c r="GD268">
        <v>0.00790545</v>
      </c>
      <c r="GE268">
        <v>0.0117076</v>
      </c>
      <c r="GF268">
        <v>0.0885143</v>
      </c>
      <c r="GG268">
        <v>0.053514</v>
      </c>
      <c r="GH268">
        <v>31347.8</v>
      </c>
      <c r="GI268">
        <v>31295.3</v>
      </c>
      <c r="GJ268">
        <v>29375.8</v>
      </c>
      <c r="GK268">
        <v>29290.7</v>
      </c>
      <c r="GL268">
        <v>35450.4</v>
      </c>
      <c r="GM268">
        <v>36928.1</v>
      </c>
      <c r="GN268">
        <v>41346.4</v>
      </c>
      <c r="GO268">
        <v>41809.2</v>
      </c>
      <c r="GP268">
        <v>1.9663</v>
      </c>
      <c r="GQ268">
        <v>1.85185</v>
      </c>
      <c r="GR268">
        <v>-0.00417978</v>
      </c>
      <c r="GS268">
        <v>0</v>
      </c>
      <c r="GT268">
        <v>25.0763</v>
      </c>
      <c r="GU268">
        <v>999.9</v>
      </c>
      <c r="GV268">
        <v>29.9</v>
      </c>
      <c r="GW268">
        <v>34.2</v>
      </c>
      <c r="GX268">
        <v>17.9655</v>
      </c>
      <c r="GY268">
        <v>62.4676</v>
      </c>
      <c r="GZ268">
        <v>35.5729</v>
      </c>
      <c r="HA268">
        <v>1</v>
      </c>
      <c r="HB268">
        <v>0.048407</v>
      </c>
      <c r="HC268">
        <v>1.48656</v>
      </c>
      <c r="HD268">
        <v>20.3296</v>
      </c>
      <c r="HE268">
        <v>5.21564</v>
      </c>
      <c r="HF268">
        <v>12.0099</v>
      </c>
      <c r="HG268">
        <v>4.9887</v>
      </c>
      <c r="HH268">
        <v>3.28848</v>
      </c>
      <c r="HI268">
        <v>1029.6</v>
      </c>
      <c r="HJ268">
        <v>9723.200000000001</v>
      </c>
      <c r="HK268">
        <v>5139.4</v>
      </c>
      <c r="HL268">
        <v>25.3</v>
      </c>
      <c r="HM268">
        <v>1.86747</v>
      </c>
      <c r="HN268">
        <v>1.86646</v>
      </c>
      <c r="HO268">
        <v>1.866</v>
      </c>
      <c r="HP268">
        <v>1.86584</v>
      </c>
      <c r="HQ268">
        <v>1.86768</v>
      </c>
      <c r="HR268">
        <v>1.87014</v>
      </c>
      <c r="HS268">
        <v>1.86889</v>
      </c>
      <c r="HT268">
        <v>1.87021</v>
      </c>
      <c r="HU268">
        <v>0</v>
      </c>
      <c r="HV268">
        <v>0</v>
      </c>
      <c r="HW268">
        <v>0</v>
      </c>
      <c r="HX268">
        <v>0</v>
      </c>
      <c r="HY268" t="s">
        <v>421</v>
      </c>
      <c r="HZ268" t="s">
        <v>422</v>
      </c>
      <c r="IA268" t="s">
        <v>423</v>
      </c>
      <c r="IB268" t="s">
        <v>423</v>
      </c>
      <c r="IC268" t="s">
        <v>423</v>
      </c>
      <c r="ID268" t="s">
        <v>423</v>
      </c>
      <c r="IE268">
        <v>0</v>
      </c>
      <c r="IF268">
        <v>100</v>
      </c>
      <c r="IG268">
        <v>100</v>
      </c>
      <c r="IH268">
        <v>-0.217</v>
      </c>
      <c r="II268">
        <v>0.0237</v>
      </c>
      <c r="IJ268">
        <v>-0.1559367209035702</v>
      </c>
      <c r="IK268">
        <v>-0.002077099775823331</v>
      </c>
      <c r="IL268">
        <v>4.593143279902166E-07</v>
      </c>
      <c r="IM268">
        <v>-1.865383991892071E-10</v>
      </c>
      <c r="IN268">
        <v>-0.0607165066849496</v>
      </c>
      <c r="IO268">
        <v>-0.01129461987421345</v>
      </c>
      <c r="IP268">
        <v>0.00116580895745559</v>
      </c>
      <c r="IQ268">
        <v>-1.679085872906199E-05</v>
      </c>
      <c r="IR268">
        <v>2</v>
      </c>
      <c r="IS268">
        <v>2290</v>
      </c>
      <c r="IT268">
        <v>0</v>
      </c>
      <c r="IU268">
        <v>32</v>
      </c>
      <c r="IV268">
        <v>12.7</v>
      </c>
      <c r="IW268">
        <v>12.5</v>
      </c>
      <c r="IX268">
        <v>0.270996</v>
      </c>
      <c r="IY268">
        <v>2.29126</v>
      </c>
      <c r="IZ268">
        <v>1.39648</v>
      </c>
      <c r="JA268">
        <v>2.35474</v>
      </c>
      <c r="JB268">
        <v>1.49536</v>
      </c>
      <c r="JC268">
        <v>2.34253</v>
      </c>
      <c r="JD268">
        <v>38.0134</v>
      </c>
      <c r="JE268">
        <v>24.0525</v>
      </c>
      <c r="JF268">
        <v>18</v>
      </c>
      <c r="JG268">
        <v>512.616</v>
      </c>
      <c r="JH268">
        <v>425.271</v>
      </c>
      <c r="JI268">
        <v>23.1644</v>
      </c>
      <c r="JJ268">
        <v>27.9545</v>
      </c>
      <c r="JK268">
        <v>29.9998</v>
      </c>
      <c r="JL268">
        <v>27.987</v>
      </c>
      <c r="JM268">
        <v>27.9343</v>
      </c>
      <c r="JN268">
        <v>5.55438</v>
      </c>
      <c r="JO268">
        <v>44.3442</v>
      </c>
      <c r="JP268">
        <v>0</v>
      </c>
      <c r="JQ268">
        <v>23.1638</v>
      </c>
      <c r="JR268">
        <v>70.3959</v>
      </c>
      <c r="JS268">
        <v>9.48475</v>
      </c>
      <c r="JT268">
        <v>100.411</v>
      </c>
      <c r="JU268">
        <v>100.343</v>
      </c>
    </row>
    <row r="269" spans="1:281">
      <c r="A269">
        <v>253</v>
      </c>
      <c r="B269">
        <v>1651866270.5</v>
      </c>
      <c r="C269">
        <v>2049.900000095367</v>
      </c>
      <c r="D269" t="s">
        <v>929</v>
      </c>
      <c r="E269" t="s">
        <v>930</v>
      </c>
      <c r="F269">
        <v>2</v>
      </c>
      <c r="G269" t="s">
        <v>908</v>
      </c>
      <c r="H269" t="s">
        <v>414</v>
      </c>
      <c r="I269">
        <v>1651866269.5</v>
      </c>
      <c r="J269">
        <f>(K269)/1000</f>
        <v>0</v>
      </c>
      <c r="K269">
        <f>IF(CZ269, AN269, AH269)</f>
        <v>0</v>
      </c>
      <c r="L269">
        <f>IF(CZ269, AI269, AG269)</f>
        <v>0</v>
      </c>
      <c r="M269">
        <f>DB269 - IF(AU269&gt;1, L269*CV269*100.0/(AW269*DP269), 0)</f>
        <v>0</v>
      </c>
      <c r="N269">
        <f>((T269-J269/2)*M269-L269)/(T269+J269/2)</f>
        <v>0</v>
      </c>
      <c r="O269">
        <f>N269*(DI269+DJ269)/1000.0</f>
        <v>0</v>
      </c>
      <c r="P269">
        <f>(DB269 - IF(AU269&gt;1, L269*CV269*100.0/(AW269*DP269), 0))*(DI269+DJ269)/1000.0</f>
        <v>0</v>
      </c>
      <c r="Q269">
        <f>2.0/((1/S269-1/R269)+SIGN(S269)*SQRT((1/S269-1/R269)*(1/S269-1/R269) + 4*CW269/((CW269+1)*(CW269+1))*(2*1/S269*1/R269-1/R269*1/R269)))</f>
        <v>0</v>
      </c>
      <c r="R269">
        <f>IF(LEFT(CX269,1)&lt;&gt;"0",IF(LEFT(CX269,1)="1",3.0,CY269),$D$5+$E$5*(DP269*DI269/($K$5*1000))+$F$5*(DP269*DI269/($K$5*1000))*MAX(MIN(CV269,$J$5),$I$5)*MAX(MIN(CV269,$J$5),$I$5)+$G$5*MAX(MIN(CV269,$J$5),$I$5)*(DP269*DI269/($K$5*1000))+$H$5*(DP269*DI269/($K$5*1000))*(DP269*DI269/($K$5*1000)))</f>
        <v>0</v>
      </c>
      <c r="S269">
        <f>J269*(1000-(1000*0.61365*exp(17.502*W269/(240.97+W269))/(DI269+DJ269)+DD269)/2)/(1000*0.61365*exp(17.502*W269/(240.97+W269))/(DI269+DJ269)-DD269)</f>
        <v>0</v>
      </c>
      <c r="T269">
        <f>1/((CW269+1)/(Q269/1.6)+1/(R269/1.37)) + CW269/((CW269+1)/(Q269/1.6) + CW269/(R269/1.37))</f>
        <v>0</v>
      </c>
      <c r="U269">
        <f>(CR269*CU269)</f>
        <v>0</v>
      </c>
      <c r="V269">
        <f>(DK269+(U269+2*0.95*5.67E-8*(((DK269+$B$7)+273)^4-(DK269+273)^4)-44100*J269)/(1.84*29.3*R269+8*0.95*5.67E-8*(DK269+273)^3))</f>
        <v>0</v>
      </c>
      <c r="W269">
        <f>($C$7*DL269+$D$7*DM269+$E$7*V269)</f>
        <v>0</v>
      </c>
      <c r="X269">
        <f>0.61365*exp(17.502*W269/(240.97+W269))</f>
        <v>0</v>
      </c>
      <c r="Y269">
        <f>(Z269/AA269*100)</f>
        <v>0</v>
      </c>
      <c r="Z269">
        <f>DD269*(DI269+DJ269)/1000</f>
        <v>0</v>
      </c>
      <c r="AA269">
        <f>0.61365*exp(17.502*DK269/(240.97+DK269))</f>
        <v>0</v>
      </c>
      <c r="AB269">
        <f>(X269-DD269*(DI269+DJ269)/1000)</f>
        <v>0</v>
      </c>
      <c r="AC269">
        <f>(-J269*44100)</f>
        <v>0</v>
      </c>
      <c r="AD269">
        <f>2*29.3*R269*0.92*(DK269-W269)</f>
        <v>0</v>
      </c>
      <c r="AE269">
        <f>2*0.95*5.67E-8*(((DK269+$B$7)+273)^4-(W269+273)^4)</f>
        <v>0</v>
      </c>
      <c r="AF269">
        <f>U269+AE269+AC269+AD269</f>
        <v>0</v>
      </c>
      <c r="AG269">
        <f>DH269*AU269*(DC269-DB269*(1000-AU269*DE269)/(1000-AU269*DD269))/(100*CV269)</f>
        <v>0</v>
      </c>
      <c r="AH269">
        <f>1000*DH269*AU269*(DD269-DE269)/(100*CV269*(1000-AU269*DD269))</f>
        <v>0</v>
      </c>
      <c r="AI269">
        <f>(AJ269 - AK269 - DI269*1E3/(8.314*(DK269+273.15)) * AM269/DH269 * AL269) * DH269/(100*CV269) * (1000 - DE269)/1000</f>
        <v>0</v>
      </c>
      <c r="AJ269">
        <v>42.19409662100033</v>
      </c>
      <c r="AK269">
        <v>33.69524121212119</v>
      </c>
      <c r="AL269">
        <v>2.36125052109504</v>
      </c>
      <c r="AM269">
        <v>66.38195617057868</v>
      </c>
      <c r="AN269">
        <f>(AP269 - AO269 + DI269*1E3/(8.314*(DK269+273.15)) * AR269/DH269 * AQ269) * DH269/(100*CV269) * 1000/(1000 - AP269)</f>
        <v>0</v>
      </c>
      <c r="AO269">
        <v>9.554170564427556</v>
      </c>
      <c r="AP269">
        <v>18.56603058823529</v>
      </c>
      <c r="AQ269">
        <v>0.0003395628464951563</v>
      </c>
      <c r="AR269">
        <v>80.47178418790507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MAX(0,($B$13+$C$13*DP269)/(1+$D$13*DP269)*DI269/(DK269+273)*$E$13)</f>
        <v>0</v>
      </c>
      <c r="AX269" t="s">
        <v>417</v>
      </c>
      <c r="AY269" t="s">
        <v>417</v>
      </c>
      <c r="AZ269">
        <v>0</v>
      </c>
      <c r="BA269">
        <v>0</v>
      </c>
      <c r="BB269">
        <f>1-AZ269/BA269</f>
        <v>0</v>
      </c>
      <c r="BC269">
        <v>0</v>
      </c>
      <c r="BD269" t="s">
        <v>417</v>
      </c>
      <c r="BE269" t="s">
        <v>417</v>
      </c>
      <c r="BF269">
        <v>0</v>
      </c>
      <c r="BG269">
        <v>0</v>
      </c>
      <c r="BH269">
        <f>1-BF269/BG269</f>
        <v>0</v>
      </c>
      <c r="BI269">
        <v>0.5</v>
      </c>
      <c r="BJ269">
        <f>CS269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417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BZ269">
        <v>1249</v>
      </c>
      <c r="CA269">
        <v>300</v>
      </c>
      <c r="CB269">
        <v>300</v>
      </c>
      <c r="CC269">
        <v>300</v>
      </c>
      <c r="CD269">
        <v>10442.4</v>
      </c>
      <c r="CE269">
        <v>1239.69</v>
      </c>
      <c r="CF269">
        <v>-0.00735276</v>
      </c>
      <c r="CG269">
        <v>0.07000000000000001</v>
      </c>
      <c r="CH269" t="s">
        <v>417</v>
      </c>
      <c r="CI269" t="s">
        <v>417</v>
      </c>
      <c r="CJ269" t="s">
        <v>417</v>
      </c>
      <c r="CK269" t="s">
        <v>417</v>
      </c>
      <c r="CL269" t="s">
        <v>417</v>
      </c>
      <c r="CM269" t="s">
        <v>417</v>
      </c>
      <c r="CN269" t="s">
        <v>417</v>
      </c>
      <c r="CO269" t="s">
        <v>417</v>
      </c>
      <c r="CP269" t="s">
        <v>417</v>
      </c>
      <c r="CQ269" t="s">
        <v>417</v>
      </c>
      <c r="CR269">
        <f>$B$11*DQ269+$C$11*DR269+$F$11*EC269*(1-EF269)</f>
        <v>0</v>
      </c>
      <c r="CS269">
        <f>CR269*CT269</f>
        <v>0</v>
      </c>
      <c r="CT269">
        <f>($B$11*$D$9+$C$11*$D$9+$F$11*((EP269+EH269)/MAX(EP269+EH269+EQ269, 0.1)*$I$9+EQ269/MAX(EP269+EH269+EQ269, 0.1)*$J$9))/($B$11+$C$11+$F$11)</f>
        <v>0</v>
      </c>
      <c r="CU269">
        <f>($B$11*$K$9+$C$11*$K$9+$F$11*((EP269+EH269)/MAX(EP269+EH269+EQ269, 0.1)*$P$9+EQ269/MAX(EP269+EH269+EQ269, 0.1)*$Q$9))/($B$11+$C$11+$F$11)</f>
        <v>0</v>
      </c>
      <c r="CV269">
        <v>6</v>
      </c>
      <c r="CW269">
        <v>0.5</v>
      </c>
      <c r="CX269" t="s">
        <v>418</v>
      </c>
      <c r="CY269">
        <v>2</v>
      </c>
      <c r="CZ269" t="b">
        <v>1</v>
      </c>
      <c r="DA269">
        <v>1651866269.5</v>
      </c>
      <c r="DB269">
        <v>31.8408</v>
      </c>
      <c r="DC269">
        <v>47.59970000000001</v>
      </c>
      <c r="DD269">
        <v>18.56623333333333</v>
      </c>
      <c r="DE269">
        <v>9.553393333333334</v>
      </c>
      <c r="DF269">
        <v>32.06286666666667</v>
      </c>
      <c r="DG269">
        <v>18.54256666666667</v>
      </c>
      <c r="DH269">
        <v>500.001</v>
      </c>
      <c r="DI269">
        <v>89.91713333333333</v>
      </c>
      <c r="DJ269">
        <v>0.09996643333333333</v>
      </c>
      <c r="DK269">
        <v>25.83193333333334</v>
      </c>
      <c r="DL269">
        <v>25.00566666666667</v>
      </c>
      <c r="DM269">
        <v>999.9</v>
      </c>
      <c r="DN269">
        <v>0</v>
      </c>
      <c r="DO269">
        <v>0</v>
      </c>
      <c r="DP269">
        <v>10015.4</v>
      </c>
      <c r="DQ269">
        <v>0</v>
      </c>
      <c r="DR269">
        <v>3.21788</v>
      </c>
      <c r="DS269">
        <v>-15.75886666666667</v>
      </c>
      <c r="DT269">
        <v>32.44313333333333</v>
      </c>
      <c r="DU269">
        <v>48.0588</v>
      </c>
      <c r="DV269">
        <v>9.01282</v>
      </c>
      <c r="DW269">
        <v>47.59970000000001</v>
      </c>
      <c r="DX269">
        <v>9.553393333333334</v>
      </c>
      <c r="DY269">
        <v>1.66942</v>
      </c>
      <c r="DZ269">
        <v>0.8590133333333334</v>
      </c>
      <c r="EA269">
        <v>14.61496666666667</v>
      </c>
      <c r="EB269">
        <v>4.721796666666666</v>
      </c>
      <c r="EC269">
        <v>1499.95</v>
      </c>
      <c r="ED269">
        <v>0.9730046666666666</v>
      </c>
      <c r="EE269">
        <v>0.02699553333333333</v>
      </c>
      <c r="EF269">
        <v>0</v>
      </c>
      <c r="EG269">
        <v>861.5403333333334</v>
      </c>
      <c r="EH269">
        <v>5.00097</v>
      </c>
      <c r="EI269">
        <v>12808.2</v>
      </c>
      <c r="EJ269">
        <v>12491.16666666667</v>
      </c>
      <c r="EK269">
        <v>37.91633333333333</v>
      </c>
      <c r="EL269">
        <v>39.979</v>
      </c>
      <c r="EM269">
        <v>38.25</v>
      </c>
      <c r="EN269">
        <v>40</v>
      </c>
      <c r="EO269">
        <v>39.16633333333333</v>
      </c>
      <c r="EP269">
        <v>1454.59</v>
      </c>
      <c r="EQ269">
        <v>40.36</v>
      </c>
      <c r="ER269">
        <v>0</v>
      </c>
      <c r="ES269">
        <v>788</v>
      </c>
      <c r="ET269">
        <v>0</v>
      </c>
      <c r="EU269">
        <v>864.4162692307692</v>
      </c>
      <c r="EV269">
        <v>-22.91729916679413</v>
      </c>
      <c r="EW269">
        <v>-272.4581197381258</v>
      </c>
      <c r="EX269">
        <v>12841</v>
      </c>
      <c r="EY269">
        <v>15</v>
      </c>
      <c r="EZ269">
        <v>1651865518.1</v>
      </c>
      <c r="FA269" t="s">
        <v>910</v>
      </c>
      <c r="FB269">
        <v>1651865507.1</v>
      </c>
      <c r="FC269">
        <v>1651865518.1</v>
      </c>
      <c r="FD269">
        <v>8</v>
      </c>
      <c r="FE269">
        <v>0.06</v>
      </c>
      <c r="FF269">
        <v>0</v>
      </c>
      <c r="FG269">
        <v>-0.927</v>
      </c>
      <c r="FH269">
        <v>-0.062</v>
      </c>
      <c r="FI269">
        <v>400</v>
      </c>
      <c r="FJ269">
        <v>11</v>
      </c>
      <c r="FK269">
        <v>0.11</v>
      </c>
      <c r="FL269">
        <v>0.01</v>
      </c>
      <c r="FM269">
        <v>-3.356741731707317</v>
      </c>
      <c r="FN269">
        <v>-71.46748222996516</v>
      </c>
      <c r="FO269">
        <v>7.291919616049258</v>
      </c>
      <c r="FP269">
        <v>-1</v>
      </c>
      <c r="FQ269">
        <v>8.994581463414635</v>
      </c>
      <c r="FR269">
        <v>0.1236921951219745</v>
      </c>
      <c r="FS269">
        <v>0.01233761600108079</v>
      </c>
      <c r="FT269">
        <v>-1</v>
      </c>
      <c r="FU269">
        <v>0</v>
      </c>
      <c r="FV269">
        <v>0</v>
      </c>
      <c r="FW269">
        <v>0</v>
      </c>
      <c r="FX269">
        <v>-1</v>
      </c>
      <c r="FY269">
        <v>0</v>
      </c>
      <c r="FZ269">
        <v>0</v>
      </c>
      <c r="GA269" t="s">
        <v>420</v>
      </c>
      <c r="GB269">
        <v>2.9815</v>
      </c>
      <c r="GC269">
        <v>2.70626</v>
      </c>
      <c r="GD269">
        <v>0.00921216</v>
      </c>
      <c r="GE269">
        <v>0.0134481</v>
      </c>
      <c r="GF269">
        <v>0.0885126</v>
      </c>
      <c r="GG269">
        <v>0.0535075</v>
      </c>
      <c r="GH269">
        <v>31306.2</v>
      </c>
      <c r="GI269">
        <v>31240.3</v>
      </c>
      <c r="GJ269">
        <v>29375.5</v>
      </c>
      <c r="GK269">
        <v>29290.8</v>
      </c>
      <c r="GL269">
        <v>35450</v>
      </c>
      <c r="GM269">
        <v>36928.2</v>
      </c>
      <c r="GN269">
        <v>41345.9</v>
      </c>
      <c r="GO269">
        <v>41809.1</v>
      </c>
      <c r="GP269">
        <v>1.9661</v>
      </c>
      <c r="GQ269">
        <v>1.85198</v>
      </c>
      <c r="GR269">
        <v>-0.00438094</v>
      </c>
      <c r="GS269">
        <v>0</v>
      </c>
      <c r="GT269">
        <v>25.0763</v>
      </c>
      <c r="GU269">
        <v>999.9</v>
      </c>
      <c r="GV269">
        <v>29.9</v>
      </c>
      <c r="GW269">
        <v>34.2</v>
      </c>
      <c r="GX269">
        <v>17.9672</v>
      </c>
      <c r="GY269">
        <v>62.0576</v>
      </c>
      <c r="GZ269">
        <v>35.1843</v>
      </c>
      <c r="HA269">
        <v>1</v>
      </c>
      <c r="HB269">
        <v>0.0481555</v>
      </c>
      <c r="HC269">
        <v>1.48716</v>
      </c>
      <c r="HD269">
        <v>20.3297</v>
      </c>
      <c r="HE269">
        <v>5.21549</v>
      </c>
      <c r="HF269">
        <v>12.0099</v>
      </c>
      <c r="HG269">
        <v>4.9888</v>
      </c>
      <c r="HH269">
        <v>3.2885</v>
      </c>
      <c r="HI269">
        <v>1029.6</v>
      </c>
      <c r="HJ269">
        <v>9723.200000000001</v>
      </c>
      <c r="HK269">
        <v>5139.4</v>
      </c>
      <c r="HL269">
        <v>25.3</v>
      </c>
      <c r="HM269">
        <v>1.86747</v>
      </c>
      <c r="HN269">
        <v>1.86646</v>
      </c>
      <c r="HO269">
        <v>1.866</v>
      </c>
      <c r="HP269">
        <v>1.86584</v>
      </c>
      <c r="HQ269">
        <v>1.86768</v>
      </c>
      <c r="HR269">
        <v>1.87015</v>
      </c>
      <c r="HS269">
        <v>1.8689</v>
      </c>
      <c r="HT269">
        <v>1.87021</v>
      </c>
      <c r="HU269">
        <v>0</v>
      </c>
      <c r="HV269">
        <v>0</v>
      </c>
      <c r="HW269">
        <v>0</v>
      </c>
      <c r="HX269">
        <v>0</v>
      </c>
      <c r="HY269" t="s">
        <v>421</v>
      </c>
      <c r="HZ269" t="s">
        <v>422</v>
      </c>
      <c r="IA269" t="s">
        <v>423</v>
      </c>
      <c r="IB269" t="s">
        <v>423</v>
      </c>
      <c r="IC269" t="s">
        <v>423</v>
      </c>
      <c r="ID269" t="s">
        <v>423</v>
      </c>
      <c r="IE269">
        <v>0</v>
      </c>
      <c r="IF269">
        <v>100</v>
      </c>
      <c r="IG269">
        <v>100</v>
      </c>
      <c r="IH269">
        <v>-0.227</v>
      </c>
      <c r="II269">
        <v>0.0236</v>
      </c>
      <c r="IJ269">
        <v>-0.1559367209035702</v>
      </c>
      <c r="IK269">
        <v>-0.002077099775823331</v>
      </c>
      <c r="IL269">
        <v>4.593143279902166E-07</v>
      </c>
      <c r="IM269">
        <v>-1.865383991892071E-10</v>
      </c>
      <c r="IN269">
        <v>-0.0607165066849496</v>
      </c>
      <c r="IO269">
        <v>-0.01129461987421345</v>
      </c>
      <c r="IP269">
        <v>0.00116580895745559</v>
      </c>
      <c r="IQ269">
        <v>-1.679085872906199E-05</v>
      </c>
      <c r="IR269">
        <v>2</v>
      </c>
      <c r="IS269">
        <v>2290</v>
      </c>
      <c r="IT269">
        <v>0</v>
      </c>
      <c r="IU269">
        <v>32</v>
      </c>
      <c r="IV269">
        <v>12.7</v>
      </c>
      <c r="IW269">
        <v>12.5</v>
      </c>
      <c r="IX269">
        <v>0.285645</v>
      </c>
      <c r="IY269">
        <v>2.28882</v>
      </c>
      <c r="IZ269">
        <v>1.39648</v>
      </c>
      <c r="JA269">
        <v>2.35596</v>
      </c>
      <c r="JB269">
        <v>1.49536</v>
      </c>
      <c r="JC269">
        <v>2.34985</v>
      </c>
      <c r="JD269">
        <v>38.0377</v>
      </c>
      <c r="JE269">
        <v>24.0437</v>
      </c>
      <c r="JF269">
        <v>18</v>
      </c>
      <c r="JG269">
        <v>512.476</v>
      </c>
      <c r="JH269">
        <v>425.337</v>
      </c>
      <c r="JI269">
        <v>23.1637</v>
      </c>
      <c r="JJ269">
        <v>27.9533</v>
      </c>
      <c r="JK269">
        <v>29.9998</v>
      </c>
      <c r="JL269">
        <v>27.9858</v>
      </c>
      <c r="JM269">
        <v>27.9331</v>
      </c>
      <c r="JN269">
        <v>5.84101</v>
      </c>
      <c r="JO269">
        <v>44.3442</v>
      </c>
      <c r="JP269">
        <v>0</v>
      </c>
      <c r="JQ269">
        <v>23.1587</v>
      </c>
      <c r="JR269">
        <v>77.1126</v>
      </c>
      <c r="JS269">
        <v>9.47475</v>
      </c>
      <c r="JT269">
        <v>100.409</v>
      </c>
      <c r="JU269">
        <v>100.343</v>
      </c>
    </row>
    <row r="270" spans="1:281">
      <c r="A270">
        <v>254</v>
      </c>
      <c r="B270">
        <v>1651866272.5</v>
      </c>
      <c r="C270">
        <v>2051.900000095367</v>
      </c>
      <c r="D270" t="s">
        <v>931</v>
      </c>
      <c r="E270" t="s">
        <v>932</v>
      </c>
      <c r="F270">
        <v>2</v>
      </c>
      <c r="G270" t="s">
        <v>908</v>
      </c>
      <c r="H270" t="s">
        <v>414</v>
      </c>
      <c r="I270">
        <v>1651866271.125</v>
      </c>
      <c r="J270">
        <f>(K270)/1000</f>
        <v>0</v>
      </c>
      <c r="K270">
        <f>IF(CZ270, AN270, AH270)</f>
        <v>0</v>
      </c>
      <c r="L270">
        <f>IF(CZ270, AI270, AG270)</f>
        <v>0</v>
      </c>
      <c r="M270">
        <f>DB270 - IF(AU270&gt;1, L270*CV270*100.0/(AW270*DP270), 0)</f>
        <v>0</v>
      </c>
      <c r="N270">
        <f>((T270-J270/2)*M270-L270)/(T270+J270/2)</f>
        <v>0</v>
      </c>
      <c r="O270">
        <f>N270*(DI270+DJ270)/1000.0</f>
        <v>0</v>
      </c>
      <c r="P270">
        <f>(DB270 - IF(AU270&gt;1, L270*CV270*100.0/(AW270*DP270), 0))*(DI270+DJ270)/1000.0</f>
        <v>0</v>
      </c>
      <c r="Q270">
        <f>2.0/((1/S270-1/R270)+SIGN(S270)*SQRT((1/S270-1/R270)*(1/S270-1/R270) + 4*CW270/((CW270+1)*(CW270+1))*(2*1/S270*1/R270-1/R270*1/R270)))</f>
        <v>0</v>
      </c>
      <c r="R270">
        <f>IF(LEFT(CX270,1)&lt;&gt;"0",IF(LEFT(CX270,1)="1",3.0,CY270),$D$5+$E$5*(DP270*DI270/($K$5*1000))+$F$5*(DP270*DI270/($K$5*1000))*MAX(MIN(CV270,$J$5),$I$5)*MAX(MIN(CV270,$J$5),$I$5)+$G$5*MAX(MIN(CV270,$J$5),$I$5)*(DP270*DI270/($K$5*1000))+$H$5*(DP270*DI270/($K$5*1000))*(DP270*DI270/($K$5*1000)))</f>
        <v>0</v>
      </c>
      <c r="S270">
        <f>J270*(1000-(1000*0.61365*exp(17.502*W270/(240.97+W270))/(DI270+DJ270)+DD270)/2)/(1000*0.61365*exp(17.502*W270/(240.97+W270))/(DI270+DJ270)-DD270)</f>
        <v>0</v>
      </c>
      <c r="T270">
        <f>1/((CW270+1)/(Q270/1.6)+1/(R270/1.37)) + CW270/((CW270+1)/(Q270/1.6) + CW270/(R270/1.37))</f>
        <v>0</v>
      </c>
      <c r="U270">
        <f>(CR270*CU270)</f>
        <v>0</v>
      </c>
      <c r="V270">
        <f>(DK270+(U270+2*0.95*5.67E-8*(((DK270+$B$7)+273)^4-(DK270+273)^4)-44100*J270)/(1.84*29.3*R270+8*0.95*5.67E-8*(DK270+273)^3))</f>
        <v>0</v>
      </c>
      <c r="W270">
        <f>($C$7*DL270+$D$7*DM270+$E$7*V270)</f>
        <v>0</v>
      </c>
      <c r="X270">
        <f>0.61365*exp(17.502*W270/(240.97+W270))</f>
        <v>0</v>
      </c>
      <c r="Y270">
        <f>(Z270/AA270*100)</f>
        <v>0</v>
      </c>
      <c r="Z270">
        <f>DD270*(DI270+DJ270)/1000</f>
        <v>0</v>
      </c>
      <c r="AA270">
        <f>0.61365*exp(17.502*DK270/(240.97+DK270))</f>
        <v>0</v>
      </c>
      <c r="AB270">
        <f>(X270-DD270*(DI270+DJ270)/1000)</f>
        <v>0</v>
      </c>
      <c r="AC270">
        <f>(-J270*44100)</f>
        <v>0</v>
      </c>
      <c r="AD270">
        <f>2*29.3*R270*0.92*(DK270-W270)</f>
        <v>0</v>
      </c>
      <c r="AE270">
        <f>2*0.95*5.67E-8*(((DK270+$B$7)+273)^4-(W270+273)^4)</f>
        <v>0</v>
      </c>
      <c r="AF270">
        <f>U270+AE270+AC270+AD270</f>
        <v>0</v>
      </c>
      <c r="AG270">
        <f>DH270*AU270*(DC270-DB270*(1000-AU270*DE270)/(1000-AU270*DD270))/(100*CV270)</f>
        <v>0</v>
      </c>
      <c r="AH270">
        <f>1000*DH270*AU270*(DD270-DE270)/(100*CV270*(1000-AU270*DD270))</f>
        <v>0</v>
      </c>
      <c r="AI270">
        <f>(AJ270 - AK270 - DI270*1E3/(8.314*(DK270+273.15)) * AM270/DH270 * AL270) * DH270/(100*CV270) * (1000 - DE270)/1000</f>
        <v>0</v>
      </c>
      <c r="AJ270">
        <v>48.82825672615058</v>
      </c>
      <c r="AK270">
        <v>38.91229212121213</v>
      </c>
      <c r="AL270">
        <v>2.555055193724677</v>
      </c>
      <c r="AM270">
        <v>66.38195617057868</v>
      </c>
      <c r="AN270">
        <f>(AP270 - AO270 + DI270*1E3/(8.314*(DK270+273.15)) * AR270/DH270 * AQ270) * DH270/(100*CV270) * 1000/(1000 - AP270)</f>
        <v>0</v>
      </c>
      <c r="AO270">
        <v>9.554143301748988</v>
      </c>
      <c r="AP270">
        <v>18.56949088235293</v>
      </c>
      <c r="AQ270">
        <v>9.036650945367882E-05</v>
      </c>
      <c r="AR270">
        <v>80.47178418790507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MAX(0,($B$13+$C$13*DP270)/(1+$D$13*DP270)*DI270/(DK270+273)*$E$13)</f>
        <v>0</v>
      </c>
      <c r="AX270" t="s">
        <v>417</v>
      </c>
      <c r="AY270" t="s">
        <v>417</v>
      </c>
      <c r="AZ270">
        <v>0</v>
      </c>
      <c r="BA270">
        <v>0</v>
      </c>
      <c r="BB270">
        <f>1-AZ270/BA270</f>
        <v>0</v>
      </c>
      <c r="BC270">
        <v>0</v>
      </c>
      <c r="BD270" t="s">
        <v>417</v>
      </c>
      <c r="BE270" t="s">
        <v>417</v>
      </c>
      <c r="BF270">
        <v>0</v>
      </c>
      <c r="BG270">
        <v>0</v>
      </c>
      <c r="BH270">
        <f>1-BF270/BG270</f>
        <v>0</v>
      </c>
      <c r="BI270">
        <v>0.5</v>
      </c>
      <c r="BJ270">
        <f>CS270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417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BZ270">
        <v>1249</v>
      </c>
      <c r="CA270">
        <v>300</v>
      </c>
      <c r="CB270">
        <v>300</v>
      </c>
      <c r="CC270">
        <v>300</v>
      </c>
      <c r="CD270">
        <v>10442.4</v>
      </c>
      <c r="CE270">
        <v>1239.69</v>
      </c>
      <c r="CF270">
        <v>-0.00735276</v>
      </c>
      <c r="CG270">
        <v>0.07000000000000001</v>
      </c>
      <c r="CH270" t="s">
        <v>417</v>
      </c>
      <c r="CI270" t="s">
        <v>417</v>
      </c>
      <c r="CJ270" t="s">
        <v>417</v>
      </c>
      <c r="CK270" t="s">
        <v>417</v>
      </c>
      <c r="CL270" t="s">
        <v>417</v>
      </c>
      <c r="CM270" t="s">
        <v>417</v>
      </c>
      <c r="CN270" t="s">
        <v>417</v>
      </c>
      <c r="CO270" t="s">
        <v>417</v>
      </c>
      <c r="CP270" t="s">
        <v>417</v>
      </c>
      <c r="CQ270" t="s">
        <v>417</v>
      </c>
      <c r="CR270">
        <f>$B$11*DQ270+$C$11*DR270+$F$11*EC270*(1-EF270)</f>
        <v>0</v>
      </c>
      <c r="CS270">
        <f>CR270*CT270</f>
        <v>0</v>
      </c>
      <c r="CT270">
        <f>($B$11*$D$9+$C$11*$D$9+$F$11*((EP270+EH270)/MAX(EP270+EH270+EQ270, 0.1)*$I$9+EQ270/MAX(EP270+EH270+EQ270, 0.1)*$J$9))/($B$11+$C$11+$F$11)</f>
        <v>0</v>
      </c>
      <c r="CU270">
        <f>($B$11*$K$9+$C$11*$K$9+$F$11*((EP270+EH270)/MAX(EP270+EH270+EQ270, 0.1)*$P$9+EQ270/MAX(EP270+EH270+EQ270, 0.1)*$Q$9))/($B$11+$C$11+$F$11)</f>
        <v>0</v>
      </c>
      <c r="CV270">
        <v>6</v>
      </c>
      <c r="CW270">
        <v>0.5</v>
      </c>
      <c r="CX270" t="s">
        <v>418</v>
      </c>
      <c r="CY270">
        <v>2</v>
      </c>
      <c r="CZ270" t="b">
        <v>1</v>
      </c>
      <c r="DA270">
        <v>1651866271.125</v>
      </c>
      <c r="DB270">
        <v>35.930525</v>
      </c>
      <c r="DC270">
        <v>52.963225</v>
      </c>
      <c r="DD270">
        <v>18.568625</v>
      </c>
      <c r="DE270">
        <v>9.55232</v>
      </c>
      <c r="DF270">
        <v>36.16092500000001</v>
      </c>
      <c r="DG270">
        <v>18.5449</v>
      </c>
      <c r="DH270">
        <v>500.02775</v>
      </c>
      <c r="DI270">
        <v>89.91680000000001</v>
      </c>
      <c r="DJ270">
        <v>0.10000685</v>
      </c>
      <c r="DK270">
        <v>25.832675</v>
      </c>
      <c r="DL270">
        <v>25.00545</v>
      </c>
      <c r="DM270">
        <v>999.9</v>
      </c>
      <c r="DN270">
        <v>0</v>
      </c>
      <c r="DO270">
        <v>0</v>
      </c>
      <c r="DP270">
        <v>10000.6125</v>
      </c>
      <c r="DQ270">
        <v>0</v>
      </c>
      <c r="DR270">
        <v>3.2140175</v>
      </c>
      <c r="DS270">
        <v>-17.0327</v>
      </c>
      <c r="DT270">
        <v>36.61027499999999</v>
      </c>
      <c r="DU270">
        <v>53.474</v>
      </c>
      <c r="DV270">
        <v>9.01628</v>
      </c>
      <c r="DW270">
        <v>52.963225</v>
      </c>
      <c r="DX270">
        <v>9.55232</v>
      </c>
      <c r="DY270">
        <v>1.6696275</v>
      </c>
      <c r="DZ270">
        <v>0.85891425</v>
      </c>
      <c r="EA270">
        <v>14.616925</v>
      </c>
      <c r="EB270">
        <v>4.7201375</v>
      </c>
      <c r="EC270">
        <v>1499.9625</v>
      </c>
      <c r="ED270">
        <v>0.9730055</v>
      </c>
      <c r="EE270">
        <v>0.02699465</v>
      </c>
      <c r="EF270">
        <v>0</v>
      </c>
      <c r="EG270">
        <v>860.7835</v>
      </c>
      <c r="EH270">
        <v>5.00097</v>
      </c>
      <c r="EI270">
        <v>12796.625</v>
      </c>
      <c r="EJ270">
        <v>12491.275</v>
      </c>
      <c r="EK270">
        <v>37.937</v>
      </c>
      <c r="EL270">
        <v>40</v>
      </c>
      <c r="EM270">
        <v>38.281</v>
      </c>
      <c r="EN270">
        <v>40.04649999999999</v>
      </c>
      <c r="EO270">
        <v>39.187</v>
      </c>
      <c r="EP270">
        <v>1454.6025</v>
      </c>
      <c r="EQ270">
        <v>40.36</v>
      </c>
      <c r="ER270">
        <v>0</v>
      </c>
      <c r="ES270">
        <v>790.4000000953674</v>
      </c>
      <c r="ET270">
        <v>0</v>
      </c>
      <c r="EU270">
        <v>863.5310769230769</v>
      </c>
      <c r="EV270">
        <v>-26.49244447494081</v>
      </c>
      <c r="EW270">
        <v>-325.9658121521047</v>
      </c>
      <c r="EX270">
        <v>12830.08846153846</v>
      </c>
      <c r="EY270">
        <v>15</v>
      </c>
      <c r="EZ270">
        <v>1651865518.1</v>
      </c>
      <c r="FA270" t="s">
        <v>910</v>
      </c>
      <c r="FB270">
        <v>1651865507.1</v>
      </c>
      <c r="FC270">
        <v>1651865518.1</v>
      </c>
      <c r="FD270">
        <v>8</v>
      </c>
      <c r="FE270">
        <v>0.06</v>
      </c>
      <c r="FF270">
        <v>0</v>
      </c>
      <c r="FG270">
        <v>-0.927</v>
      </c>
      <c r="FH270">
        <v>-0.062</v>
      </c>
      <c r="FI270">
        <v>400</v>
      </c>
      <c r="FJ270">
        <v>11</v>
      </c>
      <c r="FK270">
        <v>0.11</v>
      </c>
      <c r="FL270">
        <v>0.01</v>
      </c>
      <c r="FM270">
        <v>-6.189487274999999</v>
      </c>
      <c r="FN270">
        <v>-80.30662400375238</v>
      </c>
      <c r="FO270">
        <v>7.810246026189906</v>
      </c>
      <c r="FP270">
        <v>-1</v>
      </c>
      <c r="FQ270">
        <v>9.000242</v>
      </c>
      <c r="FR270">
        <v>0.1125568480300043</v>
      </c>
      <c r="FS270">
        <v>0.01095015027294143</v>
      </c>
      <c r="FT270">
        <v>-1</v>
      </c>
      <c r="FU270">
        <v>0</v>
      </c>
      <c r="FV270">
        <v>0</v>
      </c>
      <c r="FW270">
        <v>0</v>
      </c>
      <c r="FX270">
        <v>-1</v>
      </c>
      <c r="FY270">
        <v>0</v>
      </c>
      <c r="FZ270">
        <v>0</v>
      </c>
      <c r="GA270" t="s">
        <v>420</v>
      </c>
      <c r="GB270">
        <v>2.98136</v>
      </c>
      <c r="GC270">
        <v>2.70612</v>
      </c>
      <c r="GD270">
        <v>0.010599</v>
      </c>
      <c r="GE270">
        <v>0.0151779</v>
      </c>
      <c r="GF270">
        <v>0.08853229999999999</v>
      </c>
      <c r="GG270">
        <v>0.0535038</v>
      </c>
      <c r="GH270">
        <v>31261.9</v>
      </c>
      <c r="GI270">
        <v>31185.6</v>
      </c>
      <c r="GJ270">
        <v>29375</v>
      </c>
      <c r="GK270">
        <v>29290.9</v>
      </c>
      <c r="GL270">
        <v>35448.7</v>
      </c>
      <c r="GM270">
        <v>36928.4</v>
      </c>
      <c r="GN270">
        <v>41345.3</v>
      </c>
      <c r="GO270">
        <v>41809.1</v>
      </c>
      <c r="GP270">
        <v>1.96583</v>
      </c>
      <c r="GQ270">
        <v>1.85198</v>
      </c>
      <c r="GR270">
        <v>-0.00432879</v>
      </c>
      <c r="GS270">
        <v>0</v>
      </c>
      <c r="GT270">
        <v>25.0763</v>
      </c>
      <c r="GU270">
        <v>999.9</v>
      </c>
      <c r="GV270">
        <v>29.9</v>
      </c>
      <c r="GW270">
        <v>34.2</v>
      </c>
      <c r="GX270">
        <v>17.9669</v>
      </c>
      <c r="GY270">
        <v>62.5476</v>
      </c>
      <c r="GZ270">
        <v>35.4247</v>
      </c>
      <c r="HA270">
        <v>1</v>
      </c>
      <c r="HB270">
        <v>0.0481784</v>
      </c>
      <c r="HC270">
        <v>1.49806</v>
      </c>
      <c r="HD270">
        <v>20.3296</v>
      </c>
      <c r="HE270">
        <v>5.21534</v>
      </c>
      <c r="HF270">
        <v>12.0099</v>
      </c>
      <c r="HG270">
        <v>4.98875</v>
      </c>
      <c r="HH270">
        <v>3.2885</v>
      </c>
      <c r="HI270">
        <v>1029.6</v>
      </c>
      <c r="HJ270">
        <v>9723.200000000001</v>
      </c>
      <c r="HK270">
        <v>5139.4</v>
      </c>
      <c r="HL270">
        <v>25.3</v>
      </c>
      <c r="HM270">
        <v>1.86749</v>
      </c>
      <c r="HN270">
        <v>1.86646</v>
      </c>
      <c r="HO270">
        <v>1.866</v>
      </c>
      <c r="HP270">
        <v>1.86585</v>
      </c>
      <c r="HQ270">
        <v>1.86768</v>
      </c>
      <c r="HR270">
        <v>1.87015</v>
      </c>
      <c r="HS270">
        <v>1.8689</v>
      </c>
      <c r="HT270">
        <v>1.8702</v>
      </c>
      <c r="HU270">
        <v>0</v>
      </c>
      <c r="HV270">
        <v>0</v>
      </c>
      <c r="HW270">
        <v>0</v>
      </c>
      <c r="HX270">
        <v>0</v>
      </c>
      <c r="HY270" t="s">
        <v>421</v>
      </c>
      <c r="HZ270" t="s">
        <v>422</v>
      </c>
      <c r="IA270" t="s">
        <v>423</v>
      </c>
      <c r="IB270" t="s">
        <v>423</v>
      </c>
      <c r="IC270" t="s">
        <v>423</v>
      </c>
      <c r="ID270" t="s">
        <v>423</v>
      </c>
      <c r="IE270">
        <v>0</v>
      </c>
      <c r="IF270">
        <v>100</v>
      </c>
      <c r="IG270">
        <v>100</v>
      </c>
      <c r="IH270">
        <v>-0.238</v>
      </c>
      <c r="II270">
        <v>0.0238</v>
      </c>
      <c r="IJ270">
        <v>-0.1559367209035702</v>
      </c>
      <c r="IK270">
        <v>-0.002077099775823331</v>
      </c>
      <c r="IL270">
        <v>4.593143279902166E-07</v>
      </c>
      <c r="IM270">
        <v>-1.865383991892071E-10</v>
      </c>
      <c r="IN270">
        <v>-0.0607165066849496</v>
      </c>
      <c r="IO270">
        <v>-0.01129461987421345</v>
      </c>
      <c r="IP270">
        <v>0.00116580895745559</v>
      </c>
      <c r="IQ270">
        <v>-1.679085872906199E-05</v>
      </c>
      <c r="IR270">
        <v>2</v>
      </c>
      <c r="IS270">
        <v>2290</v>
      </c>
      <c r="IT270">
        <v>0</v>
      </c>
      <c r="IU270">
        <v>32</v>
      </c>
      <c r="IV270">
        <v>12.8</v>
      </c>
      <c r="IW270">
        <v>12.6</v>
      </c>
      <c r="IX270">
        <v>0.300293</v>
      </c>
      <c r="IY270">
        <v>2.28882</v>
      </c>
      <c r="IZ270">
        <v>1.39648</v>
      </c>
      <c r="JA270">
        <v>2.35474</v>
      </c>
      <c r="JB270">
        <v>1.49536</v>
      </c>
      <c r="JC270">
        <v>2.29858</v>
      </c>
      <c r="JD270">
        <v>38.0134</v>
      </c>
      <c r="JE270">
        <v>24.0437</v>
      </c>
      <c r="JF270">
        <v>18</v>
      </c>
      <c r="JG270">
        <v>512.2859999999999</v>
      </c>
      <c r="JH270">
        <v>425.328</v>
      </c>
      <c r="JI270">
        <v>23.1629</v>
      </c>
      <c r="JJ270">
        <v>27.9521</v>
      </c>
      <c r="JK270">
        <v>29.9999</v>
      </c>
      <c r="JL270">
        <v>27.9846</v>
      </c>
      <c r="JM270">
        <v>27.9319</v>
      </c>
      <c r="JN270">
        <v>6.13205</v>
      </c>
      <c r="JO270">
        <v>44.3442</v>
      </c>
      <c r="JP270">
        <v>0</v>
      </c>
      <c r="JQ270">
        <v>23.1587</v>
      </c>
      <c r="JR270">
        <v>83.8854</v>
      </c>
      <c r="JS270">
        <v>9.46096</v>
      </c>
      <c r="JT270">
        <v>100.408</v>
      </c>
      <c r="JU270">
        <v>100.343</v>
      </c>
    </row>
    <row r="271" spans="1:281">
      <c r="A271">
        <v>255</v>
      </c>
      <c r="B271">
        <v>1651866274.5</v>
      </c>
      <c r="C271">
        <v>2053.900000095367</v>
      </c>
      <c r="D271" t="s">
        <v>933</v>
      </c>
      <c r="E271" t="s">
        <v>934</v>
      </c>
      <c r="F271">
        <v>2</v>
      </c>
      <c r="G271" t="s">
        <v>908</v>
      </c>
      <c r="H271" t="s">
        <v>414</v>
      </c>
      <c r="I271">
        <v>1651866273.5</v>
      </c>
      <c r="J271">
        <f>(K271)/1000</f>
        <v>0</v>
      </c>
      <c r="K271">
        <f>IF(CZ271, AN271, AH271)</f>
        <v>0</v>
      </c>
      <c r="L271">
        <f>IF(CZ271, AI271, AG271)</f>
        <v>0</v>
      </c>
      <c r="M271">
        <f>DB271 - IF(AU271&gt;1, L271*CV271*100.0/(AW271*DP271), 0)</f>
        <v>0</v>
      </c>
      <c r="N271">
        <f>((T271-J271/2)*M271-L271)/(T271+J271/2)</f>
        <v>0</v>
      </c>
      <c r="O271">
        <f>N271*(DI271+DJ271)/1000.0</f>
        <v>0</v>
      </c>
      <c r="P271">
        <f>(DB271 - IF(AU271&gt;1, L271*CV271*100.0/(AW271*DP271), 0))*(DI271+DJ271)/1000.0</f>
        <v>0</v>
      </c>
      <c r="Q271">
        <f>2.0/((1/S271-1/R271)+SIGN(S271)*SQRT((1/S271-1/R271)*(1/S271-1/R271) + 4*CW271/((CW271+1)*(CW271+1))*(2*1/S271*1/R271-1/R271*1/R271)))</f>
        <v>0</v>
      </c>
      <c r="R271">
        <f>IF(LEFT(CX271,1)&lt;&gt;"0",IF(LEFT(CX271,1)="1",3.0,CY271),$D$5+$E$5*(DP271*DI271/($K$5*1000))+$F$5*(DP271*DI271/($K$5*1000))*MAX(MIN(CV271,$J$5),$I$5)*MAX(MIN(CV271,$J$5),$I$5)+$G$5*MAX(MIN(CV271,$J$5),$I$5)*(DP271*DI271/($K$5*1000))+$H$5*(DP271*DI271/($K$5*1000))*(DP271*DI271/($K$5*1000)))</f>
        <v>0</v>
      </c>
      <c r="S271">
        <f>J271*(1000-(1000*0.61365*exp(17.502*W271/(240.97+W271))/(DI271+DJ271)+DD271)/2)/(1000*0.61365*exp(17.502*W271/(240.97+W271))/(DI271+DJ271)-DD271)</f>
        <v>0</v>
      </c>
      <c r="T271">
        <f>1/((CW271+1)/(Q271/1.6)+1/(R271/1.37)) + CW271/((CW271+1)/(Q271/1.6) + CW271/(R271/1.37))</f>
        <v>0</v>
      </c>
      <c r="U271">
        <f>(CR271*CU271)</f>
        <v>0</v>
      </c>
      <c r="V271">
        <f>(DK271+(U271+2*0.95*5.67E-8*(((DK271+$B$7)+273)^4-(DK271+273)^4)-44100*J271)/(1.84*29.3*R271+8*0.95*5.67E-8*(DK271+273)^3))</f>
        <v>0</v>
      </c>
      <c r="W271">
        <f>($C$7*DL271+$D$7*DM271+$E$7*V271)</f>
        <v>0</v>
      </c>
      <c r="X271">
        <f>0.61365*exp(17.502*W271/(240.97+W271))</f>
        <v>0</v>
      </c>
      <c r="Y271">
        <f>(Z271/AA271*100)</f>
        <v>0</v>
      </c>
      <c r="Z271">
        <f>DD271*(DI271+DJ271)/1000</f>
        <v>0</v>
      </c>
      <c r="AA271">
        <f>0.61365*exp(17.502*DK271/(240.97+DK271))</f>
        <v>0</v>
      </c>
      <c r="AB271">
        <f>(X271-DD271*(DI271+DJ271)/1000)</f>
        <v>0</v>
      </c>
      <c r="AC271">
        <f>(-J271*44100)</f>
        <v>0</v>
      </c>
      <c r="AD271">
        <f>2*29.3*R271*0.92*(DK271-W271)</f>
        <v>0</v>
      </c>
      <c r="AE271">
        <f>2*0.95*5.67E-8*(((DK271+$B$7)+273)^4-(W271+273)^4)</f>
        <v>0</v>
      </c>
      <c r="AF271">
        <f>U271+AE271+AC271+AD271</f>
        <v>0</v>
      </c>
      <c r="AG271">
        <f>DH271*AU271*(DC271-DB271*(1000-AU271*DE271)/(1000-AU271*DD271))/(100*CV271)</f>
        <v>0</v>
      </c>
      <c r="AH271">
        <f>1000*DH271*AU271*(DD271-DE271)/(100*CV271*(1000-AU271*DD271))</f>
        <v>0</v>
      </c>
      <c r="AI271">
        <f>(AJ271 - AK271 - DI271*1E3/(8.314*(DK271+273.15)) * AM271/DH271 * AL271) * DH271/(100*CV271) * (1000 - DE271)/1000</f>
        <v>0</v>
      </c>
      <c r="AJ271">
        <v>55.48361036750431</v>
      </c>
      <c r="AK271">
        <v>44.38300848484847</v>
      </c>
      <c r="AL271">
        <v>2.695199649982745</v>
      </c>
      <c r="AM271">
        <v>66.38195617057868</v>
      </c>
      <c r="AN271">
        <f>(AP271 - AO271 + DI271*1E3/(8.314*(DK271+273.15)) * AR271/DH271 * AQ271) * DH271/(100*CV271) * 1000/(1000 - AP271)</f>
        <v>0</v>
      </c>
      <c r="AO271">
        <v>9.552909546993257</v>
      </c>
      <c r="AP271">
        <v>18.57714852941175</v>
      </c>
      <c r="AQ271">
        <v>-3.214452148637586E-05</v>
      </c>
      <c r="AR271">
        <v>80.47178418790507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MAX(0,($B$13+$C$13*DP271)/(1+$D$13*DP271)*DI271/(DK271+273)*$E$13)</f>
        <v>0</v>
      </c>
      <c r="AX271" t="s">
        <v>417</v>
      </c>
      <c r="AY271" t="s">
        <v>417</v>
      </c>
      <c r="AZ271">
        <v>0</v>
      </c>
      <c r="BA271">
        <v>0</v>
      </c>
      <c r="BB271">
        <f>1-AZ271/BA271</f>
        <v>0</v>
      </c>
      <c r="BC271">
        <v>0</v>
      </c>
      <c r="BD271" t="s">
        <v>417</v>
      </c>
      <c r="BE271" t="s">
        <v>417</v>
      </c>
      <c r="BF271">
        <v>0</v>
      </c>
      <c r="BG271">
        <v>0</v>
      </c>
      <c r="BH271">
        <f>1-BF271/BG271</f>
        <v>0</v>
      </c>
      <c r="BI271">
        <v>0.5</v>
      </c>
      <c r="BJ271">
        <f>CS271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417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BZ271">
        <v>1249</v>
      </c>
      <c r="CA271">
        <v>300</v>
      </c>
      <c r="CB271">
        <v>300</v>
      </c>
      <c r="CC271">
        <v>300</v>
      </c>
      <c r="CD271">
        <v>10442.4</v>
      </c>
      <c r="CE271">
        <v>1239.69</v>
      </c>
      <c r="CF271">
        <v>-0.00735276</v>
      </c>
      <c r="CG271">
        <v>0.07000000000000001</v>
      </c>
      <c r="CH271" t="s">
        <v>417</v>
      </c>
      <c r="CI271" t="s">
        <v>417</v>
      </c>
      <c r="CJ271" t="s">
        <v>417</v>
      </c>
      <c r="CK271" t="s">
        <v>417</v>
      </c>
      <c r="CL271" t="s">
        <v>417</v>
      </c>
      <c r="CM271" t="s">
        <v>417</v>
      </c>
      <c r="CN271" t="s">
        <v>417</v>
      </c>
      <c r="CO271" t="s">
        <v>417</v>
      </c>
      <c r="CP271" t="s">
        <v>417</v>
      </c>
      <c r="CQ271" t="s">
        <v>417</v>
      </c>
      <c r="CR271">
        <f>$B$11*DQ271+$C$11*DR271+$F$11*EC271*(1-EF271)</f>
        <v>0</v>
      </c>
      <c r="CS271">
        <f>CR271*CT271</f>
        <v>0</v>
      </c>
      <c r="CT271">
        <f>($B$11*$D$9+$C$11*$D$9+$F$11*((EP271+EH271)/MAX(EP271+EH271+EQ271, 0.1)*$I$9+EQ271/MAX(EP271+EH271+EQ271, 0.1)*$J$9))/($B$11+$C$11+$F$11)</f>
        <v>0</v>
      </c>
      <c r="CU271">
        <f>($B$11*$K$9+$C$11*$K$9+$F$11*((EP271+EH271)/MAX(EP271+EH271+EQ271, 0.1)*$P$9+EQ271/MAX(EP271+EH271+EQ271, 0.1)*$Q$9))/($B$11+$C$11+$F$11)</f>
        <v>0</v>
      </c>
      <c r="CV271">
        <v>6</v>
      </c>
      <c r="CW271">
        <v>0.5</v>
      </c>
      <c r="CX271" t="s">
        <v>418</v>
      </c>
      <c r="CY271">
        <v>2</v>
      </c>
      <c r="CZ271" t="b">
        <v>1</v>
      </c>
      <c r="DA271">
        <v>1651866273.5</v>
      </c>
      <c r="DB271">
        <v>42.20043333333334</v>
      </c>
      <c r="DC271">
        <v>60.76593333333333</v>
      </c>
      <c r="DD271">
        <v>18.57533333333333</v>
      </c>
      <c r="DE271">
        <v>9.552630000000001</v>
      </c>
      <c r="DF271">
        <v>42.44373333333333</v>
      </c>
      <c r="DG271">
        <v>18.55156666666667</v>
      </c>
      <c r="DH271">
        <v>500.046</v>
      </c>
      <c r="DI271">
        <v>89.91579999999999</v>
      </c>
      <c r="DJ271">
        <v>0.09991303333333335</v>
      </c>
      <c r="DK271">
        <v>25.83543333333333</v>
      </c>
      <c r="DL271">
        <v>25.00536666666666</v>
      </c>
      <c r="DM271">
        <v>999.9</v>
      </c>
      <c r="DN271">
        <v>0</v>
      </c>
      <c r="DO271">
        <v>0</v>
      </c>
      <c r="DP271">
        <v>10001.86666666667</v>
      </c>
      <c r="DQ271">
        <v>0</v>
      </c>
      <c r="DR271">
        <v>3.208983333333334</v>
      </c>
      <c r="DS271">
        <v>-18.5655</v>
      </c>
      <c r="DT271">
        <v>42.99913333333333</v>
      </c>
      <c r="DU271">
        <v>61.35196666666667</v>
      </c>
      <c r="DV271">
        <v>9.022696666666667</v>
      </c>
      <c r="DW271">
        <v>60.76593333333333</v>
      </c>
      <c r="DX271">
        <v>9.552630000000001</v>
      </c>
      <c r="DY271">
        <v>1.670216666666667</v>
      </c>
      <c r="DZ271">
        <v>0.8589319999999999</v>
      </c>
      <c r="EA271">
        <v>14.62233333333334</v>
      </c>
      <c r="EB271">
        <v>4.720443333333333</v>
      </c>
      <c r="EC271">
        <v>1500.06</v>
      </c>
      <c r="ED271">
        <v>0.9730063333333333</v>
      </c>
      <c r="EE271">
        <v>0.02699376666666667</v>
      </c>
      <c r="EF271">
        <v>0</v>
      </c>
      <c r="EG271">
        <v>859.7713333333332</v>
      </c>
      <c r="EH271">
        <v>5.00097</v>
      </c>
      <c r="EI271">
        <v>12785.03333333333</v>
      </c>
      <c r="EJ271">
        <v>12492.13333333333</v>
      </c>
      <c r="EK271">
        <v>37.979</v>
      </c>
      <c r="EL271">
        <v>40.062</v>
      </c>
      <c r="EM271">
        <v>38.312</v>
      </c>
      <c r="EN271">
        <v>40.125</v>
      </c>
      <c r="EO271">
        <v>39.25</v>
      </c>
      <c r="EP271">
        <v>1454.7</v>
      </c>
      <c r="EQ271">
        <v>40.35333333333333</v>
      </c>
      <c r="ER271">
        <v>0</v>
      </c>
      <c r="ES271">
        <v>792.2000000476837</v>
      </c>
      <c r="ET271">
        <v>0</v>
      </c>
      <c r="EU271">
        <v>862.6213200000001</v>
      </c>
      <c r="EV271">
        <v>-27.47623073841047</v>
      </c>
      <c r="EW271">
        <v>-346.8692301327186</v>
      </c>
      <c r="EX271">
        <v>12818.956</v>
      </c>
      <c r="EY271">
        <v>15</v>
      </c>
      <c r="EZ271">
        <v>1651865518.1</v>
      </c>
      <c r="FA271" t="s">
        <v>910</v>
      </c>
      <c r="FB271">
        <v>1651865507.1</v>
      </c>
      <c r="FC271">
        <v>1651865518.1</v>
      </c>
      <c r="FD271">
        <v>8</v>
      </c>
      <c r="FE271">
        <v>0.06</v>
      </c>
      <c r="FF271">
        <v>0</v>
      </c>
      <c r="FG271">
        <v>-0.927</v>
      </c>
      <c r="FH271">
        <v>-0.062</v>
      </c>
      <c r="FI271">
        <v>400</v>
      </c>
      <c r="FJ271">
        <v>11</v>
      </c>
      <c r="FK271">
        <v>0.11</v>
      </c>
      <c r="FL271">
        <v>0.01</v>
      </c>
      <c r="FM271">
        <v>-7.580007829268293</v>
      </c>
      <c r="FN271">
        <v>-79.63951843902439</v>
      </c>
      <c r="FO271">
        <v>7.937001268991795</v>
      </c>
      <c r="FP271">
        <v>-1</v>
      </c>
      <c r="FQ271">
        <v>9.002726585365853</v>
      </c>
      <c r="FR271">
        <v>0.1127326829268461</v>
      </c>
      <c r="FS271">
        <v>0.01123187897964729</v>
      </c>
      <c r="FT271">
        <v>-1</v>
      </c>
      <c r="FU271">
        <v>0</v>
      </c>
      <c r="FV271">
        <v>0</v>
      </c>
      <c r="FW271">
        <v>0</v>
      </c>
      <c r="FX271">
        <v>-1</v>
      </c>
      <c r="FY271">
        <v>0</v>
      </c>
      <c r="FZ271">
        <v>0</v>
      </c>
      <c r="GA271" t="s">
        <v>420</v>
      </c>
      <c r="GB271">
        <v>2.98118</v>
      </c>
      <c r="GC271">
        <v>2.70597</v>
      </c>
      <c r="GD271">
        <v>0.0120443</v>
      </c>
      <c r="GE271">
        <v>0.0168986</v>
      </c>
      <c r="GF271">
        <v>0.08854579999999999</v>
      </c>
      <c r="GG271">
        <v>0.0535046</v>
      </c>
      <c r="GH271">
        <v>31215.7</v>
      </c>
      <c r="GI271">
        <v>31131.4</v>
      </c>
      <c r="GJ271">
        <v>29374.5</v>
      </c>
      <c r="GK271">
        <v>29291.1</v>
      </c>
      <c r="GL271">
        <v>35447.8</v>
      </c>
      <c r="GM271">
        <v>36928.6</v>
      </c>
      <c r="GN271">
        <v>41344.8</v>
      </c>
      <c r="GO271">
        <v>41809.3</v>
      </c>
      <c r="GP271">
        <v>1.966</v>
      </c>
      <c r="GQ271">
        <v>1.852</v>
      </c>
      <c r="GR271">
        <v>-0.00436604</v>
      </c>
      <c r="GS271">
        <v>0</v>
      </c>
      <c r="GT271">
        <v>25.0763</v>
      </c>
      <c r="GU271">
        <v>999.9</v>
      </c>
      <c r="GV271">
        <v>29.9</v>
      </c>
      <c r="GW271">
        <v>34.2</v>
      </c>
      <c r="GX271">
        <v>17.9677</v>
      </c>
      <c r="GY271">
        <v>62.3776</v>
      </c>
      <c r="GZ271">
        <v>35.5409</v>
      </c>
      <c r="HA271">
        <v>1</v>
      </c>
      <c r="HB271">
        <v>0.0481936</v>
      </c>
      <c r="HC271">
        <v>1.50184</v>
      </c>
      <c r="HD271">
        <v>20.3295</v>
      </c>
      <c r="HE271">
        <v>5.21564</v>
      </c>
      <c r="HF271">
        <v>12.0099</v>
      </c>
      <c r="HG271">
        <v>4.9888</v>
      </c>
      <c r="HH271">
        <v>3.28858</v>
      </c>
      <c r="HI271">
        <v>1029.6</v>
      </c>
      <c r="HJ271">
        <v>9723.200000000001</v>
      </c>
      <c r="HK271">
        <v>5139.4</v>
      </c>
      <c r="HL271">
        <v>25.3</v>
      </c>
      <c r="HM271">
        <v>1.86749</v>
      </c>
      <c r="HN271">
        <v>1.86646</v>
      </c>
      <c r="HO271">
        <v>1.866</v>
      </c>
      <c r="HP271">
        <v>1.86584</v>
      </c>
      <c r="HQ271">
        <v>1.86768</v>
      </c>
      <c r="HR271">
        <v>1.87015</v>
      </c>
      <c r="HS271">
        <v>1.8689</v>
      </c>
      <c r="HT271">
        <v>1.87021</v>
      </c>
      <c r="HU271">
        <v>0</v>
      </c>
      <c r="HV271">
        <v>0</v>
      </c>
      <c r="HW271">
        <v>0</v>
      </c>
      <c r="HX271">
        <v>0</v>
      </c>
      <c r="HY271" t="s">
        <v>421</v>
      </c>
      <c r="HZ271" t="s">
        <v>422</v>
      </c>
      <c r="IA271" t="s">
        <v>423</v>
      </c>
      <c r="IB271" t="s">
        <v>423</v>
      </c>
      <c r="IC271" t="s">
        <v>423</v>
      </c>
      <c r="ID271" t="s">
        <v>423</v>
      </c>
      <c r="IE271">
        <v>0</v>
      </c>
      <c r="IF271">
        <v>100</v>
      </c>
      <c r="IG271">
        <v>100</v>
      </c>
      <c r="IH271">
        <v>-0.249</v>
      </c>
      <c r="II271">
        <v>0.0237</v>
      </c>
      <c r="IJ271">
        <v>-0.1559367209035702</v>
      </c>
      <c r="IK271">
        <v>-0.002077099775823331</v>
      </c>
      <c r="IL271">
        <v>4.593143279902166E-07</v>
      </c>
      <c r="IM271">
        <v>-1.865383991892071E-10</v>
      </c>
      <c r="IN271">
        <v>-0.0607165066849496</v>
      </c>
      <c r="IO271">
        <v>-0.01129461987421345</v>
      </c>
      <c r="IP271">
        <v>0.00116580895745559</v>
      </c>
      <c r="IQ271">
        <v>-1.679085872906199E-05</v>
      </c>
      <c r="IR271">
        <v>2</v>
      </c>
      <c r="IS271">
        <v>2290</v>
      </c>
      <c r="IT271">
        <v>0</v>
      </c>
      <c r="IU271">
        <v>32</v>
      </c>
      <c r="IV271">
        <v>12.8</v>
      </c>
      <c r="IW271">
        <v>12.6</v>
      </c>
      <c r="IX271">
        <v>0.314941</v>
      </c>
      <c r="IY271">
        <v>2.28271</v>
      </c>
      <c r="IZ271">
        <v>1.39648</v>
      </c>
      <c r="JA271">
        <v>2.35474</v>
      </c>
      <c r="JB271">
        <v>1.49536</v>
      </c>
      <c r="JC271">
        <v>2.30225</v>
      </c>
      <c r="JD271">
        <v>38.0134</v>
      </c>
      <c r="JE271">
        <v>24.0437</v>
      </c>
      <c r="JF271">
        <v>18</v>
      </c>
      <c r="JG271">
        <v>512.391</v>
      </c>
      <c r="JH271">
        <v>425.334</v>
      </c>
      <c r="JI271">
        <v>23.1607</v>
      </c>
      <c r="JJ271">
        <v>27.9512</v>
      </c>
      <c r="JK271">
        <v>29.9999</v>
      </c>
      <c r="JL271">
        <v>27.9837</v>
      </c>
      <c r="JM271">
        <v>27.9308</v>
      </c>
      <c r="JN271">
        <v>6.42486</v>
      </c>
      <c r="JO271">
        <v>44.6345</v>
      </c>
      <c r="JP271">
        <v>0</v>
      </c>
      <c r="JQ271">
        <v>23.1587</v>
      </c>
      <c r="JR271">
        <v>90.57850000000001</v>
      </c>
      <c r="JS271">
        <v>9.457240000000001</v>
      </c>
      <c r="JT271">
        <v>100.407</v>
      </c>
      <c r="JU271">
        <v>100.344</v>
      </c>
    </row>
    <row r="272" spans="1:281">
      <c r="A272">
        <v>256</v>
      </c>
      <c r="B272">
        <v>1651866276.5</v>
      </c>
      <c r="C272">
        <v>2055.900000095367</v>
      </c>
      <c r="D272" t="s">
        <v>935</v>
      </c>
      <c r="E272" t="s">
        <v>936</v>
      </c>
      <c r="F272">
        <v>2</v>
      </c>
      <c r="G272" t="s">
        <v>908</v>
      </c>
      <c r="H272" t="s">
        <v>414</v>
      </c>
      <c r="I272">
        <v>1651866275.125</v>
      </c>
      <c r="J272">
        <f>(K272)/1000</f>
        <v>0</v>
      </c>
      <c r="K272">
        <f>IF(CZ272, AN272, AH272)</f>
        <v>0</v>
      </c>
      <c r="L272">
        <f>IF(CZ272, AI272, AG272)</f>
        <v>0</v>
      </c>
      <c r="M272">
        <f>DB272 - IF(AU272&gt;1, L272*CV272*100.0/(AW272*DP272), 0)</f>
        <v>0</v>
      </c>
      <c r="N272">
        <f>((T272-J272/2)*M272-L272)/(T272+J272/2)</f>
        <v>0</v>
      </c>
      <c r="O272">
        <f>N272*(DI272+DJ272)/1000.0</f>
        <v>0</v>
      </c>
      <c r="P272">
        <f>(DB272 - IF(AU272&gt;1, L272*CV272*100.0/(AW272*DP272), 0))*(DI272+DJ272)/1000.0</f>
        <v>0</v>
      </c>
      <c r="Q272">
        <f>2.0/((1/S272-1/R272)+SIGN(S272)*SQRT((1/S272-1/R272)*(1/S272-1/R272) + 4*CW272/((CW272+1)*(CW272+1))*(2*1/S272*1/R272-1/R272*1/R272)))</f>
        <v>0</v>
      </c>
      <c r="R272">
        <f>IF(LEFT(CX272,1)&lt;&gt;"0",IF(LEFT(CX272,1)="1",3.0,CY272),$D$5+$E$5*(DP272*DI272/($K$5*1000))+$F$5*(DP272*DI272/($K$5*1000))*MAX(MIN(CV272,$J$5),$I$5)*MAX(MIN(CV272,$J$5),$I$5)+$G$5*MAX(MIN(CV272,$J$5),$I$5)*(DP272*DI272/($K$5*1000))+$H$5*(DP272*DI272/($K$5*1000))*(DP272*DI272/($K$5*1000)))</f>
        <v>0</v>
      </c>
      <c r="S272">
        <f>J272*(1000-(1000*0.61365*exp(17.502*W272/(240.97+W272))/(DI272+DJ272)+DD272)/2)/(1000*0.61365*exp(17.502*W272/(240.97+W272))/(DI272+DJ272)-DD272)</f>
        <v>0</v>
      </c>
      <c r="T272">
        <f>1/((CW272+1)/(Q272/1.6)+1/(R272/1.37)) + CW272/((CW272+1)/(Q272/1.6) + CW272/(R272/1.37))</f>
        <v>0</v>
      </c>
      <c r="U272">
        <f>(CR272*CU272)</f>
        <v>0</v>
      </c>
      <c r="V272">
        <f>(DK272+(U272+2*0.95*5.67E-8*(((DK272+$B$7)+273)^4-(DK272+273)^4)-44100*J272)/(1.84*29.3*R272+8*0.95*5.67E-8*(DK272+273)^3))</f>
        <v>0</v>
      </c>
      <c r="W272">
        <f>($C$7*DL272+$D$7*DM272+$E$7*V272)</f>
        <v>0</v>
      </c>
      <c r="X272">
        <f>0.61365*exp(17.502*W272/(240.97+W272))</f>
        <v>0</v>
      </c>
      <c r="Y272">
        <f>(Z272/AA272*100)</f>
        <v>0</v>
      </c>
      <c r="Z272">
        <f>DD272*(DI272+DJ272)/1000</f>
        <v>0</v>
      </c>
      <c r="AA272">
        <f>0.61365*exp(17.502*DK272/(240.97+DK272))</f>
        <v>0</v>
      </c>
      <c r="AB272">
        <f>(X272-DD272*(DI272+DJ272)/1000)</f>
        <v>0</v>
      </c>
      <c r="AC272">
        <f>(-J272*44100)</f>
        <v>0</v>
      </c>
      <c r="AD272">
        <f>2*29.3*R272*0.92*(DK272-W272)</f>
        <v>0</v>
      </c>
      <c r="AE272">
        <f>2*0.95*5.67E-8*(((DK272+$B$7)+273)^4-(W272+273)^4)</f>
        <v>0</v>
      </c>
      <c r="AF272">
        <f>U272+AE272+AC272+AD272</f>
        <v>0</v>
      </c>
      <c r="AG272">
        <f>DH272*AU272*(DC272-DB272*(1000-AU272*DE272)/(1000-AU272*DD272))/(100*CV272)</f>
        <v>0</v>
      </c>
      <c r="AH272">
        <f>1000*DH272*AU272*(DD272-DE272)/(100*CV272*(1000-AU272*DD272))</f>
        <v>0</v>
      </c>
      <c r="AI272">
        <f>(AJ272 - AK272 - DI272*1E3/(8.314*(DK272+273.15)) * AM272/DH272 * AL272) * DH272/(100*CV272) * (1000 - DE272)/1000</f>
        <v>0</v>
      </c>
      <c r="AJ272">
        <v>62.11058252029825</v>
      </c>
      <c r="AK272">
        <v>50.02683333333334</v>
      </c>
      <c r="AL272">
        <v>2.795246564317805</v>
      </c>
      <c r="AM272">
        <v>66.38195617057868</v>
      </c>
      <c r="AN272">
        <f>(AP272 - AO272 + DI272*1E3/(8.314*(DK272+273.15)) * AR272/DH272 * AQ272) * DH272/(100*CV272) * 1000/(1000 - AP272)</f>
        <v>0</v>
      </c>
      <c r="AO272">
        <v>9.552667492227815</v>
      </c>
      <c r="AP272">
        <v>18.57931382352941</v>
      </c>
      <c r="AQ272">
        <v>0.0001725165812266252</v>
      </c>
      <c r="AR272">
        <v>80.47178418790507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MAX(0,($B$13+$C$13*DP272)/(1+$D$13*DP272)*DI272/(DK272+273)*$E$13)</f>
        <v>0</v>
      </c>
      <c r="AX272" t="s">
        <v>417</v>
      </c>
      <c r="AY272" t="s">
        <v>417</v>
      </c>
      <c r="AZ272">
        <v>0</v>
      </c>
      <c r="BA272">
        <v>0</v>
      </c>
      <c r="BB272">
        <f>1-AZ272/BA272</f>
        <v>0</v>
      </c>
      <c r="BC272">
        <v>0</v>
      </c>
      <c r="BD272" t="s">
        <v>417</v>
      </c>
      <c r="BE272" t="s">
        <v>417</v>
      </c>
      <c r="BF272">
        <v>0</v>
      </c>
      <c r="BG272">
        <v>0</v>
      </c>
      <c r="BH272">
        <f>1-BF272/BG272</f>
        <v>0</v>
      </c>
      <c r="BI272">
        <v>0.5</v>
      </c>
      <c r="BJ272">
        <f>CS272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417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BZ272">
        <v>1249</v>
      </c>
      <c r="CA272">
        <v>300</v>
      </c>
      <c r="CB272">
        <v>300</v>
      </c>
      <c r="CC272">
        <v>300</v>
      </c>
      <c r="CD272">
        <v>10442.4</v>
      </c>
      <c r="CE272">
        <v>1239.69</v>
      </c>
      <c r="CF272">
        <v>-0.00735276</v>
      </c>
      <c r="CG272">
        <v>0.07000000000000001</v>
      </c>
      <c r="CH272" t="s">
        <v>417</v>
      </c>
      <c r="CI272" t="s">
        <v>417</v>
      </c>
      <c r="CJ272" t="s">
        <v>417</v>
      </c>
      <c r="CK272" t="s">
        <v>417</v>
      </c>
      <c r="CL272" t="s">
        <v>417</v>
      </c>
      <c r="CM272" t="s">
        <v>417</v>
      </c>
      <c r="CN272" t="s">
        <v>417</v>
      </c>
      <c r="CO272" t="s">
        <v>417</v>
      </c>
      <c r="CP272" t="s">
        <v>417</v>
      </c>
      <c r="CQ272" t="s">
        <v>417</v>
      </c>
      <c r="CR272">
        <f>$B$11*DQ272+$C$11*DR272+$F$11*EC272*(1-EF272)</f>
        <v>0</v>
      </c>
      <c r="CS272">
        <f>CR272*CT272</f>
        <v>0</v>
      </c>
      <c r="CT272">
        <f>($B$11*$D$9+$C$11*$D$9+$F$11*((EP272+EH272)/MAX(EP272+EH272+EQ272, 0.1)*$I$9+EQ272/MAX(EP272+EH272+EQ272, 0.1)*$J$9))/($B$11+$C$11+$F$11)</f>
        <v>0</v>
      </c>
      <c r="CU272">
        <f>($B$11*$K$9+$C$11*$K$9+$F$11*((EP272+EH272)/MAX(EP272+EH272+EQ272, 0.1)*$P$9+EQ272/MAX(EP272+EH272+EQ272, 0.1)*$Q$9))/($B$11+$C$11+$F$11)</f>
        <v>0</v>
      </c>
      <c r="CV272">
        <v>6</v>
      </c>
      <c r="CW272">
        <v>0.5</v>
      </c>
      <c r="CX272" t="s">
        <v>418</v>
      </c>
      <c r="CY272">
        <v>2</v>
      </c>
      <c r="CZ272" t="b">
        <v>1</v>
      </c>
      <c r="DA272">
        <v>1651866275.125</v>
      </c>
      <c r="DB272">
        <v>46.661</v>
      </c>
      <c r="DC272">
        <v>66.084125</v>
      </c>
      <c r="DD272">
        <v>18.577575</v>
      </c>
      <c r="DE272">
        <v>9.5497</v>
      </c>
      <c r="DF272">
        <v>46.913375</v>
      </c>
      <c r="DG272">
        <v>18.5538</v>
      </c>
      <c r="DH272">
        <v>500.0205</v>
      </c>
      <c r="DI272">
        <v>89.91550000000001</v>
      </c>
      <c r="DJ272">
        <v>0.100007725</v>
      </c>
      <c r="DK272">
        <v>25.8366</v>
      </c>
      <c r="DL272">
        <v>25.00225</v>
      </c>
      <c r="DM272">
        <v>999.9</v>
      </c>
      <c r="DN272">
        <v>0</v>
      </c>
      <c r="DO272">
        <v>0</v>
      </c>
      <c r="DP272">
        <v>9997.5</v>
      </c>
      <c r="DQ272">
        <v>0</v>
      </c>
      <c r="DR272">
        <v>3.2210425</v>
      </c>
      <c r="DS272">
        <v>-19.4231</v>
      </c>
      <c r="DT272">
        <v>47.54427500000001</v>
      </c>
      <c r="DU272">
        <v>66.72127500000001</v>
      </c>
      <c r="DV272">
        <v>9.027884999999999</v>
      </c>
      <c r="DW272">
        <v>66.084125</v>
      </c>
      <c r="DX272">
        <v>9.5497</v>
      </c>
      <c r="DY272">
        <v>1.6704125</v>
      </c>
      <c r="DZ272">
        <v>0.858666</v>
      </c>
      <c r="EA272">
        <v>14.624175</v>
      </c>
      <c r="EB272">
        <v>4.716005</v>
      </c>
      <c r="EC272">
        <v>1500.02</v>
      </c>
      <c r="ED272">
        <v>0.9730055</v>
      </c>
      <c r="EE272">
        <v>0.02699465</v>
      </c>
      <c r="EF272">
        <v>0</v>
      </c>
      <c r="EG272">
        <v>859.2864999999999</v>
      </c>
      <c r="EH272">
        <v>5.00097</v>
      </c>
      <c r="EI272">
        <v>12776</v>
      </c>
      <c r="EJ272">
        <v>12491.825</v>
      </c>
      <c r="EK272">
        <v>38</v>
      </c>
      <c r="EL272">
        <v>40.10925</v>
      </c>
      <c r="EM272">
        <v>38.35925</v>
      </c>
      <c r="EN272">
        <v>40.17149999999999</v>
      </c>
      <c r="EO272">
        <v>39.281</v>
      </c>
      <c r="EP272">
        <v>1454.6625</v>
      </c>
      <c r="EQ272">
        <v>40.355</v>
      </c>
      <c r="ER272">
        <v>0</v>
      </c>
      <c r="ES272">
        <v>794</v>
      </c>
      <c r="ET272">
        <v>0</v>
      </c>
      <c r="EU272">
        <v>861.9587692307692</v>
      </c>
      <c r="EV272">
        <v>-27.9383931940292</v>
      </c>
      <c r="EW272">
        <v>-345.0666668392972</v>
      </c>
      <c r="EX272">
        <v>12810.60769230769</v>
      </c>
      <c r="EY272">
        <v>15</v>
      </c>
      <c r="EZ272">
        <v>1651865518.1</v>
      </c>
      <c r="FA272" t="s">
        <v>910</v>
      </c>
      <c r="FB272">
        <v>1651865507.1</v>
      </c>
      <c r="FC272">
        <v>1651865518.1</v>
      </c>
      <c r="FD272">
        <v>8</v>
      </c>
      <c r="FE272">
        <v>0.06</v>
      </c>
      <c r="FF272">
        <v>0</v>
      </c>
      <c r="FG272">
        <v>-0.927</v>
      </c>
      <c r="FH272">
        <v>-0.062</v>
      </c>
      <c r="FI272">
        <v>400</v>
      </c>
      <c r="FJ272">
        <v>11</v>
      </c>
      <c r="FK272">
        <v>0.11</v>
      </c>
      <c r="FL272">
        <v>0.01</v>
      </c>
      <c r="FM272">
        <v>-10.799855775</v>
      </c>
      <c r="FN272">
        <v>-72.80361279174485</v>
      </c>
      <c r="FO272">
        <v>7.156646826111463</v>
      </c>
      <c r="FP272">
        <v>-1</v>
      </c>
      <c r="FQ272">
        <v>9.00806425</v>
      </c>
      <c r="FR272">
        <v>0.1221974859287113</v>
      </c>
      <c r="FS272">
        <v>0.01187581994800762</v>
      </c>
      <c r="FT272">
        <v>-1</v>
      </c>
      <c r="FU272">
        <v>0</v>
      </c>
      <c r="FV272">
        <v>0</v>
      </c>
      <c r="FW272">
        <v>0</v>
      </c>
      <c r="FX272">
        <v>-1</v>
      </c>
      <c r="FY272">
        <v>0</v>
      </c>
      <c r="FZ272">
        <v>0</v>
      </c>
      <c r="GA272" t="s">
        <v>420</v>
      </c>
      <c r="GB272">
        <v>2.98139</v>
      </c>
      <c r="GC272">
        <v>2.70623</v>
      </c>
      <c r="GD272">
        <v>0.0135336</v>
      </c>
      <c r="GE272">
        <v>0.0186138</v>
      </c>
      <c r="GF272">
        <v>0.0885536</v>
      </c>
      <c r="GG272">
        <v>0.0534585</v>
      </c>
      <c r="GH272">
        <v>31169.1</v>
      </c>
      <c r="GI272">
        <v>31077.3</v>
      </c>
      <c r="GJ272">
        <v>29375</v>
      </c>
      <c r="GK272">
        <v>29291.3</v>
      </c>
      <c r="GL272">
        <v>35448.1</v>
      </c>
      <c r="GM272">
        <v>36930.5</v>
      </c>
      <c r="GN272">
        <v>41345.4</v>
      </c>
      <c r="GO272">
        <v>41809.4</v>
      </c>
      <c r="GP272">
        <v>1.96618</v>
      </c>
      <c r="GQ272">
        <v>1.852</v>
      </c>
      <c r="GR272">
        <v>-0.00460073</v>
      </c>
      <c r="GS272">
        <v>0</v>
      </c>
      <c r="GT272">
        <v>25.0764</v>
      </c>
      <c r="GU272">
        <v>999.9</v>
      </c>
      <c r="GV272">
        <v>29.9</v>
      </c>
      <c r="GW272">
        <v>34.2</v>
      </c>
      <c r="GX272">
        <v>17.9659</v>
      </c>
      <c r="GY272">
        <v>62.5676</v>
      </c>
      <c r="GZ272">
        <v>35.3686</v>
      </c>
      <c r="HA272">
        <v>1</v>
      </c>
      <c r="HB272">
        <v>0.0481834</v>
      </c>
      <c r="HC272">
        <v>1.50365</v>
      </c>
      <c r="HD272">
        <v>20.3296</v>
      </c>
      <c r="HE272">
        <v>5.21609</v>
      </c>
      <c r="HF272">
        <v>12.0099</v>
      </c>
      <c r="HG272">
        <v>4.98895</v>
      </c>
      <c r="HH272">
        <v>3.2886</v>
      </c>
      <c r="HI272">
        <v>1029.8</v>
      </c>
      <c r="HJ272">
        <v>9724.700000000001</v>
      </c>
      <c r="HK272">
        <v>5139.4</v>
      </c>
      <c r="HL272">
        <v>25.3</v>
      </c>
      <c r="HM272">
        <v>1.86749</v>
      </c>
      <c r="HN272">
        <v>1.86646</v>
      </c>
      <c r="HO272">
        <v>1.866</v>
      </c>
      <c r="HP272">
        <v>1.86584</v>
      </c>
      <c r="HQ272">
        <v>1.86769</v>
      </c>
      <c r="HR272">
        <v>1.87015</v>
      </c>
      <c r="HS272">
        <v>1.86889</v>
      </c>
      <c r="HT272">
        <v>1.87022</v>
      </c>
      <c r="HU272">
        <v>0</v>
      </c>
      <c r="HV272">
        <v>0</v>
      </c>
      <c r="HW272">
        <v>0</v>
      </c>
      <c r="HX272">
        <v>0</v>
      </c>
      <c r="HY272" t="s">
        <v>421</v>
      </c>
      <c r="HZ272" t="s">
        <v>422</v>
      </c>
      <c r="IA272" t="s">
        <v>423</v>
      </c>
      <c r="IB272" t="s">
        <v>423</v>
      </c>
      <c r="IC272" t="s">
        <v>423</v>
      </c>
      <c r="ID272" t="s">
        <v>423</v>
      </c>
      <c r="IE272">
        <v>0</v>
      </c>
      <c r="IF272">
        <v>100</v>
      </c>
      <c r="IG272">
        <v>100</v>
      </c>
      <c r="IH272">
        <v>-0.26</v>
      </c>
      <c r="II272">
        <v>0.0239</v>
      </c>
      <c r="IJ272">
        <v>-0.1559367209035702</v>
      </c>
      <c r="IK272">
        <v>-0.002077099775823331</v>
      </c>
      <c r="IL272">
        <v>4.593143279902166E-07</v>
      </c>
      <c r="IM272">
        <v>-1.865383991892071E-10</v>
      </c>
      <c r="IN272">
        <v>-0.0607165066849496</v>
      </c>
      <c r="IO272">
        <v>-0.01129461987421345</v>
      </c>
      <c r="IP272">
        <v>0.00116580895745559</v>
      </c>
      <c r="IQ272">
        <v>-1.679085872906199E-05</v>
      </c>
      <c r="IR272">
        <v>2</v>
      </c>
      <c r="IS272">
        <v>2290</v>
      </c>
      <c r="IT272">
        <v>0</v>
      </c>
      <c r="IU272">
        <v>32</v>
      </c>
      <c r="IV272">
        <v>12.8</v>
      </c>
      <c r="IW272">
        <v>12.6</v>
      </c>
      <c r="IX272">
        <v>0.32959</v>
      </c>
      <c r="IY272">
        <v>2.28027</v>
      </c>
      <c r="IZ272">
        <v>1.39648</v>
      </c>
      <c r="JA272">
        <v>2.35474</v>
      </c>
      <c r="JB272">
        <v>1.49536</v>
      </c>
      <c r="JC272">
        <v>2.36328</v>
      </c>
      <c r="JD272">
        <v>38.0134</v>
      </c>
      <c r="JE272">
        <v>24.0525</v>
      </c>
      <c r="JF272">
        <v>18</v>
      </c>
      <c r="JG272">
        <v>512.498</v>
      </c>
      <c r="JH272">
        <v>425.325</v>
      </c>
      <c r="JI272">
        <v>23.1586</v>
      </c>
      <c r="JJ272">
        <v>27.9503</v>
      </c>
      <c r="JK272">
        <v>29.9999</v>
      </c>
      <c r="JL272">
        <v>27.9828</v>
      </c>
      <c r="JM272">
        <v>27.9295</v>
      </c>
      <c r="JN272">
        <v>6.7192</v>
      </c>
      <c r="JO272">
        <v>44.6345</v>
      </c>
      <c r="JP272">
        <v>0</v>
      </c>
      <c r="JQ272">
        <v>23.1536</v>
      </c>
      <c r="JR272">
        <v>97.2734</v>
      </c>
      <c r="JS272">
        <v>9.44017</v>
      </c>
      <c r="JT272">
        <v>100.408</v>
      </c>
      <c r="JU272">
        <v>100.344</v>
      </c>
    </row>
    <row r="273" spans="1:281">
      <c r="A273">
        <v>257</v>
      </c>
      <c r="B273">
        <v>1651866278.5</v>
      </c>
      <c r="C273">
        <v>2057.900000095367</v>
      </c>
      <c r="D273" t="s">
        <v>937</v>
      </c>
      <c r="E273" t="s">
        <v>938</v>
      </c>
      <c r="F273">
        <v>2</v>
      </c>
      <c r="G273" t="s">
        <v>908</v>
      </c>
      <c r="H273" t="s">
        <v>414</v>
      </c>
      <c r="I273">
        <v>1651866277.5</v>
      </c>
      <c r="J273">
        <f>(K273)/1000</f>
        <v>0</v>
      </c>
      <c r="K273">
        <f>IF(CZ273, AN273, AH273)</f>
        <v>0</v>
      </c>
      <c r="L273">
        <f>IF(CZ273, AI273, AG273)</f>
        <v>0</v>
      </c>
      <c r="M273">
        <f>DB273 - IF(AU273&gt;1, L273*CV273*100.0/(AW273*DP273), 0)</f>
        <v>0</v>
      </c>
      <c r="N273">
        <f>((T273-J273/2)*M273-L273)/(T273+J273/2)</f>
        <v>0</v>
      </c>
      <c r="O273">
        <f>N273*(DI273+DJ273)/1000.0</f>
        <v>0</v>
      </c>
      <c r="P273">
        <f>(DB273 - IF(AU273&gt;1, L273*CV273*100.0/(AW273*DP273), 0))*(DI273+DJ273)/1000.0</f>
        <v>0</v>
      </c>
      <c r="Q273">
        <f>2.0/((1/S273-1/R273)+SIGN(S273)*SQRT((1/S273-1/R273)*(1/S273-1/R273) + 4*CW273/((CW273+1)*(CW273+1))*(2*1/S273*1/R273-1/R273*1/R273)))</f>
        <v>0</v>
      </c>
      <c r="R273">
        <f>IF(LEFT(CX273,1)&lt;&gt;"0",IF(LEFT(CX273,1)="1",3.0,CY273),$D$5+$E$5*(DP273*DI273/($K$5*1000))+$F$5*(DP273*DI273/($K$5*1000))*MAX(MIN(CV273,$J$5),$I$5)*MAX(MIN(CV273,$J$5),$I$5)+$G$5*MAX(MIN(CV273,$J$5),$I$5)*(DP273*DI273/($K$5*1000))+$H$5*(DP273*DI273/($K$5*1000))*(DP273*DI273/($K$5*1000)))</f>
        <v>0</v>
      </c>
      <c r="S273">
        <f>J273*(1000-(1000*0.61365*exp(17.502*W273/(240.97+W273))/(DI273+DJ273)+DD273)/2)/(1000*0.61365*exp(17.502*W273/(240.97+W273))/(DI273+DJ273)-DD273)</f>
        <v>0</v>
      </c>
      <c r="T273">
        <f>1/((CW273+1)/(Q273/1.6)+1/(R273/1.37)) + CW273/((CW273+1)/(Q273/1.6) + CW273/(R273/1.37))</f>
        <v>0</v>
      </c>
      <c r="U273">
        <f>(CR273*CU273)</f>
        <v>0</v>
      </c>
      <c r="V273">
        <f>(DK273+(U273+2*0.95*5.67E-8*(((DK273+$B$7)+273)^4-(DK273+273)^4)-44100*J273)/(1.84*29.3*R273+8*0.95*5.67E-8*(DK273+273)^3))</f>
        <v>0</v>
      </c>
      <c r="W273">
        <f>($C$7*DL273+$D$7*DM273+$E$7*V273)</f>
        <v>0</v>
      </c>
      <c r="X273">
        <f>0.61365*exp(17.502*W273/(240.97+W273))</f>
        <v>0</v>
      </c>
      <c r="Y273">
        <f>(Z273/AA273*100)</f>
        <v>0</v>
      </c>
      <c r="Z273">
        <f>DD273*(DI273+DJ273)/1000</f>
        <v>0</v>
      </c>
      <c r="AA273">
        <f>0.61365*exp(17.502*DK273/(240.97+DK273))</f>
        <v>0</v>
      </c>
      <c r="AB273">
        <f>(X273-DD273*(DI273+DJ273)/1000)</f>
        <v>0</v>
      </c>
      <c r="AC273">
        <f>(-J273*44100)</f>
        <v>0</v>
      </c>
      <c r="AD273">
        <f>2*29.3*R273*0.92*(DK273-W273)</f>
        <v>0</v>
      </c>
      <c r="AE273">
        <f>2*0.95*5.67E-8*(((DK273+$B$7)+273)^4-(W273+273)^4)</f>
        <v>0</v>
      </c>
      <c r="AF273">
        <f>U273+AE273+AC273+AD273</f>
        <v>0</v>
      </c>
      <c r="AG273">
        <f>DH273*AU273*(DC273-DB273*(1000-AU273*DE273)/(1000-AU273*DD273))/(100*CV273)</f>
        <v>0</v>
      </c>
      <c r="AH273">
        <f>1000*DH273*AU273*(DD273-DE273)/(100*CV273*(1000-AU273*DD273))</f>
        <v>0</v>
      </c>
      <c r="AI273">
        <f>(AJ273 - AK273 - DI273*1E3/(8.314*(DK273+273.15)) * AM273/DH273 * AL273) * DH273/(100*CV273) * (1000 - DE273)/1000</f>
        <v>0</v>
      </c>
      <c r="AJ273">
        <v>68.72190286510457</v>
      </c>
      <c r="AK273">
        <v>55.8065224242424</v>
      </c>
      <c r="AL273">
        <v>2.870315411110759</v>
      </c>
      <c r="AM273">
        <v>66.38195617057868</v>
      </c>
      <c r="AN273">
        <f>(AP273 - AO273 + DI273*1E3/(8.314*(DK273+273.15)) * AR273/DH273 * AQ273) * DH273/(100*CV273) * 1000/(1000 - AP273)</f>
        <v>0</v>
      </c>
      <c r="AO273">
        <v>9.553062541919758</v>
      </c>
      <c r="AP273">
        <v>18.57968470588235</v>
      </c>
      <c r="AQ273">
        <v>0.0002264847385838378</v>
      </c>
      <c r="AR273">
        <v>80.47178418790507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MAX(0,($B$13+$C$13*DP273)/(1+$D$13*DP273)*DI273/(DK273+273)*$E$13)</f>
        <v>0</v>
      </c>
      <c r="AX273" t="s">
        <v>417</v>
      </c>
      <c r="AY273" t="s">
        <v>417</v>
      </c>
      <c r="AZ273">
        <v>0</v>
      </c>
      <c r="BA273">
        <v>0</v>
      </c>
      <c r="BB273">
        <f>1-AZ273/BA273</f>
        <v>0</v>
      </c>
      <c r="BC273">
        <v>0</v>
      </c>
      <c r="BD273" t="s">
        <v>417</v>
      </c>
      <c r="BE273" t="s">
        <v>417</v>
      </c>
      <c r="BF273">
        <v>0</v>
      </c>
      <c r="BG273">
        <v>0</v>
      </c>
      <c r="BH273">
        <f>1-BF273/BG273</f>
        <v>0</v>
      </c>
      <c r="BI273">
        <v>0.5</v>
      </c>
      <c r="BJ273">
        <f>CS273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417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BZ273">
        <v>1249</v>
      </c>
      <c r="CA273">
        <v>300</v>
      </c>
      <c r="CB273">
        <v>300</v>
      </c>
      <c r="CC273">
        <v>300</v>
      </c>
      <c r="CD273">
        <v>10442.4</v>
      </c>
      <c r="CE273">
        <v>1239.69</v>
      </c>
      <c r="CF273">
        <v>-0.00735276</v>
      </c>
      <c r="CG273">
        <v>0.07000000000000001</v>
      </c>
      <c r="CH273" t="s">
        <v>417</v>
      </c>
      <c r="CI273" t="s">
        <v>417</v>
      </c>
      <c r="CJ273" t="s">
        <v>417</v>
      </c>
      <c r="CK273" t="s">
        <v>417</v>
      </c>
      <c r="CL273" t="s">
        <v>417</v>
      </c>
      <c r="CM273" t="s">
        <v>417</v>
      </c>
      <c r="CN273" t="s">
        <v>417</v>
      </c>
      <c r="CO273" t="s">
        <v>417</v>
      </c>
      <c r="CP273" t="s">
        <v>417</v>
      </c>
      <c r="CQ273" t="s">
        <v>417</v>
      </c>
      <c r="CR273">
        <f>$B$11*DQ273+$C$11*DR273+$F$11*EC273*(1-EF273)</f>
        <v>0</v>
      </c>
      <c r="CS273">
        <f>CR273*CT273</f>
        <v>0</v>
      </c>
      <c r="CT273">
        <f>($B$11*$D$9+$C$11*$D$9+$F$11*((EP273+EH273)/MAX(EP273+EH273+EQ273, 0.1)*$I$9+EQ273/MAX(EP273+EH273+EQ273, 0.1)*$J$9))/($B$11+$C$11+$F$11)</f>
        <v>0</v>
      </c>
      <c r="CU273">
        <f>($B$11*$K$9+$C$11*$K$9+$F$11*((EP273+EH273)/MAX(EP273+EH273+EQ273, 0.1)*$P$9+EQ273/MAX(EP273+EH273+EQ273, 0.1)*$Q$9))/($B$11+$C$11+$F$11)</f>
        <v>0</v>
      </c>
      <c r="CV273">
        <v>6</v>
      </c>
      <c r="CW273">
        <v>0.5</v>
      </c>
      <c r="CX273" t="s">
        <v>418</v>
      </c>
      <c r="CY273">
        <v>2</v>
      </c>
      <c r="CZ273" t="b">
        <v>1</v>
      </c>
      <c r="DA273">
        <v>1651866277.5</v>
      </c>
      <c r="DB273">
        <v>53.34116666666666</v>
      </c>
      <c r="DC273">
        <v>73.89253333333335</v>
      </c>
      <c r="DD273">
        <v>18.57976666666667</v>
      </c>
      <c r="DE273">
        <v>9.531923333333333</v>
      </c>
      <c r="DF273">
        <v>53.60713333333333</v>
      </c>
      <c r="DG273">
        <v>18.5559</v>
      </c>
      <c r="DH273">
        <v>500.0063333333333</v>
      </c>
      <c r="DI273">
        <v>89.91523333333333</v>
      </c>
      <c r="DJ273">
        <v>0.1001523333333333</v>
      </c>
      <c r="DK273">
        <v>25.83816666666667</v>
      </c>
      <c r="DL273">
        <v>25.00176666666667</v>
      </c>
      <c r="DM273">
        <v>999.9</v>
      </c>
      <c r="DN273">
        <v>0</v>
      </c>
      <c r="DO273">
        <v>0</v>
      </c>
      <c r="DP273">
        <v>9987.5</v>
      </c>
      <c r="DQ273">
        <v>0</v>
      </c>
      <c r="DR273">
        <v>3.22678</v>
      </c>
      <c r="DS273">
        <v>-20.55136666666667</v>
      </c>
      <c r="DT273">
        <v>54.35096666666666</v>
      </c>
      <c r="DU273">
        <v>74.60363333333333</v>
      </c>
      <c r="DV273">
        <v>9.047826666666667</v>
      </c>
      <c r="DW273">
        <v>73.89253333333335</v>
      </c>
      <c r="DX273">
        <v>9.531923333333333</v>
      </c>
      <c r="DY273">
        <v>1.6706</v>
      </c>
      <c r="DZ273">
        <v>0.857065</v>
      </c>
      <c r="EA273">
        <v>14.62593333333333</v>
      </c>
      <c r="EB273">
        <v>4.689296666666666</v>
      </c>
      <c r="EC273">
        <v>1499.973333333333</v>
      </c>
      <c r="ED273">
        <v>0.973008</v>
      </c>
      <c r="EE273">
        <v>0.026992</v>
      </c>
      <c r="EF273">
        <v>0</v>
      </c>
      <c r="EG273">
        <v>858.4803333333333</v>
      </c>
      <c r="EH273">
        <v>5.00097</v>
      </c>
      <c r="EI273">
        <v>12763.53333333333</v>
      </c>
      <c r="EJ273">
        <v>12491.43333333333</v>
      </c>
      <c r="EK273">
        <v>38.062</v>
      </c>
      <c r="EL273">
        <v>40.125</v>
      </c>
      <c r="EM273">
        <v>38.375</v>
      </c>
      <c r="EN273">
        <v>40.229</v>
      </c>
      <c r="EO273">
        <v>39.312</v>
      </c>
      <c r="EP273">
        <v>1454.623333333333</v>
      </c>
      <c r="EQ273">
        <v>40.35</v>
      </c>
      <c r="ER273">
        <v>0</v>
      </c>
      <c r="ES273">
        <v>796.4000000953674</v>
      </c>
      <c r="ET273">
        <v>0</v>
      </c>
      <c r="EU273">
        <v>860.9064615384615</v>
      </c>
      <c r="EV273">
        <v>-26.15569233045405</v>
      </c>
      <c r="EW273">
        <v>-334.0888890377793</v>
      </c>
      <c r="EX273">
        <v>12797.28076923077</v>
      </c>
      <c r="EY273">
        <v>15</v>
      </c>
      <c r="EZ273">
        <v>1651865518.1</v>
      </c>
      <c r="FA273" t="s">
        <v>910</v>
      </c>
      <c r="FB273">
        <v>1651865507.1</v>
      </c>
      <c r="FC273">
        <v>1651865518.1</v>
      </c>
      <c r="FD273">
        <v>8</v>
      </c>
      <c r="FE273">
        <v>0.06</v>
      </c>
      <c r="FF273">
        <v>0</v>
      </c>
      <c r="FG273">
        <v>-0.927</v>
      </c>
      <c r="FH273">
        <v>-0.062</v>
      </c>
      <c r="FI273">
        <v>400</v>
      </c>
      <c r="FJ273">
        <v>11</v>
      </c>
      <c r="FK273">
        <v>0.11</v>
      </c>
      <c r="FL273">
        <v>0.01</v>
      </c>
      <c r="FM273">
        <v>-11.960099775</v>
      </c>
      <c r="FN273">
        <v>-67.81297327204503</v>
      </c>
      <c r="FO273">
        <v>6.692490068553862</v>
      </c>
      <c r="FP273">
        <v>-1</v>
      </c>
      <c r="FQ273">
        <v>9.01053325</v>
      </c>
      <c r="FR273">
        <v>0.1333342964352575</v>
      </c>
      <c r="FS273">
        <v>0.0131052619942333</v>
      </c>
      <c r="FT273">
        <v>-1</v>
      </c>
      <c r="FU273">
        <v>0</v>
      </c>
      <c r="FV273">
        <v>0</v>
      </c>
      <c r="FW273">
        <v>0</v>
      </c>
      <c r="FX273">
        <v>-1</v>
      </c>
      <c r="FY273">
        <v>0</v>
      </c>
      <c r="FZ273">
        <v>0</v>
      </c>
      <c r="GA273" t="s">
        <v>420</v>
      </c>
      <c r="GB273">
        <v>2.98139</v>
      </c>
      <c r="GC273">
        <v>2.70623</v>
      </c>
      <c r="GD273">
        <v>0.0150513</v>
      </c>
      <c r="GE273">
        <v>0.0203305</v>
      </c>
      <c r="GF273">
        <v>0.0885611</v>
      </c>
      <c r="GG273">
        <v>0.0533759</v>
      </c>
      <c r="GH273">
        <v>31121.9</v>
      </c>
      <c r="GI273">
        <v>31022.9</v>
      </c>
      <c r="GJ273">
        <v>29375.6</v>
      </c>
      <c r="GK273">
        <v>29291.2</v>
      </c>
      <c r="GL273">
        <v>35448.4</v>
      </c>
      <c r="GM273">
        <v>36933.9</v>
      </c>
      <c r="GN273">
        <v>41346.2</v>
      </c>
      <c r="GO273">
        <v>41809.5</v>
      </c>
      <c r="GP273">
        <v>1.96615</v>
      </c>
      <c r="GQ273">
        <v>1.85203</v>
      </c>
      <c r="GR273">
        <v>-0.00452995</v>
      </c>
      <c r="GS273">
        <v>0</v>
      </c>
      <c r="GT273">
        <v>25.0774</v>
      </c>
      <c r="GU273">
        <v>999.9</v>
      </c>
      <c r="GV273">
        <v>29.9</v>
      </c>
      <c r="GW273">
        <v>34.2</v>
      </c>
      <c r="GX273">
        <v>17.9658</v>
      </c>
      <c r="GY273">
        <v>62.3976</v>
      </c>
      <c r="GZ273">
        <v>35.5329</v>
      </c>
      <c r="HA273">
        <v>1</v>
      </c>
      <c r="HB273">
        <v>0.048186</v>
      </c>
      <c r="HC273">
        <v>1.5102</v>
      </c>
      <c r="HD273">
        <v>20.3297</v>
      </c>
      <c r="HE273">
        <v>5.21594</v>
      </c>
      <c r="HF273">
        <v>12.0099</v>
      </c>
      <c r="HG273">
        <v>4.98885</v>
      </c>
      <c r="HH273">
        <v>3.28853</v>
      </c>
      <c r="HI273">
        <v>1029.8</v>
      </c>
      <c r="HJ273">
        <v>9724.700000000001</v>
      </c>
      <c r="HK273">
        <v>5139.4</v>
      </c>
      <c r="HL273">
        <v>25.3</v>
      </c>
      <c r="HM273">
        <v>1.86749</v>
      </c>
      <c r="HN273">
        <v>1.86646</v>
      </c>
      <c r="HO273">
        <v>1.866</v>
      </c>
      <c r="HP273">
        <v>1.86584</v>
      </c>
      <c r="HQ273">
        <v>1.86768</v>
      </c>
      <c r="HR273">
        <v>1.87014</v>
      </c>
      <c r="HS273">
        <v>1.86888</v>
      </c>
      <c r="HT273">
        <v>1.87018</v>
      </c>
      <c r="HU273">
        <v>0</v>
      </c>
      <c r="HV273">
        <v>0</v>
      </c>
      <c r="HW273">
        <v>0</v>
      </c>
      <c r="HX273">
        <v>0</v>
      </c>
      <c r="HY273" t="s">
        <v>421</v>
      </c>
      <c r="HZ273" t="s">
        <v>422</v>
      </c>
      <c r="IA273" t="s">
        <v>423</v>
      </c>
      <c r="IB273" t="s">
        <v>423</v>
      </c>
      <c r="IC273" t="s">
        <v>423</v>
      </c>
      <c r="ID273" t="s">
        <v>423</v>
      </c>
      <c r="IE273">
        <v>0</v>
      </c>
      <c r="IF273">
        <v>100</v>
      </c>
      <c r="IG273">
        <v>100</v>
      </c>
      <c r="IH273">
        <v>-0.272</v>
      </c>
      <c r="II273">
        <v>0.0239</v>
      </c>
      <c r="IJ273">
        <v>-0.1559367209035702</v>
      </c>
      <c r="IK273">
        <v>-0.002077099775823331</v>
      </c>
      <c r="IL273">
        <v>4.593143279902166E-07</v>
      </c>
      <c r="IM273">
        <v>-1.865383991892071E-10</v>
      </c>
      <c r="IN273">
        <v>-0.0607165066849496</v>
      </c>
      <c r="IO273">
        <v>-0.01129461987421345</v>
      </c>
      <c r="IP273">
        <v>0.00116580895745559</v>
      </c>
      <c r="IQ273">
        <v>-1.679085872906199E-05</v>
      </c>
      <c r="IR273">
        <v>2</v>
      </c>
      <c r="IS273">
        <v>2290</v>
      </c>
      <c r="IT273">
        <v>0</v>
      </c>
      <c r="IU273">
        <v>32</v>
      </c>
      <c r="IV273">
        <v>12.9</v>
      </c>
      <c r="IW273">
        <v>12.7</v>
      </c>
      <c r="IX273">
        <v>0.344238</v>
      </c>
      <c r="IY273">
        <v>2.27905</v>
      </c>
      <c r="IZ273">
        <v>1.39648</v>
      </c>
      <c r="JA273">
        <v>2.35596</v>
      </c>
      <c r="JB273">
        <v>1.49536</v>
      </c>
      <c r="JC273">
        <v>2.34009</v>
      </c>
      <c r="JD273">
        <v>38.0134</v>
      </c>
      <c r="JE273">
        <v>24.0437</v>
      </c>
      <c r="JF273">
        <v>18</v>
      </c>
      <c r="JG273">
        <v>512.472</v>
      </c>
      <c r="JH273">
        <v>425.332</v>
      </c>
      <c r="JI273">
        <v>23.1566</v>
      </c>
      <c r="JJ273">
        <v>27.9492</v>
      </c>
      <c r="JK273">
        <v>29.9999</v>
      </c>
      <c r="JL273">
        <v>27.9816</v>
      </c>
      <c r="JM273">
        <v>27.9284</v>
      </c>
      <c r="JN273">
        <v>7.01468</v>
      </c>
      <c r="JO273">
        <v>44.6345</v>
      </c>
      <c r="JP273">
        <v>0</v>
      </c>
      <c r="JQ273">
        <v>23.1536</v>
      </c>
      <c r="JR273">
        <v>103.968</v>
      </c>
      <c r="JS273">
        <v>9.432399999999999</v>
      </c>
      <c r="JT273">
        <v>100.41</v>
      </c>
      <c r="JU273">
        <v>100.344</v>
      </c>
    </row>
    <row r="274" spans="1:281">
      <c r="A274">
        <v>258</v>
      </c>
      <c r="B274">
        <v>1651866280.5</v>
      </c>
      <c r="C274">
        <v>2059.900000095367</v>
      </c>
      <c r="D274" t="s">
        <v>939</v>
      </c>
      <c r="E274" t="s">
        <v>940</v>
      </c>
      <c r="F274">
        <v>2</v>
      </c>
      <c r="G274" t="s">
        <v>908</v>
      </c>
      <c r="H274" t="s">
        <v>414</v>
      </c>
      <c r="I274">
        <v>1651866279.125</v>
      </c>
      <c r="J274">
        <f>(K274)/1000</f>
        <v>0</v>
      </c>
      <c r="K274">
        <f>IF(CZ274, AN274, AH274)</f>
        <v>0</v>
      </c>
      <c r="L274">
        <f>IF(CZ274, AI274, AG274)</f>
        <v>0</v>
      </c>
      <c r="M274">
        <f>DB274 - IF(AU274&gt;1, L274*CV274*100.0/(AW274*DP274), 0)</f>
        <v>0</v>
      </c>
      <c r="N274">
        <f>((T274-J274/2)*M274-L274)/(T274+J274/2)</f>
        <v>0</v>
      </c>
      <c r="O274">
        <f>N274*(DI274+DJ274)/1000.0</f>
        <v>0</v>
      </c>
      <c r="P274">
        <f>(DB274 - IF(AU274&gt;1, L274*CV274*100.0/(AW274*DP274), 0))*(DI274+DJ274)/1000.0</f>
        <v>0</v>
      </c>
      <c r="Q274">
        <f>2.0/((1/S274-1/R274)+SIGN(S274)*SQRT((1/S274-1/R274)*(1/S274-1/R274) + 4*CW274/((CW274+1)*(CW274+1))*(2*1/S274*1/R274-1/R274*1/R274)))</f>
        <v>0</v>
      </c>
      <c r="R274">
        <f>IF(LEFT(CX274,1)&lt;&gt;"0",IF(LEFT(CX274,1)="1",3.0,CY274),$D$5+$E$5*(DP274*DI274/($K$5*1000))+$F$5*(DP274*DI274/($K$5*1000))*MAX(MIN(CV274,$J$5),$I$5)*MAX(MIN(CV274,$J$5),$I$5)+$G$5*MAX(MIN(CV274,$J$5),$I$5)*(DP274*DI274/($K$5*1000))+$H$5*(DP274*DI274/($K$5*1000))*(DP274*DI274/($K$5*1000)))</f>
        <v>0</v>
      </c>
      <c r="S274">
        <f>J274*(1000-(1000*0.61365*exp(17.502*W274/(240.97+W274))/(DI274+DJ274)+DD274)/2)/(1000*0.61365*exp(17.502*W274/(240.97+W274))/(DI274+DJ274)-DD274)</f>
        <v>0</v>
      </c>
      <c r="T274">
        <f>1/((CW274+1)/(Q274/1.6)+1/(R274/1.37)) + CW274/((CW274+1)/(Q274/1.6) + CW274/(R274/1.37))</f>
        <v>0</v>
      </c>
      <c r="U274">
        <f>(CR274*CU274)</f>
        <v>0</v>
      </c>
      <c r="V274">
        <f>(DK274+(U274+2*0.95*5.67E-8*(((DK274+$B$7)+273)^4-(DK274+273)^4)-44100*J274)/(1.84*29.3*R274+8*0.95*5.67E-8*(DK274+273)^3))</f>
        <v>0</v>
      </c>
      <c r="W274">
        <f>($C$7*DL274+$D$7*DM274+$E$7*V274)</f>
        <v>0</v>
      </c>
      <c r="X274">
        <f>0.61365*exp(17.502*W274/(240.97+W274))</f>
        <v>0</v>
      </c>
      <c r="Y274">
        <f>(Z274/AA274*100)</f>
        <v>0</v>
      </c>
      <c r="Z274">
        <f>DD274*(DI274+DJ274)/1000</f>
        <v>0</v>
      </c>
      <c r="AA274">
        <f>0.61365*exp(17.502*DK274/(240.97+DK274))</f>
        <v>0</v>
      </c>
      <c r="AB274">
        <f>(X274-DD274*(DI274+DJ274)/1000)</f>
        <v>0</v>
      </c>
      <c r="AC274">
        <f>(-J274*44100)</f>
        <v>0</v>
      </c>
      <c r="AD274">
        <f>2*29.3*R274*0.92*(DK274-W274)</f>
        <v>0</v>
      </c>
      <c r="AE274">
        <f>2*0.95*5.67E-8*(((DK274+$B$7)+273)^4-(W274+273)^4)</f>
        <v>0</v>
      </c>
      <c r="AF274">
        <f>U274+AE274+AC274+AD274</f>
        <v>0</v>
      </c>
      <c r="AG274">
        <f>DH274*AU274*(DC274-DB274*(1000-AU274*DE274)/(1000-AU274*DD274))/(100*CV274)</f>
        <v>0</v>
      </c>
      <c r="AH274">
        <f>1000*DH274*AU274*(DD274-DE274)/(100*CV274*(1000-AU274*DD274))</f>
        <v>0</v>
      </c>
      <c r="AI274">
        <f>(AJ274 - AK274 - DI274*1E3/(8.314*(DK274+273.15)) * AM274/DH274 * AL274) * DH274/(100*CV274) * (1000 - DE274)/1000</f>
        <v>0</v>
      </c>
      <c r="AJ274">
        <v>75.3716432996216</v>
      </c>
      <c r="AK274">
        <v>61.7213127272727</v>
      </c>
      <c r="AL274">
        <v>2.93545847381036</v>
      </c>
      <c r="AM274">
        <v>66.38195617057868</v>
      </c>
      <c r="AN274">
        <f>(AP274 - AO274 + DI274*1E3/(8.314*(DK274+273.15)) * AR274/DH274 * AQ274) * DH274/(100*CV274) * 1000/(1000 - AP274)</f>
        <v>0</v>
      </c>
      <c r="AO274">
        <v>9.544732428582401</v>
      </c>
      <c r="AP274">
        <v>18.57880117647059</v>
      </c>
      <c r="AQ274">
        <v>0.0001386833204517634</v>
      </c>
      <c r="AR274">
        <v>80.47178418790507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MAX(0,($B$13+$C$13*DP274)/(1+$D$13*DP274)*DI274/(DK274+273)*$E$13)</f>
        <v>0</v>
      </c>
      <c r="AX274" t="s">
        <v>417</v>
      </c>
      <c r="AY274" t="s">
        <v>417</v>
      </c>
      <c r="AZ274">
        <v>0</v>
      </c>
      <c r="BA274">
        <v>0</v>
      </c>
      <c r="BB274">
        <f>1-AZ274/BA274</f>
        <v>0</v>
      </c>
      <c r="BC274">
        <v>0</v>
      </c>
      <c r="BD274" t="s">
        <v>417</v>
      </c>
      <c r="BE274" t="s">
        <v>417</v>
      </c>
      <c r="BF274">
        <v>0</v>
      </c>
      <c r="BG274">
        <v>0</v>
      </c>
      <c r="BH274">
        <f>1-BF274/BG274</f>
        <v>0</v>
      </c>
      <c r="BI274">
        <v>0.5</v>
      </c>
      <c r="BJ274">
        <f>CS274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417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BZ274">
        <v>1249</v>
      </c>
      <c r="CA274">
        <v>300</v>
      </c>
      <c r="CB274">
        <v>300</v>
      </c>
      <c r="CC274">
        <v>300</v>
      </c>
      <c r="CD274">
        <v>10442.4</v>
      </c>
      <c r="CE274">
        <v>1239.69</v>
      </c>
      <c r="CF274">
        <v>-0.00735276</v>
      </c>
      <c r="CG274">
        <v>0.07000000000000001</v>
      </c>
      <c r="CH274" t="s">
        <v>417</v>
      </c>
      <c r="CI274" t="s">
        <v>417</v>
      </c>
      <c r="CJ274" t="s">
        <v>417</v>
      </c>
      <c r="CK274" t="s">
        <v>417</v>
      </c>
      <c r="CL274" t="s">
        <v>417</v>
      </c>
      <c r="CM274" t="s">
        <v>417</v>
      </c>
      <c r="CN274" t="s">
        <v>417</v>
      </c>
      <c r="CO274" t="s">
        <v>417</v>
      </c>
      <c r="CP274" t="s">
        <v>417</v>
      </c>
      <c r="CQ274" t="s">
        <v>417</v>
      </c>
      <c r="CR274">
        <f>$B$11*DQ274+$C$11*DR274+$F$11*EC274*(1-EF274)</f>
        <v>0</v>
      </c>
      <c r="CS274">
        <f>CR274*CT274</f>
        <v>0</v>
      </c>
      <c r="CT274">
        <f>($B$11*$D$9+$C$11*$D$9+$F$11*((EP274+EH274)/MAX(EP274+EH274+EQ274, 0.1)*$I$9+EQ274/MAX(EP274+EH274+EQ274, 0.1)*$J$9))/($B$11+$C$11+$F$11)</f>
        <v>0</v>
      </c>
      <c r="CU274">
        <f>($B$11*$K$9+$C$11*$K$9+$F$11*((EP274+EH274)/MAX(EP274+EH274+EQ274, 0.1)*$P$9+EQ274/MAX(EP274+EH274+EQ274, 0.1)*$Q$9))/($B$11+$C$11+$F$11)</f>
        <v>0</v>
      </c>
      <c r="CV274">
        <v>6</v>
      </c>
      <c r="CW274">
        <v>0.5</v>
      </c>
      <c r="CX274" t="s">
        <v>418</v>
      </c>
      <c r="CY274">
        <v>2</v>
      </c>
      <c r="CZ274" t="b">
        <v>1</v>
      </c>
      <c r="DA274">
        <v>1651866279.125</v>
      </c>
      <c r="DB274">
        <v>58.029</v>
      </c>
      <c r="DC274">
        <v>79.27</v>
      </c>
      <c r="DD274">
        <v>18.579175</v>
      </c>
      <c r="DE274">
        <v>9.518000000000001</v>
      </c>
      <c r="DF274">
        <v>58.30452500000001</v>
      </c>
      <c r="DG274">
        <v>18.55535</v>
      </c>
      <c r="DH274">
        <v>500.0465</v>
      </c>
      <c r="DI274">
        <v>89.915425</v>
      </c>
      <c r="DJ274">
        <v>0.0999308</v>
      </c>
      <c r="DK274">
        <v>25.83975</v>
      </c>
      <c r="DL274">
        <v>25.004075</v>
      </c>
      <c r="DM274">
        <v>999.9</v>
      </c>
      <c r="DN274">
        <v>0</v>
      </c>
      <c r="DO274">
        <v>0</v>
      </c>
      <c r="DP274">
        <v>10004.0625</v>
      </c>
      <c r="DQ274">
        <v>0</v>
      </c>
      <c r="DR274">
        <v>3.2185825</v>
      </c>
      <c r="DS274">
        <v>-21.240975</v>
      </c>
      <c r="DT274">
        <v>59.12755</v>
      </c>
      <c r="DU274">
        <v>80.03172499999999</v>
      </c>
      <c r="DV274">
        <v>9.0611725</v>
      </c>
      <c r="DW274">
        <v>79.27</v>
      </c>
      <c r="DX274">
        <v>9.518000000000001</v>
      </c>
      <c r="DY274">
        <v>1.670555</v>
      </c>
      <c r="DZ274">
        <v>0.85581525</v>
      </c>
      <c r="EA274">
        <v>14.625475</v>
      </c>
      <c r="EB274">
        <v>4.66841</v>
      </c>
      <c r="EC274">
        <v>1499.945</v>
      </c>
      <c r="ED274">
        <v>0.973008</v>
      </c>
      <c r="EE274">
        <v>0.026992</v>
      </c>
      <c r="EF274">
        <v>0</v>
      </c>
      <c r="EG274">
        <v>857.64475</v>
      </c>
      <c r="EH274">
        <v>5.00097</v>
      </c>
      <c r="EI274">
        <v>12756.6</v>
      </c>
      <c r="EJ274">
        <v>12491.2</v>
      </c>
      <c r="EK274">
        <v>38.0935</v>
      </c>
      <c r="EL274">
        <v>40.17149999999999</v>
      </c>
      <c r="EM274">
        <v>38.42149999999999</v>
      </c>
      <c r="EN274">
        <v>40.281</v>
      </c>
      <c r="EO274">
        <v>39.3435</v>
      </c>
      <c r="EP274">
        <v>1454.595</v>
      </c>
      <c r="EQ274">
        <v>40.35</v>
      </c>
      <c r="ER274">
        <v>0</v>
      </c>
      <c r="ES274">
        <v>798.2000000476837</v>
      </c>
      <c r="ET274">
        <v>0</v>
      </c>
      <c r="EU274">
        <v>860.0136799999999</v>
      </c>
      <c r="EV274">
        <v>-24.89930766446764</v>
      </c>
      <c r="EW274">
        <v>-319.7692302033192</v>
      </c>
      <c r="EX274">
        <v>12785.812</v>
      </c>
      <c r="EY274">
        <v>15</v>
      </c>
      <c r="EZ274">
        <v>1651865518.1</v>
      </c>
      <c r="FA274" t="s">
        <v>910</v>
      </c>
      <c r="FB274">
        <v>1651865507.1</v>
      </c>
      <c r="FC274">
        <v>1651865518.1</v>
      </c>
      <c r="FD274">
        <v>8</v>
      </c>
      <c r="FE274">
        <v>0.06</v>
      </c>
      <c r="FF274">
        <v>0</v>
      </c>
      <c r="FG274">
        <v>-0.927</v>
      </c>
      <c r="FH274">
        <v>-0.062</v>
      </c>
      <c r="FI274">
        <v>400</v>
      </c>
      <c r="FJ274">
        <v>11</v>
      </c>
      <c r="FK274">
        <v>0.11</v>
      </c>
      <c r="FL274">
        <v>0.01</v>
      </c>
      <c r="FM274">
        <v>-15.0917895</v>
      </c>
      <c r="FN274">
        <v>-51.96918056285178</v>
      </c>
      <c r="FO274">
        <v>5.137200340396971</v>
      </c>
      <c r="FP274">
        <v>-1</v>
      </c>
      <c r="FQ274">
        <v>9.020393500000001</v>
      </c>
      <c r="FR274">
        <v>0.1900270919324442</v>
      </c>
      <c r="FS274">
        <v>0.0194968808466892</v>
      </c>
      <c r="FT274">
        <v>-1</v>
      </c>
      <c r="FU274">
        <v>0</v>
      </c>
      <c r="FV274">
        <v>0</v>
      </c>
      <c r="FW274">
        <v>0</v>
      </c>
      <c r="FX274">
        <v>-1</v>
      </c>
      <c r="FY274">
        <v>0</v>
      </c>
      <c r="FZ274">
        <v>0</v>
      </c>
      <c r="GA274" t="s">
        <v>420</v>
      </c>
      <c r="GB274">
        <v>2.98135</v>
      </c>
      <c r="GC274">
        <v>2.70606</v>
      </c>
      <c r="GD274">
        <v>0.0165971</v>
      </c>
      <c r="GE274">
        <v>0.0220477</v>
      </c>
      <c r="GF274">
        <v>0.0885459</v>
      </c>
      <c r="GG274">
        <v>0.0533321</v>
      </c>
      <c r="GH274">
        <v>31072.8</v>
      </c>
      <c r="GI274">
        <v>30968.2</v>
      </c>
      <c r="GJ274">
        <v>29375.4</v>
      </c>
      <c r="GK274">
        <v>29291</v>
      </c>
      <c r="GL274">
        <v>35448.8</v>
      </c>
      <c r="GM274">
        <v>36935.5</v>
      </c>
      <c r="GN274">
        <v>41345.9</v>
      </c>
      <c r="GO274">
        <v>41809.3</v>
      </c>
      <c r="GP274">
        <v>1.96615</v>
      </c>
      <c r="GQ274">
        <v>1.85207</v>
      </c>
      <c r="GR274">
        <v>-0.00453368</v>
      </c>
      <c r="GS274">
        <v>0</v>
      </c>
      <c r="GT274">
        <v>25.0786</v>
      </c>
      <c r="GU274">
        <v>999.9</v>
      </c>
      <c r="GV274">
        <v>29.8</v>
      </c>
      <c r="GW274">
        <v>34.2</v>
      </c>
      <c r="GX274">
        <v>17.9078</v>
      </c>
      <c r="GY274">
        <v>62.4076</v>
      </c>
      <c r="GZ274">
        <v>35.3486</v>
      </c>
      <c r="HA274">
        <v>1</v>
      </c>
      <c r="HB274">
        <v>0.0481911</v>
      </c>
      <c r="HC274">
        <v>1.5067</v>
      </c>
      <c r="HD274">
        <v>20.3297</v>
      </c>
      <c r="HE274">
        <v>5.21564</v>
      </c>
      <c r="HF274">
        <v>12.0099</v>
      </c>
      <c r="HG274">
        <v>4.9889</v>
      </c>
      <c r="HH274">
        <v>3.2885</v>
      </c>
      <c r="HI274">
        <v>1029.8</v>
      </c>
      <c r="HJ274">
        <v>9724.700000000001</v>
      </c>
      <c r="HK274">
        <v>5139.4</v>
      </c>
      <c r="HL274">
        <v>25.3</v>
      </c>
      <c r="HM274">
        <v>1.86746</v>
      </c>
      <c r="HN274">
        <v>1.86646</v>
      </c>
      <c r="HO274">
        <v>1.866</v>
      </c>
      <c r="HP274">
        <v>1.86584</v>
      </c>
      <c r="HQ274">
        <v>1.86768</v>
      </c>
      <c r="HR274">
        <v>1.87015</v>
      </c>
      <c r="HS274">
        <v>1.86889</v>
      </c>
      <c r="HT274">
        <v>1.87015</v>
      </c>
      <c r="HU274">
        <v>0</v>
      </c>
      <c r="HV274">
        <v>0</v>
      </c>
      <c r="HW274">
        <v>0</v>
      </c>
      <c r="HX274">
        <v>0</v>
      </c>
      <c r="HY274" t="s">
        <v>421</v>
      </c>
      <c r="HZ274" t="s">
        <v>422</v>
      </c>
      <c r="IA274" t="s">
        <v>423</v>
      </c>
      <c r="IB274" t="s">
        <v>423</v>
      </c>
      <c r="IC274" t="s">
        <v>423</v>
      </c>
      <c r="ID274" t="s">
        <v>423</v>
      </c>
      <c r="IE274">
        <v>0</v>
      </c>
      <c r="IF274">
        <v>100</v>
      </c>
      <c r="IG274">
        <v>100</v>
      </c>
      <c r="IH274">
        <v>-0.284</v>
      </c>
      <c r="II274">
        <v>0.0238</v>
      </c>
      <c r="IJ274">
        <v>-0.1559367209035702</v>
      </c>
      <c r="IK274">
        <v>-0.002077099775823331</v>
      </c>
      <c r="IL274">
        <v>4.593143279902166E-07</v>
      </c>
      <c r="IM274">
        <v>-1.865383991892071E-10</v>
      </c>
      <c r="IN274">
        <v>-0.0607165066849496</v>
      </c>
      <c r="IO274">
        <v>-0.01129461987421345</v>
      </c>
      <c r="IP274">
        <v>0.00116580895745559</v>
      </c>
      <c r="IQ274">
        <v>-1.679085872906199E-05</v>
      </c>
      <c r="IR274">
        <v>2</v>
      </c>
      <c r="IS274">
        <v>2290</v>
      </c>
      <c r="IT274">
        <v>0</v>
      </c>
      <c r="IU274">
        <v>32</v>
      </c>
      <c r="IV274">
        <v>12.9</v>
      </c>
      <c r="IW274">
        <v>12.7</v>
      </c>
      <c r="IX274">
        <v>0.358887</v>
      </c>
      <c r="IY274">
        <v>2.27661</v>
      </c>
      <c r="IZ274">
        <v>1.39648</v>
      </c>
      <c r="JA274">
        <v>2.35596</v>
      </c>
      <c r="JB274">
        <v>1.49536</v>
      </c>
      <c r="JC274">
        <v>2.28271</v>
      </c>
      <c r="JD274">
        <v>38.0134</v>
      </c>
      <c r="JE274">
        <v>24.0437</v>
      </c>
      <c r="JF274">
        <v>18</v>
      </c>
      <c r="JG274">
        <v>512.46</v>
      </c>
      <c r="JH274">
        <v>425.352</v>
      </c>
      <c r="JI274">
        <v>23.1541</v>
      </c>
      <c r="JJ274">
        <v>27.9484</v>
      </c>
      <c r="JK274">
        <v>29.9999</v>
      </c>
      <c r="JL274">
        <v>27.9803</v>
      </c>
      <c r="JM274">
        <v>27.927</v>
      </c>
      <c r="JN274">
        <v>7.31066</v>
      </c>
      <c r="JO274">
        <v>44.6345</v>
      </c>
      <c r="JP274">
        <v>0</v>
      </c>
      <c r="JQ274">
        <v>23.1511</v>
      </c>
      <c r="JR274">
        <v>110.678</v>
      </c>
      <c r="JS274">
        <v>9.43126</v>
      </c>
      <c r="JT274">
        <v>100.409</v>
      </c>
      <c r="JU274">
        <v>100.343</v>
      </c>
    </row>
    <row r="275" spans="1:281">
      <c r="A275">
        <v>259</v>
      </c>
      <c r="B275">
        <v>1651866282.5</v>
      </c>
      <c r="C275">
        <v>2061.900000095367</v>
      </c>
      <c r="D275" t="s">
        <v>941</v>
      </c>
      <c r="E275" t="s">
        <v>942</v>
      </c>
      <c r="F275">
        <v>2</v>
      </c>
      <c r="G275" t="s">
        <v>908</v>
      </c>
      <c r="H275" t="s">
        <v>414</v>
      </c>
      <c r="I275">
        <v>1651866281.5</v>
      </c>
      <c r="J275">
        <f>(K275)/1000</f>
        <v>0</v>
      </c>
      <c r="K275">
        <f>IF(CZ275, AN275, AH275)</f>
        <v>0</v>
      </c>
      <c r="L275">
        <f>IF(CZ275, AI275, AG275)</f>
        <v>0</v>
      </c>
      <c r="M275">
        <f>DB275 - IF(AU275&gt;1, L275*CV275*100.0/(AW275*DP275), 0)</f>
        <v>0</v>
      </c>
      <c r="N275">
        <f>((T275-J275/2)*M275-L275)/(T275+J275/2)</f>
        <v>0</v>
      </c>
      <c r="O275">
        <f>N275*(DI275+DJ275)/1000.0</f>
        <v>0</v>
      </c>
      <c r="P275">
        <f>(DB275 - IF(AU275&gt;1, L275*CV275*100.0/(AW275*DP275), 0))*(DI275+DJ275)/1000.0</f>
        <v>0</v>
      </c>
      <c r="Q275">
        <f>2.0/((1/S275-1/R275)+SIGN(S275)*SQRT((1/S275-1/R275)*(1/S275-1/R275) + 4*CW275/((CW275+1)*(CW275+1))*(2*1/S275*1/R275-1/R275*1/R275)))</f>
        <v>0</v>
      </c>
      <c r="R275">
        <f>IF(LEFT(CX275,1)&lt;&gt;"0",IF(LEFT(CX275,1)="1",3.0,CY275),$D$5+$E$5*(DP275*DI275/($K$5*1000))+$F$5*(DP275*DI275/($K$5*1000))*MAX(MIN(CV275,$J$5),$I$5)*MAX(MIN(CV275,$J$5),$I$5)+$G$5*MAX(MIN(CV275,$J$5),$I$5)*(DP275*DI275/($K$5*1000))+$H$5*(DP275*DI275/($K$5*1000))*(DP275*DI275/($K$5*1000)))</f>
        <v>0</v>
      </c>
      <c r="S275">
        <f>J275*(1000-(1000*0.61365*exp(17.502*W275/(240.97+W275))/(DI275+DJ275)+DD275)/2)/(1000*0.61365*exp(17.502*W275/(240.97+W275))/(DI275+DJ275)-DD275)</f>
        <v>0</v>
      </c>
      <c r="T275">
        <f>1/((CW275+1)/(Q275/1.6)+1/(R275/1.37)) + CW275/((CW275+1)/(Q275/1.6) + CW275/(R275/1.37))</f>
        <v>0</v>
      </c>
      <c r="U275">
        <f>(CR275*CU275)</f>
        <v>0</v>
      </c>
      <c r="V275">
        <f>(DK275+(U275+2*0.95*5.67E-8*(((DK275+$B$7)+273)^4-(DK275+273)^4)-44100*J275)/(1.84*29.3*R275+8*0.95*5.67E-8*(DK275+273)^3))</f>
        <v>0</v>
      </c>
      <c r="W275">
        <f>($C$7*DL275+$D$7*DM275+$E$7*V275)</f>
        <v>0</v>
      </c>
      <c r="X275">
        <f>0.61365*exp(17.502*W275/(240.97+W275))</f>
        <v>0</v>
      </c>
      <c r="Y275">
        <f>(Z275/AA275*100)</f>
        <v>0</v>
      </c>
      <c r="Z275">
        <f>DD275*(DI275+DJ275)/1000</f>
        <v>0</v>
      </c>
      <c r="AA275">
        <f>0.61365*exp(17.502*DK275/(240.97+DK275))</f>
        <v>0</v>
      </c>
      <c r="AB275">
        <f>(X275-DD275*(DI275+DJ275)/1000)</f>
        <v>0</v>
      </c>
      <c r="AC275">
        <f>(-J275*44100)</f>
        <v>0</v>
      </c>
      <c r="AD275">
        <f>2*29.3*R275*0.92*(DK275-W275)</f>
        <v>0</v>
      </c>
      <c r="AE275">
        <f>2*0.95*5.67E-8*(((DK275+$B$7)+273)^4-(W275+273)^4)</f>
        <v>0</v>
      </c>
      <c r="AF275">
        <f>U275+AE275+AC275+AD275</f>
        <v>0</v>
      </c>
      <c r="AG275">
        <f>DH275*AU275*(DC275-DB275*(1000-AU275*DE275)/(1000-AU275*DD275))/(100*CV275)</f>
        <v>0</v>
      </c>
      <c r="AH275">
        <f>1000*DH275*AU275*(DD275-DE275)/(100*CV275*(1000-AU275*DD275))</f>
        <v>0</v>
      </c>
      <c r="AI275">
        <f>(AJ275 - AK275 - DI275*1E3/(8.314*(DK275+273.15)) * AM275/DH275 * AL275) * DH275/(100*CV275) * (1000 - DE275)/1000</f>
        <v>0</v>
      </c>
      <c r="AJ275">
        <v>82.05471233082146</v>
      </c>
      <c r="AK275">
        <v>67.67708424242421</v>
      </c>
      <c r="AL275">
        <v>2.972911091797393</v>
      </c>
      <c r="AM275">
        <v>66.38195617057868</v>
      </c>
      <c r="AN275">
        <f>(AP275 - AO275 + DI275*1E3/(8.314*(DK275+273.15)) * AR275/DH275 * AQ275) * DH275/(100*CV275) * 1000/(1000 - AP275)</f>
        <v>0</v>
      </c>
      <c r="AO275">
        <v>9.526571272841197</v>
      </c>
      <c r="AP275">
        <v>18.57419529411764</v>
      </c>
      <c r="AQ275">
        <v>9.35971671811453E-05</v>
      </c>
      <c r="AR275">
        <v>80.47178418790507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MAX(0,($B$13+$C$13*DP275)/(1+$D$13*DP275)*DI275/(DK275+273)*$E$13)</f>
        <v>0</v>
      </c>
      <c r="AX275" t="s">
        <v>417</v>
      </c>
      <c r="AY275" t="s">
        <v>417</v>
      </c>
      <c r="AZ275">
        <v>0</v>
      </c>
      <c r="BA275">
        <v>0</v>
      </c>
      <c r="BB275">
        <f>1-AZ275/BA275</f>
        <v>0</v>
      </c>
      <c r="BC275">
        <v>0</v>
      </c>
      <c r="BD275" t="s">
        <v>417</v>
      </c>
      <c r="BE275" t="s">
        <v>417</v>
      </c>
      <c r="BF275">
        <v>0</v>
      </c>
      <c r="BG275">
        <v>0</v>
      </c>
      <c r="BH275">
        <f>1-BF275/BG275</f>
        <v>0</v>
      </c>
      <c r="BI275">
        <v>0.5</v>
      </c>
      <c r="BJ275">
        <f>CS275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417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BZ275">
        <v>1249</v>
      </c>
      <c r="CA275">
        <v>300</v>
      </c>
      <c r="CB275">
        <v>300</v>
      </c>
      <c r="CC275">
        <v>300</v>
      </c>
      <c r="CD275">
        <v>10442.4</v>
      </c>
      <c r="CE275">
        <v>1239.69</v>
      </c>
      <c r="CF275">
        <v>-0.00735276</v>
      </c>
      <c r="CG275">
        <v>0.07000000000000001</v>
      </c>
      <c r="CH275" t="s">
        <v>417</v>
      </c>
      <c r="CI275" t="s">
        <v>417</v>
      </c>
      <c r="CJ275" t="s">
        <v>417</v>
      </c>
      <c r="CK275" t="s">
        <v>417</v>
      </c>
      <c r="CL275" t="s">
        <v>417</v>
      </c>
      <c r="CM275" t="s">
        <v>417</v>
      </c>
      <c r="CN275" t="s">
        <v>417</v>
      </c>
      <c r="CO275" t="s">
        <v>417</v>
      </c>
      <c r="CP275" t="s">
        <v>417</v>
      </c>
      <c r="CQ275" t="s">
        <v>417</v>
      </c>
      <c r="CR275">
        <f>$B$11*DQ275+$C$11*DR275+$F$11*EC275*(1-EF275)</f>
        <v>0</v>
      </c>
      <c r="CS275">
        <f>CR275*CT275</f>
        <v>0</v>
      </c>
      <c r="CT275">
        <f>($B$11*$D$9+$C$11*$D$9+$F$11*((EP275+EH275)/MAX(EP275+EH275+EQ275, 0.1)*$I$9+EQ275/MAX(EP275+EH275+EQ275, 0.1)*$J$9))/($B$11+$C$11+$F$11)</f>
        <v>0</v>
      </c>
      <c r="CU275">
        <f>($B$11*$K$9+$C$11*$K$9+$F$11*((EP275+EH275)/MAX(EP275+EH275+EQ275, 0.1)*$P$9+EQ275/MAX(EP275+EH275+EQ275, 0.1)*$Q$9))/($B$11+$C$11+$F$11)</f>
        <v>0</v>
      </c>
      <c r="CV275">
        <v>6</v>
      </c>
      <c r="CW275">
        <v>0.5</v>
      </c>
      <c r="CX275" t="s">
        <v>418</v>
      </c>
      <c r="CY275">
        <v>2</v>
      </c>
      <c r="CZ275" t="b">
        <v>1</v>
      </c>
      <c r="DA275">
        <v>1651866281.5</v>
      </c>
      <c r="DB275">
        <v>64.95256666666667</v>
      </c>
      <c r="DC275">
        <v>87.1758</v>
      </c>
      <c r="DD275">
        <v>18.5754</v>
      </c>
      <c r="DE275">
        <v>9.51042</v>
      </c>
      <c r="DF275">
        <v>65.24213333333333</v>
      </c>
      <c r="DG275">
        <v>18.55163333333333</v>
      </c>
      <c r="DH275">
        <v>500.052</v>
      </c>
      <c r="DI275">
        <v>89.9158</v>
      </c>
      <c r="DJ275">
        <v>0.09978803333333332</v>
      </c>
      <c r="DK275">
        <v>25.84063333333333</v>
      </c>
      <c r="DL275">
        <v>25.00446666666667</v>
      </c>
      <c r="DM275">
        <v>999.9</v>
      </c>
      <c r="DN275">
        <v>0</v>
      </c>
      <c r="DO275">
        <v>0</v>
      </c>
      <c r="DP275">
        <v>10015</v>
      </c>
      <c r="DQ275">
        <v>0</v>
      </c>
      <c r="DR275">
        <v>3.223033333333333</v>
      </c>
      <c r="DS275">
        <v>-22.22323333333334</v>
      </c>
      <c r="DT275">
        <v>66.18193333333333</v>
      </c>
      <c r="DU275">
        <v>88.01286666666668</v>
      </c>
      <c r="DV275">
        <v>9.06499</v>
      </c>
      <c r="DW275">
        <v>87.1758</v>
      </c>
      <c r="DX275">
        <v>9.51042</v>
      </c>
      <c r="DY275">
        <v>1.670223333333333</v>
      </c>
      <c r="DZ275">
        <v>0.8551373333333334</v>
      </c>
      <c r="EA275">
        <v>14.6224</v>
      </c>
      <c r="EB275">
        <v>4.657076666666667</v>
      </c>
      <c r="EC275">
        <v>1499.9</v>
      </c>
      <c r="ED275">
        <v>0.9730013333333334</v>
      </c>
      <c r="EE275">
        <v>0.02699873333333333</v>
      </c>
      <c r="EF275">
        <v>0</v>
      </c>
      <c r="EG275">
        <v>856.6366666666667</v>
      </c>
      <c r="EH275">
        <v>5.00097</v>
      </c>
      <c r="EI275">
        <v>12746.7</v>
      </c>
      <c r="EJ275">
        <v>12490.73333333333</v>
      </c>
      <c r="EK275">
        <v>38.125</v>
      </c>
      <c r="EL275">
        <v>40.229</v>
      </c>
      <c r="EM275">
        <v>38.437</v>
      </c>
      <c r="EN275">
        <v>40.354</v>
      </c>
      <c r="EO275">
        <v>39.375</v>
      </c>
      <c r="EP275">
        <v>1454.54</v>
      </c>
      <c r="EQ275">
        <v>40.36000000000001</v>
      </c>
      <c r="ER275">
        <v>0</v>
      </c>
      <c r="ES275">
        <v>800</v>
      </c>
      <c r="ET275">
        <v>0</v>
      </c>
      <c r="EU275">
        <v>859.3779230769231</v>
      </c>
      <c r="EV275">
        <v>-23.96000001939054</v>
      </c>
      <c r="EW275">
        <v>-306.4410258150251</v>
      </c>
      <c r="EX275">
        <v>12778.29230769231</v>
      </c>
      <c r="EY275">
        <v>15</v>
      </c>
      <c r="EZ275">
        <v>1651865518.1</v>
      </c>
      <c r="FA275" t="s">
        <v>910</v>
      </c>
      <c r="FB275">
        <v>1651865507.1</v>
      </c>
      <c r="FC275">
        <v>1651865518.1</v>
      </c>
      <c r="FD275">
        <v>8</v>
      </c>
      <c r="FE275">
        <v>0.06</v>
      </c>
      <c r="FF275">
        <v>0</v>
      </c>
      <c r="FG275">
        <v>-0.927</v>
      </c>
      <c r="FH275">
        <v>-0.062</v>
      </c>
      <c r="FI275">
        <v>400</v>
      </c>
      <c r="FJ275">
        <v>11</v>
      </c>
      <c r="FK275">
        <v>0.11</v>
      </c>
      <c r="FL275">
        <v>0.01</v>
      </c>
      <c r="FM275">
        <v>-15.98009025</v>
      </c>
      <c r="FN275">
        <v>-47.44532566604127</v>
      </c>
      <c r="FO275">
        <v>4.682447354948846</v>
      </c>
      <c r="FP275">
        <v>-1</v>
      </c>
      <c r="FQ275">
        <v>9.02386675</v>
      </c>
      <c r="FR275">
        <v>0.2038328330205963</v>
      </c>
      <c r="FS275">
        <v>0.02081870833979612</v>
      </c>
      <c r="FT275">
        <v>-1</v>
      </c>
      <c r="FU275">
        <v>0</v>
      </c>
      <c r="FV275">
        <v>0</v>
      </c>
      <c r="FW275">
        <v>0</v>
      </c>
      <c r="FX275">
        <v>-1</v>
      </c>
      <c r="FY275">
        <v>0</v>
      </c>
      <c r="FZ275">
        <v>0</v>
      </c>
      <c r="GA275" t="s">
        <v>420</v>
      </c>
      <c r="GB275">
        <v>2.98137</v>
      </c>
      <c r="GC275">
        <v>2.70615</v>
      </c>
      <c r="GD275">
        <v>0.0181494</v>
      </c>
      <c r="GE275">
        <v>0.0237677</v>
      </c>
      <c r="GF275">
        <v>0.08853999999999999</v>
      </c>
      <c r="GG275">
        <v>0.0533219</v>
      </c>
      <c r="GH275">
        <v>31023.9</v>
      </c>
      <c r="GI275">
        <v>30913.9</v>
      </c>
      <c r="GJ275">
        <v>29375.5</v>
      </c>
      <c r="GK275">
        <v>29291.1</v>
      </c>
      <c r="GL275">
        <v>35449.1</v>
      </c>
      <c r="GM275">
        <v>36936</v>
      </c>
      <c r="GN275">
        <v>41346</v>
      </c>
      <c r="GO275">
        <v>41809.4</v>
      </c>
      <c r="GP275">
        <v>1.966</v>
      </c>
      <c r="GQ275">
        <v>1.8519</v>
      </c>
      <c r="GR275">
        <v>-0.00458211</v>
      </c>
      <c r="GS275">
        <v>0</v>
      </c>
      <c r="GT275">
        <v>25.0796</v>
      </c>
      <c r="GU275">
        <v>999.9</v>
      </c>
      <c r="GV275">
        <v>29.8</v>
      </c>
      <c r="GW275">
        <v>34.2</v>
      </c>
      <c r="GX275">
        <v>17.9064</v>
      </c>
      <c r="GY275">
        <v>62.3276</v>
      </c>
      <c r="GZ275">
        <v>35.1803</v>
      </c>
      <c r="HA275">
        <v>1</v>
      </c>
      <c r="HB275">
        <v>0.0480335</v>
      </c>
      <c r="HC275">
        <v>1.50639</v>
      </c>
      <c r="HD275">
        <v>20.3297</v>
      </c>
      <c r="HE275">
        <v>5.21564</v>
      </c>
      <c r="HF275">
        <v>12.0099</v>
      </c>
      <c r="HG275">
        <v>4.98885</v>
      </c>
      <c r="HH275">
        <v>3.2885</v>
      </c>
      <c r="HI275">
        <v>1029.8</v>
      </c>
      <c r="HJ275">
        <v>9724.700000000001</v>
      </c>
      <c r="HK275">
        <v>5139.4</v>
      </c>
      <c r="HL275">
        <v>25.3</v>
      </c>
      <c r="HM275">
        <v>1.86743</v>
      </c>
      <c r="HN275">
        <v>1.86646</v>
      </c>
      <c r="HO275">
        <v>1.866</v>
      </c>
      <c r="HP275">
        <v>1.86584</v>
      </c>
      <c r="HQ275">
        <v>1.86768</v>
      </c>
      <c r="HR275">
        <v>1.87016</v>
      </c>
      <c r="HS275">
        <v>1.8689</v>
      </c>
      <c r="HT275">
        <v>1.87017</v>
      </c>
      <c r="HU275">
        <v>0</v>
      </c>
      <c r="HV275">
        <v>0</v>
      </c>
      <c r="HW275">
        <v>0</v>
      </c>
      <c r="HX275">
        <v>0</v>
      </c>
      <c r="HY275" t="s">
        <v>421</v>
      </c>
      <c r="HZ275" t="s">
        <v>422</v>
      </c>
      <c r="IA275" t="s">
        <v>423</v>
      </c>
      <c r="IB275" t="s">
        <v>423</v>
      </c>
      <c r="IC275" t="s">
        <v>423</v>
      </c>
      <c r="ID275" t="s">
        <v>423</v>
      </c>
      <c r="IE275">
        <v>0</v>
      </c>
      <c r="IF275">
        <v>100</v>
      </c>
      <c r="IG275">
        <v>100</v>
      </c>
      <c r="IH275">
        <v>-0.296</v>
      </c>
      <c r="II275">
        <v>0.0237</v>
      </c>
      <c r="IJ275">
        <v>-0.1559367209035702</v>
      </c>
      <c r="IK275">
        <v>-0.002077099775823331</v>
      </c>
      <c r="IL275">
        <v>4.593143279902166E-07</v>
      </c>
      <c r="IM275">
        <v>-1.865383991892071E-10</v>
      </c>
      <c r="IN275">
        <v>-0.0607165066849496</v>
      </c>
      <c r="IO275">
        <v>-0.01129461987421345</v>
      </c>
      <c r="IP275">
        <v>0.00116580895745559</v>
      </c>
      <c r="IQ275">
        <v>-1.679085872906199E-05</v>
      </c>
      <c r="IR275">
        <v>2</v>
      </c>
      <c r="IS275">
        <v>2290</v>
      </c>
      <c r="IT275">
        <v>0</v>
      </c>
      <c r="IU275">
        <v>32</v>
      </c>
      <c r="IV275">
        <v>12.9</v>
      </c>
      <c r="IW275">
        <v>12.7</v>
      </c>
      <c r="IX275">
        <v>0.373535</v>
      </c>
      <c r="IY275">
        <v>2.27295</v>
      </c>
      <c r="IZ275">
        <v>1.39648</v>
      </c>
      <c r="JA275">
        <v>2.35596</v>
      </c>
      <c r="JB275">
        <v>1.49536</v>
      </c>
      <c r="JC275">
        <v>2.34009</v>
      </c>
      <c r="JD275">
        <v>38.0134</v>
      </c>
      <c r="JE275">
        <v>24.0525</v>
      </c>
      <c r="JF275">
        <v>18</v>
      </c>
      <c r="JG275">
        <v>512.353</v>
      </c>
      <c r="JH275">
        <v>425.24</v>
      </c>
      <c r="JI275">
        <v>23.1525</v>
      </c>
      <c r="JJ275">
        <v>27.9473</v>
      </c>
      <c r="JK275">
        <v>29.9999</v>
      </c>
      <c r="JL275">
        <v>27.9792</v>
      </c>
      <c r="JM275">
        <v>27.926</v>
      </c>
      <c r="JN275">
        <v>7.60679</v>
      </c>
      <c r="JO275">
        <v>44.9415</v>
      </c>
      <c r="JP275">
        <v>0</v>
      </c>
      <c r="JQ275">
        <v>23.1511</v>
      </c>
      <c r="JR275">
        <v>117.388</v>
      </c>
      <c r="JS275">
        <v>9.41827</v>
      </c>
      <c r="JT275">
        <v>100.41</v>
      </c>
      <c r="JU275">
        <v>100.344</v>
      </c>
    </row>
    <row r="276" spans="1:281">
      <c r="A276">
        <v>260</v>
      </c>
      <c r="B276">
        <v>1651866284.5</v>
      </c>
      <c r="C276">
        <v>2063.900000095367</v>
      </c>
      <c r="D276" t="s">
        <v>943</v>
      </c>
      <c r="E276" t="s">
        <v>944</v>
      </c>
      <c r="F276">
        <v>2</v>
      </c>
      <c r="G276" t="s">
        <v>908</v>
      </c>
      <c r="H276" t="s">
        <v>414</v>
      </c>
      <c r="I276">
        <v>1651866283.125</v>
      </c>
      <c r="J276">
        <f>(K276)/1000</f>
        <v>0</v>
      </c>
      <c r="K276">
        <f>IF(CZ276, AN276, AH276)</f>
        <v>0</v>
      </c>
      <c r="L276">
        <f>IF(CZ276, AI276, AG276)</f>
        <v>0</v>
      </c>
      <c r="M276">
        <f>DB276 - IF(AU276&gt;1, L276*CV276*100.0/(AW276*DP276), 0)</f>
        <v>0</v>
      </c>
      <c r="N276">
        <f>((T276-J276/2)*M276-L276)/(T276+J276/2)</f>
        <v>0</v>
      </c>
      <c r="O276">
        <f>N276*(DI276+DJ276)/1000.0</f>
        <v>0</v>
      </c>
      <c r="P276">
        <f>(DB276 - IF(AU276&gt;1, L276*CV276*100.0/(AW276*DP276), 0))*(DI276+DJ276)/1000.0</f>
        <v>0</v>
      </c>
      <c r="Q276">
        <f>2.0/((1/S276-1/R276)+SIGN(S276)*SQRT((1/S276-1/R276)*(1/S276-1/R276) + 4*CW276/((CW276+1)*(CW276+1))*(2*1/S276*1/R276-1/R276*1/R276)))</f>
        <v>0</v>
      </c>
      <c r="R276">
        <f>IF(LEFT(CX276,1)&lt;&gt;"0",IF(LEFT(CX276,1)="1",3.0,CY276),$D$5+$E$5*(DP276*DI276/($K$5*1000))+$F$5*(DP276*DI276/($K$5*1000))*MAX(MIN(CV276,$J$5),$I$5)*MAX(MIN(CV276,$J$5),$I$5)+$G$5*MAX(MIN(CV276,$J$5),$I$5)*(DP276*DI276/($K$5*1000))+$H$5*(DP276*DI276/($K$5*1000))*(DP276*DI276/($K$5*1000)))</f>
        <v>0</v>
      </c>
      <c r="S276">
        <f>J276*(1000-(1000*0.61365*exp(17.502*W276/(240.97+W276))/(DI276+DJ276)+DD276)/2)/(1000*0.61365*exp(17.502*W276/(240.97+W276))/(DI276+DJ276)-DD276)</f>
        <v>0</v>
      </c>
      <c r="T276">
        <f>1/((CW276+1)/(Q276/1.6)+1/(R276/1.37)) + CW276/((CW276+1)/(Q276/1.6) + CW276/(R276/1.37))</f>
        <v>0</v>
      </c>
      <c r="U276">
        <f>(CR276*CU276)</f>
        <v>0</v>
      </c>
      <c r="V276">
        <f>(DK276+(U276+2*0.95*5.67E-8*(((DK276+$B$7)+273)^4-(DK276+273)^4)-44100*J276)/(1.84*29.3*R276+8*0.95*5.67E-8*(DK276+273)^3))</f>
        <v>0</v>
      </c>
      <c r="W276">
        <f>($C$7*DL276+$D$7*DM276+$E$7*V276)</f>
        <v>0</v>
      </c>
      <c r="X276">
        <f>0.61365*exp(17.502*W276/(240.97+W276))</f>
        <v>0</v>
      </c>
      <c r="Y276">
        <f>(Z276/AA276*100)</f>
        <v>0</v>
      </c>
      <c r="Z276">
        <f>DD276*(DI276+DJ276)/1000</f>
        <v>0</v>
      </c>
      <c r="AA276">
        <f>0.61365*exp(17.502*DK276/(240.97+DK276))</f>
        <v>0</v>
      </c>
      <c r="AB276">
        <f>(X276-DD276*(DI276+DJ276)/1000)</f>
        <v>0</v>
      </c>
      <c r="AC276">
        <f>(-J276*44100)</f>
        <v>0</v>
      </c>
      <c r="AD276">
        <f>2*29.3*R276*0.92*(DK276-W276)</f>
        <v>0</v>
      </c>
      <c r="AE276">
        <f>2*0.95*5.67E-8*(((DK276+$B$7)+273)^4-(W276+273)^4)</f>
        <v>0</v>
      </c>
      <c r="AF276">
        <f>U276+AE276+AC276+AD276</f>
        <v>0</v>
      </c>
      <c r="AG276">
        <f>DH276*AU276*(DC276-DB276*(1000-AU276*DE276)/(1000-AU276*DD276))/(100*CV276)</f>
        <v>0</v>
      </c>
      <c r="AH276">
        <f>1000*DH276*AU276*(DD276-DE276)/(100*CV276*(1000-AU276*DD276))</f>
        <v>0</v>
      </c>
      <c r="AI276">
        <f>(AJ276 - AK276 - DI276*1E3/(8.314*(DK276+273.15)) * AM276/DH276 * AL276) * DH276/(100*CV276) * (1000 - DE276)/1000</f>
        <v>0</v>
      </c>
      <c r="AJ276">
        <v>88.78763243270694</v>
      </c>
      <c r="AK276">
        <v>73.7006036363636</v>
      </c>
      <c r="AL276">
        <v>3.001140557931198</v>
      </c>
      <c r="AM276">
        <v>66.38195617057868</v>
      </c>
      <c r="AN276">
        <f>(AP276 - AO276 + DI276*1E3/(8.314*(DK276+273.15)) * AR276/DH276 * AQ276) * DH276/(100*CV276) * 1000/(1000 - AP276)</f>
        <v>0</v>
      </c>
      <c r="AO276">
        <v>9.513926745640273</v>
      </c>
      <c r="AP276">
        <v>18.57408205882353</v>
      </c>
      <c r="AQ276">
        <v>-6.614826365916704E-05</v>
      </c>
      <c r="AR276">
        <v>80.47178418790507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MAX(0,($B$13+$C$13*DP276)/(1+$D$13*DP276)*DI276/(DK276+273)*$E$13)</f>
        <v>0</v>
      </c>
      <c r="AX276" t="s">
        <v>417</v>
      </c>
      <c r="AY276" t="s">
        <v>417</v>
      </c>
      <c r="AZ276">
        <v>0</v>
      </c>
      <c r="BA276">
        <v>0</v>
      </c>
      <c r="BB276">
        <f>1-AZ276/BA276</f>
        <v>0</v>
      </c>
      <c r="BC276">
        <v>0</v>
      </c>
      <c r="BD276" t="s">
        <v>417</v>
      </c>
      <c r="BE276" t="s">
        <v>417</v>
      </c>
      <c r="BF276">
        <v>0</v>
      </c>
      <c r="BG276">
        <v>0</v>
      </c>
      <c r="BH276">
        <f>1-BF276/BG276</f>
        <v>0</v>
      </c>
      <c r="BI276">
        <v>0.5</v>
      </c>
      <c r="BJ276">
        <f>CS276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417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BZ276">
        <v>1249</v>
      </c>
      <c r="CA276">
        <v>300</v>
      </c>
      <c r="CB276">
        <v>300</v>
      </c>
      <c r="CC276">
        <v>300</v>
      </c>
      <c r="CD276">
        <v>10442.4</v>
      </c>
      <c r="CE276">
        <v>1239.69</v>
      </c>
      <c r="CF276">
        <v>-0.00735276</v>
      </c>
      <c r="CG276">
        <v>0.07000000000000001</v>
      </c>
      <c r="CH276" t="s">
        <v>417</v>
      </c>
      <c r="CI276" t="s">
        <v>417</v>
      </c>
      <c r="CJ276" t="s">
        <v>417</v>
      </c>
      <c r="CK276" t="s">
        <v>417</v>
      </c>
      <c r="CL276" t="s">
        <v>417</v>
      </c>
      <c r="CM276" t="s">
        <v>417</v>
      </c>
      <c r="CN276" t="s">
        <v>417</v>
      </c>
      <c r="CO276" t="s">
        <v>417</v>
      </c>
      <c r="CP276" t="s">
        <v>417</v>
      </c>
      <c r="CQ276" t="s">
        <v>417</v>
      </c>
      <c r="CR276">
        <f>$B$11*DQ276+$C$11*DR276+$F$11*EC276*(1-EF276)</f>
        <v>0</v>
      </c>
      <c r="CS276">
        <f>CR276*CT276</f>
        <v>0</v>
      </c>
      <c r="CT276">
        <f>($B$11*$D$9+$C$11*$D$9+$F$11*((EP276+EH276)/MAX(EP276+EH276+EQ276, 0.1)*$I$9+EQ276/MAX(EP276+EH276+EQ276, 0.1)*$J$9))/($B$11+$C$11+$F$11)</f>
        <v>0</v>
      </c>
      <c r="CU276">
        <f>($B$11*$K$9+$C$11*$K$9+$F$11*((EP276+EH276)/MAX(EP276+EH276+EQ276, 0.1)*$P$9+EQ276/MAX(EP276+EH276+EQ276, 0.1)*$Q$9))/($B$11+$C$11+$F$11)</f>
        <v>0</v>
      </c>
      <c r="CV276">
        <v>6</v>
      </c>
      <c r="CW276">
        <v>0.5</v>
      </c>
      <c r="CX276" t="s">
        <v>418</v>
      </c>
      <c r="CY276">
        <v>2</v>
      </c>
      <c r="CZ276" t="b">
        <v>1</v>
      </c>
      <c r="DA276">
        <v>1651866283.125</v>
      </c>
      <c r="DB276">
        <v>69.741325</v>
      </c>
      <c r="DC276">
        <v>92.61177499999999</v>
      </c>
      <c r="DD276">
        <v>18.575</v>
      </c>
      <c r="DE276">
        <v>9.507105000000001</v>
      </c>
      <c r="DF276">
        <v>70.04057499999999</v>
      </c>
      <c r="DG276">
        <v>18.55125</v>
      </c>
      <c r="DH276">
        <v>500.0135</v>
      </c>
      <c r="DI276">
        <v>89.91547500000001</v>
      </c>
      <c r="DJ276">
        <v>0.0999457</v>
      </c>
      <c r="DK276">
        <v>25.8419</v>
      </c>
      <c r="DL276">
        <v>25.00485</v>
      </c>
      <c r="DM276">
        <v>999.9</v>
      </c>
      <c r="DN276">
        <v>0</v>
      </c>
      <c r="DO276">
        <v>0</v>
      </c>
      <c r="DP276">
        <v>10004.0625</v>
      </c>
      <c r="DQ276">
        <v>0</v>
      </c>
      <c r="DR276">
        <v>3.2312275</v>
      </c>
      <c r="DS276">
        <v>-22.87045</v>
      </c>
      <c r="DT276">
        <v>71.0613</v>
      </c>
      <c r="DU276">
        <v>93.50070000000001</v>
      </c>
      <c r="DV276">
        <v>9.067895</v>
      </c>
      <c r="DW276">
        <v>92.61177499999999</v>
      </c>
      <c r="DX276">
        <v>9.507105000000001</v>
      </c>
      <c r="DY276">
        <v>1.67018</v>
      </c>
      <c r="DZ276">
        <v>0.8548357500000001</v>
      </c>
      <c r="EA276">
        <v>14.622</v>
      </c>
      <c r="EB276">
        <v>4.6520325</v>
      </c>
      <c r="EC276">
        <v>1500.04</v>
      </c>
      <c r="ED276">
        <v>0.9729954999999999</v>
      </c>
      <c r="EE276">
        <v>0.0270045</v>
      </c>
      <c r="EF276">
        <v>0</v>
      </c>
      <c r="EG276">
        <v>856.15675</v>
      </c>
      <c r="EH276">
        <v>5.00097</v>
      </c>
      <c r="EI276">
        <v>12740.65</v>
      </c>
      <c r="EJ276">
        <v>12491.875</v>
      </c>
      <c r="EK276">
        <v>38.17149999999999</v>
      </c>
      <c r="EL276">
        <v>40.25</v>
      </c>
      <c r="EM276">
        <v>38.48425</v>
      </c>
      <c r="EN276">
        <v>40.406</v>
      </c>
      <c r="EO276">
        <v>39.42149999999999</v>
      </c>
      <c r="EP276">
        <v>1454.6675</v>
      </c>
      <c r="EQ276">
        <v>40.3725</v>
      </c>
      <c r="ER276">
        <v>0</v>
      </c>
      <c r="ES276">
        <v>802.4000000953674</v>
      </c>
      <c r="ET276">
        <v>0</v>
      </c>
      <c r="EU276">
        <v>858.3999230769231</v>
      </c>
      <c r="EV276">
        <v>-23.17552138616942</v>
      </c>
      <c r="EW276">
        <v>-282.1299147018048</v>
      </c>
      <c r="EX276">
        <v>12766.50384615385</v>
      </c>
      <c r="EY276">
        <v>15</v>
      </c>
      <c r="EZ276">
        <v>1651865518.1</v>
      </c>
      <c r="FA276" t="s">
        <v>910</v>
      </c>
      <c r="FB276">
        <v>1651865507.1</v>
      </c>
      <c r="FC276">
        <v>1651865518.1</v>
      </c>
      <c r="FD276">
        <v>8</v>
      </c>
      <c r="FE276">
        <v>0.06</v>
      </c>
      <c r="FF276">
        <v>0</v>
      </c>
      <c r="FG276">
        <v>-0.927</v>
      </c>
      <c r="FH276">
        <v>-0.062</v>
      </c>
      <c r="FI276">
        <v>400</v>
      </c>
      <c r="FJ276">
        <v>11</v>
      </c>
      <c r="FK276">
        <v>0.11</v>
      </c>
      <c r="FL276">
        <v>0.01</v>
      </c>
      <c r="FM276">
        <v>-18.2284275</v>
      </c>
      <c r="FN276">
        <v>-37.05571294559097</v>
      </c>
      <c r="FO276">
        <v>3.634024958223836</v>
      </c>
      <c r="FP276">
        <v>-1</v>
      </c>
      <c r="FQ276">
        <v>9.033935250000001</v>
      </c>
      <c r="FR276">
        <v>0.2282761350844417</v>
      </c>
      <c r="FS276">
        <v>0.02290865720502841</v>
      </c>
      <c r="FT276">
        <v>-1</v>
      </c>
      <c r="FU276">
        <v>0</v>
      </c>
      <c r="FV276">
        <v>0</v>
      </c>
      <c r="FW276">
        <v>0</v>
      </c>
      <c r="FX276">
        <v>-1</v>
      </c>
      <c r="FY276">
        <v>0</v>
      </c>
      <c r="FZ276">
        <v>0</v>
      </c>
      <c r="GA276" t="s">
        <v>420</v>
      </c>
      <c r="GB276">
        <v>2.98137</v>
      </c>
      <c r="GC276">
        <v>2.70618</v>
      </c>
      <c r="GD276">
        <v>0.0197122</v>
      </c>
      <c r="GE276">
        <v>0.0254802</v>
      </c>
      <c r="GF276">
        <v>0.0885394</v>
      </c>
      <c r="GG276">
        <v>0.0532625</v>
      </c>
      <c r="GH276">
        <v>30974.7</v>
      </c>
      <c r="GI276">
        <v>30860.2</v>
      </c>
      <c r="GJ276">
        <v>29375.7</v>
      </c>
      <c r="GK276">
        <v>29291.6</v>
      </c>
      <c r="GL276">
        <v>35449.4</v>
      </c>
      <c r="GM276">
        <v>36938.9</v>
      </c>
      <c r="GN276">
        <v>41346.2</v>
      </c>
      <c r="GO276">
        <v>41810</v>
      </c>
      <c r="GP276">
        <v>1.96612</v>
      </c>
      <c r="GQ276">
        <v>1.8518</v>
      </c>
      <c r="GR276">
        <v>-0.00463799</v>
      </c>
      <c r="GS276">
        <v>0</v>
      </c>
      <c r="GT276">
        <v>25.0806</v>
      </c>
      <c r="GU276">
        <v>999.9</v>
      </c>
      <c r="GV276">
        <v>29.8</v>
      </c>
      <c r="GW276">
        <v>34.2</v>
      </c>
      <c r="GX276">
        <v>17.9064</v>
      </c>
      <c r="GY276">
        <v>62.2476</v>
      </c>
      <c r="GZ276">
        <v>35.4167</v>
      </c>
      <c r="HA276">
        <v>1</v>
      </c>
      <c r="HB276">
        <v>0.0477236</v>
      </c>
      <c r="HC276">
        <v>1.50513</v>
      </c>
      <c r="HD276">
        <v>20.3297</v>
      </c>
      <c r="HE276">
        <v>5.21564</v>
      </c>
      <c r="HF276">
        <v>12.0099</v>
      </c>
      <c r="HG276">
        <v>4.9887</v>
      </c>
      <c r="HH276">
        <v>3.28848</v>
      </c>
      <c r="HI276">
        <v>1029.8</v>
      </c>
      <c r="HJ276">
        <v>9724.700000000001</v>
      </c>
      <c r="HK276">
        <v>5139.4</v>
      </c>
      <c r="HL276">
        <v>25.3</v>
      </c>
      <c r="HM276">
        <v>1.86743</v>
      </c>
      <c r="HN276">
        <v>1.86646</v>
      </c>
      <c r="HO276">
        <v>1.866</v>
      </c>
      <c r="HP276">
        <v>1.86584</v>
      </c>
      <c r="HQ276">
        <v>1.86768</v>
      </c>
      <c r="HR276">
        <v>1.87014</v>
      </c>
      <c r="HS276">
        <v>1.8689</v>
      </c>
      <c r="HT276">
        <v>1.87018</v>
      </c>
      <c r="HU276">
        <v>0</v>
      </c>
      <c r="HV276">
        <v>0</v>
      </c>
      <c r="HW276">
        <v>0</v>
      </c>
      <c r="HX276">
        <v>0</v>
      </c>
      <c r="HY276" t="s">
        <v>421</v>
      </c>
      <c r="HZ276" t="s">
        <v>422</v>
      </c>
      <c r="IA276" t="s">
        <v>423</v>
      </c>
      <c r="IB276" t="s">
        <v>423</v>
      </c>
      <c r="IC276" t="s">
        <v>423</v>
      </c>
      <c r="ID276" t="s">
        <v>423</v>
      </c>
      <c r="IE276">
        <v>0</v>
      </c>
      <c r="IF276">
        <v>100</v>
      </c>
      <c r="IG276">
        <v>100</v>
      </c>
      <c r="IH276">
        <v>-0.307</v>
      </c>
      <c r="II276">
        <v>0.0237</v>
      </c>
      <c r="IJ276">
        <v>-0.1559367209035702</v>
      </c>
      <c r="IK276">
        <v>-0.002077099775823331</v>
      </c>
      <c r="IL276">
        <v>4.593143279902166E-07</v>
      </c>
      <c r="IM276">
        <v>-1.865383991892071E-10</v>
      </c>
      <c r="IN276">
        <v>-0.0607165066849496</v>
      </c>
      <c r="IO276">
        <v>-0.01129461987421345</v>
      </c>
      <c r="IP276">
        <v>0.00116580895745559</v>
      </c>
      <c r="IQ276">
        <v>-1.679085872906199E-05</v>
      </c>
      <c r="IR276">
        <v>2</v>
      </c>
      <c r="IS276">
        <v>2290</v>
      </c>
      <c r="IT276">
        <v>0</v>
      </c>
      <c r="IU276">
        <v>32</v>
      </c>
      <c r="IV276">
        <v>13</v>
      </c>
      <c r="IW276">
        <v>12.8</v>
      </c>
      <c r="IX276">
        <v>0.389404</v>
      </c>
      <c r="IY276">
        <v>2.26562</v>
      </c>
      <c r="IZ276">
        <v>1.39648</v>
      </c>
      <c r="JA276">
        <v>2.35474</v>
      </c>
      <c r="JB276">
        <v>1.49536</v>
      </c>
      <c r="JC276">
        <v>2.37671</v>
      </c>
      <c r="JD276">
        <v>38.0134</v>
      </c>
      <c r="JE276">
        <v>24.0525</v>
      </c>
      <c r="JF276">
        <v>18</v>
      </c>
      <c r="JG276">
        <v>512.425</v>
      </c>
      <c r="JH276">
        <v>425.172</v>
      </c>
      <c r="JI276">
        <v>23.1511</v>
      </c>
      <c r="JJ276">
        <v>27.9464</v>
      </c>
      <c r="JK276">
        <v>29.9999</v>
      </c>
      <c r="JL276">
        <v>27.978</v>
      </c>
      <c r="JM276">
        <v>27.9248</v>
      </c>
      <c r="JN276">
        <v>7.90347</v>
      </c>
      <c r="JO276">
        <v>44.9415</v>
      </c>
      <c r="JP276">
        <v>0</v>
      </c>
      <c r="JQ276">
        <v>23.1511</v>
      </c>
      <c r="JR276">
        <v>124.1</v>
      </c>
      <c r="JS276">
        <v>9.41629</v>
      </c>
      <c r="JT276">
        <v>100.41</v>
      </c>
      <c r="JU276">
        <v>100.345</v>
      </c>
    </row>
    <row r="277" spans="1:281">
      <c r="A277">
        <v>261</v>
      </c>
      <c r="B277">
        <v>1651866286.5</v>
      </c>
      <c r="C277">
        <v>2065.900000095367</v>
      </c>
      <c r="D277" t="s">
        <v>945</v>
      </c>
      <c r="E277" t="s">
        <v>946</v>
      </c>
      <c r="F277">
        <v>2</v>
      </c>
      <c r="G277" t="s">
        <v>908</v>
      </c>
      <c r="H277" t="s">
        <v>414</v>
      </c>
      <c r="I277">
        <v>1651866285.5</v>
      </c>
      <c r="J277">
        <f>(K277)/1000</f>
        <v>0</v>
      </c>
      <c r="K277">
        <f>IF(CZ277, AN277, AH277)</f>
        <v>0</v>
      </c>
      <c r="L277">
        <f>IF(CZ277, AI277, AG277)</f>
        <v>0</v>
      </c>
      <c r="M277">
        <f>DB277 - IF(AU277&gt;1, L277*CV277*100.0/(AW277*DP277), 0)</f>
        <v>0</v>
      </c>
      <c r="N277">
        <f>((T277-J277/2)*M277-L277)/(T277+J277/2)</f>
        <v>0</v>
      </c>
      <c r="O277">
        <f>N277*(DI277+DJ277)/1000.0</f>
        <v>0</v>
      </c>
      <c r="P277">
        <f>(DB277 - IF(AU277&gt;1, L277*CV277*100.0/(AW277*DP277), 0))*(DI277+DJ277)/1000.0</f>
        <v>0</v>
      </c>
      <c r="Q277">
        <f>2.0/((1/S277-1/R277)+SIGN(S277)*SQRT((1/S277-1/R277)*(1/S277-1/R277) + 4*CW277/((CW277+1)*(CW277+1))*(2*1/S277*1/R277-1/R277*1/R277)))</f>
        <v>0</v>
      </c>
      <c r="R277">
        <f>IF(LEFT(CX277,1)&lt;&gt;"0",IF(LEFT(CX277,1)="1",3.0,CY277),$D$5+$E$5*(DP277*DI277/($K$5*1000))+$F$5*(DP277*DI277/($K$5*1000))*MAX(MIN(CV277,$J$5),$I$5)*MAX(MIN(CV277,$J$5),$I$5)+$G$5*MAX(MIN(CV277,$J$5),$I$5)*(DP277*DI277/($K$5*1000))+$H$5*(DP277*DI277/($K$5*1000))*(DP277*DI277/($K$5*1000)))</f>
        <v>0</v>
      </c>
      <c r="S277">
        <f>J277*(1000-(1000*0.61365*exp(17.502*W277/(240.97+W277))/(DI277+DJ277)+DD277)/2)/(1000*0.61365*exp(17.502*W277/(240.97+W277))/(DI277+DJ277)-DD277)</f>
        <v>0</v>
      </c>
      <c r="T277">
        <f>1/((CW277+1)/(Q277/1.6)+1/(R277/1.37)) + CW277/((CW277+1)/(Q277/1.6) + CW277/(R277/1.37))</f>
        <v>0</v>
      </c>
      <c r="U277">
        <f>(CR277*CU277)</f>
        <v>0</v>
      </c>
      <c r="V277">
        <f>(DK277+(U277+2*0.95*5.67E-8*(((DK277+$B$7)+273)^4-(DK277+273)^4)-44100*J277)/(1.84*29.3*R277+8*0.95*5.67E-8*(DK277+273)^3))</f>
        <v>0</v>
      </c>
      <c r="W277">
        <f>($C$7*DL277+$D$7*DM277+$E$7*V277)</f>
        <v>0</v>
      </c>
      <c r="X277">
        <f>0.61365*exp(17.502*W277/(240.97+W277))</f>
        <v>0</v>
      </c>
      <c r="Y277">
        <f>(Z277/AA277*100)</f>
        <v>0</v>
      </c>
      <c r="Z277">
        <f>DD277*(DI277+DJ277)/1000</f>
        <v>0</v>
      </c>
      <c r="AA277">
        <f>0.61365*exp(17.502*DK277/(240.97+DK277))</f>
        <v>0</v>
      </c>
      <c r="AB277">
        <f>(X277-DD277*(DI277+DJ277)/1000)</f>
        <v>0</v>
      </c>
      <c r="AC277">
        <f>(-J277*44100)</f>
        <v>0</v>
      </c>
      <c r="AD277">
        <f>2*29.3*R277*0.92*(DK277-W277)</f>
        <v>0</v>
      </c>
      <c r="AE277">
        <f>2*0.95*5.67E-8*(((DK277+$B$7)+273)^4-(W277+273)^4)</f>
        <v>0</v>
      </c>
      <c r="AF277">
        <f>U277+AE277+AC277+AD277</f>
        <v>0</v>
      </c>
      <c r="AG277">
        <f>DH277*AU277*(DC277-DB277*(1000-AU277*DE277)/(1000-AU277*DD277))/(100*CV277)</f>
        <v>0</v>
      </c>
      <c r="AH277">
        <f>1000*DH277*AU277*(DD277-DE277)/(100*CV277*(1000-AU277*DD277))</f>
        <v>0</v>
      </c>
      <c r="AI277">
        <f>(AJ277 - AK277 - DI277*1E3/(8.314*(DK277+273.15)) * AM277/DH277 * AL277) * DH277/(100*CV277) * (1000 - DE277)/1000</f>
        <v>0</v>
      </c>
      <c r="AJ277">
        <v>95.54258002232335</v>
      </c>
      <c r="AK277">
        <v>79.78392484848483</v>
      </c>
      <c r="AL277">
        <v>3.031942892935082</v>
      </c>
      <c r="AM277">
        <v>66.38195617057868</v>
      </c>
      <c r="AN277">
        <f>(AP277 - AO277 + DI277*1E3/(8.314*(DK277+273.15)) * AR277/DH277 * AQ277) * DH277/(100*CV277) * 1000/(1000 - AP277)</f>
        <v>0</v>
      </c>
      <c r="AO277">
        <v>9.511770741751985</v>
      </c>
      <c r="AP277">
        <v>18.57172147058824</v>
      </c>
      <c r="AQ277">
        <v>-6.244681007020873E-05</v>
      </c>
      <c r="AR277">
        <v>80.47178418790507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MAX(0,($B$13+$C$13*DP277)/(1+$D$13*DP277)*DI277/(DK277+273)*$E$13)</f>
        <v>0</v>
      </c>
      <c r="AX277" t="s">
        <v>417</v>
      </c>
      <c r="AY277" t="s">
        <v>417</v>
      </c>
      <c r="AZ277">
        <v>0</v>
      </c>
      <c r="BA277">
        <v>0</v>
      </c>
      <c r="BB277">
        <f>1-AZ277/BA277</f>
        <v>0</v>
      </c>
      <c r="BC277">
        <v>0</v>
      </c>
      <c r="BD277" t="s">
        <v>417</v>
      </c>
      <c r="BE277" t="s">
        <v>417</v>
      </c>
      <c r="BF277">
        <v>0</v>
      </c>
      <c r="BG277">
        <v>0</v>
      </c>
      <c r="BH277">
        <f>1-BF277/BG277</f>
        <v>0</v>
      </c>
      <c r="BI277">
        <v>0.5</v>
      </c>
      <c r="BJ277">
        <f>CS277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417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BZ277">
        <v>1249</v>
      </c>
      <c r="CA277">
        <v>300</v>
      </c>
      <c r="CB277">
        <v>300</v>
      </c>
      <c r="CC277">
        <v>300</v>
      </c>
      <c r="CD277">
        <v>10442.4</v>
      </c>
      <c r="CE277">
        <v>1239.69</v>
      </c>
      <c r="CF277">
        <v>-0.00735276</v>
      </c>
      <c r="CG277">
        <v>0.07000000000000001</v>
      </c>
      <c r="CH277" t="s">
        <v>417</v>
      </c>
      <c r="CI277" t="s">
        <v>417</v>
      </c>
      <c r="CJ277" t="s">
        <v>417</v>
      </c>
      <c r="CK277" t="s">
        <v>417</v>
      </c>
      <c r="CL277" t="s">
        <v>417</v>
      </c>
      <c r="CM277" t="s">
        <v>417</v>
      </c>
      <c r="CN277" t="s">
        <v>417</v>
      </c>
      <c r="CO277" t="s">
        <v>417</v>
      </c>
      <c r="CP277" t="s">
        <v>417</v>
      </c>
      <c r="CQ277" t="s">
        <v>417</v>
      </c>
      <c r="CR277">
        <f>$B$11*DQ277+$C$11*DR277+$F$11*EC277*(1-EF277)</f>
        <v>0</v>
      </c>
      <c r="CS277">
        <f>CR277*CT277</f>
        <v>0</v>
      </c>
      <c r="CT277">
        <f>($B$11*$D$9+$C$11*$D$9+$F$11*((EP277+EH277)/MAX(EP277+EH277+EQ277, 0.1)*$I$9+EQ277/MAX(EP277+EH277+EQ277, 0.1)*$J$9))/($B$11+$C$11+$F$11)</f>
        <v>0</v>
      </c>
      <c r="CU277">
        <f>($B$11*$K$9+$C$11*$K$9+$F$11*((EP277+EH277)/MAX(EP277+EH277+EQ277, 0.1)*$P$9+EQ277/MAX(EP277+EH277+EQ277, 0.1)*$Q$9))/($B$11+$C$11+$F$11)</f>
        <v>0</v>
      </c>
      <c r="CV277">
        <v>6</v>
      </c>
      <c r="CW277">
        <v>0.5</v>
      </c>
      <c r="CX277" t="s">
        <v>418</v>
      </c>
      <c r="CY277">
        <v>2</v>
      </c>
      <c r="CZ277" t="b">
        <v>1</v>
      </c>
      <c r="DA277">
        <v>1651866285.5</v>
      </c>
      <c r="DB277">
        <v>76.8064</v>
      </c>
      <c r="DC277">
        <v>100.5200666666667</v>
      </c>
      <c r="DD277">
        <v>18.57183333333333</v>
      </c>
      <c r="DE277">
        <v>9.477483333333334</v>
      </c>
      <c r="DF277">
        <v>77.11989999999999</v>
      </c>
      <c r="DG277">
        <v>18.5481</v>
      </c>
      <c r="DH277">
        <v>500.0043333333333</v>
      </c>
      <c r="DI277">
        <v>89.9162</v>
      </c>
      <c r="DJ277">
        <v>0.100059</v>
      </c>
      <c r="DK277">
        <v>25.84523333333333</v>
      </c>
      <c r="DL277">
        <v>25.0011</v>
      </c>
      <c r="DM277">
        <v>999.9</v>
      </c>
      <c r="DN277">
        <v>0</v>
      </c>
      <c r="DO277">
        <v>0</v>
      </c>
      <c r="DP277">
        <v>9991.040000000001</v>
      </c>
      <c r="DQ277">
        <v>0</v>
      </c>
      <c r="DR277">
        <v>3.23193</v>
      </c>
      <c r="DS277">
        <v>-23.71373333333333</v>
      </c>
      <c r="DT277">
        <v>78.25983333333333</v>
      </c>
      <c r="DU277">
        <v>101.4820333333333</v>
      </c>
      <c r="DV277">
        <v>9.094349999999999</v>
      </c>
      <c r="DW277">
        <v>100.5200666666667</v>
      </c>
      <c r="DX277">
        <v>9.477483333333334</v>
      </c>
      <c r="DY277">
        <v>1.669913333333333</v>
      </c>
      <c r="DZ277">
        <v>0.8521796666666667</v>
      </c>
      <c r="EA277">
        <v>14.61953333333333</v>
      </c>
      <c r="EB277">
        <v>4.60752</v>
      </c>
      <c r="EC277">
        <v>1499.946666666667</v>
      </c>
      <c r="ED277">
        <v>0.9730026666666666</v>
      </c>
      <c r="EE277">
        <v>0.02699723333333333</v>
      </c>
      <c r="EF277">
        <v>0</v>
      </c>
      <c r="EG277">
        <v>855.369</v>
      </c>
      <c r="EH277">
        <v>5.00097</v>
      </c>
      <c r="EI277">
        <v>12730.63333333333</v>
      </c>
      <c r="EJ277">
        <v>12491.13333333333</v>
      </c>
      <c r="EK277">
        <v>38.187</v>
      </c>
      <c r="EL277">
        <v>40.312</v>
      </c>
      <c r="EM277">
        <v>38.54133333333333</v>
      </c>
      <c r="EN277">
        <v>40.479</v>
      </c>
      <c r="EO277">
        <v>39.437</v>
      </c>
      <c r="EP277">
        <v>1454.586666666667</v>
      </c>
      <c r="EQ277">
        <v>40.36000000000001</v>
      </c>
      <c r="ER277">
        <v>0</v>
      </c>
      <c r="ES277">
        <v>804.2000000476837</v>
      </c>
      <c r="ET277">
        <v>0</v>
      </c>
      <c r="EU277">
        <v>857.6055599999999</v>
      </c>
      <c r="EV277">
        <v>-22.87476919542214</v>
      </c>
      <c r="EW277">
        <v>-264.1769226490953</v>
      </c>
      <c r="EX277">
        <v>12756.548</v>
      </c>
      <c r="EY277">
        <v>15</v>
      </c>
      <c r="EZ277">
        <v>1651865518.1</v>
      </c>
      <c r="FA277" t="s">
        <v>910</v>
      </c>
      <c r="FB277">
        <v>1651865507.1</v>
      </c>
      <c r="FC277">
        <v>1651865518.1</v>
      </c>
      <c r="FD277">
        <v>8</v>
      </c>
      <c r="FE277">
        <v>0.06</v>
      </c>
      <c r="FF277">
        <v>0</v>
      </c>
      <c r="FG277">
        <v>-0.927</v>
      </c>
      <c r="FH277">
        <v>-0.062</v>
      </c>
      <c r="FI277">
        <v>400</v>
      </c>
      <c r="FJ277">
        <v>11</v>
      </c>
      <c r="FK277">
        <v>0.11</v>
      </c>
      <c r="FL277">
        <v>0.01</v>
      </c>
      <c r="FM277">
        <v>-18.865935</v>
      </c>
      <c r="FN277">
        <v>-34.42779287054408</v>
      </c>
      <c r="FO277">
        <v>3.368209949331395</v>
      </c>
      <c r="FP277">
        <v>-1</v>
      </c>
      <c r="FQ277">
        <v>9.037768249999999</v>
      </c>
      <c r="FR277">
        <v>0.2437126829268287</v>
      </c>
      <c r="FS277">
        <v>0.02430914435839935</v>
      </c>
      <c r="FT277">
        <v>-1</v>
      </c>
      <c r="FU277">
        <v>0</v>
      </c>
      <c r="FV277">
        <v>0</v>
      </c>
      <c r="FW277">
        <v>0</v>
      </c>
      <c r="FX277">
        <v>-1</v>
      </c>
      <c r="FY277">
        <v>0</v>
      </c>
      <c r="FZ277">
        <v>0</v>
      </c>
      <c r="GA277" t="s">
        <v>420</v>
      </c>
      <c r="GB277">
        <v>2.98151</v>
      </c>
      <c r="GC277">
        <v>2.70612</v>
      </c>
      <c r="GD277">
        <v>0.021279</v>
      </c>
      <c r="GE277">
        <v>0.0271713</v>
      </c>
      <c r="GF277">
        <v>0.0885215</v>
      </c>
      <c r="GG277">
        <v>0.0531039</v>
      </c>
      <c r="GH277">
        <v>30925.2</v>
      </c>
      <c r="GI277">
        <v>30806.5</v>
      </c>
      <c r="GJ277">
        <v>29375.7</v>
      </c>
      <c r="GK277">
        <v>29291.5</v>
      </c>
      <c r="GL277">
        <v>35450.2</v>
      </c>
      <c r="GM277">
        <v>36945.1</v>
      </c>
      <c r="GN277">
        <v>41346.3</v>
      </c>
      <c r="GO277">
        <v>41810</v>
      </c>
      <c r="GP277">
        <v>1.96623</v>
      </c>
      <c r="GQ277">
        <v>1.85198</v>
      </c>
      <c r="GR277">
        <v>-0.0051409</v>
      </c>
      <c r="GS277">
        <v>0</v>
      </c>
      <c r="GT277">
        <v>25.0817</v>
      </c>
      <c r="GU277">
        <v>999.9</v>
      </c>
      <c r="GV277">
        <v>29.8</v>
      </c>
      <c r="GW277">
        <v>34.2</v>
      </c>
      <c r="GX277">
        <v>17.9057</v>
      </c>
      <c r="GY277">
        <v>62.4376</v>
      </c>
      <c r="GZ277">
        <v>35.1603</v>
      </c>
      <c r="HA277">
        <v>1</v>
      </c>
      <c r="HB277">
        <v>0.0476524</v>
      </c>
      <c r="HC277">
        <v>1.50746</v>
      </c>
      <c r="HD277">
        <v>20.3297</v>
      </c>
      <c r="HE277">
        <v>5.21549</v>
      </c>
      <c r="HF277">
        <v>12.0099</v>
      </c>
      <c r="HG277">
        <v>4.98875</v>
      </c>
      <c r="HH277">
        <v>3.28845</v>
      </c>
      <c r="HI277">
        <v>1030</v>
      </c>
      <c r="HJ277">
        <v>9726.1</v>
      </c>
      <c r="HK277">
        <v>5139.4</v>
      </c>
      <c r="HL277">
        <v>25.3</v>
      </c>
      <c r="HM277">
        <v>1.86745</v>
      </c>
      <c r="HN277">
        <v>1.86646</v>
      </c>
      <c r="HO277">
        <v>1.866</v>
      </c>
      <c r="HP277">
        <v>1.86584</v>
      </c>
      <c r="HQ277">
        <v>1.86768</v>
      </c>
      <c r="HR277">
        <v>1.87014</v>
      </c>
      <c r="HS277">
        <v>1.8689</v>
      </c>
      <c r="HT277">
        <v>1.87018</v>
      </c>
      <c r="HU277">
        <v>0</v>
      </c>
      <c r="HV277">
        <v>0</v>
      </c>
      <c r="HW277">
        <v>0</v>
      </c>
      <c r="HX277">
        <v>0</v>
      </c>
      <c r="HY277" t="s">
        <v>421</v>
      </c>
      <c r="HZ277" t="s">
        <v>422</v>
      </c>
      <c r="IA277" t="s">
        <v>423</v>
      </c>
      <c r="IB277" t="s">
        <v>423</v>
      </c>
      <c r="IC277" t="s">
        <v>423</v>
      </c>
      <c r="ID277" t="s">
        <v>423</v>
      </c>
      <c r="IE277">
        <v>0</v>
      </c>
      <c r="IF277">
        <v>100</v>
      </c>
      <c r="IG277">
        <v>100</v>
      </c>
      <c r="IH277">
        <v>-0.32</v>
      </c>
      <c r="II277">
        <v>0.0237</v>
      </c>
      <c r="IJ277">
        <v>-0.1559367209035702</v>
      </c>
      <c r="IK277">
        <v>-0.002077099775823331</v>
      </c>
      <c r="IL277">
        <v>4.593143279902166E-07</v>
      </c>
      <c r="IM277">
        <v>-1.865383991892071E-10</v>
      </c>
      <c r="IN277">
        <v>-0.0607165066849496</v>
      </c>
      <c r="IO277">
        <v>-0.01129461987421345</v>
      </c>
      <c r="IP277">
        <v>0.00116580895745559</v>
      </c>
      <c r="IQ277">
        <v>-1.679085872906199E-05</v>
      </c>
      <c r="IR277">
        <v>2</v>
      </c>
      <c r="IS277">
        <v>2290</v>
      </c>
      <c r="IT277">
        <v>0</v>
      </c>
      <c r="IU277">
        <v>32</v>
      </c>
      <c r="IV277">
        <v>13</v>
      </c>
      <c r="IW277">
        <v>12.8</v>
      </c>
      <c r="IX277">
        <v>0.404053</v>
      </c>
      <c r="IY277">
        <v>2.26685</v>
      </c>
      <c r="IZ277">
        <v>1.39648</v>
      </c>
      <c r="JA277">
        <v>2.35474</v>
      </c>
      <c r="JB277">
        <v>1.49536</v>
      </c>
      <c r="JC277">
        <v>2.33643</v>
      </c>
      <c r="JD277">
        <v>38.0134</v>
      </c>
      <c r="JE277">
        <v>24.0437</v>
      </c>
      <c r="JF277">
        <v>18</v>
      </c>
      <c r="JG277">
        <v>512.48</v>
      </c>
      <c r="JH277">
        <v>425.268</v>
      </c>
      <c r="JI277">
        <v>23.1499</v>
      </c>
      <c r="JJ277">
        <v>27.9455</v>
      </c>
      <c r="JK277">
        <v>30</v>
      </c>
      <c r="JL277">
        <v>27.9768</v>
      </c>
      <c r="JM277">
        <v>27.9238</v>
      </c>
      <c r="JN277">
        <v>8.201129999999999</v>
      </c>
      <c r="JO277">
        <v>44.9415</v>
      </c>
      <c r="JP277">
        <v>0</v>
      </c>
      <c r="JQ277">
        <v>23.1466</v>
      </c>
      <c r="JR277">
        <v>130.809</v>
      </c>
      <c r="JS277">
        <v>9.41146</v>
      </c>
      <c r="JT277">
        <v>100.41</v>
      </c>
      <c r="JU277">
        <v>100.345</v>
      </c>
    </row>
    <row r="278" spans="1:281">
      <c r="A278">
        <v>262</v>
      </c>
      <c r="B278">
        <v>1651866288.5</v>
      </c>
      <c r="C278">
        <v>2067.900000095367</v>
      </c>
      <c r="D278" t="s">
        <v>947</v>
      </c>
      <c r="E278" t="s">
        <v>948</v>
      </c>
      <c r="F278">
        <v>2</v>
      </c>
      <c r="G278" t="s">
        <v>908</v>
      </c>
      <c r="H278" t="s">
        <v>414</v>
      </c>
      <c r="I278">
        <v>1651866287.125</v>
      </c>
      <c r="J278">
        <f>(K278)/1000</f>
        <v>0</v>
      </c>
      <c r="K278">
        <f>IF(CZ278, AN278, AH278)</f>
        <v>0</v>
      </c>
      <c r="L278">
        <f>IF(CZ278, AI278, AG278)</f>
        <v>0</v>
      </c>
      <c r="M278">
        <f>DB278 - IF(AU278&gt;1, L278*CV278*100.0/(AW278*DP278), 0)</f>
        <v>0</v>
      </c>
      <c r="N278">
        <f>((T278-J278/2)*M278-L278)/(T278+J278/2)</f>
        <v>0</v>
      </c>
      <c r="O278">
        <f>N278*(DI278+DJ278)/1000.0</f>
        <v>0</v>
      </c>
      <c r="P278">
        <f>(DB278 - IF(AU278&gt;1, L278*CV278*100.0/(AW278*DP278), 0))*(DI278+DJ278)/1000.0</f>
        <v>0</v>
      </c>
      <c r="Q278">
        <f>2.0/((1/S278-1/R278)+SIGN(S278)*SQRT((1/S278-1/R278)*(1/S278-1/R278) + 4*CW278/((CW278+1)*(CW278+1))*(2*1/S278*1/R278-1/R278*1/R278)))</f>
        <v>0</v>
      </c>
      <c r="R278">
        <f>IF(LEFT(CX278,1)&lt;&gt;"0",IF(LEFT(CX278,1)="1",3.0,CY278),$D$5+$E$5*(DP278*DI278/($K$5*1000))+$F$5*(DP278*DI278/($K$5*1000))*MAX(MIN(CV278,$J$5),$I$5)*MAX(MIN(CV278,$J$5),$I$5)+$G$5*MAX(MIN(CV278,$J$5),$I$5)*(DP278*DI278/($K$5*1000))+$H$5*(DP278*DI278/($K$5*1000))*(DP278*DI278/($K$5*1000)))</f>
        <v>0</v>
      </c>
      <c r="S278">
        <f>J278*(1000-(1000*0.61365*exp(17.502*W278/(240.97+W278))/(DI278+DJ278)+DD278)/2)/(1000*0.61365*exp(17.502*W278/(240.97+W278))/(DI278+DJ278)-DD278)</f>
        <v>0</v>
      </c>
      <c r="T278">
        <f>1/((CW278+1)/(Q278/1.6)+1/(R278/1.37)) + CW278/((CW278+1)/(Q278/1.6) + CW278/(R278/1.37))</f>
        <v>0</v>
      </c>
      <c r="U278">
        <f>(CR278*CU278)</f>
        <v>0</v>
      </c>
      <c r="V278">
        <f>(DK278+(U278+2*0.95*5.67E-8*(((DK278+$B$7)+273)^4-(DK278+273)^4)-44100*J278)/(1.84*29.3*R278+8*0.95*5.67E-8*(DK278+273)^3))</f>
        <v>0</v>
      </c>
      <c r="W278">
        <f>($C$7*DL278+$D$7*DM278+$E$7*V278)</f>
        <v>0</v>
      </c>
      <c r="X278">
        <f>0.61365*exp(17.502*W278/(240.97+W278))</f>
        <v>0</v>
      </c>
      <c r="Y278">
        <f>(Z278/AA278*100)</f>
        <v>0</v>
      </c>
      <c r="Z278">
        <f>DD278*(DI278+DJ278)/1000</f>
        <v>0</v>
      </c>
      <c r="AA278">
        <f>0.61365*exp(17.502*DK278/(240.97+DK278))</f>
        <v>0</v>
      </c>
      <c r="AB278">
        <f>(X278-DD278*(DI278+DJ278)/1000)</f>
        <v>0</v>
      </c>
      <c r="AC278">
        <f>(-J278*44100)</f>
        <v>0</v>
      </c>
      <c r="AD278">
        <f>2*29.3*R278*0.92*(DK278-W278)</f>
        <v>0</v>
      </c>
      <c r="AE278">
        <f>2*0.95*5.67E-8*(((DK278+$B$7)+273)^4-(W278+273)^4)</f>
        <v>0</v>
      </c>
      <c r="AF278">
        <f>U278+AE278+AC278+AD278</f>
        <v>0</v>
      </c>
      <c r="AG278">
        <f>DH278*AU278*(DC278-DB278*(1000-AU278*DE278)/(1000-AU278*DD278))/(100*CV278)</f>
        <v>0</v>
      </c>
      <c r="AH278">
        <f>1000*DH278*AU278*(DD278-DE278)/(100*CV278*(1000-AU278*DD278))</f>
        <v>0</v>
      </c>
      <c r="AI278">
        <f>(AJ278 - AK278 - DI278*1E3/(8.314*(DK278+273.15)) * AM278/DH278 * AL278) * DH278/(100*CV278) * (1000 - DE278)/1000</f>
        <v>0</v>
      </c>
      <c r="AJ278">
        <v>102.2565651864619</v>
      </c>
      <c r="AK278">
        <v>85.85524303030296</v>
      </c>
      <c r="AL278">
        <v>3.039217936602588</v>
      </c>
      <c r="AM278">
        <v>66.38195617057868</v>
      </c>
      <c r="AN278">
        <f>(AP278 - AO278 + DI278*1E3/(8.314*(DK278+273.15)) * AR278/DH278 * AQ278) * DH278/(100*CV278) * 1000/(1000 - AP278)</f>
        <v>0</v>
      </c>
      <c r="AO278">
        <v>9.500185034766867</v>
      </c>
      <c r="AP278">
        <v>18.56248764705882</v>
      </c>
      <c r="AQ278">
        <v>4.201446368033236E-05</v>
      </c>
      <c r="AR278">
        <v>80.47178418790507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MAX(0,($B$13+$C$13*DP278)/(1+$D$13*DP278)*DI278/(DK278+273)*$E$13)</f>
        <v>0</v>
      </c>
      <c r="AX278" t="s">
        <v>417</v>
      </c>
      <c r="AY278" t="s">
        <v>417</v>
      </c>
      <c r="AZ278">
        <v>0</v>
      </c>
      <c r="BA278">
        <v>0</v>
      </c>
      <c r="BB278">
        <f>1-AZ278/BA278</f>
        <v>0</v>
      </c>
      <c r="BC278">
        <v>0</v>
      </c>
      <c r="BD278" t="s">
        <v>417</v>
      </c>
      <c r="BE278" t="s">
        <v>417</v>
      </c>
      <c r="BF278">
        <v>0</v>
      </c>
      <c r="BG278">
        <v>0</v>
      </c>
      <c r="BH278">
        <f>1-BF278/BG278</f>
        <v>0</v>
      </c>
      <c r="BI278">
        <v>0.5</v>
      </c>
      <c r="BJ278">
        <f>CS278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417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BZ278">
        <v>1249</v>
      </c>
      <c r="CA278">
        <v>300</v>
      </c>
      <c r="CB278">
        <v>300</v>
      </c>
      <c r="CC278">
        <v>300</v>
      </c>
      <c r="CD278">
        <v>10442.4</v>
      </c>
      <c r="CE278">
        <v>1239.69</v>
      </c>
      <c r="CF278">
        <v>-0.00735276</v>
      </c>
      <c r="CG278">
        <v>0.07000000000000001</v>
      </c>
      <c r="CH278" t="s">
        <v>417</v>
      </c>
      <c r="CI278" t="s">
        <v>417</v>
      </c>
      <c r="CJ278" t="s">
        <v>417</v>
      </c>
      <c r="CK278" t="s">
        <v>417</v>
      </c>
      <c r="CL278" t="s">
        <v>417</v>
      </c>
      <c r="CM278" t="s">
        <v>417</v>
      </c>
      <c r="CN278" t="s">
        <v>417</v>
      </c>
      <c r="CO278" t="s">
        <v>417</v>
      </c>
      <c r="CP278" t="s">
        <v>417</v>
      </c>
      <c r="CQ278" t="s">
        <v>417</v>
      </c>
      <c r="CR278">
        <f>$B$11*DQ278+$C$11*DR278+$F$11*EC278*(1-EF278)</f>
        <v>0</v>
      </c>
      <c r="CS278">
        <f>CR278*CT278</f>
        <v>0</v>
      </c>
      <c r="CT278">
        <f>($B$11*$D$9+$C$11*$D$9+$F$11*((EP278+EH278)/MAX(EP278+EH278+EQ278, 0.1)*$I$9+EQ278/MAX(EP278+EH278+EQ278, 0.1)*$J$9))/($B$11+$C$11+$F$11)</f>
        <v>0</v>
      </c>
      <c r="CU278">
        <f>($B$11*$K$9+$C$11*$K$9+$F$11*((EP278+EH278)/MAX(EP278+EH278+EQ278, 0.1)*$P$9+EQ278/MAX(EP278+EH278+EQ278, 0.1)*$Q$9))/($B$11+$C$11+$F$11)</f>
        <v>0</v>
      </c>
      <c r="CV278">
        <v>6</v>
      </c>
      <c r="CW278">
        <v>0.5</v>
      </c>
      <c r="CX278" t="s">
        <v>418</v>
      </c>
      <c r="CY278">
        <v>2</v>
      </c>
      <c r="CZ278" t="b">
        <v>1</v>
      </c>
      <c r="DA278">
        <v>1651866287.125</v>
      </c>
      <c r="DB278">
        <v>81.649575</v>
      </c>
      <c r="DC278">
        <v>105.95</v>
      </c>
      <c r="DD278">
        <v>18.566025</v>
      </c>
      <c r="DE278">
        <v>9.447967499999999</v>
      </c>
      <c r="DF278">
        <v>81.972825</v>
      </c>
      <c r="DG278">
        <v>18.5424</v>
      </c>
      <c r="DH278">
        <v>500.06675</v>
      </c>
      <c r="DI278">
        <v>89.916325</v>
      </c>
      <c r="DJ278">
        <v>0.100003775</v>
      </c>
      <c r="DK278">
        <v>25.8468</v>
      </c>
      <c r="DL278">
        <v>24.996975</v>
      </c>
      <c r="DM278">
        <v>999.9</v>
      </c>
      <c r="DN278">
        <v>0</v>
      </c>
      <c r="DO278">
        <v>0</v>
      </c>
      <c r="DP278">
        <v>9996.099999999999</v>
      </c>
      <c r="DQ278">
        <v>0</v>
      </c>
      <c r="DR278">
        <v>3.23193</v>
      </c>
      <c r="DS278">
        <v>-24.300325</v>
      </c>
      <c r="DT278">
        <v>83.194175</v>
      </c>
      <c r="DU278">
        <v>106.9605</v>
      </c>
      <c r="DV278">
        <v>9.118069999999999</v>
      </c>
      <c r="DW278">
        <v>105.95</v>
      </c>
      <c r="DX278">
        <v>9.447967499999999</v>
      </c>
      <c r="DY278">
        <v>1.66939</v>
      </c>
      <c r="DZ278">
        <v>0.84952625</v>
      </c>
      <c r="EA278">
        <v>14.6147</v>
      </c>
      <c r="EB278">
        <v>4.56293</v>
      </c>
      <c r="EC278">
        <v>1500.125</v>
      </c>
      <c r="ED278">
        <v>0.9729904999999999</v>
      </c>
      <c r="EE278">
        <v>0.0270093</v>
      </c>
      <c r="EF278">
        <v>0</v>
      </c>
      <c r="EG278">
        <v>855.0047500000001</v>
      </c>
      <c r="EH278">
        <v>5.00097</v>
      </c>
      <c r="EI278">
        <v>12726.025</v>
      </c>
      <c r="EJ278">
        <v>12492.625</v>
      </c>
      <c r="EK278">
        <v>38.23425</v>
      </c>
      <c r="EL278">
        <v>40.3435</v>
      </c>
      <c r="EM278">
        <v>38.562</v>
      </c>
      <c r="EN278">
        <v>40.5</v>
      </c>
      <c r="EO278">
        <v>39.48425</v>
      </c>
      <c r="EP278">
        <v>1454.74</v>
      </c>
      <c r="EQ278">
        <v>40.38500000000001</v>
      </c>
      <c r="ER278">
        <v>0</v>
      </c>
      <c r="ES278">
        <v>806</v>
      </c>
      <c r="ET278">
        <v>0</v>
      </c>
      <c r="EU278">
        <v>857.0617307692307</v>
      </c>
      <c r="EV278">
        <v>-21.89158975781518</v>
      </c>
      <c r="EW278">
        <v>-255.2136753848401</v>
      </c>
      <c r="EX278">
        <v>12750.10769230769</v>
      </c>
      <c r="EY278">
        <v>15</v>
      </c>
      <c r="EZ278">
        <v>1651865518.1</v>
      </c>
      <c r="FA278" t="s">
        <v>910</v>
      </c>
      <c r="FB278">
        <v>1651865507.1</v>
      </c>
      <c r="FC278">
        <v>1651865518.1</v>
      </c>
      <c r="FD278">
        <v>8</v>
      </c>
      <c r="FE278">
        <v>0.06</v>
      </c>
      <c r="FF278">
        <v>0</v>
      </c>
      <c r="FG278">
        <v>-0.927</v>
      </c>
      <c r="FH278">
        <v>-0.062</v>
      </c>
      <c r="FI278">
        <v>400</v>
      </c>
      <c r="FJ278">
        <v>11</v>
      </c>
      <c r="FK278">
        <v>0.11</v>
      </c>
      <c r="FL278">
        <v>0.01</v>
      </c>
      <c r="FM278">
        <v>-20.5323925</v>
      </c>
      <c r="FN278">
        <v>-28.39304127579736</v>
      </c>
      <c r="FO278">
        <v>2.755809264661426</v>
      </c>
      <c r="FP278">
        <v>-1</v>
      </c>
      <c r="FQ278">
        <v>9.053072500000001</v>
      </c>
      <c r="FR278">
        <v>0.3346788742964381</v>
      </c>
      <c r="FS278">
        <v>0.03335806377399627</v>
      </c>
      <c r="FT278">
        <v>-1</v>
      </c>
      <c r="FU278">
        <v>0</v>
      </c>
      <c r="FV278">
        <v>0</v>
      </c>
      <c r="FW278">
        <v>0</v>
      </c>
      <c r="FX278">
        <v>-1</v>
      </c>
      <c r="FY278">
        <v>0</v>
      </c>
      <c r="FZ278">
        <v>0</v>
      </c>
      <c r="GA278" t="s">
        <v>420</v>
      </c>
      <c r="GB278">
        <v>2.98149</v>
      </c>
      <c r="GC278">
        <v>2.7062</v>
      </c>
      <c r="GD278">
        <v>0.0228406</v>
      </c>
      <c r="GE278">
        <v>0.02886</v>
      </c>
      <c r="GF278">
        <v>0.0884919</v>
      </c>
      <c r="GG278">
        <v>0.0529842</v>
      </c>
      <c r="GH278">
        <v>30875.7</v>
      </c>
      <c r="GI278">
        <v>30752.8</v>
      </c>
      <c r="GJ278">
        <v>29375.5</v>
      </c>
      <c r="GK278">
        <v>29291.2</v>
      </c>
      <c r="GL278">
        <v>35451.4</v>
      </c>
      <c r="GM278">
        <v>36949.4</v>
      </c>
      <c r="GN278">
        <v>41346.3</v>
      </c>
      <c r="GO278">
        <v>41809.6</v>
      </c>
      <c r="GP278">
        <v>1.96618</v>
      </c>
      <c r="GQ278">
        <v>1.85203</v>
      </c>
      <c r="GR278">
        <v>-0.00517815</v>
      </c>
      <c r="GS278">
        <v>0</v>
      </c>
      <c r="GT278">
        <v>25.0826</v>
      </c>
      <c r="GU278">
        <v>999.9</v>
      </c>
      <c r="GV278">
        <v>29.8</v>
      </c>
      <c r="GW278">
        <v>34.2</v>
      </c>
      <c r="GX278">
        <v>17.9061</v>
      </c>
      <c r="GY278">
        <v>62.5976</v>
      </c>
      <c r="GZ278">
        <v>35.0841</v>
      </c>
      <c r="HA278">
        <v>1</v>
      </c>
      <c r="HB278">
        <v>0.0476905</v>
      </c>
      <c r="HC278">
        <v>1.5135</v>
      </c>
      <c r="HD278">
        <v>20.3296</v>
      </c>
      <c r="HE278">
        <v>5.21594</v>
      </c>
      <c r="HF278">
        <v>12.0099</v>
      </c>
      <c r="HG278">
        <v>4.98885</v>
      </c>
      <c r="HH278">
        <v>3.28845</v>
      </c>
      <c r="HI278">
        <v>1030</v>
      </c>
      <c r="HJ278">
        <v>9726.1</v>
      </c>
      <c r="HK278">
        <v>5139.4</v>
      </c>
      <c r="HL278">
        <v>25.3</v>
      </c>
      <c r="HM278">
        <v>1.86747</v>
      </c>
      <c r="HN278">
        <v>1.86646</v>
      </c>
      <c r="HO278">
        <v>1.866</v>
      </c>
      <c r="HP278">
        <v>1.86584</v>
      </c>
      <c r="HQ278">
        <v>1.86768</v>
      </c>
      <c r="HR278">
        <v>1.87015</v>
      </c>
      <c r="HS278">
        <v>1.8689</v>
      </c>
      <c r="HT278">
        <v>1.87018</v>
      </c>
      <c r="HU278">
        <v>0</v>
      </c>
      <c r="HV278">
        <v>0</v>
      </c>
      <c r="HW278">
        <v>0</v>
      </c>
      <c r="HX278">
        <v>0</v>
      </c>
      <c r="HY278" t="s">
        <v>421</v>
      </c>
      <c r="HZ278" t="s">
        <v>422</v>
      </c>
      <c r="IA278" t="s">
        <v>423</v>
      </c>
      <c r="IB278" t="s">
        <v>423</v>
      </c>
      <c r="IC278" t="s">
        <v>423</v>
      </c>
      <c r="ID278" t="s">
        <v>423</v>
      </c>
      <c r="IE278">
        <v>0</v>
      </c>
      <c r="IF278">
        <v>100</v>
      </c>
      <c r="IG278">
        <v>100</v>
      </c>
      <c r="IH278">
        <v>-0.331</v>
      </c>
      <c r="II278">
        <v>0.0236</v>
      </c>
      <c r="IJ278">
        <v>-0.1559367209035702</v>
      </c>
      <c r="IK278">
        <v>-0.002077099775823331</v>
      </c>
      <c r="IL278">
        <v>4.593143279902166E-07</v>
      </c>
      <c r="IM278">
        <v>-1.865383991892071E-10</v>
      </c>
      <c r="IN278">
        <v>-0.0607165066849496</v>
      </c>
      <c r="IO278">
        <v>-0.01129461987421345</v>
      </c>
      <c r="IP278">
        <v>0.00116580895745559</v>
      </c>
      <c r="IQ278">
        <v>-1.679085872906199E-05</v>
      </c>
      <c r="IR278">
        <v>2</v>
      </c>
      <c r="IS278">
        <v>2290</v>
      </c>
      <c r="IT278">
        <v>0</v>
      </c>
      <c r="IU278">
        <v>32</v>
      </c>
      <c r="IV278">
        <v>13</v>
      </c>
      <c r="IW278">
        <v>12.8</v>
      </c>
      <c r="IX278">
        <v>0.418701</v>
      </c>
      <c r="IY278">
        <v>2.27051</v>
      </c>
      <c r="IZ278">
        <v>1.39648</v>
      </c>
      <c r="JA278">
        <v>2.35474</v>
      </c>
      <c r="JB278">
        <v>1.49536</v>
      </c>
      <c r="JC278">
        <v>2.2876</v>
      </c>
      <c r="JD278">
        <v>38.0134</v>
      </c>
      <c r="JE278">
        <v>24.0437</v>
      </c>
      <c r="JF278">
        <v>18</v>
      </c>
      <c r="JG278">
        <v>512.442</v>
      </c>
      <c r="JH278">
        <v>425.293</v>
      </c>
      <c r="JI278">
        <v>23.1486</v>
      </c>
      <c r="JJ278">
        <v>27.9444</v>
      </c>
      <c r="JK278">
        <v>30</v>
      </c>
      <c r="JL278">
        <v>27.9762</v>
      </c>
      <c r="JM278">
        <v>27.923</v>
      </c>
      <c r="JN278">
        <v>8.41822</v>
      </c>
      <c r="JO278">
        <v>44.9415</v>
      </c>
      <c r="JP278">
        <v>0</v>
      </c>
      <c r="JQ278">
        <v>23.1466</v>
      </c>
      <c r="JR278">
        <v>130.809</v>
      </c>
      <c r="JS278">
        <v>9.412990000000001</v>
      </c>
      <c r="JT278">
        <v>100.41</v>
      </c>
      <c r="JU278">
        <v>100.344</v>
      </c>
    </row>
    <row r="279" spans="1:281">
      <c r="A279">
        <v>263</v>
      </c>
      <c r="B279">
        <v>1651866290.5</v>
      </c>
      <c r="C279">
        <v>2069.900000095367</v>
      </c>
      <c r="D279" t="s">
        <v>949</v>
      </c>
      <c r="E279" t="s">
        <v>950</v>
      </c>
      <c r="F279">
        <v>2</v>
      </c>
      <c r="G279" t="s">
        <v>908</v>
      </c>
      <c r="H279" t="s">
        <v>414</v>
      </c>
      <c r="I279">
        <v>1651866289.5</v>
      </c>
      <c r="J279">
        <f>(K279)/1000</f>
        <v>0</v>
      </c>
      <c r="K279">
        <f>IF(CZ279, AN279, AH279)</f>
        <v>0</v>
      </c>
      <c r="L279">
        <f>IF(CZ279, AI279, AG279)</f>
        <v>0</v>
      </c>
      <c r="M279">
        <f>DB279 - IF(AU279&gt;1, L279*CV279*100.0/(AW279*DP279), 0)</f>
        <v>0</v>
      </c>
      <c r="N279">
        <f>((T279-J279/2)*M279-L279)/(T279+J279/2)</f>
        <v>0</v>
      </c>
      <c r="O279">
        <f>N279*(DI279+DJ279)/1000.0</f>
        <v>0</v>
      </c>
      <c r="P279">
        <f>(DB279 - IF(AU279&gt;1, L279*CV279*100.0/(AW279*DP279), 0))*(DI279+DJ279)/1000.0</f>
        <v>0</v>
      </c>
      <c r="Q279">
        <f>2.0/((1/S279-1/R279)+SIGN(S279)*SQRT((1/S279-1/R279)*(1/S279-1/R279) + 4*CW279/((CW279+1)*(CW279+1))*(2*1/S279*1/R279-1/R279*1/R279)))</f>
        <v>0</v>
      </c>
      <c r="R279">
        <f>IF(LEFT(CX279,1)&lt;&gt;"0",IF(LEFT(CX279,1)="1",3.0,CY279),$D$5+$E$5*(DP279*DI279/($K$5*1000))+$F$5*(DP279*DI279/($K$5*1000))*MAX(MIN(CV279,$J$5),$I$5)*MAX(MIN(CV279,$J$5),$I$5)+$G$5*MAX(MIN(CV279,$J$5),$I$5)*(DP279*DI279/($K$5*1000))+$H$5*(DP279*DI279/($K$5*1000))*(DP279*DI279/($K$5*1000)))</f>
        <v>0</v>
      </c>
      <c r="S279">
        <f>J279*(1000-(1000*0.61365*exp(17.502*W279/(240.97+W279))/(DI279+DJ279)+DD279)/2)/(1000*0.61365*exp(17.502*W279/(240.97+W279))/(DI279+DJ279)-DD279)</f>
        <v>0</v>
      </c>
      <c r="T279">
        <f>1/((CW279+1)/(Q279/1.6)+1/(R279/1.37)) + CW279/((CW279+1)/(Q279/1.6) + CW279/(R279/1.37))</f>
        <v>0</v>
      </c>
      <c r="U279">
        <f>(CR279*CU279)</f>
        <v>0</v>
      </c>
      <c r="V279">
        <f>(DK279+(U279+2*0.95*5.67E-8*(((DK279+$B$7)+273)^4-(DK279+273)^4)-44100*J279)/(1.84*29.3*R279+8*0.95*5.67E-8*(DK279+273)^3))</f>
        <v>0</v>
      </c>
      <c r="W279">
        <f>($C$7*DL279+$D$7*DM279+$E$7*V279)</f>
        <v>0</v>
      </c>
      <c r="X279">
        <f>0.61365*exp(17.502*W279/(240.97+W279))</f>
        <v>0</v>
      </c>
      <c r="Y279">
        <f>(Z279/AA279*100)</f>
        <v>0</v>
      </c>
      <c r="Z279">
        <f>DD279*(DI279+DJ279)/1000</f>
        <v>0</v>
      </c>
      <c r="AA279">
        <f>0.61365*exp(17.502*DK279/(240.97+DK279))</f>
        <v>0</v>
      </c>
      <c r="AB279">
        <f>(X279-DD279*(DI279+DJ279)/1000)</f>
        <v>0</v>
      </c>
      <c r="AC279">
        <f>(-J279*44100)</f>
        <v>0</v>
      </c>
      <c r="AD279">
        <f>2*29.3*R279*0.92*(DK279-W279)</f>
        <v>0</v>
      </c>
      <c r="AE279">
        <f>2*0.95*5.67E-8*(((DK279+$B$7)+273)^4-(W279+273)^4)</f>
        <v>0</v>
      </c>
      <c r="AF279">
        <f>U279+AE279+AC279+AD279</f>
        <v>0</v>
      </c>
      <c r="AG279">
        <f>DH279*AU279*(DC279-DB279*(1000-AU279*DE279)/(1000-AU279*DD279))/(100*CV279)</f>
        <v>0</v>
      </c>
      <c r="AH279">
        <f>1000*DH279*AU279*(DD279-DE279)/(100*CV279*(1000-AU279*DD279))</f>
        <v>0</v>
      </c>
      <c r="AI279">
        <f>(AJ279 - AK279 - DI279*1E3/(8.314*(DK279+273.15)) * AM279/DH279 * AL279) * DH279/(100*CV279) * (1000 - DE279)/1000</f>
        <v>0</v>
      </c>
      <c r="AJ279">
        <v>109.0034073522328</v>
      </c>
      <c r="AK279">
        <v>91.99045090909088</v>
      </c>
      <c r="AL279">
        <v>3.057631792425463</v>
      </c>
      <c r="AM279">
        <v>66.38195617057868</v>
      </c>
      <c r="AN279">
        <f>(AP279 - AO279 + DI279*1E3/(8.314*(DK279+273.15)) * AR279/DH279 * AQ279) * DH279/(100*CV279) * 1000/(1000 - AP279)</f>
        <v>0</v>
      </c>
      <c r="AO279">
        <v>9.466654314653482</v>
      </c>
      <c r="AP279">
        <v>18.55199323529412</v>
      </c>
      <c r="AQ279">
        <v>-4.488813548163581E-05</v>
      </c>
      <c r="AR279">
        <v>80.47178418790507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MAX(0,($B$13+$C$13*DP279)/(1+$D$13*DP279)*DI279/(DK279+273)*$E$13)</f>
        <v>0</v>
      </c>
      <c r="AX279" t="s">
        <v>417</v>
      </c>
      <c r="AY279" t="s">
        <v>417</v>
      </c>
      <c r="AZ279">
        <v>0</v>
      </c>
      <c r="BA279">
        <v>0</v>
      </c>
      <c r="BB279">
        <f>1-AZ279/BA279</f>
        <v>0</v>
      </c>
      <c r="BC279">
        <v>0</v>
      </c>
      <c r="BD279" t="s">
        <v>417</v>
      </c>
      <c r="BE279" t="s">
        <v>417</v>
      </c>
      <c r="BF279">
        <v>0</v>
      </c>
      <c r="BG279">
        <v>0</v>
      </c>
      <c r="BH279">
        <f>1-BF279/BG279</f>
        <v>0</v>
      </c>
      <c r="BI279">
        <v>0.5</v>
      </c>
      <c r="BJ279">
        <f>CS279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417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BZ279">
        <v>1249</v>
      </c>
      <c r="CA279">
        <v>300</v>
      </c>
      <c r="CB279">
        <v>300</v>
      </c>
      <c r="CC279">
        <v>300</v>
      </c>
      <c r="CD279">
        <v>10442.4</v>
      </c>
      <c r="CE279">
        <v>1239.69</v>
      </c>
      <c r="CF279">
        <v>-0.00735276</v>
      </c>
      <c r="CG279">
        <v>0.07000000000000001</v>
      </c>
      <c r="CH279" t="s">
        <v>417</v>
      </c>
      <c r="CI279" t="s">
        <v>417</v>
      </c>
      <c r="CJ279" t="s">
        <v>417</v>
      </c>
      <c r="CK279" t="s">
        <v>417</v>
      </c>
      <c r="CL279" t="s">
        <v>417</v>
      </c>
      <c r="CM279" t="s">
        <v>417</v>
      </c>
      <c r="CN279" t="s">
        <v>417</v>
      </c>
      <c r="CO279" t="s">
        <v>417</v>
      </c>
      <c r="CP279" t="s">
        <v>417</v>
      </c>
      <c r="CQ279" t="s">
        <v>417</v>
      </c>
      <c r="CR279">
        <f>$B$11*DQ279+$C$11*DR279+$F$11*EC279*(1-EF279)</f>
        <v>0</v>
      </c>
      <c r="CS279">
        <f>CR279*CT279</f>
        <v>0</v>
      </c>
      <c r="CT279">
        <f>($B$11*$D$9+$C$11*$D$9+$F$11*((EP279+EH279)/MAX(EP279+EH279+EQ279, 0.1)*$I$9+EQ279/MAX(EP279+EH279+EQ279, 0.1)*$J$9))/($B$11+$C$11+$F$11)</f>
        <v>0</v>
      </c>
      <c r="CU279">
        <f>($B$11*$K$9+$C$11*$K$9+$F$11*((EP279+EH279)/MAX(EP279+EH279+EQ279, 0.1)*$P$9+EQ279/MAX(EP279+EH279+EQ279, 0.1)*$Q$9))/($B$11+$C$11+$F$11)</f>
        <v>0</v>
      </c>
      <c r="CV279">
        <v>6</v>
      </c>
      <c r="CW279">
        <v>0.5</v>
      </c>
      <c r="CX279" t="s">
        <v>418</v>
      </c>
      <c r="CY279">
        <v>2</v>
      </c>
      <c r="CZ279" t="b">
        <v>1</v>
      </c>
      <c r="DA279">
        <v>1651866289.5</v>
      </c>
      <c r="DB279">
        <v>88.77243333333335</v>
      </c>
      <c r="DC279">
        <v>113.888</v>
      </c>
      <c r="DD279">
        <v>18.55523333333333</v>
      </c>
      <c r="DE279">
        <v>9.427096666666666</v>
      </c>
      <c r="DF279">
        <v>89.10993333333333</v>
      </c>
      <c r="DG279">
        <v>18.53173333333333</v>
      </c>
      <c r="DH279">
        <v>500.0783333333334</v>
      </c>
      <c r="DI279">
        <v>89.9153</v>
      </c>
      <c r="DJ279">
        <v>0.1001506666666667</v>
      </c>
      <c r="DK279">
        <v>25.848</v>
      </c>
      <c r="DL279">
        <v>24.99976666666667</v>
      </c>
      <c r="DM279">
        <v>999.9</v>
      </c>
      <c r="DN279">
        <v>0</v>
      </c>
      <c r="DO279">
        <v>0</v>
      </c>
      <c r="DP279">
        <v>9987.706666666667</v>
      </c>
      <c r="DQ279">
        <v>0</v>
      </c>
      <c r="DR279">
        <v>3.22678</v>
      </c>
      <c r="DS279">
        <v>-25.1157</v>
      </c>
      <c r="DT279">
        <v>90.45073333333335</v>
      </c>
      <c r="DU279">
        <v>114.972</v>
      </c>
      <c r="DV279">
        <v>9.128123333333335</v>
      </c>
      <c r="DW279">
        <v>113.888</v>
      </c>
      <c r="DX279">
        <v>9.427096666666666</v>
      </c>
      <c r="DY279">
        <v>1.668396666666667</v>
      </c>
      <c r="DZ279">
        <v>0.8476403333333334</v>
      </c>
      <c r="EA279">
        <v>14.60546666666667</v>
      </c>
      <c r="EB279">
        <v>4.531173333333333</v>
      </c>
      <c r="EC279">
        <v>1500.083333333333</v>
      </c>
      <c r="ED279">
        <v>0.9729930000000001</v>
      </c>
      <c r="EE279">
        <v>0.0270069</v>
      </c>
      <c r="EF279">
        <v>0</v>
      </c>
      <c r="EG279">
        <v>854.4340000000001</v>
      </c>
      <c r="EH279">
        <v>5.00097</v>
      </c>
      <c r="EI279">
        <v>12716.66666666667</v>
      </c>
      <c r="EJ279">
        <v>12492.3</v>
      </c>
      <c r="EK279">
        <v>38.29133333333333</v>
      </c>
      <c r="EL279">
        <v>40.375</v>
      </c>
      <c r="EM279">
        <v>38.604</v>
      </c>
      <c r="EN279">
        <v>40.562</v>
      </c>
      <c r="EO279">
        <v>39.562</v>
      </c>
      <c r="EP279">
        <v>1454.703333333333</v>
      </c>
      <c r="EQ279">
        <v>40.38</v>
      </c>
      <c r="ER279">
        <v>0</v>
      </c>
      <c r="ES279">
        <v>807.7999999523163</v>
      </c>
      <c r="ET279">
        <v>0</v>
      </c>
      <c r="EU279">
        <v>856.3322000000001</v>
      </c>
      <c r="EV279">
        <v>-20.46261541150558</v>
      </c>
      <c r="EW279">
        <v>-242.3384618928384</v>
      </c>
      <c r="EX279">
        <v>12741.348</v>
      </c>
      <c r="EY279">
        <v>15</v>
      </c>
      <c r="EZ279">
        <v>1651865518.1</v>
      </c>
      <c r="FA279" t="s">
        <v>910</v>
      </c>
      <c r="FB279">
        <v>1651865507.1</v>
      </c>
      <c r="FC279">
        <v>1651865518.1</v>
      </c>
      <c r="FD279">
        <v>8</v>
      </c>
      <c r="FE279">
        <v>0.06</v>
      </c>
      <c r="FF279">
        <v>0</v>
      </c>
      <c r="FG279">
        <v>-0.927</v>
      </c>
      <c r="FH279">
        <v>-0.062</v>
      </c>
      <c r="FI279">
        <v>400</v>
      </c>
      <c r="FJ279">
        <v>11</v>
      </c>
      <c r="FK279">
        <v>0.11</v>
      </c>
      <c r="FL279">
        <v>0.01</v>
      </c>
      <c r="FM279">
        <v>-21.021125</v>
      </c>
      <c r="FN279">
        <v>-26.95765553470916</v>
      </c>
      <c r="FO279">
        <v>2.610555171965343</v>
      </c>
      <c r="FP279">
        <v>-1</v>
      </c>
      <c r="FQ279">
        <v>9.058915750000001</v>
      </c>
      <c r="FR279">
        <v>0.362262101313323</v>
      </c>
      <c r="FS279">
        <v>0.03594053574221592</v>
      </c>
      <c r="FT279">
        <v>-1</v>
      </c>
      <c r="FU279">
        <v>0</v>
      </c>
      <c r="FV279">
        <v>0</v>
      </c>
      <c r="FW279">
        <v>0</v>
      </c>
      <c r="FX279">
        <v>-1</v>
      </c>
      <c r="FY279">
        <v>0</v>
      </c>
      <c r="FZ279">
        <v>0</v>
      </c>
      <c r="GA279" t="s">
        <v>420</v>
      </c>
      <c r="GB279">
        <v>2.9814</v>
      </c>
      <c r="GC279">
        <v>2.70618</v>
      </c>
      <c r="GD279">
        <v>0.024411</v>
      </c>
      <c r="GE279">
        <v>0.0305281</v>
      </c>
      <c r="GF279">
        <v>0.08845500000000001</v>
      </c>
      <c r="GG279">
        <v>0.052958</v>
      </c>
      <c r="GH279">
        <v>30825.8</v>
      </c>
      <c r="GI279">
        <v>30699.6</v>
      </c>
      <c r="GJ279">
        <v>29375.3</v>
      </c>
      <c r="GK279">
        <v>29290.9</v>
      </c>
      <c r="GL279">
        <v>35452.8</v>
      </c>
      <c r="GM279">
        <v>36950.2</v>
      </c>
      <c r="GN279">
        <v>41346.2</v>
      </c>
      <c r="GO279">
        <v>41809.2</v>
      </c>
      <c r="GP279">
        <v>1.96637</v>
      </c>
      <c r="GQ279">
        <v>1.85195</v>
      </c>
      <c r="GR279">
        <v>-0.00501052</v>
      </c>
      <c r="GS279">
        <v>0</v>
      </c>
      <c r="GT279">
        <v>25.0827</v>
      </c>
      <c r="GU279">
        <v>999.9</v>
      </c>
      <c r="GV279">
        <v>29.8</v>
      </c>
      <c r="GW279">
        <v>34.2</v>
      </c>
      <c r="GX279">
        <v>17.9064</v>
      </c>
      <c r="GY279">
        <v>62.5476</v>
      </c>
      <c r="GZ279">
        <v>35.4567</v>
      </c>
      <c r="HA279">
        <v>1</v>
      </c>
      <c r="HB279">
        <v>0.0476829</v>
      </c>
      <c r="HC279">
        <v>1.50131</v>
      </c>
      <c r="HD279">
        <v>20.3297</v>
      </c>
      <c r="HE279">
        <v>5.21594</v>
      </c>
      <c r="HF279">
        <v>12.0099</v>
      </c>
      <c r="HG279">
        <v>4.98875</v>
      </c>
      <c r="HH279">
        <v>3.28848</v>
      </c>
      <c r="HI279">
        <v>1030</v>
      </c>
      <c r="HJ279">
        <v>9726.1</v>
      </c>
      <c r="HK279">
        <v>5139.4</v>
      </c>
      <c r="HL279">
        <v>25.3</v>
      </c>
      <c r="HM279">
        <v>1.86746</v>
      </c>
      <c r="HN279">
        <v>1.86646</v>
      </c>
      <c r="HO279">
        <v>1.866</v>
      </c>
      <c r="HP279">
        <v>1.86584</v>
      </c>
      <c r="HQ279">
        <v>1.86768</v>
      </c>
      <c r="HR279">
        <v>1.87014</v>
      </c>
      <c r="HS279">
        <v>1.8689</v>
      </c>
      <c r="HT279">
        <v>1.87018</v>
      </c>
      <c r="HU279">
        <v>0</v>
      </c>
      <c r="HV279">
        <v>0</v>
      </c>
      <c r="HW279">
        <v>0</v>
      </c>
      <c r="HX279">
        <v>0</v>
      </c>
      <c r="HY279" t="s">
        <v>421</v>
      </c>
      <c r="HZ279" t="s">
        <v>422</v>
      </c>
      <c r="IA279" t="s">
        <v>423</v>
      </c>
      <c r="IB279" t="s">
        <v>423</v>
      </c>
      <c r="IC279" t="s">
        <v>423</v>
      </c>
      <c r="ID279" t="s">
        <v>423</v>
      </c>
      <c r="IE279">
        <v>0</v>
      </c>
      <c r="IF279">
        <v>100</v>
      </c>
      <c r="IG279">
        <v>100</v>
      </c>
      <c r="IH279">
        <v>-0.344</v>
      </c>
      <c r="II279">
        <v>0.0233</v>
      </c>
      <c r="IJ279">
        <v>-0.1559367209035702</v>
      </c>
      <c r="IK279">
        <v>-0.002077099775823331</v>
      </c>
      <c r="IL279">
        <v>4.593143279902166E-07</v>
      </c>
      <c r="IM279">
        <v>-1.865383991892071E-10</v>
      </c>
      <c r="IN279">
        <v>-0.0607165066849496</v>
      </c>
      <c r="IO279">
        <v>-0.01129461987421345</v>
      </c>
      <c r="IP279">
        <v>0.00116580895745559</v>
      </c>
      <c r="IQ279">
        <v>-1.679085872906199E-05</v>
      </c>
      <c r="IR279">
        <v>2</v>
      </c>
      <c r="IS279">
        <v>2290</v>
      </c>
      <c r="IT279">
        <v>0</v>
      </c>
      <c r="IU279">
        <v>32</v>
      </c>
      <c r="IV279">
        <v>13.1</v>
      </c>
      <c r="IW279">
        <v>12.9</v>
      </c>
      <c r="IX279">
        <v>0.432129</v>
      </c>
      <c r="IY279">
        <v>2.26196</v>
      </c>
      <c r="IZ279">
        <v>1.39648</v>
      </c>
      <c r="JA279">
        <v>2.35474</v>
      </c>
      <c r="JB279">
        <v>1.49536</v>
      </c>
      <c r="JC279">
        <v>2.34131</v>
      </c>
      <c r="JD279">
        <v>38.0134</v>
      </c>
      <c r="JE279">
        <v>24.0437</v>
      </c>
      <c r="JF279">
        <v>18</v>
      </c>
      <c r="JG279">
        <v>512.562</v>
      </c>
      <c r="JH279">
        <v>425.24</v>
      </c>
      <c r="JI279">
        <v>23.1466</v>
      </c>
      <c r="JJ279">
        <v>27.9438</v>
      </c>
      <c r="JK279">
        <v>30</v>
      </c>
      <c r="JL279">
        <v>27.9751</v>
      </c>
      <c r="JM279">
        <v>27.9219</v>
      </c>
      <c r="JN279">
        <v>8.693289999999999</v>
      </c>
      <c r="JO279">
        <v>44.9415</v>
      </c>
      <c r="JP279">
        <v>0</v>
      </c>
      <c r="JQ279">
        <v>23.1587</v>
      </c>
      <c r="JR279">
        <v>137.567</v>
      </c>
      <c r="JS279">
        <v>9.41719</v>
      </c>
      <c r="JT279">
        <v>100.41</v>
      </c>
      <c r="JU279">
        <v>100.343</v>
      </c>
    </row>
    <row r="280" spans="1:281">
      <c r="A280">
        <v>264</v>
      </c>
      <c r="B280">
        <v>1651866292.5</v>
      </c>
      <c r="C280">
        <v>2071.900000095367</v>
      </c>
      <c r="D280" t="s">
        <v>951</v>
      </c>
      <c r="E280" t="s">
        <v>952</v>
      </c>
      <c r="F280">
        <v>2</v>
      </c>
      <c r="G280" t="s">
        <v>908</v>
      </c>
      <c r="H280" t="s">
        <v>414</v>
      </c>
      <c r="I280">
        <v>1651866291.125</v>
      </c>
      <c r="J280">
        <f>(K280)/1000</f>
        <v>0</v>
      </c>
      <c r="K280">
        <f>IF(CZ280, AN280, AH280)</f>
        <v>0</v>
      </c>
      <c r="L280">
        <f>IF(CZ280, AI280, AG280)</f>
        <v>0</v>
      </c>
      <c r="M280">
        <f>DB280 - IF(AU280&gt;1, L280*CV280*100.0/(AW280*DP280), 0)</f>
        <v>0</v>
      </c>
      <c r="N280">
        <f>((T280-J280/2)*M280-L280)/(T280+J280/2)</f>
        <v>0</v>
      </c>
      <c r="O280">
        <f>N280*(DI280+DJ280)/1000.0</f>
        <v>0</v>
      </c>
      <c r="P280">
        <f>(DB280 - IF(AU280&gt;1, L280*CV280*100.0/(AW280*DP280), 0))*(DI280+DJ280)/1000.0</f>
        <v>0</v>
      </c>
      <c r="Q280">
        <f>2.0/((1/S280-1/R280)+SIGN(S280)*SQRT((1/S280-1/R280)*(1/S280-1/R280) + 4*CW280/((CW280+1)*(CW280+1))*(2*1/S280*1/R280-1/R280*1/R280)))</f>
        <v>0</v>
      </c>
      <c r="R280">
        <f>IF(LEFT(CX280,1)&lt;&gt;"0",IF(LEFT(CX280,1)="1",3.0,CY280),$D$5+$E$5*(DP280*DI280/($K$5*1000))+$F$5*(DP280*DI280/($K$5*1000))*MAX(MIN(CV280,$J$5),$I$5)*MAX(MIN(CV280,$J$5),$I$5)+$G$5*MAX(MIN(CV280,$J$5),$I$5)*(DP280*DI280/($K$5*1000))+$H$5*(DP280*DI280/($K$5*1000))*(DP280*DI280/($K$5*1000)))</f>
        <v>0</v>
      </c>
      <c r="S280">
        <f>J280*(1000-(1000*0.61365*exp(17.502*W280/(240.97+W280))/(DI280+DJ280)+DD280)/2)/(1000*0.61365*exp(17.502*W280/(240.97+W280))/(DI280+DJ280)-DD280)</f>
        <v>0</v>
      </c>
      <c r="T280">
        <f>1/((CW280+1)/(Q280/1.6)+1/(R280/1.37)) + CW280/((CW280+1)/(Q280/1.6) + CW280/(R280/1.37))</f>
        <v>0</v>
      </c>
      <c r="U280">
        <f>(CR280*CU280)</f>
        <v>0</v>
      </c>
      <c r="V280">
        <f>(DK280+(U280+2*0.95*5.67E-8*(((DK280+$B$7)+273)^4-(DK280+273)^4)-44100*J280)/(1.84*29.3*R280+8*0.95*5.67E-8*(DK280+273)^3))</f>
        <v>0</v>
      </c>
      <c r="W280">
        <f>($C$7*DL280+$D$7*DM280+$E$7*V280)</f>
        <v>0</v>
      </c>
      <c r="X280">
        <f>0.61365*exp(17.502*W280/(240.97+W280))</f>
        <v>0</v>
      </c>
      <c r="Y280">
        <f>(Z280/AA280*100)</f>
        <v>0</v>
      </c>
      <c r="Z280">
        <f>DD280*(DI280+DJ280)/1000</f>
        <v>0</v>
      </c>
      <c r="AA280">
        <f>0.61365*exp(17.502*DK280/(240.97+DK280))</f>
        <v>0</v>
      </c>
      <c r="AB280">
        <f>(X280-DD280*(DI280+DJ280)/1000)</f>
        <v>0</v>
      </c>
      <c r="AC280">
        <f>(-J280*44100)</f>
        <v>0</v>
      </c>
      <c r="AD280">
        <f>2*29.3*R280*0.92*(DK280-W280)</f>
        <v>0</v>
      </c>
      <c r="AE280">
        <f>2*0.95*5.67E-8*(((DK280+$B$7)+273)^4-(W280+273)^4)</f>
        <v>0</v>
      </c>
      <c r="AF280">
        <f>U280+AE280+AC280+AD280</f>
        <v>0</v>
      </c>
      <c r="AG280">
        <f>DH280*AU280*(DC280-DB280*(1000-AU280*DE280)/(1000-AU280*DD280))/(100*CV280)</f>
        <v>0</v>
      </c>
      <c r="AH280">
        <f>1000*DH280*AU280*(DD280-DE280)/(100*CV280*(1000-AU280*DD280))</f>
        <v>0</v>
      </c>
      <c r="AI280">
        <f>(AJ280 - AK280 - DI280*1E3/(8.314*(DK280+273.15)) * AM280/DH280 * AL280) * DH280/(100*CV280) * (1000 - DE280)/1000</f>
        <v>0</v>
      </c>
      <c r="AJ280">
        <v>115.7485571918447</v>
      </c>
      <c r="AK280">
        <v>98.17499272727269</v>
      </c>
      <c r="AL280">
        <v>3.083024996257176</v>
      </c>
      <c r="AM280">
        <v>66.38195617057868</v>
      </c>
      <c r="AN280">
        <f>(AP280 - AO280 + DI280*1E3/(8.314*(DK280+273.15)) * AR280/DH280 * AQ280) * DH280/(100*CV280) * 1000/(1000 - AP280)</f>
        <v>0</v>
      </c>
      <c r="AO280">
        <v>9.436553334232078</v>
      </c>
      <c r="AP280">
        <v>18.54279470588235</v>
      </c>
      <c r="AQ280">
        <v>-0.000179992769558954</v>
      </c>
      <c r="AR280">
        <v>80.47178418790507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MAX(0,($B$13+$C$13*DP280)/(1+$D$13*DP280)*DI280/(DK280+273)*$E$13)</f>
        <v>0</v>
      </c>
      <c r="AX280" t="s">
        <v>417</v>
      </c>
      <c r="AY280" t="s">
        <v>417</v>
      </c>
      <c r="AZ280">
        <v>0</v>
      </c>
      <c r="BA280">
        <v>0</v>
      </c>
      <c r="BB280">
        <f>1-AZ280/BA280</f>
        <v>0</v>
      </c>
      <c r="BC280">
        <v>0</v>
      </c>
      <c r="BD280" t="s">
        <v>417</v>
      </c>
      <c r="BE280" t="s">
        <v>417</v>
      </c>
      <c r="BF280">
        <v>0</v>
      </c>
      <c r="BG280">
        <v>0</v>
      </c>
      <c r="BH280">
        <f>1-BF280/BG280</f>
        <v>0</v>
      </c>
      <c r="BI280">
        <v>0.5</v>
      </c>
      <c r="BJ280">
        <f>CS280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417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BZ280">
        <v>1249</v>
      </c>
      <c r="CA280">
        <v>300</v>
      </c>
      <c r="CB280">
        <v>300</v>
      </c>
      <c r="CC280">
        <v>300</v>
      </c>
      <c r="CD280">
        <v>10442.4</v>
      </c>
      <c r="CE280">
        <v>1239.69</v>
      </c>
      <c r="CF280">
        <v>-0.00735276</v>
      </c>
      <c r="CG280">
        <v>0.07000000000000001</v>
      </c>
      <c r="CH280" t="s">
        <v>417</v>
      </c>
      <c r="CI280" t="s">
        <v>417</v>
      </c>
      <c r="CJ280" t="s">
        <v>417</v>
      </c>
      <c r="CK280" t="s">
        <v>417</v>
      </c>
      <c r="CL280" t="s">
        <v>417</v>
      </c>
      <c r="CM280" t="s">
        <v>417</v>
      </c>
      <c r="CN280" t="s">
        <v>417</v>
      </c>
      <c r="CO280" t="s">
        <v>417</v>
      </c>
      <c r="CP280" t="s">
        <v>417</v>
      </c>
      <c r="CQ280" t="s">
        <v>417</v>
      </c>
      <c r="CR280">
        <f>$B$11*DQ280+$C$11*DR280+$F$11*EC280*(1-EF280)</f>
        <v>0</v>
      </c>
      <c r="CS280">
        <f>CR280*CT280</f>
        <v>0</v>
      </c>
      <c r="CT280">
        <f>($B$11*$D$9+$C$11*$D$9+$F$11*((EP280+EH280)/MAX(EP280+EH280+EQ280, 0.1)*$I$9+EQ280/MAX(EP280+EH280+EQ280, 0.1)*$J$9))/($B$11+$C$11+$F$11)</f>
        <v>0</v>
      </c>
      <c r="CU280">
        <f>($B$11*$K$9+$C$11*$K$9+$F$11*((EP280+EH280)/MAX(EP280+EH280+EQ280, 0.1)*$P$9+EQ280/MAX(EP280+EH280+EQ280, 0.1)*$Q$9))/($B$11+$C$11+$F$11)</f>
        <v>0</v>
      </c>
      <c r="CV280">
        <v>6</v>
      </c>
      <c r="CW280">
        <v>0.5</v>
      </c>
      <c r="CX280" t="s">
        <v>418</v>
      </c>
      <c r="CY280">
        <v>2</v>
      </c>
      <c r="CZ280" t="b">
        <v>1</v>
      </c>
      <c r="DA280">
        <v>1651866291.125</v>
      </c>
      <c r="DB280">
        <v>93.700425</v>
      </c>
      <c r="DC280">
        <v>119.1895</v>
      </c>
      <c r="DD280">
        <v>18.5472</v>
      </c>
      <c r="DE280">
        <v>9.423885</v>
      </c>
      <c r="DF280">
        <v>94.047775</v>
      </c>
      <c r="DG280">
        <v>18.52385</v>
      </c>
      <c r="DH280">
        <v>499.99625</v>
      </c>
      <c r="DI280">
        <v>89.91637499999999</v>
      </c>
      <c r="DJ280">
        <v>0.100003725</v>
      </c>
      <c r="DK280">
        <v>25.84735</v>
      </c>
      <c r="DL280">
        <v>25.000675</v>
      </c>
      <c r="DM280">
        <v>999.9</v>
      </c>
      <c r="DN280">
        <v>0</v>
      </c>
      <c r="DO280">
        <v>0</v>
      </c>
      <c r="DP280">
        <v>9989.219999999999</v>
      </c>
      <c r="DQ280">
        <v>0</v>
      </c>
      <c r="DR280">
        <v>3.2185825</v>
      </c>
      <c r="DS280">
        <v>-25.489</v>
      </c>
      <c r="DT280">
        <v>95.471125</v>
      </c>
      <c r="DU280">
        <v>120.3235</v>
      </c>
      <c r="DV280">
        <v>9.123324999999999</v>
      </c>
      <c r="DW280">
        <v>119.1895</v>
      </c>
      <c r="DX280">
        <v>9.423885</v>
      </c>
      <c r="DY280">
        <v>1.6676975</v>
      </c>
      <c r="DZ280">
        <v>0.84736125</v>
      </c>
      <c r="EA280">
        <v>14.598975</v>
      </c>
      <c r="EB280">
        <v>4.52647</v>
      </c>
      <c r="EC280">
        <v>1499.9825</v>
      </c>
      <c r="ED280">
        <v>0.97299175</v>
      </c>
      <c r="EE280">
        <v>0.027008225</v>
      </c>
      <c r="EF280">
        <v>0</v>
      </c>
      <c r="EG280">
        <v>853.9327499999999</v>
      </c>
      <c r="EH280">
        <v>5.00097</v>
      </c>
      <c r="EI280">
        <v>12710.15</v>
      </c>
      <c r="EJ280">
        <v>12491.4</v>
      </c>
      <c r="EK280">
        <v>38.312</v>
      </c>
      <c r="EL280">
        <v>40.42149999999999</v>
      </c>
      <c r="EM280">
        <v>38.625</v>
      </c>
      <c r="EN280">
        <v>40.60925</v>
      </c>
      <c r="EO280">
        <v>39.562</v>
      </c>
      <c r="EP280">
        <v>1454.6025</v>
      </c>
      <c r="EQ280">
        <v>40.38</v>
      </c>
      <c r="ER280">
        <v>0</v>
      </c>
      <c r="ES280">
        <v>810.2000000476837</v>
      </c>
      <c r="ET280">
        <v>0</v>
      </c>
      <c r="EU280">
        <v>855.52932</v>
      </c>
      <c r="EV280">
        <v>-19.17284613127553</v>
      </c>
      <c r="EW280">
        <v>-233.0076919543876</v>
      </c>
      <c r="EX280">
        <v>12731.676</v>
      </c>
      <c r="EY280">
        <v>15</v>
      </c>
      <c r="EZ280">
        <v>1651865518.1</v>
      </c>
      <c r="FA280" t="s">
        <v>910</v>
      </c>
      <c r="FB280">
        <v>1651865507.1</v>
      </c>
      <c r="FC280">
        <v>1651865518.1</v>
      </c>
      <c r="FD280">
        <v>8</v>
      </c>
      <c r="FE280">
        <v>0.06</v>
      </c>
      <c r="FF280">
        <v>0</v>
      </c>
      <c r="FG280">
        <v>-0.927</v>
      </c>
      <c r="FH280">
        <v>-0.062</v>
      </c>
      <c r="FI280">
        <v>400</v>
      </c>
      <c r="FJ280">
        <v>11</v>
      </c>
      <c r="FK280">
        <v>0.11</v>
      </c>
      <c r="FL280">
        <v>0.01</v>
      </c>
      <c r="FM280">
        <v>-22.3211575</v>
      </c>
      <c r="FN280">
        <v>-23.65538048780482</v>
      </c>
      <c r="FO280">
        <v>2.284754327043446</v>
      </c>
      <c r="FP280">
        <v>-1</v>
      </c>
      <c r="FQ280">
        <v>9.075279499999999</v>
      </c>
      <c r="FR280">
        <v>0.3758318949343373</v>
      </c>
      <c r="FS280">
        <v>0.03715142607962722</v>
      </c>
      <c r="FT280">
        <v>-1</v>
      </c>
      <c r="FU280">
        <v>0</v>
      </c>
      <c r="FV280">
        <v>0</v>
      </c>
      <c r="FW280">
        <v>0</v>
      </c>
      <c r="FX280">
        <v>-1</v>
      </c>
      <c r="FY280">
        <v>0</v>
      </c>
      <c r="FZ280">
        <v>0</v>
      </c>
      <c r="GA280" t="s">
        <v>420</v>
      </c>
      <c r="GB280">
        <v>2.9811</v>
      </c>
      <c r="GC280">
        <v>2.70595</v>
      </c>
      <c r="GD280">
        <v>0.0259768</v>
      </c>
      <c r="GE280">
        <v>0.0321212</v>
      </c>
      <c r="GF280">
        <v>0.088437</v>
      </c>
      <c r="GG280">
        <v>0.052949</v>
      </c>
      <c r="GH280">
        <v>30776.4</v>
      </c>
      <c r="GI280">
        <v>30649</v>
      </c>
      <c r="GJ280">
        <v>29375.3</v>
      </c>
      <c r="GK280">
        <v>29290.7</v>
      </c>
      <c r="GL280">
        <v>35453.2</v>
      </c>
      <c r="GM280">
        <v>36950.4</v>
      </c>
      <c r="GN280">
        <v>41345.9</v>
      </c>
      <c r="GO280">
        <v>41809.1</v>
      </c>
      <c r="GP280">
        <v>1.96612</v>
      </c>
      <c r="GQ280">
        <v>1.85212</v>
      </c>
      <c r="GR280">
        <v>-0.00504777</v>
      </c>
      <c r="GS280">
        <v>0</v>
      </c>
      <c r="GT280">
        <v>25.0838</v>
      </c>
      <c r="GU280">
        <v>999.9</v>
      </c>
      <c r="GV280">
        <v>29.8</v>
      </c>
      <c r="GW280">
        <v>34.2</v>
      </c>
      <c r="GX280">
        <v>17.9089</v>
      </c>
      <c r="GY280">
        <v>62.6476</v>
      </c>
      <c r="GZ280">
        <v>35.5929</v>
      </c>
      <c r="HA280">
        <v>1</v>
      </c>
      <c r="HB280">
        <v>0.0476601</v>
      </c>
      <c r="HC280">
        <v>1.46689</v>
      </c>
      <c r="HD280">
        <v>20.3295</v>
      </c>
      <c r="HE280">
        <v>5.2134</v>
      </c>
      <c r="HF280">
        <v>12.0099</v>
      </c>
      <c r="HG280">
        <v>4.988</v>
      </c>
      <c r="HH280">
        <v>3.28813</v>
      </c>
      <c r="HI280">
        <v>1030</v>
      </c>
      <c r="HJ280">
        <v>9726.1</v>
      </c>
      <c r="HK280">
        <v>5139.4</v>
      </c>
      <c r="HL280">
        <v>25.3</v>
      </c>
      <c r="HM280">
        <v>1.86744</v>
      </c>
      <c r="HN280">
        <v>1.86646</v>
      </c>
      <c r="HO280">
        <v>1.866</v>
      </c>
      <c r="HP280">
        <v>1.86584</v>
      </c>
      <c r="HQ280">
        <v>1.86768</v>
      </c>
      <c r="HR280">
        <v>1.87014</v>
      </c>
      <c r="HS280">
        <v>1.8689</v>
      </c>
      <c r="HT280">
        <v>1.87019</v>
      </c>
      <c r="HU280">
        <v>0</v>
      </c>
      <c r="HV280">
        <v>0</v>
      </c>
      <c r="HW280">
        <v>0</v>
      </c>
      <c r="HX280">
        <v>0</v>
      </c>
      <c r="HY280" t="s">
        <v>421</v>
      </c>
      <c r="HZ280" t="s">
        <v>422</v>
      </c>
      <c r="IA280" t="s">
        <v>423</v>
      </c>
      <c r="IB280" t="s">
        <v>423</v>
      </c>
      <c r="IC280" t="s">
        <v>423</v>
      </c>
      <c r="ID280" t="s">
        <v>423</v>
      </c>
      <c r="IE280">
        <v>0</v>
      </c>
      <c r="IF280">
        <v>100</v>
      </c>
      <c r="IG280">
        <v>100</v>
      </c>
      <c r="IH280">
        <v>-0.356</v>
      </c>
      <c r="II280">
        <v>0.0233</v>
      </c>
      <c r="IJ280">
        <v>-0.1559367209035702</v>
      </c>
      <c r="IK280">
        <v>-0.002077099775823331</v>
      </c>
      <c r="IL280">
        <v>4.593143279902166E-07</v>
      </c>
      <c r="IM280">
        <v>-1.865383991892071E-10</v>
      </c>
      <c r="IN280">
        <v>-0.0607165066849496</v>
      </c>
      <c r="IO280">
        <v>-0.01129461987421345</v>
      </c>
      <c r="IP280">
        <v>0.00116580895745559</v>
      </c>
      <c r="IQ280">
        <v>-1.679085872906199E-05</v>
      </c>
      <c r="IR280">
        <v>2</v>
      </c>
      <c r="IS280">
        <v>2290</v>
      </c>
      <c r="IT280">
        <v>0</v>
      </c>
      <c r="IU280">
        <v>32</v>
      </c>
      <c r="IV280">
        <v>13.1</v>
      </c>
      <c r="IW280">
        <v>12.9</v>
      </c>
      <c r="IX280">
        <v>0.446777</v>
      </c>
      <c r="IY280">
        <v>2.25708</v>
      </c>
      <c r="IZ280">
        <v>1.39648</v>
      </c>
      <c r="JA280">
        <v>2.35474</v>
      </c>
      <c r="JB280">
        <v>1.49536</v>
      </c>
      <c r="JC280">
        <v>2.36572</v>
      </c>
      <c r="JD280">
        <v>38.0134</v>
      </c>
      <c r="JE280">
        <v>24.0437</v>
      </c>
      <c r="JF280">
        <v>18</v>
      </c>
      <c r="JG280">
        <v>512.389</v>
      </c>
      <c r="JH280">
        <v>425.335</v>
      </c>
      <c r="JI280">
        <v>23.1472</v>
      </c>
      <c r="JJ280">
        <v>27.9426</v>
      </c>
      <c r="JK280">
        <v>30</v>
      </c>
      <c r="JL280">
        <v>27.9739</v>
      </c>
      <c r="JM280">
        <v>27.9207</v>
      </c>
      <c r="JN280">
        <v>8.977370000000001</v>
      </c>
      <c r="JO280">
        <v>44.9415</v>
      </c>
      <c r="JP280">
        <v>0</v>
      </c>
      <c r="JQ280">
        <v>23.1587</v>
      </c>
      <c r="JR280">
        <v>144.246</v>
      </c>
      <c r="JS280">
        <v>9.439080000000001</v>
      </c>
      <c r="JT280">
        <v>100.409</v>
      </c>
      <c r="JU280">
        <v>100.343</v>
      </c>
    </row>
    <row r="281" spans="1:281">
      <c r="A281">
        <v>265</v>
      </c>
      <c r="B281">
        <v>1651866294.5</v>
      </c>
      <c r="C281">
        <v>2073.900000095367</v>
      </c>
      <c r="D281" t="s">
        <v>953</v>
      </c>
      <c r="E281" t="s">
        <v>954</v>
      </c>
      <c r="F281">
        <v>2</v>
      </c>
      <c r="G281" t="s">
        <v>908</v>
      </c>
      <c r="H281" t="s">
        <v>414</v>
      </c>
      <c r="I281">
        <v>1651866293.5</v>
      </c>
      <c r="J281">
        <f>(K281)/1000</f>
        <v>0</v>
      </c>
      <c r="K281">
        <f>IF(CZ281, AN281, AH281)</f>
        <v>0</v>
      </c>
      <c r="L281">
        <f>IF(CZ281, AI281, AG281)</f>
        <v>0</v>
      </c>
      <c r="M281">
        <f>DB281 - IF(AU281&gt;1, L281*CV281*100.0/(AW281*DP281), 0)</f>
        <v>0</v>
      </c>
      <c r="N281">
        <f>((T281-J281/2)*M281-L281)/(T281+J281/2)</f>
        <v>0</v>
      </c>
      <c r="O281">
        <f>N281*(DI281+DJ281)/1000.0</f>
        <v>0</v>
      </c>
      <c r="P281">
        <f>(DB281 - IF(AU281&gt;1, L281*CV281*100.0/(AW281*DP281), 0))*(DI281+DJ281)/1000.0</f>
        <v>0</v>
      </c>
      <c r="Q281">
        <f>2.0/((1/S281-1/R281)+SIGN(S281)*SQRT((1/S281-1/R281)*(1/S281-1/R281) + 4*CW281/((CW281+1)*(CW281+1))*(2*1/S281*1/R281-1/R281*1/R281)))</f>
        <v>0</v>
      </c>
      <c r="R281">
        <f>IF(LEFT(CX281,1)&lt;&gt;"0",IF(LEFT(CX281,1)="1",3.0,CY281),$D$5+$E$5*(DP281*DI281/($K$5*1000))+$F$5*(DP281*DI281/($K$5*1000))*MAX(MIN(CV281,$J$5),$I$5)*MAX(MIN(CV281,$J$5),$I$5)+$G$5*MAX(MIN(CV281,$J$5),$I$5)*(DP281*DI281/($K$5*1000))+$H$5*(DP281*DI281/($K$5*1000))*(DP281*DI281/($K$5*1000)))</f>
        <v>0</v>
      </c>
      <c r="S281">
        <f>J281*(1000-(1000*0.61365*exp(17.502*W281/(240.97+W281))/(DI281+DJ281)+DD281)/2)/(1000*0.61365*exp(17.502*W281/(240.97+W281))/(DI281+DJ281)-DD281)</f>
        <v>0</v>
      </c>
      <c r="T281">
        <f>1/((CW281+1)/(Q281/1.6)+1/(R281/1.37)) + CW281/((CW281+1)/(Q281/1.6) + CW281/(R281/1.37))</f>
        <v>0</v>
      </c>
      <c r="U281">
        <f>(CR281*CU281)</f>
        <v>0</v>
      </c>
      <c r="V281">
        <f>(DK281+(U281+2*0.95*5.67E-8*(((DK281+$B$7)+273)^4-(DK281+273)^4)-44100*J281)/(1.84*29.3*R281+8*0.95*5.67E-8*(DK281+273)^3))</f>
        <v>0</v>
      </c>
      <c r="W281">
        <f>($C$7*DL281+$D$7*DM281+$E$7*V281)</f>
        <v>0</v>
      </c>
      <c r="X281">
        <f>0.61365*exp(17.502*W281/(240.97+W281))</f>
        <v>0</v>
      </c>
      <c r="Y281">
        <f>(Z281/AA281*100)</f>
        <v>0</v>
      </c>
      <c r="Z281">
        <f>DD281*(DI281+DJ281)/1000</f>
        <v>0</v>
      </c>
      <c r="AA281">
        <f>0.61365*exp(17.502*DK281/(240.97+DK281))</f>
        <v>0</v>
      </c>
      <c r="AB281">
        <f>(X281-DD281*(DI281+DJ281)/1000)</f>
        <v>0</v>
      </c>
      <c r="AC281">
        <f>(-J281*44100)</f>
        <v>0</v>
      </c>
      <c r="AD281">
        <f>2*29.3*R281*0.92*(DK281-W281)</f>
        <v>0</v>
      </c>
      <c r="AE281">
        <f>2*0.95*5.67E-8*(((DK281+$B$7)+273)^4-(W281+273)^4)</f>
        <v>0</v>
      </c>
      <c r="AF281">
        <f>U281+AE281+AC281+AD281</f>
        <v>0</v>
      </c>
      <c r="AG281">
        <f>DH281*AU281*(DC281-DB281*(1000-AU281*DE281)/(1000-AU281*DD281))/(100*CV281)</f>
        <v>0</v>
      </c>
      <c r="AH281">
        <f>1000*DH281*AU281*(DD281-DE281)/(100*CV281*(1000-AU281*DD281))</f>
        <v>0</v>
      </c>
      <c r="AI281">
        <f>(AJ281 - AK281 - DI281*1E3/(8.314*(DK281+273.15)) * AM281/DH281 * AL281) * DH281/(100*CV281) * (1000 - DE281)/1000</f>
        <v>0</v>
      </c>
      <c r="AJ281">
        <v>122.3012086481736</v>
      </c>
      <c r="AK281">
        <v>104.2853539393939</v>
      </c>
      <c r="AL281">
        <v>3.067766902323815</v>
      </c>
      <c r="AM281">
        <v>66.38195617057868</v>
      </c>
      <c r="AN281">
        <f>(AP281 - AO281 + DI281*1E3/(8.314*(DK281+273.15)) * AR281/DH281 * AQ281) * DH281/(100*CV281) * 1000/(1000 - AP281)</f>
        <v>0</v>
      </c>
      <c r="AO281">
        <v>9.425861653771651</v>
      </c>
      <c r="AP281">
        <v>18.54186058823529</v>
      </c>
      <c r="AQ281">
        <v>-0.006452840783963102</v>
      </c>
      <c r="AR281">
        <v>80.47178418790507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MAX(0,($B$13+$C$13*DP281)/(1+$D$13*DP281)*DI281/(DK281+273)*$E$13)</f>
        <v>0</v>
      </c>
      <c r="AX281" t="s">
        <v>417</v>
      </c>
      <c r="AY281" t="s">
        <v>417</v>
      </c>
      <c r="AZ281">
        <v>0</v>
      </c>
      <c r="BA281">
        <v>0</v>
      </c>
      <c r="BB281">
        <f>1-AZ281/BA281</f>
        <v>0</v>
      </c>
      <c r="BC281">
        <v>0</v>
      </c>
      <c r="BD281" t="s">
        <v>417</v>
      </c>
      <c r="BE281" t="s">
        <v>417</v>
      </c>
      <c r="BF281">
        <v>0</v>
      </c>
      <c r="BG281">
        <v>0</v>
      </c>
      <c r="BH281">
        <f>1-BF281/BG281</f>
        <v>0</v>
      </c>
      <c r="BI281">
        <v>0.5</v>
      </c>
      <c r="BJ281">
        <f>CS281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417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BZ281">
        <v>1249</v>
      </c>
      <c r="CA281">
        <v>300</v>
      </c>
      <c r="CB281">
        <v>300</v>
      </c>
      <c r="CC281">
        <v>300</v>
      </c>
      <c r="CD281">
        <v>10442.4</v>
      </c>
      <c r="CE281">
        <v>1239.69</v>
      </c>
      <c r="CF281">
        <v>-0.00735276</v>
      </c>
      <c r="CG281">
        <v>0.07000000000000001</v>
      </c>
      <c r="CH281" t="s">
        <v>417</v>
      </c>
      <c r="CI281" t="s">
        <v>417</v>
      </c>
      <c r="CJ281" t="s">
        <v>417</v>
      </c>
      <c r="CK281" t="s">
        <v>417</v>
      </c>
      <c r="CL281" t="s">
        <v>417</v>
      </c>
      <c r="CM281" t="s">
        <v>417</v>
      </c>
      <c r="CN281" t="s">
        <v>417</v>
      </c>
      <c r="CO281" t="s">
        <v>417</v>
      </c>
      <c r="CP281" t="s">
        <v>417</v>
      </c>
      <c r="CQ281" t="s">
        <v>417</v>
      </c>
      <c r="CR281">
        <f>$B$11*DQ281+$C$11*DR281+$F$11*EC281*(1-EF281)</f>
        <v>0</v>
      </c>
      <c r="CS281">
        <f>CR281*CT281</f>
        <v>0</v>
      </c>
      <c r="CT281">
        <f>($B$11*$D$9+$C$11*$D$9+$F$11*((EP281+EH281)/MAX(EP281+EH281+EQ281, 0.1)*$I$9+EQ281/MAX(EP281+EH281+EQ281, 0.1)*$J$9))/($B$11+$C$11+$F$11)</f>
        <v>0</v>
      </c>
      <c r="CU281">
        <f>($B$11*$K$9+$C$11*$K$9+$F$11*((EP281+EH281)/MAX(EP281+EH281+EQ281, 0.1)*$P$9+EQ281/MAX(EP281+EH281+EQ281, 0.1)*$Q$9))/($B$11+$C$11+$F$11)</f>
        <v>0</v>
      </c>
      <c r="CV281">
        <v>6</v>
      </c>
      <c r="CW281">
        <v>0.5</v>
      </c>
      <c r="CX281" t="s">
        <v>418</v>
      </c>
      <c r="CY281">
        <v>2</v>
      </c>
      <c r="CZ281" t="b">
        <v>1</v>
      </c>
      <c r="DA281">
        <v>1651866293.5</v>
      </c>
      <c r="DB281">
        <v>100.8569</v>
      </c>
      <c r="DC281">
        <v>126.711</v>
      </c>
      <c r="DD281">
        <v>18.54266666666667</v>
      </c>
      <c r="DE281">
        <v>9.421836666666666</v>
      </c>
      <c r="DF281">
        <v>101.2184666666667</v>
      </c>
      <c r="DG281">
        <v>18.51936666666667</v>
      </c>
      <c r="DH281">
        <v>500.0043333333333</v>
      </c>
      <c r="DI281">
        <v>89.91733333333333</v>
      </c>
      <c r="DJ281">
        <v>0.09980053333333333</v>
      </c>
      <c r="DK281">
        <v>25.8485</v>
      </c>
      <c r="DL281">
        <v>25.00153333333333</v>
      </c>
      <c r="DM281">
        <v>999.9</v>
      </c>
      <c r="DN281">
        <v>0</v>
      </c>
      <c r="DO281">
        <v>0</v>
      </c>
      <c r="DP281">
        <v>10013.1</v>
      </c>
      <c r="DQ281">
        <v>0</v>
      </c>
      <c r="DR281">
        <v>3.21788</v>
      </c>
      <c r="DS281">
        <v>-25.85423333333334</v>
      </c>
      <c r="DT281">
        <v>102.7623333333333</v>
      </c>
      <c r="DU281">
        <v>127.9163333333333</v>
      </c>
      <c r="DV281">
        <v>9.120836666666667</v>
      </c>
      <c r="DW281">
        <v>126.711</v>
      </c>
      <c r="DX281">
        <v>9.421836666666666</v>
      </c>
      <c r="DY281">
        <v>1.667306666666667</v>
      </c>
      <c r="DZ281">
        <v>0.8471860000000001</v>
      </c>
      <c r="EA281">
        <v>14.59536666666667</v>
      </c>
      <c r="EB281">
        <v>4.523516666666667</v>
      </c>
      <c r="EC281">
        <v>1500.006666666667</v>
      </c>
      <c r="ED281">
        <v>0.9729930000000001</v>
      </c>
      <c r="EE281">
        <v>0.0270069</v>
      </c>
      <c r="EF281">
        <v>0</v>
      </c>
      <c r="EG281">
        <v>853.013</v>
      </c>
      <c r="EH281">
        <v>5.00097</v>
      </c>
      <c r="EI281">
        <v>12702.33333333333</v>
      </c>
      <c r="EJ281">
        <v>12491.63333333333</v>
      </c>
      <c r="EK281">
        <v>38.375</v>
      </c>
      <c r="EL281">
        <v>40.479</v>
      </c>
      <c r="EM281">
        <v>38.687</v>
      </c>
      <c r="EN281">
        <v>40.66633333333333</v>
      </c>
      <c r="EO281">
        <v>39.625</v>
      </c>
      <c r="EP281">
        <v>1454.626666666667</v>
      </c>
      <c r="EQ281">
        <v>40.38</v>
      </c>
      <c r="ER281">
        <v>0</v>
      </c>
      <c r="ES281">
        <v>812</v>
      </c>
      <c r="ET281">
        <v>0</v>
      </c>
      <c r="EU281">
        <v>855.0506153846155</v>
      </c>
      <c r="EV281">
        <v>-18.80417096128286</v>
      </c>
      <c r="EW281">
        <v>-229.0324787845658</v>
      </c>
      <c r="EX281">
        <v>12725.87692307692</v>
      </c>
      <c r="EY281">
        <v>15</v>
      </c>
      <c r="EZ281">
        <v>1651865518.1</v>
      </c>
      <c r="FA281" t="s">
        <v>910</v>
      </c>
      <c r="FB281">
        <v>1651865507.1</v>
      </c>
      <c r="FC281">
        <v>1651865518.1</v>
      </c>
      <c r="FD281">
        <v>8</v>
      </c>
      <c r="FE281">
        <v>0.06</v>
      </c>
      <c r="FF281">
        <v>0</v>
      </c>
      <c r="FG281">
        <v>-0.927</v>
      </c>
      <c r="FH281">
        <v>-0.062</v>
      </c>
      <c r="FI281">
        <v>400</v>
      </c>
      <c r="FJ281">
        <v>11</v>
      </c>
      <c r="FK281">
        <v>0.11</v>
      </c>
      <c r="FL281">
        <v>0.01</v>
      </c>
      <c r="FM281">
        <v>-22.78067317073171</v>
      </c>
      <c r="FN281">
        <v>-22.33392334494774</v>
      </c>
      <c r="FO281">
        <v>2.214801535459851</v>
      </c>
      <c r="FP281">
        <v>-1</v>
      </c>
      <c r="FQ281">
        <v>9.081233170731709</v>
      </c>
      <c r="FR281">
        <v>0.3541260627177729</v>
      </c>
      <c r="FS281">
        <v>0.03629603784323023</v>
      </c>
      <c r="FT281">
        <v>-1</v>
      </c>
      <c r="FU281">
        <v>0</v>
      </c>
      <c r="FV281">
        <v>0</v>
      </c>
      <c r="FW281">
        <v>0</v>
      </c>
      <c r="FX281">
        <v>-1</v>
      </c>
      <c r="FY281">
        <v>0</v>
      </c>
      <c r="FZ281">
        <v>0</v>
      </c>
      <c r="GA281" t="s">
        <v>420</v>
      </c>
      <c r="GB281">
        <v>2.98144</v>
      </c>
      <c r="GC281">
        <v>2.70618</v>
      </c>
      <c r="GD281">
        <v>0.0275131</v>
      </c>
      <c r="GE281">
        <v>0.0336529</v>
      </c>
      <c r="GF281">
        <v>0.0884408</v>
      </c>
      <c r="GG281">
        <v>0.0529449</v>
      </c>
      <c r="GH281">
        <v>30727.7</v>
      </c>
      <c r="GI281">
        <v>30600.6</v>
      </c>
      <c r="GJ281">
        <v>29375.2</v>
      </c>
      <c r="GK281">
        <v>29290.8</v>
      </c>
      <c r="GL281">
        <v>35452.9</v>
      </c>
      <c r="GM281">
        <v>36950.7</v>
      </c>
      <c r="GN281">
        <v>41345.7</v>
      </c>
      <c r="GO281">
        <v>41809.2</v>
      </c>
      <c r="GP281">
        <v>1.96612</v>
      </c>
      <c r="GQ281">
        <v>1.8521</v>
      </c>
      <c r="GR281">
        <v>-0.00504777</v>
      </c>
      <c r="GS281">
        <v>0</v>
      </c>
      <c r="GT281">
        <v>25.0847</v>
      </c>
      <c r="GU281">
        <v>999.9</v>
      </c>
      <c r="GV281">
        <v>29.8</v>
      </c>
      <c r="GW281">
        <v>34.2</v>
      </c>
      <c r="GX281">
        <v>17.9064</v>
      </c>
      <c r="GY281">
        <v>62.4476</v>
      </c>
      <c r="GZ281">
        <v>35.1923</v>
      </c>
      <c r="HA281">
        <v>1</v>
      </c>
      <c r="HB281">
        <v>0.0475788</v>
      </c>
      <c r="HC281">
        <v>1.45193</v>
      </c>
      <c r="HD281">
        <v>20.3296</v>
      </c>
      <c r="HE281">
        <v>5.2134</v>
      </c>
      <c r="HF281">
        <v>12.0099</v>
      </c>
      <c r="HG281">
        <v>4.98805</v>
      </c>
      <c r="HH281">
        <v>3.28813</v>
      </c>
      <c r="HI281">
        <v>1030</v>
      </c>
      <c r="HJ281">
        <v>9726.1</v>
      </c>
      <c r="HK281">
        <v>5139.4</v>
      </c>
      <c r="HL281">
        <v>25.3</v>
      </c>
      <c r="HM281">
        <v>1.86741</v>
      </c>
      <c r="HN281">
        <v>1.86646</v>
      </c>
      <c r="HO281">
        <v>1.866</v>
      </c>
      <c r="HP281">
        <v>1.86584</v>
      </c>
      <c r="HQ281">
        <v>1.86768</v>
      </c>
      <c r="HR281">
        <v>1.87014</v>
      </c>
      <c r="HS281">
        <v>1.8689</v>
      </c>
      <c r="HT281">
        <v>1.8702</v>
      </c>
      <c r="HU281">
        <v>0</v>
      </c>
      <c r="HV281">
        <v>0</v>
      </c>
      <c r="HW281">
        <v>0</v>
      </c>
      <c r="HX281">
        <v>0</v>
      </c>
      <c r="HY281" t="s">
        <v>421</v>
      </c>
      <c r="HZ281" t="s">
        <v>422</v>
      </c>
      <c r="IA281" t="s">
        <v>423</v>
      </c>
      <c r="IB281" t="s">
        <v>423</v>
      </c>
      <c r="IC281" t="s">
        <v>423</v>
      </c>
      <c r="ID281" t="s">
        <v>423</v>
      </c>
      <c r="IE281">
        <v>0</v>
      </c>
      <c r="IF281">
        <v>100</v>
      </c>
      <c r="IG281">
        <v>100</v>
      </c>
      <c r="IH281">
        <v>-0.368</v>
      </c>
      <c r="II281">
        <v>0.0233</v>
      </c>
      <c r="IJ281">
        <v>-0.1559367209035702</v>
      </c>
      <c r="IK281">
        <v>-0.002077099775823331</v>
      </c>
      <c r="IL281">
        <v>4.593143279902166E-07</v>
      </c>
      <c r="IM281">
        <v>-1.865383991892071E-10</v>
      </c>
      <c r="IN281">
        <v>-0.0607165066849496</v>
      </c>
      <c r="IO281">
        <v>-0.01129461987421345</v>
      </c>
      <c r="IP281">
        <v>0.00116580895745559</v>
      </c>
      <c r="IQ281">
        <v>-1.679085872906199E-05</v>
      </c>
      <c r="IR281">
        <v>2</v>
      </c>
      <c r="IS281">
        <v>2290</v>
      </c>
      <c r="IT281">
        <v>0</v>
      </c>
      <c r="IU281">
        <v>32</v>
      </c>
      <c r="IV281">
        <v>13.1</v>
      </c>
      <c r="IW281">
        <v>12.9</v>
      </c>
      <c r="IX281">
        <v>0.461426</v>
      </c>
      <c r="IY281">
        <v>2.25708</v>
      </c>
      <c r="IZ281">
        <v>1.39648</v>
      </c>
      <c r="JA281">
        <v>2.35596</v>
      </c>
      <c r="JB281">
        <v>1.49536</v>
      </c>
      <c r="JC281">
        <v>2.31689</v>
      </c>
      <c r="JD281">
        <v>38.0134</v>
      </c>
      <c r="JE281">
        <v>24.0437</v>
      </c>
      <c r="JF281">
        <v>18</v>
      </c>
      <c r="JG281">
        <v>512.379</v>
      </c>
      <c r="JH281">
        <v>425.312</v>
      </c>
      <c r="JI281">
        <v>23.1517</v>
      </c>
      <c r="JJ281">
        <v>27.9417</v>
      </c>
      <c r="JK281">
        <v>29.9999</v>
      </c>
      <c r="JL281">
        <v>27.9727</v>
      </c>
      <c r="JM281">
        <v>27.9195</v>
      </c>
      <c r="JN281">
        <v>9.270670000000001</v>
      </c>
      <c r="JO281">
        <v>44.9415</v>
      </c>
      <c r="JP281">
        <v>0</v>
      </c>
      <c r="JQ281">
        <v>23.1587</v>
      </c>
      <c r="JR281">
        <v>150.943</v>
      </c>
      <c r="JS281">
        <v>9.438090000000001</v>
      </c>
      <c r="JT281">
        <v>100.409</v>
      </c>
      <c r="JU281">
        <v>100.343</v>
      </c>
    </row>
    <row r="282" spans="1:281">
      <c r="A282">
        <v>266</v>
      </c>
      <c r="B282">
        <v>1651866296.5</v>
      </c>
      <c r="C282">
        <v>2075.900000095367</v>
      </c>
      <c r="D282" t="s">
        <v>955</v>
      </c>
      <c r="E282" t="s">
        <v>956</v>
      </c>
      <c r="F282">
        <v>2</v>
      </c>
      <c r="G282" t="s">
        <v>908</v>
      </c>
      <c r="H282" t="s">
        <v>414</v>
      </c>
      <c r="I282">
        <v>1651866295.125</v>
      </c>
      <c r="J282">
        <f>(K282)/1000</f>
        <v>0</v>
      </c>
      <c r="K282">
        <f>IF(CZ282, AN282, AH282)</f>
        <v>0</v>
      </c>
      <c r="L282">
        <f>IF(CZ282, AI282, AG282)</f>
        <v>0</v>
      </c>
      <c r="M282">
        <f>DB282 - IF(AU282&gt;1, L282*CV282*100.0/(AW282*DP282), 0)</f>
        <v>0</v>
      </c>
      <c r="N282">
        <f>((T282-J282/2)*M282-L282)/(T282+J282/2)</f>
        <v>0</v>
      </c>
      <c r="O282">
        <f>N282*(DI282+DJ282)/1000.0</f>
        <v>0</v>
      </c>
      <c r="P282">
        <f>(DB282 - IF(AU282&gt;1, L282*CV282*100.0/(AW282*DP282), 0))*(DI282+DJ282)/1000.0</f>
        <v>0</v>
      </c>
      <c r="Q282">
        <f>2.0/((1/S282-1/R282)+SIGN(S282)*SQRT((1/S282-1/R282)*(1/S282-1/R282) + 4*CW282/((CW282+1)*(CW282+1))*(2*1/S282*1/R282-1/R282*1/R282)))</f>
        <v>0</v>
      </c>
      <c r="R282">
        <f>IF(LEFT(CX282,1)&lt;&gt;"0",IF(LEFT(CX282,1)="1",3.0,CY282),$D$5+$E$5*(DP282*DI282/($K$5*1000))+$F$5*(DP282*DI282/($K$5*1000))*MAX(MIN(CV282,$J$5),$I$5)*MAX(MIN(CV282,$J$5),$I$5)+$G$5*MAX(MIN(CV282,$J$5),$I$5)*(DP282*DI282/($K$5*1000))+$H$5*(DP282*DI282/($K$5*1000))*(DP282*DI282/($K$5*1000)))</f>
        <v>0</v>
      </c>
      <c r="S282">
        <f>J282*(1000-(1000*0.61365*exp(17.502*W282/(240.97+W282))/(DI282+DJ282)+DD282)/2)/(1000*0.61365*exp(17.502*W282/(240.97+W282))/(DI282+DJ282)-DD282)</f>
        <v>0</v>
      </c>
      <c r="T282">
        <f>1/((CW282+1)/(Q282/1.6)+1/(R282/1.37)) + CW282/((CW282+1)/(Q282/1.6) + CW282/(R282/1.37))</f>
        <v>0</v>
      </c>
      <c r="U282">
        <f>(CR282*CU282)</f>
        <v>0</v>
      </c>
      <c r="V282">
        <f>(DK282+(U282+2*0.95*5.67E-8*(((DK282+$B$7)+273)^4-(DK282+273)^4)-44100*J282)/(1.84*29.3*R282+8*0.95*5.67E-8*(DK282+273)^3))</f>
        <v>0</v>
      </c>
      <c r="W282">
        <f>($C$7*DL282+$D$7*DM282+$E$7*V282)</f>
        <v>0</v>
      </c>
      <c r="X282">
        <f>0.61365*exp(17.502*W282/(240.97+W282))</f>
        <v>0</v>
      </c>
      <c r="Y282">
        <f>(Z282/AA282*100)</f>
        <v>0</v>
      </c>
      <c r="Z282">
        <f>DD282*(DI282+DJ282)/1000</f>
        <v>0</v>
      </c>
      <c r="AA282">
        <f>0.61365*exp(17.502*DK282/(240.97+DK282))</f>
        <v>0</v>
      </c>
      <c r="AB282">
        <f>(X282-DD282*(DI282+DJ282)/1000)</f>
        <v>0</v>
      </c>
      <c r="AC282">
        <f>(-J282*44100)</f>
        <v>0</v>
      </c>
      <c r="AD282">
        <f>2*29.3*R282*0.92*(DK282-W282)</f>
        <v>0</v>
      </c>
      <c r="AE282">
        <f>2*0.95*5.67E-8*(((DK282+$B$7)+273)^4-(W282+273)^4)</f>
        <v>0</v>
      </c>
      <c r="AF282">
        <f>U282+AE282+AC282+AD282</f>
        <v>0</v>
      </c>
      <c r="AG282">
        <f>DH282*AU282*(DC282-DB282*(1000-AU282*DE282)/(1000-AU282*DD282))/(100*CV282)</f>
        <v>0</v>
      </c>
      <c r="AH282">
        <f>1000*DH282*AU282*(DD282-DE282)/(100*CV282*(1000-AU282*DD282))</f>
        <v>0</v>
      </c>
      <c r="AI282">
        <f>(AJ282 - AK282 - DI282*1E3/(8.314*(DK282+273.15)) * AM282/DH282 * AL282) * DH282/(100*CV282) * (1000 - DE282)/1000</f>
        <v>0</v>
      </c>
      <c r="AJ282">
        <v>128.6321019064748</v>
      </c>
      <c r="AK282">
        <v>110.2812224242424</v>
      </c>
      <c r="AL282">
        <v>3.019290595106315</v>
      </c>
      <c r="AM282">
        <v>66.38195617057868</v>
      </c>
      <c r="AN282">
        <f>(AP282 - AO282 + DI282*1E3/(8.314*(DK282+273.15)) * AR282/DH282 * AQ282) * DH282/(100*CV282) * 1000/(1000 - AP282)</f>
        <v>0</v>
      </c>
      <c r="AO282">
        <v>9.422884518566068</v>
      </c>
      <c r="AP282">
        <v>18.54718352941175</v>
      </c>
      <c r="AQ282">
        <v>-0.00601529524102179</v>
      </c>
      <c r="AR282">
        <v>80.47178418790507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MAX(0,($B$13+$C$13*DP282)/(1+$D$13*DP282)*DI282/(DK282+273)*$E$13)</f>
        <v>0</v>
      </c>
      <c r="AX282" t="s">
        <v>417</v>
      </c>
      <c r="AY282" t="s">
        <v>417</v>
      </c>
      <c r="AZ282">
        <v>0</v>
      </c>
      <c r="BA282">
        <v>0</v>
      </c>
      <c r="BB282">
        <f>1-AZ282/BA282</f>
        <v>0</v>
      </c>
      <c r="BC282">
        <v>0</v>
      </c>
      <c r="BD282" t="s">
        <v>417</v>
      </c>
      <c r="BE282" t="s">
        <v>417</v>
      </c>
      <c r="BF282">
        <v>0</v>
      </c>
      <c r="BG282">
        <v>0</v>
      </c>
      <c r="BH282">
        <f>1-BF282/BG282</f>
        <v>0</v>
      </c>
      <c r="BI282">
        <v>0.5</v>
      </c>
      <c r="BJ282">
        <f>CS282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417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BZ282">
        <v>1249</v>
      </c>
      <c r="CA282">
        <v>300</v>
      </c>
      <c r="CB282">
        <v>300</v>
      </c>
      <c r="CC282">
        <v>300</v>
      </c>
      <c r="CD282">
        <v>10442.4</v>
      </c>
      <c r="CE282">
        <v>1239.69</v>
      </c>
      <c r="CF282">
        <v>-0.00735276</v>
      </c>
      <c r="CG282">
        <v>0.07000000000000001</v>
      </c>
      <c r="CH282" t="s">
        <v>417</v>
      </c>
      <c r="CI282" t="s">
        <v>417</v>
      </c>
      <c r="CJ282" t="s">
        <v>417</v>
      </c>
      <c r="CK282" t="s">
        <v>417</v>
      </c>
      <c r="CL282" t="s">
        <v>417</v>
      </c>
      <c r="CM282" t="s">
        <v>417</v>
      </c>
      <c r="CN282" t="s">
        <v>417</v>
      </c>
      <c r="CO282" t="s">
        <v>417</v>
      </c>
      <c r="CP282" t="s">
        <v>417</v>
      </c>
      <c r="CQ282" t="s">
        <v>417</v>
      </c>
      <c r="CR282">
        <f>$B$11*DQ282+$C$11*DR282+$F$11*EC282*(1-EF282)</f>
        <v>0</v>
      </c>
      <c r="CS282">
        <f>CR282*CT282</f>
        <v>0</v>
      </c>
      <c r="CT282">
        <f>($B$11*$D$9+$C$11*$D$9+$F$11*((EP282+EH282)/MAX(EP282+EH282+EQ282, 0.1)*$I$9+EQ282/MAX(EP282+EH282+EQ282, 0.1)*$J$9))/($B$11+$C$11+$F$11)</f>
        <v>0</v>
      </c>
      <c r="CU282">
        <f>($B$11*$K$9+$C$11*$K$9+$F$11*((EP282+EH282)/MAX(EP282+EH282+EQ282, 0.1)*$P$9+EQ282/MAX(EP282+EH282+EQ282, 0.1)*$Q$9))/($B$11+$C$11+$F$11)</f>
        <v>0</v>
      </c>
      <c r="CV282">
        <v>6</v>
      </c>
      <c r="CW282">
        <v>0.5</v>
      </c>
      <c r="CX282" t="s">
        <v>418</v>
      </c>
      <c r="CY282">
        <v>2</v>
      </c>
      <c r="CZ282" t="b">
        <v>1</v>
      </c>
      <c r="DA282">
        <v>1651866295.125</v>
      </c>
      <c r="DB282">
        <v>105.6655</v>
      </c>
      <c r="DC282">
        <v>131.77125</v>
      </c>
      <c r="DD282">
        <v>18.545075</v>
      </c>
      <c r="DE282">
        <v>9.420507499999999</v>
      </c>
      <c r="DF282">
        <v>106.037</v>
      </c>
      <c r="DG282">
        <v>18.521725</v>
      </c>
      <c r="DH282">
        <v>500.07725</v>
      </c>
      <c r="DI282">
        <v>89.91737499999999</v>
      </c>
      <c r="DJ282">
        <v>0.100028225</v>
      </c>
      <c r="DK282">
        <v>25.84965</v>
      </c>
      <c r="DL282">
        <v>25.002175</v>
      </c>
      <c r="DM282">
        <v>999.9</v>
      </c>
      <c r="DN282">
        <v>0</v>
      </c>
      <c r="DO282">
        <v>0</v>
      </c>
      <c r="DP282">
        <v>10007.175</v>
      </c>
      <c r="DQ282">
        <v>0</v>
      </c>
      <c r="DR282">
        <v>3.2140175</v>
      </c>
      <c r="DS282">
        <v>-26.105725</v>
      </c>
      <c r="DT282">
        <v>107.66225</v>
      </c>
      <c r="DU282">
        <v>133.0245</v>
      </c>
      <c r="DV282">
        <v>9.1245625</v>
      </c>
      <c r="DW282">
        <v>131.77125</v>
      </c>
      <c r="DX282">
        <v>9.420507499999999</v>
      </c>
      <c r="DY282">
        <v>1.667525</v>
      </c>
      <c r="DZ282">
        <v>0.8470672499999999</v>
      </c>
      <c r="EA282">
        <v>14.597375</v>
      </c>
      <c r="EB282">
        <v>4.5215125</v>
      </c>
      <c r="EC282">
        <v>1499.98</v>
      </c>
      <c r="ED282">
        <v>0.972993</v>
      </c>
      <c r="EE282">
        <v>0.0270069</v>
      </c>
      <c r="EF282">
        <v>0</v>
      </c>
      <c r="EG282">
        <v>852.5814999999999</v>
      </c>
      <c r="EH282">
        <v>5.00097</v>
      </c>
      <c r="EI282">
        <v>12695.475</v>
      </c>
      <c r="EJ282">
        <v>12491.4</v>
      </c>
      <c r="EK282">
        <v>38.406</v>
      </c>
      <c r="EL282">
        <v>40.5</v>
      </c>
      <c r="EM282">
        <v>38.687</v>
      </c>
      <c r="EN282">
        <v>40.73425</v>
      </c>
      <c r="EO282">
        <v>39.625</v>
      </c>
      <c r="EP282">
        <v>1454.6</v>
      </c>
      <c r="EQ282">
        <v>40.3725</v>
      </c>
      <c r="ER282">
        <v>0</v>
      </c>
      <c r="ES282">
        <v>813.7999999523163</v>
      </c>
      <c r="ET282">
        <v>0</v>
      </c>
      <c r="EU282">
        <v>854.3804800000001</v>
      </c>
      <c r="EV282">
        <v>-18.13569234584238</v>
      </c>
      <c r="EW282">
        <v>-227.0538465006176</v>
      </c>
      <c r="EX282">
        <v>12717.928</v>
      </c>
      <c r="EY282">
        <v>15</v>
      </c>
      <c r="EZ282">
        <v>1651865518.1</v>
      </c>
      <c r="FA282" t="s">
        <v>910</v>
      </c>
      <c r="FB282">
        <v>1651865507.1</v>
      </c>
      <c r="FC282">
        <v>1651865518.1</v>
      </c>
      <c r="FD282">
        <v>8</v>
      </c>
      <c r="FE282">
        <v>0.06</v>
      </c>
      <c r="FF282">
        <v>0</v>
      </c>
      <c r="FG282">
        <v>-0.927</v>
      </c>
      <c r="FH282">
        <v>-0.062</v>
      </c>
      <c r="FI282">
        <v>400</v>
      </c>
      <c r="FJ282">
        <v>11</v>
      </c>
      <c r="FK282">
        <v>0.11</v>
      </c>
      <c r="FL282">
        <v>0.01</v>
      </c>
      <c r="FM282">
        <v>-23.7255625</v>
      </c>
      <c r="FN282">
        <v>-19.4365519699812</v>
      </c>
      <c r="FO282">
        <v>1.891273829682986</v>
      </c>
      <c r="FP282">
        <v>-1</v>
      </c>
      <c r="FQ282">
        <v>9.09483975</v>
      </c>
      <c r="FR282">
        <v>0.2952014634146029</v>
      </c>
      <c r="FS282">
        <v>0.03072265999937992</v>
      </c>
      <c r="FT282">
        <v>-1</v>
      </c>
      <c r="FU282">
        <v>0</v>
      </c>
      <c r="FV282">
        <v>0</v>
      </c>
      <c r="FW282">
        <v>0</v>
      </c>
      <c r="FX282">
        <v>-1</v>
      </c>
      <c r="FY282">
        <v>0</v>
      </c>
      <c r="FZ282">
        <v>0</v>
      </c>
      <c r="GA282" t="s">
        <v>420</v>
      </c>
      <c r="GB282">
        <v>2.9817</v>
      </c>
      <c r="GC282">
        <v>2.70639</v>
      </c>
      <c r="GD282">
        <v>0.0290153</v>
      </c>
      <c r="GE282">
        <v>0.0351944</v>
      </c>
      <c r="GF282">
        <v>0.08844399999999999</v>
      </c>
      <c r="GG282">
        <v>0.0529382</v>
      </c>
      <c r="GH282">
        <v>30680.2</v>
      </c>
      <c r="GI282">
        <v>30551.8</v>
      </c>
      <c r="GJ282">
        <v>29375.1</v>
      </c>
      <c r="GK282">
        <v>29290.8</v>
      </c>
      <c r="GL282">
        <v>35452.7</v>
      </c>
      <c r="GM282">
        <v>36951</v>
      </c>
      <c r="GN282">
        <v>41345.6</v>
      </c>
      <c r="GO282">
        <v>41809.1</v>
      </c>
      <c r="GP282">
        <v>1.9664</v>
      </c>
      <c r="GQ282">
        <v>1.85182</v>
      </c>
      <c r="GR282">
        <v>-0.00497326</v>
      </c>
      <c r="GS282">
        <v>0</v>
      </c>
      <c r="GT282">
        <v>25.0847</v>
      </c>
      <c r="GU282">
        <v>999.9</v>
      </c>
      <c r="GV282">
        <v>29.8</v>
      </c>
      <c r="GW282">
        <v>34.2</v>
      </c>
      <c r="GX282">
        <v>17.9054</v>
      </c>
      <c r="GY282">
        <v>62.4276</v>
      </c>
      <c r="GZ282">
        <v>35.1683</v>
      </c>
      <c r="HA282">
        <v>1</v>
      </c>
      <c r="HB282">
        <v>0.0475534</v>
      </c>
      <c r="HC282">
        <v>1.4694</v>
      </c>
      <c r="HD282">
        <v>20.3299</v>
      </c>
      <c r="HE282">
        <v>5.21564</v>
      </c>
      <c r="HF282">
        <v>12.0099</v>
      </c>
      <c r="HG282">
        <v>4.9887</v>
      </c>
      <c r="HH282">
        <v>3.2885</v>
      </c>
      <c r="HI282">
        <v>1030.2</v>
      </c>
      <c r="HJ282">
        <v>9727.5</v>
      </c>
      <c r="HK282">
        <v>5139.4</v>
      </c>
      <c r="HL282">
        <v>25.3</v>
      </c>
      <c r="HM282">
        <v>1.8674</v>
      </c>
      <c r="HN282">
        <v>1.86646</v>
      </c>
      <c r="HO282">
        <v>1.866</v>
      </c>
      <c r="HP282">
        <v>1.86584</v>
      </c>
      <c r="HQ282">
        <v>1.86768</v>
      </c>
      <c r="HR282">
        <v>1.87015</v>
      </c>
      <c r="HS282">
        <v>1.86889</v>
      </c>
      <c r="HT282">
        <v>1.87018</v>
      </c>
      <c r="HU282">
        <v>0</v>
      </c>
      <c r="HV282">
        <v>0</v>
      </c>
      <c r="HW282">
        <v>0</v>
      </c>
      <c r="HX282">
        <v>0</v>
      </c>
      <c r="HY282" t="s">
        <v>421</v>
      </c>
      <c r="HZ282" t="s">
        <v>422</v>
      </c>
      <c r="IA282" t="s">
        <v>423</v>
      </c>
      <c r="IB282" t="s">
        <v>423</v>
      </c>
      <c r="IC282" t="s">
        <v>423</v>
      </c>
      <c r="ID282" t="s">
        <v>423</v>
      </c>
      <c r="IE282">
        <v>0</v>
      </c>
      <c r="IF282">
        <v>100</v>
      </c>
      <c r="IG282">
        <v>100</v>
      </c>
      <c r="IH282">
        <v>-0.379</v>
      </c>
      <c r="II282">
        <v>0.0233</v>
      </c>
      <c r="IJ282">
        <v>-0.1559367209035702</v>
      </c>
      <c r="IK282">
        <v>-0.002077099775823331</v>
      </c>
      <c r="IL282">
        <v>4.593143279902166E-07</v>
      </c>
      <c r="IM282">
        <v>-1.865383991892071E-10</v>
      </c>
      <c r="IN282">
        <v>-0.0607165066849496</v>
      </c>
      <c r="IO282">
        <v>-0.01129461987421345</v>
      </c>
      <c r="IP282">
        <v>0.00116580895745559</v>
      </c>
      <c r="IQ282">
        <v>-1.679085872906199E-05</v>
      </c>
      <c r="IR282">
        <v>2</v>
      </c>
      <c r="IS282">
        <v>2290</v>
      </c>
      <c r="IT282">
        <v>0</v>
      </c>
      <c r="IU282">
        <v>32</v>
      </c>
      <c r="IV282">
        <v>13.2</v>
      </c>
      <c r="IW282">
        <v>13</v>
      </c>
      <c r="IX282">
        <v>0.476074</v>
      </c>
      <c r="IY282">
        <v>2.25708</v>
      </c>
      <c r="IZ282">
        <v>1.39648</v>
      </c>
      <c r="JA282">
        <v>2.35474</v>
      </c>
      <c r="JB282">
        <v>1.49536</v>
      </c>
      <c r="JC282">
        <v>2.28638</v>
      </c>
      <c r="JD282">
        <v>38.0134</v>
      </c>
      <c r="JE282">
        <v>24.0437</v>
      </c>
      <c r="JF282">
        <v>18</v>
      </c>
      <c r="JG282">
        <v>512.55</v>
      </c>
      <c r="JH282">
        <v>425.144</v>
      </c>
      <c r="JI282">
        <v>23.156</v>
      </c>
      <c r="JJ282">
        <v>27.9408</v>
      </c>
      <c r="JK282">
        <v>29.9999</v>
      </c>
      <c r="JL282">
        <v>27.9718</v>
      </c>
      <c r="JM282">
        <v>27.9189</v>
      </c>
      <c r="JN282">
        <v>9.56578</v>
      </c>
      <c r="JO282">
        <v>44.9415</v>
      </c>
      <c r="JP282">
        <v>0</v>
      </c>
      <c r="JQ282">
        <v>23.1558</v>
      </c>
      <c r="JR282">
        <v>157.638</v>
      </c>
      <c r="JS282">
        <v>9.440149999999999</v>
      </c>
      <c r="JT282">
        <v>100.408</v>
      </c>
      <c r="JU282">
        <v>100.343</v>
      </c>
    </row>
    <row r="283" spans="1:281">
      <c r="A283">
        <v>267</v>
      </c>
      <c r="B283">
        <v>1651866298.5</v>
      </c>
      <c r="C283">
        <v>2077.900000095367</v>
      </c>
      <c r="D283" t="s">
        <v>957</v>
      </c>
      <c r="E283" t="s">
        <v>958</v>
      </c>
      <c r="F283">
        <v>2</v>
      </c>
      <c r="G283" t="s">
        <v>908</v>
      </c>
      <c r="H283" t="s">
        <v>414</v>
      </c>
      <c r="I283">
        <v>1651866297.5</v>
      </c>
      <c r="J283">
        <f>(K283)/1000</f>
        <v>0</v>
      </c>
      <c r="K283">
        <f>IF(CZ283, AN283, AH283)</f>
        <v>0</v>
      </c>
      <c r="L283">
        <f>IF(CZ283, AI283, AG283)</f>
        <v>0</v>
      </c>
      <c r="M283">
        <f>DB283 - IF(AU283&gt;1, L283*CV283*100.0/(AW283*DP283), 0)</f>
        <v>0</v>
      </c>
      <c r="N283">
        <f>((T283-J283/2)*M283-L283)/(T283+J283/2)</f>
        <v>0</v>
      </c>
      <c r="O283">
        <f>N283*(DI283+DJ283)/1000.0</f>
        <v>0</v>
      </c>
      <c r="P283">
        <f>(DB283 - IF(AU283&gt;1, L283*CV283*100.0/(AW283*DP283), 0))*(DI283+DJ283)/1000.0</f>
        <v>0</v>
      </c>
      <c r="Q283">
        <f>2.0/((1/S283-1/R283)+SIGN(S283)*SQRT((1/S283-1/R283)*(1/S283-1/R283) + 4*CW283/((CW283+1)*(CW283+1))*(2*1/S283*1/R283-1/R283*1/R283)))</f>
        <v>0</v>
      </c>
      <c r="R283">
        <f>IF(LEFT(CX283,1)&lt;&gt;"0",IF(LEFT(CX283,1)="1",3.0,CY283),$D$5+$E$5*(DP283*DI283/($K$5*1000))+$F$5*(DP283*DI283/($K$5*1000))*MAX(MIN(CV283,$J$5),$I$5)*MAX(MIN(CV283,$J$5),$I$5)+$G$5*MAX(MIN(CV283,$J$5),$I$5)*(DP283*DI283/($K$5*1000))+$H$5*(DP283*DI283/($K$5*1000))*(DP283*DI283/($K$5*1000)))</f>
        <v>0</v>
      </c>
      <c r="S283">
        <f>J283*(1000-(1000*0.61365*exp(17.502*W283/(240.97+W283))/(DI283+DJ283)+DD283)/2)/(1000*0.61365*exp(17.502*W283/(240.97+W283))/(DI283+DJ283)-DD283)</f>
        <v>0</v>
      </c>
      <c r="T283">
        <f>1/((CW283+1)/(Q283/1.6)+1/(R283/1.37)) + CW283/((CW283+1)/(Q283/1.6) + CW283/(R283/1.37))</f>
        <v>0</v>
      </c>
      <c r="U283">
        <f>(CR283*CU283)</f>
        <v>0</v>
      </c>
      <c r="V283">
        <f>(DK283+(U283+2*0.95*5.67E-8*(((DK283+$B$7)+273)^4-(DK283+273)^4)-44100*J283)/(1.84*29.3*R283+8*0.95*5.67E-8*(DK283+273)^3))</f>
        <v>0</v>
      </c>
      <c r="W283">
        <f>($C$7*DL283+$D$7*DM283+$E$7*V283)</f>
        <v>0</v>
      </c>
      <c r="X283">
        <f>0.61365*exp(17.502*W283/(240.97+W283))</f>
        <v>0</v>
      </c>
      <c r="Y283">
        <f>(Z283/AA283*100)</f>
        <v>0</v>
      </c>
      <c r="Z283">
        <f>DD283*(DI283+DJ283)/1000</f>
        <v>0</v>
      </c>
      <c r="AA283">
        <f>0.61365*exp(17.502*DK283/(240.97+DK283))</f>
        <v>0</v>
      </c>
      <c r="AB283">
        <f>(X283-DD283*(DI283+DJ283)/1000)</f>
        <v>0</v>
      </c>
      <c r="AC283">
        <f>(-J283*44100)</f>
        <v>0</v>
      </c>
      <c r="AD283">
        <f>2*29.3*R283*0.92*(DK283-W283)</f>
        <v>0</v>
      </c>
      <c r="AE283">
        <f>2*0.95*5.67E-8*(((DK283+$B$7)+273)^4-(W283+273)^4)</f>
        <v>0</v>
      </c>
      <c r="AF283">
        <f>U283+AE283+AC283+AD283</f>
        <v>0</v>
      </c>
      <c r="AG283">
        <f>DH283*AU283*(DC283-DB283*(1000-AU283*DE283)/(1000-AU283*DD283))/(100*CV283)</f>
        <v>0</v>
      </c>
      <c r="AH283">
        <f>1000*DH283*AU283*(DD283-DE283)/(100*CV283*(1000-AU283*DD283))</f>
        <v>0</v>
      </c>
      <c r="AI283">
        <f>(AJ283 - AK283 - DI283*1E3/(8.314*(DK283+273.15)) * AM283/DH283 * AL283) * DH283/(100*CV283) * (1000 - DE283)/1000</f>
        <v>0</v>
      </c>
      <c r="AJ283">
        <v>134.9305285669346</v>
      </c>
      <c r="AK283">
        <v>116.2458</v>
      </c>
      <c r="AL283">
        <v>2.986330207024737</v>
      </c>
      <c r="AM283">
        <v>66.38195617057868</v>
      </c>
      <c r="AN283">
        <f>(AP283 - AO283 + DI283*1E3/(8.314*(DK283+273.15)) * AR283/DH283 * AQ283) * DH283/(100*CV283) * 1000/(1000 - AP283)</f>
        <v>0</v>
      </c>
      <c r="AO283">
        <v>9.421451516576408</v>
      </c>
      <c r="AP283">
        <v>18.54650764705882</v>
      </c>
      <c r="AQ283">
        <v>-0.0004151738694156219</v>
      </c>
      <c r="AR283">
        <v>80.47178418790507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MAX(0,($B$13+$C$13*DP283)/(1+$D$13*DP283)*DI283/(DK283+273)*$E$13)</f>
        <v>0</v>
      </c>
      <c r="AX283" t="s">
        <v>417</v>
      </c>
      <c r="AY283" t="s">
        <v>417</v>
      </c>
      <c r="AZ283">
        <v>0</v>
      </c>
      <c r="BA283">
        <v>0</v>
      </c>
      <c r="BB283">
        <f>1-AZ283/BA283</f>
        <v>0</v>
      </c>
      <c r="BC283">
        <v>0</v>
      </c>
      <c r="BD283" t="s">
        <v>417</v>
      </c>
      <c r="BE283" t="s">
        <v>417</v>
      </c>
      <c r="BF283">
        <v>0</v>
      </c>
      <c r="BG283">
        <v>0</v>
      </c>
      <c r="BH283">
        <f>1-BF283/BG283</f>
        <v>0</v>
      </c>
      <c r="BI283">
        <v>0.5</v>
      </c>
      <c r="BJ283">
        <f>CS283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417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BZ283">
        <v>1249</v>
      </c>
      <c r="CA283">
        <v>300</v>
      </c>
      <c r="CB283">
        <v>300</v>
      </c>
      <c r="CC283">
        <v>300</v>
      </c>
      <c r="CD283">
        <v>10442.4</v>
      </c>
      <c r="CE283">
        <v>1239.69</v>
      </c>
      <c r="CF283">
        <v>-0.00735276</v>
      </c>
      <c r="CG283">
        <v>0.07000000000000001</v>
      </c>
      <c r="CH283" t="s">
        <v>417</v>
      </c>
      <c r="CI283" t="s">
        <v>417</v>
      </c>
      <c r="CJ283" t="s">
        <v>417</v>
      </c>
      <c r="CK283" t="s">
        <v>417</v>
      </c>
      <c r="CL283" t="s">
        <v>417</v>
      </c>
      <c r="CM283" t="s">
        <v>417</v>
      </c>
      <c r="CN283" t="s">
        <v>417</v>
      </c>
      <c r="CO283" t="s">
        <v>417</v>
      </c>
      <c r="CP283" t="s">
        <v>417</v>
      </c>
      <c r="CQ283" t="s">
        <v>417</v>
      </c>
      <c r="CR283">
        <f>$B$11*DQ283+$C$11*DR283+$F$11*EC283*(1-EF283)</f>
        <v>0</v>
      </c>
      <c r="CS283">
        <f>CR283*CT283</f>
        <v>0</v>
      </c>
      <c r="CT283">
        <f>($B$11*$D$9+$C$11*$D$9+$F$11*((EP283+EH283)/MAX(EP283+EH283+EQ283, 0.1)*$I$9+EQ283/MAX(EP283+EH283+EQ283, 0.1)*$J$9))/($B$11+$C$11+$F$11)</f>
        <v>0</v>
      </c>
      <c r="CU283">
        <f>($B$11*$K$9+$C$11*$K$9+$F$11*((EP283+EH283)/MAX(EP283+EH283+EQ283, 0.1)*$P$9+EQ283/MAX(EP283+EH283+EQ283, 0.1)*$Q$9))/($B$11+$C$11+$F$11)</f>
        <v>0</v>
      </c>
      <c r="CV283">
        <v>6</v>
      </c>
      <c r="CW283">
        <v>0.5</v>
      </c>
      <c r="CX283" t="s">
        <v>418</v>
      </c>
      <c r="CY283">
        <v>2</v>
      </c>
      <c r="CZ283" t="b">
        <v>1</v>
      </c>
      <c r="DA283">
        <v>1651866297.5</v>
      </c>
      <c r="DB283">
        <v>112.6303333333333</v>
      </c>
      <c r="DC283">
        <v>139.3</v>
      </c>
      <c r="DD283">
        <v>18.54543333333334</v>
      </c>
      <c r="DE283">
        <v>9.41878</v>
      </c>
      <c r="DF283">
        <v>113.0156666666667</v>
      </c>
      <c r="DG283">
        <v>18.52213333333333</v>
      </c>
      <c r="DH283">
        <v>500.0556666666667</v>
      </c>
      <c r="DI283">
        <v>89.91926666666666</v>
      </c>
      <c r="DJ283">
        <v>0.09998256666666666</v>
      </c>
      <c r="DK283">
        <v>25.8515</v>
      </c>
      <c r="DL283">
        <v>25.0024</v>
      </c>
      <c r="DM283">
        <v>999.9</v>
      </c>
      <c r="DN283">
        <v>0</v>
      </c>
      <c r="DO283">
        <v>0</v>
      </c>
      <c r="DP283">
        <v>10018.73333333333</v>
      </c>
      <c r="DQ283">
        <v>0</v>
      </c>
      <c r="DR283">
        <v>3.208983333333334</v>
      </c>
      <c r="DS283">
        <v>-26.66983333333333</v>
      </c>
      <c r="DT283">
        <v>114.7586666666667</v>
      </c>
      <c r="DU283">
        <v>140.6246666666667</v>
      </c>
      <c r="DV283">
        <v>9.126666666666667</v>
      </c>
      <c r="DW283">
        <v>139.3</v>
      </c>
      <c r="DX283">
        <v>9.41878</v>
      </c>
      <c r="DY283">
        <v>1.667593333333333</v>
      </c>
      <c r="DZ283">
        <v>0.8469300000000001</v>
      </c>
      <c r="EA283">
        <v>14.598</v>
      </c>
      <c r="EB283">
        <v>4.519193333333333</v>
      </c>
      <c r="EC283">
        <v>1499.943333333333</v>
      </c>
      <c r="ED283">
        <v>0.9729930000000001</v>
      </c>
      <c r="EE283">
        <v>0.0270069</v>
      </c>
      <c r="EF283">
        <v>0</v>
      </c>
      <c r="EG283">
        <v>851.619</v>
      </c>
      <c r="EH283">
        <v>5.00097</v>
      </c>
      <c r="EI283">
        <v>12686.33333333333</v>
      </c>
      <c r="EJ283">
        <v>12491.1</v>
      </c>
      <c r="EK283">
        <v>38.437</v>
      </c>
      <c r="EL283">
        <v>40.562</v>
      </c>
      <c r="EM283">
        <v>38.75</v>
      </c>
      <c r="EN283">
        <v>40.79133333333333</v>
      </c>
      <c r="EO283">
        <v>39.687</v>
      </c>
      <c r="EP283">
        <v>1454.57</v>
      </c>
      <c r="EQ283">
        <v>40.37</v>
      </c>
      <c r="ER283">
        <v>0</v>
      </c>
      <c r="ES283">
        <v>816.2000000476837</v>
      </c>
      <c r="ET283">
        <v>0</v>
      </c>
      <c r="EU283">
        <v>853.6231600000001</v>
      </c>
      <c r="EV283">
        <v>-18.11238459598359</v>
      </c>
      <c r="EW283">
        <v>-224.3692304404933</v>
      </c>
      <c r="EX283">
        <v>12708.74</v>
      </c>
      <c r="EY283">
        <v>15</v>
      </c>
      <c r="EZ283">
        <v>1651865518.1</v>
      </c>
      <c r="FA283" t="s">
        <v>910</v>
      </c>
      <c r="FB283">
        <v>1651865507.1</v>
      </c>
      <c r="FC283">
        <v>1651865518.1</v>
      </c>
      <c r="FD283">
        <v>8</v>
      </c>
      <c r="FE283">
        <v>0.06</v>
      </c>
      <c r="FF283">
        <v>0</v>
      </c>
      <c r="FG283">
        <v>-0.927</v>
      </c>
      <c r="FH283">
        <v>-0.062</v>
      </c>
      <c r="FI283">
        <v>400</v>
      </c>
      <c r="FJ283">
        <v>11</v>
      </c>
      <c r="FK283">
        <v>0.11</v>
      </c>
      <c r="FL283">
        <v>0.01</v>
      </c>
      <c r="FM283">
        <v>-24.0374475</v>
      </c>
      <c r="FN283">
        <v>-18.44646641651025</v>
      </c>
      <c r="FO283">
        <v>1.798324379802974</v>
      </c>
      <c r="FP283">
        <v>-1</v>
      </c>
      <c r="FQ283">
        <v>9.09912875</v>
      </c>
      <c r="FR283">
        <v>0.2700163227016852</v>
      </c>
      <c r="FS283">
        <v>0.02870276608512669</v>
      </c>
      <c r="FT283">
        <v>-1</v>
      </c>
      <c r="FU283">
        <v>0</v>
      </c>
      <c r="FV283">
        <v>0</v>
      </c>
      <c r="FW283">
        <v>0</v>
      </c>
      <c r="FX283">
        <v>-1</v>
      </c>
      <c r="FY283">
        <v>0</v>
      </c>
      <c r="FZ283">
        <v>0</v>
      </c>
      <c r="GA283" t="s">
        <v>420</v>
      </c>
      <c r="GB283">
        <v>2.98135</v>
      </c>
      <c r="GC283">
        <v>2.70634</v>
      </c>
      <c r="GD283">
        <v>0.0304961</v>
      </c>
      <c r="GE283">
        <v>0.0367682</v>
      </c>
      <c r="GF283">
        <v>0.0884455</v>
      </c>
      <c r="GG283">
        <v>0.0529336</v>
      </c>
      <c r="GH283">
        <v>30633.5</v>
      </c>
      <c r="GI283">
        <v>30502.1</v>
      </c>
      <c r="GJ283">
        <v>29375.2</v>
      </c>
      <c r="GK283">
        <v>29290.9</v>
      </c>
      <c r="GL283">
        <v>35452.8</v>
      </c>
      <c r="GM283">
        <v>36951.3</v>
      </c>
      <c r="GN283">
        <v>41345.7</v>
      </c>
      <c r="GO283">
        <v>41809.3</v>
      </c>
      <c r="GP283">
        <v>1.96633</v>
      </c>
      <c r="GQ283">
        <v>1.85187</v>
      </c>
      <c r="GR283">
        <v>-0.0051409</v>
      </c>
      <c r="GS283">
        <v>0</v>
      </c>
      <c r="GT283">
        <v>25.0854</v>
      </c>
      <c r="GU283">
        <v>999.9</v>
      </c>
      <c r="GV283">
        <v>29.8</v>
      </c>
      <c r="GW283">
        <v>34.2</v>
      </c>
      <c r="GX283">
        <v>17.9051</v>
      </c>
      <c r="GY283">
        <v>62.6176</v>
      </c>
      <c r="GZ283">
        <v>35.5128</v>
      </c>
      <c r="HA283">
        <v>1</v>
      </c>
      <c r="HB283">
        <v>0.0475432</v>
      </c>
      <c r="HC283">
        <v>1.4813</v>
      </c>
      <c r="HD283">
        <v>20.3297</v>
      </c>
      <c r="HE283">
        <v>5.21549</v>
      </c>
      <c r="HF283">
        <v>12.0099</v>
      </c>
      <c r="HG283">
        <v>4.98875</v>
      </c>
      <c r="HH283">
        <v>3.2885</v>
      </c>
      <c r="HI283">
        <v>1030.2</v>
      </c>
      <c r="HJ283">
        <v>9727.5</v>
      </c>
      <c r="HK283">
        <v>5139.4</v>
      </c>
      <c r="HL283">
        <v>25.3</v>
      </c>
      <c r="HM283">
        <v>1.86743</v>
      </c>
      <c r="HN283">
        <v>1.86646</v>
      </c>
      <c r="HO283">
        <v>1.866</v>
      </c>
      <c r="HP283">
        <v>1.86584</v>
      </c>
      <c r="HQ283">
        <v>1.86768</v>
      </c>
      <c r="HR283">
        <v>1.87016</v>
      </c>
      <c r="HS283">
        <v>1.86889</v>
      </c>
      <c r="HT283">
        <v>1.87019</v>
      </c>
      <c r="HU283">
        <v>0</v>
      </c>
      <c r="HV283">
        <v>0</v>
      </c>
      <c r="HW283">
        <v>0</v>
      </c>
      <c r="HX283">
        <v>0</v>
      </c>
      <c r="HY283" t="s">
        <v>421</v>
      </c>
      <c r="HZ283" t="s">
        <v>422</v>
      </c>
      <c r="IA283" t="s">
        <v>423</v>
      </c>
      <c r="IB283" t="s">
        <v>423</v>
      </c>
      <c r="IC283" t="s">
        <v>423</v>
      </c>
      <c r="ID283" t="s">
        <v>423</v>
      </c>
      <c r="IE283">
        <v>0</v>
      </c>
      <c r="IF283">
        <v>100</v>
      </c>
      <c r="IG283">
        <v>100</v>
      </c>
      <c r="IH283">
        <v>-0.391</v>
      </c>
      <c r="II283">
        <v>0.0233</v>
      </c>
      <c r="IJ283">
        <v>-0.1559367209035702</v>
      </c>
      <c r="IK283">
        <v>-0.002077099775823331</v>
      </c>
      <c r="IL283">
        <v>4.593143279902166E-07</v>
      </c>
      <c r="IM283">
        <v>-1.865383991892071E-10</v>
      </c>
      <c r="IN283">
        <v>-0.0607165066849496</v>
      </c>
      <c r="IO283">
        <v>-0.01129461987421345</v>
      </c>
      <c r="IP283">
        <v>0.00116580895745559</v>
      </c>
      <c r="IQ283">
        <v>-1.679085872906199E-05</v>
      </c>
      <c r="IR283">
        <v>2</v>
      </c>
      <c r="IS283">
        <v>2290</v>
      </c>
      <c r="IT283">
        <v>0</v>
      </c>
      <c r="IU283">
        <v>32</v>
      </c>
      <c r="IV283">
        <v>13.2</v>
      </c>
      <c r="IW283">
        <v>13</v>
      </c>
      <c r="IX283">
        <v>0.490723</v>
      </c>
      <c r="IY283">
        <v>2.25098</v>
      </c>
      <c r="IZ283">
        <v>1.39648</v>
      </c>
      <c r="JA283">
        <v>2.35474</v>
      </c>
      <c r="JB283">
        <v>1.49536</v>
      </c>
      <c r="JC283">
        <v>2.34741</v>
      </c>
      <c r="JD283">
        <v>38.0134</v>
      </c>
      <c r="JE283">
        <v>24.0437</v>
      </c>
      <c r="JF283">
        <v>18</v>
      </c>
      <c r="JG283">
        <v>512.494</v>
      </c>
      <c r="JH283">
        <v>425.165</v>
      </c>
      <c r="JI283">
        <v>23.1571</v>
      </c>
      <c r="JJ283">
        <v>27.9396</v>
      </c>
      <c r="JK283">
        <v>29.9999</v>
      </c>
      <c r="JL283">
        <v>27.9709</v>
      </c>
      <c r="JM283">
        <v>27.9178</v>
      </c>
      <c r="JN283">
        <v>9.862170000000001</v>
      </c>
      <c r="JO283">
        <v>44.9415</v>
      </c>
      <c r="JP283">
        <v>0</v>
      </c>
      <c r="JQ283">
        <v>23.1558</v>
      </c>
      <c r="JR283">
        <v>164.334</v>
      </c>
      <c r="JS283">
        <v>9.438470000000001</v>
      </c>
      <c r="JT283">
        <v>100.409</v>
      </c>
      <c r="JU283">
        <v>100.343</v>
      </c>
    </row>
    <row r="284" spans="1:281">
      <c r="A284">
        <v>268</v>
      </c>
      <c r="B284">
        <v>1651866300.5</v>
      </c>
      <c r="C284">
        <v>2079.900000095367</v>
      </c>
      <c r="D284" t="s">
        <v>959</v>
      </c>
      <c r="E284" t="s">
        <v>960</v>
      </c>
      <c r="F284">
        <v>2</v>
      </c>
      <c r="G284" t="s">
        <v>908</v>
      </c>
      <c r="H284" t="s">
        <v>414</v>
      </c>
      <c r="I284">
        <v>1651866299.125</v>
      </c>
      <c r="J284">
        <f>(K284)/1000</f>
        <v>0</v>
      </c>
      <c r="K284">
        <f>IF(CZ284, AN284, AH284)</f>
        <v>0</v>
      </c>
      <c r="L284">
        <f>IF(CZ284, AI284, AG284)</f>
        <v>0</v>
      </c>
      <c r="M284">
        <f>DB284 - IF(AU284&gt;1, L284*CV284*100.0/(AW284*DP284), 0)</f>
        <v>0</v>
      </c>
      <c r="N284">
        <f>((T284-J284/2)*M284-L284)/(T284+J284/2)</f>
        <v>0</v>
      </c>
      <c r="O284">
        <f>N284*(DI284+DJ284)/1000.0</f>
        <v>0</v>
      </c>
      <c r="P284">
        <f>(DB284 - IF(AU284&gt;1, L284*CV284*100.0/(AW284*DP284), 0))*(DI284+DJ284)/1000.0</f>
        <v>0</v>
      </c>
      <c r="Q284">
        <f>2.0/((1/S284-1/R284)+SIGN(S284)*SQRT((1/S284-1/R284)*(1/S284-1/R284) + 4*CW284/((CW284+1)*(CW284+1))*(2*1/S284*1/R284-1/R284*1/R284)))</f>
        <v>0</v>
      </c>
      <c r="R284">
        <f>IF(LEFT(CX284,1)&lt;&gt;"0",IF(LEFT(CX284,1)="1",3.0,CY284),$D$5+$E$5*(DP284*DI284/($K$5*1000))+$F$5*(DP284*DI284/($K$5*1000))*MAX(MIN(CV284,$J$5),$I$5)*MAX(MIN(CV284,$J$5),$I$5)+$G$5*MAX(MIN(CV284,$J$5),$I$5)*(DP284*DI284/($K$5*1000))+$H$5*(DP284*DI284/($K$5*1000))*(DP284*DI284/($K$5*1000)))</f>
        <v>0</v>
      </c>
      <c r="S284">
        <f>J284*(1000-(1000*0.61365*exp(17.502*W284/(240.97+W284))/(DI284+DJ284)+DD284)/2)/(1000*0.61365*exp(17.502*W284/(240.97+W284))/(DI284+DJ284)-DD284)</f>
        <v>0</v>
      </c>
      <c r="T284">
        <f>1/((CW284+1)/(Q284/1.6)+1/(R284/1.37)) + CW284/((CW284+1)/(Q284/1.6) + CW284/(R284/1.37))</f>
        <v>0</v>
      </c>
      <c r="U284">
        <f>(CR284*CU284)</f>
        <v>0</v>
      </c>
      <c r="V284">
        <f>(DK284+(U284+2*0.95*5.67E-8*(((DK284+$B$7)+273)^4-(DK284+273)^4)-44100*J284)/(1.84*29.3*R284+8*0.95*5.67E-8*(DK284+273)^3))</f>
        <v>0</v>
      </c>
      <c r="W284">
        <f>($C$7*DL284+$D$7*DM284+$E$7*V284)</f>
        <v>0</v>
      </c>
      <c r="X284">
        <f>0.61365*exp(17.502*W284/(240.97+W284))</f>
        <v>0</v>
      </c>
      <c r="Y284">
        <f>(Z284/AA284*100)</f>
        <v>0</v>
      </c>
      <c r="Z284">
        <f>DD284*(DI284+DJ284)/1000</f>
        <v>0</v>
      </c>
      <c r="AA284">
        <f>0.61365*exp(17.502*DK284/(240.97+DK284))</f>
        <v>0</v>
      </c>
      <c r="AB284">
        <f>(X284-DD284*(DI284+DJ284)/1000)</f>
        <v>0</v>
      </c>
      <c r="AC284">
        <f>(-J284*44100)</f>
        <v>0</v>
      </c>
      <c r="AD284">
        <f>2*29.3*R284*0.92*(DK284-W284)</f>
        <v>0</v>
      </c>
      <c r="AE284">
        <f>2*0.95*5.67E-8*(((DK284+$B$7)+273)^4-(W284+273)^4)</f>
        <v>0</v>
      </c>
      <c r="AF284">
        <f>U284+AE284+AC284+AD284</f>
        <v>0</v>
      </c>
      <c r="AG284">
        <f>DH284*AU284*(DC284-DB284*(1000-AU284*DE284)/(1000-AU284*DD284))/(100*CV284)</f>
        <v>0</v>
      </c>
      <c r="AH284">
        <f>1000*DH284*AU284*(DD284-DE284)/(100*CV284*(1000-AU284*DD284))</f>
        <v>0</v>
      </c>
      <c r="AI284">
        <f>(AJ284 - AK284 - DI284*1E3/(8.314*(DK284+273.15)) * AM284/DH284 * AL284) * DH284/(100*CV284) * (1000 - DE284)/1000</f>
        <v>0</v>
      </c>
      <c r="AJ284">
        <v>141.3734712339082</v>
      </c>
      <c r="AK284">
        <v>122.2180121212121</v>
      </c>
      <c r="AL284">
        <v>2.983232394002897</v>
      </c>
      <c r="AM284">
        <v>66.38195617057868</v>
      </c>
      <c r="AN284">
        <f>(AP284 - AO284 + DI284*1E3/(8.314*(DK284+273.15)) * AR284/DH284 * AQ284) * DH284/(100*CV284) * 1000/(1000 - AP284)</f>
        <v>0</v>
      </c>
      <c r="AO284">
        <v>9.419821209556687</v>
      </c>
      <c r="AP284">
        <v>18.54273117647059</v>
      </c>
      <c r="AQ284">
        <v>0.0005968598168598044</v>
      </c>
      <c r="AR284">
        <v>80.47178418790507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MAX(0,($B$13+$C$13*DP284)/(1+$D$13*DP284)*DI284/(DK284+273)*$E$13)</f>
        <v>0</v>
      </c>
      <c r="AX284" t="s">
        <v>417</v>
      </c>
      <c r="AY284" t="s">
        <v>417</v>
      </c>
      <c r="AZ284">
        <v>0</v>
      </c>
      <c r="BA284">
        <v>0</v>
      </c>
      <c r="BB284">
        <f>1-AZ284/BA284</f>
        <v>0</v>
      </c>
      <c r="BC284">
        <v>0</v>
      </c>
      <c r="BD284" t="s">
        <v>417</v>
      </c>
      <c r="BE284" t="s">
        <v>417</v>
      </c>
      <c r="BF284">
        <v>0</v>
      </c>
      <c r="BG284">
        <v>0</v>
      </c>
      <c r="BH284">
        <f>1-BF284/BG284</f>
        <v>0</v>
      </c>
      <c r="BI284">
        <v>0.5</v>
      </c>
      <c r="BJ284">
        <f>CS284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417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BZ284">
        <v>1249</v>
      </c>
      <c r="CA284">
        <v>300</v>
      </c>
      <c r="CB284">
        <v>300</v>
      </c>
      <c r="CC284">
        <v>300</v>
      </c>
      <c r="CD284">
        <v>10442.4</v>
      </c>
      <c r="CE284">
        <v>1239.69</v>
      </c>
      <c r="CF284">
        <v>-0.00735276</v>
      </c>
      <c r="CG284">
        <v>0.07000000000000001</v>
      </c>
      <c r="CH284" t="s">
        <v>417</v>
      </c>
      <c r="CI284" t="s">
        <v>417</v>
      </c>
      <c r="CJ284" t="s">
        <v>417</v>
      </c>
      <c r="CK284" t="s">
        <v>417</v>
      </c>
      <c r="CL284" t="s">
        <v>417</v>
      </c>
      <c r="CM284" t="s">
        <v>417</v>
      </c>
      <c r="CN284" t="s">
        <v>417</v>
      </c>
      <c r="CO284" t="s">
        <v>417</v>
      </c>
      <c r="CP284" t="s">
        <v>417</v>
      </c>
      <c r="CQ284" t="s">
        <v>417</v>
      </c>
      <c r="CR284">
        <f>$B$11*DQ284+$C$11*DR284+$F$11*EC284*(1-EF284)</f>
        <v>0</v>
      </c>
      <c r="CS284">
        <f>CR284*CT284</f>
        <v>0</v>
      </c>
      <c r="CT284">
        <f>($B$11*$D$9+$C$11*$D$9+$F$11*((EP284+EH284)/MAX(EP284+EH284+EQ284, 0.1)*$I$9+EQ284/MAX(EP284+EH284+EQ284, 0.1)*$J$9))/($B$11+$C$11+$F$11)</f>
        <v>0</v>
      </c>
      <c r="CU284">
        <f>($B$11*$K$9+$C$11*$K$9+$F$11*((EP284+EH284)/MAX(EP284+EH284+EQ284, 0.1)*$P$9+EQ284/MAX(EP284+EH284+EQ284, 0.1)*$Q$9))/($B$11+$C$11+$F$11)</f>
        <v>0</v>
      </c>
      <c r="CV284">
        <v>6</v>
      </c>
      <c r="CW284">
        <v>0.5</v>
      </c>
      <c r="CX284" t="s">
        <v>418</v>
      </c>
      <c r="CY284">
        <v>2</v>
      </c>
      <c r="CZ284" t="b">
        <v>1</v>
      </c>
      <c r="DA284">
        <v>1651866299.125</v>
      </c>
      <c r="DB284">
        <v>117.3845</v>
      </c>
      <c r="DC284">
        <v>144.62</v>
      </c>
      <c r="DD284">
        <v>18.544</v>
      </c>
      <c r="DE284">
        <v>9.4179175</v>
      </c>
      <c r="DF284">
        <v>117.779</v>
      </c>
      <c r="DG284">
        <v>18.5207</v>
      </c>
      <c r="DH284">
        <v>500.017</v>
      </c>
      <c r="DI284">
        <v>89.9205</v>
      </c>
      <c r="DJ284">
        <v>0.100002725</v>
      </c>
      <c r="DK284">
        <v>25.8534</v>
      </c>
      <c r="DL284">
        <v>24.99925</v>
      </c>
      <c r="DM284">
        <v>999.9</v>
      </c>
      <c r="DN284">
        <v>0</v>
      </c>
      <c r="DO284">
        <v>0</v>
      </c>
      <c r="DP284">
        <v>10014.4</v>
      </c>
      <c r="DQ284">
        <v>0</v>
      </c>
      <c r="DR284">
        <v>3.2171775</v>
      </c>
      <c r="DS284">
        <v>-27.235425</v>
      </c>
      <c r="DT284">
        <v>119.6025</v>
      </c>
      <c r="DU284">
        <v>145.995</v>
      </c>
      <c r="DV284">
        <v>9.1260925</v>
      </c>
      <c r="DW284">
        <v>144.62</v>
      </c>
      <c r="DX284">
        <v>9.4179175</v>
      </c>
      <c r="DY284">
        <v>1.667485</v>
      </c>
      <c r="DZ284">
        <v>0.8468640000000001</v>
      </c>
      <c r="EA284">
        <v>14.597025</v>
      </c>
      <c r="EB284">
        <v>4.518075</v>
      </c>
      <c r="EC284">
        <v>1499.92</v>
      </c>
      <c r="ED284">
        <v>0.972993</v>
      </c>
      <c r="EE284">
        <v>0.0270069</v>
      </c>
      <c r="EF284">
        <v>0</v>
      </c>
      <c r="EG284">
        <v>851.5549999999999</v>
      </c>
      <c r="EH284">
        <v>5.00097</v>
      </c>
      <c r="EI284">
        <v>12679.875</v>
      </c>
      <c r="EJ284">
        <v>12490.875</v>
      </c>
      <c r="EK284">
        <v>38.4685</v>
      </c>
      <c r="EL284">
        <v>40.5935</v>
      </c>
      <c r="EM284">
        <v>38.75</v>
      </c>
      <c r="EN284">
        <v>40.8435</v>
      </c>
      <c r="EO284">
        <v>39.7185</v>
      </c>
      <c r="EP284">
        <v>1454.55</v>
      </c>
      <c r="EQ284">
        <v>40.37</v>
      </c>
      <c r="ER284">
        <v>0</v>
      </c>
      <c r="ES284">
        <v>818</v>
      </c>
      <c r="ET284">
        <v>0</v>
      </c>
      <c r="EU284">
        <v>853.1819615384616</v>
      </c>
      <c r="EV284">
        <v>-18.40584616984652</v>
      </c>
      <c r="EW284">
        <v>-226.0683761986411</v>
      </c>
      <c r="EX284">
        <v>12702.95769230769</v>
      </c>
      <c r="EY284">
        <v>15</v>
      </c>
      <c r="EZ284">
        <v>1651865518.1</v>
      </c>
      <c r="FA284" t="s">
        <v>910</v>
      </c>
      <c r="FB284">
        <v>1651865507.1</v>
      </c>
      <c r="FC284">
        <v>1651865518.1</v>
      </c>
      <c r="FD284">
        <v>8</v>
      </c>
      <c r="FE284">
        <v>0.06</v>
      </c>
      <c r="FF284">
        <v>0</v>
      </c>
      <c r="FG284">
        <v>-0.927</v>
      </c>
      <c r="FH284">
        <v>-0.062</v>
      </c>
      <c r="FI284">
        <v>400</v>
      </c>
      <c r="FJ284">
        <v>11</v>
      </c>
      <c r="FK284">
        <v>0.11</v>
      </c>
      <c r="FL284">
        <v>0.01</v>
      </c>
      <c r="FM284">
        <v>-24.9401875</v>
      </c>
      <c r="FN284">
        <v>-16.30719287054402</v>
      </c>
      <c r="FO284">
        <v>1.58684259587829</v>
      </c>
      <c r="FP284">
        <v>-1</v>
      </c>
      <c r="FQ284">
        <v>9.10928725</v>
      </c>
      <c r="FR284">
        <v>0.2050139212007367</v>
      </c>
      <c r="FS284">
        <v>0.02406913313639482</v>
      </c>
      <c r="FT284">
        <v>-1</v>
      </c>
      <c r="FU284">
        <v>0</v>
      </c>
      <c r="FV284">
        <v>0</v>
      </c>
      <c r="FW284">
        <v>0</v>
      </c>
      <c r="FX284">
        <v>-1</v>
      </c>
      <c r="FY284">
        <v>0</v>
      </c>
      <c r="FZ284">
        <v>0</v>
      </c>
      <c r="GA284" t="s">
        <v>420</v>
      </c>
      <c r="GB284">
        <v>2.98137</v>
      </c>
      <c r="GC284">
        <v>2.70621</v>
      </c>
      <c r="GD284">
        <v>0.0319823</v>
      </c>
      <c r="GE284">
        <v>0.0383666</v>
      </c>
      <c r="GF284">
        <v>0.0884403</v>
      </c>
      <c r="GG284">
        <v>0.0529302</v>
      </c>
      <c r="GH284">
        <v>30587</v>
      </c>
      <c r="GI284">
        <v>30451.6</v>
      </c>
      <c r="GJ284">
        <v>29375.7</v>
      </c>
      <c r="GK284">
        <v>29291.1</v>
      </c>
      <c r="GL284">
        <v>35453.4</v>
      </c>
      <c r="GM284">
        <v>36951.6</v>
      </c>
      <c r="GN284">
        <v>41346.1</v>
      </c>
      <c r="GO284">
        <v>41809.4</v>
      </c>
      <c r="GP284">
        <v>1.96637</v>
      </c>
      <c r="GQ284">
        <v>1.85215</v>
      </c>
      <c r="GR284">
        <v>-0.00540167</v>
      </c>
      <c r="GS284">
        <v>0</v>
      </c>
      <c r="GT284">
        <v>25.0865</v>
      </c>
      <c r="GU284">
        <v>999.9</v>
      </c>
      <c r="GV284">
        <v>29.8</v>
      </c>
      <c r="GW284">
        <v>34.2</v>
      </c>
      <c r="GX284">
        <v>17.904</v>
      </c>
      <c r="GY284">
        <v>62.5676</v>
      </c>
      <c r="GZ284">
        <v>35.4327</v>
      </c>
      <c r="HA284">
        <v>1</v>
      </c>
      <c r="HB284">
        <v>0.0475051</v>
      </c>
      <c r="HC284">
        <v>1.4852</v>
      </c>
      <c r="HD284">
        <v>20.3296</v>
      </c>
      <c r="HE284">
        <v>5.21519</v>
      </c>
      <c r="HF284">
        <v>12.0099</v>
      </c>
      <c r="HG284">
        <v>4.98885</v>
      </c>
      <c r="HH284">
        <v>3.2885</v>
      </c>
      <c r="HI284">
        <v>1030.2</v>
      </c>
      <c r="HJ284">
        <v>9727.5</v>
      </c>
      <c r="HK284">
        <v>5139.4</v>
      </c>
      <c r="HL284">
        <v>25.3</v>
      </c>
      <c r="HM284">
        <v>1.86744</v>
      </c>
      <c r="HN284">
        <v>1.86645</v>
      </c>
      <c r="HO284">
        <v>1.86599</v>
      </c>
      <c r="HP284">
        <v>1.86584</v>
      </c>
      <c r="HQ284">
        <v>1.86768</v>
      </c>
      <c r="HR284">
        <v>1.87017</v>
      </c>
      <c r="HS284">
        <v>1.86889</v>
      </c>
      <c r="HT284">
        <v>1.87018</v>
      </c>
      <c r="HU284">
        <v>0</v>
      </c>
      <c r="HV284">
        <v>0</v>
      </c>
      <c r="HW284">
        <v>0</v>
      </c>
      <c r="HX284">
        <v>0</v>
      </c>
      <c r="HY284" t="s">
        <v>421</v>
      </c>
      <c r="HZ284" t="s">
        <v>422</v>
      </c>
      <c r="IA284" t="s">
        <v>423</v>
      </c>
      <c r="IB284" t="s">
        <v>423</v>
      </c>
      <c r="IC284" t="s">
        <v>423</v>
      </c>
      <c r="ID284" t="s">
        <v>423</v>
      </c>
      <c r="IE284">
        <v>0</v>
      </c>
      <c r="IF284">
        <v>100</v>
      </c>
      <c r="IG284">
        <v>100</v>
      </c>
      <c r="IH284">
        <v>-0.403</v>
      </c>
      <c r="II284">
        <v>0.0234</v>
      </c>
      <c r="IJ284">
        <v>-0.1559367209035702</v>
      </c>
      <c r="IK284">
        <v>-0.002077099775823331</v>
      </c>
      <c r="IL284">
        <v>4.593143279902166E-07</v>
      </c>
      <c r="IM284">
        <v>-1.865383991892071E-10</v>
      </c>
      <c r="IN284">
        <v>-0.0607165066849496</v>
      </c>
      <c r="IO284">
        <v>-0.01129461987421345</v>
      </c>
      <c r="IP284">
        <v>0.00116580895745559</v>
      </c>
      <c r="IQ284">
        <v>-1.679085872906199E-05</v>
      </c>
      <c r="IR284">
        <v>2</v>
      </c>
      <c r="IS284">
        <v>2290</v>
      </c>
      <c r="IT284">
        <v>0</v>
      </c>
      <c r="IU284">
        <v>32</v>
      </c>
      <c r="IV284">
        <v>13.2</v>
      </c>
      <c r="IW284">
        <v>13</v>
      </c>
      <c r="IX284">
        <v>0.505371</v>
      </c>
      <c r="IY284">
        <v>2.2522</v>
      </c>
      <c r="IZ284">
        <v>1.39648</v>
      </c>
      <c r="JA284">
        <v>2.35474</v>
      </c>
      <c r="JB284">
        <v>1.49536</v>
      </c>
      <c r="JC284">
        <v>2.36084</v>
      </c>
      <c r="JD284">
        <v>38.0134</v>
      </c>
      <c r="JE284">
        <v>24.0437</v>
      </c>
      <c r="JF284">
        <v>18</v>
      </c>
      <c r="JG284">
        <v>512.516</v>
      </c>
      <c r="JH284">
        <v>425.321</v>
      </c>
      <c r="JI284">
        <v>23.1569</v>
      </c>
      <c r="JJ284">
        <v>27.9393</v>
      </c>
      <c r="JK284">
        <v>29.9999</v>
      </c>
      <c r="JL284">
        <v>27.9697</v>
      </c>
      <c r="JM284">
        <v>27.9168</v>
      </c>
      <c r="JN284">
        <v>10.1575</v>
      </c>
      <c r="JO284">
        <v>44.9415</v>
      </c>
      <c r="JP284">
        <v>0</v>
      </c>
      <c r="JQ284">
        <v>23.1546</v>
      </c>
      <c r="JR284">
        <v>171.013</v>
      </c>
      <c r="JS284">
        <v>9.4398</v>
      </c>
      <c r="JT284">
        <v>100.41</v>
      </c>
      <c r="JU284">
        <v>100.344</v>
      </c>
    </row>
    <row r="285" spans="1:281">
      <c r="A285">
        <v>269</v>
      </c>
      <c r="B285">
        <v>1651866302.5</v>
      </c>
      <c r="C285">
        <v>2081.900000095367</v>
      </c>
      <c r="D285" t="s">
        <v>961</v>
      </c>
      <c r="E285" t="s">
        <v>962</v>
      </c>
      <c r="F285">
        <v>2</v>
      </c>
      <c r="G285" t="s">
        <v>908</v>
      </c>
      <c r="H285" t="s">
        <v>414</v>
      </c>
      <c r="I285">
        <v>1651866301.5</v>
      </c>
      <c r="J285">
        <f>(K285)/1000</f>
        <v>0</v>
      </c>
      <c r="K285">
        <f>IF(CZ285, AN285, AH285)</f>
        <v>0</v>
      </c>
      <c r="L285">
        <f>IF(CZ285, AI285, AG285)</f>
        <v>0</v>
      </c>
      <c r="M285">
        <f>DB285 - IF(AU285&gt;1, L285*CV285*100.0/(AW285*DP285), 0)</f>
        <v>0</v>
      </c>
      <c r="N285">
        <f>((T285-J285/2)*M285-L285)/(T285+J285/2)</f>
        <v>0</v>
      </c>
      <c r="O285">
        <f>N285*(DI285+DJ285)/1000.0</f>
        <v>0</v>
      </c>
      <c r="P285">
        <f>(DB285 - IF(AU285&gt;1, L285*CV285*100.0/(AW285*DP285), 0))*(DI285+DJ285)/1000.0</f>
        <v>0</v>
      </c>
      <c r="Q285">
        <f>2.0/((1/S285-1/R285)+SIGN(S285)*SQRT((1/S285-1/R285)*(1/S285-1/R285) + 4*CW285/((CW285+1)*(CW285+1))*(2*1/S285*1/R285-1/R285*1/R285)))</f>
        <v>0</v>
      </c>
      <c r="R285">
        <f>IF(LEFT(CX285,1)&lt;&gt;"0",IF(LEFT(CX285,1)="1",3.0,CY285),$D$5+$E$5*(DP285*DI285/($K$5*1000))+$F$5*(DP285*DI285/($K$5*1000))*MAX(MIN(CV285,$J$5),$I$5)*MAX(MIN(CV285,$J$5),$I$5)+$G$5*MAX(MIN(CV285,$J$5),$I$5)*(DP285*DI285/($K$5*1000))+$H$5*(DP285*DI285/($K$5*1000))*(DP285*DI285/($K$5*1000)))</f>
        <v>0</v>
      </c>
      <c r="S285">
        <f>J285*(1000-(1000*0.61365*exp(17.502*W285/(240.97+W285))/(DI285+DJ285)+DD285)/2)/(1000*0.61365*exp(17.502*W285/(240.97+W285))/(DI285+DJ285)-DD285)</f>
        <v>0</v>
      </c>
      <c r="T285">
        <f>1/((CW285+1)/(Q285/1.6)+1/(R285/1.37)) + CW285/((CW285+1)/(Q285/1.6) + CW285/(R285/1.37))</f>
        <v>0</v>
      </c>
      <c r="U285">
        <f>(CR285*CU285)</f>
        <v>0</v>
      </c>
      <c r="V285">
        <f>(DK285+(U285+2*0.95*5.67E-8*(((DK285+$B$7)+273)^4-(DK285+273)^4)-44100*J285)/(1.84*29.3*R285+8*0.95*5.67E-8*(DK285+273)^3))</f>
        <v>0</v>
      </c>
      <c r="W285">
        <f>($C$7*DL285+$D$7*DM285+$E$7*V285)</f>
        <v>0</v>
      </c>
      <c r="X285">
        <f>0.61365*exp(17.502*W285/(240.97+W285))</f>
        <v>0</v>
      </c>
      <c r="Y285">
        <f>(Z285/AA285*100)</f>
        <v>0</v>
      </c>
      <c r="Z285">
        <f>DD285*(DI285+DJ285)/1000</f>
        <v>0</v>
      </c>
      <c r="AA285">
        <f>0.61365*exp(17.502*DK285/(240.97+DK285))</f>
        <v>0</v>
      </c>
      <c r="AB285">
        <f>(X285-DD285*(DI285+DJ285)/1000)</f>
        <v>0</v>
      </c>
      <c r="AC285">
        <f>(-J285*44100)</f>
        <v>0</v>
      </c>
      <c r="AD285">
        <f>2*29.3*R285*0.92*(DK285-W285)</f>
        <v>0</v>
      </c>
      <c r="AE285">
        <f>2*0.95*5.67E-8*(((DK285+$B$7)+273)^4-(W285+273)^4)</f>
        <v>0</v>
      </c>
      <c r="AF285">
        <f>U285+AE285+AC285+AD285</f>
        <v>0</v>
      </c>
      <c r="AG285">
        <f>DH285*AU285*(DC285-DB285*(1000-AU285*DE285)/(1000-AU285*DD285))/(100*CV285)</f>
        <v>0</v>
      </c>
      <c r="AH285">
        <f>1000*DH285*AU285*(DD285-DE285)/(100*CV285*(1000-AU285*DD285))</f>
        <v>0</v>
      </c>
      <c r="AI285">
        <f>(AJ285 - AK285 - DI285*1E3/(8.314*(DK285+273.15)) * AM285/DH285 * AL285) * DH285/(100*CV285) * (1000 - DE285)/1000</f>
        <v>0</v>
      </c>
      <c r="AJ285">
        <v>148.0124011884798</v>
      </c>
      <c r="AK285">
        <v>128.2571151515151</v>
      </c>
      <c r="AL285">
        <v>3.00932513777003</v>
      </c>
      <c r="AM285">
        <v>66.38195617057868</v>
      </c>
      <c r="AN285">
        <f>(AP285 - AO285 + DI285*1E3/(8.314*(DK285+273.15)) * AR285/DH285 * AQ285) * DH285/(100*CV285) * 1000/(1000 - AP285)</f>
        <v>0</v>
      </c>
      <c r="AO285">
        <v>9.418533448418048</v>
      </c>
      <c r="AP285">
        <v>18.54216294117646</v>
      </c>
      <c r="AQ285">
        <v>-6.360774476785861E-05</v>
      </c>
      <c r="AR285">
        <v>80.47178418790507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MAX(0,($B$13+$C$13*DP285)/(1+$D$13*DP285)*DI285/(DK285+273)*$E$13)</f>
        <v>0</v>
      </c>
      <c r="AX285" t="s">
        <v>417</v>
      </c>
      <c r="AY285" t="s">
        <v>417</v>
      </c>
      <c r="AZ285">
        <v>0</v>
      </c>
      <c r="BA285">
        <v>0</v>
      </c>
      <c r="BB285">
        <f>1-AZ285/BA285</f>
        <v>0</v>
      </c>
      <c r="BC285">
        <v>0</v>
      </c>
      <c r="BD285" t="s">
        <v>417</v>
      </c>
      <c r="BE285" t="s">
        <v>417</v>
      </c>
      <c r="BF285">
        <v>0</v>
      </c>
      <c r="BG285">
        <v>0</v>
      </c>
      <c r="BH285">
        <f>1-BF285/BG285</f>
        <v>0</v>
      </c>
      <c r="BI285">
        <v>0.5</v>
      </c>
      <c r="BJ285">
        <f>CS285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417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BZ285">
        <v>1249</v>
      </c>
      <c r="CA285">
        <v>300</v>
      </c>
      <c r="CB285">
        <v>300</v>
      </c>
      <c r="CC285">
        <v>300</v>
      </c>
      <c r="CD285">
        <v>10442.4</v>
      </c>
      <c r="CE285">
        <v>1239.69</v>
      </c>
      <c r="CF285">
        <v>-0.00735276</v>
      </c>
      <c r="CG285">
        <v>0.07000000000000001</v>
      </c>
      <c r="CH285" t="s">
        <v>417</v>
      </c>
      <c r="CI285" t="s">
        <v>417</v>
      </c>
      <c r="CJ285" t="s">
        <v>417</v>
      </c>
      <c r="CK285" t="s">
        <v>417</v>
      </c>
      <c r="CL285" t="s">
        <v>417</v>
      </c>
      <c r="CM285" t="s">
        <v>417</v>
      </c>
      <c r="CN285" t="s">
        <v>417</v>
      </c>
      <c r="CO285" t="s">
        <v>417</v>
      </c>
      <c r="CP285" t="s">
        <v>417</v>
      </c>
      <c r="CQ285" t="s">
        <v>417</v>
      </c>
      <c r="CR285">
        <f>$B$11*DQ285+$C$11*DR285+$F$11*EC285*(1-EF285)</f>
        <v>0</v>
      </c>
      <c r="CS285">
        <f>CR285*CT285</f>
        <v>0</v>
      </c>
      <c r="CT285">
        <f>($B$11*$D$9+$C$11*$D$9+$F$11*((EP285+EH285)/MAX(EP285+EH285+EQ285, 0.1)*$I$9+EQ285/MAX(EP285+EH285+EQ285, 0.1)*$J$9))/($B$11+$C$11+$F$11)</f>
        <v>0</v>
      </c>
      <c r="CU285">
        <f>($B$11*$K$9+$C$11*$K$9+$F$11*((EP285+EH285)/MAX(EP285+EH285+EQ285, 0.1)*$P$9+EQ285/MAX(EP285+EH285+EQ285, 0.1)*$Q$9))/($B$11+$C$11+$F$11)</f>
        <v>0</v>
      </c>
      <c r="CV285">
        <v>6</v>
      </c>
      <c r="CW285">
        <v>0.5</v>
      </c>
      <c r="CX285" t="s">
        <v>418</v>
      </c>
      <c r="CY285">
        <v>2</v>
      </c>
      <c r="CZ285" t="b">
        <v>1</v>
      </c>
      <c r="DA285">
        <v>1651866301.5</v>
      </c>
      <c r="DB285">
        <v>124.395</v>
      </c>
      <c r="DC285">
        <v>152.525</v>
      </c>
      <c r="DD285">
        <v>18.5427</v>
      </c>
      <c r="DE285">
        <v>9.416633333333332</v>
      </c>
      <c r="DF285">
        <v>124.8033333333333</v>
      </c>
      <c r="DG285">
        <v>18.5194</v>
      </c>
      <c r="DH285">
        <v>500.0363333333333</v>
      </c>
      <c r="DI285">
        <v>89.92153333333333</v>
      </c>
      <c r="DJ285">
        <v>0.1000148</v>
      </c>
      <c r="DK285">
        <v>25.85556666666666</v>
      </c>
      <c r="DL285">
        <v>24.99816666666667</v>
      </c>
      <c r="DM285">
        <v>999.9</v>
      </c>
      <c r="DN285">
        <v>0</v>
      </c>
      <c r="DO285">
        <v>0</v>
      </c>
      <c r="DP285">
        <v>10000</v>
      </c>
      <c r="DQ285">
        <v>0</v>
      </c>
      <c r="DR285">
        <v>3.21273</v>
      </c>
      <c r="DS285">
        <v>-28.13003333333333</v>
      </c>
      <c r="DT285">
        <v>126.745</v>
      </c>
      <c r="DU285">
        <v>153.975</v>
      </c>
      <c r="DV285">
        <v>9.126053333333333</v>
      </c>
      <c r="DW285">
        <v>152.525</v>
      </c>
      <c r="DX285">
        <v>9.416633333333332</v>
      </c>
      <c r="DY285">
        <v>1.667386666666667</v>
      </c>
      <c r="DZ285">
        <v>0.8467579999999999</v>
      </c>
      <c r="EA285">
        <v>14.5961</v>
      </c>
      <c r="EB285">
        <v>4.516290000000001</v>
      </c>
      <c r="EC285">
        <v>1499.973333333333</v>
      </c>
      <c r="ED285">
        <v>0.9729946666666667</v>
      </c>
      <c r="EE285">
        <v>0.0270051</v>
      </c>
      <c r="EF285">
        <v>0</v>
      </c>
      <c r="EG285">
        <v>850.5076666666668</v>
      </c>
      <c r="EH285">
        <v>5.00097</v>
      </c>
      <c r="EI285">
        <v>12670.06666666667</v>
      </c>
      <c r="EJ285">
        <v>12491.36666666667</v>
      </c>
      <c r="EK285">
        <v>38.5</v>
      </c>
      <c r="EL285">
        <v>40.625</v>
      </c>
      <c r="EM285">
        <v>38.812</v>
      </c>
      <c r="EN285">
        <v>40.91633333333333</v>
      </c>
      <c r="EO285">
        <v>39.75</v>
      </c>
      <c r="EP285">
        <v>1454.603333333333</v>
      </c>
      <c r="EQ285">
        <v>40.37</v>
      </c>
      <c r="ER285">
        <v>0</v>
      </c>
      <c r="ES285">
        <v>819.7999999523163</v>
      </c>
      <c r="ET285">
        <v>0</v>
      </c>
      <c r="EU285">
        <v>852.53664</v>
      </c>
      <c r="EV285">
        <v>-18.93830772324825</v>
      </c>
      <c r="EW285">
        <v>-230.2230772269426</v>
      </c>
      <c r="EX285">
        <v>12694.992</v>
      </c>
      <c r="EY285">
        <v>15</v>
      </c>
      <c r="EZ285">
        <v>1651865518.1</v>
      </c>
      <c r="FA285" t="s">
        <v>910</v>
      </c>
      <c r="FB285">
        <v>1651865507.1</v>
      </c>
      <c r="FC285">
        <v>1651865518.1</v>
      </c>
      <c r="FD285">
        <v>8</v>
      </c>
      <c r="FE285">
        <v>0.06</v>
      </c>
      <c r="FF285">
        <v>0</v>
      </c>
      <c r="FG285">
        <v>-0.927</v>
      </c>
      <c r="FH285">
        <v>-0.062</v>
      </c>
      <c r="FI285">
        <v>400</v>
      </c>
      <c r="FJ285">
        <v>11</v>
      </c>
      <c r="FK285">
        <v>0.11</v>
      </c>
      <c r="FL285">
        <v>0.01</v>
      </c>
      <c r="FM285">
        <v>-25.30736829268293</v>
      </c>
      <c r="FN285">
        <v>-16.00014355400701</v>
      </c>
      <c r="FO285">
        <v>1.591850413127796</v>
      </c>
      <c r="FP285">
        <v>-1</v>
      </c>
      <c r="FQ285">
        <v>9.112671219512197</v>
      </c>
      <c r="FR285">
        <v>0.1697071777003461</v>
      </c>
      <c r="FS285">
        <v>0.02181253188635554</v>
      </c>
      <c r="FT285">
        <v>-1</v>
      </c>
      <c r="FU285">
        <v>0</v>
      </c>
      <c r="FV285">
        <v>0</v>
      </c>
      <c r="FW285">
        <v>0</v>
      </c>
      <c r="FX285">
        <v>-1</v>
      </c>
      <c r="FY285">
        <v>0</v>
      </c>
      <c r="FZ285">
        <v>0</v>
      </c>
      <c r="GA285" t="s">
        <v>420</v>
      </c>
      <c r="GB285">
        <v>2.9815</v>
      </c>
      <c r="GC285">
        <v>2.7061</v>
      </c>
      <c r="GD285">
        <v>0.0334717</v>
      </c>
      <c r="GE285">
        <v>0.0399668</v>
      </c>
      <c r="GF285">
        <v>0.0884416</v>
      </c>
      <c r="GG285">
        <v>0.0529254</v>
      </c>
      <c r="GH285">
        <v>30540.4</v>
      </c>
      <c r="GI285">
        <v>30401</v>
      </c>
      <c r="GJ285">
        <v>29376.1</v>
      </c>
      <c r="GK285">
        <v>29291.1</v>
      </c>
      <c r="GL285">
        <v>35453.7</v>
      </c>
      <c r="GM285">
        <v>36951.8</v>
      </c>
      <c r="GN285">
        <v>41346.5</v>
      </c>
      <c r="GO285">
        <v>41809.4</v>
      </c>
      <c r="GP285">
        <v>1.9664</v>
      </c>
      <c r="GQ285">
        <v>1.85233</v>
      </c>
      <c r="GR285">
        <v>-0.00528991</v>
      </c>
      <c r="GS285">
        <v>0</v>
      </c>
      <c r="GT285">
        <v>25.0869</v>
      </c>
      <c r="GU285">
        <v>999.9</v>
      </c>
      <c r="GV285">
        <v>29.8</v>
      </c>
      <c r="GW285">
        <v>34.2</v>
      </c>
      <c r="GX285">
        <v>17.9047</v>
      </c>
      <c r="GY285">
        <v>62.3076</v>
      </c>
      <c r="GZ285">
        <v>35.1723</v>
      </c>
      <c r="HA285">
        <v>1</v>
      </c>
      <c r="HB285">
        <v>0.0473145</v>
      </c>
      <c r="HC285">
        <v>1.48983</v>
      </c>
      <c r="HD285">
        <v>20.3297</v>
      </c>
      <c r="HE285">
        <v>5.21534</v>
      </c>
      <c r="HF285">
        <v>12.0099</v>
      </c>
      <c r="HG285">
        <v>4.98875</v>
      </c>
      <c r="HH285">
        <v>3.2885</v>
      </c>
      <c r="HI285">
        <v>1030.2</v>
      </c>
      <c r="HJ285">
        <v>9727.5</v>
      </c>
      <c r="HK285">
        <v>5139.4</v>
      </c>
      <c r="HL285">
        <v>25.3</v>
      </c>
      <c r="HM285">
        <v>1.86745</v>
      </c>
      <c r="HN285">
        <v>1.86645</v>
      </c>
      <c r="HO285">
        <v>1.866</v>
      </c>
      <c r="HP285">
        <v>1.86584</v>
      </c>
      <c r="HQ285">
        <v>1.86768</v>
      </c>
      <c r="HR285">
        <v>1.87018</v>
      </c>
      <c r="HS285">
        <v>1.8689</v>
      </c>
      <c r="HT285">
        <v>1.87016</v>
      </c>
      <c r="HU285">
        <v>0</v>
      </c>
      <c r="HV285">
        <v>0</v>
      </c>
      <c r="HW285">
        <v>0</v>
      </c>
      <c r="HX285">
        <v>0</v>
      </c>
      <c r="HY285" t="s">
        <v>421</v>
      </c>
      <c r="HZ285" t="s">
        <v>422</v>
      </c>
      <c r="IA285" t="s">
        <v>423</v>
      </c>
      <c r="IB285" t="s">
        <v>423</v>
      </c>
      <c r="IC285" t="s">
        <v>423</v>
      </c>
      <c r="ID285" t="s">
        <v>423</v>
      </c>
      <c r="IE285">
        <v>0</v>
      </c>
      <c r="IF285">
        <v>100</v>
      </c>
      <c r="IG285">
        <v>100</v>
      </c>
      <c r="IH285">
        <v>-0.414</v>
      </c>
      <c r="II285">
        <v>0.0233</v>
      </c>
      <c r="IJ285">
        <v>-0.1559367209035702</v>
      </c>
      <c r="IK285">
        <v>-0.002077099775823331</v>
      </c>
      <c r="IL285">
        <v>4.593143279902166E-07</v>
      </c>
      <c r="IM285">
        <v>-1.865383991892071E-10</v>
      </c>
      <c r="IN285">
        <v>-0.0607165066849496</v>
      </c>
      <c r="IO285">
        <v>-0.01129461987421345</v>
      </c>
      <c r="IP285">
        <v>0.00116580895745559</v>
      </c>
      <c r="IQ285">
        <v>-1.679085872906199E-05</v>
      </c>
      <c r="IR285">
        <v>2</v>
      </c>
      <c r="IS285">
        <v>2290</v>
      </c>
      <c r="IT285">
        <v>0</v>
      </c>
      <c r="IU285">
        <v>32</v>
      </c>
      <c r="IV285">
        <v>13.3</v>
      </c>
      <c r="IW285">
        <v>13.1</v>
      </c>
      <c r="IX285">
        <v>0.52002</v>
      </c>
      <c r="IY285">
        <v>2.25464</v>
      </c>
      <c r="IZ285">
        <v>1.39648</v>
      </c>
      <c r="JA285">
        <v>2.35474</v>
      </c>
      <c r="JB285">
        <v>1.49536</v>
      </c>
      <c r="JC285">
        <v>2.32544</v>
      </c>
      <c r="JD285">
        <v>38.0134</v>
      </c>
      <c r="JE285">
        <v>24.0437</v>
      </c>
      <c r="JF285">
        <v>18</v>
      </c>
      <c r="JG285">
        <v>512.528</v>
      </c>
      <c r="JH285">
        <v>425.419</v>
      </c>
      <c r="JI285">
        <v>23.1566</v>
      </c>
      <c r="JJ285">
        <v>27.9384</v>
      </c>
      <c r="JK285">
        <v>29.9998</v>
      </c>
      <c r="JL285">
        <v>27.9691</v>
      </c>
      <c r="JM285">
        <v>27.916</v>
      </c>
      <c r="JN285">
        <v>10.4525</v>
      </c>
      <c r="JO285">
        <v>44.9415</v>
      </c>
      <c r="JP285">
        <v>0</v>
      </c>
      <c r="JQ285">
        <v>23.1546</v>
      </c>
      <c r="JR285">
        <v>177.693</v>
      </c>
      <c r="JS285">
        <v>9.43915</v>
      </c>
      <c r="JT285">
        <v>100.411</v>
      </c>
      <c r="JU285">
        <v>100.344</v>
      </c>
    </row>
    <row r="286" spans="1:281">
      <c r="A286">
        <v>270</v>
      </c>
      <c r="B286">
        <v>1651866304.5</v>
      </c>
      <c r="C286">
        <v>2083.900000095367</v>
      </c>
      <c r="D286" t="s">
        <v>963</v>
      </c>
      <c r="E286" t="s">
        <v>964</v>
      </c>
      <c r="F286">
        <v>2</v>
      </c>
      <c r="G286" t="s">
        <v>908</v>
      </c>
      <c r="H286" t="s">
        <v>414</v>
      </c>
      <c r="I286">
        <v>1651866303.125</v>
      </c>
      <c r="J286">
        <f>(K286)/1000</f>
        <v>0</v>
      </c>
      <c r="K286">
        <f>IF(CZ286, AN286, AH286)</f>
        <v>0</v>
      </c>
      <c r="L286">
        <f>IF(CZ286, AI286, AG286)</f>
        <v>0</v>
      </c>
      <c r="M286">
        <f>DB286 - IF(AU286&gt;1, L286*CV286*100.0/(AW286*DP286), 0)</f>
        <v>0</v>
      </c>
      <c r="N286">
        <f>((T286-J286/2)*M286-L286)/(T286+J286/2)</f>
        <v>0</v>
      </c>
      <c r="O286">
        <f>N286*(DI286+DJ286)/1000.0</f>
        <v>0</v>
      </c>
      <c r="P286">
        <f>(DB286 - IF(AU286&gt;1, L286*CV286*100.0/(AW286*DP286), 0))*(DI286+DJ286)/1000.0</f>
        <v>0</v>
      </c>
      <c r="Q286">
        <f>2.0/((1/S286-1/R286)+SIGN(S286)*SQRT((1/S286-1/R286)*(1/S286-1/R286) + 4*CW286/((CW286+1)*(CW286+1))*(2*1/S286*1/R286-1/R286*1/R286)))</f>
        <v>0</v>
      </c>
      <c r="R286">
        <f>IF(LEFT(CX286,1)&lt;&gt;"0",IF(LEFT(CX286,1)="1",3.0,CY286),$D$5+$E$5*(DP286*DI286/($K$5*1000))+$F$5*(DP286*DI286/($K$5*1000))*MAX(MIN(CV286,$J$5),$I$5)*MAX(MIN(CV286,$J$5),$I$5)+$G$5*MAX(MIN(CV286,$J$5),$I$5)*(DP286*DI286/($K$5*1000))+$H$5*(DP286*DI286/($K$5*1000))*(DP286*DI286/($K$5*1000)))</f>
        <v>0</v>
      </c>
      <c r="S286">
        <f>J286*(1000-(1000*0.61365*exp(17.502*W286/(240.97+W286))/(DI286+DJ286)+DD286)/2)/(1000*0.61365*exp(17.502*W286/(240.97+W286))/(DI286+DJ286)-DD286)</f>
        <v>0</v>
      </c>
      <c r="T286">
        <f>1/((CW286+1)/(Q286/1.6)+1/(R286/1.37)) + CW286/((CW286+1)/(Q286/1.6) + CW286/(R286/1.37))</f>
        <v>0</v>
      </c>
      <c r="U286">
        <f>(CR286*CU286)</f>
        <v>0</v>
      </c>
      <c r="V286">
        <f>(DK286+(U286+2*0.95*5.67E-8*(((DK286+$B$7)+273)^4-(DK286+273)^4)-44100*J286)/(1.84*29.3*R286+8*0.95*5.67E-8*(DK286+273)^3))</f>
        <v>0</v>
      </c>
      <c r="W286">
        <f>($C$7*DL286+$D$7*DM286+$E$7*V286)</f>
        <v>0</v>
      </c>
      <c r="X286">
        <f>0.61365*exp(17.502*W286/(240.97+W286))</f>
        <v>0</v>
      </c>
      <c r="Y286">
        <f>(Z286/AA286*100)</f>
        <v>0</v>
      </c>
      <c r="Z286">
        <f>DD286*(DI286+DJ286)/1000</f>
        <v>0</v>
      </c>
      <c r="AA286">
        <f>0.61365*exp(17.502*DK286/(240.97+DK286))</f>
        <v>0</v>
      </c>
      <c r="AB286">
        <f>(X286-DD286*(DI286+DJ286)/1000)</f>
        <v>0</v>
      </c>
      <c r="AC286">
        <f>(-J286*44100)</f>
        <v>0</v>
      </c>
      <c r="AD286">
        <f>2*29.3*R286*0.92*(DK286-W286)</f>
        <v>0</v>
      </c>
      <c r="AE286">
        <f>2*0.95*5.67E-8*(((DK286+$B$7)+273)^4-(W286+273)^4)</f>
        <v>0</v>
      </c>
      <c r="AF286">
        <f>U286+AE286+AC286+AD286</f>
        <v>0</v>
      </c>
      <c r="AG286">
        <f>DH286*AU286*(DC286-DB286*(1000-AU286*DE286)/(1000-AU286*DD286))/(100*CV286)</f>
        <v>0</v>
      </c>
      <c r="AH286">
        <f>1000*DH286*AU286*(DD286-DE286)/(100*CV286*(1000-AU286*DD286))</f>
        <v>0</v>
      </c>
      <c r="AI286">
        <f>(AJ286 - AK286 - DI286*1E3/(8.314*(DK286+273.15)) * AM286/DH286 * AL286) * DH286/(100*CV286) * (1000 - DE286)/1000</f>
        <v>0</v>
      </c>
      <c r="AJ286">
        <v>154.76214242552</v>
      </c>
      <c r="AK286">
        <v>134.3355818181818</v>
      </c>
      <c r="AL286">
        <v>3.0319240491447</v>
      </c>
      <c r="AM286">
        <v>66.38195617057868</v>
      </c>
      <c r="AN286">
        <f>(AP286 - AO286 + DI286*1E3/(8.314*(DK286+273.15)) * AR286/DH286 * AQ286) * DH286/(100*CV286) * 1000/(1000 - AP286)</f>
        <v>0</v>
      </c>
      <c r="AO286">
        <v>9.417445628410739</v>
      </c>
      <c r="AP286">
        <v>18.54430499999999</v>
      </c>
      <c r="AQ286">
        <v>-0.000288542291203096</v>
      </c>
      <c r="AR286">
        <v>80.47178418790507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MAX(0,($B$13+$C$13*DP286)/(1+$D$13*DP286)*DI286/(DK286+273)*$E$13)</f>
        <v>0</v>
      </c>
      <c r="AX286" t="s">
        <v>417</v>
      </c>
      <c r="AY286" t="s">
        <v>417</v>
      </c>
      <c r="AZ286">
        <v>0</v>
      </c>
      <c r="BA286">
        <v>0</v>
      </c>
      <c r="BB286">
        <f>1-AZ286/BA286</f>
        <v>0</v>
      </c>
      <c r="BC286">
        <v>0</v>
      </c>
      <c r="BD286" t="s">
        <v>417</v>
      </c>
      <c r="BE286" t="s">
        <v>417</v>
      </c>
      <c r="BF286">
        <v>0</v>
      </c>
      <c r="BG286">
        <v>0</v>
      </c>
      <c r="BH286">
        <f>1-BF286/BG286</f>
        <v>0</v>
      </c>
      <c r="BI286">
        <v>0.5</v>
      </c>
      <c r="BJ286">
        <f>CS286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417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BZ286">
        <v>1249</v>
      </c>
      <c r="CA286">
        <v>300</v>
      </c>
      <c r="CB286">
        <v>300</v>
      </c>
      <c r="CC286">
        <v>300</v>
      </c>
      <c r="CD286">
        <v>10442.4</v>
      </c>
      <c r="CE286">
        <v>1239.69</v>
      </c>
      <c r="CF286">
        <v>-0.00735276</v>
      </c>
      <c r="CG286">
        <v>0.07000000000000001</v>
      </c>
      <c r="CH286" t="s">
        <v>417</v>
      </c>
      <c r="CI286" t="s">
        <v>417</v>
      </c>
      <c r="CJ286" t="s">
        <v>417</v>
      </c>
      <c r="CK286" t="s">
        <v>417</v>
      </c>
      <c r="CL286" t="s">
        <v>417</v>
      </c>
      <c r="CM286" t="s">
        <v>417</v>
      </c>
      <c r="CN286" t="s">
        <v>417</v>
      </c>
      <c r="CO286" t="s">
        <v>417</v>
      </c>
      <c r="CP286" t="s">
        <v>417</v>
      </c>
      <c r="CQ286" t="s">
        <v>417</v>
      </c>
      <c r="CR286">
        <f>$B$11*DQ286+$C$11*DR286+$F$11*EC286*(1-EF286)</f>
        <v>0</v>
      </c>
      <c r="CS286">
        <f>CR286*CT286</f>
        <v>0</v>
      </c>
      <c r="CT286">
        <f>($B$11*$D$9+$C$11*$D$9+$F$11*((EP286+EH286)/MAX(EP286+EH286+EQ286, 0.1)*$I$9+EQ286/MAX(EP286+EH286+EQ286, 0.1)*$J$9))/($B$11+$C$11+$F$11)</f>
        <v>0</v>
      </c>
      <c r="CU286">
        <f>($B$11*$K$9+$C$11*$K$9+$F$11*((EP286+EH286)/MAX(EP286+EH286+EQ286, 0.1)*$P$9+EQ286/MAX(EP286+EH286+EQ286, 0.1)*$Q$9))/($B$11+$C$11+$F$11)</f>
        <v>0</v>
      </c>
      <c r="CV286">
        <v>6</v>
      </c>
      <c r="CW286">
        <v>0.5</v>
      </c>
      <c r="CX286" t="s">
        <v>418</v>
      </c>
      <c r="CY286">
        <v>2</v>
      </c>
      <c r="CZ286" t="b">
        <v>1</v>
      </c>
      <c r="DA286">
        <v>1651866303.125</v>
      </c>
      <c r="DB286">
        <v>129.23225</v>
      </c>
      <c r="DC286">
        <v>157.971</v>
      </c>
      <c r="DD286">
        <v>18.5436</v>
      </c>
      <c r="DE286">
        <v>9.415917499999999</v>
      </c>
      <c r="DF286">
        <v>129.65</v>
      </c>
      <c r="DG286">
        <v>18.5203</v>
      </c>
      <c r="DH286">
        <v>500.07725</v>
      </c>
      <c r="DI286">
        <v>89.921575</v>
      </c>
      <c r="DJ286">
        <v>0.1000881</v>
      </c>
      <c r="DK286">
        <v>25.85765</v>
      </c>
      <c r="DL286">
        <v>25.0012</v>
      </c>
      <c r="DM286">
        <v>999.9</v>
      </c>
      <c r="DN286">
        <v>0</v>
      </c>
      <c r="DO286">
        <v>0</v>
      </c>
      <c r="DP286">
        <v>9996.105</v>
      </c>
      <c r="DQ286">
        <v>0</v>
      </c>
      <c r="DR286">
        <v>3.2083975</v>
      </c>
      <c r="DS286">
        <v>-28.7389</v>
      </c>
      <c r="DT286">
        <v>131.674</v>
      </c>
      <c r="DU286">
        <v>159.47275</v>
      </c>
      <c r="DV286">
        <v>9.127695000000001</v>
      </c>
      <c r="DW286">
        <v>157.971</v>
      </c>
      <c r="DX286">
        <v>9.415917499999999</v>
      </c>
      <c r="DY286">
        <v>1.6674725</v>
      </c>
      <c r="DZ286">
        <v>0.8466945</v>
      </c>
      <c r="EA286">
        <v>14.596875</v>
      </c>
      <c r="EB286">
        <v>4.515215</v>
      </c>
      <c r="EC286">
        <v>1499.9075</v>
      </c>
      <c r="ED286">
        <v>0.9729942499999999</v>
      </c>
      <c r="EE286">
        <v>0.02700555</v>
      </c>
      <c r="EF286">
        <v>0</v>
      </c>
      <c r="EG286">
        <v>849.856</v>
      </c>
      <c r="EH286">
        <v>5.00097</v>
      </c>
      <c r="EI286">
        <v>12663.25</v>
      </c>
      <c r="EJ286">
        <v>12490.825</v>
      </c>
      <c r="EK286">
        <v>38.54649999999999</v>
      </c>
      <c r="EL286">
        <v>40.67149999999999</v>
      </c>
      <c r="EM286">
        <v>38.8435</v>
      </c>
      <c r="EN286">
        <v>40.9685</v>
      </c>
      <c r="EO286">
        <v>39.781</v>
      </c>
      <c r="EP286">
        <v>1454.5375</v>
      </c>
      <c r="EQ286">
        <v>40.37</v>
      </c>
      <c r="ER286">
        <v>0</v>
      </c>
      <c r="ES286">
        <v>822.2000000476837</v>
      </c>
      <c r="ET286">
        <v>0</v>
      </c>
      <c r="EU286">
        <v>851.7337999999999</v>
      </c>
      <c r="EV286">
        <v>-20.08284612281913</v>
      </c>
      <c r="EW286">
        <v>-237.0999996549555</v>
      </c>
      <c r="EX286">
        <v>12685.588</v>
      </c>
      <c r="EY286">
        <v>15</v>
      </c>
      <c r="EZ286">
        <v>1651865518.1</v>
      </c>
      <c r="FA286" t="s">
        <v>910</v>
      </c>
      <c r="FB286">
        <v>1651865507.1</v>
      </c>
      <c r="FC286">
        <v>1651865518.1</v>
      </c>
      <c r="FD286">
        <v>8</v>
      </c>
      <c r="FE286">
        <v>0.06</v>
      </c>
      <c r="FF286">
        <v>0</v>
      </c>
      <c r="FG286">
        <v>-0.927</v>
      </c>
      <c r="FH286">
        <v>-0.062</v>
      </c>
      <c r="FI286">
        <v>400</v>
      </c>
      <c r="FJ286">
        <v>11</v>
      </c>
      <c r="FK286">
        <v>0.11</v>
      </c>
      <c r="FL286">
        <v>0.01</v>
      </c>
      <c r="FM286">
        <v>-26.11859</v>
      </c>
      <c r="FN286">
        <v>-15.82920675422137</v>
      </c>
      <c r="FO286">
        <v>1.536332123891185</v>
      </c>
      <c r="FP286">
        <v>-1</v>
      </c>
      <c r="FQ286">
        <v>9.12138625</v>
      </c>
      <c r="FR286">
        <v>0.06990900562847935</v>
      </c>
      <c r="FS286">
        <v>0.01122219757612125</v>
      </c>
      <c r="FT286">
        <v>-1</v>
      </c>
      <c r="FU286">
        <v>0</v>
      </c>
      <c r="FV286">
        <v>0</v>
      </c>
      <c r="FW286">
        <v>0</v>
      </c>
      <c r="FX286">
        <v>-1</v>
      </c>
      <c r="FY286">
        <v>0</v>
      </c>
      <c r="FZ286">
        <v>0</v>
      </c>
      <c r="GA286" t="s">
        <v>420</v>
      </c>
      <c r="GB286">
        <v>2.98147</v>
      </c>
      <c r="GC286">
        <v>2.70615</v>
      </c>
      <c r="GD286">
        <v>0.0349541</v>
      </c>
      <c r="GE286">
        <v>0.0415486</v>
      </c>
      <c r="GF286">
        <v>0.08845359999999999</v>
      </c>
      <c r="GG286">
        <v>0.0529234</v>
      </c>
      <c r="GH286">
        <v>30493.5</v>
      </c>
      <c r="GI286">
        <v>30350.8</v>
      </c>
      <c r="GJ286">
        <v>29376</v>
      </c>
      <c r="GK286">
        <v>29291</v>
      </c>
      <c r="GL286">
        <v>35453.1</v>
      </c>
      <c r="GM286">
        <v>36952</v>
      </c>
      <c r="GN286">
        <v>41346.3</v>
      </c>
      <c r="GO286">
        <v>41809.5</v>
      </c>
      <c r="GP286">
        <v>1.9664</v>
      </c>
      <c r="GQ286">
        <v>1.8524</v>
      </c>
      <c r="GR286">
        <v>-0.00523403</v>
      </c>
      <c r="GS286">
        <v>0</v>
      </c>
      <c r="GT286">
        <v>25.0875</v>
      </c>
      <c r="GU286">
        <v>999.9</v>
      </c>
      <c r="GV286">
        <v>29.8</v>
      </c>
      <c r="GW286">
        <v>34.2</v>
      </c>
      <c r="GX286">
        <v>17.907</v>
      </c>
      <c r="GY286">
        <v>62.4376</v>
      </c>
      <c r="GZ286">
        <v>35.2444</v>
      </c>
      <c r="HA286">
        <v>1</v>
      </c>
      <c r="HB286">
        <v>0.0470605</v>
      </c>
      <c r="HC286">
        <v>1.49204</v>
      </c>
      <c r="HD286">
        <v>20.3297</v>
      </c>
      <c r="HE286">
        <v>5.21609</v>
      </c>
      <c r="HF286">
        <v>12.0099</v>
      </c>
      <c r="HG286">
        <v>4.98885</v>
      </c>
      <c r="HH286">
        <v>3.28858</v>
      </c>
      <c r="HI286">
        <v>1030.2</v>
      </c>
      <c r="HJ286">
        <v>9727.5</v>
      </c>
      <c r="HK286">
        <v>5139.4</v>
      </c>
      <c r="HL286">
        <v>25.3</v>
      </c>
      <c r="HM286">
        <v>1.86743</v>
      </c>
      <c r="HN286">
        <v>1.86645</v>
      </c>
      <c r="HO286">
        <v>1.866</v>
      </c>
      <c r="HP286">
        <v>1.86584</v>
      </c>
      <c r="HQ286">
        <v>1.86768</v>
      </c>
      <c r="HR286">
        <v>1.87017</v>
      </c>
      <c r="HS286">
        <v>1.8689</v>
      </c>
      <c r="HT286">
        <v>1.87018</v>
      </c>
      <c r="HU286">
        <v>0</v>
      </c>
      <c r="HV286">
        <v>0</v>
      </c>
      <c r="HW286">
        <v>0</v>
      </c>
      <c r="HX286">
        <v>0</v>
      </c>
      <c r="HY286" t="s">
        <v>421</v>
      </c>
      <c r="HZ286" t="s">
        <v>422</v>
      </c>
      <c r="IA286" t="s">
        <v>423</v>
      </c>
      <c r="IB286" t="s">
        <v>423</v>
      </c>
      <c r="IC286" t="s">
        <v>423</v>
      </c>
      <c r="ID286" t="s">
        <v>423</v>
      </c>
      <c r="IE286">
        <v>0</v>
      </c>
      <c r="IF286">
        <v>100</v>
      </c>
      <c r="IG286">
        <v>100</v>
      </c>
      <c r="IH286">
        <v>-0.426</v>
      </c>
      <c r="II286">
        <v>0.0234</v>
      </c>
      <c r="IJ286">
        <v>-0.1559367209035702</v>
      </c>
      <c r="IK286">
        <v>-0.002077099775823331</v>
      </c>
      <c r="IL286">
        <v>4.593143279902166E-07</v>
      </c>
      <c r="IM286">
        <v>-1.865383991892071E-10</v>
      </c>
      <c r="IN286">
        <v>-0.0607165066849496</v>
      </c>
      <c r="IO286">
        <v>-0.01129461987421345</v>
      </c>
      <c r="IP286">
        <v>0.00116580895745559</v>
      </c>
      <c r="IQ286">
        <v>-1.679085872906199E-05</v>
      </c>
      <c r="IR286">
        <v>2</v>
      </c>
      <c r="IS286">
        <v>2290</v>
      </c>
      <c r="IT286">
        <v>0</v>
      </c>
      <c r="IU286">
        <v>32</v>
      </c>
      <c r="IV286">
        <v>13.3</v>
      </c>
      <c r="IW286">
        <v>13.1</v>
      </c>
      <c r="IX286">
        <v>0.534668</v>
      </c>
      <c r="IY286">
        <v>2.24854</v>
      </c>
      <c r="IZ286">
        <v>1.39648</v>
      </c>
      <c r="JA286">
        <v>2.35596</v>
      </c>
      <c r="JB286">
        <v>1.49536</v>
      </c>
      <c r="JC286">
        <v>2.2937</v>
      </c>
      <c r="JD286">
        <v>38.0134</v>
      </c>
      <c r="JE286">
        <v>24.0437</v>
      </c>
      <c r="JF286">
        <v>18</v>
      </c>
      <c r="JG286">
        <v>512.518</v>
      </c>
      <c r="JH286">
        <v>425.455</v>
      </c>
      <c r="JI286">
        <v>23.156</v>
      </c>
      <c r="JJ286">
        <v>27.9372</v>
      </c>
      <c r="JK286">
        <v>29.9999</v>
      </c>
      <c r="JL286">
        <v>27.9679</v>
      </c>
      <c r="JM286">
        <v>27.9148</v>
      </c>
      <c r="JN286">
        <v>10.7472</v>
      </c>
      <c r="JO286">
        <v>44.9415</v>
      </c>
      <c r="JP286">
        <v>0</v>
      </c>
      <c r="JQ286">
        <v>23.1546</v>
      </c>
      <c r="JR286">
        <v>184.372</v>
      </c>
      <c r="JS286">
        <v>9.439159999999999</v>
      </c>
      <c r="JT286">
        <v>100.411</v>
      </c>
      <c r="JU286">
        <v>100.344</v>
      </c>
    </row>
    <row r="287" spans="1:281">
      <c r="A287">
        <v>271</v>
      </c>
      <c r="B287">
        <v>1651866306.5</v>
      </c>
      <c r="C287">
        <v>2085.900000095367</v>
      </c>
      <c r="D287" t="s">
        <v>965</v>
      </c>
      <c r="E287" t="s">
        <v>966</v>
      </c>
      <c r="F287">
        <v>2</v>
      </c>
      <c r="G287" t="s">
        <v>908</v>
      </c>
      <c r="H287" t="s">
        <v>414</v>
      </c>
      <c r="I287">
        <v>1651866305.5</v>
      </c>
      <c r="J287">
        <f>(K287)/1000</f>
        <v>0</v>
      </c>
      <c r="K287">
        <f>IF(CZ287, AN287, AH287)</f>
        <v>0</v>
      </c>
      <c r="L287">
        <f>IF(CZ287, AI287, AG287)</f>
        <v>0</v>
      </c>
      <c r="M287">
        <f>DB287 - IF(AU287&gt;1, L287*CV287*100.0/(AW287*DP287), 0)</f>
        <v>0</v>
      </c>
      <c r="N287">
        <f>((T287-J287/2)*M287-L287)/(T287+J287/2)</f>
        <v>0</v>
      </c>
      <c r="O287">
        <f>N287*(DI287+DJ287)/1000.0</f>
        <v>0</v>
      </c>
      <c r="P287">
        <f>(DB287 - IF(AU287&gt;1, L287*CV287*100.0/(AW287*DP287), 0))*(DI287+DJ287)/1000.0</f>
        <v>0</v>
      </c>
      <c r="Q287">
        <f>2.0/((1/S287-1/R287)+SIGN(S287)*SQRT((1/S287-1/R287)*(1/S287-1/R287) + 4*CW287/((CW287+1)*(CW287+1))*(2*1/S287*1/R287-1/R287*1/R287)))</f>
        <v>0</v>
      </c>
      <c r="R287">
        <f>IF(LEFT(CX287,1)&lt;&gt;"0",IF(LEFT(CX287,1)="1",3.0,CY287),$D$5+$E$5*(DP287*DI287/($K$5*1000))+$F$5*(DP287*DI287/($K$5*1000))*MAX(MIN(CV287,$J$5),$I$5)*MAX(MIN(CV287,$J$5),$I$5)+$G$5*MAX(MIN(CV287,$J$5),$I$5)*(DP287*DI287/($K$5*1000))+$H$5*(DP287*DI287/($K$5*1000))*(DP287*DI287/($K$5*1000)))</f>
        <v>0</v>
      </c>
      <c r="S287">
        <f>J287*(1000-(1000*0.61365*exp(17.502*W287/(240.97+W287))/(DI287+DJ287)+DD287)/2)/(1000*0.61365*exp(17.502*W287/(240.97+W287))/(DI287+DJ287)-DD287)</f>
        <v>0</v>
      </c>
      <c r="T287">
        <f>1/((CW287+1)/(Q287/1.6)+1/(R287/1.37)) + CW287/((CW287+1)/(Q287/1.6) + CW287/(R287/1.37))</f>
        <v>0</v>
      </c>
      <c r="U287">
        <f>(CR287*CU287)</f>
        <v>0</v>
      </c>
      <c r="V287">
        <f>(DK287+(U287+2*0.95*5.67E-8*(((DK287+$B$7)+273)^4-(DK287+273)^4)-44100*J287)/(1.84*29.3*R287+8*0.95*5.67E-8*(DK287+273)^3))</f>
        <v>0</v>
      </c>
      <c r="W287">
        <f>($C$7*DL287+$D$7*DM287+$E$7*V287)</f>
        <v>0</v>
      </c>
      <c r="X287">
        <f>0.61365*exp(17.502*W287/(240.97+W287))</f>
        <v>0</v>
      </c>
      <c r="Y287">
        <f>(Z287/AA287*100)</f>
        <v>0</v>
      </c>
      <c r="Z287">
        <f>DD287*(DI287+DJ287)/1000</f>
        <v>0</v>
      </c>
      <c r="AA287">
        <f>0.61365*exp(17.502*DK287/(240.97+DK287))</f>
        <v>0</v>
      </c>
      <c r="AB287">
        <f>(X287-DD287*(DI287+DJ287)/1000)</f>
        <v>0</v>
      </c>
      <c r="AC287">
        <f>(-J287*44100)</f>
        <v>0</v>
      </c>
      <c r="AD287">
        <f>2*29.3*R287*0.92*(DK287-W287)</f>
        <v>0</v>
      </c>
      <c r="AE287">
        <f>2*0.95*5.67E-8*(((DK287+$B$7)+273)^4-(W287+273)^4)</f>
        <v>0</v>
      </c>
      <c r="AF287">
        <f>U287+AE287+AC287+AD287</f>
        <v>0</v>
      </c>
      <c r="AG287">
        <f>DH287*AU287*(DC287-DB287*(1000-AU287*DE287)/(1000-AU287*DD287))/(100*CV287)</f>
        <v>0</v>
      </c>
      <c r="AH287">
        <f>1000*DH287*AU287*(DD287-DE287)/(100*CV287*(1000-AU287*DD287))</f>
        <v>0</v>
      </c>
      <c r="AI287">
        <f>(AJ287 - AK287 - DI287*1E3/(8.314*(DK287+273.15)) * AM287/DH287 * AL287) * DH287/(100*CV287) * (1000 - DE287)/1000</f>
        <v>0</v>
      </c>
      <c r="AJ287">
        <v>161.5166145011552</v>
      </c>
      <c r="AK287">
        <v>140.440096969697</v>
      </c>
      <c r="AL287">
        <v>3.04811180612839</v>
      </c>
      <c r="AM287">
        <v>66.38195617057868</v>
      </c>
      <c r="AN287">
        <f>(AP287 - AO287 + DI287*1E3/(8.314*(DK287+273.15)) * AR287/DH287 * AQ287) * DH287/(100*CV287) * 1000/(1000 - AP287)</f>
        <v>0</v>
      </c>
      <c r="AO287">
        <v>9.416365050907229</v>
      </c>
      <c r="AP287">
        <v>18.54961</v>
      </c>
      <c r="AQ287">
        <v>-0.0001797598061376507</v>
      </c>
      <c r="AR287">
        <v>80.47178418790507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MAX(0,($B$13+$C$13*DP287)/(1+$D$13*DP287)*DI287/(DK287+273)*$E$13)</f>
        <v>0</v>
      </c>
      <c r="AX287" t="s">
        <v>417</v>
      </c>
      <c r="AY287" t="s">
        <v>417</v>
      </c>
      <c r="AZ287">
        <v>0</v>
      </c>
      <c r="BA287">
        <v>0</v>
      </c>
      <c r="BB287">
        <f>1-AZ287/BA287</f>
        <v>0</v>
      </c>
      <c r="BC287">
        <v>0</v>
      </c>
      <c r="BD287" t="s">
        <v>417</v>
      </c>
      <c r="BE287" t="s">
        <v>417</v>
      </c>
      <c r="BF287">
        <v>0</v>
      </c>
      <c r="BG287">
        <v>0</v>
      </c>
      <c r="BH287">
        <f>1-BF287/BG287</f>
        <v>0</v>
      </c>
      <c r="BI287">
        <v>0.5</v>
      </c>
      <c r="BJ287">
        <f>CS287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417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BZ287">
        <v>1249</v>
      </c>
      <c r="CA287">
        <v>300</v>
      </c>
      <c r="CB287">
        <v>300</v>
      </c>
      <c r="CC287">
        <v>300</v>
      </c>
      <c r="CD287">
        <v>10442.4</v>
      </c>
      <c r="CE287">
        <v>1239.69</v>
      </c>
      <c r="CF287">
        <v>-0.00735276</v>
      </c>
      <c r="CG287">
        <v>0.07000000000000001</v>
      </c>
      <c r="CH287" t="s">
        <v>417</v>
      </c>
      <c r="CI287" t="s">
        <v>417</v>
      </c>
      <c r="CJ287" t="s">
        <v>417</v>
      </c>
      <c r="CK287" t="s">
        <v>417</v>
      </c>
      <c r="CL287" t="s">
        <v>417</v>
      </c>
      <c r="CM287" t="s">
        <v>417</v>
      </c>
      <c r="CN287" t="s">
        <v>417</v>
      </c>
      <c r="CO287" t="s">
        <v>417</v>
      </c>
      <c r="CP287" t="s">
        <v>417</v>
      </c>
      <c r="CQ287" t="s">
        <v>417</v>
      </c>
      <c r="CR287">
        <f>$B$11*DQ287+$C$11*DR287+$F$11*EC287*(1-EF287)</f>
        <v>0</v>
      </c>
      <c r="CS287">
        <f>CR287*CT287</f>
        <v>0</v>
      </c>
      <c r="CT287">
        <f>($B$11*$D$9+$C$11*$D$9+$F$11*((EP287+EH287)/MAX(EP287+EH287+EQ287, 0.1)*$I$9+EQ287/MAX(EP287+EH287+EQ287, 0.1)*$J$9))/($B$11+$C$11+$F$11)</f>
        <v>0</v>
      </c>
      <c r="CU287">
        <f>($B$11*$K$9+$C$11*$K$9+$F$11*((EP287+EH287)/MAX(EP287+EH287+EQ287, 0.1)*$P$9+EQ287/MAX(EP287+EH287+EQ287, 0.1)*$Q$9))/($B$11+$C$11+$F$11)</f>
        <v>0</v>
      </c>
      <c r="CV287">
        <v>6</v>
      </c>
      <c r="CW287">
        <v>0.5</v>
      </c>
      <c r="CX287" t="s">
        <v>418</v>
      </c>
      <c r="CY287">
        <v>2</v>
      </c>
      <c r="CZ287" t="b">
        <v>1</v>
      </c>
      <c r="DA287">
        <v>1651866305.5</v>
      </c>
      <c r="DB287">
        <v>136.3323333333334</v>
      </c>
      <c r="DC287">
        <v>165.9106666666667</v>
      </c>
      <c r="DD287">
        <v>18.5483</v>
      </c>
      <c r="DE287">
        <v>9.415293333333333</v>
      </c>
      <c r="DF287">
        <v>136.764</v>
      </c>
      <c r="DG287">
        <v>18.52493333333333</v>
      </c>
      <c r="DH287">
        <v>500.042</v>
      </c>
      <c r="DI287">
        <v>89.92116666666668</v>
      </c>
      <c r="DJ287">
        <v>0.1000596666666667</v>
      </c>
      <c r="DK287">
        <v>25.85963333333333</v>
      </c>
      <c r="DL287">
        <v>25.00206666666667</v>
      </c>
      <c r="DM287">
        <v>999.9</v>
      </c>
      <c r="DN287">
        <v>0</v>
      </c>
      <c r="DO287">
        <v>0</v>
      </c>
      <c r="DP287">
        <v>9987.083333333334</v>
      </c>
      <c r="DQ287">
        <v>0</v>
      </c>
      <c r="DR287">
        <v>3.223033333333333</v>
      </c>
      <c r="DS287">
        <v>-29.57826666666667</v>
      </c>
      <c r="DT287">
        <v>138.909</v>
      </c>
      <c r="DU287">
        <v>167.4876666666667</v>
      </c>
      <c r="DV287">
        <v>9.133016666666668</v>
      </c>
      <c r="DW287">
        <v>165.9106666666667</v>
      </c>
      <c r="DX287">
        <v>9.415293333333333</v>
      </c>
      <c r="DY287">
        <v>1.667883333333333</v>
      </c>
      <c r="DZ287">
        <v>0.846634</v>
      </c>
      <c r="EA287">
        <v>14.60073333333333</v>
      </c>
      <c r="EB287">
        <v>4.5142</v>
      </c>
      <c r="EC287">
        <v>1500.09</v>
      </c>
      <c r="ED287">
        <v>0.972998</v>
      </c>
      <c r="EE287">
        <v>0.0270015</v>
      </c>
      <c r="EF287">
        <v>0</v>
      </c>
      <c r="EG287">
        <v>848.8773333333334</v>
      </c>
      <c r="EH287">
        <v>5.00097</v>
      </c>
      <c r="EI287">
        <v>12654.56666666667</v>
      </c>
      <c r="EJ287">
        <v>12492.33333333333</v>
      </c>
      <c r="EK287">
        <v>38.562</v>
      </c>
      <c r="EL287">
        <v>40.687</v>
      </c>
      <c r="EM287">
        <v>38.875</v>
      </c>
      <c r="EN287">
        <v>41</v>
      </c>
      <c r="EO287">
        <v>39.854</v>
      </c>
      <c r="EP287">
        <v>1454.72</v>
      </c>
      <c r="EQ287">
        <v>40.37</v>
      </c>
      <c r="ER287">
        <v>0</v>
      </c>
      <c r="ES287">
        <v>824</v>
      </c>
      <c r="ET287">
        <v>0</v>
      </c>
      <c r="EU287">
        <v>851.2315769230768</v>
      </c>
      <c r="EV287">
        <v>-20.4278632583351</v>
      </c>
      <c r="EW287">
        <v>-239.0666668364333</v>
      </c>
      <c r="EX287">
        <v>12679.82692307692</v>
      </c>
      <c r="EY287">
        <v>15</v>
      </c>
      <c r="EZ287">
        <v>1651865518.1</v>
      </c>
      <c r="FA287" t="s">
        <v>910</v>
      </c>
      <c r="FB287">
        <v>1651865507.1</v>
      </c>
      <c r="FC287">
        <v>1651865518.1</v>
      </c>
      <c r="FD287">
        <v>8</v>
      </c>
      <c r="FE287">
        <v>0.06</v>
      </c>
      <c r="FF287">
        <v>0</v>
      </c>
      <c r="FG287">
        <v>-0.927</v>
      </c>
      <c r="FH287">
        <v>-0.062</v>
      </c>
      <c r="FI287">
        <v>400</v>
      </c>
      <c r="FJ287">
        <v>11</v>
      </c>
      <c r="FK287">
        <v>0.11</v>
      </c>
      <c r="FL287">
        <v>0.01</v>
      </c>
      <c r="FM287">
        <v>-26.4117025</v>
      </c>
      <c r="FN287">
        <v>-16.06773996247653</v>
      </c>
      <c r="FO287">
        <v>1.561402110682495</v>
      </c>
      <c r="FP287">
        <v>-1</v>
      </c>
      <c r="FQ287">
        <v>9.1238425</v>
      </c>
      <c r="FR287">
        <v>0.04220487804874869</v>
      </c>
      <c r="FS287">
        <v>0.007059275015892199</v>
      </c>
      <c r="FT287">
        <v>-1</v>
      </c>
      <c r="FU287">
        <v>0</v>
      </c>
      <c r="FV287">
        <v>0</v>
      </c>
      <c r="FW287">
        <v>0</v>
      </c>
      <c r="FX287">
        <v>-1</v>
      </c>
      <c r="FY287">
        <v>0</v>
      </c>
      <c r="FZ287">
        <v>0</v>
      </c>
      <c r="GA287" t="s">
        <v>420</v>
      </c>
      <c r="GB287">
        <v>2.98135</v>
      </c>
      <c r="GC287">
        <v>2.70601</v>
      </c>
      <c r="GD287">
        <v>0.0364409</v>
      </c>
      <c r="GE287">
        <v>0.0431207</v>
      </c>
      <c r="GF287">
        <v>0.0884572</v>
      </c>
      <c r="GG287">
        <v>0.0529235</v>
      </c>
      <c r="GH287">
        <v>30446.4</v>
      </c>
      <c r="GI287">
        <v>30300.9</v>
      </c>
      <c r="GJ287">
        <v>29375.8</v>
      </c>
      <c r="GK287">
        <v>29290.9</v>
      </c>
      <c r="GL287">
        <v>35453</v>
      </c>
      <c r="GM287">
        <v>36952</v>
      </c>
      <c r="GN287">
        <v>41346.3</v>
      </c>
      <c r="GO287">
        <v>41809.5</v>
      </c>
      <c r="GP287">
        <v>1.96653</v>
      </c>
      <c r="GQ287">
        <v>1.85242</v>
      </c>
      <c r="GR287">
        <v>-0.00517815</v>
      </c>
      <c r="GS287">
        <v>0</v>
      </c>
      <c r="GT287">
        <v>25.0886</v>
      </c>
      <c r="GU287">
        <v>999.9</v>
      </c>
      <c r="GV287">
        <v>29.8</v>
      </c>
      <c r="GW287">
        <v>34.2</v>
      </c>
      <c r="GX287">
        <v>17.9055</v>
      </c>
      <c r="GY287">
        <v>62.4776</v>
      </c>
      <c r="GZ287">
        <v>35.5529</v>
      </c>
      <c r="HA287">
        <v>1</v>
      </c>
      <c r="HB287">
        <v>0.0469919</v>
      </c>
      <c r="HC287">
        <v>1.49214</v>
      </c>
      <c r="HD287">
        <v>20.3297</v>
      </c>
      <c r="HE287">
        <v>5.21669</v>
      </c>
      <c r="HF287">
        <v>12.0099</v>
      </c>
      <c r="HG287">
        <v>4.989</v>
      </c>
      <c r="HH287">
        <v>3.28865</v>
      </c>
      <c r="HI287">
        <v>1030.4</v>
      </c>
      <c r="HJ287">
        <v>9728.9</v>
      </c>
      <c r="HK287">
        <v>5139.4</v>
      </c>
      <c r="HL287">
        <v>25.3</v>
      </c>
      <c r="HM287">
        <v>1.86743</v>
      </c>
      <c r="HN287">
        <v>1.86646</v>
      </c>
      <c r="HO287">
        <v>1.866</v>
      </c>
      <c r="HP287">
        <v>1.86584</v>
      </c>
      <c r="HQ287">
        <v>1.86768</v>
      </c>
      <c r="HR287">
        <v>1.87018</v>
      </c>
      <c r="HS287">
        <v>1.8689</v>
      </c>
      <c r="HT287">
        <v>1.87018</v>
      </c>
      <c r="HU287">
        <v>0</v>
      </c>
      <c r="HV287">
        <v>0</v>
      </c>
      <c r="HW287">
        <v>0</v>
      </c>
      <c r="HX287">
        <v>0</v>
      </c>
      <c r="HY287" t="s">
        <v>421</v>
      </c>
      <c r="HZ287" t="s">
        <v>422</v>
      </c>
      <c r="IA287" t="s">
        <v>423</v>
      </c>
      <c r="IB287" t="s">
        <v>423</v>
      </c>
      <c r="IC287" t="s">
        <v>423</v>
      </c>
      <c r="ID287" t="s">
        <v>423</v>
      </c>
      <c r="IE287">
        <v>0</v>
      </c>
      <c r="IF287">
        <v>100</v>
      </c>
      <c r="IG287">
        <v>100</v>
      </c>
      <c r="IH287">
        <v>-0.438</v>
      </c>
      <c r="II287">
        <v>0.0234</v>
      </c>
      <c r="IJ287">
        <v>-0.1559367209035702</v>
      </c>
      <c r="IK287">
        <v>-0.002077099775823331</v>
      </c>
      <c r="IL287">
        <v>4.593143279902166E-07</v>
      </c>
      <c r="IM287">
        <v>-1.865383991892071E-10</v>
      </c>
      <c r="IN287">
        <v>-0.0607165066849496</v>
      </c>
      <c r="IO287">
        <v>-0.01129461987421345</v>
      </c>
      <c r="IP287">
        <v>0.00116580895745559</v>
      </c>
      <c r="IQ287">
        <v>-1.679085872906199E-05</v>
      </c>
      <c r="IR287">
        <v>2</v>
      </c>
      <c r="IS287">
        <v>2290</v>
      </c>
      <c r="IT287">
        <v>0</v>
      </c>
      <c r="IU287">
        <v>32</v>
      </c>
      <c r="IV287">
        <v>13.3</v>
      </c>
      <c r="IW287">
        <v>13.1</v>
      </c>
      <c r="IX287">
        <v>0.549316</v>
      </c>
      <c r="IY287">
        <v>2.24365</v>
      </c>
      <c r="IZ287">
        <v>1.39648</v>
      </c>
      <c r="JA287">
        <v>2.35474</v>
      </c>
      <c r="JB287">
        <v>1.49536</v>
      </c>
      <c r="JC287">
        <v>2.35352</v>
      </c>
      <c r="JD287">
        <v>38.0134</v>
      </c>
      <c r="JE287">
        <v>24.0437</v>
      </c>
      <c r="JF287">
        <v>18</v>
      </c>
      <c r="JG287">
        <v>512.591</v>
      </c>
      <c r="JH287">
        <v>425.466</v>
      </c>
      <c r="JI287">
        <v>23.1555</v>
      </c>
      <c r="JJ287">
        <v>27.937</v>
      </c>
      <c r="JK287">
        <v>29.9999</v>
      </c>
      <c r="JL287">
        <v>27.967</v>
      </c>
      <c r="JM287">
        <v>27.9142</v>
      </c>
      <c r="JN287">
        <v>11.041</v>
      </c>
      <c r="JO287">
        <v>44.9415</v>
      </c>
      <c r="JP287">
        <v>0</v>
      </c>
      <c r="JQ287">
        <v>23.1543</v>
      </c>
      <c r="JR287">
        <v>191.055</v>
      </c>
      <c r="JS287">
        <v>9.44225</v>
      </c>
      <c r="JT287">
        <v>100.41</v>
      </c>
      <c r="JU287">
        <v>100.343</v>
      </c>
    </row>
    <row r="288" spans="1:281">
      <c r="A288">
        <v>272</v>
      </c>
      <c r="B288">
        <v>1651866308</v>
      </c>
      <c r="C288">
        <v>2087.400000095367</v>
      </c>
      <c r="D288" t="s">
        <v>967</v>
      </c>
      <c r="E288" t="s">
        <v>968</v>
      </c>
      <c r="F288">
        <v>2</v>
      </c>
      <c r="G288" t="s">
        <v>908</v>
      </c>
      <c r="H288" t="s">
        <v>414</v>
      </c>
      <c r="I288">
        <v>1651866306.833333</v>
      </c>
      <c r="J288">
        <f>(K288)/1000</f>
        <v>0</v>
      </c>
      <c r="K288">
        <f>IF(CZ288, AN288, AH288)</f>
        <v>0</v>
      </c>
      <c r="L288">
        <f>IF(CZ288, AI288, AG288)</f>
        <v>0</v>
      </c>
      <c r="M288">
        <f>DB288 - IF(AU288&gt;1, L288*CV288*100.0/(AW288*DP288), 0)</f>
        <v>0</v>
      </c>
      <c r="N288">
        <f>((T288-J288/2)*M288-L288)/(T288+J288/2)</f>
        <v>0</v>
      </c>
      <c r="O288">
        <f>N288*(DI288+DJ288)/1000.0</f>
        <v>0</v>
      </c>
      <c r="P288">
        <f>(DB288 - IF(AU288&gt;1, L288*CV288*100.0/(AW288*DP288), 0))*(DI288+DJ288)/1000.0</f>
        <v>0</v>
      </c>
      <c r="Q288">
        <f>2.0/((1/S288-1/R288)+SIGN(S288)*SQRT((1/S288-1/R288)*(1/S288-1/R288) + 4*CW288/((CW288+1)*(CW288+1))*(2*1/S288*1/R288-1/R288*1/R288)))</f>
        <v>0</v>
      </c>
      <c r="R288">
        <f>IF(LEFT(CX288,1)&lt;&gt;"0",IF(LEFT(CX288,1)="1",3.0,CY288),$D$5+$E$5*(DP288*DI288/($K$5*1000))+$F$5*(DP288*DI288/($K$5*1000))*MAX(MIN(CV288,$J$5),$I$5)*MAX(MIN(CV288,$J$5),$I$5)+$G$5*MAX(MIN(CV288,$J$5),$I$5)*(DP288*DI288/($K$5*1000))+$H$5*(DP288*DI288/($K$5*1000))*(DP288*DI288/($K$5*1000)))</f>
        <v>0</v>
      </c>
      <c r="S288">
        <f>J288*(1000-(1000*0.61365*exp(17.502*W288/(240.97+W288))/(DI288+DJ288)+DD288)/2)/(1000*0.61365*exp(17.502*W288/(240.97+W288))/(DI288+DJ288)-DD288)</f>
        <v>0</v>
      </c>
      <c r="T288">
        <f>1/((CW288+1)/(Q288/1.6)+1/(R288/1.37)) + CW288/((CW288+1)/(Q288/1.6) + CW288/(R288/1.37))</f>
        <v>0</v>
      </c>
      <c r="U288">
        <f>(CR288*CU288)</f>
        <v>0</v>
      </c>
      <c r="V288">
        <f>(DK288+(U288+2*0.95*5.67E-8*(((DK288+$B$7)+273)^4-(DK288+273)^4)-44100*J288)/(1.84*29.3*R288+8*0.95*5.67E-8*(DK288+273)^3))</f>
        <v>0</v>
      </c>
      <c r="W288">
        <f>($C$7*DL288+$D$7*DM288+$E$7*V288)</f>
        <v>0</v>
      </c>
      <c r="X288">
        <f>0.61365*exp(17.502*W288/(240.97+W288))</f>
        <v>0</v>
      </c>
      <c r="Y288">
        <f>(Z288/AA288*100)</f>
        <v>0</v>
      </c>
      <c r="Z288">
        <f>DD288*(DI288+DJ288)/1000</f>
        <v>0</v>
      </c>
      <c r="AA288">
        <f>0.61365*exp(17.502*DK288/(240.97+DK288))</f>
        <v>0</v>
      </c>
      <c r="AB288">
        <f>(X288-DD288*(DI288+DJ288)/1000)</f>
        <v>0</v>
      </c>
      <c r="AC288">
        <f>(-J288*44100)</f>
        <v>0</v>
      </c>
      <c r="AD288">
        <f>2*29.3*R288*0.92*(DK288-W288)</f>
        <v>0</v>
      </c>
      <c r="AE288">
        <f>2*0.95*5.67E-8*(((DK288+$B$7)+273)^4-(W288+273)^4)</f>
        <v>0</v>
      </c>
      <c r="AF288">
        <f>U288+AE288+AC288+AD288</f>
        <v>0</v>
      </c>
      <c r="AG288">
        <f>DH288*AU288*(DC288-DB288*(1000-AU288*DE288)/(1000-AU288*DD288))/(100*CV288)</f>
        <v>0</v>
      </c>
      <c r="AH288">
        <f>1000*DH288*AU288*(DD288-DE288)/(100*CV288*(1000-AU288*DD288))</f>
        <v>0</v>
      </c>
      <c r="AI288">
        <f>(AJ288 - AK288 - DI288*1E3/(8.314*(DK288+273.15)) * AM288/DH288 * AL288) * DH288/(100*CV288) * (1000 - DE288)/1000</f>
        <v>0</v>
      </c>
      <c r="AJ288">
        <v>166.5747340343339</v>
      </c>
      <c r="AK288">
        <v>145.0738727272727</v>
      </c>
      <c r="AL288">
        <v>3.071053438220489</v>
      </c>
      <c r="AM288">
        <v>66.38195617057868</v>
      </c>
      <c r="AN288">
        <f>(AP288 - AO288 + DI288*1E3/(8.314*(DK288+273.15)) * AR288/DH288 * AQ288) * DH288/(100*CV288) * 1000/(1000 - AP288)</f>
        <v>0</v>
      </c>
      <c r="AO288">
        <v>9.415737109052968</v>
      </c>
      <c r="AP288">
        <v>18.55032088235293</v>
      </c>
      <c r="AQ288">
        <v>0.0001029714425134474</v>
      </c>
      <c r="AR288">
        <v>80.47178418790507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MAX(0,($B$13+$C$13*DP288)/(1+$D$13*DP288)*DI288/(DK288+273)*$E$13)</f>
        <v>0</v>
      </c>
      <c r="AX288" t="s">
        <v>417</v>
      </c>
      <c r="AY288" t="s">
        <v>417</v>
      </c>
      <c r="AZ288">
        <v>0</v>
      </c>
      <c r="BA288">
        <v>0</v>
      </c>
      <c r="BB288">
        <f>1-AZ288/BA288</f>
        <v>0</v>
      </c>
      <c r="BC288">
        <v>0</v>
      </c>
      <c r="BD288" t="s">
        <v>417</v>
      </c>
      <c r="BE288" t="s">
        <v>417</v>
      </c>
      <c r="BF288">
        <v>0</v>
      </c>
      <c r="BG288">
        <v>0</v>
      </c>
      <c r="BH288">
        <f>1-BF288/BG288</f>
        <v>0</v>
      </c>
      <c r="BI288">
        <v>0.5</v>
      </c>
      <c r="BJ288">
        <f>CS288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417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BZ288">
        <v>1249</v>
      </c>
      <c r="CA288">
        <v>300</v>
      </c>
      <c r="CB288">
        <v>300</v>
      </c>
      <c r="CC288">
        <v>300</v>
      </c>
      <c r="CD288">
        <v>10442.4</v>
      </c>
      <c r="CE288">
        <v>1239.69</v>
      </c>
      <c r="CF288">
        <v>-0.00735276</v>
      </c>
      <c r="CG288">
        <v>0.07000000000000001</v>
      </c>
      <c r="CH288" t="s">
        <v>417</v>
      </c>
      <c r="CI288" t="s">
        <v>417</v>
      </c>
      <c r="CJ288" t="s">
        <v>417</v>
      </c>
      <c r="CK288" t="s">
        <v>417</v>
      </c>
      <c r="CL288" t="s">
        <v>417</v>
      </c>
      <c r="CM288" t="s">
        <v>417</v>
      </c>
      <c r="CN288" t="s">
        <v>417</v>
      </c>
      <c r="CO288" t="s">
        <v>417</v>
      </c>
      <c r="CP288" t="s">
        <v>417</v>
      </c>
      <c r="CQ288" t="s">
        <v>417</v>
      </c>
      <c r="CR288">
        <f>$B$11*DQ288+$C$11*DR288+$F$11*EC288*(1-EF288)</f>
        <v>0</v>
      </c>
      <c r="CS288">
        <f>CR288*CT288</f>
        <v>0</v>
      </c>
      <c r="CT288">
        <f>($B$11*$D$9+$C$11*$D$9+$F$11*((EP288+EH288)/MAX(EP288+EH288+EQ288, 0.1)*$I$9+EQ288/MAX(EP288+EH288+EQ288, 0.1)*$J$9))/($B$11+$C$11+$F$11)</f>
        <v>0</v>
      </c>
      <c r="CU288">
        <f>($B$11*$K$9+$C$11*$K$9+$F$11*((EP288+EH288)/MAX(EP288+EH288+EQ288, 0.1)*$P$9+EQ288/MAX(EP288+EH288+EQ288, 0.1)*$Q$9))/($B$11+$C$11+$F$11)</f>
        <v>0</v>
      </c>
      <c r="CV288">
        <v>6</v>
      </c>
      <c r="CW288">
        <v>0.5</v>
      </c>
      <c r="CX288" t="s">
        <v>418</v>
      </c>
      <c r="CY288">
        <v>2</v>
      </c>
      <c r="CZ288" t="b">
        <v>1</v>
      </c>
      <c r="DA288">
        <v>1651866306.833333</v>
      </c>
      <c r="DB288">
        <v>140.3613333333334</v>
      </c>
      <c r="DC288">
        <v>170.3806666666667</v>
      </c>
      <c r="DD288">
        <v>18.5491</v>
      </c>
      <c r="DE288">
        <v>9.4154</v>
      </c>
      <c r="DF288">
        <v>140.801</v>
      </c>
      <c r="DG288">
        <v>18.5257</v>
      </c>
      <c r="DH288">
        <v>500.0330000000001</v>
      </c>
      <c r="DI288">
        <v>89.92023333333333</v>
      </c>
      <c r="DJ288">
        <v>0.09985326666666668</v>
      </c>
      <c r="DK288">
        <v>25.85983333333333</v>
      </c>
      <c r="DL288">
        <v>25.0039</v>
      </c>
      <c r="DM288">
        <v>999.9</v>
      </c>
      <c r="DN288">
        <v>0</v>
      </c>
      <c r="DO288">
        <v>0</v>
      </c>
      <c r="DP288">
        <v>9999.593333333332</v>
      </c>
      <c r="DQ288">
        <v>0</v>
      </c>
      <c r="DR288">
        <v>3.22959</v>
      </c>
      <c r="DS288">
        <v>-30.01933333333334</v>
      </c>
      <c r="DT288">
        <v>143.014</v>
      </c>
      <c r="DU288">
        <v>172.0003333333333</v>
      </c>
      <c r="DV288">
        <v>9.133693333333333</v>
      </c>
      <c r="DW288">
        <v>170.3806666666667</v>
      </c>
      <c r="DX288">
        <v>9.4154</v>
      </c>
      <c r="DY288">
        <v>1.667936666666667</v>
      </c>
      <c r="DZ288">
        <v>0.8466346666666666</v>
      </c>
      <c r="EA288">
        <v>14.60123333333333</v>
      </c>
      <c r="EB288">
        <v>4.514213333333333</v>
      </c>
      <c r="EC288">
        <v>1499.953333333333</v>
      </c>
      <c r="ED288">
        <v>0.9729963333333332</v>
      </c>
      <c r="EE288">
        <v>0.0270033</v>
      </c>
      <c r="EF288">
        <v>0</v>
      </c>
      <c r="EG288">
        <v>848.4826666666667</v>
      </c>
      <c r="EH288">
        <v>5.00097</v>
      </c>
      <c r="EI288">
        <v>12647.36666666667</v>
      </c>
      <c r="EJ288">
        <v>12491.2</v>
      </c>
      <c r="EK288">
        <v>38.604</v>
      </c>
      <c r="EL288">
        <v>40.708</v>
      </c>
      <c r="EM288">
        <v>38.875</v>
      </c>
      <c r="EN288">
        <v>41.04133333333333</v>
      </c>
      <c r="EO288">
        <v>39.875</v>
      </c>
      <c r="EP288">
        <v>1454.583333333333</v>
      </c>
      <c r="EQ288">
        <v>40.37</v>
      </c>
      <c r="ER288">
        <v>0</v>
      </c>
      <c r="ES288">
        <v>825.7999999523163</v>
      </c>
      <c r="ET288">
        <v>0</v>
      </c>
      <c r="EU288">
        <v>850.5105199999999</v>
      </c>
      <c r="EV288">
        <v>-20.62076925861124</v>
      </c>
      <c r="EW288">
        <v>-244.7000003811283</v>
      </c>
      <c r="EX288">
        <v>12671.336</v>
      </c>
      <c r="EY288">
        <v>15</v>
      </c>
      <c r="EZ288">
        <v>1651865518.1</v>
      </c>
      <c r="FA288" t="s">
        <v>910</v>
      </c>
      <c r="FB288">
        <v>1651865507.1</v>
      </c>
      <c r="FC288">
        <v>1651865518.1</v>
      </c>
      <c r="FD288">
        <v>8</v>
      </c>
      <c r="FE288">
        <v>0.06</v>
      </c>
      <c r="FF288">
        <v>0</v>
      </c>
      <c r="FG288">
        <v>-0.927</v>
      </c>
      <c r="FH288">
        <v>-0.062</v>
      </c>
      <c r="FI288">
        <v>400</v>
      </c>
      <c r="FJ288">
        <v>11</v>
      </c>
      <c r="FK288">
        <v>0.11</v>
      </c>
      <c r="FL288">
        <v>0.01</v>
      </c>
      <c r="FM288">
        <v>-26.78277073170731</v>
      </c>
      <c r="FN288">
        <v>-16.54223832752617</v>
      </c>
      <c r="FO288">
        <v>1.649041789800738</v>
      </c>
      <c r="FP288">
        <v>-1</v>
      </c>
      <c r="FQ288">
        <v>9.125756585365856</v>
      </c>
      <c r="FR288">
        <v>0.02686222996516612</v>
      </c>
      <c r="FS288">
        <v>0.004261800037517577</v>
      </c>
      <c r="FT288">
        <v>-1</v>
      </c>
      <c r="FU288">
        <v>0</v>
      </c>
      <c r="FV288">
        <v>0</v>
      </c>
      <c r="FW288">
        <v>0</v>
      </c>
      <c r="FX288">
        <v>-1</v>
      </c>
      <c r="FY288">
        <v>0</v>
      </c>
      <c r="FZ288">
        <v>0</v>
      </c>
      <c r="GA288" t="s">
        <v>420</v>
      </c>
      <c r="GB288">
        <v>2.98127</v>
      </c>
      <c r="GC288">
        <v>2.70606</v>
      </c>
      <c r="GD288">
        <v>0.0375538</v>
      </c>
      <c r="GE288">
        <v>0.0442905</v>
      </c>
      <c r="GF288">
        <v>0.0884665</v>
      </c>
      <c r="GG288">
        <v>0.0529182</v>
      </c>
      <c r="GH288">
        <v>30411.3</v>
      </c>
      <c r="GI288">
        <v>30264</v>
      </c>
      <c r="GJ288">
        <v>29375.9</v>
      </c>
      <c r="GK288">
        <v>29291</v>
      </c>
      <c r="GL288">
        <v>35452.8</v>
      </c>
      <c r="GM288">
        <v>36952.2</v>
      </c>
      <c r="GN288">
        <v>41346.5</v>
      </c>
      <c r="GO288">
        <v>41809.4</v>
      </c>
      <c r="GP288">
        <v>1.96655</v>
      </c>
      <c r="GQ288">
        <v>1.8525</v>
      </c>
      <c r="GR288">
        <v>-0.0051409</v>
      </c>
      <c r="GS288">
        <v>0</v>
      </c>
      <c r="GT288">
        <v>25.0889</v>
      </c>
      <c r="GU288">
        <v>999.9</v>
      </c>
      <c r="GV288">
        <v>29.8</v>
      </c>
      <c r="GW288">
        <v>34.2</v>
      </c>
      <c r="GX288">
        <v>17.9064</v>
      </c>
      <c r="GY288">
        <v>62.4276</v>
      </c>
      <c r="GZ288">
        <v>35.5248</v>
      </c>
      <c r="HA288">
        <v>1</v>
      </c>
      <c r="HB288">
        <v>0.0470122</v>
      </c>
      <c r="HC288">
        <v>1.49306</v>
      </c>
      <c r="HD288">
        <v>20.3296</v>
      </c>
      <c r="HE288">
        <v>5.21639</v>
      </c>
      <c r="HF288">
        <v>12.0099</v>
      </c>
      <c r="HG288">
        <v>4.98885</v>
      </c>
      <c r="HH288">
        <v>3.28858</v>
      </c>
      <c r="HI288">
        <v>1030.4</v>
      </c>
      <c r="HJ288">
        <v>9728.9</v>
      </c>
      <c r="HK288">
        <v>5139.4</v>
      </c>
      <c r="HL288">
        <v>25.3</v>
      </c>
      <c r="HM288">
        <v>1.86744</v>
      </c>
      <c r="HN288">
        <v>1.86646</v>
      </c>
      <c r="HO288">
        <v>1.866</v>
      </c>
      <c r="HP288">
        <v>1.86584</v>
      </c>
      <c r="HQ288">
        <v>1.86768</v>
      </c>
      <c r="HR288">
        <v>1.87018</v>
      </c>
      <c r="HS288">
        <v>1.8689</v>
      </c>
      <c r="HT288">
        <v>1.87017</v>
      </c>
      <c r="HU288">
        <v>0</v>
      </c>
      <c r="HV288">
        <v>0</v>
      </c>
      <c r="HW288">
        <v>0</v>
      </c>
      <c r="HX288">
        <v>0</v>
      </c>
      <c r="HY288" t="s">
        <v>421</v>
      </c>
      <c r="HZ288" t="s">
        <v>422</v>
      </c>
      <c r="IA288" t="s">
        <v>423</v>
      </c>
      <c r="IB288" t="s">
        <v>423</v>
      </c>
      <c r="IC288" t="s">
        <v>423</v>
      </c>
      <c r="ID288" t="s">
        <v>423</v>
      </c>
      <c r="IE288">
        <v>0</v>
      </c>
      <c r="IF288">
        <v>100</v>
      </c>
      <c r="IG288">
        <v>100</v>
      </c>
      <c r="IH288">
        <v>-0.447</v>
      </c>
      <c r="II288">
        <v>0.0234</v>
      </c>
      <c r="IJ288">
        <v>-0.1559367209035702</v>
      </c>
      <c r="IK288">
        <v>-0.002077099775823331</v>
      </c>
      <c r="IL288">
        <v>4.593143279902166E-07</v>
      </c>
      <c r="IM288">
        <v>-1.865383991892071E-10</v>
      </c>
      <c r="IN288">
        <v>-0.0607165066849496</v>
      </c>
      <c r="IO288">
        <v>-0.01129461987421345</v>
      </c>
      <c r="IP288">
        <v>0.00116580895745559</v>
      </c>
      <c r="IQ288">
        <v>-1.679085872906199E-05</v>
      </c>
      <c r="IR288">
        <v>2</v>
      </c>
      <c r="IS288">
        <v>2290</v>
      </c>
      <c r="IT288">
        <v>0</v>
      </c>
      <c r="IU288">
        <v>32</v>
      </c>
      <c r="IV288">
        <v>13.3</v>
      </c>
      <c r="IW288">
        <v>13.2</v>
      </c>
      <c r="IX288">
        <v>0.561523</v>
      </c>
      <c r="IY288">
        <v>2.24487</v>
      </c>
      <c r="IZ288">
        <v>1.39648</v>
      </c>
      <c r="JA288">
        <v>2.35474</v>
      </c>
      <c r="JB288">
        <v>1.49536</v>
      </c>
      <c r="JC288">
        <v>2.34985</v>
      </c>
      <c r="JD288">
        <v>38.0134</v>
      </c>
      <c r="JE288">
        <v>24.0437</v>
      </c>
      <c r="JF288">
        <v>18</v>
      </c>
      <c r="JG288">
        <v>512.603</v>
      </c>
      <c r="JH288">
        <v>425.504</v>
      </c>
      <c r="JI288">
        <v>23.1553</v>
      </c>
      <c r="JJ288">
        <v>27.9363</v>
      </c>
      <c r="JK288">
        <v>30</v>
      </c>
      <c r="JL288">
        <v>27.9665</v>
      </c>
      <c r="JM288">
        <v>27.9133</v>
      </c>
      <c r="JN288">
        <v>11.2848</v>
      </c>
      <c r="JO288">
        <v>44.9415</v>
      </c>
      <c r="JP288">
        <v>0</v>
      </c>
      <c r="JQ288">
        <v>23.1543</v>
      </c>
      <c r="JR288">
        <v>197.735</v>
      </c>
      <c r="JS288">
        <v>9.439299999999999</v>
      </c>
      <c r="JT288">
        <v>100.411</v>
      </c>
      <c r="JU288">
        <v>100.344</v>
      </c>
    </row>
    <row r="289" spans="1:281">
      <c r="A289">
        <v>273</v>
      </c>
      <c r="B289">
        <v>1651866310.5</v>
      </c>
      <c r="C289">
        <v>2089.900000095367</v>
      </c>
      <c r="D289" t="s">
        <v>969</v>
      </c>
      <c r="E289" t="s">
        <v>970</v>
      </c>
      <c r="F289">
        <v>2</v>
      </c>
      <c r="G289" t="s">
        <v>908</v>
      </c>
      <c r="H289" t="s">
        <v>414</v>
      </c>
      <c r="I289">
        <v>1651866309.25</v>
      </c>
      <c r="J289">
        <f>(K289)/1000</f>
        <v>0</v>
      </c>
      <c r="K289">
        <f>IF(CZ289, AN289, AH289)</f>
        <v>0</v>
      </c>
      <c r="L289">
        <f>IF(CZ289, AI289, AG289)</f>
        <v>0</v>
      </c>
      <c r="M289">
        <f>DB289 - IF(AU289&gt;1, L289*CV289*100.0/(AW289*DP289), 0)</f>
        <v>0</v>
      </c>
      <c r="N289">
        <f>((T289-J289/2)*M289-L289)/(T289+J289/2)</f>
        <v>0</v>
      </c>
      <c r="O289">
        <f>N289*(DI289+DJ289)/1000.0</f>
        <v>0</v>
      </c>
      <c r="P289">
        <f>(DB289 - IF(AU289&gt;1, L289*CV289*100.0/(AW289*DP289), 0))*(DI289+DJ289)/1000.0</f>
        <v>0</v>
      </c>
      <c r="Q289">
        <f>2.0/((1/S289-1/R289)+SIGN(S289)*SQRT((1/S289-1/R289)*(1/S289-1/R289) + 4*CW289/((CW289+1)*(CW289+1))*(2*1/S289*1/R289-1/R289*1/R289)))</f>
        <v>0</v>
      </c>
      <c r="R289">
        <f>IF(LEFT(CX289,1)&lt;&gt;"0",IF(LEFT(CX289,1)="1",3.0,CY289),$D$5+$E$5*(DP289*DI289/($K$5*1000))+$F$5*(DP289*DI289/($K$5*1000))*MAX(MIN(CV289,$J$5),$I$5)*MAX(MIN(CV289,$J$5),$I$5)+$G$5*MAX(MIN(CV289,$J$5),$I$5)*(DP289*DI289/($K$5*1000))+$H$5*(DP289*DI289/($K$5*1000))*(DP289*DI289/($K$5*1000)))</f>
        <v>0</v>
      </c>
      <c r="S289">
        <f>J289*(1000-(1000*0.61365*exp(17.502*W289/(240.97+W289))/(DI289+DJ289)+DD289)/2)/(1000*0.61365*exp(17.502*W289/(240.97+W289))/(DI289+DJ289)-DD289)</f>
        <v>0</v>
      </c>
      <c r="T289">
        <f>1/((CW289+1)/(Q289/1.6)+1/(R289/1.37)) + CW289/((CW289+1)/(Q289/1.6) + CW289/(R289/1.37))</f>
        <v>0</v>
      </c>
      <c r="U289">
        <f>(CR289*CU289)</f>
        <v>0</v>
      </c>
      <c r="V289">
        <f>(DK289+(U289+2*0.95*5.67E-8*(((DK289+$B$7)+273)^4-(DK289+273)^4)-44100*J289)/(1.84*29.3*R289+8*0.95*5.67E-8*(DK289+273)^3))</f>
        <v>0</v>
      </c>
      <c r="W289">
        <f>($C$7*DL289+$D$7*DM289+$E$7*V289)</f>
        <v>0</v>
      </c>
      <c r="X289">
        <f>0.61365*exp(17.502*W289/(240.97+W289))</f>
        <v>0</v>
      </c>
      <c r="Y289">
        <f>(Z289/AA289*100)</f>
        <v>0</v>
      </c>
      <c r="Z289">
        <f>DD289*(DI289+DJ289)/1000</f>
        <v>0</v>
      </c>
      <c r="AA289">
        <f>0.61365*exp(17.502*DK289/(240.97+DK289))</f>
        <v>0</v>
      </c>
      <c r="AB289">
        <f>(X289-DD289*(DI289+DJ289)/1000)</f>
        <v>0</v>
      </c>
      <c r="AC289">
        <f>(-J289*44100)</f>
        <v>0</v>
      </c>
      <c r="AD289">
        <f>2*29.3*R289*0.92*(DK289-W289)</f>
        <v>0</v>
      </c>
      <c r="AE289">
        <f>2*0.95*5.67E-8*(((DK289+$B$7)+273)^4-(W289+273)^4)</f>
        <v>0</v>
      </c>
      <c r="AF289">
        <f>U289+AE289+AC289+AD289</f>
        <v>0</v>
      </c>
      <c r="AG289">
        <f>DH289*AU289*(DC289-DB289*(1000-AU289*DE289)/(1000-AU289*DD289))/(100*CV289)</f>
        <v>0</v>
      </c>
      <c r="AH289">
        <f>1000*DH289*AU289*(DD289-DE289)/(100*CV289*(1000-AU289*DD289))</f>
        <v>0</v>
      </c>
      <c r="AI289">
        <f>(AJ289 - AK289 - DI289*1E3/(8.314*(DK289+273.15)) * AM289/DH289 * AL289) * DH289/(100*CV289) * (1000 - DE289)/1000</f>
        <v>0</v>
      </c>
      <c r="AJ289">
        <v>175.0424540505538</v>
      </c>
      <c r="AK289">
        <v>152.8290666666667</v>
      </c>
      <c r="AL289">
        <v>3.098869458013599</v>
      </c>
      <c r="AM289">
        <v>66.38195617057868</v>
      </c>
      <c r="AN289">
        <f>(AP289 - AO289 + DI289*1E3/(8.314*(DK289+273.15)) * AR289/DH289 * AQ289) * DH289/(100*CV289) * 1000/(1000 - AP289)</f>
        <v>0</v>
      </c>
      <c r="AO289">
        <v>9.415467893463793</v>
      </c>
      <c r="AP289">
        <v>18.55657058823529</v>
      </c>
      <c r="AQ289">
        <v>0.0001703479667344579</v>
      </c>
      <c r="AR289">
        <v>80.47178418790507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MAX(0,($B$13+$C$13*DP289)/(1+$D$13*DP289)*DI289/(DK289+273)*$E$13)</f>
        <v>0</v>
      </c>
      <c r="AX289" t="s">
        <v>417</v>
      </c>
      <c r="AY289" t="s">
        <v>417</v>
      </c>
      <c r="AZ289">
        <v>0</v>
      </c>
      <c r="BA289">
        <v>0</v>
      </c>
      <c r="BB289">
        <f>1-AZ289/BA289</f>
        <v>0</v>
      </c>
      <c r="BC289">
        <v>0</v>
      </c>
      <c r="BD289" t="s">
        <v>417</v>
      </c>
      <c r="BE289" t="s">
        <v>417</v>
      </c>
      <c r="BF289">
        <v>0</v>
      </c>
      <c r="BG289">
        <v>0</v>
      </c>
      <c r="BH289">
        <f>1-BF289/BG289</f>
        <v>0</v>
      </c>
      <c r="BI289">
        <v>0.5</v>
      </c>
      <c r="BJ289">
        <f>CS289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417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BZ289">
        <v>1249</v>
      </c>
      <c r="CA289">
        <v>300</v>
      </c>
      <c r="CB289">
        <v>300</v>
      </c>
      <c r="CC289">
        <v>300</v>
      </c>
      <c r="CD289">
        <v>10442.4</v>
      </c>
      <c r="CE289">
        <v>1239.69</v>
      </c>
      <c r="CF289">
        <v>-0.00735276</v>
      </c>
      <c r="CG289">
        <v>0.07000000000000001</v>
      </c>
      <c r="CH289" t="s">
        <v>417</v>
      </c>
      <c r="CI289" t="s">
        <v>417</v>
      </c>
      <c r="CJ289" t="s">
        <v>417</v>
      </c>
      <c r="CK289" t="s">
        <v>417</v>
      </c>
      <c r="CL289" t="s">
        <v>417</v>
      </c>
      <c r="CM289" t="s">
        <v>417</v>
      </c>
      <c r="CN289" t="s">
        <v>417</v>
      </c>
      <c r="CO289" t="s">
        <v>417</v>
      </c>
      <c r="CP289" t="s">
        <v>417</v>
      </c>
      <c r="CQ289" t="s">
        <v>417</v>
      </c>
      <c r="CR289">
        <f>$B$11*DQ289+$C$11*DR289+$F$11*EC289*(1-EF289)</f>
        <v>0</v>
      </c>
      <c r="CS289">
        <f>CR289*CT289</f>
        <v>0</v>
      </c>
      <c r="CT289">
        <f>($B$11*$D$9+$C$11*$D$9+$F$11*((EP289+EH289)/MAX(EP289+EH289+EQ289, 0.1)*$I$9+EQ289/MAX(EP289+EH289+EQ289, 0.1)*$J$9))/($B$11+$C$11+$F$11)</f>
        <v>0</v>
      </c>
      <c r="CU289">
        <f>($B$11*$K$9+$C$11*$K$9+$F$11*((EP289+EH289)/MAX(EP289+EH289+EQ289, 0.1)*$P$9+EQ289/MAX(EP289+EH289+EQ289, 0.1)*$Q$9))/($B$11+$C$11+$F$11)</f>
        <v>0</v>
      </c>
      <c r="CV289">
        <v>6</v>
      </c>
      <c r="CW289">
        <v>0.5</v>
      </c>
      <c r="CX289" t="s">
        <v>418</v>
      </c>
      <c r="CY289">
        <v>2</v>
      </c>
      <c r="CZ289" t="b">
        <v>1</v>
      </c>
      <c r="DA289">
        <v>1651866309.25</v>
      </c>
      <c r="DB289">
        <v>147.70475</v>
      </c>
      <c r="DC289">
        <v>178.47875</v>
      </c>
      <c r="DD289">
        <v>18.555075</v>
      </c>
      <c r="DE289">
        <v>9.413845</v>
      </c>
      <c r="DF289">
        <v>148.159</v>
      </c>
      <c r="DG289">
        <v>18.5316</v>
      </c>
      <c r="DH289">
        <v>500.03025</v>
      </c>
      <c r="DI289">
        <v>89.918425</v>
      </c>
      <c r="DJ289">
        <v>0.100004325</v>
      </c>
      <c r="DK289">
        <v>25.8607</v>
      </c>
      <c r="DL289">
        <v>25.004375</v>
      </c>
      <c r="DM289">
        <v>999.9</v>
      </c>
      <c r="DN289">
        <v>0</v>
      </c>
      <c r="DO289">
        <v>0</v>
      </c>
      <c r="DP289">
        <v>10002.15</v>
      </c>
      <c r="DQ289">
        <v>0</v>
      </c>
      <c r="DR289">
        <v>3.2140175</v>
      </c>
      <c r="DS289">
        <v>-30.77405</v>
      </c>
      <c r="DT289">
        <v>150.49725</v>
      </c>
      <c r="DU289">
        <v>180.175</v>
      </c>
      <c r="DV289">
        <v>9.141232500000001</v>
      </c>
      <c r="DW289">
        <v>178.47875</v>
      </c>
      <c r="DX289">
        <v>9.413845</v>
      </c>
      <c r="DY289">
        <v>1.6684425</v>
      </c>
      <c r="DZ289">
        <v>0.8464780000000001</v>
      </c>
      <c r="EA289">
        <v>14.6059</v>
      </c>
      <c r="EB289">
        <v>4.511570000000001</v>
      </c>
      <c r="EC289">
        <v>1500.0175</v>
      </c>
      <c r="ED289">
        <v>0.972998</v>
      </c>
      <c r="EE289">
        <v>0.0270015</v>
      </c>
      <c r="EF289">
        <v>0</v>
      </c>
      <c r="EG289">
        <v>847.46975</v>
      </c>
      <c r="EH289">
        <v>5.00097</v>
      </c>
      <c r="EI289">
        <v>12638</v>
      </c>
      <c r="EJ289">
        <v>12491.675</v>
      </c>
      <c r="EK289">
        <v>38.625</v>
      </c>
      <c r="EL289">
        <v>40.75</v>
      </c>
      <c r="EM289">
        <v>38.937</v>
      </c>
      <c r="EN289">
        <v>41.125</v>
      </c>
      <c r="EO289">
        <v>39.875</v>
      </c>
      <c r="EP289">
        <v>1454.6475</v>
      </c>
      <c r="EQ289">
        <v>40.37</v>
      </c>
      <c r="ER289">
        <v>0</v>
      </c>
      <c r="ES289">
        <v>828.2000000476837</v>
      </c>
      <c r="ET289">
        <v>0</v>
      </c>
      <c r="EU289">
        <v>849.6497999999999</v>
      </c>
      <c r="EV289">
        <v>-21.64015380933062</v>
      </c>
      <c r="EW289">
        <v>-248.1538457737865</v>
      </c>
      <c r="EX289">
        <v>12661.556</v>
      </c>
      <c r="EY289">
        <v>15</v>
      </c>
      <c r="EZ289">
        <v>1651865518.1</v>
      </c>
      <c r="FA289" t="s">
        <v>910</v>
      </c>
      <c r="FB289">
        <v>1651865507.1</v>
      </c>
      <c r="FC289">
        <v>1651865518.1</v>
      </c>
      <c r="FD289">
        <v>8</v>
      </c>
      <c r="FE289">
        <v>0.06</v>
      </c>
      <c r="FF289">
        <v>0</v>
      </c>
      <c r="FG289">
        <v>-0.927</v>
      </c>
      <c r="FH289">
        <v>-0.062</v>
      </c>
      <c r="FI289">
        <v>400</v>
      </c>
      <c r="FJ289">
        <v>11</v>
      </c>
      <c r="FK289">
        <v>0.11</v>
      </c>
      <c r="FL289">
        <v>0.01</v>
      </c>
      <c r="FM289">
        <v>-27.65359999999999</v>
      </c>
      <c r="FN289">
        <v>-17.96379930313598</v>
      </c>
      <c r="FO289">
        <v>1.788962905312842</v>
      </c>
      <c r="FP289">
        <v>-1</v>
      </c>
      <c r="FQ289">
        <v>9.127846097560978</v>
      </c>
      <c r="FR289">
        <v>0.04482418118467289</v>
      </c>
      <c r="FS289">
        <v>0.005238734662924883</v>
      </c>
      <c r="FT289">
        <v>-1</v>
      </c>
      <c r="FU289">
        <v>0</v>
      </c>
      <c r="FV289">
        <v>0</v>
      </c>
      <c r="FW289">
        <v>0</v>
      </c>
      <c r="FX289">
        <v>-1</v>
      </c>
      <c r="FY289">
        <v>0</v>
      </c>
      <c r="FZ289">
        <v>0</v>
      </c>
      <c r="GA289" t="s">
        <v>420</v>
      </c>
      <c r="GB289">
        <v>2.98158</v>
      </c>
      <c r="GC289">
        <v>2.70627</v>
      </c>
      <c r="GD289">
        <v>0.039403</v>
      </c>
      <c r="GE289">
        <v>0.0462157</v>
      </c>
      <c r="GF289">
        <v>0.0884963</v>
      </c>
      <c r="GG289">
        <v>0.0529076</v>
      </c>
      <c r="GH289">
        <v>30352.9</v>
      </c>
      <c r="GI289">
        <v>30203.1</v>
      </c>
      <c r="GJ289">
        <v>29375.9</v>
      </c>
      <c r="GK289">
        <v>29291</v>
      </c>
      <c r="GL289">
        <v>35451.4</v>
      </c>
      <c r="GM289">
        <v>36952.8</v>
      </c>
      <c r="GN289">
        <v>41346.2</v>
      </c>
      <c r="GO289">
        <v>41809.6</v>
      </c>
      <c r="GP289">
        <v>1.9665</v>
      </c>
      <c r="GQ289">
        <v>1.8524</v>
      </c>
      <c r="GR289">
        <v>-0.00528991</v>
      </c>
      <c r="GS289">
        <v>0</v>
      </c>
      <c r="GT289">
        <v>25.0902</v>
      </c>
      <c r="GU289">
        <v>999.9</v>
      </c>
      <c r="GV289">
        <v>29.8</v>
      </c>
      <c r="GW289">
        <v>34.2</v>
      </c>
      <c r="GX289">
        <v>17.9039</v>
      </c>
      <c r="GY289">
        <v>62.6176</v>
      </c>
      <c r="GZ289">
        <v>35.0761</v>
      </c>
      <c r="HA289">
        <v>1</v>
      </c>
      <c r="HB289">
        <v>0.0469766</v>
      </c>
      <c r="HC289">
        <v>1.49516</v>
      </c>
      <c r="HD289">
        <v>20.3296</v>
      </c>
      <c r="HE289">
        <v>5.21639</v>
      </c>
      <c r="HF289">
        <v>12.0099</v>
      </c>
      <c r="HG289">
        <v>4.98865</v>
      </c>
      <c r="HH289">
        <v>3.28858</v>
      </c>
      <c r="HI289">
        <v>1030.4</v>
      </c>
      <c r="HJ289">
        <v>9728.9</v>
      </c>
      <c r="HK289">
        <v>5139.4</v>
      </c>
      <c r="HL289">
        <v>25.3</v>
      </c>
      <c r="HM289">
        <v>1.86743</v>
      </c>
      <c r="HN289">
        <v>1.86646</v>
      </c>
      <c r="HO289">
        <v>1.866</v>
      </c>
      <c r="HP289">
        <v>1.86584</v>
      </c>
      <c r="HQ289">
        <v>1.86768</v>
      </c>
      <c r="HR289">
        <v>1.87018</v>
      </c>
      <c r="HS289">
        <v>1.8689</v>
      </c>
      <c r="HT289">
        <v>1.87016</v>
      </c>
      <c r="HU289">
        <v>0</v>
      </c>
      <c r="HV289">
        <v>0</v>
      </c>
      <c r="HW289">
        <v>0</v>
      </c>
      <c r="HX289">
        <v>0</v>
      </c>
      <c r="HY289" t="s">
        <v>421</v>
      </c>
      <c r="HZ289" t="s">
        <v>422</v>
      </c>
      <c r="IA289" t="s">
        <v>423</v>
      </c>
      <c r="IB289" t="s">
        <v>423</v>
      </c>
      <c r="IC289" t="s">
        <v>423</v>
      </c>
      <c r="ID289" t="s">
        <v>423</v>
      </c>
      <c r="IE289">
        <v>0</v>
      </c>
      <c r="IF289">
        <v>100</v>
      </c>
      <c r="IG289">
        <v>100</v>
      </c>
      <c r="IH289">
        <v>-0.462</v>
      </c>
      <c r="II289">
        <v>0.0236</v>
      </c>
      <c r="IJ289">
        <v>-0.1559367209035702</v>
      </c>
      <c r="IK289">
        <v>-0.002077099775823331</v>
      </c>
      <c r="IL289">
        <v>4.593143279902166E-07</v>
      </c>
      <c r="IM289">
        <v>-1.865383991892071E-10</v>
      </c>
      <c r="IN289">
        <v>-0.0607165066849496</v>
      </c>
      <c r="IO289">
        <v>-0.01129461987421345</v>
      </c>
      <c r="IP289">
        <v>0.00116580895745559</v>
      </c>
      <c r="IQ289">
        <v>-1.679085872906199E-05</v>
      </c>
      <c r="IR289">
        <v>2</v>
      </c>
      <c r="IS289">
        <v>2290</v>
      </c>
      <c r="IT289">
        <v>0</v>
      </c>
      <c r="IU289">
        <v>32</v>
      </c>
      <c r="IV289">
        <v>13.4</v>
      </c>
      <c r="IW289">
        <v>13.2</v>
      </c>
      <c r="IX289">
        <v>0.578613</v>
      </c>
      <c r="IY289">
        <v>2.24854</v>
      </c>
      <c r="IZ289">
        <v>1.39648</v>
      </c>
      <c r="JA289">
        <v>2.35474</v>
      </c>
      <c r="JB289">
        <v>1.49536</v>
      </c>
      <c r="JC289">
        <v>2.29492</v>
      </c>
      <c r="JD289">
        <v>38.0134</v>
      </c>
      <c r="JE289">
        <v>24.035</v>
      </c>
      <c r="JF289">
        <v>18</v>
      </c>
      <c r="JG289">
        <v>512.557</v>
      </c>
      <c r="JH289">
        <v>425.435</v>
      </c>
      <c r="JI289">
        <v>23.1548</v>
      </c>
      <c r="JJ289">
        <v>27.9348</v>
      </c>
      <c r="JK289">
        <v>29.9999</v>
      </c>
      <c r="JL289">
        <v>27.965</v>
      </c>
      <c r="JM289">
        <v>27.912</v>
      </c>
      <c r="JN289">
        <v>11.6317</v>
      </c>
      <c r="JO289">
        <v>44.9415</v>
      </c>
      <c r="JP289">
        <v>0</v>
      </c>
      <c r="JQ289">
        <v>23.1504</v>
      </c>
      <c r="JR289">
        <v>204.451</v>
      </c>
      <c r="JS289">
        <v>9.439299999999999</v>
      </c>
      <c r="JT289">
        <v>100.411</v>
      </c>
      <c r="JU289">
        <v>100.344</v>
      </c>
    </row>
    <row r="290" spans="1:281">
      <c r="A290">
        <v>274</v>
      </c>
      <c r="B290">
        <v>1651866312</v>
      </c>
      <c r="C290">
        <v>2091.400000095367</v>
      </c>
      <c r="D290" t="s">
        <v>971</v>
      </c>
      <c r="E290" t="s">
        <v>972</v>
      </c>
      <c r="F290">
        <v>2</v>
      </c>
      <c r="G290" t="s">
        <v>908</v>
      </c>
      <c r="H290" t="s">
        <v>414</v>
      </c>
      <c r="I290">
        <v>1651866310.5</v>
      </c>
      <c r="J290">
        <f>(K290)/1000</f>
        <v>0</v>
      </c>
      <c r="K290">
        <f>IF(CZ290, AN290, AH290)</f>
        <v>0</v>
      </c>
      <c r="L290">
        <f>IF(CZ290, AI290, AG290)</f>
        <v>0</v>
      </c>
      <c r="M290">
        <f>DB290 - IF(AU290&gt;1, L290*CV290*100.0/(AW290*DP290), 0)</f>
        <v>0</v>
      </c>
      <c r="N290">
        <f>((T290-J290/2)*M290-L290)/(T290+J290/2)</f>
        <v>0</v>
      </c>
      <c r="O290">
        <f>N290*(DI290+DJ290)/1000.0</f>
        <v>0</v>
      </c>
      <c r="P290">
        <f>(DB290 - IF(AU290&gt;1, L290*CV290*100.0/(AW290*DP290), 0))*(DI290+DJ290)/1000.0</f>
        <v>0</v>
      </c>
      <c r="Q290">
        <f>2.0/((1/S290-1/R290)+SIGN(S290)*SQRT((1/S290-1/R290)*(1/S290-1/R290) + 4*CW290/((CW290+1)*(CW290+1))*(2*1/S290*1/R290-1/R290*1/R290)))</f>
        <v>0</v>
      </c>
      <c r="R290">
        <f>IF(LEFT(CX290,1)&lt;&gt;"0",IF(LEFT(CX290,1)="1",3.0,CY290),$D$5+$E$5*(DP290*DI290/($K$5*1000))+$F$5*(DP290*DI290/($K$5*1000))*MAX(MIN(CV290,$J$5),$I$5)*MAX(MIN(CV290,$J$5),$I$5)+$G$5*MAX(MIN(CV290,$J$5),$I$5)*(DP290*DI290/($K$5*1000))+$H$5*(DP290*DI290/($K$5*1000))*(DP290*DI290/($K$5*1000)))</f>
        <v>0</v>
      </c>
      <c r="S290">
        <f>J290*(1000-(1000*0.61365*exp(17.502*W290/(240.97+W290))/(DI290+DJ290)+DD290)/2)/(1000*0.61365*exp(17.502*W290/(240.97+W290))/(DI290+DJ290)-DD290)</f>
        <v>0</v>
      </c>
      <c r="T290">
        <f>1/((CW290+1)/(Q290/1.6)+1/(R290/1.37)) + CW290/((CW290+1)/(Q290/1.6) + CW290/(R290/1.37))</f>
        <v>0</v>
      </c>
      <c r="U290">
        <f>(CR290*CU290)</f>
        <v>0</v>
      </c>
      <c r="V290">
        <f>(DK290+(U290+2*0.95*5.67E-8*(((DK290+$B$7)+273)^4-(DK290+273)^4)-44100*J290)/(1.84*29.3*R290+8*0.95*5.67E-8*(DK290+273)^3))</f>
        <v>0</v>
      </c>
      <c r="W290">
        <f>($C$7*DL290+$D$7*DM290+$E$7*V290)</f>
        <v>0</v>
      </c>
      <c r="X290">
        <f>0.61365*exp(17.502*W290/(240.97+W290))</f>
        <v>0</v>
      </c>
      <c r="Y290">
        <f>(Z290/AA290*100)</f>
        <v>0</v>
      </c>
      <c r="Z290">
        <f>DD290*(DI290+DJ290)/1000</f>
        <v>0</v>
      </c>
      <c r="AA290">
        <f>0.61365*exp(17.502*DK290/(240.97+DK290))</f>
        <v>0</v>
      </c>
      <c r="AB290">
        <f>(X290-DD290*(DI290+DJ290)/1000)</f>
        <v>0</v>
      </c>
      <c r="AC290">
        <f>(-J290*44100)</f>
        <v>0</v>
      </c>
      <c r="AD290">
        <f>2*29.3*R290*0.92*(DK290-W290)</f>
        <v>0</v>
      </c>
      <c r="AE290">
        <f>2*0.95*5.67E-8*(((DK290+$B$7)+273)^4-(W290+273)^4)</f>
        <v>0</v>
      </c>
      <c r="AF290">
        <f>U290+AE290+AC290+AD290</f>
        <v>0</v>
      </c>
      <c r="AG290">
        <f>DH290*AU290*(DC290-DB290*(1000-AU290*DE290)/(1000-AU290*DD290))/(100*CV290)</f>
        <v>0</v>
      </c>
      <c r="AH290">
        <f>1000*DH290*AU290*(DD290-DE290)/(100*CV290*(1000-AU290*DD290))</f>
        <v>0</v>
      </c>
      <c r="AI290">
        <f>(AJ290 - AK290 - DI290*1E3/(8.314*(DK290+273.15)) * AM290/DH290 * AL290) * DH290/(100*CV290) * (1000 - DE290)/1000</f>
        <v>0</v>
      </c>
      <c r="AJ290">
        <v>180.0996220636876</v>
      </c>
      <c r="AK290">
        <v>157.4592181818182</v>
      </c>
      <c r="AL290">
        <v>3.096410624035116</v>
      </c>
      <c r="AM290">
        <v>66.38195617057868</v>
      </c>
      <c r="AN290">
        <f>(AP290 - AO290 + DI290*1E3/(8.314*(DK290+273.15)) * AR290/DH290 * AQ290) * DH290/(100*CV290) * 1000/(1000 - AP290)</f>
        <v>0</v>
      </c>
      <c r="AO290">
        <v>9.41518295094221</v>
      </c>
      <c r="AP290">
        <v>18.56428117647059</v>
      </c>
      <c r="AQ290">
        <v>3.528204342060449E-05</v>
      </c>
      <c r="AR290">
        <v>80.47178418790507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MAX(0,($B$13+$C$13*DP290)/(1+$D$13*DP290)*DI290/(DK290+273)*$E$13)</f>
        <v>0</v>
      </c>
      <c r="AX290" t="s">
        <v>417</v>
      </c>
      <c r="AY290" t="s">
        <v>417</v>
      </c>
      <c r="AZ290">
        <v>0</v>
      </c>
      <c r="BA290">
        <v>0</v>
      </c>
      <c r="BB290">
        <f>1-AZ290/BA290</f>
        <v>0</v>
      </c>
      <c r="BC290">
        <v>0</v>
      </c>
      <c r="BD290" t="s">
        <v>417</v>
      </c>
      <c r="BE290" t="s">
        <v>417</v>
      </c>
      <c r="BF290">
        <v>0</v>
      </c>
      <c r="BG290">
        <v>0</v>
      </c>
      <c r="BH290">
        <f>1-BF290/BG290</f>
        <v>0</v>
      </c>
      <c r="BI290">
        <v>0.5</v>
      </c>
      <c r="BJ290">
        <f>CS290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417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BZ290">
        <v>1249</v>
      </c>
      <c r="CA290">
        <v>300</v>
      </c>
      <c r="CB290">
        <v>300</v>
      </c>
      <c r="CC290">
        <v>300</v>
      </c>
      <c r="CD290">
        <v>10442.4</v>
      </c>
      <c r="CE290">
        <v>1239.69</v>
      </c>
      <c r="CF290">
        <v>-0.00735276</v>
      </c>
      <c r="CG290">
        <v>0.07000000000000001</v>
      </c>
      <c r="CH290" t="s">
        <v>417</v>
      </c>
      <c r="CI290" t="s">
        <v>417</v>
      </c>
      <c r="CJ290" t="s">
        <v>417</v>
      </c>
      <c r="CK290" t="s">
        <v>417</v>
      </c>
      <c r="CL290" t="s">
        <v>417</v>
      </c>
      <c r="CM290" t="s">
        <v>417</v>
      </c>
      <c r="CN290" t="s">
        <v>417</v>
      </c>
      <c r="CO290" t="s">
        <v>417</v>
      </c>
      <c r="CP290" t="s">
        <v>417</v>
      </c>
      <c r="CQ290" t="s">
        <v>417</v>
      </c>
      <c r="CR290">
        <f>$B$11*DQ290+$C$11*DR290+$F$11*EC290*(1-EF290)</f>
        <v>0</v>
      </c>
      <c r="CS290">
        <f>CR290*CT290</f>
        <v>0</v>
      </c>
      <c r="CT290">
        <f>($B$11*$D$9+$C$11*$D$9+$F$11*((EP290+EH290)/MAX(EP290+EH290+EQ290, 0.1)*$I$9+EQ290/MAX(EP290+EH290+EQ290, 0.1)*$J$9))/($B$11+$C$11+$F$11)</f>
        <v>0</v>
      </c>
      <c r="CU290">
        <f>($B$11*$K$9+$C$11*$K$9+$F$11*((EP290+EH290)/MAX(EP290+EH290+EQ290, 0.1)*$P$9+EQ290/MAX(EP290+EH290+EQ290, 0.1)*$Q$9))/($B$11+$C$11+$F$11)</f>
        <v>0</v>
      </c>
      <c r="CV290">
        <v>6</v>
      </c>
      <c r="CW290">
        <v>0.5</v>
      </c>
      <c r="CX290" t="s">
        <v>418</v>
      </c>
      <c r="CY290">
        <v>2</v>
      </c>
      <c r="CZ290" t="b">
        <v>1</v>
      </c>
      <c r="DA290">
        <v>1651866310.5</v>
      </c>
      <c r="DB290">
        <v>151.50375</v>
      </c>
      <c r="DC290">
        <v>182.68125</v>
      </c>
      <c r="DD290">
        <v>18.5597</v>
      </c>
      <c r="DE290">
        <v>9.412687500000001</v>
      </c>
      <c r="DF290">
        <v>151.965</v>
      </c>
      <c r="DG290">
        <v>18.53615</v>
      </c>
      <c r="DH290">
        <v>500.069</v>
      </c>
      <c r="DI290">
        <v>89.91857499999999</v>
      </c>
      <c r="DJ290">
        <v>0.10007075</v>
      </c>
      <c r="DK290">
        <v>25.8615</v>
      </c>
      <c r="DL290">
        <v>25.00365</v>
      </c>
      <c r="DM290">
        <v>999.9</v>
      </c>
      <c r="DN290">
        <v>0</v>
      </c>
      <c r="DO290">
        <v>0</v>
      </c>
      <c r="DP290">
        <v>9997.3125</v>
      </c>
      <c r="DQ290">
        <v>0</v>
      </c>
      <c r="DR290">
        <v>3.2069925</v>
      </c>
      <c r="DS290">
        <v>-31.1779</v>
      </c>
      <c r="DT290">
        <v>154.36875</v>
      </c>
      <c r="DU290">
        <v>184.41725</v>
      </c>
      <c r="DV290">
        <v>9.147012500000001</v>
      </c>
      <c r="DW290">
        <v>182.68125</v>
      </c>
      <c r="DX290">
        <v>9.412687500000001</v>
      </c>
      <c r="DY290">
        <v>1.6688625</v>
      </c>
      <c r="DZ290">
        <v>0.84637575</v>
      </c>
      <c r="EA290">
        <v>14.6098</v>
      </c>
      <c r="EB290">
        <v>4.50984</v>
      </c>
      <c r="EC290">
        <v>1499.9925</v>
      </c>
      <c r="ED290">
        <v>0.972998</v>
      </c>
      <c r="EE290">
        <v>0.0270015</v>
      </c>
      <c r="EF290">
        <v>0</v>
      </c>
      <c r="EG290">
        <v>846.9997499999999</v>
      </c>
      <c r="EH290">
        <v>5.00097</v>
      </c>
      <c r="EI290">
        <v>12632.325</v>
      </c>
      <c r="EJ290">
        <v>12491.475</v>
      </c>
      <c r="EK290">
        <v>38.656</v>
      </c>
      <c r="EL290">
        <v>40.781</v>
      </c>
      <c r="EM290">
        <v>38.95274999999999</v>
      </c>
      <c r="EN290">
        <v>41.125</v>
      </c>
      <c r="EO290">
        <v>39.906</v>
      </c>
      <c r="EP290">
        <v>1454.6225</v>
      </c>
      <c r="EQ290">
        <v>40.37</v>
      </c>
      <c r="ER290">
        <v>0</v>
      </c>
      <c r="ES290">
        <v>829.4000000953674</v>
      </c>
      <c r="ET290">
        <v>0</v>
      </c>
      <c r="EU290">
        <v>849.24936</v>
      </c>
      <c r="EV290">
        <v>-21.72869230016647</v>
      </c>
      <c r="EW290">
        <v>-248.8923076941288</v>
      </c>
      <c r="EX290">
        <v>12656.568</v>
      </c>
      <c r="EY290">
        <v>15</v>
      </c>
      <c r="EZ290">
        <v>1651865518.1</v>
      </c>
      <c r="FA290" t="s">
        <v>910</v>
      </c>
      <c r="FB290">
        <v>1651865507.1</v>
      </c>
      <c r="FC290">
        <v>1651865518.1</v>
      </c>
      <c r="FD290">
        <v>8</v>
      </c>
      <c r="FE290">
        <v>0.06</v>
      </c>
      <c r="FF290">
        <v>0</v>
      </c>
      <c r="FG290">
        <v>-0.927</v>
      </c>
      <c r="FH290">
        <v>-0.062</v>
      </c>
      <c r="FI290">
        <v>400</v>
      </c>
      <c r="FJ290">
        <v>11</v>
      </c>
      <c r="FK290">
        <v>0.11</v>
      </c>
      <c r="FL290">
        <v>0.01</v>
      </c>
      <c r="FM290">
        <v>-27.94025365853658</v>
      </c>
      <c r="FN290">
        <v>-18.54300000000006</v>
      </c>
      <c r="FO290">
        <v>1.842306009921786</v>
      </c>
      <c r="FP290">
        <v>-1</v>
      </c>
      <c r="FQ290">
        <v>9.128760243902438</v>
      </c>
      <c r="FR290">
        <v>0.0590278745644594</v>
      </c>
      <c r="FS290">
        <v>0.006532377331343364</v>
      </c>
      <c r="FT290">
        <v>-1</v>
      </c>
      <c r="FU290">
        <v>0</v>
      </c>
      <c r="FV290">
        <v>0</v>
      </c>
      <c r="FW290">
        <v>0</v>
      </c>
      <c r="FX290">
        <v>-1</v>
      </c>
      <c r="FY290">
        <v>0</v>
      </c>
      <c r="FZ290">
        <v>0</v>
      </c>
      <c r="GA290" t="s">
        <v>420</v>
      </c>
      <c r="GB290">
        <v>2.98156</v>
      </c>
      <c r="GC290">
        <v>2.70608</v>
      </c>
      <c r="GD290">
        <v>0.0405023</v>
      </c>
      <c r="GE290">
        <v>0.0473867</v>
      </c>
      <c r="GF290">
        <v>0.08851100000000001</v>
      </c>
      <c r="GG290">
        <v>0.0529068</v>
      </c>
      <c r="GH290">
        <v>30318</v>
      </c>
      <c r="GI290">
        <v>30165.9</v>
      </c>
      <c r="GJ290">
        <v>29375.8</v>
      </c>
      <c r="GK290">
        <v>29290.9</v>
      </c>
      <c r="GL290">
        <v>35450.7</v>
      </c>
      <c r="GM290">
        <v>36952.9</v>
      </c>
      <c r="GN290">
        <v>41346.1</v>
      </c>
      <c r="GO290">
        <v>41809.6</v>
      </c>
      <c r="GP290">
        <v>1.96637</v>
      </c>
      <c r="GQ290">
        <v>1.85235</v>
      </c>
      <c r="GR290">
        <v>-0.00528991</v>
      </c>
      <c r="GS290">
        <v>0</v>
      </c>
      <c r="GT290">
        <v>25.091</v>
      </c>
      <c r="GU290">
        <v>999.9</v>
      </c>
      <c r="GV290">
        <v>29.8</v>
      </c>
      <c r="GW290">
        <v>34.2</v>
      </c>
      <c r="GX290">
        <v>17.9066</v>
      </c>
      <c r="GY290">
        <v>62.7176</v>
      </c>
      <c r="GZ290">
        <v>35.1763</v>
      </c>
      <c r="HA290">
        <v>1</v>
      </c>
      <c r="HB290">
        <v>0.046969</v>
      </c>
      <c r="HC290">
        <v>1.50247</v>
      </c>
      <c r="HD290">
        <v>20.3295</v>
      </c>
      <c r="HE290">
        <v>5.21624</v>
      </c>
      <c r="HF290">
        <v>12.0099</v>
      </c>
      <c r="HG290">
        <v>4.98865</v>
      </c>
      <c r="HH290">
        <v>3.28858</v>
      </c>
      <c r="HI290">
        <v>1030.4</v>
      </c>
      <c r="HJ290">
        <v>9728.9</v>
      </c>
      <c r="HK290">
        <v>5139.4</v>
      </c>
      <c r="HL290">
        <v>25.3</v>
      </c>
      <c r="HM290">
        <v>1.86742</v>
      </c>
      <c r="HN290">
        <v>1.86646</v>
      </c>
      <c r="HO290">
        <v>1.866</v>
      </c>
      <c r="HP290">
        <v>1.86584</v>
      </c>
      <c r="HQ290">
        <v>1.86768</v>
      </c>
      <c r="HR290">
        <v>1.87019</v>
      </c>
      <c r="HS290">
        <v>1.8689</v>
      </c>
      <c r="HT290">
        <v>1.87018</v>
      </c>
      <c r="HU290">
        <v>0</v>
      </c>
      <c r="HV290">
        <v>0</v>
      </c>
      <c r="HW290">
        <v>0</v>
      </c>
      <c r="HX290">
        <v>0</v>
      </c>
      <c r="HY290" t="s">
        <v>421</v>
      </c>
      <c r="HZ290" t="s">
        <v>422</v>
      </c>
      <c r="IA290" t="s">
        <v>423</v>
      </c>
      <c r="IB290" t="s">
        <v>423</v>
      </c>
      <c r="IC290" t="s">
        <v>423</v>
      </c>
      <c r="ID290" t="s">
        <v>423</v>
      </c>
      <c r="IE290">
        <v>0</v>
      </c>
      <c r="IF290">
        <v>100</v>
      </c>
      <c r="IG290">
        <v>100</v>
      </c>
      <c r="IH290">
        <v>-0.47</v>
      </c>
      <c r="II290">
        <v>0.0236</v>
      </c>
      <c r="IJ290">
        <v>-0.1559367209035702</v>
      </c>
      <c r="IK290">
        <v>-0.002077099775823331</v>
      </c>
      <c r="IL290">
        <v>4.593143279902166E-07</v>
      </c>
      <c r="IM290">
        <v>-1.865383991892071E-10</v>
      </c>
      <c r="IN290">
        <v>-0.0607165066849496</v>
      </c>
      <c r="IO290">
        <v>-0.01129461987421345</v>
      </c>
      <c r="IP290">
        <v>0.00116580895745559</v>
      </c>
      <c r="IQ290">
        <v>-1.679085872906199E-05</v>
      </c>
      <c r="IR290">
        <v>2</v>
      </c>
      <c r="IS290">
        <v>2290</v>
      </c>
      <c r="IT290">
        <v>0</v>
      </c>
      <c r="IU290">
        <v>32</v>
      </c>
      <c r="IV290">
        <v>13.4</v>
      </c>
      <c r="IW290">
        <v>13.2</v>
      </c>
      <c r="IX290">
        <v>0.59082</v>
      </c>
      <c r="IY290">
        <v>2.24609</v>
      </c>
      <c r="IZ290">
        <v>1.39648</v>
      </c>
      <c r="JA290">
        <v>2.35474</v>
      </c>
      <c r="JB290">
        <v>1.49536</v>
      </c>
      <c r="JC290">
        <v>2.29736</v>
      </c>
      <c r="JD290">
        <v>38.0134</v>
      </c>
      <c r="JE290">
        <v>24.0437</v>
      </c>
      <c r="JF290">
        <v>18</v>
      </c>
      <c r="JG290">
        <v>512.468</v>
      </c>
      <c r="JH290">
        <v>425.402</v>
      </c>
      <c r="JI290">
        <v>23.1544</v>
      </c>
      <c r="JJ290">
        <v>27.9345</v>
      </c>
      <c r="JK290">
        <v>29.9999</v>
      </c>
      <c r="JL290">
        <v>27.9641</v>
      </c>
      <c r="JM290">
        <v>27.9116</v>
      </c>
      <c r="JN290">
        <v>11.875</v>
      </c>
      <c r="JO290">
        <v>44.9415</v>
      </c>
      <c r="JP290">
        <v>0</v>
      </c>
      <c r="JQ290">
        <v>23.1504</v>
      </c>
      <c r="JR290">
        <v>211.396</v>
      </c>
      <c r="JS290">
        <v>9.439299999999999</v>
      </c>
      <c r="JT290">
        <v>100.41</v>
      </c>
      <c r="JU290">
        <v>100.344</v>
      </c>
    </row>
    <row r="291" spans="1:281">
      <c r="A291">
        <v>275</v>
      </c>
      <c r="B291">
        <v>1651866314</v>
      </c>
      <c r="C291">
        <v>2093.400000095367</v>
      </c>
      <c r="D291" t="s">
        <v>973</v>
      </c>
      <c r="E291" t="s">
        <v>974</v>
      </c>
      <c r="F291">
        <v>2</v>
      </c>
      <c r="G291" t="s">
        <v>908</v>
      </c>
      <c r="H291" t="s">
        <v>414</v>
      </c>
      <c r="I291">
        <v>1651866313</v>
      </c>
      <c r="J291">
        <f>(K291)/1000</f>
        <v>0</v>
      </c>
      <c r="K291">
        <f>IF(CZ291, AN291, AH291)</f>
        <v>0</v>
      </c>
      <c r="L291">
        <f>IF(CZ291, AI291, AG291)</f>
        <v>0</v>
      </c>
      <c r="M291">
        <f>DB291 - IF(AU291&gt;1, L291*CV291*100.0/(AW291*DP291), 0)</f>
        <v>0</v>
      </c>
      <c r="N291">
        <f>((T291-J291/2)*M291-L291)/(T291+J291/2)</f>
        <v>0</v>
      </c>
      <c r="O291">
        <f>N291*(DI291+DJ291)/1000.0</f>
        <v>0</v>
      </c>
      <c r="P291">
        <f>(DB291 - IF(AU291&gt;1, L291*CV291*100.0/(AW291*DP291), 0))*(DI291+DJ291)/1000.0</f>
        <v>0</v>
      </c>
      <c r="Q291">
        <f>2.0/((1/S291-1/R291)+SIGN(S291)*SQRT((1/S291-1/R291)*(1/S291-1/R291) + 4*CW291/((CW291+1)*(CW291+1))*(2*1/S291*1/R291-1/R291*1/R291)))</f>
        <v>0</v>
      </c>
      <c r="R291">
        <f>IF(LEFT(CX291,1)&lt;&gt;"0",IF(LEFT(CX291,1)="1",3.0,CY291),$D$5+$E$5*(DP291*DI291/($K$5*1000))+$F$5*(DP291*DI291/($K$5*1000))*MAX(MIN(CV291,$J$5),$I$5)*MAX(MIN(CV291,$J$5),$I$5)+$G$5*MAX(MIN(CV291,$J$5),$I$5)*(DP291*DI291/($K$5*1000))+$H$5*(DP291*DI291/($K$5*1000))*(DP291*DI291/($K$5*1000)))</f>
        <v>0</v>
      </c>
      <c r="S291">
        <f>J291*(1000-(1000*0.61365*exp(17.502*W291/(240.97+W291))/(DI291+DJ291)+DD291)/2)/(1000*0.61365*exp(17.502*W291/(240.97+W291))/(DI291+DJ291)-DD291)</f>
        <v>0</v>
      </c>
      <c r="T291">
        <f>1/((CW291+1)/(Q291/1.6)+1/(R291/1.37)) + CW291/((CW291+1)/(Q291/1.6) + CW291/(R291/1.37))</f>
        <v>0</v>
      </c>
      <c r="U291">
        <f>(CR291*CU291)</f>
        <v>0</v>
      </c>
      <c r="V291">
        <f>(DK291+(U291+2*0.95*5.67E-8*(((DK291+$B$7)+273)^4-(DK291+273)^4)-44100*J291)/(1.84*29.3*R291+8*0.95*5.67E-8*(DK291+273)^3))</f>
        <v>0</v>
      </c>
      <c r="W291">
        <f>($C$7*DL291+$D$7*DM291+$E$7*V291)</f>
        <v>0</v>
      </c>
      <c r="X291">
        <f>0.61365*exp(17.502*W291/(240.97+W291))</f>
        <v>0</v>
      </c>
      <c r="Y291">
        <f>(Z291/AA291*100)</f>
        <v>0</v>
      </c>
      <c r="Z291">
        <f>DD291*(DI291+DJ291)/1000</f>
        <v>0</v>
      </c>
      <c r="AA291">
        <f>0.61365*exp(17.502*DK291/(240.97+DK291))</f>
        <v>0</v>
      </c>
      <c r="AB291">
        <f>(X291-DD291*(DI291+DJ291)/1000)</f>
        <v>0</v>
      </c>
      <c r="AC291">
        <f>(-J291*44100)</f>
        <v>0</v>
      </c>
      <c r="AD291">
        <f>2*29.3*R291*0.92*(DK291-W291)</f>
        <v>0</v>
      </c>
      <c r="AE291">
        <f>2*0.95*5.67E-8*(((DK291+$B$7)+273)^4-(W291+273)^4)</f>
        <v>0</v>
      </c>
      <c r="AF291">
        <f>U291+AE291+AC291+AD291</f>
        <v>0</v>
      </c>
      <c r="AG291">
        <f>DH291*AU291*(DC291-DB291*(1000-AU291*DE291)/(1000-AU291*DD291))/(100*CV291)</f>
        <v>0</v>
      </c>
      <c r="AH291">
        <f>1000*DH291*AU291*(DD291-DE291)/(100*CV291*(1000-AU291*DD291))</f>
        <v>0</v>
      </c>
      <c r="AI291">
        <f>(AJ291 - AK291 - DI291*1E3/(8.314*(DK291+273.15)) * AM291/DH291 * AL291) * DH291/(100*CV291) * (1000 - DE291)/1000</f>
        <v>0</v>
      </c>
      <c r="AJ291">
        <v>186.9089248461625</v>
      </c>
      <c r="AK291">
        <v>163.6324727272727</v>
      </c>
      <c r="AL291">
        <v>3.088047604305394</v>
      </c>
      <c r="AM291">
        <v>66.38195617057868</v>
      </c>
      <c r="AN291">
        <f>(AP291 - AO291 + DI291*1E3/(8.314*(DK291+273.15)) * AR291/DH291 * AQ291) * DH291/(100*CV291) * 1000/(1000 - AP291)</f>
        <v>0</v>
      </c>
      <c r="AO291">
        <v>9.413441464444936</v>
      </c>
      <c r="AP291">
        <v>18.56775441176469</v>
      </c>
      <c r="AQ291">
        <v>0.0003350393491051885</v>
      </c>
      <c r="AR291">
        <v>80.47178418790507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MAX(0,($B$13+$C$13*DP291)/(1+$D$13*DP291)*DI291/(DK291+273)*$E$13)</f>
        <v>0</v>
      </c>
      <c r="AX291" t="s">
        <v>417</v>
      </c>
      <c r="AY291" t="s">
        <v>417</v>
      </c>
      <c r="AZ291">
        <v>0</v>
      </c>
      <c r="BA291">
        <v>0</v>
      </c>
      <c r="BB291">
        <f>1-AZ291/BA291</f>
        <v>0</v>
      </c>
      <c r="BC291">
        <v>0</v>
      </c>
      <c r="BD291" t="s">
        <v>417</v>
      </c>
      <c r="BE291" t="s">
        <v>417</v>
      </c>
      <c r="BF291">
        <v>0</v>
      </c>
      <c r="BG291">
        <v>0</v>
      </c>
      <c r="BH291">
        <f>1-BF291/BG291</f>
        <v>0</v>
      </c>
      <c r="BI291">
        <v>0.5</v>
      </c>
      <c r="BJ291">
        <f>CS291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417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BZ291">
        <v>1249</v>
      </c>
      <c r="CA291">
        <v>300</v>
      </c>
      <c r="CB291">
        <v>300</v>
      </c>
      <c r="CC291">
        <v>300</v>
      </c>
      <c r="CD291">
        <v>10442.4</v>
      </c>
      <c r="CE291">
        <v>1239.69</v>
      </c>
      <c r="CF291">
        <v>-0.00735276</v>
      </c>
      <c r="CG291">
        <v>0.07000000000000001</v>
      </c>
      <c r="CH291" t="s">
        <v>417</v>
      </c>
      <c r="CI291" t="s">
        <v>417</v>
      </c>
      <c r="CJ291" t="s">
        <v>417</v>
      </c>
      <c r="CK291" t="s">
        <v>417</v>
      </c>
      <c r="CL291" t="s">
        <v>417</v>
      </c>
      <c r="CM291" t="s">
        <v>417</v>
      </c>
      <c r="CN291" t="s">
        <v>417</v>
      </c>
      <c r="CO291" t="s">
        <v>417</v>
      </c>
      <c r="CP291" t="s">
        <v>417</v>
      </c>
      <c r="CQ291" t="s">
        <v>417</v>
      </c>
      <c r="CR291">
        <f>$B$11*DQ291+$C$11*DR291+$F$11*EC291*(1-EF291)</f>
        <v>0</v>
      </c>
      <c r="CS291">
        <f>CR291*CT291</f>
        <v>0</v>
      </c>
      <c r="CT291">
        <f>($B$11*$D$9+$C$11*$D$9+$F$11*((EP291+EH291)/MAX(EP291+EH291+EQ291, 0.1)*$I$9+EQ291/MAX(EP291+EH291+EQ291, 0.1)*$J$9))/($B$11+$C$11+$F$11)</f>
        <v>0</v>
      </c>
      <c r="CU291">
        <f>($B$11*$K$9+$C$11*$K$9+$F$11*((EP291+EH291)/MAX(EP291+EH291+EQ291, 0.1)*$P$9+EQ291/MAX(EP291+EH291+EQ291, 0.1)*$Q$9))/($B$11+$C$11+$F$11)</f>
        <v>0</v>
      </c>
      <c r="CV291">
        <v>6</v>
      </c>
      <c r="CW291">
        <v>0.5</v>
      </c>
      <c r="CX291" t="s">
        <v>418</v>
      </c>
      <c r="CY291">
        <v>2</v>
      </c>
      <c r="CZ291" t="b">
        <v>1</v>
      </c>
      <c r="DA291">
        <v>1651866313</v>
      </c>
      <c r="DB291">
        <v>159.0823333333333</v>
      </c>
      <c r="DC291">
        <v>191.148</v>
      </c>
      <c r="DD291">
        <v>18.56586666666667</v>
      </c>
      <c r="DE291">
        <v>9.411883333333334</v>
      </c>
      <c r="DF291">
        <v>159.5583333333333</v>
      </c>
      <c r="DG291">
        <v>18.54223333333333</v>
      </c>
      <c r="DH291">
        <v>500.0156666666667</v>
      </c>
      <c r="DI291">
        <v>89.9208</v>
      </c>
      <c r="DJ291">
        <v>0.09999576666666667</v>
      </c>
      <c r="DK291">
        <v>25.8631</v>
      </c>
      <c r="DL291">
        <v>25.0038</v>
      </c>
      <c r="DM291">
        <v>999.9</v>
      </c>
      <c r="DN291">
        <v>0</v>
      </c>
      <c r="DO291">
        <v>0</v>
      </c>
      <c r="DP291">
        <v>10000.01666666667</v>
      </c>
      <c r="DQ291">
        <v>0</v>
      </c>
      <c r="DR291">
        <v>3.20383</v>
      </c>
      <c r="DS291">
        <v>-32.06586666666667</v>
      </c>
      <c r="DT291">
        <v>162.0913333333333</v>
      </c>
      <c r="DU291">
        <v>192.964</v>
      </c>
      <c r="DV291">
        <v>9.153973333333333</v>
      </c>
      <c r="DW291">
        <v>191.148</v>
      </c>
      <c r="DX291">
        <v>9.411883333333334</v>
      </c>
      <c r="DY291">
        <v>1.669456666666667</v>
      </c>
      <c r="DZ291">
        <v>0.8463243333333333</v>
      </c>
      <c r="EA291">
        <v>14.6153</v>
      </c>
      <c r="EB291">
        <v>4.508969999999999</v>
      </c>
      <c r="EC291">
        <v>1499.943333333333</v>
      </c>
      <c r="ED291">
        <v>0.972998</v>
      </c>
      <c r="EE291">
        <v>0.0270015</v>
      </c>
      <c r="EF291">
        <v>0</v>
      </c>
      <c r="EG291">
        <v>846.549</v>
      </c>
      <c r="EH291">
        <v>5.00097</v>
      </c>
      <c r="EI291">
        <v>12621.06666666667</v>
      </c>
      <c r="EJ291">
        <v>12491.1</v>
      </c>
      <c r="EK291">
        <v>38.708</v>
      </c>
      <c r="EL291">
        <v>40.833</v>
      </c>
      <c r="EM291">
        <v>39</v>
      </c>
      <c r="EN291">
        <v>41.208</v>
      </c>
      <c r="EO291">
        <v>39.937</v>
      </c>
      <c r="EP291">
        <v>1454.573333333333</v>
      </c>
      <c r="EQ291">
        <v>40.37</v>
      </c>
      <c r="ER291">
        <v>0</v>
      </c>
      <c r="ES291">
        <v>831.2000000476837</v>
      </c>
      <c r="ET291">
        <v>0</v>
      </c>
      <c r="EU291">
        <v>848.7611538461539</v>
      </c>
      <c r="EV291">
        <v>-21.31740167379144</v>
      </c>
      <c r="EW291">
        <v>-250.6461535053112</v>
      </c>
      <c r="EX291">
        <v>12650.27692307692</v>
      </c>
      <c r="EY291">
        <v>15</v>
      </c>
      <c r="EZ291">
        <v>1651865518.1</v>
      </c>
      <c r="FA291" t="s">
        <v>910</v>
      </c>
      <c r="FB291">
        <v>1651865507.1</v>
      </c>
      <c r="FC291">
        <v>1651865518.1</v>
      </c>
      <c r="FD291">
        <v>8</v>
      </c>
      <c r="FE291">
        <v>0.06</v>
      </c>
      <c r="FF291">
        <v>0</v>
      </c>
      <c r="FG291">
        <v>-0.927</v>
      </c>
      <c r="FH291">
        <v>-0.062</v>
      </c>
      <c r="FI291">
        <v>400</v>
      </c>
      <c r="FJ291">
        <v>11</v>
      </c>
      <c r="FK291">
        <v>0.11</v>
      </c>
      <c r="FL291">
        <v>0.01</v>
      </c>
      <c r="FM291">
        <v>-28.84626829268293</v>
      </c>
      <c r="FN291">
        <v>-20.1646975609756</v>
      </c>
      <c r="FO291">
        <v>1.990976859690719</v>
      </c>
      <c r="FP291">
        <v>-1</v>
      </c>
      <c r="FQ291">
        <v>9.13324756097561</v>
      </c>
      <c r="FR291">
        <v>0.09266968641115789</v>
      </c>
      <c r="FS291">
        <v>0.01001540198783801</v>
      </c>
      <c r="FT291">
        <v>-1</v>
      </c>
      <c r="FU291">
        <v>0</v>
      </c>
      <c r="FV291">
        <v>0</v>
      </c>
      <c r="FW291">
        <v>0</v>
      </c>
      <c r="FX291">
        <v>-1</v>
      </c>
      <c r="FY291">
        <v>0</v>
      </c>
      <c r="FZ291">
        <v>0</v>
      </c>
      <c r="GA291" t="s">
        <v>420</v>
      </c>
      <c r="GB291">
        <v>2.98138</v>
      </c>
      <c r="GC291">
        <v>2.70615</v>
      </c>
      <c r="GD291">
        <v>0.0419532</v>
      </c>
      <c r="GE291">
        <v>0.0489119</v>
      </c>
      <c r="GF291">
        <v>0.08852790000000001</v>
      </c>
      <c r="GG291">
        <v>0.0529084</v>
      </c>
      <c r="GH291">
        <v>30271.8</v>
      </c>
      <c r="GI291">
        <v>30117.6</v>
      </c>
      <c r="GJ291">
        <v>29375.5</v>
      </c>
      <c r="GK291">
        <v>29290.9</v>
      </c>
      <c r="GL291">
        <v>35450</v>
      </c>
      <c r="GM291">
        <v>36952.8</v>
      </c>
      <c r="GN291">
        <v>41346</v>
      </c>
      <c r="GO291">
        <v>41809.6</v>
      </c>
      <c r="GP291">
        <v>1.9666</v>
      </c>
      <c r="GQ291">
        <v>1.8523</v>
      </c>
      <c r="GR291">
        <v>-0.00532717</v>
      </c>
      <c r="GS291">
        <v>0</v>
      </c>
      <c r="GT291">
        <v>25.0911</v>
      </c>
      <c r="GU291">
        <v>999.9</v>
      </c>
      <c r="GV291">
        <v>29.8</v>
      </c>
      <c r="GW291">
        <v>34.2</v>
      </c>
      <c r="GX291">
        <v>17.9048</v>
      </c>
      <c r="GY291">
        <v>62.2776</v>
      </c>
      <c r="GZ291">
        <v>35.5329</v>
      </c>
      <c r="HA291">
        <v>1</v>
      </c>
      <c r="HB291">
        <v>0.0469817</v>
      </c>
      <c r="HC291">
        <v>1.5098</v>
      </c>
      <c r="HD291">
        <v>20.3294</v>
      </c>
      <c r="HE291">
        <v>5.21594</v>
      </c>
      <c r="HF291">
        <v>12.0099</v>
      </c>
      <c r="HG291">
        <v>4.98865</v>
      </c>
      <c r="HH291">
        <v>3.28848</v>
      </c>
      <c r="HI291">
        <v>1030.4</v>
      </c>
      <c r="HJ291">
        <v>9728.9</v>
      </c>
      <c r="HK291">
        <v>5139.4</v>
      </c>
      <c r="HL291">
        <v>25.3</v>
      </c>
      <c r="HM291">
        <v>1.86743</v>
      </c>
      <c r="HN291">
        <v>1.86645</v>
      </c>
      <c r="HO291">
        <v>1.866</v>
      </c>
      <c r="HP291">
        <v>1.86584</v>
      </c>
      <c r="HQ291">
        <v>1.86768</v>
      </c>
      <c r="HR291">
        <v>1.87019</v>
      </c>
      <c r="HS291">
        <v>1.8689</v>
      </c>
      <c r="HT291">
        <v>1.87019</v>
      </c>
      <c r="HU291">
        <v>0</v>
      </c>
      <c r="HV291">
        <v>0</v>
      </c>
      <c r="HW291">
        <v>0</v>
      </c>
      <c r="HX291">
        <v>0</v>
      </c>
      <c r="HY291" t="s">
        <v>421</v>
      </c>
      <c r="HZ291" t="s">
        <v>422</v>
      </c>
      <c r="IA291" t="s">
        <v>423</v>
      </c>
      <c r="IB291" t="s">
        <v>423</v>
      </c>
      <c r="IC291" t="s">
        <v>423</v>
      </c>
      <c r="ID291" t="s">
        <v>423</v>
      </c>
      <c r="IE291">
        <v>0</v>
      </c>
      <c r="IF291">
        <v>100</v>
      </c>
      <c r="IG291">
        <v>100</v>
      </c>
      <c r="IH291">
        <v>-0.483</v>
      </c>
      <c r="II291">
        <v>0.0237</v>
      </c>
      <c r="IJ291">
        <v>-0.1559367209035702</v>
      </c>
      <c r="IK291">
        <v>-0.002077099775823331</v>
      </c>
      <c r="IL291">
        <v>4.593143279902166E-07</v>
      </c>
      <c r="IM291">
        <v>-1.865383991892071E-10</v>
      </c>
      <c r="IN291">
        <v>-0.0607165066849496</v>
      </c>
      <c r="IO291">
        <v>-0.01129461987421345</v>
      </c>
      <c r="IP291">
        <v>0.00116580895745559</v>
      </c>
      <c r="IQ291">
        <v>-1.679085872906199E-05</v>
      </c>
      <c r="IR291">
        <v>2</v>
      </c>
      <c r="IS291">
        <v>2290</v>
      </c>
      <c r="IT291">
        <v>0</v>
      </c>
      <c r="IU291">
        <v>32</v>
      </c>
      <c r="IV291">
        <v>13.4</v>
      </c>
      <c r="IW291">
        <v>13.3</v>
      </c>
      <c r="IX291">
        <v>0.605469</v>
      </c>
      <c r="IY291">
        <v>2.23999</v>
      </c>
      <c r="IZ291">
        <v>1.39648</v>
      </c>
      <c r="JA291">
        <v>2.35474</v>
      </c>
      <c r="JB291">
        <v>1.49536</v>
      </c>
      <c r="JC291">
        <v>2.35596</v>
      </c>
      <c r="JD291">
        <v>38.0134</v>
      </c>
      <c r="JE291">
        <v>24.0437</v>
      </c>
      <c r="JF291">
        <v>18</v>
      </c>
      <c r="JG291">
        <v>512.605</v>
      </c>
      <c r="JH291">
        <v>425.364</v>
      </c>
      <c r="JI291">
        <v>23.153</v>
      </c>
      <c r="JJ291">
        <v>27.934</v>
      </c>
      <c r="JK291">
        <v>29.9999</v>
      </c>
      <c r="JL291">
        <v>27.9629</v>
      </c>
      <c r="JM291">
        <v>27.9104</v>
      </c>
      <c r="JN291">
        <v>12.1756</v>
      </c>
      <c r="JO291">
        <v>44.9415</v>
      </c>
      <c r="JP291">
        <v>0</v>
      </c>
      <c r="JQ291">
        <v>23.1504</v>
      </c>
      <c r="JR291">
        <v>218.091</v>
      </c>
      <c r="JS291">
        <v>9.439299999999999</v>
      </c>
      <c r="JT291">
        <v>100.41</v>
      </c>
      <c r="JU291">
        <v>100.344</v>
      </c>
    </row>
    <row r="292" spans="1:281">
      <c r="A292">
        <v>276</v>
      </c>
      <c r="B292">
        <v>1651866316</v>
      </c>
      <c r="C292">
        <v>2095.400000095367</v>
      </c>
      <c r="D292" t="s">
        <v>975</v>
      </c>
      <c r="E292" t="s">
        <v>976</v>
      </c>
      <c r="F292">
        <v>2</v>
      </c>
      <c r="G292" t="s">
        <v>908</v>
      </c>
      <c r="H292" t="s">
        <v>414</v>
      </c>
      <c r="I292">
        <v>1651866314.625</v>
      </c>
      <c r="J292">
        <f>(K292)/1000</f>
        <v>0</v>
      </c>
      <c r="K292">
        <f>IF(CZ292, AN292, AH292)</f>
        <v>0</v>
      </c>
      <c r="L292">
        <f>IF(CZ292, AI292, AG292)</f>
        <v>0</v>
      </c>
      <c r="M292">
        <f>DB292 - IF(AU292&gt;1, L292*CV292*100.0/(AW292*DP292), 0)</f>
        <v>0</v>
      </c>
      <c r="N292">
        <f>((T292-J292/2)*M292-L292)/(T292+J292/2)</f>
        <v>0</v>
      </c>
      <c r="O292">
        <f>N292*(DI292+DJ292)/1000.0</f>
        <v>0</v>
      </c>
      <c r="P292">
        <f>(DB292 - IF(AU292&gt;1, L292*CV292*100.0/(AW292*DP292), 0))*(DI292+DJ292)/1000.0</f>
        <v>0</v>
      </c>
      <c r="Q292">
        <f>2.0/((1/S292-1/R292)+SIGN(S292)*SQRT((1/S292-1/R292)*(1/S292-1/R292) + 4*CW292/((CW292+1)*(CW292+1))*(2*1/S292*1/R292-1/R292*1/R292)))</f>
        <v>0</v>
      </c>
      <c r="R292">
        <f>IF(LEFT(CX292,1)&lt;&gt;"0",IF(LEFT(CX292,1)="1",3.0,CY292),$D$5+$E$5*(DP292*DI292/($K$5*1000))+$F$5*(DP292*DI292/($K$5*1000))*MAX(MIN(CV292,$J$5),$I$5)*MAX(MIN(CV292,$J$5),$I$5)+$G$5*MAX(MIN(CV292,$J$5),$I$5)*(DP292*DI292/($K$5*1000))+$H$5*(DP292*DI292/($K$5*1000))*(DP292*DI292/($K$5*1000)))</f>
        <v>0</v>
      </c>
      <c r="S292">
        <f>J292*(1000-(1000*0.61365*exp(17.502*W292/(240.97+W292))/(DI292+DJ292)+DD292)/2)/(1000*0.61365*exp(17.502*W292/(240.97+W292))/(DI292+DJ292)-DD292)</f>
        <v>0</v>
      </c>
      <c r="T292">
        <f>1/((CW292+1)/(Q292/1.6)+1/(R292/1.37)) + CW292/((CW292+1)/(Q292/1.6) + CW292/(R292/1.37))</f>
        <v>0</v>
      </c>
      <c r="U292">
        <f>(CR292*CU292)</f>
        <v>0</v>
      </c>
      <c r="V292">
        <f>(DK292+(U292+2*0.95*5.67E-8*(((DK292+$B$7)+273)^4-(DK292+273)^4)-44100*J292)/(1.84*29.3*R292+8*0.95*5.67E-8*(DK292+273)^3))</f>
        <v>0</v>
      </c>
      <c r="W292">
        <f>($C$7*DL292+$D$7*DM292+$E$7*V292)</f>
        <v>0</v>
      </c>
      <c r="X292">
        <f>0.61365*exp(17.502*W292/(240.97+W292))</f>
        <v>0</v>
      </c>
      <c r="Y292">
        <f>(Z292/AA292*100)</f>
        <v>0</v>
      </c>
      <c r="Z292">
        <f>DD292*(DI292+DJ292)/1000</f>
        <v>0</v>
      </c>
      <c r="AA292">
        <f>0.61365*exp(17.502*DK292/(240.97+DK292))</f>
        <v>0</v>
      </c>
      <c r="AB292">
        <f>(X292-DD292*(DI292+DJ292)/1000)</f>
        <v>0</v>
      </c>
      <c r="AC292">
        <f>(-J292*44100)</f>
        <v>0</v>
      </c>
      <c r="AD292">
        <f>2*29.3*R292*0.92*(DK292-W292)</f>
        <v>0</v>
      </c>
      <c r="AE292">
        <f>2*0.95*5.67E-8*(((DK292+$B$7)+273)^4-(W292+273)^4)</f>
        <v>0</v>
      </c>
      <c r="AF292">
        <f>U292+AE292+AC292+AD292</f>
        <v>0</v>
      </c>
      <c r="AG292">
        <f>DH292*AU292*(DC292-DB292*(1000-AU292*DE292)/(1000-AU292*DD292))/(100*CV292)</f>
        <v>0</v>
      </c>
      <c r="AH292">
        <f>1000*DH292*AU292*(DD292-DE292)/(100*CV292*(1000-AU292*DD292))</f>
        <v>0</v>
      </c>
      <c r="AI292">
        <f>(AJ292 - AK292 - DI292*1E3/(8.314*(DK292+273.15)) * AM292/DH292 * AL292) * DH292/(100*CV292) * (1000 - DE292)/1000</f>
        <v>0</v>
      </c>
      <c r="AJ292">
        <v>193.743576688888</v>
      </c>
      <c r="AK292">
        <v>169.858303030303</v>
      </c>
      <c r="AL292">
        <v>3.103629231322486</v>
      </c>
      <c r="AM292">
        <v>66.38195617057868</v>
      </c>
      <c r="AN292">
        <f>(AP292 - AO292 + DI292*1E3/(8.314*(DK292+273.15)) * AR292/DH292 * AQ292) * DH292/(100*CV292) * 1000/(1000 - AP292)</f>
        <v>0</v>
      </c>
      <c r="AO292">
        <v>9.412053400706535</v>
      </c>
      <c r="AP292">
        <v>18.57122235294116</v>
      </c>
      <c r="AQ292">
        <v>0.000333720773357963</v>
      </c>
      <c r="AR292">
        <v>80.47178418790507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MAX(0,($B$13+$C$13*DP292)/(1+$D$13*DP292)*DI292/(DK292+273)*$E$13)</f>
        <v>0</v>
      </c>
      <c r="AX292" t="s">
        <v>417</v>
      </c>
      <c r="AY292" t="s">
        <v>417</v>
      </c>
      <c r="AZ292">
        <v>0</v>
      </c>
      <c r="BA292">
        <v>0</v>
      </c>
      <c r="BB292">
        <f>1-AZ292/BA292</f>
        <v>0</v>
      </c>
      <c r="BC292">
        <v>0</v>
      </c>
      <c r="BD292" t="s">
        <v>417</v>
      </c>
      <c r="BE292" t="s">
        <v>417</v>
      </c>
      <c r="BF292">
        <v>0</v>
      </c>
      <c r="BG292">
        <v>0</v>
      </c>
      <c r="BH292">
        <f>1-BF292/BG292</f>
        <v>0</v>
      </c>
      <c r="BI292">
        <v>0.5</v>
      </c>
      <c r="BJ292">
        <f>CS292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417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BZ292">
        <v>1249</v>
      </c>
      <c r="CA292">
        <v>300</v>
      </c>
      <c r="CB292">
        <v>300</v>
      </c>
      <c r="CC292">
        <v>300</v>
      </c>
      <c r="CD292">
        <v>10442.4</v>
      </c>
      <c r="CE292">
        <v>1239.69</v>
      </c>
      <c r="CF292">
        <v>-0.00735276</v>
      </c>
      <c r="CG292">
        <v>0.07000000000000001</v>
      </c>
      <c r="CH292" t="s">
        <v>417</v>
      </c>
      <c r="CI292" t="s">
        <v>417</v>
      </c>
      <c r="CJ292" t="s">
        <v>417</v>
      </c>
      <c r="CK292" t="s">
        <v>417</v>
      </c>
      <c r="CL292" t="s">
        <v>417</v>
      </c>
      <c r="CM292" t="s">
        <v>417</v>
      </c>
      <c r="CN292" t="s">
        <v>417</v>
      </c>
      <c r="CO292" t="s">
        <v>417</v>
      </c>
      <c r="CP292" t="s">
        <v>417</v>
      </c>
      <c r="CQ292" t="s">
        <v>417</v>
      </c>
      <c r="CR292">
        <f>$B$11*DQ292+$C$11*DR292+$F$11*EC292*(1-EF292)</f>
        <v>0</v>
      </c>
      <c r="CS292">
        <f>CR292*CT292</f>
        <v>0</v>
      </c>
      <c r="CT292">
        <f>($B$11*$D$9+$C$11*$D$9+$F$11*((EP292+EH292)/MAX(EP292+EH292+EQ292, 0.1)*$I$9+EQ292/MAX(EP292+EH292+EQ292, 0.1)*$J$9))/($B$11+$C$11+$F$11)</f>
        <v>0</v>
      </c>
      <c r="CU292">
        <f>($B$11*$K$9+$C$11*$K$9+$F$11*((EP292+EH292)/MAX(EP292+EH292+EQ292, 0.1)*$P$9+EQ292/MAX(EP292+EH292+EQ292, 0.1)*$Q$9))/($B$11+$C$11+$F$11)</f>
        <v>0</v>
      </c>
      <c r="CV292">
        <v>6</v>
      </c>
      <c r="CW292">
        <v>0.5</v>
      </c>
      <c r="CX292" t="s">
        <v>418</v>
      </c>
      <c r="CY292">
        <v>2</v>
      </c>
      <c r="CZ292" t="b">
        <v>1</v>
      </c>
      <c r="DA292">
        <v>1651866314.625</v>
      </c>
      <c r="DB292">
        <v>164.02525</v>
      </c>
      <c r="DC292">
        <v>196.5905</v>
      </c>
      <c r="DD292">
        <v>18.569825</v>
      </c>
      <c r="DE292">
        <v>9.4115825</v>
      </c>
      <c r="DF292">
        <v>164.51125</v>
      </c>
      <c r="DG292">
        <v>18.546125</v>
      </c>
      <c r="DH292">
        <v>500.01425</v>
      </c>
      <c r="DI292">
        <v>89.92189999999999</v>
      </c>
      <c r="DJ292">
        <v>0.099925075</v>
      </c>
      <c r="DK292">
        <v>25.86435</v>
      </c>
      <c r="DL292">
        <v>25.002125</v>
      </c>
      <c r="DM292">
        <v>999.9</v>
      </c>
      <c r="DN292">
        <v>0</v>
      </c>
      <c r="DO292">
        <v>0</v>
      </c>
      <c r="DP292">
        <v>10012.675</v>
      </c>
      <c r="DQ292">
        <v>0</v>
      </c>
      <c r="DR292">
        <v>3.204885</v>
      </c>
      <c r="DS292">
        <v>-32.565475</v>
      </c>
      <c r="DT292">
        <v>167.12875</v>
      </c>
      <c r="DU292">
        <v>198.4585</v>
      </c>
      <c r="DV292">
        <v>9.158204999999999</v>
      </c>
      <c r="DW292">
        <v>196.5905</v>
      </c>
      <c r="DX292">
        <v>9.4115825</v>
      </c>
      <c r="DY292">
        <v>1.6698325</v>
      </c>
      <c r="DZ292">
        <v>0.84630725</v>
      </c>
      <c r="EA292">
        <v>14.618775</v>
      </c>
      <c r="EB292">
        <v>4.50869</v>
      </c>
      <c r="EC292">
        <v>1499.9075</v>
      </c>
      <c r="ED292">
        <v>0.972998</v>
      </c>
      <c r="EE292">
        <v>0.0270015</v>
      </c>
      <c r="EF292">
        <v>0</v>
      </c>
      <c r="EG292">
        <v>845.8085</v>
      </c>
      <c r="EH292">
        <v>5.00097</v>
      </c>
      <c r="EI292">
        <v>12614.75</v>
      </c>
      <c r="EJ292">
        <v>12490.825</v>
      </c>
      <c r="EK292">
        <v>38.75</v>
      </c>
      <c r="EL292">
        <v>40.875</v>
      </c>
      <c r="EM292">
        <v>39.04649999999999</v>
      </c>
      <c r="EN292">
        <v>41.25</v>
      </c>
      <c r="EO292">
        <v>39.98425</v>
      </c>
      <c r="EP292">
        <v>1454.5375</v>
      </c>
      <c r="EQ292">
        <v>40.3625</v>
      </c>
      <c r="ER292">
        <v>0</v>
      </c>
      <c r="ES292">
        <v>833.6000001430511</v>
      </c>
      <c r="ET292">
        <v>0</v>
      </c>
      <c r="EU292">
        <v>847.8902307692308</v>
      </c>
      <c r="EV292">
        <v>-20.69128204043053</v>
      </c>
      <c r="EW292">
        <v>-251.2820512536406</v>
      </c>
      <c r="EX292">
        <v>12640.38461538462</v>
      </c>
      <c r="EY292">
        <v>15</v>
      </c>
      <c r="EZ292">
        <v>1651865518.1</v>
      </c>
      <c r="FA292" t="s">
        <v>910</v>
      </c>
      <c r="FB292">
        <v>1651865507.1</v>
      </c>
      <c r="FC292">
        <v>1651865518.1</v>
      </c>
      <c r="FD292">
        <v>8</v>
      </c>
      <c r="FE292">
        <v>0.06</v>
      </c>
      <c r="FF292">
        <v>0</v>
      </c>
      <c r="FG292">
        <v>-0.927</v>
      </c>
      <c r="FH292">
        <v>-0.062</v>
      </c>
      <c r="FI292">
        <v>400</v>
      </c>
      <c r="FJ292">
        <v>11</v>
      </c>
      <c r="FK292">
        <v>0.11</v>
      </c>
      <c r="FL292">
        <v>0.01</v>
      </c>
      <c r="FM292">
        <v>-29.413125</v>
      </c>
      <c r="FN292">
        <v>-20.59295459662276</v>
      </c>
      <c r="FO292">
        <v>1.981773071866454</v>
      </c>
      <c r="FP292">
        <v>-1</v>
      </c>
      <c r="FQ292">
        <v>9.13613125</v>
      </c>
      <c r="FR292">
        <v>0.1090332833020539</v>
      </c>
      <c r="FS292">
        <v>0.01128560857630197</v>
      </c>
      <c r="FT292">
        <v>-1</v>
      </c>
      <c r="FU292">
        <v>0</v>
      </c>
      <c r="FV292">
        <v>0</v>
      </c>
      <c r="FW292">
        <v>0</v>
      </c>
      <c r="FX292">
        <v>-1</v>
      </c>
      <c r="FY292">
        <v>0</v>
      </c>
      <c r="FZ292">
        <v>0</v>
      </c>
      <c r="GA292" t="s">
        <v>420</v>
      </c>
      <c r="GB292">
        <v>2.98139</v>
      </c>
      <c r="GC292">
        <v>2.70635</v>
      </c>
      <c r="GD292">
        <v>0.0434136</v>
      </c>
      <c r="GE292">
        <v>0.0504166</v>
      </c>
      <c r="GF292">
        <v>0.0885431</v>
      </c>
      <c r="GG292">
        <v>0.0529036</v>
      </c>
      <c r="GH292">
        <v>30225.9</v>
      </c>
      <c r="GI292">
        <v>30070.3</v>
      </c>
      <c r="GJ292">
        <v>29375.6</v>
      </c>
      <c r="GK292">
        <v>29291.3</v>
      </c>
      <c r="GL292">
        <v>35449.7</v>
      </c>
      <c r="GM292">
        <v>36953.4</v>
      </c>
      <c r="GN292">
        <v>41346.3</v>
      </c>
      <c r="GO292">
        <v>41810.1</v>
      </c>
      <c r="GP292">
        <v>1.96662</v>
      </c>
      <c r="GQ292">
        <v>1.85233</v>
      </c>
      <c r="GR292">
        <v>-0.00543892</v>
      </c>
      <c r="GS292">
        <v>0</v>
      </c>
      <c r="GT292">
        <v>25.0911</v>
      </c>
      <c r="GU292">
        <v>999.9</v>
      </c>
      <c r="GV292">
        <v>29.8</v>
      </c>
      <c r="GW292">
        <v>34.2</v>
      </c>
      <c r="GX292">
        <v>17.9047</v>
      </c>
      <c r="GY292">
        <v>62.5276</v>
      </c>
      <c r="GZ292">
        <v>35.4607</v>
      </c>
      <c r="HA292">
        <v>1</v>
      </c>
      <c r="HB292">
        <v>0.0469715</v>
      </c>
      <c r="HC292">
        <v>1.50962</v>
      </c>
      <c r="HD292">
        <v>20.3295</v>
      </c>
      <c r="HE292">
        <v>5.21624</v>
      </c>
      <c r="HF292">
        <v>12.0099</v>
      </c>
      <c r="HG292">
        <v>4.9887</v>
      </c>
      <c r="HH292">
        <v>3.28855</v>
      </c>
      <c r="HI292">
        <v>1030.4</v>
      </c>
      <c r="HJ292">
        <v>9728.9</v>
      </c>
      <c r="HK292">
        <v>5139.4</v>
      </c>
      <c r="HL292">
        <v>25.3</v>
      </c>
      <c r="HM292">
        <v>1.86745</v>
      </c>
      <c r="HN292">
        <v>1.86646</v>
      </c>
      <c r="HO292">
        <v>1.866</v>
      </c>
      <c r="HP292">
        <v>1.86584</v>
      </c>
      <c r="HQ292">
        <v>1.86768</v>
      </c>
      <c r="HR292">
        <v>1.87018</v>
      </c>
      <c r="HS292">
        <v>1.8689</v>
      </c>
      <c r="HT292">
        <v>1.8702</v>
      </c>
      <c r="HU292">
        <v>0</v>
      </c>
      <c r="HV292">
        <v>0</v>
      </c>
      <c r="HW292">
        <v>0</v>
      </c>
      <c r="HX292">
        <v>0</v>
      </c>
      <c r="HY292" t="s">
        <v>421</v>
      </c>
      <c r="HZ292" t="s">
        <v>422</v>
      </c>
      <c r="IA292" t="s">
        <v>423</v>
      </c>
      <c r="IB292" t="s">
        <v>423</v>
      </c>
      <c r="IC292" t="s">
        <v>423</v>
      </c>
      <c r="ID292" t="s">
        <v>423</v>
      </c>
      <c r="IE292">
        <v>0</v>
      </c>
      <c r="IF292">
        <v>100</v>
      </c>
      <c r="IG292">
        <v>100</v>
      </c>
      <c r="IH292">
        <v>-0.494</v>
      </c>
      <c r="II292">
        <v>0.0238</v>
      </c>
      <c r="IJ292">
        <v>-0.1559367209035702</v>
      </c>
      <c r="IK292">
        <v>-0.002077099775823331</v>
      </c>
      <c r="IL292">
        <v>4.593143279902166E-07</v>
      </c>
      <c r="IM292">
        <v>-1.865383991892071E-10</v>
      </c>
      <c r="IN292">
        <v>-0.0607165066849496</v>
      </c>
      <c r="IO292">
        <v>-0.01129461987421345</v>
      </c>
      <c r="IP292">
        <v>0.00116580895745559</v>
      </c>
      <c r="IQ292">
        <v>-1.679085872906199E-05</v>
      </c>
      <c r="IR292">
        <v>2</v>
      </c>
      <c r="IS292">
        <v>2290</v>
      </c>
      <c r="IT292">
        <v>0</v>
      </c>
      <c r="IU292">
        <v>32</v>
      </c>
      <c r="IV292">
        <v>13.5</v>
      </c>
      <c r="IW292">
        <v>13.3</v>
      </c>
      <c r="IX292">
        <v>0.620117</v>
      </c>
      <c r="IY292">
        <v>2.24243</v>
      </c>
      <c r="IZ292">
        <v>1.39648</v>
      </c>
      <c r="JA292">
        <v>2.35596</v>
      </c>
      <c r="JB292">
        <v>1.49536</v>
      </c>
      <c r="JC292">
        <v>2.36816</v>
      </c>
      <c r="JD292">
        <v>38.0134</v>
      </c>
      <c r="JE292">
        <v>24.0437</v>
      </c>
      <c r="JF292">
        <v>18</v>
      </c>
      <c r="JG292">
        <v>512.616</v>
      </c>
      <c r="JH292">
        <v>425.37</v>
      </c>
      <c r="JI292">
        <v>23.1514</v>
      </c>
      <c r="JJ292">
        <v>27.9328</v>
      </c>
      <c r="JK292">
        <v>29.9999</v>
      </c>
      <c r="JL292">
        <v>27.9623</v>
      </c>
      <c r="JM292">
        <v>27.9092</v>
      </c>
      <c r="JN292">
        <v>12.4677</v>
      </c>
      <c r="JO292">
        <v>44.9415</v>
      </c>
      <c r="JP292">
        <v>0</v>
      </c>
      <c r="JQ292">
        <v>23.1472</v>
      </c>
      <c r="JR292">
        <v>224.771</v>
      </c>
      <c r="JS292">
        <v>9.439299999999999</v>
      </c>
      <c r="JT292">
        <v>100.41</v>
      </c>
      <c r="JU292">
        <v>100.345</v>
      </c>
    </row>
    <row r="293" spans="1:281">
      <c r="A293">
        <v>277</v>
      </c>
      <c r="B293">
        <v>1651866318</v>
      </c>
      <c r="C293">
        <v>2097.400000095367</v>
      </c>
      <c r="D293" t="s">
        <v>977</v>
      </c>
      <c r="E293" t="s">
        <v>978</v>
      </c>
      <c r="F293">
        <v>2</v>
      </c>
      <c r="G293" t="s">
        <v>908</v>
      </c>
      <c r="H293" t="s">
        <v>414</v>
      </c>
      <c r="I293">
        <v>1651866317</v>
      </c>
      <c r="J293">
        <f>(K293)/1000</f>
        <v>0</v>
      </c>
      <c r="K293">
        <f>IF(CZ293, AN293, AH293)</f>
        <v>0</v>
      </c>
      <c r="L293">
        <f>IF(CZ293, AI293, AG293)</f>
        <v>0</v>
      </c>
      <c r="M293">
        <f>DB293 - IF(AU293&gt;1, L293*CV293*100.0/(AW293*DP293), 0)</f>
        <v>0</v>
      </c>
      <c r="N293">
        <f>((T293-J293/2)*M293-L293)/(T293+J293/2)</f>
        <v>0</v>
      </c>
      <c r="O293">
        <f>N293*(DI293+DJ293)/1000.0</f>
        <v>0</v>
      </c>
      <c r="P293">
        <f>(DB293 - IF(AU293&gt;1, L293*CV293*100.0/(AW293*DP293), 0))*(DI293+DJ293)/1000.0</f>
        <v>0</v>
      </c>
      <c r="Q293">
        <f>2.0/((1/S293-1/R293)+SIGN(S293)*SQRT((1/S293-1/R293)*(1/S293-1/R293) + 4*CW293/((CW293+1)*(CW293+1))*(2*1/S293*1/R293-1/R293*1/R293)))</f>
        <v>0</v>
      </c>
      <c r="R293">
        <f>IF(LEFT(CX293,1)&lt;&gt;"0",IF(LEFT(CX293,1)="1",3.0,CY293),$D$5+$E$5*(DP293*DI293/($K$5*1000))+$F$5*(DP293*DI293/($K$5*1000))*MAX(MIN(CV293,$J$5),$I$5)*MAX(MIN(CV293,$J$5),$I$5)+$G$5*MAX(MIN(CV293,$J$5),$I$5)*(DP293*DI293/($K$5*1000))+$H$5*(DP293*DI293/($K$5*1000))*(DP293*DI293/($K$5*1000)))</f>
        <v>0</v>
      </c>
      <c r="S293">
        <f>J293*(1000-(1000*0.61365*exp(17.502*W293/(240.97+W293))/(DI293+DJ293)+DD293)/2)/(1000*0.61365*exp(17.502*W293/(240.97+W293))/(DI293+DJ293)-DD293)</f>
        <v>0</v>
      </c>
      <c r="T293">
        <f>1/((CW293+1)/(Q293/1.6)+1/(R293/1.37)) + CW293/((CW293+1)/(Q293/1.6) + CW293/(R293/1.37))</f>
        <v>0</v>
      </c>
      <c r="U293">
        <f>(CR293*CU293)</f>
        <v>0</v>
      </c>
      <c r="V293">
        <f>(DK293+(U293+2*0.95*5.67E-8*(((DK293+$B$7)+273)^4-(DK293+273)^4)-44100*J293)/(1.84*29.3*R293+8*0.95*5.67E-8*(DK293+273)^3))</f>
        <v>0</v>
      </c>
      <c r="W293">
        <f>($C$7*DL293+$D$7*DM293+$E$7*V293)</f>
        <v>0</v>
      </c>
      <c r="X293">
        <f>0.61365*exp(17.502*W293/(240.97+W293))</f>
        <v>0</v>
      </c>
      <c r="Y293">
        <f>(Z293/AA293*100)</f>
        <v>0</v>
      </c>
      <c r="Z293">
        <f>DD293*(DI293+DJ293)/1000</f>
        <v>0</v>
      </c>
      <c r="AA293">
        <f>0.61365*exp(17.502*DK293/(240.97+DK293))</f>
        <v>0</v>
      </c>
      <c r="AB293">
        <f>(X293-DD293*(DI293+DJ293)/1000)</f>
        <v>0</v>
      </c>
      <c r="AC293">
        <f>(-J293*44100)</f>
        <v>0</v>
      </c>
      <c r="AD293">
        <f>2*29.3*R293*0.92*(DK293-W293)</f>
        <v>0</v>
      </c>
      <c r="AE293">
        <f>2*0.95*5.67E-8*(((DK293+$B$7)+273)^4-(W293+273)^4)</f>
        <v>0</v>
      </c>
      <c r="AF293">
        <f>U293+AE293+AC293+AD293</f>
        <v>0</v>
      </c>
      <c r="AG293">
        <f>DH293*AU293*(DC293-DB293*(1000-AU293*DE293)/(1000-AU293*DD293))/(100*CV293)</f>
        <v>0</v>
      </c>
      <c r="AH293">
        <f>1000*DH293*AU293*(DD293-DE293)/(100*CV293*(1000-AU293*DD293))</f>
        <v>0</v>
      </c>
      <c r="AI293">
        <f>(AJ293 - AK293 - DI293*1E3/(8.314*(DK293+273.15)) * AM293/DH293 * AL293) * DH293/(100*CV293) * (1000 - DE293)/1000</f>
        <v>0</v>
      </c>
      <c r="AJ293">
        <v>200.5008701412577</v>
      </c>
      <c r="AK293">
        <v>176.1291090909091</v>
      </c>
      <c r="AL293">
        <v>3.129874909598508</v>
      </c>
      <c r="AM293">
        <v>66.38195617057868</v>
      </c>
      <c r="AN293">
        <f>(AP293 - AO293 + DI293*1E3/(8.314*(DK293+273.15)) * AR293/DH293 * AQ293) * DH293/(100*CV293) * 1000/(1000 - AP293)</f>
        <v>0</v>
      </c>
      <c r="AO293">
        <v>9.411932170325866</v>
      </c>
      <c r="AP293">
        <v>18.57505676470588</v>
      </c>
      <c r="AQ293">
        <v>0.0001924586928423893</v>
      </c>
      <c r="AR293">
        <v>80.47178418790507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MAX(0,($B$13+$C$13*DP293)/(1+$D$13*DP293)*DI293/(DK293+273)*$E$13)</f>
        <v>0</v>
      </c>
      <c r="AX293" t="s">
        <v>417</v>
      </c>
      <c r="AY293" t="s">
        <v>417</v>
      </c>
      <c r="AZ293">
        <v>0</v>
      </c>
      <c r="BA293">
        <v>0</v>
      </c>
      <c r="BB293">
        <f>1-AZ293/BA293</f>
        <v>0</v>
      </c>
      <c r="BC293">
        <v>0</v>
      </c>
      <c r="BD293" t="s">
        <v>417</v>
      </c>
      <c r="BE293" t="s">
        <v>417</v>
      </c>
      <c r="BF293">
        <v>0</v>
      </c>
      <c r="BG293">
        <v>0</v>
      </c>
      <c r="BH293">
        <f>1-BF293/BG293</f>
        <v>0</v>
      </c>
      <c r="BI293">
        <v>0.5</v>
      </c>
      <c r="BJ293">
        <f>CS293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417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BZ293">
        <v>1249</v>
      </c>
      <c r="CA293">
        <v>300</v>
      </c>
      <c r="CB293">
        <v>300</v>
      </c>
      <c r="CC293">
        <v>300</v>
      </c>
      <c r="CD293">
        <v>10442.4</v>
      </c>
      <c r="CE293">
        <v>1239.69</v>
      </c>
      <c r="CF293">
        <v>-0.00735276</v>
      </c>
      <c r="CG293">
        <v>0.07000000000000001</v>
      </c>
      <c r="CH293" t="s">
        <v>417</v>
      </c>
      <c r="CI293" t="s">
        <v>417</v>
      </c>
      <c r="CJ293" t="s">
        <v>417</v>
      </c>
      <c r="CK293" t="s">
        <v>417</v>
      </c>
      <c r="CL293" t="s">
        <v>417</v>
      </c>
      <c r="CM293" t="s">
        <v>417</v>
      </c>
      <c r="CN293" t="s">
        <v>417</v>
      </c>
      <c r="CO293" t="s">
        <v>417</v>
      </c>
      <c r="CP293" t="s">
        <v>417</v>
      </c>
      <c r="CQ293" t="s">
        <v>417</v>
      </c>
      <c r="CR293">
        <f>$B$11*DQ293+$C$11*DR293+$F$11*EC293*(1-EF293)</f>
        <v>0</v>
      </c>
      <c r="CS293">
        <f>CR293*CT293</f>
        <v>0</v>
      </c>
      <c r="CT293">
        <f>($B$11*$D$9+$C$11*$D$9+$F$11*((EP293+EH293)/MAX(EP293+EH293+EQ293, 0.1)*$I$9+EQ293/MAX(EP293+EH293+EQ293, 0.1)*$J$9))/($B$11+$C$11+$F$11)</f>
        <v>0</v>
      </c>
      <c r="CU293">
        <f>($B$11*$K$9+$C$11*$K$9+$F$11*((EP293+EH293)/MAX(EP293+EH293+EQ293, 0.1)*$P$9+EQ293/MAX(EP293+EH293+EQ293, 0.1)*$Q$9))/($B$11+$C$11+$F$11)</f>
        <v>0</v>
      </c>
      <c r="CV293">
        <v>6</v>
      </c>
      <c r="CW293">
        <v>0.5</v>
      </c>
      <c r="CX293" t="s">
        <v>418</v>
      </c>
      <c r="CY293">
        <v>2</v>
      </c>
      <c r="CZ293" t="b">
        <v>1</v>
      </c>
      <c r="DA293">
        <v>1651866317</v>
      </c>
      <c r="DB293">
        <v>171.317</v>
      </c>
      <c r="DC293">
        <v>204.632</v>
      </c>
      <c r="DD293">
        <v>18.57406666666667</v>
      </c>
      <c r="DE293">
        <v>9.409976666666667</v>
      </c>
      <c r="DF293">
        <v>171.8173333333333</v>
      </c>
      <c r="DG293">
        <v>18.55036666666667</v>
      </c>
      <c r="DH293">
        <v>500.0696666666667</v>
      </c>
      <c r="DI293">
        <v>89.92326666666666</v>
      </c>
      <c r="DJ293">
        <v>0.09997323333333334</v>
      </c>
      <c r="DK293">
        <v>25.86656666666667</v>
      </c>
      <c r="DL293">
        <v>25.0009</v>
      </c>
      <c r="DM293">
        <v>999.9</v>
      </c>
      <c r="DN293">
        <v>0</v>
      </c>
      <c r="DO293">
        <v>0</v>
      </c>
      <c r="DP293">
        <v>10009.36666666667</v>
      </c>
      <c r="DQ293">
        <v>0</v>
      </c>
      <c r="DR293">
        <v>3.21788</v>
      </c>
      <c r="DS293">
        <v>-33.31513333333333</v>
      </c>
      <c r="DT293">
        <v>174.5593333333333</v>
      </c>
      <c r="DU293">
        <v>206.5763333333333</v>
      </c>
      <c r="DV293">
        <v>9.164119999999999</v>
      </c>
      <c r="DW293">
        <v>204.632</v>
      </c>
      <c r="DX293">
        <v>9.409976666666667</v>
      </c>
      <c r="DY293">
        <v>1.670243333333333</v>
      </c>
      <c r="DZ293">
        <v>0.8461756666666665</v>
      </c>
      <c r="EA293">
        <v>14.6226</v>
      </c>
      <c r="EB293">
        <v>4.506463333333333</v>
      </c>
      <c r="EC293">
        <v>1500.07</v>
      </c>
      <c r="ED293">
        <v>0.973002</v>
      </c>
      <c r="EE293">
        <v>0.02699796666666667</v>
      </c>
      <c r="EF293">
        <v>0</v>
      </c>
      <c r="EG293">
        <v>845.5873333333333</v>
      </c>
      <c r="EH293">
        <v>5.00097</v>
      </c>
      <c r="EI293">
        <v>12606.96666666667</v>
      </c>
      <c r="EJ293">
        <v>12492.23333333333</v>
      </c>
      <c r="EK293">
        <v>38.77066666666666</v>
      </c>
      <c r="EL293">
        <v>40.89566666666666</v>
      </c>
      <c r="EM293">
        <v>39.062</v>
      </c>
      <c r="EN293">
        <v>41.312</v>
      </c>
      <c r="EO293">
        <v>40.02066666666666</v>
      </c>
      <c r="EP293">
        <v>1454.706666666667</v>
      </c>
      <c r="EQ293">
        <v>40.36</v>
      </c>
      <c r="ER293">
        <v>0</v>
      </c>
      <c r="ES293">
        <v>835.4000000953674</v>
      </c>
      <c r="ET293">
        <v>0</v>
      </c>
      <c r="EU293">
        <v>847.1759999999999</v>
      </c>
      <c r="EV293">
        <v>-19.56976922900256</v>
      </c>
      <c r="EW293">
        <v>-247.9461538210761</v>
      </c>
      <c r="EX293">
        <v>12631.812</v>
      </c>
      <c r="EY293">
        <v>15</v>
      </c>
      <c r="EZ293">
        <v>1651865518.1</v>
      </c>
      <c r="FA293" t="s">
        <v>910</v>
      </c>
      <c r="FB293">
        <v>1651865507.1</v>
      </c>
      <c r="FC293">
        <v>1651865518.1</v>
      </c>
      <c r="FD293">
        <v>8</v>
      </c>
      <c r="FE293">
        <v>0.06</v>
      </c>
      <c r="FF293">
        <v>0</v>
      </c>
      <c r="FG293">
        <v>-0.927</v>
      </c>
      <c r="FH293">
        <v>-0.062</v>
      </c>
      <c r="FI293">
        <v>400</v>
      </c>
      <c r="FJ293">
        <v>11</v>
      </c>
      <c r="FK293">
        <v>0.11</v>
      </c>
      <c r="FL293">
        <v>0.01</v>
      </c>
      <c r="FM293">
        <v>-30.16831219512195</v>
      </c>
      <c r="FN293">
        <v>-20.37958745644603</v>
      </c>
      <c r="FO293">
        <v>2.010487717214605</v>
      </c>
      <c r="FP293">
        <v>-1</v>
      </c>
      <c r="FQ293">
        <v>9.140404634146343</v>
      </c>
      <c r="FR293">
        <v>0.1325813937282088</v>
      </c>
      <c r="FS293">
        <v>0.01355367542584211</v>
      </c>
      <c r="FT293">
        <v>-1</v>
      </c>
      <c r="FU293">
        <v>0</v>
      </c>
      <c r="FV293">
        <v>0</v>
      </c>
      <c r="FW293">
        <v>0</v>
      </c>
      <c r="FX293">
        <v>-1</v>
      </c>
      <c r="FY293">
        <v>0</v>
      </c>
      <c r="FZ293">
        <v>0</v>
      </c>
      <c r="GA293" t="s">
        <v>420</v>
      </c>
      <c r="GB293">
        <v>2.9815</v>
      </c>
      <c r="GC293">
        <v>2.70614</v>
      </c>
      <c r="GD293">
        <v>0.0448641</v>
      </c>
      <c r="GE293">
        <v>0.0519418</v>
      </c>
      <c r="GF293">
        <v>0.0885571</v>
      </c>
      <c r="GG293">
        <v>0.052899</v>
      </c>
      <c r="GH293">
        <v>30180.4</v>
      </c>
      <c r="GI293">
        <v>30022.1</v>
      </c>
      <c r="GJ293">
        <v>29376</v>
      </c>
      <c r="GK293">
        <v>29291.4</v>
      </c>
      <c r="GL293">
        <v>35449.6</v>
      </c>
      <c r="GM293">
        <v>36953.7</v>
      </c>
      <c r="GN293">
        <v>41346.7</v>
      </c>
      <c r="GO293">
        <v>41810.1</v>
      </c>
      <c r="GP293">
        <v>1.9664</v>
      </c>
      <c r="GQ293">
        <v>1.85242</v>
      </c>
      <c r="GR293">
        <v>-0.00547618</v>
      </c>
      <c r="GS293">
        <v>0</v>
      </c>
      <c r="GT293">
        <v>25.0911</v>
      </c>
      <c r="GU293">
        <v>999.9</v>
      </c>
      <c r="GV293">
        <v>29.8</v>
      </c>
      <c r="GW293">
        <v>34.2</v>
      </c>
      <c r="GX293">
        <v>17.9048</v>
      </c>
      <c r="GY293">
        <v>62.4476</v>
      </c>
      <c r="GZ293">
        <v>35.1883</v>
      </c>
      <c r="HA293">
        <v>1</v>
      </c>
      <c r="HB293">
        <v>0.0469817</v>
      </c>
      <c r="HC293">
        <v>1.51358</v>
      </c>
      <c r="HD293">
        <v>20.3295</v>
      </c>
      <c r="HE293">
        <v>5.21609</v>
      </c>
      <c r="HF293">
        <v>12.0099</v>
      </c>
      <c r="HG293">
        <v>4.98865</v>
      </c>
      <c r="HH293">
        <v>3.28858</v>
      </c>
      <c r="HI293">
        <v>1030.6</v>
      </c>
      <c r="HJ293">
        <v>9730.299999999999</v>
      </c>
      <c r="HK293">
        <v>5139.4</v>
      </c>
      <c r="HL293">
        <v>25.3</v>
      </c>
      <c r="HM293">
        <v>1.86746</v>
      </c>
      <c r="HN293">
        <v>1.86646</v>
      </c>
      <c r="HO293">
        <v>1.866</v>
      </c>
      <c r="HP293">
        <v>1.86584</v>
      </c>
      <c r="HQ293">
        <v>1.86768</v>
      </c>
      <c r="HR293">
        <v>1.87017</v>
      </c>
      <c r="HS293">
        <v>1.8689</v>
      </c>
      <c r="HT293">
        <v>1.87023</v>
      </c>
      <c r="HU293">
        <v>0</v>
      </c>
      <c r="HV293">
        <v>0</v>
      </c>
      <c r="HW293">
        <v>0</v>
      </c>
      <c r="HX293">
        <v>0</v>
      </c>
      <c r="HY293" t="s">
        <v>421</v>
      </c>
      <c r="HZ293" t="s">
        <v>422</v>
      </c>
      <c r="IA293" t="s">
        <v>423</v>
      </c>
      <c r="IB293" t="s">
        <v>423</v>
      </c>
      <c r="IC293" t="s">
        <v>423</v>
      </c>
      <c r="ID293" t="s">
        <v>423</v>
      </c>
      <c r="IE293">
        <v>0</v>
      </c>
      <c r="IF293">
        <v>100</v>
      </c>
      <c r="IG293">
        <v>100</v>
      </c>
      <c r="IH293">
        <v>-0.506</v>
      </c>
      <c r="II293">
        <v>0.0238</v>
      </c>
      <c r="IJ293">
        <v>-0.1559367209035702</v>
      </c>
      <c r="IK293">
        <v>-0.002077099775823331</v>
      </c>
      <c r="IL293">
        <v>4.593143279902166E-07</v>
      </c>
      <c r="IM293">
        <v>-1.865383991892071E-10</v>
      </c>
      <c r="IN293">
        <v>-0.0607165066849496</v>
      </c>
      <c r="IO293">
        <v>-0.01129461987421345</v>
      </c>
      <c r="IP293">
        <v>0.00116580895745559</v>
      </c>
      <c r="IQ293">
        <v>-1.679085872906199E-05</v>
      </c>
      <c r="IR293">
        <v>2</v>
      </c>
      <c r="IS293">
        <v>2290</v>
      </c>
      <c r="IT293">
        <v>0</v>
      </c>
      <c r="IU293">
        <v>32</v>
      </c>
      <c r="IV293">
        <v>13.5</v>
      </c>
      <c r="IW293">
        <v>13.3</v>
      </c>
      <c r="IX293">
        <v>0.6347660000000001</v>
      </c>
      <c r="IY293">
        <v>2.23999</v>
      </c>
      <c r="IZ293">
        <v>1.39648</v>
      </c>
      <c r="JA293">
        <v>2.35474</v>
      </c>
      <c r="JB293">
        <v>1.49536</v>
      </c>
      <c r="JC293">
        <v>2.31934</v>
      </c>
      <c r="JD293">
        <v>38.0134</v>
      </c>
      <c r="JE293">
        <v>24.035</v>
      </c>
      <c r="JF293">
        <v>18</v>
      </c>
      <c r="JG293">
        <v>512.4589999999999</v>
      </c>
      <c r="JH293">
        <v>425.421</v>
      </c>
      <c r="JI293">
        <v>23.1499</v>
      </c>
      <c r="JJ293">
        <v>27.9322</v>
      </c>
      <c r="JK293">
        <v>29.9999</v>
      </c>
      <c r="JL293">
        <v>27.9612</v>
      </c>
      <c r="JM293">
        <v>27.9081</v>
      </c>
      <c r="JN293">
        <v>12.7608</v>
      </c>
      <c r="JO293">
        <v>44.9415</v>
      </c>
      <c r="JP293">
        <v>0</v>
      </c>
      <c r="JQ293">
        <v>23.1472</v>
      </c>
      <c r="JR293">
        <v>231.473</v>
      </c>
      <c r="JS293">
        <v>9.439299999999999</v>
      </c>
      <c r="JT293">
        <v>100.411</v>
      </c>
      <c r="JU293">
        <v>100.345</v>
      </c>
    </row>
    <row r="294" spans="1:281">
      <c r="A294">
        <v>278</v>
      </c>
      <c r="B294">
        <v>1651866320</v>
      </c>
      <c r="C294">
        <v>2099.400000095367</v>
      </c>
      <c r="D294" t="s">
        <v>979</v>
      </c>
      <c r="E294" t="s">
        <v>980</v>
      </c>
      <c r="F294">
        <v>2</v>
      </c>
      <c r="G294" t="s">
        <v>908</v>
      </c>
      <c r="H294" t="s">
        <v>414</v>
      </c>
      <c r="I294">
        <v>1651866318.625</v>
      </c>
      <c r="J294">
        <f>(K294)/1000</f>
        <v>0</v>
      </c>
      <c r="K294">
        <f>IF(CZ294, AN294, AH294)</f>
        <v>0</v>
      </c>
      <c r="L294">
        <f>IF(CZ294, AI294, AG294)</f>
        <v>0</v>
      </c>
      <c r="M294">
        <f>DB294 - IF(AU294&gt;1, L294*CV294*100.0/(AW294*DP294), 0)</f>
        <v>0</v>
      </c>
      <c r="N294">
        <f>((T294-J294/2)*M294-L294)/(T294+J294/2)</f>
        <v>0</v>
      </c>
      <c r="O294">
        <f>N294*(DI294+DJ294)/1000.0</f>
        <v>0</v>
      </c>
      <c r="P294">
        <f>(DB294 - IF(AU294&gt;1, L294*CV294*100.0/(AW294*DP294), 0))*(DI294+DJ294)/1000.0</f>
        <v>0</v>
      </c>
      <c r="Q294">
        <f>2.0/((1/S294-1/R294)+SIGN(S294)*SQRT((1/S294-1/R294)*(1/S294-1/R294) + 4*CW294/((CW294+1)*(CW294+1))*(2*1/S294*1/R294-1/R294*1/R294)))</f>
        <v>0</v>
      </c>
      <c r="R294">
        <f>IF(LEFT(CX294,1)&lt;&gt;"0",IF(LEFT(CX294,1)="1",3.0,CY294),$D$5+$E$5*(DP294*DI294/($K$5*1000))+$F$5*(DP294*DI294/($K$5*1000))*MAX(MIN(CV294,$J$5),$I$5)*MAX(MIN(CV294,$J$5),$I$5)+$G$5*MAX(MIN(CV294,$J$5),$I$5)*(DP294*DI294/($K$5*1000))+$H$5*(DP294*DI294/($K$5*1000))*(DP294*DI294/($K$5*1000)))</f>
        <v>0</v>
      </c>
      <c r="S294">
        <f>J294*(1000-(1000*0.61365*exp(17.502*W294/(240.97+W294))/(DI294+DJ294)+DD294)/2)/(1000*0.61365*exp(17.502*W294/(240.97+W294))/(DI294+DJ294)-DD294)</f>
        <v>0</v>
      </c>
      <c r="T294">
        <f>1/((CW294+1)/(Q294/1.6)+1/(R294/1.37)) + CW294/((CW294+1)/(Q294/1.6) + CW294/(R294/1.37))</f>
        <v>0</v>
      </c>
      <c r="U294">
        <f>(CR294*CU294)</f>
        <v>0</v>
      </c>
      <c r="V294">
        <f>(DK294+(U294+2*0.95*5.67E-8*(((DK294+$B$7)+273)^4-(DK294+273)^4)-44100*J294)/(1.84*29.3*R294+8*0.95*5.67E-8*(DK294+273)^3))</f>
        <v>0</v>
      </c>
      <c r="W294">
        <f>($C$7*DL294+$D$7*DM294+$E$7*V294)</f>
        <v>0</v>
      </c>
      <c r="X294">
        <f>0.61365*exp(17.502*W294/(240.97+W294))</f>
        <v>0</v>
      </c>
      <c r="Y294">
        <f>(Z294/AA294*100)</f>
        <v>0</v>
      </c>
      <c r="Z294">
        <f>DD294*(DI294+DJ294)/1000</f>
        <v>0</v>
      </c>
      <c r="AA294">
        <f>0.61365*exp(17.502*DK294/(240.97+DK294))</f>
        <v>0</v>
      </c>
      <c r="AB294">
        <f>(X294-DD294*(DI294+DJ294)/1000)</f>
        <v>0</v>
      </c>
      <c r="AC294">
        <f>(-J294*44100)</f>
        <v>0</v>
      </c>
      <c r="AD294">
        <f>2*29.3*R294*0.92*(DK294-W294)</f>
        <v>0</v>
      </c>
      <c r="AE294">
        <f>2*0.95*5.67E-8*(((DK294+$B$7)+273)^4-(W294+273)^4)</f>
        <v>0</v>
      </c>
      <c r="AF294">
        <f>U294+AE294+AC294+AD294</f>
        <v>0</v>
      </c>
      <c r="AG294">
        <f>DH294*AU294*(DC294-DB294*(1000-AU294*DE294)/(1000-AU294*DD294))/(100*CV294)</f>
        <v>0</v>
      </c>
      <c r="AH294">
        <f>1000*DH294*AU294*(DD294-DE294)/(100*CV294*(1000-AU294*DD294))</f>
        <v>0</v>
      </c>
      <c r="AI294">
        <f>(AJ294 - AK294 - DI294*1E3/(8.314*(DK294+273.15)) * AM294/DH294 * AL294) * DH294/(100*CV294) * (1000 - DE294)/1000</f>
        <v>0</v>
      </c>
      <c r="AJ294">
        <v>207.3805035508037</v>
      </c>
      <c r="AK294">
        <v>182.4144181818182</v>
      </c>
      <c r="AL294">
        <v>3.138813666603301</v>
      </c>
      <c r="AM294">
        <v>66.38195617057868</v>
      </c>
      <c r="AN294">
        <f>(AP294 - AO294 + DI294*1E3/(8.314*(DK294+273.15)) * AR294/DH294 * AQ294) * DH294/(100*CV294) * 1000/(1000 - AP294)</f>
        <v>0</v>
      </c>
      <c r="AO294">
        <v>9.411026764923779</v>
      </c>
      <c r="AP294">
        <v>18.57915764705881</v>
      </c>
      <c r="AQ294">
        <v>0.0001798791008277168</v>
      </c>
      <c r="AR294">
        <v>80.47178418790507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MAX(0,($B$13+$C$13*DP294)/(1+$D$13*DP294)*DI294/(DK294+273)*$E$13)</f>
        <v>0</v>
      </c>
      <c r="AX294" t="s">
        <v>417</v>
      </c>
      <c r="AY294" t="s">
        <v>417</v>
      </c>
      <c r="AZ294">
        <v>0</v>
      </c>
      <c r="BA294">
        <v>0</v>
      </c>
      <c r="BB294">
        <f>1-AZ294/BA294</f>
        <v>0</v>
      </c>
      <c r="BC294">
        <v>0</v>
      </c>
      <c r="BD294" t="s">
        <v>417</v>
      </c>
      <c r="BE294" t="s">
        <v>417</v>
      </c>
      <c r="BF294">
        <v>0</v>
      </c>
      <c r="BG294">
        <v>0</v>
      </c>
      <c r="BH294">
        <f>1-BF294/BG294</f>
        <v>0</v>
      </c>
      <c r="BI294">
        <v>0.5</v>
      </c>
      <c r="BJ294">
        <f>CS294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417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BZ294">
        <v>1249</v>
      </c>
      <c r="CA294">
        <v>300</v>
      </c>
      <c r="CB294">
        <v>300</v>
      </c>
      <c r="CC294">
        <v>300</v>
      </c>
      <c r="CD294">
        <v>10442.4</v>
      </c>
      <c r="CE294">
        <v>1239.69</v>
      </c>
      <c r="CF294">
        <v>-0.00735276</v>
      </c>
      <c r="CG294">
        <v>0.07000000000000001</v>
      </c>
      <c r="CH294" t="s">
        <v>417</v>
      </c>
      <c r="CI294" t="s">
        <v>417</v>
      </c>
      <c r="CJ294" t="s">
        <v>417</v>
      </c>
      <c r="CK294" t="s">
        <v>417</v>
      </c>
      <c r="CL294" t="s">
        <v>417</v>
      </c>
      <c r="CM294" t="s">
        <v>417</v>
      </c>
      <c r="CN294" t="s">
        <v>417</v>
      </c>
      <c r="CO294" t="s">
        <v>417</v>
      </c>
      <c r="CP294" t="s">
        <v>417</v>
      </c>
      <c r="CQ294" t="s">
        <v>417</v>
      </c>
      <c r="CR294">
        <f>$B$11*DQ294+$C$11*DR294+$F$11*EC294*(1-EF294)</f>
        <v>0</v>
      </c>
      <c r="CS294">
        <f>CR294*CT294</f>
        <v>0</v>
      </c>
      <c r="CT294">
        <f>($B$11*$D$9+$C$11*$D$9+$F$11*((EP294+EH294)/MAX(EP294+EH294+EQ294, 0.1)*$I$9+EQ294/MAX(EP294+EH294+EQ294, 0.1)*$J$9))/($B$11+$C$11+$F$11)</f>
        <v>0</v>
      </c>
      <c r="CU294">
        <f>($B$11*$K$9+$C$11*$K$9+$F$11*((EP294+EH294)/MAX(EP294+EH294+EQ294, 0.1)*$P$9+EQ294/MAX(EP294+EH294+EQ294, 0.1)*$Q$9))/($B$11+$C$11+$F$11)</f>
        <v>0</v>
      </c>
      <c r="CV294">
        <v>6</v>
      </c>
      <c r="CW294">
        <v>0.5</v>
      </c>
      <c r="CX294" t="s">
        <v>418</v>
      </c>
      <c r="CY294">
        <v>2</v>
      </c>
      <c r="CZ294" t="b">
        <v>1</v>
      </c>
      <c r="DA294">
        <v>1651866318.625</v>
      </c>
      <c r="DB294">
        <v>176.326</v>
      </c>
      <c r="DC294">
        <v>210.21525</v>
      </c>
      <c r="DD294">
        <v>18.577575</v>
      </c>
      <c r="DE294">
        <v>9.40958</v>
      </c>
      <c r="DF294">
        <v>176.83625</v>
      </c>
      <c r="DG294">
        <v>18.5538</v>
      </c>
      <c r="DH294">
        <v>500.077</v>
      </c>
      <c r="DI294">
        <v>89.92372499999999</v>
      </c>
      <c r="DJ294">
        <v>0.09995795</v>
      </c>
      <c r="DK294">
        <v>25.8684</v>
      </c>
      <c r="DL294">
        <v>24.99925</v>
      </c>
      <c r="DM294">
        <v>999.9</v>
      </c>
      <c r="DN294">
        <v>0</v>
      </c>
      <c r="DO294">
        <v>0</v>
      </c>
      <c r="DP294">
        <v>10004.375</v>
      </c>
      <c r="DQ294">
        <v>0</v>
      </c>
      <c r="DR294">
        <v>3.2168275</v>
      </c>
      <c r="DS294">
        <v>-33.889125</v>
      </c>
      <c r="DT294">
        <v>179.66375</v>
      </c>
      <c r="DU294">
        <v>212.212</v>
      </c>
      <c r="DV294">
        <v>9.168005000000001</v>
      </c>
      <c r="DW294">
        <v>210.21525</v>
      </c>
      <c r="DX294">
        <v>9.40958</v>
      </c>
      <c r="DY294">
        <v>1.670565</v>
      </c>
      <c r="DZ294">
        <v>0.84614475</v>
      </c>
      <c r="EA294">
        <v>14.6256</v>
      </c>
      <c r="EB294">
        <v>4.505940000000001</v>
      </c>
      <c r="EC294">
        <v>1499.9025</v>
      </c>
      <c r="ED294">
        <v>0.9729995</v>
      </c>
      <c r="EE294">
        <v>0.027000175</v>
      </c>
      <c r="EF294">
        <v>0</v>
      </c>
      <c r="EG294">
        <v>844.5775</v>
      </c>
      <c r="EH294">
        <v>5.00097</v>
      </c>
      <c r="EI294">
        <v>12599.025</v>
      </c>
      <c r="EJ294">
        <v>12490.8</v>
      </c>
      <c r="EK294">
        <v>38.812</v>
      </c>
      <c r="EL294">
        <v>40.937</v>
      </c>
      <c r="EM294">
        <v>39.07774999999999</v>
      </c>
      <c r="EN294">
        <v>41.35925</v>
      </c>
      <c r="EO294">
        <v>40.062</v>
      </c>
      <c r="EP294">
        <v>1454.54</v>
      </c>
      <c r="EQ294">
        <v>40.36</v>
      </c>
      <c r="ER294">
        <v>0</v>
      </c>
      <c r="ES294">
        <v>837.7999999523163</v>
      </c>
      <c r="ET294">
        <v>0</v>
      </c>
      <c r="EU294">
        <v>846.37224</v>
      </c>
      <c r="EV294">
        <v>-20.06030772528834</v>
      </c>
      <c r="EW294">
        <v>-245.4461541537767</v>
      </c>
      <c r="EX294">
        <v>12621.916</v>
      </c>
      <c r="EY294">
        <v>15</v>
      </c>
      <c r="EZ294">
        <v>1651865518.1</v>
      </c>
      <c r="FA294" t="s">
        <v>910</v>
      </c>
      <c r="FB294">
        <v>1651865507.1</v>
      </c>
      <c r="FC294">
        <v>1651865518.1</v>
      </c>
      <c r="FD294">
        <v>8</v>
      </c>
      <c r="FE294">
        <v>0.06</v>
      </c>
      <c r="FF294">
        <v>0</v>
      </c>
      <c r="FG294">
        <v>-0.927</v>
      </c>
      <c r="FH294">
        <v>-0.062</v>
      </c>
      <c r="FI294">
        <v>400</v>
      </c>
      <c r="FJ294">
        <v>11</v>
      </c>
      <c r="FK294">
        <v>0.11</v>
      </c>
      <c r="FL294">
        <v>0.01</v>
      </c>
      <c r="FM294">
        <v>-30.76883</v>
      </c>
      <c r="FN294">
        <v>-20.10720225140705</v>
      </c>
      <c r="FO294">
        <v>1.934910101038289</v>
      </c>
      <c r="FP294">
        <v>-1</v>
      </c>
      <c r="FQ294">
        <v>9.14382575</v>
      </c>
      <c r="FR294">
        <v>0.1500217260787925</v>
      </c>
      <c r="FS294">
        <v>0.01463924193520614</v>
      </c>
      <c r="FT294">
        <v>-1</v>
      </c>
      <c r="FU294">
        <v>0</v>
      </c>
      <c r="FV294">
        <v>0</v>
      </c>
      <c r="FW294">
        <v>0</v>
      </c>
      <c r="FX294">
        <v>-1</v>
      </c>
      <c r="FY294">
        <v>0</v>
      </c>
      <c r="FZ294">
        <v>0</v>
      </c>
      <c r="GA294" t="s">
        <v>420</v>
      </c>
      <c r="GB294">
        <v>2.98146</v>
      </c>
      <c r="GC294">
        <v>2.70619</v>
      </c>
      <c r="GD294">
        <v>0.0463031</v>
      </c>
      <c r="GE294">
        <v>0.0534374</v>
      </c>
      <c r="GF294">
        <v>0.0885746</v>
      </c>
      <c r="GG294">
        <v>0.0528979</v>
      </c>
      <c r="GH294">
        <v>30135.1</v>
      </c>
      <c r="GI294">
        <v>29974.7</v>
      </c>
      <c r="GJ294">
        <v>29376.2</v>
      </c>
      <c r="GK294">
        <v>29291.3</v>
      </c>
      <c r="GL294">
        <v>35448.9</v>
      </c>
      <c r="GM294">
        <v>36953.8</v>
      </c>
      <c r="GN294">
        <v>41346.7</v>
      </c>
      <c r="GO294">
        <v>41810.1</v>
      </c>
      <c r="GP294">
        <v>1.96633</v>
      </c>
      <c r="GQ294">
        <v>1.85263</v>
      </c>
      <c r="GR294">
        <v>-0.00581145</v>
      </c>
      <c r="GS294">
        <v>0</v>
      </c>
      <c r="GT294">
        <v>25.092</v>
      </c>
      <c r="GU294">
        <v>999.9</v>
      </c>
      <c r="GV294">
        <v>29.8</v>
      </c>
      <c r="GW294">
        <v>34.2</v>
      </c>
      <c r="GX294">
        <v>17.9047</v>
      </c>
      <c r="GY294">
        <v>62.5476</v>
      </c>
      <c r="GZ294">
        <v>35.1522</v>
      </c>
      <c r="HA294">
        <v>1</v>
      </c>
      <c r="HB294">
        <v>0.0468394</v>
      </c>
      <c r="HC294">
        <v>1.51205</v>
      </c>
      <c r="HD294">
        <v>20.3295</v>
      </c>
      <c r="HE294">
        <v>5.21609</v>
      </c>
      <c r="HF294">
        <v>12.0099</v>
      </c>
      <c r="HG294">
        <v>4.9886</v>
      </c>
      <c r="HH294">
        <v>3.28858</v>
      </c>
      <c r="HI294">
        <v>1030.6</v>
      </c>
      <c r="HJ294">
        <v>9730.299999999999</v>
      </c>
      <c r="HK294">
        <v>5139.4</v>
      </c>
      <c r="HL294">
        <v>25.3</v>
      </c>
      <c r="HM294">
        <v>1.86744</v>
      </c>
      <c r="HN294">
        <v>1.86646</v>
      </c>
      <c r="HO294">
        <v>1.866</v>
      </c>
      <c r="HP294">
        <v>1.86584</v>
      </c>
      <c r="HQ294">
        <v>1.86768</v>
      </c>
      <c r="HR294">
        <v>1.87017</v>
      </c>
      <c r="HS294">
        <v>1.8689</v>
      </c>
      <c r="HT294">
        <v>1.87024</v>
      </c>
      <c r="HU294">
        <v>0</v>
      </c>
      <c r="HV294">
        <v>0</v>
      </c>
      <c r="HW294">
        <v>0</v>
      </c>
      <c r="HX294">
        <v>0</v>
      </c>
      <c r="HY294" t="s">
        <v>421</v>
      </c>
      <c r="HZ294" t="s">
        <v>422</v>
      </c>
      <c r="IA294" t="s">
        <v>423</v>
      </c>
      <c r="IB294" t="s">
        <v>423</v>
      </c>
      <c r="IC294" t="s">
        <v>423</v>
      </c>
      <c r="ID294" t="s">
        <v>423</v>
      </c>
      <c r="IE294">
        <v>0</v>
      </c>
      <c r="IF294">
        <v>100</v>
      </c>
      <c r="IG294">
        <v>100</v>
      </c>
      <c r="IH294">
        <v>-0.518</v>
      </c>
      <c r="II294">
        <v>0.0239</v>
      </c>
      <c r="IJ294">
        <v>-0.1559367209035702</v>
      </c>
      <c r="IK294">
        <v>-0.002077099775823331</v>
      </c>
      <c r="IL294">
        <v>4.593143279902166E-07</v>
      </c>
      <c r="IM294">
        <v>-1.865383991892071E-10</v>
      </c>
      <c r="IN294">
        <v>-0.0607165066849496</v>
      </c>
      <c r="IO294">
        <v>-0.01129461987421345</v>
      </c>
      <c r="IP294">
        <v>0.00116580895745559</v>
      </c>
      <c r="IQ294">
        <v>-1.679085872906199E-05</v>
      </c>
      <c r="IR294">
        <v>2</v>
      </c>
      <c r="IS294">
        <v>2290</v>
      </c>
      <c r="IT294">
        <v>0</v>
      </c>
      <c r="IU294">
        <v>32</v>
      </c>
      <c r="IV294">
        <v>13.5</v>
      </c>
      <c r="IW294">
        <v>13.4</v>
      </c>
      <c r="IX294">
        <v>0.649414</v>
      </c>
      <c r="IY294">
        <v>2.24121</v>
      </c>
      <c r="IZ294">
        <v>1.39648</v>
      </c>
      <c r="JA294">
        <v>2.35474</v>
      </c>
      <c r="JB294">
        <v>1.49536</v>
      </c>
      <c r="JC294">
        <v>2.28027</v>
      </c>
      <c r="JD294">
        <v>38.0134</v>
      </c>
      <c r="JE294">
        <v>24.035</v>
      </c>
      <c r="JF294">
        <v>18</v>
      </c>
      <c r="JG294">
        <v>512.4</v>
      </c>
      <c r="JH294">
        <v>425.534</v>
      </c>
      <c r="JI294">
        <v>23.1481</v>
      </c>
      <c r="JJ294">
        <v>27.9322</v>
      </c>
      <c r="JK294">
        <v>29.9999</v>
      </c>
      <c r="JL294">
        <v>27.96</v>
      </c>
      <c r="JM294">
        <v>27.9074</v>
      </c>
      <c r="JN294">
        <v>13.0517</v>
      </c>
      <c r="JO294">
        <v>44.9415</v>
      </c>
      <c r="JP294">
        <v>0</v>
      </c>
      <c r="JQ294">
        <v>23.152</v>
      </c>
      <c r="JR294">
        <v>238.168</v>
      </c>
      <c r="JS294">
        <v>9.439299999999999</v>
      </c>
      <c r="JT294">
        <v>100.412</v>
      </c>
      <c r="JU294">
        <v>100.345</v>
      </c>
    </row>
    <row r="295" spans="1:281">
      <c r="A295">
        <v>279</v>
      </c>
      <c r="B295">
        <v>1651866322</v>
      </c>
      <c r="C295">
        <v>2101.400000095367</v>
      </c>
      <c r="D295" t="s">
        <v>981</v>
      </c>
      <c r="E295" t="s">
        <v>982</v>
      </c>
      <c r="F295">
        <v>2</v>
      </c>
      <c r="G295" t="s">
        <v>908</v>
      </c>
      <c r="H295" t="s">
        <v>414</v>
      </c>
      <c r="I295">
        <v>1651866321</v>
      </c>
      <c r="J295">
        <f>(K295)/1000</f>
        <v>0</v>
      </c>
      <c r="K295">
        <f>IF(CZ295, AN295, AH295)</f>
        <v>0</v>
      </c>
      <c r="L295">
        <f>IF(CZ295, AI295, AG295)</f>
        <v>0</v>
      </c>
      <c r="M295">
        <f>DB295 - IF(AU295&gt;1, L295*CV295*100.0/(AW295*DP295), 0)</f>
        <v>0</v>
      </c>
      <c r="N295">
        <f>((T295-J295/2)*M295-L295)/(T295+J295/2)</f>
        <v>0</v>
      </c>
      <c r="O295">
        <f>N295*(DI295+DJ295)/1000.0</f>
        <v>0</v>
      </c>
      <c r="P295">
        <f>(DB295 - IF(AU295&gt;1, L295*CV295*100.0/(AW295*DP295), 0))*(DI295+DJ295)/1000.0</f>
        <v>0</v>
      </c>
      <c r="Q295">
        <f>2.0/((1/S295-1/R295)+SIGN(S295)*SQRT((1/S295-1/R295)*(1/S295-1/R295) + 4*CW295/((CW295+1)*(CW295+1))*(2*1/S295*1/R295-1/R295*1/R295)))</f>
        <v>0</v>
      </c>
      <c r="R295">
        <f>IF(LEFT(CX295,1)&lt;&gt;"0",IF(LEFT(CX295,1)="1",3.0,CY295),$D$5+$E$5*(DP295*DI295/($K$5*1000))+$F$5*(DP295*DI295/($K$5*1000))*MAX(MIN(CV295,$J$5),$I$5)*MAX(MIN(CV295,$J$5),$I$5)+$G$5*MAX(MIN(CV295,$J$5),$I$5)*(DP295*DI295/($K$5*1000))+$H$5*(DP295*DI295/($K$5*1000))*(DP295*DI295/($K$5*1000)))</f>
        <v>0</v>
      </c>
      <c r="S295">
        <f>J295*(1000-(1000*0.61365*exp(17.502*W295/(240.97+W295))/(DI295+DJ295)+DD295)/2)/(1000*0.61365*exp(17.502*W295/(240.97+W295))/(DI295+DJ295)-DD295)</f>
        <v>0</v>
      </c>
      <c r="T295">
        <f>1/((CW295+1)/(Q295/1.6)+1/(R295/1.37)) + CW295/((CW295+1)/(Q295/1.6) + CW295/(R295/1.37))</f>
        <v>0</v>
      </c>
      <c r="U295">
        <f>(CR295*CU295)</f>
        <v>0</v>
      </c>
      <c r="V295">
        <f>(DK295+(U295+2*0.95*5.67E-8*(((DK295+$B$7)+273)^4-(DK295+273)^4)-44100*J295)/(1.84*29.3*R295+8*0.95*5.67E-8*(DK295+273)^3))</f>
        <v>0</v>
      </c>
      <c r="W295">
        <f>($C$7*DL295+$D$7*DM295+$E$7*V295)</f>
        <v>0</v>
      </c>
      <c r="X295">
        <f>0.61365*exp(17.502*W295/(240.97+W295))</f>
        <v>0</v>
      </c>
      <c r="Y295">
        <f>(Z295/AA295*100)</f>
        <v>0</v>
      </c>
      <c r="Z295">
        <f>DD295*(DI295+DJ295)/1000</f>
        <v>0</v>
      </c>
      <c r="AA295">
        <f>0.61365*exp(17.502*DK295/(240.97+DK295))</f>
        <v>0</v>
      </c>
      <c r="AB295">
        <f>(X295-DD295*(DI295+DJ295)/1000)</f>
        <v>0</v>
      </c>
      <c r="AC295">
        <f>(-J295*44100)</f>
        <v>0</v>
      </c>
      <c r="AD295">
        <f>2*29.3*R295*0.92*(DK295-W295)</f>
        <v>0</v>
      </c>
      <c r="AE295">
        <f>2*0.95*5.67E-8*(((DK295+$B$7)+273)^4-(W295+273)^4)</f>
        <v>0</v>
      </c>
      <c r="AF295">
        <f>U295+AE295+AC295+AD295</f>
        <v>0</v>
      </c>
      <c r="AG295">
        <f>DH295*AU295*(DC295-DB295*(1000-AU295*DE295)/(1000-AU295*DD295))/(100*CV295)</f>
        <v>0</v>
      </c>
      <c r="AH295">
        <f>1000*DH295*AU295*(DD295-DE295)/(100*CV295*(1000-AU295*DD295))</f>
        <v>0</v>
      </c>
      <c r="AI295">
        <f>(AJ295 - AK295 - DI295*1E3/(8.314*(DK295+273.15)) * AM295/DH295 * AL295) * DH295/(100*CV295) * (1000 - DE295)/1000</f>
        <v>0</v>
      </c>
      <c r="AJ295">
        <v>214.2926679827181</v>
      </c>
      <c r="AK295">
        <v>188.7149515151515</v>
      </c>
      <c r="AL295">
        <v>3.148214057391833</v>
      </c>
      <c r="AM295">
        <v>66.38195617057868</v>
      </c>
      <c r="AN295">
        <f>(AP295 - AO295 + DI295*1E3/(8.314*(DK295+273.15)) * AR295/DH295 * AQ295) * DH295/(100*CV295) * 1000/(1000 - AP295)</f>
        <v>0</v>
      </c>
      <c r="AO295">
        <v>9.409865931263862</v>
      </c>
      <c r="AP295">
        <v>18.58583558823528</v>
      </c>
      <c r="AQ295">
        <v>0.0001145502532351704</v>
      </c>
      <c r="AR295">
        <v>80.47178418790507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MAX(0,($B$13+$C$13*DP295)/(1+$D$13*DP295)*DI295/(DK295+273)*$E$13)</f>
        <v>0</v>
      </c>
      <c r="AX295" t="s">
        <v>417</v>
      </c>
      <c r="AY295" t="s">
        <v>417</v>
      </c>
      <c r="AZ295">
        <v>0</v>
      </c>
      <c r="BA295">
        <v>0</v>
      </c>
      <c r="BB295">
        <f>1-AZ295/BA295</f>
        <v>0</v>
      </c>
      <c r="BC295">
        <v>0</v>
      </c>
      <c r="BD295" t="s">
        <v>417</v>
      </c>
      <c r="BE295" t="s">
        <v>417</v>
      </c>
      <c r="BF295">
        <v>0</v>
      </c>
      <c r="BG295">
        <v>0</v>
      </c>
      <c r="BH295">
        <f>1-BF295/BG295</f>
        <v>0</v>
      </c>
      <c r="BI295">
        <v>0.5</v>
      </c>
      <c r="BJ295">
        <f>CS295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417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BZ295">
        <v>1249</v>
      </c>
      <c r="CA295">
        <v>300</v>
      </c>
      <c r="CB295">
        <v>300</v>
      </c>
      <c r="CC295">
        <v>300</v>
      </c>
      <c r="CD295">
        <v>10442.4</v>
      </c>
      <c r="CE295">
        <v>1239.69</v>
      </c>
      <c r="CF295">
        <v>-0.00735276</v>
      </c>
      <c r="CG295">
        <v>0.07000000000000001</v>
      </c>
      <c r="CH295" t="s">
        <v>417</v>
      </c>
      <c r="CI295" t="s">
        <v>417</v>
      </c>
      <c r="CJ295" t="s">
        <v>417</v>
      </c>
      <c r="CK295" t="s">
        <v>417</v>
      </c>
      <c r="CL295" t="s">
        <v>417</v>
      </c>
      <c r="CM295" t="s">
        <v>417</v>
      </c>
      <c r="CN295" t="s">
        <v>417</v>
      </c>
      <c r="CO295" t="s">
        <v>417</v>
      </c>
      <c r="CP295" t="s">
        <v>417</v>
      </c>
      <c r="CQ295" t="s">
        <v>417</v>
      </c>
      <c r="CR295">
        <f>$B$11*DQ295+$C$11*DR295+$F$11*EC295*(1-EF295)</f>
        <v>0</v>
      </c>
      <c r="CS295">
        <f>CR295*CT295</f>
        <v>0</v>
      </c>
      <c r="CT295">
        <f>($B$11*$D$9+$C$11*$D$9+$F$11*((EP295+EH295)/MAX(EP295+EH295+EQ295, 0.1)*$I$9+EQ295/MAX(EP295+EH295+EQ295, 0.1)*$J$9))/($B$11+$C$11+$F$11)</f>
        <v>0</v>
      </c>
      <c r="CU295">
        <f>($B$11*$K$9+$C$11*$K$9+$F$11*((EP295+EH295)/MAX(EP295+EH295+EQ295, 0.1)*$P$9+EQ295/MAX(EP295+EH295+EQ295, 0.1)*$Q$9))/($B$11+$C$11+$F$11)</f>
        <v>0</v>
      </c>
      <c r="CV295">
        <v>6</v>
      </c>
      <c r="CW295">
        <v>0.5</v>
      </c>
      <c r="CX295" t="s">
        <v>418</v>
      </c>
      <c r="CY295">
        <v>2</v>
      </c>
      <c r="CZ295" t="b">
        <v>1</v>
      </c>
      <c r="DA295">
        <v>1651866321</v>
      </c>
      <c r="DB295">
        <v>183.658</v>
      </c>
      <c r="DC295">
        <v>218.268</v>
      </c>
      <c r="DD295">
        <v>18.58453333333333</v>
      </c>
      <c r="DE295">
        <v>9.408500000000002</v>
      </c>
      <c r="DF295">
        <v>184.182</v>
      </c>
      <c r="DG295">
        <v>18.56063333333333</v>
      </c>
      <c r="DH295">
        <v>500.0426666666667</v>
      </c>
      <c r="DI295">
        <v>89.92316666666666</v>
      </c>
      <c r="DJ295">
        <v>0.1000129333333333</v>
      </c>
      <c r="DK295">
        <v>25.87063333333333</v>
      </c>
      <c r="DL295">
        <v>24.99606666666667</v>
      </c>
      <c r="DM295">
        <v>999.9</v>
      </c>
      <c r="DN295">
        <v>0</v>
      </c>
      <c r="DO295">
        <v>0</v>
      </c>
      <c r="DP295">
        <v>9999.983333333334</v>
      </c>
      <c r="DQ295">
        <v>0</v>
      </c>
      <c r="DR295">
        <v>3.20383</v>
      </c>
      <c r="DS295">
        <v>-34.61036666666667</v>
      </c>
      <c r="DT295">
        <v>187.1356666666667</v>
      </c>
      <c r="DU295">
        <v>220.341</v>
      </c>
      <c r="DV295">
        <v>9.176033333333335</v>
      </c>
      <c r="DW295">
        <v>218.268</v>
      </c>
      <c r="DX295">
        <v>9.408500000000002</v>
      </c>
      <c r="DY295">
        <v>1.67118</v>
      </c>
      <c r="DZ295">
        <v>0.8460420000000001</v>
      </c>
      <c r="EA295">
        <v>14.6313</v>
      </c>
      <c r="EB295">
        <v>4.504206666666666</v>
      </c>
      <c r="EC295">
        <v>1499.983333333333</v>
      </c>
      <c r="ED295">
        <v>0.973</v>
      </c>
      <c r="EE295">
        <v>0.02699973333333333</v>
      </c>
      <c r="EF295">
        <v>0</v>
      </c>
      <c r="EG295">
        <v>843.723</v>
      </c>
      <c r="EH295">
        <v>5.00097</v>
      </c>
      <c r="EI295">
        <v>12592.03333333333</v>
      </c>
      <c r="EJ295">
        <v>12491.43333333333</v>
      </c>
      <c r="EK295">
        <v>38.875</v>
      </c>
      <c r="EL295">
        <v>40.958</v>
      </c>
      <c r="EM295">
        <v>39.125</v>
      </c>
      <c r="EN295">
        <v>41.39566666666666</v>
      </c>
      <c r="EO295">
        <v>40.125</v>
      </c>
      <c r="EP295">
        <v>1454.62</v>
      </c>
      <c r="EQ295">
        <v>40.36333333333333</v>
      </c>
      <c r="ER295">
        <v>0</v>
      </c>
      <c r="ES295">
        <v>839.6000001430511</v>
      </c>
      <c r="ET295">
        <v>0</v>
      </c>
      <c r="EU295">
        <v>845.8503461538462</v>
      </c>
      <c r="EV295">
        <v>-19.84782906316229</v>
      </c>
      <c r="EW295">
        <v>-234.2871793903451</v>
      </c>
      <c r="EX295">
        <v>12616.08846153846</v>
      </c>
      <c r="EY295">
        <v>15</v>
      </c>
      <c r="EZ295">
        <v>1651865518.1</v>
      </c>
      <c r="FA295" t="s">
        <v>910</v>
      </c>
      <c r="FB295">
        <v>1651865507.1</v>
      </c>
      <c r="FC295">
        <v>1651865518.1</v>
      </c>
      <c r="FD295">
        <v>8</v>
      </c>
      <c r="FE295">
        <v>0.06</v>
      </c>
      <c r="FF295">
        <v>0</v>
      </c>
      <c r="FG295">
        <v>-0.927</v>
      </c>
      <c r="FH295">
        <v>-0.062</v>
      </c>
      <c r="FI295">
        <v>400</v>
      </c>
      <c r="FJ295">
        <v>11</v>
      </c>
      <c r="FK295">
        <v>0.11</v>
      </c>
      <c r="FL295">
        <v>0.01</v>
      </c>
      <c r="FM295">
        <v>-31.52333658536586</v>
      </c>
      <c r="FN295">
        <v>-19.77901881533105</v>
      </c>
      <c r="FO295">
        <v>1.950597300735629</v>
      </c>
      <c r="FP295">
        <v>-1</v>
      </c>
      <c r="FQ295">
        <v>9.149298292682927</v>
      </c>
      <c r="FR295">
        <v>0.162354146341473</v>
      </c>
      <c r="FS295">
        <v>0.01610466375451666</v>
      </c>
      <c r="FT295">
        <v>-1</v>
      </c>
      <c r="FU295">
        <v>0</v>
      </c>
      <c r="FV295">
        <v>0</v>
      </c>
      <c r="FW295">
        <v>0</v>
      </c>
      <c r="FX295">
        <v>-1</v>
      </c>
      <c r="FY295">
        <v>0</v>
      </c>
      <c r="FZ295">
        <v>0</v>
      </c>
      <c r="GA295" t="s">
        <v>420</v>
      </c>
      <c r="GB295">
        <v>2.98136</v>
      </c>
      <c r="GC295">
        <v>2.70616</v>
      </c>
      <c r="GD295">
        <v>0.0477387</v>
      </c>
      <c r="GE295">
        <v>0.0549131</v>
      </c>
      <c r="GF295">
        <v>0.0885922</v>
      </c>
      <c r="GG295">
        <v>0.0528931</v>
      </c>
      <c r="GH295">
        <v>30089.6</v>
      </c>
      <c r="GI295">
        <v>29927.9</v>
      </c>
      <c r="GJ295">
        <v>29376</v>
      </c>
      <c r="GK295">
        <v>29291.2</v>
      </c>
      <c r="GL295">
        <v>35448.2</v>
      </c>
      <c r="GM295">
        <v>36953.9</v>
      </c>
      <c r="GN295">
        <v>41346.7</v>
      </c>
      <c r="GO295">
        <v>41810</v>
      </c>
      <c r="GP295">
        <v>1.96645</v>
      </c>
      <c r="GQ295">
        <v>1.8527</v>
      </c>
      <c r="GR295">
        <v>-0.00592321</v>
      </c>
      <c r="GS295">
        <v>0</v>
      </c>
      <c r="GT295">
        <v>25.093</v>
      </c>
      <c r="GU295">
        <v>999.9</v>
      </c>
      <c r="GV295">
        <v>29.8</v>
      </c>
      <c r="GW295">
        <v>34.2</v>
      </c>
      <c r="GX295">
        <v>17.9057</v>
      </c>
      <c r="GY295">
        <v>61.9276</v>
      </c>
      <c r="GZ295">
        <v>35.5329</v>
      </c>
      <c r="HA295">
        <v>1</v>
      </c>
      <c r="HB295">
        <v>0.0465498</v>
      </c>
      <c r="HC295">
        <v>1.49562</v>
      </c>
      <c r="HD295">
        <v>20.3296</v>
      </c>
      <c r="HE295">
        <v>5.21654</v>
      </c>
      <c r="HF295">
        <v>12.0099</v>
      </c>
      <c r="HG295">
        <v>4.9887</v>
      </c>
      <c r="HH295">
        <v>3.28865</v>
      </c>
      <c r="HI295">
        <v>1030.6</v>
      </c>
      <c r="HJ295">
        <v>9730.299999999999</v>
      </c>
      <c r="HK295">
        <v>5139.4</v>
      </c>
      <c r="HL295">
        <v>25.3</v>
      </c>
      <c r="HM295">
        <v>1.86745</v>
      </c>
      <c r="HN295">
        <v>1.86646</v>
      </c>
      <c r="HO295">
        <v>1.866</v>
      </c>
      <c r="HP295">
        <v>1.86584</v>
      </c>
      <c r="HQ295">
        <v>1.86768</v>
      </c>
      <c r="HR295">
        <v>1.87019</v>
      </c>
      <c r="HS295">
        <v>1.8689</v>
      </c>
      <c r="HT295">
        <v>1.87023</v>
      </c>
      <c r="HU295">
        <v>0</v>
      </c>
      <c r="HV295">
        <v>0</v>
      </c>
      <c r="HW295">
        <v>0</v>
      </c>
      <c r="HX295">
        <v>0</v>
      </c>
      <c r="HY295" t="s">
        <v>421</v>
      </c>
      <c r="HZ295" t="s">
        <v>422</v>
      </c>
      <c r="IA295" t="s">
        <v>423</v>
      </c>
      <c r="IB295" t="s">
        <v>423</v>
      </c>
      <c r="IC295" t="s">
        <v>423</v>
      </c>
      <c r="ID295" t="s">
        <v>423</v>
      </c>
      <c r="IE295">
        <v>0</v>
      </c>
      <c r="IF295">
        <v>100</v>
      </c>
      <c r="IG295">
        <v>100</v>
      </c>
      <c r="IH295">
        <v>-0.53</v>
      </c>
      <c r="II295">
        <v>0.0239</v>
      </c>
      <c r="IJ295">
        <v>-0.1559367209035702</v>
      </c>
      <c r="IK295">
        <v>-0.002077099775823331</v>
      </c>
      <c r="IL295">
        <v>4.593143279902166E-07</v>
      </c>
      <c r="IM295">
        <v>-1.865383991892071E-10</v>
      </c>
      <c r="IN295">
        <v>-0.0607165066849496</v>
      </c>
      <c r="IO295">
        <v>-0.01129461987421345</v>
      </c>
      <c r="IP295">
        <v>0.00116580895745559</v>
      </c>
      <c r="IQ295">
        <v>-1.679085872906199E-05</v>
      </c>
      <c r="IR295">
        <v>2</v>
      </c>
      <c r="IS295">
        <v>2290</v>
      </c>
      <c r="IT295">
        <v>0</v>
      </c>
      <c r="IU295">
        <v>32</v>
      </c>
      <c r="IV295">
        <v>13.6</v>
      </c>
      <c r="IW295">
        <v>13.4</v>
      </c>
      <c r="IX295">
        <v>0.664062</v>
      </c>
      <c r="IY295">
        <v>2.23511</v>
      </c>
      <c r="IZ295">
        <v>1.39648</v>
      </c>
      <c r="JA295">
        <v>2.35596</v>
      </c>
      <c r="JB295">
        <v>1.49536</v>
      </c>
      <c r="JC295">
        <v>2.33887</v>
      </c>
      <c r="JD295">
        <v>38.0134</v>
      </c>
      <c r="JE295">
        <v>24.0437</v>
      </c>
      <c r="JF295">
        <v>18</v>
      </c>
      <c r="JG295">
        <v>512.477</v>
      </c>
      <c r="JH295">
        <v>425.572</v>
      </c>
      <c r="JI295">
        <v>23.1473</v>
      </c>
      <c r="JJ295">
        <v>27.931</v>
      </c>
      <c r="JK295">
        <v>29.9999</v>
      </c>
      <c r="JL295">
        <v>27.9594</v>
      </c>
      <c r="JM295">
        <v>27.9063</v>
      </c>
      <c r="JN295">
        <v>13.3412</v>
      </c>
      <c r="JO295">
        <v>44.9415</v>
      </c>
      <c r="JP295">
        <v>0</v>
      </c>
      <c r="JQ295">
        <v>23.152</v>
      </c>
      <c r="JR295">
        <v>244.847</v>
      </c>
      <c r="JS295">
        <v>9.439299999999999</v>
      </c>
      <c r="JT295">
        <v>100.411</v>
      </c>
      <c r="JU295">
        <v>100.345</v>
      </c>
    </row>
    <row r="296" spans="1:281">
      <c r="A296">
        <v>280</v>
      </c>
      <c r="B296">
        <v>1651866324</v>
      </c>
      <c r="C296">
        <v>2103.400000095367</v>
      </c>
      <c r="D296" t="s">
        <v>983</v>
      </c>
      <c r="E296" t="s">
        <v>984</v>
      </c>
      <c r="F296">
        <v>2</v>
      </c>
      <c r="G296" t="s">
        <v>908</v>
      </c>
      <c r="H296" t="s">
        <v>414</v>
      </c>
      <c r="I296">
        <v>1651866322.625</v>
      </c>
      <c r="J296">
        <f>(K296)/1000</f>
        <v>0</v>
      </c>
      <c r="K296">
        <f>IF(CZ296, AN296, AH296)</f>
        <v>0</v>
      </c>
      <c r="L296">
        <f>IF(CZ296, AI296, AG296)</f>
        <v>0</v>
      </c>
      <c r="M296">
        <f>DB296 - IF(AU296&gt;1, L296*CV296*100.0/(AW296*DP296), 0)</f>
        <v>0</v>
      </c>
      <c r="N296">
        <f>((T296-J296/2)*M296-L296)/(T296+J296/2)</f>
        <v>0</v>
      </c>
      <c r="O296">
        <f>N296*(DI296+DJ296)/1000.0</f>
        <v>0</v>
      </c>
      <c r="P296">
        <f>(DB296 - IF(AU296&gt;1, L296*CV296*100.0/(AW296*DP296), 0))*(DI296+DJ296)/1000.0</f>
        <v>0</v>
      </c>
      <c r="Q296">
        <f>2.0/((1/S296-1/R296)+SIGN(S296)*SQRT((1/S296-1/R296)*(1/S296-1/R296) + 4*CW296/((CW296+1)*(CW296+1))*(2*1/S296*1/R296-1/R296*1/R296)))</f>
        <v>0</v>
      </c>
      <c r="R296">
        <f>IF(LEFT(CX296,1)&lt;&gt;"0",IF(LEFT(CX296,1)="1",3.0,CY296),$D$5+$E$5*(DP296*DI296/($K$5*1000))+$F$5*(DP296*DI296/($K$5*1000))*MAX(MIN(CV296,$J$5),$I$5)*MAX(MIN(CV296,$J$5),$I$5)+$G$5*MAX(MIN(CV296,$J$5),$I$5)*(DP296*DI296/($K$5*1000))+$H$5*(DP296*DI296/($K$5*1000))*(DP296*DI296/($K$5*1000)))</f>
        <v>0</v>
      </c>
      <c r="S296">
        <f>J296*(1000-(1000*0.61365*exp(17.502*W296/(240.97+W296))/(DI296+DJ296)+DD296)/2)/(1000*0.61365*exp(17.502*W296/(240.97+W296))/(DI296+DJ296)-DD296)</f>
        <v>0</v>
      </c>
      <c r="T296">
        <f>1/((CW296+1)/(Q296/1.6)+1/(R296/1.37)) + CW296/((CW296+1)/(Q296/1.6) + CW296/(R296/1.37))</f>
        <v>0</v>
      </c>
      <c r="U296">
        <f>(CR296*CU296)</f>
        <v>0</v>
      </c>
      <c r="V296">
        <f>(DK296+(U296+2*0.95*5.67E-8*(((DK296+$B$7)+273)^4-(DK296+273)^4)-44100*J296)/(1.84*29.3*R296+8*0.95*5.67E-8*(DK296+273)^3))</f>
        <v>0</v>
      </c>
      <c r="W296">
        <f>($C$7*DL296+$D$7*DM296+$E$7*V296)</f>
        <v>0</v>
      </c>
      <c r="X296">
        <f>0.61365*exp(17.502*W296/(240.97+W296))</f>
        <v>0</v>
      </c>
      <c r="Y296">
        <f>(Z296/AA296*100)</f>
        <v>0</v>
      </c>
      <c r="Z296">
        <f>DD296*(DI296+DJ296)/1000</f>
        <v>0</v>
      </c>
      <c r="AA296">
        <f>0.61365*exp(17.502*DK296/(240.97+DK296))</f>
        <v>0</v>
      </c>
      <c r="AB296">
        <f>(X296-DD296*(DI296+DJ296)/1000)</f>
        <v>0</v>
      </c>
      <c r="AC296">
        <f>(-J296*44100)</f>
        <v>0</v>
      </c>
      <c r="AD296">
        <f>2*29.3*R296*0.92*(DK296-W296)</f>
        <v>0</v>
      </c>
      <c r="AE296">
        <f>2*0.95*5.67E-8*(((DK296+$B$7)+273)^4-(W296+273)^4)</f>
        <v>0</v>
      </c>
      <c r="AF296">
        <f>U296+AE296+AC296+AD296</f>
        <v>0</v>
      </c>
      <c r="AG296">
        <f>DH296*AU296*(DC296-DB296*(1000-AU296*DE296)/(1000-AU296*DD296))/(100*CV296)</f>
        <v>0</v>
      </c>
      <c r="AH296">
        <f>1000*DH296*AU296*(DD296-DE296)/(100*CV296*(1000-AU296*DD296))</f>
        <v>0</v>
      </c>
      <c r="AI296">
        <f>(AJ296 - AK296 - DI296*1E3/(8.314*(DK296+273.15)) * AM296/DH296 * AL296) * DH296/(100*CV296) * (1000 - DE296)/1000</f>
        <v>0</v>
      </c>
      <c r="AJ296">
        <v>221.1264464634882</v>
      </c>
      <c r="AK296">
        <v>195.0178727272727</v>
      </c>
      <c r="AL296">
        <v>3.153180742244428</v>
      </c>
      <c r="AM296">
        <v>66.38195617057868</v>
      </c>
      <c r="AN296">
        <f>(AP296 - AO296 + DI296*1E3/(8.314*(DK296+273.15)) * AR296/DH296 * AQ296) * DH296/(100*CV296) * 1000/(1000 - AP296)</f>
        <v>0</v>
      </c>
      <c r="AO296">
        <v>9.409302706910799</v>
      </c>
      <c r="AP296">
        <v>18.58863</v>
      </c>
      <c r="AQ296">
        <v>0.0001920381644547797</v>
      </c>
      <c r="AR296">
        <v>80.47178418790507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MAX(0,($B$13+$C$13*DP296)/(1+$D$13*DP296)*DI296/(DK296+273)*$E$13)</f>
        <v>0</v>
      </c>
      <c r="AX296" t="s">
        <v>417</v>
      </c>
      <c r="AY296" t="s">
        <v>417</v>
      </c>
      <c r="AZ296">
        <v>0</v>
      </c>
      <c r="BA296">
        <v>0</v>
      </c>
      <c r="BB296">
        <f>1-AZ296/BA296</f>
        <v>0</v>
      </c>
      <c r="BC296">
        <v>0</v>
      </c>
      <c r="BD296" t="s">
        <v>417</v>
      </c>
      <c r="BE296" t="s">
        <v>417</v>
      </c>
      <c r="BF296">
        <v>0</v>
      </c>
      <c r="BG296">
        <v>0</v>
      </c>
      <c r="BH296">
        <f>1-BF296/BG296</f>
        <v>0</v>
      </c>
      <c r="BI296">
        <v>0.5</v>
      </c>
      <c r="BJ296">
        <f>CS296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417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BZ296">
        <v>1249</v>
      </c>
      <c r="CA296">
        <v>300</v>
      </c>
      <c r="CB296">
        <v>300</v>
      </c>
      <c r="CC296">
        <v>300</v>
      </c>
      <c r="CD296">
        <v>10442.4</v>
      </c>
      <c r="CE296">
        <v>1239.69</v>
      </c>
      <c r="CF296">
        <v>-0.00735276</v>
      </c>
      <c r="CG296">
        <v>0.07000000000000001</v>
      </c>
      <c r="CH296" t="s">
        <v>417</v>
      </c>
      <c r="CI296" t="s">
        <v>417</v>
      </c>
      <c r="CJ296" t="s">
        <v>417</v>
      </c>
      <c r="CK296" t="s">
        <v>417</v>
      </c>
      <c r="CL296" t="s">
        <v>417</v>
      </c>
      <c r="CM296" t="s">
        <v>417</v>
      </c>
      <c r="CN296" t="s">
        <v>417</v>
      </c>
      <c r="CO296" t="s">
        <v>417</v>
      </c>
      <c r="CP296" t="s">
        <v>417</v>
      </c>
      <c r="CQ296" t="s">
        <v>417</v>
      </c>
      <c r="CR296">
        <f>$B$11*DQ296+$C$11*DR296+$F$11*EC296*(1-EF296)</f>
        <v>0</v>
      </c>
      <c r="CS296">
        <f>CR296*CT296</f>
        <v>0</v>
      </c>
      <c r="CT296">
        <f>($B$11*$D$9+$C$11*$D$9+$F$11*((EP296+EH296)/MAX(EP296+EH296+EQ296, 0.1)*$I$9+EQ296/MAX(EP296+EH296+EQ296, 0.1)*$J$9))/($B$11+$C$11+$F$11)</f>
        <v>0</v>
      </c>
      <c r="CU296">
        <f>($B$11*$K$9+$C$11*$K$9+$F$11*((EP296+EH296)/MAX(EP296+EH296+EQ296, 0.1)*$P$9+EQ296/MAX(EP296+EH296+EQ296, 0.1)*$Q$9))/($B$11+$C$11+$F$11)</f>
        <v>0</v>
      </c>
      <c r="CV296">
        <v>6</v>
      </c>
      <c r="CW296">
        <v>0.5</v>
      </c>
      <c r="CX296" t="s">
        <v>418</v>
      </c>
      <c r="CY296">
        <v>2</v>
      </c>
      <c r="CZ296" t="b">
        <v>1</v>
      </c>
      <c r="DA296">
        <v>1651866322.625</v>
      </c>
      <c r="DB296">
        <v>188.69</v>
      </c>
      <c r="DC296">
        <v>223.7865</v>
      </c>
      <c r="DD296">
        <v>18.586825</v>
      </c>
      <c r="DE296">
        <v>9.4075025</v>
      </c>
      <c r="DF296">
        <v>189.22375</v>
      </c>
      <c r="DG296">
        <v>18.5629</v>
      </c>
      <c r="DH296">
        <v>500.0055</v>
      </c>
      <c r="DI296">
        <v>89.92247500000001</v>
      </c>
      <c r="DJ296">
        <v>0.09993827499999999</v>
      </c>
      <c r="DK296">
        <v>25.87195</v>
      </c>
      <c r="DL296">
        <v>24.99895</v>
      </c>
      <c r="DM296">
        <v>999.9</v>
      </c>
      <c r="DN296">
        <v>0</v>
      </c>
      <c r="DO296">
        <v>0</v>
      </c>
      <c r="DP296">
        <v>10014.375</v>
      </c>
      <c r="DQ296">
        <v>0</v>
      </c>
      <c r="DR296">
        <v>3.20383</v>
      </c>
      <c r="DS296">
        <v>-35.09677499999999</v>
      </c>
      <c r="DT296">
        <v>192.26325</v>
      </c>
      <c r="DU296">
        <v>225.91175</v>
      </c>
      <c r="DV296">
        <v>9.1793475</v>
      </c>
      <c r="DW296">
        <v>223.7865</v>
      </c>
      <c r="DX296">
        <v>9.4075025</v>
      </c>
      <c r="DY296">
        <v>1.6713725</v>
      </c>
      <c r="DZ296">
        <v>0.845946</v>
      </c>
      <c r="EA296">
        <v>14.633075</v>
      </c>
      <c r="EB296">
        <v>4.5025825</v>
      </c>
      <c r="EC296">
        <v>1499.905</v>
      </c>
      <c r="ED296">
        <v>0.9729995</v>
      </c>
      <c r="EE296">
        <v>0.027000175</v>
      </c>
      <c r="EF296">
        <v>0</v>
      </c>
      <c r="EG296">
        <v>843.28325</v>
      </c>
      <c r="EH296">
        <v>5.00097</v>
      </c>
      <c r="EI296">
        <v>12586.3</v>
      </c>
      <c r="EJ296">
        <v>12490.8</v>
      </c>
      <c r="EK296">
        <v>38.8905</v>
      </c>
      <c r="EL296">
        <v>41.0155</v>
      </c>
      <c r="EM296">
        <v>39.17149999999999</v>
      </c>
      <c r="EN296">
        <v>41.437</v>
      </c>
      <c r="EO296">
        <v>40.125</v>
      </c>
      <c r="EP296">
        <v>1454.5425</v>
      </c>
      <c r="EQ296">
        <v>40.3625</v>
      </c>
      <c r="ER296">
        <v>0</v>
      </c>
      <c r="ES296">
        <v>841.4000000953674</v>
      </c>
      <c r="ET296">
        <v>0</v>
      </c>
      <c r="EU296">
        <v>845.1613600000002</v>
      </c>
      <c r="EV296">
        <v>-20.2914615344067</v>
      </c>
      <c r="EW296">
        <v>-224.8846153112682</v>
      </c>
      <c r="EX296">
        <v>12608.052</v>
      </c>
      <c r="EY296">
        <v>15</v>
      </c>
      <c r="EZ296">
        <v>1651865518.1</v>
      </c>
      <c r="FA296" t="s">
        <v>910</v>
      </c>
      <c r="FB296">
        <v>1651865507.1</v>
      </c>
      <c r="FC296">
        <v>1651865518.1</v>
      </c>
      <c r="FD296">
        <v>8</v>
      </c>
      <c r="FE296">
        <v>0.06</v>
      </c>
      <c r="FF296">
        <v>0</v>
      </c>
      <c r="FG296">
        <v>-0.927</v>
      </c>
      <c r="FH296">
        <v>-0.062</v>
      </c>
      <c r="FI296">
        <v>400</v>
      </c>
      <c r="FJ296">
        <v>11</v>
      </c>
      <c r="FK296">
        <v>0.11</v>
      </c>
      <c r="FL296">
        <v>0.01</v>
      </c>
      <c r="FM296">
        <v>-32.0984775</v>
      </c>
      <c r="FN296">
        <v>-19.54937673545966</v>
      </c>
      <c r="FO296">
        <v>1.880879241802554</v>
      </c>
      <c r="FP296">
        <v>-1</v>
      </c>
      <c r="FQ296">
        <v>9.153834249999999</v>
      </c>
      <c r="FR296">
        <v>0.1676810881800968</v>
      </c>
      <c r="FS296">
        <v>0.01619839697122837</v>
      </c>
      <c r="FT296">
        <v>-1</v>
      </c>
      <c r="FU296">
        <v>0</v>
      </c>
      <c r="FV296">
        <v>0</v>
      </c>
      <c r="FW296">
        <v>0</v>
      </c>
      <c r="FX296">
        <v>-1</v>
      </c>
      <c r="FY296">
        <v>0</v>
      </c>
      <c r="FZ296">
        <v>0</v>
      </c>
      <c r="GA296" t="s">
        <v>420</v>
      </c>
      <c r="GB296">
        <v>2.98136</v>
      </c>
      <c r="GC296">
        <v>2.70619</v>
      </c>
      <c r="GD296">
        <v>0.0491547</v>
      </c>
      <c r="GE296">
        <v>0.0563791</v>
      </c>
      <c r="GF296">
        <v>0.0885934</v>
      </c>
      <c r="GG296">
        <v>0.0528901</v>
      </c>
      <c r="GH296">
        <v>30045.1</v>
      </c>
      <c r="GI296">
        <v>29881.3</v>
      </c>
      <c r="GJ296">
        <v>29376.2</v>
      </c>
      <c r="GK296">
        <v>29291.1</v>
      </c>
      <c r="GL296">
        <v>35448.5</v>
      </c>
      <c r="GM296">
        <v>36953.9</v>
      </c>
      <c r="GN296">
        <v>41347</v>
      </c>
      <c r="GO296">
        <v>41809.8</v>
      </c>
      <c r="GP296">
        <v>1.96645</v>
      </c>
      <c r="GQ296">
        <v>1.8527</v>
      </c>
      <c r="GR296">
        <v>-0.00551343</v>
      </c>
      <c r="GS296">
        <v>0</v>
      </c>
      <c r="GT296">
        <v>25.0936</v>
      </c>
      <c r="GU296">
        <v>999.9</v>
      </c>
      <c r="GV296">
        <v>29.8</v>
      </c>
      <c r="GW296">
        <v>34.2</v>
      </c>
      <c r="GX296">
        <v>17.9052</v>
      </c>
      <c r="GY296">
        <v>62.4476</v>
      </c>
      <c r="GZ296">
        <v>35.5168</v>
      </c>
      <c r="HA296">
        <v>1</v>
      </c>
      <c r="HB296">
        <v>0.0464253</v>
      </c>
      <c r="HC296">
        <v>1.48399</v>
      </c>
      <c r="HD296">
        <v>20.3297</v>
      </c>
      <c r="HE296">
        <v>5.21654</v>
      </c>
      <c r="HF296">
        <v>12.0099</v>
      </c>
      <c r="HG296">
        <v>4.9888</v>
      </c>
      <c r="HH296">
        <v>3.28865</v>
      </c>
      <c r="HI296">
        <v>1030.6</v>
      </c>
      <c r="HJ296">
        <v>9730.299999999999</v>
      </c>
      <c r="HK296">
        <v>5139.4</v>
      </c>
      <c r="HL296">
        <v>25.3</v>
      </c>
      <c r="HM296">
        <v>1.86747</v>
      </c>
      <c r="HN296">
        <v>1.86646</v>
      </c>
      <c r="HO296">
        <v>1.866</v>
      </c>
      <c r="HP296">
        <v>1.86584</v>
      </c>
      <c r="HQ296">
        <v>1.86768</v>
      </c>
      <c r="HR296">
        <v>1.8702</v>
      </c>
      <c r="HS296">
        <v>1.8689</v>
      </c>
      <c r="HT296">
        <v>1.87021</v>
      </c>
      <c r="HU296">
        <v>0</v>
      </c>
      <c r="HV296">
        <v>0</v>
      </c>
      <c r="HW296">
        <v>0</v>
      </c>
      <c r="HX296">
        <v>0</v>
      </c>
      <c r="HY296" t="s">
        <v>421</v>
      </c>
      <c r="HZ296" t="s">
        <v>422</v>
      </c>
      <c r="IA296" t="s">
        <v>423</v>
      </c>
      <c r="IB296" t="s">
        <v>423</v>
      </c>
      <c r="IC296" t="s">
        <v>423</v>
      </c>
      <c r="ID296" t="s">
        <v>423</v>
      </c>
      <c r="IE296">
        <v>0</v>
      </c>
      <c r="IF296">
        <v>100</v>
      </c>
      <c r="IG296">
        <v>100</v>
      </c>
      <c r="IH296">
        <v>-0.542</v>
      </c>
      <c r="II296">
        <v>0.024</v>
      </c>
      <c r="IJ296">
        <v>-0.1559367209035702</v>
      </c>
      <c r="IK296">
        <v>-0.002077099775823331</v>
      </c>
      <c r="IL296">
        <v>4.593143279902166E-07</v>
      </c>
      <c r="IM296">
        <v>-1.865383991892071E-10</v>
      </c>
      <c r="IN296">
        <v>-0.0607165066849496</v>
      </c>
      <c r="IO296">
        <v>-0.01129461987421345</v>
      </c>
      <c r="IP296">
        <v>0.00116580895745559</v>
      </c>
      <c r="IQ296">
        <v>-1.679085872906199E-05</v>
      </c>
      <c r="IR296">
        <v>2</v>
      </c>
      <c r="IS296">
        <v>2290</v>
      </c>
      <c r="IT296">
        <v>0</v>
      </c>
      <c r="IU296">
        <v>32</v>
      </c>
      <c r="IV296">
        <v>13.6</v>
      </c>
      <c r="IW296">
        <v>13.4</v>
      </c>
      <c r="IX296">
        <v>0.67749</v>
      </c>
      <c r="IY296">
        <v>2.23511</v>
      </c>
      <c r="IZ296">
        <v>1.39648</v>
      </c>
      <c r="JA296">
        <v>2.35596</v>
      </c>
      <c r="JB296">
        <v>1.49536</v>
      </c>
      <c r="JC296">
        <v>2.35352</v>
      </c>
      <c r="JD296">
        <v>38.0134</v>
      </c>
      <c r="JE296">
        <v>24.0437</v>
      </c>
      <c r="JF296">
        <v>18</v>
      </c>
      <c r="JG296">
        <v>512.466</v>
      </c>
      <c r="JH296">
        <v>425.563</v>
      </c>
      <c r="JI296">
        <v>23.1484</v>
      </c>
      <c r="JJ296">
        <v>27.9298</v>
      </c>
      <c r="JK296">
        <v>30</v>
      </c>
      <c r="JL296">
        <v>27.9582</v>
      </c>
      <c r="JM296">
        <v>27.9051</v>
      </c>
      <c r="JN296">
        <v>13.6284</v>
      </c>
      <c r="JO296">
        <v>44.9415</v>
      </c>
      <c r="JP296">
        <v>0</v>
      </c>
      <c r="JQ296">
        <v>23.152</v>
      </c>
      <c r="JR296">
        <v>251.543</v>
      </c>
      <c r="JS296">
        <v>9.439299999999999</v>
      </c>
      <c r="JT296">
        <v>100.412</v>
      </c>
      <c r="JU296">
        <v>100.344</v>
      </c>
    </row>
    <row r="297" spans="1:281">
      <c r="A297">
        <v>281</v>
      </c>
      <c r="B297">
        <v>1651866326</v>
      </c>
      <c r="C297">
        <v>2105.400000095367</v>
      </c>
      <c r="D297" t="s">
        <v>985</v>
      </c>
      <c r="E297" t="s">
        <v>986</v>
      </c>
      <c r="F297">
        <v>2</v>
      </c>
      <c r="G297" t="s">
        <v>908</v>
      </c>
      <c r="H297" t="s">
        <v>414</v>
      </c>
      <c r="I297">
        <v>1651866325</v>
      </c>
      <c r="J297">
        <f>(K297)/1000</f>
        <v>0</v>
      </c>
      <c r="K297">
        <f>IF(CZ297, AN297, AH297)</f>
        <v>0</v>
      </c>
      <c r="L297">
        <f>IF(CZ297, AI297, AG297)</f>
        <v>0</v>
      </c>
      <c r="M297">
        <f>DB297 - IF(AU297&gt;1, L297*CV297*100.0/(AW297*DP297), 0)</f>
        <v>0</v>
      </c>
      <c r="N297">
        <f>((T297-J297/2)*M297-L297)/(T297+J297/2)</f>
        <v>0</v>
      </c>
      <c r="O297">
        <f>N297*(DI297+DJ297)/1000.0</f>
        <v>0</v>
      </c>
      <c r="P297">
        <f>(DB297 - IF(AU297&gt;1, L297*CV297*100.0/(AW297*DP297), 0))*(DI297+DJ297)/1000.0</f>
        <v>0</v>
      </c>
      <c r="Q297">
        <f>2.0/((1/S297-1/R297)+SIGN(S297)*SQRT((1/S297-1/R297)*(1/S297-1/R297) + 4*CW297/((CW297+1)*(CW297+1))*(2*1/S297*1/R297-1/R297*1/R297)))</f>
        <v>0</v>
      </c>
      <c r="R297">
        <f>IF(LEFT(CX297,1)&lt;&gt;"0",IF(LEFT(CX297,1)="1",3.0,CY297),$D$5+$E$5*(DP297*DI297/($K$5*1000))+$F$5*(DP297*DI297/($K$5*1000))*MAX(MIN(CV297,$J$5),$I$5)*MAX(MIN(CV297,$J$5),$I$5)+$G$5*MAX(MIN(CV297,$J$5),$I$5)*(DP297*DI297/($K$5*1000))+$H$5*(DP297*DI297/($K$5*1000))*(DP297*DI297/($K$5*1000)))</f>
        <v>0</v>
      </c>
      <c r="S297">
        <f>J297*(1000-(1000*0.61365*exp(17.502*W297/(240.97+W297))/(DI297+DJ297)+DD297)/2)/(1000*0.61365*exp(17.502*W297/(240.97+W297))/(DI297+DJ297)-DD297)</f>
        <v>0</v>
      </c>
      <c r="T297">
        <f>1/((CW297+1)/(Q297/1.6)+1/(R297/1.37)) + CW297/((CW297+1)/(Q297/1.6) + CW297/(R297/1.37))</f>
        <v>0</v>
      </c>
      <c r="U297">
        <f>(CR297*CU297)</f>
        <v>0</v>
      </c>
      <c r="V297">
        <f>(DK297+(U297+2*0.95*5.67E-8*(((DK297+$B$7)+273)^4-(DK297+273)^4)-44100*J297)/(1.84*29.3*R297+8*0.95*5.67E-8*(DK297+273)^3))</f>
        <v>0</v>
      </c>
      <c r="W297">
        <f>($C$7*DL297+$D$7*DM297+$E$7*V297)</f>
        <v>0</v>
      </c>
      <c r="X297">
        <f>0.61365*exp(17.502*W297/(240.97+W297))</f>
        <v>0</v>
      </c>
      <c r="Y297">
        <f>(Z297/AA297*100)</f>
        <v>0</v>
      </c>
      <c r="Z297">
        <f>DD297*(DI297+DJ297)/1000</f>
        <v>0</v>
      </c>
      <c r="AA297">
        <f>0.61365*exp(17.502*DK297/(240.97+DK297))</f>
        <v>0</v>
      </c>
      <c r="AB297">
        <f>(X297-DD297*(DI297+DJ297)/1000)</f>
        <v>0</v>
      </c>
      <c r="AC297">
        <f>(-J297*44100)</f>
        <v>0</v>
      </c>
      <c r="AD297">
        <f>2*29.3*R297*0.92*(DK297-W297)</f>
        <v>0</v>
      </c>
      <c r="AE297">
        <f>2*0.95*5.67E-8*(((DK297+$B$7)+273)^4-(W297+273)^4)</f>
        <v>0</v>
      </c>
      <c r="AF297">
        <f>U297+AE297+AC297+AD297</f>
        <v>0</v>
      </c>
      <c r="AG297">
        <f>DH297*AU297*(DC297-DB297*(1000-AU297*DE297)/(1000-AU297*DD297))/(100*CV297)</f>
        <v>0</v>
      </c>
      <c r="AH297">
        <f>1000*DH297*AU297*(DD297-DE297)/(100*CV297*(1000-AU297*DD297))</f>
        <v>0</v>
      </c>
      <c r="AI297">
        <f>(AJ297 - AK297 - DI297*1E3/(8.314*(DK297+273.15)) * AM297/DH297 * AL297) * DH297/(100*CV297) * (1000 - DE297)/1000</f>
        <v>0</v>
      </c>
      <c r="AJ297">
        <v>227.9849312321205</v>
      </c>
      <c r="AK297">
        <v>201.3034969696969</v>
      </c>
      <c r="AL297">
        <v>3.144842096893533</v>
      </c>
      <c r="AM297">
        <v>66.38195617057868</v>
      </c>
      <c r="AN297">
        <f>(AP297 - AO297 + DI297*1E3/(8.314*(DK297+273.15)) * AR297/DH297 * AQ297) * DH297/(100*CV297) * 1000/(1000 - AP297)</f>
        <v>0</v>
      </c>
      <c r="AO297">
        <v>9.408107834319061</v>
      </c>
      <c r="AP297">
        <v>18.58909676470588</v>
      </c>
      <c r="AQ297">
        <v>0.0001985464014138638</v>
      </c>
      <c r="AR297">
        <v>80.47178418790507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MAX(0,($B$13+$C$13*DP297)/(1+$D$13*DP297)*DI297/(DK297+273)*$E$13)</f>
        <v>0</v>
      </c>
      <c r="AX297" t="s">
        <v>417</v>
      </c>
      <c r="AY297" t="s">
        <v>417</v>
      </c>
      <c r="AZ297">
        <v>0</v>
      </c>
      <c r="BA297">
        <v>0</v>
      </c>
      <c r="BB297">
        <f>1-AZ297/BA297</f>
        <v>0</v>
      </c>
      <c r="BC297">
        <v>0</v>
      </c>
      <c r="BD297" t="s">
        <v>417</v>
      </c>
      <c r="BE297" t="s">
        <v>417</v>
      </c>
      <c r="BF297">
        <v>0</v>
      </c>
      <c r="BG297">
        <v>0</v>
      </c>
      <c r="BH297">
        <f>1-BF297/BG297</f>
        <v>0</v>
      </c>
      <c r="BI297">
        <v>0.5</v>
      </c>
      <c r="BJ297">
        <f>CS297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417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BZ297">
        <v>1249</v>
      </c>
      <c r="CA297">
        <v>300</v>
      </c>
      <c r="CB297">
        <v>300</v>
      </c>
      <c r="CC297">
        <v>300</v>
      </c>
      <c r="CD297">
        <v>10442.4</v>
      </c>
      <c r="CE297">
        <v>1239.69</v>
      </c>
      <c r="CF297">
        <v>-0.00735276</v>
      </c>
      <c r="CG297">
        <v>0.07000000000000001</v>
      </c>
      <c r="CH297" t="s">
        <v>417</v>
      </c>
      <c r="CI297" t="s">
        <v>417</v>
      </c>
      <c r="CJ297" t="s">
        <v>417</v>
      </c>
      <c r="CK297" t="s">
        <v>417</v>
      </c>
      <c r="CL297" t="s">
        <v>417</v>
      </c>
      <c r="CM297" t="s">
        <v>417</v>
      </c>
      <c r="CN297" t="s">
        <v>417</v>
      </c>
      <c r="CO297" t="s">
        <v>417</v>
      </c>
      <c r="CP297" t="s">
        <v>417</v>
      </c>
      <c r="CQ297" t="s">
        <v>417</v>
      </c>
      <c r="CR297">
        <f>$B$11*DQ297+$C$11*DR297+$F$11*EC297*(1-EF297)</f>
        <v>0</v>
      </c>
      <c r="CS297">
        <f>CR297*CT297</f>
        <v>0</v>
      </c>
      <c r="CT297">
        <f>($B$11*$D$9+$C$11*$D$9+$F$11*((EP297+EH297)/MAX(EP297+EH297+EQ297, 0.1)*$I$9+EQ297/MAX(EP297+EH297+EQ297, 0.1)*$J$9))/($B$11+$C$11+$F$11)</f>
        <v>0</v>
      </c>
      <c r="CU297">
        <f>($B$11*$K$9+$C$11*$K$9+$F$11*((EP297+EH297)/MAX(EP297+EH297+EQ297, 0.1)*$P$9+EQ297/MAX(EP297+EH297+EQ297, 0.1)*$Q$9))/($B$11+$C$11+$F$11)</f>
        <v>0</v>
      </c>
      <c r="CV297">
        <v>6</v>
      </c>
      <c r="CW297">
        <v>0.5</v>
      </c>
      <c r="CX297" t="s">
        <v>418</v>
      </c>
      <c r="CY297">
        <v>2</v>
      </c>
      <c r="CZ297" t="b">
        <v>1</v>
      </c>
      <c r="DA297">
        <v>1651866325</v>
      </c>
      <c r="DB297">
        <v>196.02</v>
      </c>
      <c r="DC297">
        <v>231.8423333333334</v>
      </c>
      <c r="DD297">
        <v>18.5891</v>
      </c>
      <c r="DE297">
        <v>9.407616666666668</v>
      </c>
      <c r="DF297">
        <v>196.568</v>
      </c>
      <c r="DG297">
        <v>18.5651</v>
      </c>
      <c r="DH297">
        <v>500.054</v>
      </c>
      <c r="DI297">
        <v>89.92173333333334</v>
      </c>
      <c r="DJ297">
        <v>0.09998169999999999</v>
      </c>
      <c r="DK297">
        <v>25.8736</v>
      </c>
      <c r="DL297">
        <v>25.00406666666667</v>
      </c>
      <c r="DM297">
        <v>999.9</v>
      </c>
      <c r="DN297">
        <v>0</v>
      </c>
      <c r="DO297">
        <v>0</v>
      </c>
      <c r="DP297">
        <v>10005.03333333333</v>
      </c>
      <c r="DQ297">
        <v>0</v>
      </c>
      <c r="DR297">
        <v>3.20383</v>
      </c>
      <c r="DS297">
        <v>-35.82239999999999</v>
      </c>
      <c r="DT297">
        <v>199.7326666666667</v>
      </c>
      <c r="DU297">
        <v>234.044</v>
      </c>
      <c r="DV297">
        <v>9.181463333333333</v>
      </c>
      <c r="DW297">
        <v>231.8423333333334</v>
      </c>
      <c r="DX297">
        <v>9.407616666666668</v>
      </c>
      <c r="DY297">
        <v>1.671563333333333</v>
      </c>
      <c r="DZ297">
        <v>0.8459490000000001</v>
      </c>
      <c r="EA297">
        <v>14.63483333333333</v>
      </c>
      <c r="EB297">
        <v>4.50264</v>
      </c>
      <c r="EC297">
        <v>1499.993333333333</v>
      </c>
      <c r="ED297">
        <v>0.973004</v>
      </c>
      <c r="EE297">
        <v>0.0269962</v>
      </c>
      <c r="EF297">
        <v>0</v>
      </c>
      <c r="EG297">
        <v>842.7206666666667</v>
      </c>
      <c r="EH297">
        <v>5.00097</v>
      </c>
      <c r="EI297">
        <v>12579.66666666667</v>
      </c>
      <c r="EJ297">
        <v>12491.56666666667</v>
      </c>
      <c r="EK297">
        <v>38.937</v>
      </c>
      <c r="EL297">
        <v>41.062</v>
      </c>
      <c r="EM297">
        <v>39.187</v>
      </c>
      <c r="EN297">
        <v>41.5</v>
      </c>
      <c r="EO297">
        <v>40.187</v>
      </c>
      <c r="EP297">
        <v>1454.633333333333</v>
      </c>
      <c r="EQ297">
        <v>40.36</v>
      </c>
      <c r="ER297">
        <v>0</v>
      </c>
      <c r="ES297">
        <v>843.2000000476837</v>
      </c>
      <c r="ET297">
        <v>0</v>
      </c>
      <c r="EU297">
        <v>844.7178076923077</v>
      </c>
      <c r="EV297">
        <v>-19.76611961841029</v>
      </c>
      <c r="EW297">
        <v>-214.5641022120274</v>
      </c>
      <c r="EX297">
        <v>12602.66923076923</v>
      </c>
      <c r="EY297">
        <v>15</v>
      </c>
      <c r="EZ297">
        <v>1651865518.1</v>
      </c>
      <c r="FA297" t="s">
        <v>910</v>
      </c>
      <c r="FB297">
        <v>1651865507.1</v>
      </c>
      <c r="FC297">
        <v>1651865518.1</v>
      </c>
      <c r="FD297">
        <v>8</v>
      </c>
      <c r="FE297">
        <v>0.06</v>
      </c>
      <c r="FF297">
        <v>0</v>
      </c>
      <c r="FG297">
        <v>-0.927</v>
      </c>
      <c r="FH297">
        <v>-0.062</v>
      </c>
      <c r="FI297">
        <v>400</v>
      </c>
      <c r="FJ297">
        <v>11</v>
      </c>
      <c r="FK297">
        <v>0.11</v>
      </c>
      <c r="FL297">
        <v>0.01</v>
      </c>
      <c r="FM297">
        <v>-32.82282926829268</v>
      </c>
      <c r="FN297">
        <v>-19.33000139372825</v>
      </c>
      <c r="FO297">
        <v>1.906378600363489</v>
      </c>
      <c r="FP297">
        <v>-1</v>
      </c>
      <c r="FQ297">
        <v>9.159444390243904</v>
      </c>
      <c r="FR297">
        <v>0.1622065505226405</v>
      </c>
      <c r="FS297">
        <v>0.01610735872562609</v>
      </c>
      <c r="FT297">
        <v>-1</v>
      </c>
      <c r="FU297">
        <v>0</v>
      </c>
      <c r="FV297">
        <v>0</v>
      </c>
      <c r="FW297">
        <v>0</v>
      </c>
      <c r="FX297">
        <v>-1</v>
      </c>
      <c r="FY297">
        <v>0</v>
      </c>
      <c r="FZ297">
        <v>0</v>
      </c>
      <c r="GA297" t="s">
        <v>420</v>
      </c>
      <c r="GB297">
        <v>2.98149</v>
      </c>
      <c r="GC297">
        <v>2.70623</v>
      </c>
      <c r="GD297">
        <v>0.0505602</v>
      </c>
      <c r="GE297">
        <v>0.0578262</v>
      </c>
      <c r="GF297">
        <v>0.0886067</v>
      </c>
      <c r="GG297">
        <v>0.0528914</v>
      </c>
      <c r="GH297">
        <v>30001.1</v>
      </c>
      <c r="GI297">
        <v>29835.6</v>
      </c>
      <c r="GJ297">
        <v>29376.7</v>
      </c>
      <c r="GK297">
        <v>29291.2</v>
      </c>
      <c r="GL297">
        <v>35448.3</v>
      </c>
      <c r="GM297">
        <v>36954</v>
      </c>
      <c r="GN297">
        <v>41347.5</v>
      </c>
      <c r="GO297">
        <v>41810</v>
      </c>
      <c r="GP297">
        <v>1.96655</v>
      </c>
      <c r="GQ297">
        <v>1.85273</v>
      </c>
      <c r="GR297">
        <v>-0.00558794</v>
      </c>
      <c r="GS297">
        <v>0</v>
      </c>
      <c r="GT297">
        <v>25.0946</v>
      </c>
      <c r="GU297">
        <v>999.9</v>
      </c>
      <c r="GV297">
        <v>29.8</v>
      </c>
      <c r="GW297">
        <v>34.2</v>
      </c>
      <c r="GX297">
        <v>17.9059</v>
      </c>
      <c r="GY297">
        <v>62.5176</v>
      </c>
      <c r="GZ297">
        <v>35.1803</v>
      </c>
      <c r="HA297">
        <v>1</v>
      </c>
      <c r="HB297">
        <v>0.046471</v>
      </c>
      <c r="HC297">
        <v>1.488</v>
      </c>
      <c r="HD297">
        <v>20.3296</v>
      </c>
      <c r="HE297">
        <v>5.21684</v>
      </c>
      <c r="HF297">
        <v>12.0099</v>
      </c>
      <c r="HG297">
        <v>4.98885</v>
      </c>
      <c r="HH297">
        <v>3.28865</v>
      </c>
      <c r="HI297">
        <v>1030.6</v>
      </c>
      <c r="HJ297">
        <v>9730.299999999999</v>
      </c>
      <c r="HK297">
        <v>5139.4</v>
      </c>
      <c r="HL297">
        <v>25.3</v>
      </c>
      <c r="HM297">
        <v>1.86749</v>
      </c>
      <c r="HN297">
        <v>1.86646</v>
      </c>
      <c r="HO297">
        <v>1.866</v>
      </c>
      <c r="HP297">
        <v>1.86584</v>
      </c>
      <c r="HQ297">
        <v>1.86768</v>
      </c>
      <c r="HR297">
        <v>1.87021</v>
      </c>
      <c r="HS297">
        <v>1.8689</v>
      </c>
      <c r="HT297">
        <v>1.87023</v>
      </c>
      <c r="HU297">
        <v>0</v>
      </c>
      <c r="HV297">
        <v>0</v>
      </c>
      <c r="HW297">
        <v>0</v>
      </c>
      <c r="HX297">
        <v>0</v>
      </c>
      <c r="HY297" t="s">
        <v>421</v>
      </c>
      <c r="HZ297" t="s">
        <v>422</v>
      </c>
      <c r="IA297" t="s">
        <v>423</v>
      </c>
      <c r="IB297" t="s">
        <v>423</v>
      </c>
      <c r="IC297" t="s">
        <v>423</v>
      </c>
      <c r="ID297" t="s">
        <v>423</v>
      </c>
      <c r="IE297">
        <v>0</v>
      </c>
      <c r="IF297">
        <v>100</v>
      </c>
      <c r="IG297">
        <v>100</v>
      </c>
      <c r="IH297">
        <v>-0.554</v>
      </c>
      <c r="II297">
        <v>0.024</v>
      </c>
      <c r="IJ297">
        <v>-0.1559367209035702</v>
      </c>
      <c r="IK297">
        <v>-0.002077099775823331</v>
      </c>
      <c r="IL297">
        <v>4.593143279902166E-07</v>
      </c>
      <c r="IM297">
        <v>-1.865383991892071E-10</v>
      </c>
      <c r="IN297">
        <v>-0.0607165066849496</v>
      </c>
      <c r="IO297">
        <v>-0.01129461987421345</v>
      </c>
      <c r="IP297">
        <v>0.00116580895745559</v>
      </c>
      <c r="IQ297">
        <v>-1.679085872906199E-05</v>
      </c>
      <c r="IR297">
        <v>2</v>
      </c>
      <c r="IS297">
        <v>2290</v>
      </c>
      <c r="IT297">
        <v>0</v>
      </c>
      <c r="IU297">
        <v>32</v>
      </c>
      <c r="IV297">
        <v>13.6</v>
      </c>
      <c r="IW297">
        <v>13.5</v>
      </c>
      <c r="IX297">
        <v>0.6921389999999999</v>
      </c>
      <c r="IY297">
        <v>2.23755</v>
      </c>
      <c r="IZ297">
        <v>1.39648</v>
      </c>
      <c r="JA297">
        <v>2.35474</v>
      </c>
      <c r="JB297">
        <v>1.49536</v>
      </c>
      <c r="JC297">
        <v>2.31934</v>
      </c>
      <c r="JD297">
        <v>38.0134</v>
      </c>
      <c r="JE297">
        <v>24.035</v>
      </c>
      <c r="JF297">
        <v>18</v>
      </c>
      <c r="JG297">
        <v>512.526</v>
      </c>
      <c r="JH297">
        <v>425.573</v>
      </c>
      <c r="JI297">
        <v>23.1504</v>
      </c>
      <c r="JJ297">
        <v>27.9298</v>
      </c>
      <c r="JK297">
        <v>30</v>
      </c>
      <c r="JL297">
        <v>27.9576</v>
      </c>
      <c r="JM297">
        <v>27.9045</v>
      </c>
      <c r="JN297">
        <v>13.9157</v>
      </c>
      <c r="JO297">
        <v>44.9415</v>
      </c>
      <c r="JP297">
        <v>0</v>
      </c>
      <c r="JQ297">
        <v>23.1523</v>
      </c>
      <c r="JR297">
        <v>258.239</v>
      </c>
      <c r="JS297">
        <v>9.439299999999999</v>
      </c>
      <c r="JT297">
        <v>100.413</v>
      </c>
      <c r="JU297">
        <v>100.345</v>
      </c>
    </row>
    <row r="298" spans="1:281">
      <c r="A298">
        <v>282</v>
      </c>
      <c r="B298">
        <v>1651866328</v>
      </c>
      <c r="C298">
        <v>2107.400000095367</v>
      </c>
      <c r="D298" t="s">
        <v>987</v>
      </c>
      <c r="E298" t="s">
        <v>988</v>
      </c>
      <c r="F298">
        <v>2</v>
      </c>
      <c r="G298" t="s">
        <v>908</v>
      </c>
      <c r="H298" t="s">
        <v>414</v>
      </c>
      <c r="I298">
        <v>1651866326.625</v>
      </c>
      <c r="J298">
        <f>(K298)/1000</f>
        <v>0</v>
      </c>
      <c r="K298">
        <f>IF(CZ298, AN298, AH298)</f>
        <v>0</v>
      </c>
      <c r="L298">
        <f>IF(CZ298, AI298, AG298)</f>
        <v>0</v>
      </c>
      <c r="M298">
        <f>DB298 - IF(AU298&gt;1, L298*CV298*100.0/(AW298*DP298), 0)</f>
        <v>0</v>
      </c>
      <c r="N298">
        <f>((T298-J298/2)*M298-L298)/(T298+J298/2)</f>
        <v>0</v>
      </c>
      <c r="O298">
        <f>N298*(DI298+DJ298)/1000.0</f>
        <v>0</v>
      </c>
      <c r="P298">
        <f>(DB298 - IF(AU298&gt;1, L298*CV298*100.0/(AW298*DP298), 0))*(DI298+DJ298)/1000.0</f>
        <v>0</v>
      </c>
      <c r="Q298">
        <f>2.0/((1/S298-1/R298)+SIGN(S298)*SQRT((1/S298-1/R298)*(1/S298-1/R298) + 4*CW298/((CW298+1)*(CW298+1))*(2*1/S298*1/R298-1/R298*1/R298)))</f>
        <v>0</v>
      </c>
      <c r="R298">
        <f>IF(LEFT(CX298,1)&lt;&gt;"0",IF(LEFT(CX298,1)="1",3.0,CY298),$D$5+$E$5*(DP298*DI298/($K$5*1000))+$F$5*(DP298*DI298/($K$5*1000))*MAX(MIN(CV298,$J$5),$I$5)*MAX(MIN(CV298,$J$5),$I$5)+$G$5*MAX(MIN(CV298,$J$5),$I$5)*(DP298*DI298/($K$5*1000))+$H$5*(DP298*DI298/($K$5*1000))*(DP298*DI298/($K$5*1000)))</f>
        <v>0</v>
      </c>
      <c r="S298">
        <f>J298*(1000-(1000*0.61365*exp(17.502*W298/(240.97+W298))/(DI298+DJ298)+DD298)/2)/(1000*0.61365*exp(17.502*W298/(240.97+W298))/(DI298+DJ298)-DD298)</f>
        <v>0</v>
      </c>
      <c r="T298">
        <f>1/((CW298+1)/(Q298/1.6)+1/(R298/1.37)) + CW298/((CW298+1)/(Q298/1.6) + CW298/(R298/1.37))</f>
        <v>0</v>
      </c>
      <c r="U298">
        <f>(CR298*CU298)</f>
        <v>0</v>
      </c>
      <c r="V298">
        <f>(DK298+(U298+2*0.95*5.67E-8*(((DK298+$B$7)+273)^4-(DK298+273)^4)-44100*J298)/(1.84*29.3*R298+8*0.95*5.67E-8*(DK298+273)^3))</f>
        <v>0</v>
      </c>
      <c r="W298">
        <f>($C$7*DL298+$D$7*DM298+$E$7*V298)</f>
        <v>0</v>
      </c>
      <c r="X298">
        <f>0.61365*exp(17.502*W298/(240.97+W298))</f>
        <v>0</v>
      </c>
      <c r="Y298">
        <f>(Z298/AA298*100)</f>
        <v>0</v>
      </c>
      <c r="Z298">
        <f>DD298*(DI298+DJ298)/1000</f>
        <v>0</v>
      </c>
      <c r="AA298">
        <f>0.61365*exp(17.502*DK298/(240.97+DK298))</f>
        <v>0</v>
      </c>
      <c r="AB298">
        <f>(X298-DD298*(DI298+DJ298)/1000)</f>
        <v>0</v>
      </c>
      <c r="AC298">
        <f>(-J298*44100)</f>
        <v>0</v>
      </c>
      <c r="AD298">
        <f>2*29.3*R298*0.92*(DK298-W298)</f>
        <v>0</v>
      </c>
      <c r="AE298">
        <f>2*0.95*5.67E-8*(((DK298+$B$7)+273)^4-(W298+273)^4)</f>
        <v>0</v>
      </c>
      <c r="AF298">
        <f>U298+AE298+AC298+AD298</f>
        <v>0</v>
      </c>
      <c r="AG298">
        <f>DH298*AU298*(DC298-DB298*(1000-AU298*DE298)/(1000-AU298*DD298))/(100*CV298)</f>
        <v>0</v>
      </c>
      <c r="AH298">
        <f>1000*DH298*AU298*(DD298-DE298)/(100*CV298*(1000-AU298*DD298))</f>
        <v>0</v>
      </c>
      <c r="AI298">
        <f>(AJ298 - AK298 - DI298*1E3/(8.314*(DK298+273.15)) * AM298/DH298 * AL298) * DH298/(100*CV298) * (1000 - DE298)/1000</f>
        <v>0</v>
      </c>
      <c r="AJ298">
        <v>234.8343318285336</v>
      </c>
      <c r="AK298">
        <v>207.5881878787877</v>
      </c>
      <c r="AL298">
        <v>3.143235696250624</v>
      </c>
      <c r="AM298">
        <v>66.38195617057868</v>
      </c>
      <c r="AN298">
        <f>(AP298 - AO298 + DI298*1E3/(8.314*(DK298+273.15)) * AR298/DH298 * AQ298) * DH298/(100*CV298) * 1000/(1000 - AP298)</f>
        <v>0</v>
      </c>
      <c r="AO298">
        <v>9.407486942992673</v>
      </c>
      <c r="AP298">
        <v>18.59647294117647</v>
      </c>
      <c r="AQ298">
        <v>1.893156676357128E-05</v>
      </c>
      <c r="AR298">
        <v>80.47178418790507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MAX(0,($B$13+$C$13*DP298)/(1+$D$13*DP298)*DI298/(DK298+273)*$E$13)</f>
        <v>0</v>
      </c>
      <c r="AX298" t="s">
        <v>417</v>
      </c>
      <c r="AY298" t="s">
        <v>417</v>
      </c>
      <c r="AZ298">
        <v>0</v>
      </c>
      <c r="BA298">
        <v>0</v>
      </c>
      <c r="BB298">
        <f>1-AZ298/BA298</f>
        <v>0</v>
      </c>
      <c r="BC298">
        <v>0</v>
      </c>
      <c r="BD298" t="s">
        <v>417</v>
      </c>
      <c r="BE298" t="s">
        <v>417</v>
      </c>
      <c r="BF298">
        <v>0</v>
      </c>
      <c r="BG298">
        <v>0</v>
      </c>
      <c r="BH298">
        <f>1-BF298/BG298</f>
        <v>0</v>
      </c>
      <c r="BI298">
        <v>0.5</v>
      </c>
      <c r="BJ298">
        <f>CS298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417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BZ298">
        <v>1249</v>
      </c>
      <c r="CA298">
        <v>300</v>
      </c>
      <c r="CB298">
        <v>300</v>
      </c>
      <c r="CC298">
        <v>300</v>
      </c>
      <c r="CD298">
        <v>10442.4</v>
      </c>
      <c r="CE298">
        <v>1239.69</v>
      </c>
      <c r="CF298">
        <v>-0.00735276</v>
      </c>
      <c r="CG298">
        <v>0.07000000000000001</v>
      </c>
      <c r="CH298" t="s">
        <v>417</v>
      </c>
      <c r="CI298" t="s">
        <v>417</v>
      </c>
      <c r="CJ298" t="s">
        <v>417</v>
      </c>
      <c r="CK298" t="s">
        <v>417</v>
      </c>
      <c r="CL298" t="s">
        <v>417</v>
      </c>
      <c r="CM298" t="s">
        <v>417</v>
      </c>
      <c r="CN298" t="s">
        <v>417</v>
      </c>
      <c r="CO298" t="s">
        <v>417</v>
      </c>
      <c r="CP298" t="s">
        <v>417</v>
      </c>
      <c r="CQ298" t="s">
        <v>417</v>
      </c>
      <c r="CR298">
        <f>$B$11*DQ298+$C$11*DR298+$F$11*EC298*(1-EF298)</f>
        <v>0</v>
      </c>
      <c r="CS298">
        <f>CR298*CT298</f>
        <v>0</v>
      </c>
      <c r="CT298">
        <f>($B$11*$D$9+$C$11*$D$9+$F$11*((EP298+EH298)/MAX(EP298+EH298+EQ298, 0.1)*$I$9+EQ298/MAX(EP298+EH298+EQ298, 0.1)*$J$9))/($B$11+$C$11+$F$11)</f>
        <v>0</v>
      </c>
      <c r="CU298">
        <f>($B$11*$K$9+$C$11*$K$9+$F$11*((EP298+EH298)/MAX(EP298+EH298+EQ298, 0.1)*$P$9+EQ298/MAX(EP298+EH298+EQ298, 0.1)*$Q$9))/($B$11+$C$11+$F$11)</f>
        <v>0</v>
      </c>
      <c r="CV298">
        <v>6</v>
      </c>
      <c r="CW298">
        <v>0.5</v>
      </c>
      <c r="CX298" t="s">
        <v>418</v>
      </c>
      <c r="CY298">
        <v>2</v>
      </c>
      <c r="CZ298" t="b">
        <v>1</v>
      </c>
      <c r="DA298">
        <v>1651866326.625</v>
      </c>
      <c r="DB298">
        <v>201.03025</v>
      </c>
      <c r="DC298">
        <v>237.32925</v>
      </c>
      <c r="DD298">
        <v>18.594075</v>
      </c>
      <c r="DE298">
        <v>9.407305000000001</v>
      </c>
      <c r="DF298">
        <v>201.58775</v>
      </c>
      <c r="DG298">
        <v>18.570025</v>
      </c>
      <c r="DH298">
        <v>500.074</v>
      </c>
      <c r="DI298">
        <v>89.92200000000001</v>
      </c>
      <c r="DJ298">
        <v>0.100185</v>
      </c>
      <c r="DK298">
        <v>25.875325</v>
      </c>
      <c r="DL298">
        <v>25.001775</v>
      </c>
      <c r="DM298">
        <v>999.9</v>
      </c>
      <c r="DN298">
        <v>0</v>
      </c>
      <c r="DO298">
        <v>0</v>
      </c>
      <c r="DP298">
        <v>9980</v>
      </c>
      <c r="DQ298">
        <v>0</v>
      </c>
      <c r="DR298">
        <v>3.20383</v>
      </c>
      <c r="DS298">
        <v>-36.29895</v>
      </c>
      <c r="DT298">
        <v>204.839</v>
      </c>
      <c r="DU298">
        <v>239.58325</v>
      </c>
      <c r="DV298">
        <v>9.186769999999999</v>
      </c>
      <c r="DW298">
        <v>237.32925</v>
      </c>
      <c r="DX298">
        <v>9.407305000000001</v>
      </c>
      <c r="DY298">
        <v>1.67202</v>
      </c>
      <c r="DZ298">
        <v>0.845924</v>
      </c>
      <c r="EA298">
        <v>14.63905</v>
      </c>
      <c r="EB298">
        <v>4.502212500000001</v>
      </c>
      <c r="EC298">
        <v>1499.9675</v>
      </c>
      <c r="ED298">
        <v>0.973004</v>
      </c>
      <c r="EE298">
        <v>0.0269962</v>
      </c>
      <c r="EF298">
        <v>0</v>
      </c>
      <c r="EG298">
        <v>842.1972500000001</v>
      </c>
      <c r="EH298">
        <v>5.00097</v>
      </c>
      <c r="EI298">
        <v>12576.075</v>
      </c>
      <c r="EJ298">
        <v>12491.375</v>
      </c>
      <c r="EK298">
        <v>38.95274999999999</v>
      </c>
      <c r="EL298">
        <v>41.07774999999999</v>
      </c>
      <c r="EM298">
        <v>39.23425</v>
      </c>
      <c r="EN298">
        <v>41.54649999999999</v>
      </c>
      <c r="EO298">
        <v>40.187</v>
      </c>
      <c r="EP298">
        <v>1454.6075</v>
      </c>
      <c r="EQ298">
        <v>40.36</v>
      </c>
      <c r="ER298">
        <v>0</v>
      </c>
      <c r="ES298">
        <v>845.6000001430511</v>
      </c>
      <c r="ET298">
        <v>0</v>
      </c>
      <c r="EU298">
        <v>843.9822692307691</v>
      </c>
      <c r="EV298">
        <v>-18.19832476983587</v>
      </c>
      <c r="EW298">
        <v>-195.4529913556003</v>
      </c>
      <c r="EX298">
        <v>12594.53846153846</v>
      </c>
      <c r="EY298">
        <v>15</v>
      </c>
      <c r="EZ298">
        <v>1651865518.1</v>
      </c>
      <c r="FA298" t="s">
        <v>910</v>
      </c>
      <c r="FB298">
        <v>1651865507.1</v>
      </c>
      <c r="FC298">
        <v>1651865518.1</v>
      </c>
      <c r="FD298">
        <v>8</v>
      </c>
      <c r="FE298">
        <v>0.06</v>
      </c>
      <c r="FF298">
        <v>0</v>
      </c>
      <c r="FG298">
        <v>-0.927</v>
      </c>
      <c r="FH298">
        <v>-0.062</v>
      </c>
      <c r="FI298">
        <v>400</v>
      </c>
      <c r="FJ298">
        <v>11</v>
      </c>
      <c r="FK298">
        <v>0.11</v>
      </c>
      <c r="FL298">
        <v>0.01</v>
      </c>
      <c r="FM298">
        <v>-33.38063</v>
      </c>
      <c r="FN298">
        <v>-19.17079699812376</v>
      </c>
      <c r="FO298">
        <v>1.844704244614838</v>
      </c>
      <c r="FP298">
        <v>-1</v>
      </c>
      <c r="FQ298">
        <v>9.164068250000001</v>
      </c>
      <c r="FR298">
        <v>0.1550797373358283</v>
      </c>
      <c r="FS298">
        <v>0.01503986633708891</v>
      </c>
      <c r="FT298">
        <v>-1</v>
      </c>
      <c r="FU298">
        <v>0</v>
      </c>
      <c r="FV298">
        <v>0</v>
      </c>
      <c r="FW298">
        <v>0</v>
      </c>
      <c r="FX298">
        <v>-1</v>
      </c>
      <c r="FY298">
        <v>0</v>
      </c>
      <c r="FZ298">
        <v>0</v>
      </c>
      <c r="GA298" t="s">
        <v>420</v>
      </c>
      <c r="GB298">
        <v>2.98163</v>
      </c>
      <c r="GC298">
        <v>2.70606</v>
      </c>
      <c r="GD298">
        <v>0.0519502</v>
      </c>
      <c r="GE298">
        <v>0.059247</v>
      </c>
      <c r="GF298">
        <v>0.0886385</v>
      </c>
      <c r="GG298">
        <v>0.0528862</v>
      </c>
      <c r="GH298">
        <v>29957.6</v>
      </c>
      <c r="GI298">
        <v>29790.6</v>
      </c>
      <c r="GJ298">
        <v>29377</v>
      </c>
      <c r="GK298">
        <v>29291.2</v>
      </c>
      <c r="GL298">
        <v>35447.6</v>
      </c>
      <c r="GM298">
        <v>36954.3</v>
      </c>
      <c r="GN298">
        <v>41348</v>
      </c>
      <c r="GO298">
        <v>41810.1</v>
      </c>
      <c r="GP298">
        <v>1.96683</v>
      </c>
      <c r="GQ298">
        <v>1.85257</v>
      </c>
      <c r="GR298">
        <v>-0.00592321</v>
      </c>
      <c r="GS298">
        <v>0</v>
      </c>
      <c r="GT298">
        <v>25.0953</v>
      </c>
      <c r="GU298">
        <v>999.9</v>
      </c>
      <c r="GV298">
        <v>29.8</v>
      </c>
      <c r="GW298">
        <v>34.2</v>
      </c>
      <c r="GX298">
        <v>17.906</v>
      </c>
      <c r="GY298">
        <v>62.6476</v>
      </c>
      <c r="GZ298">
        <v>35.1482</v>
      </c>
      <c r="HA298">
        <v>1</v>
      </c>
      <c r="HB298">
        <v>0.0464787</v>
      </c>
      <c r="HC298">
        <v>1.4898</v>
      </c>
      <c r="HD298">
        <v>20.3296</v>
      </c>
      <c r="HE298">
        <v>5.21684</v>
      </c>
      <c r="HF298">
        <v>12.0099</v>
      </c>
      <c r="HG298">
        <v>4.98885</v>
      </c>
      <c r="HH298">
        <v>3.28865</v>
      </c>
      <c r="HI298">
        <v>1030.9</v>
      </c>
      <c r="HJ298">
        <v>9731.700000000001</v>
      </c>
      <c r="HK298">
        <v>5139.4</v>
      </c>
      <c r="HL298">
        <v>25.3</v>
      </c>
      <c r="HM298">
        <v>1.86749</v>
      </c>
      <c r="HN298">
        <v>1.86646</v>
      </c>
      <c r="HO298">
        <v>1.866</v>
      </c>
      <c r="HP298">
        <v>1.86584</v>
      </c>
      <c r="HQ298">
        <v>1.86768</v>
      </c>
      <c r="HR298">
        <v>1.87022</v>
      </c>
      <c r="HS298">
        <v>1.8689</v>
      </c>
      <c r="HT298">
        <v>1.87026</v>
      </c>
      <c r="HU298">
        <v>0</v>
      </c>
      <c r="HV298">
        <v>0</v>
      </c>
      <c r="HW298">
        <v>0</v>
      </c>
      <c r="HX298">
        <v>0</v>
      </c>
      <c r="HY298" t="s">
        <v>421</v>
      </c>
      <c r="HZ298" t="s">
        <v>422</v>
      </c>
      <c r="IA298" t="s">
        <v>423</v>
      </c>
      <c r="IB298" t="s">
        <v>423</v>
      </c>
      <c r="IC298" t="s">
        <v>423</v>
      </c>
      <c r="ID298" t="s">
        <v>423</v>
      </c>
      <c r="IE298">
        <v>0</v>
      </c>
      <c r="IF298">
        <v>100</v>
      </c>
      <c r="IG298">
        <v>100</v>
      </c>
      <c r="IH298">
        <v>-0.5649999999999999</v>
      </c>
      <c r="II298">
        <v>0.0241</v>
      </c>
      <c r="IJ298">
        <v>-0.1559367209035702</v>
      </c>
      <c r="IK298">
        <v>-0.002077099775823331</v>
      </c>
      <c r="IL298">
        <v>4.593143279902166E-07</v>
      </c>
      <c r="IM298">
        <v>-1.865383991892071E-10</v>
      </c>
      <c r="IN298">
        <v>-0.0607165066849496</v>
      </c>
      <c r="IO298">
        <v>-0.01129461987421345</v>
      </c>
      <c r="IP298">
        <v>0.00116580895745559</v>
      </c>
      <c r="IQ298">
        <v>-1.679085872906199E-05</v>
      </c>
      <c r="IR298">
        <v>2</v>
      </c>
      <c r="IS298">
        <v>2290</v>
      </c>
      <c r="IT298">
        <v>0</v>
      </c>
      <c r="IU298">
        <v>32</v>
      </c>
      <c r="IV298">
        <v>13.7</v>
      </c>
      <c r="IW298">
        <v>13.5</v>
      </c>
      <c r="IX298">
        <v>0.7067870000000001</v>
      </c>
      <c r="IY298">
        <v>2.23877</v>
      </c>
      <c r="IZ298">
        <v>1.39648</v>
      </c>
      <c r="JA298">
        <v>2.35474</v>
      </c>
      <c r="JB298">
        <v>1.49536</v>
      </c>
      <c r="JC298">
        <v>2.2998</v>
      </c>
      <c r="JD298">
        <v>38.0134</v>
      </c>
      <c r="JE298">
        <v>24.035</v>
      </c>
      <c r="JF298">
        <v>18</v>
      </c>
      <c r="JG298">
        <v>512.6950000000001</v>
      </c>
      <c r="JH298">
        <v>425.476</v>
      </c>
      <c r="JI298">
        <v>23.1513</v>
      </c>
      <c r="JJ298">
        <v>27.9286</v>
      </c>
      <c r="JK298">
        <v>30</v>
      </c>
      <c r="JL298">
        <v>27.9564</v>
      </c>
      <c r="JM298">
        <v>27.9034</v>
      </c>
      <c r="JN298">
        <v>14.2028</v>
      </c>
      <c r="JO298">
        <v>44.9415</v>
      </c>
      <c r="JP298">
        <v>0</v>
      </c>
      <c r="JQ298">
        <v>23.1523</v>
      </c>
      <c r="JR298">
        <v>264.935</v>
      </c>
      <c r="JS298">
        <v>9.43721</v>
      </c>
      <c r="JT298">
        <v>100.415</v>
      </c>
      <c r="JU298">
        <v>100.345</v>
      </c>
    </row>
    <row r="299" spans="1:281">
      <c r="A299">
        <v>283</v>
      </c>
      <c r="B299">
        <v>1651866330</v>
      </c>
      <c r="C299">
        <v>2109.400000095367</v>
      </c>
      <c r="D299" t="s">
        <v>989</v>
      </c>
      <c r="E299" t="s">
        <v>990</v>
      </c>
      <c r="F299">
        <v>2</v>
      </c>
      <c r="G299" t="s">
        <v>908</v>
      </c>
      <c r="H299" t="s">
        <v>414</v>
      </c>
      <c r="I299">
        <v>1651866329</v>
      </c>
      <c r="J299">
        <f>(K299)/1000</f>
        <v>0</v>
      </c>
      <c r="K299">
        <f>IF(CZ299, AN299, AH299)</f>
        <v>0</v>
      </c>
      <c r="L299">
        <f>IF(CZ299, AI299, AG299)</f>
        <v>0</v>
      </c>
      <c r="M299">
        <f>DB299 - IF(AU299&gt;1, L299*CV299*100.0/(AW299*DP299), 0)</f>
        <v>0</v>
      </c>
      <c r="N299">
        <f>((T299-J299/2)*M299-L299)/(T299+J299/2)</f>
        <v>0</v>
      </c>
      <c r="O299">
        <f>N299*(DI299+DJ299)/1000.0</f>
        <v>0</v>
      </c>
      <c r="P299">
        <f>(DB299 - IF(AU299&gt;1, L299*CV299*100.0/(AW299*DP299), 0))*(DI299+DJ299)/1000.0</f>
        <v>0</v>
      </c>
      <c r="Q299">
        <f>2.0/((1/S299-1/R299)+SIGN(S299)*SQRT((1/S299-1/R299)*(1/S299-1/R299) + 4*CW299/((CW299+1)*(CW299+1))*(2*1/S299*1/R299-1/R299*1/R299)))</f>
        <v>0</v>
      </c>
      <c r="R299">
        <f>IF(LEFT(CX299,1)&lt;&gt;"0",IF(LEFT(CX299,1)="1",3.0,CY299),$D$5+$E$5*(DP299*DI299/($K$5*1000))+$F$5*(DP299*DI299/($K$5*1000))*MAX(MIN(CV299,$J$5),$I$5)*MAX(MIN(CV299,$J$5),$I$5)+$G$5*MAX(MIN(CV299,$J$5),$I$5)*(DP299*DI299/($K$5*1000))+$H$5*(DP299*DI299/($K$5*1000))*(DP299*DI299/($K$5*1000)))</f>
        <v>0</v>
      </c>
      <c r="S299">
        <f>J299*(1000-(1000*0.61365*exp(17.502*W299/(240.97+W299))/(DI299+DJ299)+DD299)/2)/(1000*0.61365*exp(17.502*W299/(240.97+W299))/(DI299+DJ299)-DD299)</f>
        <v>0</v>
      </c>
      <c r="T299">
        <f>1/((CW299+1)/(Q299/1.6)+1/(R299/1.37)) + CW299/((CW299+1)/(Q299/1.6) + CW299/(R299/1.37))</f>
        <v>0</v>
      </c>
      <c r="U299">
        <f>(CR299*CU299)</f>
        <v>0</v>
      </c>
      <c r="V299">
        <f>(DK299+(U299+2*0.95*5.67E-8*(((DK299+$B$7)+273)^4-(DK299+273)^4)-44100*J299)/(1.84*29.3*R299+8*0.95*5.67E-8*(DK299+273)^3))</f>
        <v>0</v>
      </c>
      <c r="W299">
        <f>($C$7*DL299+$D$7*DM299+$E$7*V299)</f>
        <v>0</v>
      </c>
      <c r="X299">
        <f>0.61365*exp(17.502*W299/(240.97+W299))</f>
        <v>0</v>
      </c>
      <c r="Y299">
        <f>(Z299/AA299*100)</f>
        <v>0</v>
      </c>
      <c r="Z299">
        <f>DD299*(DI299+DJ299)/1000</f>
        <v>0</v>
      </c>
      <c r="AA299">
        <f>0.61365*exp(17.502*DK299/(240.97+DK299))</f>
        <v>0</v>
      </c>
      <c r="AB299">
        <f>(X299-DD299*(DI299+DJ299)/1000)</f>
        <v>0</v>
      </c>
      <c r="AC299">
        <f>(-J299*44100)</f>
        <v>0</v>
      </c>
      <c r="AD299">
        <f>2*29.3*R299*0.92*(DK299-W299)</f>
        <v>0</v>
      </c>
      <c r="AE299">
        <f>2*0.95*5.67E-8*(((DK299+$B$7)+273)^4-(W299+273)^4)</f>
        <v>0</v>
      </c>
      <c r="AF299">
        <f>U299+AE299+AC299+AD299</f>
        <v>0</v>
      </c>
      <c r="AG299">
        <f>DH299*AU299*(DC299-DB299*(1000-AU299*DE299)/(1000-AU299*DD299))/(100*CV299)</f>
        <v>0</v>
      </c>
      <c r="AH299">
        <f>1000*DH299*AU299*(DD299-DE299)/(100*CV299*(1000-AU299*DD299))</f>
        <v>0</v>
      </c>
      <c r="AI299">
        <f>(AJ299 - AK299 - DI299*1E3/(8.314*(DK299+273.15)) * AM299/DH299 * AL299) * DH299/(100*CV299) * (1000 - DE299)/1000</f>
        <v>0</v>
      </c>
      <c r="AJ299">
        <v>241.6399123111957</v>
      </c>
      <c r="AK299">
        <v>213.8320363636363</v>
      </c>
      <c r="AL299">
        <v>3.128687830996494</v>
      </c>
      <c r="AM299">
        <v>66.38195617057868</v>
      </c>
      <c r="AN299">
        <f>(AP299 - AO299 + DI299*1E3/(8.314*(DK299+273.15)) * AR299/DH299 * AQ299) * DH299/(100*CV299) * 1000/(1000 - AP299)</f>
        <v>0</v>
      </c>
      <c r="AO299">
        <v>9.407612737283426</v>
      </c>
      <c r="AP299">
        <v>18.60568735294117</v>
      </c>
      <c r="AQ299">
        <v>3.658611163007127E-05</v>
      </c>
      <c r="AR299">
        <v>80.47178418790507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MAX(0,($B$13+$C$13*DP299)/(1+$D$13*DP299)*DI299/(DK299+273)*$E$13)</f>
        <v>0</v>
      </c>
      <c r="AX299" t="s">
        <v>417</v>
      </c>
      <c r="AY299" t="s">
        <v>417</v>
      </c>
      <c r="AZ299">
        <v>0</v>
      </c>
      <c r="BA299">
        <v>0</v>
      </c>
      <c r="BB299">
        <f>1-AZ299/BA299</f>
        <v>0</v>
      </c>
      <c r="BC299">
        <v>0</v>
      </c>
      <c r="BD299" t="s">
        <v>417</v>
      </c>
      <c r="BE299" t="s">
        <v>417</v>
      </c>
      <c r="BF299">
        <v>0</v>
      </c>
      <c r="BG299">
        <v>0</v>
      </c>
      <c r="BH299">
        <f>1-BF299/BG299</f>
        <v>0</v>
      </c>
      <c r="BI299">
        <v>0.5</v>
      </c>
      <c r="BJ299">
        <f>CS299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417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BZ299">
        <v>1249</v>
      </c>
      <c r="CA299">
        <v>300</v>
      </c>
      <c r="CB299">
        <v>300</v>
      </c>
      <c r="CC299">
        <v>300</v>
      </c>
      <c r="CD299">
        <v>10442.4</v>
      </c>
      <c r="CE299">
        <v>1239.69</v>
      </c>
      <c r="CF299">
        <v>-0.00735276</v>
      </c>
      <c r="CG299">
        <v>0.07000000000000001</v>
      </c>
      <c r="CH299" t="s">
        <v>417</v>
      </c>
      <c r="CI299" t="s">
        <v>417</v>
      </c>
      <c r="CJ299" t="s">
        <v>417</v>
      </c>
      <c r="CK299" t="s">
        <v>417</v>
      </c>
      <c r="CL299" t="s">
        <v>417</v>
      </c>
      <c r="CM299" t="s">
        <v>417</v>
      </c>
      <c r="CN299" t="s">
        <v>417</v>
      </c>
      <c r="CO299" t="s">
        <v>417</v>
      </c>
      <c r="CP299" t="s">
        <v>417</v>
      </c>
      <c r="CQ299" t="s">
        <v>417</v>
      </c>
      <c r="CR299">
        <f>$B$11*DQ299+$C$11*DR299+$F$11*EC299*(1-EF299)</f>
        <v>0</v>
      </c>
      <c r="CS299">
        <f>CR299*CT299</f>
        <v>0</v>
      </c>
      <c r="CT299">
        <f>($B$11*$D$9+$C$11*$D$9+$F$11*((EP299+EH299)/MAX(EP299+EH299+EQ299, 0.1)*$I$9+EQ299/MAX(EP299+EH299+EQ299, 0.1)*$J$9))/($B$11+$C$11+$F$11)</f>
        <v>0</v>
      </c>
      <c r="CU299">
        <f>($B$11*$K$9+$C$11*$K$9+$F$11*((EP299+EH299)/MAX(EP299+EH299+EQ299, 0.1)*$P$9+EQ299/MAX(EP299+EH299+EQ299, 0.1)*$Q$9))/($B$11+$C$11+$F$11)</f>
        <v>0</v>
      </c>
      <c r="CV299">
        <v>6</v>
      </c>
      <c r="CW299">
        <v>0.5</v>
      </c>
      <c r="CX299" t="s">
        <v>418</v>
      </c>
      <c r="CY299">
        <v>2</v>
      </c>
      <c r="CZ299" t="b">
        <v>1</v>
      </c>
      <c r="DA299">
        <v>1651866329</v>
      </c>
      <c r="DB299">
        <v>208.3253333333333</v>
      </c>
      <c r="DC299">
        <v>245.305</v>
      </c>
      <c r="DD299">
        <v>18.60296666666667</v>
      </c>
      <c r="DE299">
        <v>9.405866666666666</v>
      </c>
      <c r="DF299">
        <v>208.8963333333333</v>
      </c>
      <c r="DG299">
        <v>18.57876666666667</v>
      </c>
      <c r="DH299">
        <v>500.037</v>
      </c>
      <c r="DI299">
        <v>89.92189999999999</v>
      </c>
      <c r="DJ299">
        <v>0.1002203333333333</v>
      </c>
      <c r="DK299">
        <v>25.8783</v>
      </c>
      <c r="DL299">
        <v>24.99996666666667</v>
      </c>
      <c r="DM299">
        <v>999.9</v>
      </c>
      <c r="DN299">
        <v>0</v>
      </c>
      <c r="DO299">
        <v>0</v>
      </c>
      <c r="DP299">
        <v>9976.666666666666</v>
      </c>
      <c r="DQ299">
        <v>0</v>
      </c>
      <c r="DR299">
        <v>3.205236666666667</v>
      </c>
      <c r="DS299">
        <v>-36.97976666666667</v>
      </c>
      <c r="DT299">
        <v>212.274</v>
      </c>
      <c r="DU299">
        <v>247.634</v>
      </c>
      <c r="DV299">
        <v>9.197090000000001</v>
      </c>
      <c r="DW299">
        <v>245.305</v>
      </c>
      <c r="DX299">
        <v>9.405866666666666</v>
      </c>
      <c r="DY299">
        <v>1.67281</v>
      </c>
      <c r="DZ299">
        <v>0.845793</v>
      </c>
      <c r="EA299">
        <v>14.6464</v>
      </c>
      <c r="EB299">
        <v>4.500006666666667</v>
      </c>
      <c r="EC299">
        <v>1499.93</v>
      </c>
      <c r="ED299">
        <v>0.973004</v>
      </c>
      <c r="EE299">
        <v>0.0269962</v>
      </c>
      <c r="EF299">
        <v>0</v>
      </c>
      <c r="EG299">
        <v>841.5696666666666</v>
      </c>
      <c r="EH299">
        <v>5.00097</v>
      </c>
      <c r="EI299">
        <v>12571.46666666667</v>
      </c>
      <c r="EJ299">
        <v>12491.03333333333</v>
      </c>
      <c r="EK299">
        <v>39</v>
      </c>
      <c r="EL299">
        <v>41.125</v>
      </c>
      <c r="EM299">
        <v>39.27066666666666</v>
      </c>
      <c r="EN299">
        <v>41.583</v>
      </c>
      <c r="EO299">
        <v>40.25</v>
      </c>
      <c r="EP299">
        <v>1454.57</v>
      </c>
      <c r="EQ299">
        <v>40.36</v>
      </c>
      <c r="ER299">
        <v>0</v>
      </c>
      <c r="ES299">
        <v>847.4000000953674</v>
      </c>
      <c r="ET299">
        <v>0</v>
      </c>
      <c r="EU299">
        <v>843.35716</v>
      </c>
      <c r="EV299">
        <v>-16.52692306405514</v>
      </c>
      <c r="EW299">
        <v>-177.4230768588597</v>
      </c>
      <c r="EX299">
        <v>12588.084</v>
      </c>
      <c r="EY299">
        <v>15</v>
      </c>
      <c r="EZ299">
        <v>1651865518.1</v>
      </c>
      <c r="FA299" t="s">
        <v>910</v>
      </c>
      <c r="FB299">
        <v>1651865507.1</v>
      </c>
      <c r="FC299">
        <v>1651865518.1</v>
      </c>
      <c r="FD299">
        <v>8</v>
      </c>
      <c r="FE299">
        <v>0.06</v>
      </c>
      <c r="FF299">
        <v>0</v>
      </c>
      <c r="FG299">
        <v>-0.927</v>
      </c>
      <c r="FH299">
        <v>-0.062</v>
      </c>
      <c r="FI299">
        <v>400</v>
      </c>
      <c r="FJ299">
        <v>11</v>
      </c>
      <c r="FK299">
        <v>0.11</v>
      </c>
      <c r="FL299">
        <v>0.01</v>
      </c>
      <c r="FM299">
        <v>-34.08534878048781</v>
      </c>
      <c r="FN299">
        <v>-18.83948153310108</v>
      </c>
      <c r="FO299">
        <v>1.858456966977785</v>
      </c>
      <c r="FP299">
        <v>-1</v>
      </c>
      <c r="FQ299">
        <v>9.170444634146341</v>
      </c>
      <c r="FR299">
        <v>0.1532239024390545</v>
      </c>
      <c r="FS299">
        <v>0.01520211090887255</v>
      </c>
      <c r="FT299">
        <v>-1</v>
      </c>
      <c r="FU299">
        <v>0</v>
      </c>
      <c r="FV299">
        <v>0</v>
      </c>
      <c r="FW299">
        <v>0</v>
      </c>
      <c r="FX299">
        <v>-1</v>
      </c>
      <c r="FY299">
        <v>0</v>
      </c>
      <c r="FZ299">
        <v>0</v>
      </c>
      <c r="GA299" t="s">
        <v>420</v>
      </c>
      <c r="GB299">
        <v>2.98142</v>
      </c>
      <c r="GC299">
        <v>2.70609</v>
      </c>
      <c r="GD299">
        <v>0.0533173</v>
      </c>
      <c r="GE299">
        <v>0.0606498</v>
      </c>
      <c r="GF299">
        <v>0.0886545</v>
      </c>
      <c r="GG299">
        <v>0.0528825</v>
      </c>
      <c r="GH299">
        <v>29914.2</v>
      </c>
      <c r="GI299">
        <v>29746.2</v>
      </c>
      <c r="GJ299">
        <v>29376.8</v>
      </c>
      <c r="GK299">
        <v>29291.2</v>
      </c>
      <c r="GL299">
        <v>35447</v>
      </c>
      <c r="GM299">
        <v>36954.6</v>
      </c>
      <c r="GN299">
        <v>41348</v>
      </c>
      <c r="GO299">
        <v>41810.2</v>
      </c>
      <c r="GP299">
        <v>1.96685</v>
      </c>
      <c r="GQ299">
        <v>1.85257</v>
      </c>
      <c r="GR299">
        <v>-0.00562519</v>
      </c>
      <c r="GS299">
        <v>0</v>
      </c>
      <c r="GT299">
        <v>25.0953</v>
      </c>
      <c r="GU299">
        <v>999.9</v>
      </c>
      <c r="GV299">
        <v>29.8</v>
      </c>
      <c r="GW299">
        <v>34.2</v>
      </c>
      <c r="GX299">
        <v>17.9036</v>
      </c>
      <c r="GY299">
        <v>62.5076</v>
      </c>
      <c r="GZ299">
        <v>35.4928</v>
      </c>
      <c r="HA299">
        <v>1</v>
      </c>
      <c r="HB299">
        <v>0.0464482</v>
      </c>
      <c r="HC299">
        <v>1.49041</v>
      </c>
      <c r="HD299">
        <v>20.3296</v>
      </c>
      <c r="HE299">
        <v>5.21639</v>
      </c>
      <c r="HF299">
        <v>12.0099</v>
      </c>
      <c r="HG299">
        <v>4.98885</v>
      </c>
      <c r="HH299">
        <v>3.28865</v>
      </c>
      <c r="HI299">
        <v>1030.9</v>
      </c>
      <c r="HJ299">
        <v>9731.700000000001</v>
      </c>
      <c r="HK299">
        <v>5139.4</v>
      </c>
      <c r="HL299">
        <v>25.3</v>
      </c>
      <c r="HM299">
        <v>1.86747</v>
      </c>
      <c r="HN299">
        <v>1.86645</v>
      </c>
      <c r="HO299">
        <v>1.866</v>
      </c>
      <c r="HP299">
        <v>1.86584</v>
      </c>
      <c r="HQ299">
        <v>1.86769</v>
      </c>
      <c r="HR299">
        <v>1.87022</v>
      </c>
      <c r="HS299">
        <v>1.8689</v>
      </c>
      <c r="HT299">
        <v>1.87026</v>
      </c>
      <c r="HU299">
        <v>0</v>
      </c>
      <c r="HV299">
        <v>0</v>
      </c>
      <c r="HW299">
        <v>0</v>
      </c>
      <c r="HX299">
        <v>0</v>
      </c>
      <c r="HY299" t="s">
        <v>421</v>
      </c>
      <c r="HZ299" t="s">
        <v>422</v>
      </c>
      <c r="IA299" t="s">
        <v>423</v>
      </c>
      <c r="IB299" t="s">
        <v>423</v>
      </c>
      <c r="IC299" t="s">
        <v>423</v>
      </c>
      <c r="ID299" t="s">
        <v>423</v>
      </c>
      <c r="IE299">
        <v>0</v>
      </c>
      <c r="IF299">
        <v>100</v>
      </c>
      <c r="IG299">
        <v>100</v>
      </c>
      <c r="IH299">
        <v>-0.578</v>
      </c>
      <c r="II299">
        <v>0.0242</v>
      </c>
      <c r="IJ299">
        <v>-0.1559367209035702</v>
      </c>
      <c r="IK299">
        <v>-0.002077099775823331</v>
      </c>
      <c r="IL299">
        <v>4.593143279902166E-07</v>
      </c>
      <c r="IM299">
        <v>-1.865383991892071E-10</v>
      </c>
      <c r="IN299">
        <v>-0.0607165066849496</v>
      </c>
      <c r="IO299">
        <v>-0.01129461987421345</v>
      </c>
      <c r="IP299">
        <v>0.00116580895745559</v>
      </c>
      <c r="IQ299">
        <v>-1.679085872906199E-05</v>
      </c>
      <c r="IR299">
        <v>2</v>
      </c>
      <c r="IS299">
        <v>2290</v>
      </c>
      <c r="IT299">
        <v>0</v>
      </c>
      <c r="IU299">
        <v>32</v>
      </c>
      <c r="IV299">
        <v>13.7</v>
      </c>
      <c r="IW299">
        <v>13.5</v>
      </c>
      <c r="IX299">
        <v>0.720215</v>
      </c>
      <c r="IY299">
        <v>2.23145</v>
      </c>
      <c r="IZ299">
        <v>1.39648</v>
      </c>
      <c r="JA299">
        <v>2.35596</v>
      </c>
      <c r="JB299">
        <v>1.49536</v>
      </c>
      <c r="JC299">
        <v>2.35107</v>
      </c>
      <c r="JD299">
        <v>38.0134</v>
      </c>
      <c r="JE299">
        <v>24.0437</v>
      </c>
      <c r="JF299">
        <v>18</v>
      </c>
      <c r="JG299">
        <v>512.702</v>
      </c>
      <c r="JH299">
        <v>425.47</v>
      </c>
      <c r="JI299">
        <v>23.1518</v>
      </c>
      <c r="JJ299">
        <v>27.9275</v>
      </c>
      <c r="JK299">
        <v>30</v>
      </c>
      <c r="JL299">
        <v>27.9552</v>
      </c>
      <c r="JM299">
        <v>27.9027</v>
      </c>
      <c r="JN299">
        <v>14.4901</v>
      </c>
      <c r="JO299">
        <v>44.9415</v>
      </c>
      <c r="JP299">
        <v>0</v>
      </c>
      <c r="JQ299">
        <v>23.1519</v>
      </c>
      <c r="JR299">
        <v>271.629</v>
      </c>
      <c r="JS299">
        <v>9.43596</v>
      </c>
      <c r="JT299">
        <v>100.414</v>
      </c>
      <c r="JU299">
        <v>100.345</v>
      </c>
    </row>
    <row r="300" spans="1:281">
      <c r="A300">
        <v>284</v>
      </c>
      <c r="B300">
        <v>1651866332</v>
      </c>
      <c r="C300">
        <v>2111.400000095367</v>
      </c>
      <c r="D300" t="s">
        <v>991</v>
      </c>
      <c r="E300" t="s">
        <v>992</v>
      </c>
      <c r="F300">
        <v>2</v>
      </c>
      <c r="G300" t="s">
        <v>908</v>
      </c>
      <c r="H300" t="s">
        <v>414</v>
      </c>
      <c r="I300">
        <v>1651866330.625</v>
      </c>
      <c r="J300">
        <f>(K300)/1000</f>
        <v>0</v>
      </c>
      <c r="K300">
        <f>IF(CZ300, AN300, AH300)</f>
        <v>0</v>
      </c>
      <c r="L300">
        <f>IF(CZ300, AI300, AG300)</f>
        <v>0</v>
      </c>
      <c r="M300">
        <f>DB300 - IF(AU300&gt;1, L300*CV300*100.0/(AW300*DP300), 0)</f>
        <v>0</v>
      </c>
      <c r="N300">
        <f>((T300-J300/2)*M300-L300)/(T300+J300/2)</f>
        <v>0</v>
      </c>
      <c r="O300">
        <f>N300*(DI300+DJ300)/1000.0</f>
        <v>0</v>
      </c>
      <c r="P300">
        <f>(DB300 - IF(AU300&gt;1, L300*CV300*100.0/(AW300*DP300), 0))*(DI300+DJ300)/1000.0</f>
        <v>0</v>
      </c>
      <c r="Q300">
        <f>2.0/((1/S300-1/R300)+SIGN(S300)*SQRT((1/S300-1/R300)*(1/S300-1/R300) + 4*CW300/((CW300+1)*(CW300+1))*(2*1/S300*1/R300-1/R300*1/R300)))</f>
        <v>0</v>
      </c>
      <c r="R300">
        <f>IF(LEFT(CX300,1)&lt;&gt;"0",IF(LEFT(CX300,1)="1",3.0,CY300),$D$5+$E$5*(DP300*DI300/($K$5*1000))+$F$5*(DP300*DI300/($K$5*1000))*MAX(MIN(CV300,$J$5),$I$5)*MAX(MIN(CV300,$J$5),$I$5)+$G$5*MAX(MIN(CV300,$J$5),$I$5)*(DP300*DI300/($K$5*1000))+$H$5*(DP300*DI300/($K$5*1000))*(DP300*DI300/($K$5*1000)))</f>
        <v>0</v>
      </c>
      <c r="S300">
        <f>J300*(1000-(1000*0.61365*exp(17.502*W300/(240.97+W300))/(DI300+DJ300)+DD300)/2)/(1000*0.61365*exp(17.502*W300/(240.97+W300))/(DI300+DJ300)-DD300)</f>
        <v>0</v>
      </c>
      <c r="T300">
        <f>1/((CW300+1)/(Q300/1.6)+1/(R300/1.37)) + CW300/((CW300+1)/(Q300/1.6) + CW300/(R300/1.37))</f>
        <v>0</v>
      </c>
      <c r="U300">
        <f>(CR300*CU300)</f>
        <v>0</v>
      </c>
      <c r="V300">
        <f>(DK300+(U300+2*0.95*5.67E-8*(((DK300+$B$7)+273)^4-(DK300+273)^4)-44100*J300)/(1.84*29.3*R300+8*0.95*5.67E-8*(DK300+273)^3))</f>
        <v>0</v>
      </c>
      <c r="W300">
        <f>($C$7*DL300+$D$7*DM300+$E$7*V300)</f>
        <v>0</v>
      </c>
      <c r="X300">
        <f>0.61365*exp(17.502*W300/(240.97+W300))</f>
        <v>0</v>
      </c>
      <c r="Y300">
        <f>(Z300/AA300*100)</f>
        <v>0</v>
      </c>
      <c r="Z300">
        <f>DD300*(DI300+DJ300)/1000</f>
        <v>0</v>
      </c>
      <c r="AA300">
        <f>0.61365*exp(17.502*DK300/(240.97+DK300))</f>
        <v>0</v>
      </c>
      <c r="AB300">
        <f>(X300-DD300*(DI300+DJ300)/1000)</f>
        <v>0</v>
      </c>
      <c r="AC300">
        <f>(-J300*44100)</f>
        <v>0</v>
      </c>
      <c r="AD300">
        <f>2*29.3*R300*0.92*(DK300-W300)</f>
        <v>0</v>
      </c>
      <c r="AE300">
        <f>2*0.95*5.67E-8*(((DK300+$B$7)+273)^4-(W300+273)^4)</f>
        <v>0</v>
      </c>
      <c r="AF300">
        <f>U300+AE300+AC300+AD300</f>
        <v>0</v>
      </c>
      <c r="AG300">
        <f>DH300*AU300*(DC300-DB300*(1000-AU300*DE300)/(1000-AU300*DD300))/(100*CV300)</f>
        <v>0</v>
      </c>
      <c r="AH300">
        <f>1000*DH300*AU300*(DD300-DE300)/(100*CV300*(1000-AU300*DD300))</f>
        <v>0</v>
      </c>
      <c r="AI300">
        <f>(AJ300 - AK300 - DI300*1E3/(8.314*(DK300+273.15)) * AM300/DH300 * AL300) * DH300/(100*CV300) * (1000 - DE300)/1000</f>
        <v>0</v>
      </c>
      <c r="AJ300">
        <v>248.4119716589309</v>
      </c>
      <c r="AK300">
        <v>220.0490242424242</v>
      </c>
      <c r="AL300">
        <v>3.112058591215606</v>
      </c>
      <c r="AM300">
        <v>66.38195617057868</v>
      </c>
      <c r="AN300">
        <f>(AP300 - AO300 + DI300*1E3/(8.314*(DK300+273.15)) * AR300/DH300 * AQ300) * DH300/(100*CV300) * 1000/(1000 - AP300)</f>
        <v>0</v>
      </c>
      <c r="AO300">
        <v>9.40669522331615</v>
      </c>
      <c r="AP300">
        <v>18.60992588235293</v>
      </c>
      <c r="AQ300">
        <v>0.0001956437059764412</v>
      </c>
      <c r="AR300">
        <v>80.47178418790507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MAX(0,($B$13+$C$13*DP300)/(1+$D$13*DP300)*DI300/(DK300+273)*$E$13)</f>
        <v>0</v>
      </c>
      <c r="AX300" t="s">
        <v>417</v>
      </c>
      <c r="AY300" t="s">
        <v>417</v>
      </c>
      <c r="AZ300">
        <v>0</v>
      </c>
      <c r="BA300">
        <v>0</v>
      </c>
      <c r="BB300">
        <f>1-AZ300/BA300</f>
        <v>0</v>
      </c>
      <c r="BC300">
        <v>0</v>
      </c>
      <c r="BD300" t="s">
        <v>417</v>
      </c>
      <c r="BE300" t="s">
        <v>417</v>
      </c>
      <c r="BF300">
        <v>0</v>
      </c>
      <c r="BG300">
        <v>0</v>
      </c>
      <c r="BH300">
        <f>1-BF300/BG300</f>
        <v>0</v>
      </c>
      <c r="BI300">
        <v>0.5</v>
      </c>
      <c r="BJ300">
        <f>CS300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417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BZ300">
        <v>1249</v>
      </c>
      <c r="CA300">
        <v>300</v>
      </c>
      <c r="CB300">
        <v>300</v>
      </c>
      <c r="CC300">
        <v>300</v>
      </c>
      <c r="CD300">
        <v>10442.4</v>
      </c>
      <c r="CE300">
        <v>1239.69</v>
      </c>
      <c r="CF300">
        <v>-0.00735276</v>
      </c>
      <c r="CG300">
        <v>0.07000000000000001</v>
      </c>
      <c r="CH300" t="s">
        <v>417</v>
      </c>
      <c r="CI300" t="s">
        <v>417</v>
      </c>
      <c r="CJ300" t="s">
        <v>417</v>
      </c>
      <c r="CK300" t="s">
        <v>417</v>
      </c>
      <c r="CL300" t="s">
        <v>417</v>
      </c>
      <c r="CM300" t="s">
        <v>417</v>
      </c>
      <c r="CN300" t="s">
        <v>417</v>
      </c>
      <c r="CO300" t="s">
        <v>417</v>
      </c>
      <c r="CP300" t="s">
        <v>417</v>
      </c>
      <c r="CQ300" t="s">
        <v>417</v>
      </c>
      <c r="CR300">
        <f>$B$11*DQ300+$C$11*DR300+$F$11*EC300*(1-EF300)</f>
        <v>0</v>
      </c>
      <c r="CS300">
        <f>CR300*CT300</f>
        <v>0</v>
      </c>
      <c r="CT300">
        <f>($B$11*$D$9+$C$11*$D$9+$F$11*((EP300+EH300)/MAX(EP300+EH300+EQ300, 0.1)*$I$9+EQ300/MAX(EP300+EH300+EQ300, 0.1)*$J$9))/($B$11+$C$11+$F$11)</f>
        <v>0</v>
      </c>
      <c r="CU300">
        <f>($B$11*$K$9+$C$11*$K$9+$F$11*((EP300+EH300)/MAX(EP300+EH300+EQ300, 0.1)*$P$9+EQ300/MAX(EP300+EH300+EQ300, 0.1)*$Q$9))/($B$11+$C$11+$F$11)</f>
        <v>0</v>
      </c>
      <c r="CV300">
        <v>6</v>
      </c>
      <c r="CW300">
        <v>0.5</v>
      </c>
      <c r="CX300" t="s">
        <v>418</v>
      </c>
      <c r="CY300">
        <v>2</v>
      </c>
      <c r="CZ300" t="b">
        <v>1</v>
      </c>
      <c r="DA300">
        <v>1651866330.625</v>
      </c>
      <c r="DB300">
        <v>213.28625</v>
      </c>
      <c r="DC300">
        <v>250.751</v>
      </c>
      <c r="DD300">
        <v>18.607275</v>
      </c>
      <c r="DE300">
        <v>9.405840000000001</v>
      </c>
      <c r="DF300">
        <v>213.867</v>
      </c>
      <c r="DG300">
        <v>18.583075</v>
      </c>
      <c r="DH300">
        <v>500.042</v>
      </c>
      <c r="DI300">
        <v>89.92157499999999</v>
      </c>
      <c r="DJ300">
        <v>0.100034425</v>
      </c>
      <c r="DK300">
        <v>25.8791</v>
      </c>
      <c r="DL300">
        <v>25.0034</v>
      </c>
      <c r="DM300">
        <v>999.9</v>
      </c>
      <c r="DN300">
        <v>0</v>
      </c>
      <c r="DO300">
        <v>0</v>
      </c>
      <c r="DP300">
        <v>9988.580000000002</v>
      </c>
      <c r="DQ300">
        <v>0</v>
      </c>
      <c r="DR300">
        <v>3.2154225</v>
      </c>
      <c r="DS300">
        <v>-37.464725</v>
      </c>
      <c r="DT300">
        <v>217.33025</v>
      </c>
      <c r="DU300">
        <v>253.13175</v>
      </c>
      <c r="DV300">
        <v>9.201450000000001</v>
      </c>
      <c r="DW300">
        <v>250.751</v>
      </c>
      <c r="DX300">
        <v>9.405840000000001</v>
      </c>
      <c r="DY300">
        <v>1.673195</v>
      </c>
      <c r="DZ300">
        <v>0.845788</v>
      </c>
      <c r="EA300">
        <v>14.649975</v>
      </c>
      <c r="EB300">
        <v>4.4999175</v>
      </c>
      <c r="EC300">
        <v>1499.9775</v>
      </c>
      <c r="ED300">
        <v>0.9730052499999999</v>
      </c>
      <c r="EE300">
        <v>0.02699485</v>
      </c>
      <c r="EF300">
        <v>0</v>
      </c>
      <c r="EG300">
        <v>841.5927499999999</v>
      </c>
      <c r="EH300">
        <v>5.00097</v>
      </c>
      <c r="EI300">
        <v>12569.575</v>
      </c>
      <c r="EJ300">
        <v>12491.4</v>
      </c>
      <c r="EK300">
        <v>39.04649999999999</v>
      </c>
      <c r="EL300">
        <v>41.1405</v>
      </c>
      <c r="EM300">
        <v>39.312</v>
      </c>
      <c r="EN300">
        <v>41.625</v>
      </c>
      <c r="EO300">
        <v>40.25</v>
      </c>
      <c r="EP300">
        <v>1454.6175</v>
      </c>
      <c r="EQ300">
        <v>40.36</v>
      </c>
      <c r="ER300">
        <v>0</v>
      </c>
      <c r="ES300">
        <v>849.7999999523163</v>
      </c>
      <c r="ET300">
        <v>0</v>
      </c>
      <c r="EU300">
        <v>842.7453600000001</v>
      </c>
      <c r="EV300">
        <v>-12.86538462109838</v>
      </c>
      <c r="EW300">
        <v>-147.9384617473532</v>
      </c>
      <c r="EX300">
        <v>12581.648</v>
      </c>
      <c r="EY300">
        <v>15</v>
      </c>
      <c r="EZ300">
        <v>1651865518.1</v>
      </c>
      <c r="FA300" t="s">
        <v>910</v>
      </c>
      <c r="FB300">
        <v>1651865507.1</v>
      </c>
      <c r="FC300">
        <v>1651865518.1</v>
      </c>
      <c r="FD300">
        <v>8</v>
      </c>
      <c r="FE300">
        <v>0.06</v>
      </c>
      <c r="FF300">
        <v>0</v>
      </c>
      <c r="FG300">
        <v>-0.927</v>
      </c>
      <c r="FH300">
        <v>-0.062</v>
      </c>
      <c r="FI300">
        <v>400</v>
      </c>
      <c r="FJ300">
        <v>11</v>
      </c>
      <c r="FK300">
        <v>0.11</v>
      </c>
      <c r="FL300">
        <v>0.01</v>
      </c>
      <c r="FM300">
        <v>-34.6364325</v>
      </c>
      <c r="FN300">
        <v>-18.5020649155722</v>
      </c>
      <c r="FO300">
        <v>1.780410014208455</v>
      </c>
      <c r="FP300">
        <v>-1</v>
      </c>
      <c r="FQ300">
        <v>9.17518025</v>
      </c>
      <c r="FR300">
        <v>0.1547881801125659</v>
      </c>
      <c r="FS300">
        <v>0.01498503177966271</v>
      </c>
      <c r="FT300">
        <v>-1</v>
      </c>
      <c r="FU300">
        <v>0</v>
      </c>
      <c r="FV300">
        <v>0</v>
      </c>
      <c r="FW300">
        <v>0</v>
      </c>
      <c r="FX300">
        <v>-1</v>
      </c>
      <c r="FY300">
        <v>0</v>
      </c>
      <c r="FZ300">
        <v>0</v>
      </c>
      <c r="GA300" t="s">
        <v>420</v>
      </c>
      <c r="GB300">
        <v>2.98126</v>
      </c>
      <c r="GC300">
        <v>2.70612</v>
      </c>
      <c r="GD300">
        <v>0.0546677</v>
      </c>
      <c r="GE300">
        <v>0.0620386</v>
      </c>
      <c r="GF300">
        <v>0.0886735</v>
      </c>
      <c r="GG300">
        <v>0.0528837</v>
      </c>
      <c r="GH300">
        <v>29871.3</v>
      </c>
      <c r="GI300">
        <v>29702.5</v>
      </c>
      <c r="GJ300">
        <v>29376.7</v>
      </c>
      <c r="GK300">
        <v>29291.4</v>
      </c>
      <c r="GL300">
        <v>35446</v>
      </c>
      <c r="GM300">
        <v>36954.8</v>
      </c>
      <c r="GN300">
        <v>41347.8</v>
      </c>
      <c r="GO300">
        <v>41810.5</v>
      </c>
      <c r="GP300">
        <v>1.96665</v>
      </c>
      <c r="GQ300">
        <v>1.85275</v>
      </c>
      <c r="GR300">
        <v>-0.0057742</v>
      </c>
      <c r="GS300">
        <v>0</v>
      </c>
      <c r="GT300">
        <v>25.0953</v>
      </c>
      <c r="GU300">
        <v>999.9</v>
      </c>
      <c r="GV300">
        <v>29.8</v>
      </c>
      <c r="GW300">
        <v>34.2</v>
      </c>
      <c r="GX300">
        <v>17.9056</v>
      </c>
      <c r="GY300">
        <v>62.1276</v>
      </c>
      <c r="GZ300">
        <v>35.3926</v>
      </c>
      <c r="HA300">
        <v>1</v>
      </c>
      <c r="HB300">
        <v>0.0464101</v>
      </c>
      <c r="HC300">
        <v>1.49307</v>
      </c>
      <c r="HD300">
        <v>20.3297</v>
      </c>
      <c r="HE300">
        <v>5.21624</v>
      </c>
      <c r="HF300">
        <v>12.0099</v>
      </c>
      <c r="HG300">
        <v>4.9889</v>
      </c>
      <c r="HH300">
        <v>3.28858</v>
      </c>
      <c r="HI300">
        <v>1030.9</v>
      </c>
      <c r="HJ300">
        <v>9731.700000000001</v>
      </c>
      <c r="HK300">
        <v>5139.4</v>
      </c>
      <c r="HL300">
        <v>25.3</v>
      </c>
      <c r="HM300">
        <v>1.86745</v>
      </c>
      <c r="HN300">
        <v>1.86645</v>
      </c>
      <c r="HO300">
        <v>1.866</v>
      </c>
      <c r="HP300">
        <v>1.86584</v>
      </c>
      <c r="HQ300">
        <v>1.86768</v>
      </c>
      <c r="HR300">
        <v>1.87024</v>
      </c>
      <c r="HS300">
        <v>1.86889</v>
      </c>
      <c r="HT300">
        <v>1.87023</v>
      </c>
      <c r="HU300">
        <v>0</v>
      </c>
      <c r="HV300">
        <v>0</v>
      </c>
      <c r="HW300">
        <v>0</v>
      </c>
      <c r="HX300">
        <v>0</v>
      </c>
      <c r="HY300" t="s">
        <v>421</v>
      </c>
      <c r="HZ300" t="s">
        <v>422</v>
      </c>
      <c r="IA300" t="s">
        <v>423</v>
      </c>
      <c r="IB300" t="s">
        <v>423</v>
      </c>
      <c r="IC300" t="s">
        <v>423</v>
      </c>
      <c r="ID300" t="s">
        <v>423</v>
      </c>
      <c r="IE300">
        <v>0</v>
      </c>
      <c r="IF300">
        <v>100</v>
      </c>
      <c r="IG300">
        <v>100</v>
      </c>
      <c r="IH300">
        <v>-0.588</v>
      </c>
      <c r="II300">
        <v>0.0243</v>
      </c>
      <c r="IJ300">
        <v>-0.1559367209035702</v>
      </c>
      <c r="IK300">
        <v>-0.002077099775823331</v>
      </c>
      <c r="IL300">
        <v>4.593143279902166E-07</v>
      </c>
      <c r="IM300">
        <v>-1.865383991892071E-10</v>
      </c>
      <c r="IN300">
        <v>-0.0607165066849496</v>
      </c>
      <c r="IO300">
        <v>-0.01129461987421345</v>
      </c>
      <c r="IP300">
        <v>0.00116580895745559</v>
      </c>
      <c r="IQ300">
        <v>-1.679085872906199E-05</v>
      </c>
      <c r="IR300">
        <v>2</v>
      </c>
      <c r="IS300">
        <v>2290</v>
      </c>
      <c r="IT300">
        <v>0</v>
      </c>
      <c r="IU300">
        <v>32</v>
      </c>
      <c r="IV300">
        <v>13.7</v>
      </c>
      <c r="IW300">
        <v>13.6</v>
      </c>
      <c r="IX300">
        <v>0.734863</v>
      </c>
      <c r="IY300">
        <v>2.23267</v>
      </c>
      <c r="IZ300">
        <v>1.39648</v>
      </c>
      <c r="JA300">
        <v>2.35474</v>
      </c>
      <c r="JB300">
        <v>1.49536</v>
      </c>
      <c r="JC300">
        <v>2.36084</v>
      </c>
      <c r="JD300">
        <v>38.0134</v>
      </c>
      <c r="JE300">
        <v>24.0437</v>
      </c>
      <c r="JF300">
        <v>18</v>
      </c>
      <c r="JG300">
        <v>512.571</v>
      </c>
      <c r="JH300">
        <v>425.567</v>
      </c>
      <c r="JI300">
        <v>23.1522</v>
      </c>
      <c r="JJ300">
        <v>27.9275</v>
      </c>
      <c r="JK300">
        <v>30</v>
      </c>
      <c r="JL300">
        <v>27.9552</v>
      </c>
      <c r="JM300">
        <v>27.9016</v>
      </c>
      <c r="JN300">
        <v>14.7794</v>
      </c>
      <c r="JO300">
        <v>44.9415</v>
      </c>
      <c r="JP300">
        <v>0</v>
      </c>
      <c r="JQ300">
        <v>23.1519</v>
      </c>
      <c r="JR300">
        <v>278.396</v>
      </c>
      <c r="JS300">
        <v>9.428419999999999</v>
      </c>
      <c r="JT300">
        <v>100.414</v>
      </c>
      <c r="JU300">
        <v>100.346</v>
      </c>
    </row>
    <row r="301" spans="1:281">
      <c r="A301">
        <v>285</v>
      </c>
      <c r="B301">
        <v>1651866334</v>
      </c>
      <c r="C301">
        <v>2113.400000095367</v>
      </c>
      <c r="D301" t="s">
        <v>993</v>
      </c>
      <c r="E301" t="s">
        <v>994</v>
      </c>
      <c r="F301">
        <v>2</v>
      </c>
      <c r="G301" t="s">
        <v>908</v>
      </c>
      <c r="H301" t="s">
        <v>414</v>
      </c>
      <c r="I301">
        <v>1651866333</v>
      </c>
      <c r="J301">
        <f>(K301)/1000</f>
        <v>0</v>
      </c>
      <c r="K301">
        <f>IF(CZ301, AN301, AH301)</f>
        <v>0</v>
      </c>
      <c r="L301">
        <f>IF(CZ301, AI301, AG301)</f>
        <v>0</v>
      </c>
      <c r="M301">
        <f>DB301 - IF(AU301&gt;1, L301*CV301*100.0/(AW301*DP301), 0)</f>
        <v>0</v>
      </c>
      <c r="N301">
        <f>((T301-J301/2)*M301-L301)/(T301+J301/2)</f>
        <v>0</v>
      </c>
      <c r="O301">
        <f>N301*(DI301+DJ301)/1000.0</f>
        <v>0</v>
      </c>
      <c r="P301">
        <f>(DB301 - IF(AU301&gt;1, L301*CV301*100.0/(AW301*DP301), 0))*(DI301+DJ301)/1000.0</f>
        <v>0</v>
      </c>
      <c r="Q301">
        <f>2.0/((1/S301-1/R301)+SIGN(S301)*SQRT((1/S301-1/R301)*(1/S301-1/R301) + 4*CW301/((CW301+1)*(CW301+1))*(2*1/S301*1/R301-1/R301*1/R301)))</f>
        <v>0</v>
      </c>
      <c r="R301">
        <f>IF(LEFT(CX301,1)&lt;&gt;"0",IF(LEFT(CX301,1)="1",3.0,CY301),$D$5+$E$5*(DP301*DI301/($K$5*1000))+$F$5*(DP301*DI301/($K$5*1000))*MAX(MIN(CV301,$J$5),$I$5)*MAX(MIN(CV301,$J$5),$I$5)+$G$5*MAX(MIN(CV301,$J$5),$I$5)*(DP301*DI301/($K$5*1000))+$H$5*(DP301*DI301/($K$5*1000))*(DP301*DI301/($K$5*1000)))</f>
        <v>0</v>
      </c>
      <c r="S301">
        <f>J301*(1000-(1000*0.61365*exp(17.502*W301/(240.97+W301))/(DI301+DJ301)+DD301)/2)/(1000*0.61365*exp(17.502*W301/(240.97+W301))/(DI301+DJ301)-DD301)</f>
        <v>0</v>
      </c>
      <c r="T301">
        <f>1/((CW301+1)/(Q301/1.6)+1/(R301/1.37)) + CW301/((CW301+1)/(Q301/1.6) + CW301/(R301/1.37))</f>
        <v>0</v>
      </c>
      <c r="U301">
        <f>(CR301*CU301)</f>
        <v>0</v>
      </c>
      <c r="V301">
        <f>(DK301+(U301+2*0.95*5.67E-8*(((DK301+$B$7)+273)^4-(DK301+273)^4)-44100*J301)/(1.84*29.3*R301+8*0.95*5.67E-8*(DK301+273)^3))</f>
        <v>0</v>
      </c>
      <c r="W301">
        <f>($C$7*DL301+$D$7*DM301+$E$7*V301)</f>
        <v>0</v>
      </c>
      <c r="X301">
        <f>0.61365*exp(17.502*W301/(240.97+W301))</f>
        <v>0</v>
      </c>
      <c r="Y301">
        <f>(Z301/AA301*100)</f>
        <v>0</v>
      </c>
      <c r="Z301">
        <f>DD301*(DI301+DJ301)/1000</f>
        <v>0</v>
      </c>
      <c r="AA301">
        <f>0.61365*exp(17.502*DK301/(240.97+DK301))</f>
        <v>0</v>
      </c>
      <c r="AB301">
        <f>(X301-DD301*(DI301+DJ301)/1000)</f>
        <v>0</v>
      </c>
      <c r="AC301">
        <f>(-J301*44100)</f>
        <v>0</v>
      </c>
      <c r="AD301">
        <f>2*29.3*R301*0.92*(DK301-W301)</f>
        <v>0</v>
      </c>
      <c r="AE301">
        <f>2*0.95*5.67E-8*(((DK301+$B$7)+273)^4-(W301+273)^4)</f>
        <v>0</v>
      </c>
      <c r="AF301">
        <f>U301+AE301+AC301+AD301</f>
        <v>0</v>
      </c>
      <c r="AG301">
        <f>DH301*AU301*(DC301-DB301*(1000-AU301*DE301)/(1000-AU301*DD301))/(100*CV301)</f>
        <v>0</v>
      </c>
      <c r="AH301">
        <f>1000*DH301*AU301*(DD301-DE301)/(100*CV301*(1000-AU301*DD301))</f>
        <v>0</v>
      </c>
      <c r="AI301">
        <f>(AJ301 - AK301 - DI301*1E3/(8.314*(DK301+273.15)) * AM301/DH301 * AL301) * DH301/(100*CV301) * (1000 - DE301)/1000</f>
        <v>0</v>
      </c>
      <c r="AJ301">
        <v>255.1763541208617</v>
      </c>
      <c r="AK301">
        <v>226.2716424242424</v>
      </c>
      <c r="AL301">
        <v>3.110006316902462</v>
      </c>
      <c r="AM301">
        <v>66.38195617057868</v>
      </c>
      <c r="AN301">
        <f>(AP301 - AO301 + DI301*1E3/(8.314*(DK301+273.15)) * AR301/DH301 * AQ301) * DH301/(100*CV301) * 1000/(1000 - AP301)</f>
        <v>0</v>
      </c>
      <c r="AO301">
        <v>9.405915418250084</v>
      </c>
      <c r="AP301">
        <v>18.61464882352941</v>
      </c>
      <c r="AQ301">
        <v>0.0001888956908583803</v>
      </c>
      <c r="AR301">
        <v>80.47178418790507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MAX(0,($B$13+$C$13*DP301)/(1+$D$13*DP301)*DI301/(DK301+273)*$E$13)</f>
        <v>0</v>
      </c>
      <c r="AX301" t="s">
        <v>417</v>
      </c>
      <c r="AY301" t="s">
        <v>417</v>
      </c>
      <c r="AZ301">
        <v>0</v>
      </c>
      <c r="BA301">
        <v>0</v>
      </c>
      <c r="BB301">
        <f>1-AZ301/BA301</f>
        <v>0</v>
      </c>
      <c r="BC301">
        <v>0</v>
      </c>
      <c r="BD301" t="s">
        <v>417</v>
      </c>
      <c r="BE301" t="s">
        <v>417</v>
      </c>
      <c r="BF301">
        <v>0</v>
      </c>
      <c r="BG301">
        <v>0</v>
      </c>
      <c r="BH301">
        <f>1-BF301/BG301</f>
        <v>0</v>
      </c>
      <c r="BI301">
        <v>0.5</v>
      </c>
      <c r="BJ301">
        <f>CS301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417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BZ301">
        <v>1249</v>
      </c>
      <c r="CA301">
        <v>300</v>
      </c>
      <c r="CB301">
        <v>300</v>
      </c>
      <c r="CC301">
        <v>300</v>
      </c>
      <c r="CD301">
        <v>10442.4</v>
      </c>
      <c r="CE301">
        <v>1239.69</v>
      </c>
      <c r="CF301">
        <v>-0.00735276</v>
      </c>
      <c r="CG301">
        <v>0.07000000000000001</v>
      </c>
      <c r="CH301" t="s">
        <v>417</v>
      </c>
      <c r="CI301" t="s">
        <v>417</v>
      </c>
      <c r="CJ301" t="s">
        <v>417</v>
      </c>
      <c r="CK301" t="s">
        <v>417</v>
      </c>
      <c r="CL301" t="s">
        <v>417</v>
      </c>
      <c r="CM301" t="s">
        <v>417</v>
      </c>
      <c r="CN301" t="s">
        <v>417</v>
      </c>
      <c r="CO301" t="s">
        <v>417</v>
      </c>
      <c r="CP301" t="s">
        <v>417</v>
      </c>
      <c r="CQ301" t="s">
        <v>417</v>
      </c>
      <c r="CR301">
        <f>$B$11*DQ301+$C$11*DR301+$F$11*EC301*(1-EF301)</f>
        <v>0</v>
      </c>
      <c r="CS301">
        <f>CR301*CT301</f>
        <v>0</v>
      </c>
      <c r="CT301">
        <f>($B$11*$D$9+$C$11*$D$9+$F$11*((EP301+EH301)/MAX(EP301+EH301+EQ301, 0.1)*$I$9+EQ301/MAX(EP301+EH301+EQ301, 0.1)*$J$9))/($B$11+$C$11+$F$11)</f>
        <v>0</v>
      </c>
      <c r="CU301">
        <f>($B$11*$K$9+$C$11*$K$9+$F$11*((EP301+EH301)/MAX(EP301+EH301+EQ301, 0.1)*$P$9+EQ301/MAX(EP301+EH301+EQ301, 0.1)*$Q$9))/($B$11+$C$11+$F$11)</f>
        <v>0</v>
      </c>
      <c r="CV301">
        <v>6</v>
      </c>
      <c r="CW301">
        <v>0.5</v>
      </c>
      <c r="CX301" t="s">
        <v>418</v>
      </c>
      <c r="CY301">
        <v>2</v>
      </c>
      <c r="CZ301" t="b">
        <v>1</v>
      </c>
      <c r="DA301">
        <v>1651866333</v>
      </c>
      <c r="DB301">
        <v>220.533</v>
      </c>
      <c r="DC301">
        <v>258.6876666666666</v>
      </c>
      <c r="DD301">
        <v>18.61366666666667</v>
      </c>
      <c r="DE301">
        <v>9.405286666666667</v>
      </c>
      <c r="DF301">
        <v>221.1273333333333</v>
      </c>
      <c r="DG301">
        <v>18.58933333333333</v>
      </c>
      <c r="DH301">
        <v>500.0603333333333</v>
      </c>
      <c r="DI301">
        <v>89.92216666666667</v>
      </c>
      <c r="DJ301">
        <v>0.09980833333333333</v>
      </c>
      <c r="DK301">
        <v>25.88123333333334</v>
      </c>
      <c r="DL301">
        <v>24.99743333333333</v>
      </c>
      <c r="DM301">
        <v>999.9</v>
      </c>
      <c r="DN301">
        <v>0</v>
      </c>
      <c r="DO301">
        <v>0</v>
      </c>
      <c r="DP301">
        <v>10017.5</v>
      </c>
      <c r="DQ301">
        <v>0</v>
      </c>
      <c r="DR301">
        <v>3.21788</v>
      </c>
      <c r="DS301">
        <v>-38.1547</v>
      </c>
      <c r="DT301">
        <v>224.7156666666667</v>
      </c>
      <c r="DU301">
        <v>261.144</v>
      </c>
      <c r="DV301">
        <v>9.208366666666668</v>
      </c>
      <c r="DW301">
        <v>258.6876666666666</v>
      </c>
      <c r="DX301">
        <v>9.405286666666667</v>
      </c>
      <c r="DY301">
        <v>1.67378</v>
      </c>
      <c r="DZ301">
        <v>0.8457436666666668</v>
      </c>
      <c r="EA301">
        <v>14.6554</v>
      </c>
      <c r="EB301">
        <v>4.499166666666667</v>
      </c>
      <c r="EC301">
        <v>1499.856666666667</v>
      </c>
      <c r="ED301">
        <v>0.973004</v>
      </c>
      <c r="EE301">
        <v>0.0269962</v>
      </c>
      <c r="EF301">
        <v>0</v>
      </c>
      <c r="EG301">
        <v>841.333</v>
      </c>
      <c r="EH301">
        <v>5.00097</v>
      </c>
      <c r="EI301">
        <v>12566.5</v>
      </c>
      <c r="EJ301">
        <v>12490.4</v>
      </c>
      <c r="EK301">
        <v>39.062</v>
      </c>
      <c r="EL301">
        <v>41.187</v>
      </c>
      <c r="EM301">
        <v>39.333</v>
      </c>
      <c r="EN301">
        <v>41.687</v>
      </c>
      <c r="EO301">
        <v>40.312</v>
      </c>
      <c r="EP301">
        <v>1454.496666666667</v>
      </c>
      <c r="EQ301">
        <v>40.35666666666666</v>
      </c>
      <c r="ER301">
        <v>0</v>
      </c>
      <c r="ES301">
        <v>851.6000001430511</v>
      </c>
      <c r="ET301">
        <v>0</v>
      </c>
      <c r="EU301">
        <v>842.4434615384616</v>
      </c>
      <c r="EV301">
        <v>-12.13394870017075</v>
      </c>
      <c r="EW301">
        <v>-126.9299144481658</v>
      </c>
      <c r="EX301">
        <v>12578.42692307692</v>
      </c>
      <c r="EY301">
        <v>15</v>
      </c>
      <c r="EZ301">
        <v>1651865518.1</v>
      </c>
      <c r="FA301" t="s">
        <v>910</v>
      </c>
      <c r="FB301">
        <v>1651865507.1</v>
      </c>
      <c r="FC301">
        <v>1651865518.1</v>
      </c>
      <c r="FD301">
        <v>8</v>
      </c>
      <c r="FE301">
        <v>0.06</v>
      </c>
      <c r="FF301">
        <v>0</v>
      </c>
      <c r="FG301">
        <v>-0.927</v>
      </c>
      <c r="FH301">
        <v>-0.062</v>
      </c>
      <c r="FI301">
        <v>400</v>
      </c>
      <c r="FJ301">
        <v>11</v>
      </c>
      <c r="FK301">
        <v>0.11</v>
      </c>
      <c r="FL301">
        <v>0.01</v>
      </c>
      <c r="FM301">
        <v>-35.32379756097561</v>
      </c>
      <c r="FN301">
        <v>-18.21889337979102</v>
      </c>
      <c r="FO301">
        <v>1.796981081036694</v>
      </c>
      <c r="FP301">
        <v>-1</v>
      </c>
      <c r="FQ301">
        <v>9.181255365853659</v>
      </c>
      <c r="FR301">
        <v>0.1606323344947746</v>
      </c>
      <c r="FS301">
        <v>0.0159377553117856</v>
      </c>
      <c r="FT301">
        <v>-1</v>
      </c>
      <c r="FU301">
        <v>0</v>
      </c>
      <c r="FV301">
        <v>0</v>
      </c>
      <c r="FW301">
        <v>0</v>
      </c>
      <c r="FX301">
        <v>-1</v>
      </c>
      <c r="FY301">
        <v>0</v>
      </c>
      <c r="FZ301">
        <v>0</v>
      </c>
      <c r="GA301" t="s">
        <v>420</v>
      </c>
      <c r="GB301">
        <v>2.98153</v>
      </c>
      <c r="GC301">
        <v>2.70618</v>
      </c>
      <c r="GD301">
        <v>0.0560112</v>
      </c>
      <c r="GE301">
        <v>0.0634193</v>
      </c>
      <c r="GF301">
        <v>0.08869150000000001</v>
      </c>
      <c r="GG301">
        <v>0.0528769</v>
      </c>
      <c r="GH301">
        <v>29828.9</v>
      </c>
      <c r="GI301">
        <v>29658.8</v>
      </c>
      <c r="GJ301">
        <v>29376.7</v>
      </c>
      <c r="GK301">
        <v>29291.5</v>
      </c>
      <c r="GL301">
        <v>35445.2</v>
      </c>
      <c r="GM301">
        <v>36955.1</v>
      </c>
      <c r="GN301">
        <v>41347.7</v>
      </c>
      <c r="GO301">
        <v>41810.5</v>
      </c>
      <c r="GP301">
        <v>1.96653</v>
      </c>
      <c r="GQ301">
        <v>1.8527</v>
      </c>
      <c r="GR301">
        <v>-0.00610948</v>
      </c>
      <c r="GS301">
        <v>0</v>
      </c>
      <c r="GT301">
        <v>25.0953</v>
      </c>
      <c r="GU301">
        <v>999.9</v>
      </c>
      <c r="GV301">
        <v>29.8</v>
      </c>
      <c r="GW301">
        <v>34.2</v>
      </c>
      <c r="GX301">
        <v>17.9055</v>
      </c>
      <c r="GY301">
        <v>62.1676</v>
      </c>
      <c r="GZ301">
        <v>35.1002</v>
      </c>
      <c r="HA301">
        <v>1</v>
      </c>
      <c r="HB301">
        <v>0.0463745</v>
      </c>
      <c r="HC301">
        <v>1.49504</v>
      </c>
      <c r="HD301">
        <v>20.3297</v>
      </c>
      <c r="HE301">
        <v>5.21624</v>
      </c>
      <c r="HF301">
        <v>12.0099</v>
      </c>
      <c r="HG301">
        <v>4.9887</v>
      </c>
      <c r="HH301">
        <v>3.2885</v>
      </c>
      <c r="HI301">
        <v>1030.9</v>
      </c>
      <c r="HJ301">
        <v>9731.700000000001</v>
      </c>
      <c r="HK301">
        <v>5139.4</v>
      </c>
      <c r="HL301">
        <v>25.3</v>
      </c>
      <c r="HM301">
        <v>1.86743</v>
      </c>
      <c r="HN301">
        <v>1.86646</v>
      </c>
      <c r="HO301">
        <v>1.866</v>
      </c>
      <c r="HP301">
        <v>1.86584</v>
      </c>
      <c r="HQ301">
        <v>1.86768</v>
      </c>
      <c r="HR301">
        <v>1.87024</v>
      </c>
      <c r="HS301">
        <v>1.86889</v>
      </c>
      <c r="HT301">
        <v>1.87021</v>
      </c>
      <c r="HU301">
        <v>0</v>
      </c>
      <c r="HV301">
        <v>0</v>
      </c>
      <c r="HW301">
        <v>0</v>
      </c>
      <c r="HX301">
        <v>0</v>
      </c>
      <c r="HY301" t="s">
        <v>421</v>
      </c>
      <c r="HZ301" t="s">
        <v>422</v>
      </c>
      <c r="IA301" t="s">
        <v>423</v>
      </c>
      <c r="IB301" t="s">
        <v>423</v>
      </c>
      <c r="IC301" t="s">
        <v>423</v>
      </c>
      <c r="ID301" t="s">
        <v>423</v>
      </c>
      <c r="IE301">
        <v>0</v>
      </c>
      <c r="IF301">
        <v>100</v>
      </c>
      <c r="IG301">
        <v>100</v>
      </c>
      <c r="IH301">
        <v>-0.601</v>
      </c>
      <c r="II301">
        <v>0.0244</v>
      </c>
      <c r="IJ301">
        <v>-0.1559367209035702</v>
      </c>
      <c r="IK301">
        <v>-0.002077099775823331</v>
      </c>
      <c r="IL301">
        <v>4.593143279902166E-07</v>
      </c>
      <c r="IM301">
        <v>-1.865383991892071E-10</v>
      </c>
      <c r="IN301">
        <v>-0.0607165066849496</v>
      </c>
      <c r="IO301">
        <v>-0.01129461987421345</v>
      </c>
      <c r="IP301">
        <v>0.00116580895745559</v>
      </c>
      <c r="IQ301">
        <v>-1.679085872906199E-05</v>
      </c>
      <c r="IR301">
        <v>2</v>
      </c>
      <c r="IS301">
        <v>2290</v>
      </c>
      <c r="IT301">
        <v>0</v>
      </c>
      <c r="IU301">
        <v>32</v>
      </c>
      <c r="IV301">
        <v>13.8</v>
      </c>
      <c r="IW301">
        <v>13.6</v>
      </c>
      <c r="IX301">
        <v>0.749512</v>
      </c>
      <c r="IY301">
        <v>2.23633</v>
      </c>
      <c r="IZ301">
        <v>1.39648</v>
      </c>
      <c r="JA301">
        <v>2.35474</v>
      </c>
      <c r="JB301">
        <v>1.49536</v>
      </c>
      <c r="JC301">
        <v>2.2937</v>
      </c>
      <c r="JD301">
        <v>38.0134</v>
      </c>
      <c r="JE301">
        <v>24.035</v>
      </c>
      <c r="JF301">
        <v>18</v>
      </c>
      <c r="JG301">
        <v>512.479</v>
      </c>
      <c r="JH301">
        <v>425.529</v>
      </c>
      <c r="JI301">
        <v>23.1523</v>
      </c>
      <c r="JJ301">
        <v>27.9269</v>
      </c>
      <c r="JK301">
        <v>29.9999</v>
      </c>
      <c r="JL301">
        <v>27.954</v>
      </c>
      <c r="JM301">
        <v>27.9004</v>
      </c>
      <c r="JN301">
        <v>15.0651</v>
      </c>
      <c r="JO301">
        <v>44.9415</v>
      </c>
      <c r="JP301">
        <v>0</v>
      </c>
      <c r="JQ301">
        <v>23.1519</v>
      </c>
      <c r="JR301">
        <v>285.076</v>
      </c>
      <c r="JS301">
        <v>9.428050000000001</v>
      </c>
      <c r="JT301">
        <v>100.414</v>
      </c>
      <c r="JU301">
        <v>100.346</v>
      </c>
    </row>
    <row r="302" spans="1:281">
      <c r="A302">
        <v>286</v>
      </c>
      <c r="B302">
        <v>1651866336</v>
      </c>
      <c r="C302">
        <v>2115.400000095367</v>
      </c>
      <c r="D302" t="s">
        <v>995</v>
      </c>
      <c r="E302" t="s">
        <v>996</v>
      </c>
      <c r="F302">
        <v>2</v>
      </c>
      <c r="G302" t="s">
        <v>908</v>
      </c>
      <c r="H302" t="s">
        <v>414</v>
      </c>
      <c r="I302">
        <v>1651866334.625</v>
      </c>
      <c r="J302">
        <f>(K302)/1000</f>
        <v>0</v>
      </c>
      <c r="K302">
        <f>IF(CZ302, AN302, AH302)</f>
        <v>0</v>
      </c>
      <c r="L302">
        <f>IF(CZ302, AI302, AG302)</f>
        <v>0</v>
      </c>
      <c r="M302">
        <f>DB302 - IF(AU302&gt;1, L302*CV302*100.0/(AW302*DP302), 0)</f>
        <v>0</v>
      </c>
      <c r="N302">
        <f>((T302-J302/2)*M302-L302)/(T302+J302/2)</f>
        <v>0</v>
      </c>
      <c r="O302">
        <f>N302*(DI302+DJ302)/1000.0</f>
        <v>0</v>
      </c>
      <c r="P302">
        <f>(DB302 - IF(AU302&gt;1, L302*CV302*100.0/(AW302*DP302), 0))*(DI302+DJ302)/1000.0</f>
        <v>0</v>
      </c>
      <c r="Q302">
        <f>2.0/((1/S302-1/R302)+SIGN(S302)*SQRT((1/S302-1/R302)*(1/S302-1/R302) + 4*CW302/((CW302+1)*(CW302+1))*(2*1/S302*1/R302-1/R302*1/R302)))</f>
        <v>0</v>
      </c>
      <c r="R302">
        <f>IF(LEFT(CX302,1)&lt;&gt;"0",IF(LEFT(CX302,1)="1",3.0,CY302),$D$5+$E$5*(DP302*DI302/($K$5*1000))+$F$5*(DP302*DI302/($K$5*1000))*MAX(MIN(CV302,$J$5),$I$5)*MAX(MIN(CV302,$J$5),$I$5)+$G$5*MAX(MIN(CV302,$J$5),$I$5)*(DP302*DI302/($K$5*1000))+$H$5*(DP302*DI302/($K$5*1000))*(DP302*DI302/($K$5*1000)))</f>
        <v>0</v>
      </c>
      <c r="S302">
        <f>J302*(1000-(1000*0.61365*exp(17.502*W302/(240.97+W302))/(DI302+DJ302)+DD302)/2)/(1000*0.61365*exp(17.502*W302/(240.97+W302))/(DI302+DJ302)-DD302)</f>
        <v>0</v>
      </c>
      <c r="T302">
        <f>1/((CW302+1)/(Q302/1.6)+1/(R302/1.37)) + CW302/((CW302+1)/(Q302/1.6) + CW302/(R302/1.37))</f>
        <v>0</v>
      </c>
      <c r="U302">
        <f>(CR302*CU302)</f>
        <v>0</v>
      </c>
      <c r="V302">
        <f>(DK302+(U302+2*0.95*5.67E-8*(((DK302+$B$7)+273)^4-(DK302+273)^4)-44100*J302)/(1.84*29.3*R302+8*0.95*5.67E-8*(DK302+273)^3))</f>
        <v>0</v>
      </c>
      <c r="W302">
        <f>($C$7*DL302+$D$7*DM302+$E$7*V302)</f>
        <v>0</v>
      </c>
      <c r="X302">
        <f>0.61365*exp(17.502*W302/(240.97+W302))</f>
        <v>0</v>
      </c>
      <c r="Y302">
        <f>(Z302/AA302*100)</f>
        <v>0</v>
      </c>
      <c r="Z302">
        <f>DD302*(DI302+DJ302)/1000</f>
        <v>0</v>
      </c>
      <c r="AA302">
        <f>0.61365*exp(17.502*DK302/(240.97+DK302))</f>
        <v>0</v>
      </c>
      <c r="AB302">
        <f>(X302-DD302*(DI302+DJ302)/1000)</f>
        <v>0</v>
      </c>
      <c r="AC302">
        <f>(-J302*44100)</f>
        <v>0</v>
      </c>
      <c r="AD302">
        <f>2*29.3*R302*0.92*(DK302-W302)</f>
        <v>0</v>
      </c>
      <c r="AE302">
        <f>2*0.95*5.67E-8*(((DK302+$B$7)+273)^4-(W302+273)^4)</f>
        <v>0</v>
      </c>
      <c r="AF302">
        <f>U302+AE302+AC302+AD302</f>
        <v>0</v>
      </c>
      <c r="AG302">
        <f>DH302*AU302*(DC302-DB302*(1000-AU302*DE302)/(1000-AU302*DD302))/(100*CV302)</f>
        <v>0</v>
      </c>
      <c r="AH302">
        <f>1000*DH302*AU302*(DD302-DE302)/(100*CV302*(1000-AU302*DD302))</f>
        <v>0</v>
      </c>
      <c r="AI302">
        <f>(AJ302 - AK302 - DI302*1E3/(8.314*(DK302+273.15)) * AM302/DH302 * AL302) * DH302/(100*CV302) * (1000 - DE302)/1000</f>
        <v>0</v>
      </c>
      <c r="AJ302">
        <v>261.9199629887981</v>
      </c>
      <c r="AK302">
        <v>232.5053212121211</v>
      </c>
      <c r="AL302">
        <v>3.114970146122772</v>
      </c>
      <c r="AM302">
        <v>66.38195617057868</v>
      </c>
      <c r="AN302">
        <f>(AP302 - AO302 + DI302*1E3/(8.314*(DK302+273.15)) * AR302/DH302 * AQ302) * DH302/(100*CV302) * 1000/(1000 - AP302)</f>
        <v>0</v>
      </c>
      <c r="AO302">
        <v>9.405818604082626</v>
      </c>
      <c r="AP302">
        <v>18.61787588235293</v>
      </c>
      <c r="AQ302">
        <v>0.0001522568391169137</v>
      </c>
      <c r="AR302">
        <v>80.47178418790507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MAX(0,($B$13+$C$13*DP302)/(1+$D$13*DP302)*DI302/(DK302+273)*$E$13)</f>
        <v>0</v>
      </c>
      <c r="AX302" t="s">
        <v>417</v>
      </c>
      <c r="AY302" t="s">
        <v>417</v>
      </c>
      <c r="AZ302">
        <v>0</v>
      </c>
      <c r="BA302">
        <v>0</v>
      </c>
      <c r="BB302">
        <f>1-AZ302/BA302</f>
        <v>0</v>
      </c>
      <c r="BC302">
        <v>0</v>
      </c>
      <c r="BD302" t="s">
        <v>417</v>
      </c>
      <c r="BE302" t="s">
        <v>417</v>
      </c>
      <c r="BF302">
        <v>0</v>
      </c>
      <c r="BG302">
        <v>0</v>
      </c>
      <c r="BH302">
        <f>1-BF302/BG302</f>
        <v>0</v>
      </c>
      <c r="BI302">
        <v>0.5</v>
      </c>
      <c r="BJ302">
        <f>CS302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417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BZ302">
        <v>1249</v>
      </c>
      <c r="CA302">
        <v>300</v>
      </c>
      <c r="CB302">
        <v>300</v>
      </c>
      <c r="CC302">
        <v>300</v>
      </c>
      <c r="CD302">
        <v>10442.4</v>
      </c>
      <c r="CE302">
        <v>1239.69</v>
      </c>
      <c r="CF302">
        <v>-0.00735276</v>
      </c>
      <c r="CG302">
        <v>0.07000000000000001</v>
      </c>
      <c r="CH302" t="s">
        <v>417</v>
      </c>
      <c r="CI302" t="s">
        <v>417</v>
      </c>
      <c r="CJ302" t="s">
        <v>417</v>
      </c>
      <c r="CK302" t="s">
        <v>417</v>
      </c>
      <c r="CL302" t="s">
        <v>417</v>
      </c>
      <c r="CM302" t="s">
        <v>417</v>
      </c>
      <c r="CN302" t="s">
        <v>417</v>
      </c>
      <c r="CO302" t="s">
        <v>417</v>
      </c>
      <c r="CP302" t="s">
        <v>417</v>
      </c>
      <c r="CQ302" t="s">
        <v>417</v>
      </c>
      <c r="CR302">
        <f>$B$11*DQ302+$C$11*DR302+$F$11*EC302*(1-EF302)</f>
        <v>0</v>
      </c>
      <c r="CS302">
        <f>CR302*CT302</f>
        <v>0</v>
      </c>
      <c r="CT302">
        <f>($B$11*$D$9+$C$11*$D$9+$F$11*((EP302+EH302)/MAX(EP302+EH302+EQ302, 0.1)*$I$9+EQ302/MAX(EP302+EH302+EQ302, 0.1)*$J$9))/($B$11+$C$11+$F$11)</f>
        <v>0</v>
      </c>
      <c r="CU302">
        <f>($B$11*$K$9+$C$11*$K$9+$F$11*((EP302+EH302)/MAX(EP302+EH302+EQ302, 0.1)*$P$9+EQ302/MAX(EP302+EH302+EQ302, 0.1)*$Q$9))/($B$11+$C$11+$F$11)</f>
        <v>0</v>
      </c>
      <c r="CV302">
        <v>6</v>
      </c>
      <c r="CW302">
        <v>0.5</v>
      </c>
      <c r="CX302" t="s">
        <v>418</v>
      </c>
      <c r="CY302">
        <v>2</v>
      </c>
      <c r="CZ302" t="b">
        <v>1</v>
      </c>
      <c r="DA302">
        <v>1651866334.625</v>
      </c>
      <c r="DB302">
        <v>225.5015</v>
      </c>
      <c r="DC302">
        <v>264.18575</v>
      </c>
      <c r="DD302">
        <v>18.61645</v>
      </c>
      <c r="DE302">
        <v>9.40413</v>
      </c>
      <c r="DF302">
        <v>226.10625</v>
      </c>
      <c r="DG302">
        <v>18.59205</v>
      </c>
      <c r="DH302">
        <v>500.05825</v>
      </c>
      <c r="DI302">
        <v>89.922225</v>
      </c>
      <c r="DJ302">
        <v>0.09993204999999999</v>
      </c>
      <c r="DK302">
        <v>25.88325</v>
      </c>
      <c r="DL302">
        <v>24.99455</v>
      </c>
      <c r="DM302">
        <v>999.9</v>
      </c>
      <c r="DN302">
        <v>0</v>
      </c>
      <c r="DO302">
        <v>0</v>
      </c>
      <c r="DP302">
        <v>10012.95</v>
      </c>
      <c r="DQ302">
        <v>0</v>
      </c>
      <c r="DR302">
        <v>3.218935</v>
      </c>
      <c r="DS302">
        <v>-38.6839</v>
      </c>
      <c r="DT302">
        <v>229.77975</v>
      </c>
      <c r="DU302">
        <v>266.69375</v>
      </c>
      <c r="DV302">
        <v>9.2122975</v>
      </c>
      <c r="DW302">
        <v>264.18575</v>
      </c>
      <c r="DX302">
        <v>9.40413</v>
      </c>
      <c r="DY302">
        <v>1.6740325</v>
      </c>
      <c r="DZ302">
        <v>0.8456407500000001</v>
      </c>
      <c r="EA302">
        <v>14.6577</v>
      </c>
      <c r="EB302">
        <v>4.497425</v>
      </c>
      <c r="EC302">
        <v>1499.965</v>
      </c>
      <c r="ED302">
        <v>0.973004</v>
      </c>
      <c r="EE302">
        <v>0.0269962</v>
      </c>
      <c r="EF302">
        <v>0</v>
      </c>
      <c r="EG302">
        <v>840.8677499999999</v>
      </c>
      <c r="EH302">
        <v>5.00097</v>
      </c>
      <c r="EI302">
        <v>12567.6</v>
      </c>
      <c r="EJ302">
        <v>12491.3</v>
      </c>
      <c r="EK302">
        <v>39.10925</v>
      </c>
      <c r="EL302">
        <v>41.20274999999999</v>
      </c>
      <c r="EM302">
        <v>39.375</v>
      </c>
      <c r="EN302">
        <v>41.73425</v>
      </c>
      <c r="EO302">
        <v>40.32774999999999</v>
      </c>
      <c r="EP302">
        <v>1454.605</v>
      </c>
      <c r="EQ302">
        <v>40.355</v>
      </c>
      <c r="ER302">
        <v>0</v>
      </c>
      <c r="ES302">
        <v>853.4000000953674</v>
      </c>
      <c r="ET302">
        <v>0</v>
      </c>
      <c r="EU302">
        <v>842.0204399999999</v>
      </c>
      <c r="EV302">
        <v>-10.18361536246141</v>
      </c>
      <c r="EW302">
        <v>-96.06153845172462</v>
      </c>
      <c r="EX302">
        <v>12574.58</v>
      </c>
      <c r="EY302">
        <v>15</v>
      </c>
      <c r="EZ302">
        <v>1651865518.1</v>
      </c>
      <c r="FA302" t="s">
        <v>910</v>
      </c>
      <c r="FB302">
        <v>1651865507.1</v>
      </c>
      <c r="FC302">
        <v>1651865518.1</v>
      </c>
      <c r="FD302">
        <v>8</v>
      </c>
      <c r="FE302">
        <v>0.06</v>
      </c>
      <c r="FF302">
        <v>0</v>
      </c>
      <c r="FG302">
        <v>-0.927</v>
      </c>
      <c r="FH302">
        <v>-0.062</v>
      </c>
      <c r="FI302">
        <v>400</v>
      </c>
      <c r="FJ302">
        <v>11</v>
      </c>
      <c r="FK302">
        <v>0.11</v>
      </c>
      <c r="FL302">
        <v>0.01</v>
      </c>
      <c r="FM302">
        <v>-35.85807999999999</v>
      </c>
      <c r="FN302">
        <v>-18.07831744840518</v>
      </c>
      <c r="FO302">
        <v>1.739538319238757</v>
      </c>
      <c r="FP302">
        <v>-1</v>
      </c>
      <c r="FQ302">
        <v>9.185998000000001</v>
      </c>
      <c r="FR302">
        <v>0.1641500938086025</v>
      </c>
      <c r="FS302">
        <v>0.01589420793874306</v>
      </c>
      <c r="FT302">
        <v>-1</v>
      </c>
      <c r="FU302">
        <v>0</v>
      </c>
      <c r="FV302">
        <v>0</v>
      </c>
      <c r="FW302">
        <v>0</v>
      </c>
      <c r="FX302">
        <v>-1</v>
      </c>
      <c r="FY302">
        <v>0</v>
      </c>
      <c r="FZ302">
        <v>0</v>
      </c>
      <c r="GA302" t="s">
        <v>420</v>
      </c>
      <c r="GB302">
        <v>2.98151</v>
      </c>
      <c r="GC302">
        <v>2.70617</v>
      </c>
      <c r="GD302">
        <v>0.0573442</v>
      </c>
      <c r="GE302">
        <v>0.0648097</v>
      </c>
      <c r="GF302">
        <v>0.0886965</v>
      </c>
      <c r="GG302">
        <v>0.0528738</v>
      </c>
      <c r="GH302">
        <v>29786.9</v>
      </c>
      <c r="GI302">
        <v>29615</v>
      </c>
      <c r="GJ302">
        <v>29376.8</v>
      </c>
      <c r="GK302">
        <v>29291.7</v>
      </c>
      <c r="GL302">
        <v>35445.3</v>
      </c>
      <c r="GM302">
        <v>36955.4</v>
      </c>
      <c r="GN302">
        <v>41347.9</v>
      </c>
      <c r="GO302">
        <v>41810.6</v>
      </c>
      <c r="GP302">
        <v>1.96658</v>
      </c>
      <c r="GQ302">
        <v>1.85275</v>
      </c>
      <c r="GR302">
        <v>-0.00592321</v>
      </c>
      <c r="GS302">
        <v>0</v>
      </c>
      <c r="GT302">
        <v>25.0953</v>
      </c>
      <c r="GU302">
        <v>999.9</v>
      </c>
      <c r="GV302">
        <v>29.8</v>
      </c>
      <c r="GW302">
        <v>34.2</v>
      </c>
      <c r="GX302">
        <v>17.9044</v>
      </c>
      <c r="GY302">
        <v>62.4476</v>
      </c>
      <c r="GZ302">
        <v>35.2724</v>
      </c>
      <c r="HA302">
        <v>1</v>
      </c>
      <c r="HB302">
        <v>0.0463618</v>
      </c>
      <c r="HC302">
        <v>1.49507</v>
      </c>
      <c r="HD302">
        <v>20.3296</v>
      </c>
      <c r="HE302">
        <v>5.21624</v>
      </c>
      <c r="HF302">
        <v>12.0099</v>
      </c>
      <c r="HG302">
        <v>4.98835</v>
      </c>
      <c r="HH302">
        <v>3.2885</v>
      </c>
      <c r="HI302">
        <v>1030.9</v>
      </c>
      <c r="HJ302">
        <v>9731.700000000001</v>
      </c>
      <c r="HK302">
        <v>5139.4</v>
      </c>
      <c r="HL302">
        <v>25.3</v>
      </c>
      <c r="HM302">
        <v>1.86746</v>
      </c>
      <c r="HN302">
        <v>1.86646</v>
      </c>
      <c r="HO302">
        <v>1.866</v>
      </c>
      <c r="HP302">
        <v>1.86584</v>
      </c>
      <c r="HQ302">
        <v>1.86768</v>
      </c>
      <c r="HR302">
        <v>1.87023</v>
      </c>
      <c r="HS302">
        <v>1.8689</v>
      </c>
      <c r="HT302">
        <v>1.87021</v>
      </c>
      <c r="HU302">
        <v>0</v>
      </c>
      <c r="HV302">
        <v>0</v>
      </c>
      <c r="HW302">
        <v>0</v>
      </c>
      <c r="HX302">
        <v>0</v>
      </c>
      <c r="HY302" t="s">
        <v>421</v>
      </c>
      <c r="HZ302" t="s">
        <v>422</v>
      </c>
      <c r="IA302" t="s">
        <v>423</v>
      </c>
      <c r="IB302" t="s">
        <v>423</v>
      </c>
      <c r="IC302" t="s">
        <v>423</v>
      </c>
      <c r="ID302" t="s">
        <v>423</v>
      </c>
      <c r="IE302">
        <v>0</v>
      </c>
      <c r="IF302">
        <v>100</v>
      </c>
      <c r="IG302">
        <v>100</v>
      </c>
      <c r="IH302">
        <v>-0.612</v>
      </c>
      <c r="II302">
        <v>0.0243</v>
      </c>
      <c r="IJ302">
        <v>-0.1559367209035702</v>
      </c>
      <c r="IK302">
        <v>-0.002077099775823331</v>
      </c>
      <c r="IL302">
        <v>4.593143279902166E-07</v>
      </c>
      <c r="IM302">
        <v>-1.865383991892071E-10</v>
      </c>
      <c r="IN302">
        <v>-0.0607165066849496</v>
      </c>
      <c r="IO302">
        <v>-0.01129461987421345</v>
      </c>
      <c r="IP302">
        <v>0.00116580895745559</v>
      </c>
      <c r="IQ302">
        <v>-1.679085872906199E-05</v>
      </c>
      <c r="IR302">
        <v>2</v>
      </c>
      <c r="IS302">
        <v>2290</v>
      </c>
      <c r="IT302">
        <v>0</v>
      </c>
      <c r="IU302">
        <v>32</v>
      </c>
      <c r="IV302">
        <v>13.8</v>
      </c>
      <c r="IW302">
        <v>13.6</v>
      </c>
      <c r="IX302">
        <v>0.762939</v>
      </c>
      <c r="IY302">
        <v>2.23145</v>
      </c>
      <c r="IZ302">
        <v>1.39648</v>
      </c>
      <c r="JA302">
        <v>2.35474</v>
      </c>
      <c r="JB302">
        <v>1.49536</v>
      </c>
      <c r="JC302">
        <v>2.29614</v>
      </c>
      <c r="JD302">
        <v>38.0134</v>
      </c>
      <c r="JE302">
        <v>24.0437</v>
      </c>
      <c r="JF302">
        <v>18</v>
      </c>
      <c r="JG302">
        <v>512.502</v>
      </c>
      <c r="JH302">
        <v>425.554</v>
      </c>
      <c r="JI302">
        <v>23.1522</v>
      </c>
      <c r="JJ302">
        <v>27.9257</v>
      </c>
      <c r="JK302">
        <v>29.9999</v>
      </c>
      <c r="JL302">
        <v>27.9528</v>
      </c>
      <c r="JM302">
        <v>27.8998</v>
      </c>
      <c r="JN302">
        <v>15.3479</v>
      </c>
      <c r="JO302">
        <v>44.9415</v>
      </c>
      <c r="JP302">
        <v>0</v>
      </c>
      <c r="JQ302">
        <v>23.1521</v>
      </c>
      <c r="JR302">
        <v>291.76</v>
      </c>
      <c r="JS302">
        <v>9.42165</v>
      </c>
      <c r="JT302">
        <v>100.414</v>
      </c>
      <c r="JU302">
        <v>100.346</v>
      </c>
    </row>
    <row r="303" spans="1:281">
      <c r="A303">
        <v>287</v>
      </c>
      <c r="B303">
        <v>1651866338</v>
      </c>
      <c r="C303">
        <v>2117.400000095367</v>
      </c>
      <c r="D303" t="s">
        <v>997</v>
      </c>
      <c r="E303" t="s">
        <v>998</v>
      </c>
      <c r="F303">
        <v>2</v>
      </c>
      <c r="G303" t="s">
        <v>908</v>
      </c>
      <c r="H303" t="s">
        <v>414</v>
      </c>
      <c r="I303">
        <v>1651866337</v>
      </c>
      <c r="J303">
        <f>(K303)/1000</f>
        <v>0</v>
      </c>
      <c r="K303">
        <f>IF(CZ303, AN303, AH303)</f>
        <v>0</v>
      </c>
      <c r="L303">
        <f>IF(CZ303, AI303, AG303)</f>
        <v>0</v>
      </c>
      <c r="M303">
        <f>DB303 - IF(AU303&gt;1, L303*CV303*100.0/(AW303*DP303), 0)</f>
        <v>0</v>
      </c>
      <c r="N303">
        <f>((T303-J303/2)*M303-L303)/(T303+J303/2)</f>
        <v>0</v>
      </c>
      <c r="O303">
        <f>N303*(DI303+DJ303)/1000.0</f>
        <v>0</v>
      </c>
      <c r="P303">
        <f>(DB303 - IF(AU303&gt;1, L303*CV303*100.0/(AW303*DP303), 0))*(DI303+DJ303)/1000.0</f>
        <v>0</v>
      </c>
      <c r="Q303">
        <f>2.0/((1/S303-1/R303)+SIGN(S303)*SQRT((1/S303-1/R303)*(1/S303-1/R303) + 4*CW303/((CW303+1)*(CW303+1))*(2*1/S303*1/R303-1/R303*1/R303)))</f>
        <v>0</v>
      </c>
      <c r="R303">
        <f>IF(LEFT(CX303,1)&lt;&gt;"0",IF(LEFT(CX303,1)="1",3.0,CY303),$D$5+$E$5*(DP303*DI303/($K$5*1000))+$F$5*(DP303*DI303/($K$5*1000))*MAX(MIN(CV303,$J$5),$I$5)*MAX(MIN(CV303,$J$5),$I$5)+$G$5*MAX(MIN(CV303,$J$5),$I$5)*(DP303*DI303/($K$5*1000))+$H$5*(DP303*DI303/($K$5*1000))*(DP303*DI303/($K$5*1000)))</f>
        <v>0</v>
      </c>
      <c r="S303">
        <f>J303*(1000-(1000*0.61365*exp(17.502*W303/(240.97+W303))/(DI303+DJ303)+DD303)/2)/(1000*0.61365*exp(17.502*W303/(240.97+W303))/(DI303+DJ303)-DD303)</f>
        <v>0</v>
      </c>
      <c r="T303">
        <f>1/((CW303+1)/(Q303/1.6)+1/(R303/1.37)) + CW303/((CW303+1)/(Q303/1.6) + CW303/(R303/1.37))</f>
        <v>0</v>
      </c>
      <c r="U303">
        <f>(CR303*CU303)</f>
        <v>0</v>
      </c>
      <c r="V303">
        <f>(DK303+(U303+2*0.95*5.67E-8*(((DK303+$B$7)+273)^4-(DK303+273)^4)-44100*J303)/(1.84*29.3*R303+8*0.95*5.67E-8*(DK303+273)^3))</f>
        <v>0</v>
      </c>
      <c r="W303">
        <f>($C$7*DL303+$D$7*DM303+$E$7*V303)</f>
        <v>0</v>
      </c>
      <c r="X303">
        <f>0.61365*exp(17.502*W303/(240.97+W303))</f>
        <v>0</v>
      </c>
      <c r="Y303">
        <f>(Z303/AA303*100)</f>
        <v>0</v>
      </c>
      <c r="Z303">
        <f>DD303*(DI303+DJ303)/1000</f>
        <v>0</v>
      </c>
      <c r="AA303">
        <f>0.61365*exp(17.502*DK303/(240.97+DK303))</f>
        <v>0</v>
      </c>
      <c r="AB303">
        <f>(X303-DD303*(DI303+DJ303)/1000)</f>
        <v>0</v>
      </c>
      <c r="AC303">
        <f>(-J303*44100)</f>
        <v>0</v>
      </c>
      <c r="AD303">
        <f>2*29.3*R303*0.92*(DK303-W303)</f>
        <v>0</v>
      </c>
      <c r="AE303">
        <f>2*0.95*5.67E-8*(((DK303+$B$7)+273)^4-(W303+273)^4)</f>
        <v>0</v>
      </c>
      <c r="AF303">
        <f>U303+AE303+AC303+AD303</f>
        <v>0</v>
      </c>
      <c r="AG303">
        <f>DH303*AU303*(DC303-DB303*(1000-AU303*DE303)/(1000-AU303*DD303))/(100*CV303)</f>
        <v>0</v>
      </c>
      <c r="AH303">
        <f>1000*DH303*AU303*(DD303-DE303)/(100*CV303*(1000-AU303*DD303))</f>
        <v>0</v>
      </c>
      <c r="AI303">
        <f>(AJ303 - AK303 - DI303*1E3/(8.314*(DK303+273.15)) * AM303/DH303 * AL303) * DH303/(100*CV303) * (1000 - DE303)/1000</f>
        <v>0</v>
      </c>
      <c r="AJ303">
        <v>268.7852970373888</v>
      </c>
      <c r="AK303">
        <v>238.7560909090908</v>
      </c>
      <c r="AL303">
        <v>3.121128635412052</v>
      </c>
      <c r="AM303">
        <v>66.38195617057868</v>
      </c>
      <c r="AN303">
        <f>(AP303 - AO303 + DI303*1E3/(8.314*(DK303+273.15)) * AR303/DH303 * AQ303) * DH303/(100*CV303) * 1000/(1000 - AP303)</f>
        <v>0</v>
      </c>
      <c r="AO303">
        <v>9.404803345103085</v>
      </c>
      <c r="AP303">
        <v>18.6213794117647</v>
      </c>
      <c r="AQ303">
        <v>0.0001153692631369609</v>
      </c>
      <c r="AR303">
        <v>80.47178418790507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MAX(0,($B$13+$C$13*DP303)/(1+$D$13*DP303)*DI303/(DK303+273)*$E$13)</f>
        <v>0</v>
      </c>
      <c r="AX303" t="s">
        <v>417</v>
      </c>
      <c r="AY303" t="s">
        <v>417</v>
      </c>
      <c r="AZ303">
        <v>0</v>
      </c>
      <c r="BA303">
        <v>0</v>
      </c>
      <c r="BB303">
        <f>1-AZ303/BA303</f>
        <v>0</v>
      </c>
      <c r="BC303">
        <v>0</v>
      </c>
      <c r="BD303" t="s">
        <v>417</v>
      </c>
      <c r="BE303" t="s">
        <v>417</v>
      </c>
      <c r="BF303">
        <v>0</v>
      </c>
      <c r="BG303">
        <v>0</v>
      </c>
      <c r="BH303">
        <f>1-BF303/BG303</f>
        <v>0</v>
      </c>
      <c r="BI303">
        <v>0.5</v>
      </c>
      <c r="BJ303">
        <f>CS303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417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BZ303">
        <v>1249</v>
      </c>
      <c r="CA303">
        <v>300</v>
      </c>
      <c r="CB303">
        <v>300</v>
      </c>
      <c r="CC303">
        <v>300</v>
      </c>
      <c r="CD303">
        <v>10442.4</v>
      </c>
      <c r="CE303">
        <v>1239.69</v>
      </c>
      <c r="CF303">
        <v>-0.00735276</v>
      </c>
      <c r="CG303">
        <v>0.07000000000000001</v>
      </c>
      <c r="CH303" t="s">
        <v>417</v>
      </c>
      <c r="CI303" t="s">
        <v>417</v>
      </c>
      <c r="CJ303" t="s">
        <v>417</v>
      </c>
      <c r="CK303" t="s">
        <v>417</v>
      </c>
      <c r="CL303" t="s">
        <v>417</v>
      </c>
      <c r="CM303" t="s">
        <v>417</v>
      </c>
      <c r="CN303" t="s">
        <v>417</v>
      </c>
      <c r="CO303" t="s">
        <v>417</v>
      </c>
      <c r="CP303" t="s">
        <v>417</v>
      </c>
      <c r="CQ303" t="s">
        <v>417</v>
      </c>
      <c r="CR303">
        <f>$B$11*DQ303+$C$11*DR303+$F$11*EC303*(1-EF303)</f>
        <v>0</v>
      </c>
      <c r="CS303">
        <f>CR303*CT303</f>
        <v>0</v>
      </c>
      <c r="CT303">
        <f>($B$11*$D$9+$C$11*$D$9+$F$11*((EP303+EH303)/MAX(EP303+EH303+EQ303, 0.1)*$I$9+EQ303/MAX(EP303+EH303+EQ303, 0.1)*$J$9))/($B$11+$C$11+$F$11)</f>
        <v>0</v>
      </c>
      <c r="CU303">
        <f>($B$11*$K$9+$C$11*$K$9+$F$11*((EP303+EH303)/MAX(EP303+EH303+EQ303, 0.1)*$P$9+EQ303/MAX(EP303+EH303+EQ303, 0.1)*$Q$9))/($B$11+$C$11+$F$11)</f>
        <v>0</v>
      </c>
      <c r="CV303">
        <v>6</v>
      </c>
      <c r="CW303">
        <v>0.5</v>
      </c>
      <c r="CX303" t="s">
        <v>418</v>
      </c>
      <c r="CY303">
        <v>2</v>
      </c>
      <c r="CZ303" t="b">
        <v>1</v>
      </c>
      <c r="DA303">
        <v>1651866337</v>
      </c>
      <c r="DB303">
        <v>232.776</v>
      </c>
      <c r="DC303">
        <v>272.2773333333333</v>
      </c>
      <c r="DD303">
        <v>18.62103333333333</v>
      </c>
      <c r="DE303">
        <v>9.40377</v>
      </c>
      <c r="DF303">
        <v>233.394</v>
      </c>
      <c r="DG303">
        <v>18.59656666666666</v>
      </c>
      <c r="DH303">
        <v>500.0316666666667</v>
      </c>
      <c r="DI303">
        <v>89.92203333333333</v>
      </c>
      <c r="DJ303">
        <v>0.1000107333333333</v>
      </c>
      <c r="DK303">
        <v>25.88503333333334</v>
      </c>
      <c r="DL303">
        <v>24.99943333333333</v>
      </c>
      <c r="DM303">
        <v>999.9</v>
      </c>
      <c r="DN303">
        <v>0</v>
      </c>
      <c r="DO303">
        <v>0</v>
      </c>
      <c r="DP303">
        <v>9997.483333333334</v>
      </c>
      <c r="DQ303">
        <v>0</v>
      </c>
      <c r="DR303">
        <v>3.23193</v>
      </c>
      <c r="DS303">
        <v>-39.5009</v>
      </c>
      <c r="DT303">
        <v>237.1926666666667</v>
      </c>
      <c r="DU303">
        <v>274.862</v>
      </c>
      <c r="DV303">
        <v>9.217236666666667</v>
      </c>
      <c r="DW303">
        <v>272.2773333333333</v>
      </c>
      <c r="DX303">
        <v>9.40377</v>
      </c>
      <c r="DY303">
        <v>1.674443333333333</v>
      </c>
      <c r="DZ303">
        <v>0.845606</v>
      </c>
      <c r="EA303">
        <v>14.66146666666667</v>
      </c>
      <c r="EB303">
        <v>4.496843333333334</v>
      </c>
      <c r="EC303">
        <v>1499.966666666666</v>
      </c>
      <c r="ED303">
        <v>0.9730056666666668</v>
      </c>
      <c r="EE303">
        <v>0.0269944</v>
      </c>
      <c r="EF303">
        <v>0</v>
      </c>
      <c r="EG303">
        <v>841.0076666666668</v>
      </c>
      <c r="EH303">
        <v>5.00097</v>
      </c>
      <c r="EI303">
        <v>12568.96666666667</v>
      </c>
      <c r="EJ303">
        <v>12491.33333333333</v>
      </c>
      <c r="EK303">
        <v>39.125</v>
      </c>
      <c r="EL303">
        <v>41.25</v>
      </c>
      <c r="EM303">
        <v>39.39566666666666</v>
      </c>
      <c r="EN303">
        <v>41.77066666666666</v>
      </c>
      <c r="EO303">
        <v>40.375</v>
      </c>
      <c r="EP303">
        <v>1454.613333333333</v>
      </c>
      <c r="EQ303">
        <v>40.35333333333333</v>
      </c>
      <c r="ER303">
        <v>0</v>
      </c>
      <c r="ES303">
        <v>855.2000000476837</v>
      </c>
      <c r="ET303">
        <v>0</v>
      </c>
      <c r="EU303">
        <v>841.7933076923077</v>
      </c>
      <c r="EV303">
        <v>-8.706871764034231</v>
      </c>
      <c r="EW303">
        <v>-68.39658112699516</v>
      </c>
      <c r="EX303">
        <v>12572.72307692308</v>
      </c>
      <c r="EY303">
        <v>15</v>
      </c>
      <c r="EZ303">
        <v>1651865518.1</v>
      </c>
      <c r="FA303" t="s">
        <v>910</v>
      </c>
      <c r="FB303">
        <v>1651865507.1</v>
      </c>
      <c r="FC303">
        <v>1651865518.1</v>
      </c>
      <c r="FD303">
        <v>8</v>
      </c>
      <c r="FE303">
        <v>0.06</v>
      </c>
      <c r="FF303">
        <v>0</v>
      </c>
      <c r="FG303">
        <v>-0.927</v>
      </c>
      <c r="FH303">
        <v>-0.062</v>
      </c>
      <c r="FI303">
        <v>400</v>
      </c>
      <c r="FJ303">
        <v>11</v>
      </c>
      <c r="FK303">
        <v>0.11</v>
      </c>
      <c r="FL303">
        <v>0.01</v>
      </c>
      <c r="FM303">
        <v>-36.55591707317073</v>
      </c>
      <c r="FN303">
        <v>-18.0717574912893</v>
      </c>
      <c r="FO303">
        <v>1.782297707729211</v>
      </c>
      <c r="FP303">
        <v>-1</v>
      </c>
      <c r="FQ303">
        <v>9.191938048780486</v>
      </c>
      <c r="FR303">
        <v>0.1641880139373061</v>
      </c>
      <c r="FS303">
        <v>0.01628692715624225</v>
      </c>
      <c r="FT303">
        <v>-1</v>
      </c>
      <c r="FU303">
        <v>0</v>
      </c>
      <c r="FV303">
        <v>0</v>
      </c>
      <c r="FW303">
        <v>0</v>
      </c>
      <c r="FX303">
        <v>-1</v>
      </c>
      <c r="FY303">
        <v>0</v>
      </c>
      <c r="FZ303">
        <v>0</v>
      </c>
      <c r="GA303" t="s">
        <v>420</v>
      </c>
      <c r="GB303">
        <v>2.98136</v>
      </c>
      <c r="GC303">
        <v>2.70616</v>
      </c>
      <c r="GD303">
        <v>0.0586625</v>
      </c>
      <c r="GE303">
        <v>0.066167</v>
      </c>
      <c r="GF303">
        <v>0.0887182</v>
      </c>
      <c r="GG303">
        <v>0.0528736</v>
      </c>
      <c r="GH303">
        <v>29745.4</v>
      </c>
      <c r="GI303">
        <v>29572</v>
      </c>
      <c r="GJ303">
        <v>29377</v>
      </c>
      <c r="GK303">
        <v>29291.7</v>
      </c>
      <c r="GL303">
        <v>35444.9</v>
      </c>
      <c r="GM303">
        <v>36955.6</v>
      </c>
      <c r="GN303">
        <v>41348.4</v>
      </c>
      <c r="GO303">
        <v>41810.8</v>
      </c>
      <c r="GP303">
        <v>1.96648</v>
      </c>
      <c r="GQ303">
        <v>1.853</v>
      </c>
      <c r="GR303">
        <v>-0.00569969</v>
      </c>
      <c r="GS303">
        <v>0</v>
      </c>
      <c r="GT303">
        <v>25.0953</v>
      </c>
      <c r="GU303">
        <v>999.9</v>
      </c>
      <c r="GV303">
        <v>29.8</v>
      </c>
      <c r="GW303">
        <v>34.2</v>
      </c>
      <c r="GX303">
        <v>17.9041</v>
      </c>
      <c r="GY303">
        <v>62.5176</v>
      </c>
      <c r="GZ303">
        <v>35.5569</v>
      </c>
      <c r="HA303">
        <v>1</v>
      </c>
      <c r="HB303">
        <v>0.0463516</v>
      </c>
      <c r="HC303">
        <v>1.49442</v>
      </c>
      <c r="HD303">
        <v>20.3296</v>
      </c>
      <c r="HE303">
        <v>5.21639</v>
      </c>
      <c r="HF303">
        <v>12.0099</v>
      </c>
      <c r="HG303">
        <v>4.9883</v>
      </c>
      <c r="HH303">
        <v>3.2885</v>
      </c>
      <c r="HI303">
        <v>1031.1</v>
      </c>
      <c r="HJ303">
        <v>9733.1</v>
      </c>
      <c r="HK303">
        <v>5139.4</v>
      </c>
      <c r="HL303">
        <v>25.3</v>
      </c>
      <c r="HM303">
        <v>1.86746</v>
      </c>
      <c r="HN303">
        <v>1.86646</v>
      </c>
      <c r="HO303">
        <v>1.866</v>
      </c>
      <c r="HP303">
        <v>1.86584</v>
      </c>
      <c r="HQ303">
        <v>1.86769</v>
      </c>
      <c r="HR303">
        <v>1.87022</v>
      </c>
      <c r="HS303">
        <v>1.8689</v>
      </c>
      <c r="HT303">
        <v>1.87022</v>
      </c>
      <c r="HU303">
        <v>0</v>
      </c>
      <c r="HV303">
        <v>0</v>
      </c>
      <c r="HW303">
        <v>0</v>
      </c>
      <c r="HX303">
        <v>0</v>
      </c>
      <c r="HY303" t="s">
        <v>421</v>
      </c>
      <c r="HZ303" t="s">
        <v>422</v>
      </c>
      <c r="IA303" t="s">
        <v>423</v>
      </c>
      <c r="IB303" t="s">
        <v>423</v>
      </c>
      <c r="IC303" t="s">
        <v>423</v>
      </c>
      <c r="ID303" t="s">
        <v>423</v>
      </c>
      <c r="IE303">
        <v>0</v>
      </c>
      <c r="IF303">
        <v>100</v>
      </c>
      <c r="IG303">
        <v>100</v>
      </c>
      <c r="IH303">
        <v>-0.624</v>
      </c>
      <c r="II303">
        <v>0.0245</v>
      </c>
      <c r="IJ303">
        <v>-0.1559367209035702</v>
      </c>
      <c r="IK303">
        <v>-0.002077099775823331</v>
      </c>
      <c r="IL303">
        <v>4.593143279902166E-07</v>
      </c>
      <c r="IM303">
        <v>-1.865383991892071E-10</v>
      </c>
      <c r="IN303">
        <v>-0.0607165066849496</v>
      </c>
      <c r="IO303">
        <v>-0.01129461987421345</v>
      </c>
      <c r="IP303">
        <v>0.00116580895745559</v>
      </c>
      <c r="IQ303">
        <v>-1.679085872906199E-05</v>
      </c>
      <c r="IR303">
        <v>2</v>
      </c>
      <c r="IS303">
        <v>2290</v>
      </c>
      <c r="IT303">
        <v>0</v>
      </c>
      <c r="IU303">
        <v>32</v>
      </c>
      <c r="IV303">
        <v>13.8</v>
      </c>
      <c r="IW303">
        <v>13.7</v>
      </c>
      <c r="IX303">
        <v>0.7775879999999999</v>
      </c>
      <c r="IY303">
        <v>2.22412</v>
      </c>
      <c r="IZ303">
        <v>1.39648</v>
      </c>
      <c r="JA303">
        <v>2.35474</v>
      </c>
      <c r="JB303">
        <v>1.49536</v>
      </c>
      <c r="JC303">
        <v>2.35962</v>
      </c>
      <c r="JD303">
        <v>38.0134</v>
      </c>
      <c r="JE303">
        <v>24.0437</v>
      </c>
      <c r="JF303">
        <v>18</v>
      </c>
      <c r="JG303">
        <v>512.432</v>
      </c>
      <c r="JH303">
        <v>425.694</v>
      </c>
      <c r="JI303">
        <v>23.1521</v>
      </c>
      <c r="JJ303">
        <v>27.9251</v>
      </c>
      <c r="JK303">
        <v>29.9999</v>
      </c>
      <c r="JL303">
        <v>27.9522</v>
      </c>
      <c r="JM303">
        <v>27.8986</v>
      </c>
      <c r="JN303">
        <v>15.6345</v>
      </c>
      <c r="JO303">
        <v>44.9415</v>
      </c>
      <c r="JP303">
        <v>0</v>
      </c>
      <c r="JQ303">
        <v>23.1521</v>
      </c>
      <c r="JR303">
        <v>298.453</v>
      </c>
      <c r="JS303">
        <v>9.41104</v>
      </c>
      <c r="JT303">
        <v>100.415</v>
      </c>
      <c r="JU303">
        <v>100.347</v>
      </c>
    </row>
    <row r="304" spans="1:281">
      <c r="A304">
        <v>288</v>
      </c>
      <c r="B304">
        <v>1651866340</v>
      </c>
      <c r="C304">
        <v>2119.400000095367</v>
      </c>
      <c r="D304" t="s">
        <v>999</v>
      </c>
      <c r="E304" t="s">
        <v>1000</v>
      </c>
      <c r="F304">
        <v>2</v>
      </c>
      <c r="G304" t="s">
        <v>908</v>
      </c>
      <c r="H304" t="s">
        <v>414</v>
      </c>
      <c r="I304">
        <v>1651866338.625</v>
      </c>
      <c r="J304">
        <f>(K304)/1000</f>
        <v>0</v>
      </c>
      <c r="K304">
        <f>IF(CZ304, AN304, AH304)</f>
        <v>0</v>
      </c>
      <c r="L304">
        <f>IF(CZ304, AI304, AG304)</f>
        <v>0</v>
      </c>
      <c r="M304">
        <f>DB304 - IF(AU304&gt;1, L304*CV304*100.0/(AW304*DP304), 0)</f>
        <v>0</v>
      </c>
      <c r="N304">
        <f>((T304-J304/2)*M304-L304)/(T304+J304/2)</f>
        <v>0</v>
      </c>
      <c r="O304">
        <f>N304*(DI304+DJ304)/1000.0</f>
        <v>0</v>
      </c>
      <c r="P304">
        <f>(DB304 - IF(AU304&gt;1, L304*CV304*100.0/(AW304*DP304), 0))*(DI304+DJ304)/1000.0</f>
        <v>0</v>
      </c>
      <c r="Q304">
        <f>2.0/((1/S304-1/R304)+SIGN(S304)*SQRT((1/S304-1/R304)*(1/S304-1/R304) + 4*CW304/((CW304+1)*(CW304+1))*(2*1/S304*1/R304-1/R304*1/R304)))</f>
        <v>0</v>
      </c>
      <c r="R304">
        <f>IF(LEFT(CX304,1)&lt;&gt;"0",IF(LEFT(CX304,1)="1",3.0,CY304),$D$5+$E$5*(DP304*DI304/($K$5*1000))+$F$5*(DP304*DI304/($K$5*1000))*MAX(MIN(CV304,$J$5),$I$5)*MAX(MIN(CV304,$J$5),$I$5)+$G$5*MAX(MIN(CV304,$J$5),$I$5)*(DP304*DI304/($K$5*1000))+$H$5*(DP304*DI304/($K$5*1000))*(DP304*DI304/($K$5*1000)))</f>
        <v>0</v>
      </c>
      <c r="S304">
        <f>J304*(1000-(1000*0.61365*exp(17.502*W304/(240.97+W304))/(DI304+DJ304)+DD304)/2)/(1000*0.61365*exp(17.502*W304/(240.97+W304))/(DI304+DJ304)-DD304)</f>
        <v>0</v>
      </c>
      <c r="T304">
        <f>1/((CW304+1)/(Q304/1.6)+1/(R304/1.37)) + CW304/((CW304+1)/(Q304/1.6) + CW304/(R304/1.37))</f>
        <v>0</v>
      </c>
      <c r="U304">
        <f>(CR304*CU304)</f>
        <v>0</v>
      </c>
      <c r="V304">
        <f>(DK304+(U304+2*0.95*5.67E-8*(((DK304+$B$7)+273)^4-(DK304+273)^4)-44100*J304)/(1.84*29.3*R304+8*0.95*5.67E-8*(DK304+273)^3))</f>
        <v>0</v>
      </c>
      <c r="W304">
        <f>($C$7*DL304+$D$7*DM304+$E$7*V304)</f>
        <v>0</v>
      </c>
      <c r="X304">
        <f>0.61365*exp(17.502*W304/(240.97+W304))</f>
        <v>0</v>
      </c>
      <c r="Y304">
        <f>(Z304/AA304*100)</f>
        <v>0</v>
      </c>
      <c r="Z304">
        <f>DD304*(DI304+DJ304)/1000</f>
        <v>0</v>
      </c>
      <c r="AA304">
        <f>0.61365*exp(17.502*DK304/(240.97+DK304))</f>
        <v>0</v>
      </c>
      <c r="AB304">
        <f>(X304-DD304*(DI304+DJ304)/1000)</f>
        <v>0</v>
      </c>
      <c r="AC304">
        <f>(-J304*44100)</f>
        <v>0</v>
      </c>
      <c r="AD304">
        <f>2*29.3*R304*0.92*(DK304-W304)</f>
        <v>0</v>
      </c>
      <c r="AE304">
        <f>2*0.95*5.67E-8*(((DK304+$B$7)+273)^4-(W304+273)^4)</f>
        <v>0</v>
      </c>
      <c r="AF304">
        <f>U304+AE304+AC304+AD304</f>
        <v>0</v>
      </c>
      <c r="AG304">
        <f>DH304*AU304*(DC304-DB304*(1000-AU304*DE304)/(1000-AU304*DD304))/(100*CV304)</f>
        <v>0</v>
      </c>
      <c r="AH304">
        <f>1000*DH304*AU304*(DD304-DE304)/(100*CV304*(1000-AU304*DD304))</f>
        <v>0</v>
      </c>
      <c r="AI304">
        <f>(AJ304 - AK304 - DI304*1E3/(8.314*(DK304+273.15)) * AM304/DH304 * AL304) * DH304/(100*CV304) * (1000 - DE304)/1000</f>
        <v>0</v>
      </c>
      <c r="AJ304">
        <v>275.6448841538622</v>
      </c>
      <c r="AK304">
        <v>244.9892969696968</v>
      </c>
      <c r="AL304">
        <v>3.119909321829574</v>
      </c>
      <c r="AM304">
        <v>66.38195617057868</v>
      </c>
      <c r="AN304">
        <f>(AP304 - AO304 + DI304*1E3/(8.314*(DK304+273.15)) * AR304/DH304 * AQ304) * DH304/(100*CV304) * 1000/(1000 - AP304)</f>
        <v>0</v>
      </c>
      <c r="AO304">
        <v>9.403956762698865</v>
      </c>
      <c r="AP304">
        <v>18.62840294117646</v>
      </c>
      <c r="AQ304">
        <v>5.466659058906658E-05</v>
      </c>
      <c r="AR304">
        <v>80.47178418790507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MAX(0,($B$13+$C$13*DP304)/(1+$D$13*DP304)*DI304/(DK304+273)*$E$13)</f>
        <v>0</v>
      </c>
      <c r="AX304" t="s">
        <v>417</v>
      </c>
      <c r="AY304" t="s">
        <v>417</v>
      </c>
      <c r="AZ304">
        <v>0</v>
      </c>
      <c r="BA304">
        <v>0</v>
      </c>
      <c r="BB304">
        <f>1-AZ304/BA304</f>
        <v>0</v>
      </c>
      <c r="BC304">
        <v>0</v>
      </c>
      <c r="BD304" t="s">
        <v>417</v>
      </c>
      <c r="BE304" t="s">
        <v>417</v>
      </c>
      <c r="BF304">
        <v>0</v>
      </c>
      <c r="BG304">
        <v>0</v>
      </c>
      <c r="BH304">
        <f>1-BF304/BG304</f>
        <v>0</v>
      </c>
      <c r="BI304">
        <v>0.5</v>
      </c>
      <c r="BJ304">
        <f>CS304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417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BZ304">
        <v>1249</v>
      </c>
      <c r="CA304">
        <v>300</v>
      </c>
      <c r="CB304">
        <v>300</v>
      </c>
      <c r="CC304">
        <v>300</v>
      </c>
      <c r="CD304">
        <v>10442.4</v>
      </c>
      <c r="CE304">
        <v>1239.69</v>
      </c>
      <c r="CF304">
        <v>-0.00735276</v>
      </c>
      <c r="CG304">
        <v>0.07000000000000001</v>
      </c>
      <c r="CH304" t="s">
        <v>417</v>
      </c>
      <c r="CI304" t="s">
        <v>417</v>
      </c>
      <c r="CJ304" t="s">
        <v>417</v>
      </c>
      <c r="CK304" t="s">
        <v>417</v>
      </c>
      <c r="CL304" t="s">
        <v>417</v>
      </c>
      <c r="CM304" t="s">
        <v>417</v>
      </c>
      <c r="CN304" t="s">
        <v>417</v>
      </c>
      <c r="CO304" t="s">
        <v>417</v>
      </c>
      <c r="CP304" t="s">
        <v>417</v>
      </c>
      <c r="CQ304" t="s">
        <v>417</v>
      </c>
      <c r="CR304">
        <f>$B$11*DQ304+$C$11*DR304+$F$11*EC304*(1-EF304)</f>
        <v>0</v>
      </c>
      <c r="CS304">
        <f>CR304*CT304</f>
        <v>0</v>
      </c>
      <c r="CT304">
        <f>($B$11*$D$9+$C$11*$D$9+$F$11*((EP304+EH304)/MAX(EP304+EH304+EQ304, 0.1)*$I$9+EQ304/MAX(EP304+EH304+EQ304, 0.1)*$J$9))/($B$11+$C$11+$F$11)</f>
        <v>0</v>
      </c>
      <c r="CU304">
        <f>($B$11*$K$9+$C$11*$K$9+$F$11*((EP304+EH304)/MAX(EP304+EH304+EQ304, 0.1)*$P$9+EQ304/MAX(EP304+EH304+EQ304, 0.1)*$Q$9))/($B$11+$C$11+$F$11)</f>
        <v>0</v>
      </c>
      <c r="CV304">
        <v>6</v>
      </c>
      <c r="CW304">
        <v>0.5</v>
      </c>
      <c r="CX304" t="s">
        <v>418</v>
      </c>
      <c r="CY304">
        <v>2</v>
      </c>
      <c r="CZ304" t="b">
        <v>1</v>
      </c>
      <c r="DA304">
        <v>1651866338.625</v>
      </c>
      <c r="DB304">
        <v>237.74725</v>
      </c>
      <c r="DC304">
        <v>277.7005</v>
      </c>
      <c r="DD304">
        <v>18.62575</v>
      </c>
      <c r="DE304">
        <v>9.4029325</v>
      </c>
      <c r="DF304">
        <v>238.37475</v>
      </c>
      <c r="DG304">
        <v>18.60125</v>
      </c>
      <c r="DH304">
        <v>499.997</v>
      </c>
      <c r="DI304">
        <v>89.922275</v>
      </c>
      <c r="DJ304">
        <v>0.09999752500000002</v>
      </c>
      <c r="DK304">
        <v>25.88795</v>
      </c>
      <c r="DL304">
        <v>25.002275</v>
      </c>
      <c r="DM304">
        <v>999.9</v>
      </c>
      <c r="DN304">
        <v>0</v>
      </c>
      <c r="DO304">
        <v>0</v>
      </c>
      <c r="DP304">
        <v>10000.3</v>
      </c>
      <c r="DQ304">
        <v>0</v>
      </c>
      <c r="DR304">
        <v>3.2308775</v>
      </c>
      <c r="DS304">
        <v>-39.952825</v>
      </c>
      <c r="DT304">
        <v>242.2595</v>
      </c>
      <c r="DU304">
        <v>280.33625</v>
      </c>
      <c r="DV304">
        <v>9.222827499999999</v>
      </c>
      <c r="DW304">
        <v>277.7005</v>
      </c>
      <c r="DX304">
        <v>9.4029325</v>
      </c>
      <c r="DY304">
        <v>1.6748725</v>
      </c>
      <c r="DZ304">
        <v>0.845533</v>
      </c>
      <c r="EA304">
        <v>14.665475</v>
      </c>
      <c r="EB304">
        <v>4.495609999999999</v>
      </c>
      <c r="EC304">
        <v>1500.04</v>
      </c>
      <c r="ED304">
        <v>0.9730077500000001</v>
      </c>
      <c r="EE304">
        <v>0.02699215</v>
      </c>
      <c r="EF304">
        <v>0</v>
      </c>
      <c r="EG304">
        <v>841.2932499999999</v>
      </c>
      <c r="EH304">
        <v>5.00097</v>
      </c>
      <c r="EI304">
        <v>12571.725</v>
      </c>
      <c r="EJ304">
        <v>12491.975</v>
      </c>
      <c r="EK304">
        <v>39.17149999999999</v>
      </c>
      <c r="EL304">
        <v>41.2655</v>
      </c>
      <c r="EM304">
        <v>39.437</v>
      </c>
      <c r="EN304">
        <v>41.812</v>
      </c>
      <c r="EO304">
        <v>40.3905</v>
      </c>
      <c r="EP304">
        <v>1454.6875</v>
      </c>
      <c r="EQ304">
        <v>40.3525</v>
      </c>
      <c r="ER304">
        <v>0</v>
      </c>
      <c r="ES304">
        <v>857.6000001430511</v>
      </c>
      <c r="ET304">
        <v>0</v>
      </c>
      <c r="EU304">
        <v>841.5865769230769</v>
      </c>
      <c r="EV304">
        <v>-5.196888866622341</v>
      </c>
      <c r="EW304">
        <v>-22.758974301643</v>
      </c>
      <c r="EX304">
        <v>12571.02692307692</v>
      </c>
      <c r="EY304">
        <v>15</v>
      </c>
      <c r="EZ304">
        <v>1651865518.1</v>
      </c>
      <c r="FA304" t="s">
        <v>910</v>
      </c>
      <c r="FB304">
        <v>1651865507.1</v>
      </c>
      <c r="FC304">
        <v>1651865518.1</v>
      </c>
      <c r="FD304">
        <v>8</v>
      </c>
      <c r="FE304">
        <v>0.06</v>
      </c>
      <c r="FF304">
        <v>0</v>
      </c>
      <c r="FG304">
        <v>-0.927</v>
      </c>
      <c r="FH304">
        <v>-0.062</v>
      </c>
      <c r="FI304">
        <v>400</v>
      </c>
      <c r="FJ304">
        <v>11</v>
      </c>
      <c r="FK304">
        <v>0.11</v>
      </c>
      <c r="FL304">
        <v>0.01</v>
      </c>
      <c r="FM304">
        <v>-37.0884875</v>
      </c>
      <c r="FN304">
        <v>-18.13979999999998</v>
      </c>
      <c r="FO304">
        <v>1.745436690227907</v>
      </c>
      <c r="FP304">
        <v>-1</v>
      </c>
      <c r="FQ304">
        <v>9.196717250000001</v>
      </c>
      <c r="FR304">
        <v>0.1661109568480362</v>
      </c>
      <c r="FS304">
        <v>0.01607993003521784</v>
      </c>
      <c r="FT304">
        <v>-1</v>
      </c>
      <c r="FU304">
        <v>0</v>
      </c>
      <c r="FV304">
        <v>0</v>
      </c>
      <c r="FW304">
        <v>0</v>
      </c>
      <c r="FX304">
        <v>-1</v>
      </c>
      <c r="FY304">
        <v>0</v>
      </c>
      <c r="FZ304">
        <v>0</v>
      </c>
      <c r="GA304" t="s">
        <v>420</v>
      </c>
      <c r="GB304">
        <v>2.98128</v>
      </c>
      <c r="GC304">
        <v>2.70631</v>
      </c>
      <c r="GD304">
        <v>0.0599733</v>
      </c>
      <c r="GE304">
        <v>0.06749769999999999</v>
      </c>
      <c r="GF304">
        <v>0.08873499999999999</v>
      </c>
      <c r="GG304">
        <v>0.0528686</v>
      </c>
      <c r="GH304">
        <v>29703.8</v>
      </c>
      <c r="GI304">
        <v>29529.7</v>
      </c>
      <c r="GJ304">
        <v>29376.8</v>
      </c>
      <c r="GK304">
        <v>29291.5</v>
      </c>
      <c r="GL304">
        <v>35444</v>
      </c>
      <c r="GM304">
        <v>36955.7</v>
      </c>
      <c r="GN304">
        <v>41348.2</v>
      </c>
      <c r="GO304">
        <v>41810.6</v>
      </c>
      <c r="GP304">
        <v>1.96623</v>
      </c>
      <c r="GQ304">
        <v>1.85322</v>
      </c>
      <c r="GR304">
        <v>-0.00569969</v>
      </c>
      <c r="GS304">
        <v>0</v>
      </c>
      <c r="GT304">
        <v>25.0953</v>
      </c>
      <c r="GU304">
        <v>999.9</v>
      </c>
      <c r="GV304">
        <v>29.8</v>
      </c>
      <c r="GW304">
        <v>34.2</v>
      </c>
      <c r="GX304">
        <v>17.9047</v>
      </c>
      <c r="GY304">
        <v>62.4076</v>
      </c>
      <c r="GZ304">
        <v>35.4527</v>
      </c>
      <c r="HA304">
        <v>1</v>
      </c>
      <c r="HB304">
        <v>0.0463211</v>
      </c>
      <c r="HC304">
        <v>1.49408</v>
      </c>
      <c r="HD304">
        <v>20.3296</v>
      </c>
      <c r="HE304">
        <v>5.21654</v>
      </c>
      <c r="HF304">
        <v>12.0099</v>
      </c>
      <c r="HG304">
        <v>4.9884</v>
      </c>
      <c r="HH304">
        <v>3.28848</v>
      </c>
      <c r="HI304">
        <v>1031.1</v>
      </c>
      <c r="HJ304">
        <v>9733.1</v>
      </c>
      <c r="HK304">
        <v>5139.4</v>
      </c>
      <c r="HL304">
        <v>25.3</v>
      </c>
      <c r="HM304">
        <v>1.86746</v>
      </c>
      <c r="HN304">
        <v>1.86646</v>
      </c>
      <c r="HO304">
        <v>1.866</v>
      </c>
      <c r="HP304">
        <v>1.86584</v>
      </c>
      <c r="HQ304">
        <v>1.86768</v>
      </c>
      <c r="HR304">
        <v>1.87021</v>
      </c>
      <c r="HS304">
        <v>1.8689</v>
      </c>
      <c r="HT304">
        <v>1.87021</v>
      </c>
      <c r="HU304">
        <v>0</v>
      </c>
      <c r="HV304">
        <v>0</v>
      </c>
      <c r="HW304">
        <v>0</v>
      </c>
      <c r="HX304">
        <v>0</v>
      </c>
      <c r="HY304" t="s">
        <v>421</v>
      </c>
      <c r="HZ304" t="s">
        <v>422</v>
      </c>
      <c r="IA304" t="s">
        <v>423</v>
      </c>
      <c r="IB304" t="s">
        <v>423</v>
      </c>
      <c r="IC304" t="s">
        <v>423</v>
      </c>
      <c r="ID304" t="s">
        <v>423</v>
      </c>
      <c r="IE304">
        <v>0</v>
      </c>
      <c r="IF304">
        <v>100</v>
      </c>
      <c r="IG304">
        <v>100</v>
      </c>
      <c r="IH304">
        <v>-0.636</v>
      </c>
      <c r="II304">
        <v>0.0245</v>
      </c>
      <c r="IJ304">
        <v>-0.1559367209035702</v>
      </c>
      <c r="IK304">
        <v>-0.002077099775823331</v>
      </c>
      <c r="IL304">
        <v>4.593143279902166E-07</v>
      </c>
      <c r="IM304">
        <v>-1.865383991892071E-10</v>
      </c>
      <c r="IN304">
        <v>-0.0607165066849496</v>
      </c>
      <c r="IO304">
        <v>-0.01129461987421345</v>
      </c>
      <c r="IP304">
        <v>0.00116580895745559</v>
      </c>
      <c r="IQ304">
        <v>-1.679085872906199E-05</v>
      </c>
      <c r="IR304">
        <v>2</v>
      </c>
      <c r="IS304">
        <v>2290</v>
      </c>
      <c r="IT304">
        <v>0</v>
      </c>
      <c r="IU304">
        <v>32</v>
      </c>
      <c r="IV304">
        <v>13.9</v>
      </c>
      <c r="IW304">
        <v>13.7</v>
      </c>
      <c r="IX304">
        <v>0.7922360000000001</v>
      </c>
      <c r="IY304">
        <v>2.22778</v>
      </c>
      <c r="IZ304">
        <v>1.39648</v>
      </c>
      <c r="JA304">
        <v>2.35596</v>
      </c>
      <c r="JB304">
        <v>1.49536</v>
      </c>
      <c r="JC304">
        <v>2.35229</v>
      </c>
      <c r="JD304">
        <v>38.0134</v>
      </c>
      <c r="JE304">
        <v>24.0437</v>
      </c>
      <c r="JF304">
        <v>18</v>
      </c>
      <c r="JG304">
        <v>512.258</v>
      </c>
      <c r="JH304">
        <v>425.821</v>
      </c>
      <c r="JI304">
        <v>23.1521</v>
      </c>
      <c r="JJ304">
        <v>27.9251</v>
      </c>
      <c r="JK304">
        <v>29.9999</v>
      </c>
      <c r="JL304">
        <v>27.9511</v>
      </c>
      <c r="JM304">
        <v>27.8979</v>
      </c>
      <c r="JN304">
        <v>15.9179</v>
      </c>
      <c r="JO304">
        <v>44.9415</v>
      </c>
      <c r="JP304">
        <v>0</v>
      </c>
      <c r="JQ304">
        <v>23.1521</v>
      </c>
      <c r="JR304">
        <v>305.133</v>
      </c>
      <c r="JS304">
        <v>9.41107</v>
      </c>
      <c r="JT304">
        <v>100.414</v>
      </c>
      <c r="JU304">
        <v>100.346</v>
      </c>
    </row>
    <row r="305" spans="1:281">
      <c r="A305">
        <v>289</v>
      </c>
      <c r="B305">
        <v>1651866342</v>
      </c>
      <c r="C305">
        <v>2121.400000095367</v>
      </c>
      <c r="D305" t="s">
        <v>1001</v>
      </c>
      <c r="E305" t="s">
        <v>1002</v>
      </c>
      <c r="F305">
        <v>2</v>
      </c>
      <c r="G305" t="s">
        <v>908</v>
      </c>
      <c r="H305" t="s">
        <v>414</v>
      </c>
      <c r="I305">
        <v>1651866341</v>
      </c>
      <c r="J305">
        <f>(K305)/1000</f>
        <v>0</v>
      </c>
      <c r="K305">
        <f>IF(CZ305, AN305, AH305)</f>
        <v>0</v>
      </c>
      <c r="L305">
        <f>IF(CZ305, AI305, AG305)</f>
        <v>0</v>
      </c>
      <c r="M305">
        <f>DB305 - IF(AU305&gt;1, L305*CV305*100.0/(AW305*DP305), 0)</f>
        <v>0</v>
      </c>
      <c r="N305">
        <f>((T305-J305/2)*M305-L305)/(T305+J305/2)</f>
        <v>0</v>
      </c>
      <c r="O305">
        <f>N305*(DI305+DJ305)/1000.0</f>
        <v>0</v>
      </c>
      <c r="P305">
        <f>(DB305 - IF(AU305&gt;1, L305*CV305*100.0/(AW305*DP305), 0))*(DI305+DJ305)/1000.0</f>
        <v>0</v>
      </c>
      <c r="Q305">
        <f>2.0/((1/S305-1/R305)+SIGN(S305)*SQRT((1/S305-1/R305)*(1/S305-1/R305) + 4*CW305/((CW305+1)*(CW305+1))*(2*1/S305*1/R305-1/R305*1/R305)))</f>
        <v>0</v>
      </c>
      <c r="R305">
        <f>IF(LEFT(CX305,1)&lt;&gt;"0",IF(LEFT(CX305,1)="1",3.0,CY305),$D$5+$E$5*(DP305*DI305/($K$5*1000))+$F$5*(DP305*DI305/($K$5*1000))*MAX(MIN(CV305,$J$5),$I$5)*MAX(MIN(CV305,$J$5),$I$5)+$G$5*MAX(MIN(CV305,$J$5),$I$5)*(DP305*DI305/($K$5*1000))+$H$5*(DP305*DI305/($K$5*1000))*(DP305*DI305/($K$5*1000)))</f>
        <v>0</v>
      </c>
      <c r="S305">
        <f>J305*(1000-(1000*0.61365*exp(17.502*W305/(240.97+W305))/(DI305+DJ305)+DD305)/2)/(1000*0.61365*exp(17.502*W305/(240.97+W305))/(DI305+DJ305)-DD305)</f>
        <v>0</v>
      </c>
      <c r="T305">
        <f>1/((CW305+1)/(Q305/1.6)+1/(R305/1.37)) + CW305/((CW305+1)/(Q305/1.6) + CW305/(R305/1.37))</f>
        <v>0</v>
      </c>
      <c r="U305">
        <f>(CR305*CU305)</f>
        <v>0</v>
      </c>
      <c r="V305">
        <f>(DK305+(U305+2*0.95*5.67E-8*(((DK305+$B$7)+273)^4-(DK305+273)^4)-44100*J305)/(1.84*29.3*R305+8*0.95*5.67E-8*(DK305+273)^3))</f>
        <v>0</v>
      </c>
      <c r="W305">
        <f>($C$7*DL305+$D$7*DM305+$E$7*V305)</f>
        <v>0</v>
      </c>
      <c r="X305">
        <f>0.61365*exp(17.502*W305/(240.97+W305))</f>
        <v>0</v>
      </c>
      <c r="Y305">
        <f>(Z305/AA305*100)</f>
        <v>0</v>
      </c>
      <c r="Z305">
        <f>DD305*(DI305+DJ305)/1000</f>
        <v>0</v>
      </c>
      <c r="AA305">
        <f>0.61365*exp(17.502*DK305/(240.97+DK305))</f>
        <v>0</v>
      </c>
      <c r="AB305">
        <f>(X305-DD305*(DI305+DJ305)/1000)</f>
        <v>0</v>
      </c>
      <c r="AC305">
        <f>(-J305*44100)</f>
        <v>0</v>
      </c>
      <c r="AD305">
        <f>2*29.3*R305*0.92*(DK305-W305)</f>
        <v>0</v>
      </c>
      <c r="AE305">
        <f>2*0.95*5.67E-8*(((DK305+$B$7)+273)^4-(W305+273)^4)</f>
        <v>0</v>
      </c>
      <c r="AF305">
        <f>U305+AE305+AC305+AD305</f>
        <v>0</v>
      </c>
      <c r="AG305">
        <f>DH305*AU305*(DC305-DB305*(1000-AU305*DE305)/(1000-AU305*DD305))/(100*CV305)</f>
        <v>0</v>
      </c>
      <c r="AH305">
        <f>1000*DH305*AU305*(DD305-DE305)/(100*CV305*(1000-AU305*DD305))</f>
        <v>0</v>
      </c>
      <c r="AI305">
        <f>(AJ305 - AK305 - DI305*1E3/(8.314*(DK305+273.15)) * AM305/DH305 * AL305) * DH305/(100*CV305) * (1000 - DE305)/1000</f>
        <v>0</v>
      </c>
      <c r="AJ305">
        <v>282.3662093012327</v>
      </c>
      <c r="AK305">
        <v>251.2009939393939</v>
      </c>
      <c r="AL305">
        <v>3.111616075620009</v>
      </c>
      <c r="AM305">
        <v>66.38195617057868</v>
      </c>
      <c r="AN305">
        <f>(AP305 - AO305 + DI305*1E3/(8.314*(DK305+273.15)) * AR305/DH305 * AQ305) * DH305/(100*CV305) * 1000/(1000 - AP305)</f>
        <v>0</v>
      </c>
      <c r="AO305">
        <v>9.403567358174142</v>
      </c>
      <c r="AP305">
        <v>18.63009705882353</v>
      </c>
      <c r="AQ305">
        <v>0.0001185187642568407</v>
      </c>
      <c r="AR305">
        <v>80.47178418790507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MAX(0,($B$13+$C$13*DP305)/(1+$D$13*DP305)*DI305/(DK305+273)*$E$13)</f>
        <v>0</v>
      </c>
      <c r="AX305" t="s">
        <v>417</v>
      </c>
      <c r="AY305" t="s">
        <v>417</v>
      </c>
      <c r="AZ305">
        <v>0</v>
      </c>
      <c r="BA305">
        <v>0</v>
      </c>
      <c r="BB305">
        <f>1-AZ305/BA305</f>
        <v>0</v>
      </c>
      <c r="BC305">
        <v>0</v>
      </c>
      <c r="BD305" t="s">
        <v>417</v>
      </c>
      <c r="BE305" t="s">
        <v>417</v>
      </c>
      <c r="BF305">
        <v>0</v>
      </c>
      <c r="BG305">
        <v>0</v>
      </c>
      <c r="BH305">
        <f>1-BF305/BG305</f>
        <v>0</v>
      </c>
      <c r="BI305">
        <v>0.5</v>
      </c>
      <c r="BJ305">
        <f>CS305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417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BZ305">
        <v>1249</v>
      </c>
      <c r="CA305">
        <v>300</v>
      </c>
      <c r="CB305">
        <v>300</v>
      </c>
      <c r="CC305">
        <v>300</v>
      </c>
      <c r="CD305">
        <v>10442.4</v>
      </c>
      <c r="CE305">
        <v>1239.69</v>
      </c>
      <c r="CF305">
        <v>-0.00735276</v>
      </c>
      <c r="CG305">
        <v>0.07000000000000001</v>
      </c>
      <c r="CH305" t="s">
        <v>417</v>
      </c>
      <c r="CI305" t="s">
        <v>417</v>
      </c>
      <c r="CJ305" t="s">
        <v>417</v>
      </c>
      <c r="CK305" t="s">
        <v>417</v>
      </c>
      <c r="CL305" t="s">
        <v>417</v>
      </c>
      <c r="CM305" t="s">
        <v>417</v>
      </c>
      <c r="CN305" t="s">
        <v>417</v>
      </c>
      <c r="CO305" t="s">
        <v>417</v>
      </c>
      <c r="CP305" t="s">
        <v>417</v>
      </c>
      <c r="CQ305" t="s">
        <v>417</v>
      </c>
      <c r="CR305">
        <f>$B$11*DQ305+$C$11*DR305+$F$11*EC305*(1-EF305)</f>
        <v>0</v>
      </c>
      <c r="CS305">
        <f>CR305*CT305</f>
        <v>0</v>
      </c>
      <c r="CT305">
        <f>($B$11*$D$9+$C$11*$D$9+$F$11*((EP305+EH305)/MAX(EP305+EH305+EQ305, 0.1)*$I$9+EQ305/MAX(EP305+EH305+EQ305, 0.1)*$J$9))/($B$11+$C$11+$F$11)</f>
        <v>0</v>
      </c>
      <c r="CU305">
        <f>($B$11*$K$9+$C$11*$K$9+$F$11*((EP305+EH305)/MAX(EP305+EH305+EQ305, 0.1)*$P$9+EQ305/MAX(EP305+EH305+EQ305, 0.1)*$Q$9))/($B$11+$C$11+$F$11)</f>
        <v>0</v>
      </c>
      <c r="CV305">
        <v>6</v>
      </c>
      <c r="CW305">
        <v>0.5</v>
      </c>
      <c r="CX305" t="s">
        <v>418</v>
      </c>
      <c r="CY305">
        <v>2</v>
      </c>
      <c r="CZ305" t="b">
        <v>1</v>
      </c>
      <c r="DA305">
        <v>1651866341</v>
      </c>
      <c r="DB305">
        <v>245</v>
      </c>
      <c r="DC305">
        <v>285.697</v>
      </c>
      <c r="DD305">
        <v>18.62873333333333</v>
      </c>
      <c r="DE305">
        <v>9.401243333333333</v>
      </c>
      <c r="DF305">
        <v>245.641</v>
      </c>
      <c r="DG305">
        <v>18.60416666666667</v>
      </c>
      <c r="DH305">
        <v>500.0620000000001</v>
      </c>
      <c r="DI305">
        <v>89.92246666666666</v>
      </c>
      <c r="DJ305">
        <v>0.1000983333333333</v>
      </c>
      <c r="DK305">
        <v>25.89176666666667</v>
      </c>
      <c r="DL305">
        <v>25.00033333333333</v>
      </c>
      <c r="DM305">
        <v>999.9</v>
      </c>
      <c r="DN305">
        <v>0</v>
      </c>
      <c r="DO305">
        <v>0</v>
      </c>
      <c r="DP305">
        <v>10010.63333333333</v>
      </c>
      <c r="DQ305">
        <v>0</v>
      </c>
      <c r="DR305">
        <v>3.216476666666667</v>
      </c>
      <c r="DS305">
        <v>-40.6972</v>
      </c>
      <c r="DT305">
        <v>249.6503333333334</v>
      </c>
      <c r="DU305">
        <v>288.4083333333333</v>
      </c>
      <c r="DV305">
        <v>9.227463333333333</v>
      </c>
      <c r="DW305">
        <v>285.697</v>
      </c>
      <c r="DX305">
        <v>9.401243333333333</v>
      </c>
      <c r="DY305">
        <v>1.67514</v>
      </c>
      <c r="DZ305">
        <v>0.8453833333333334</v>
      </c>
      <c r="EA305">
        <v>14.66796666666667</v>
      </c>
      <c r="EB305">
        <v>4.493076666666666</v>
      </c>
      <c r="EC305">
        <v>1500.003333333333</v>
      </c>
      <c r="ED305">
        <v>0.9730089999999999</v>
      </c>
      <c r="EE305">
        <v>0.0269908</v>
      </c>
      <c r="EF305">
        <v>0</v>
      </c>
      <c r="EG305">
        <v>841.7863333333333</v>
      </c>
      <c r="EH305">
        <v>5.00097</v>
      </c>
      <c r="EI305">
        <v>12576.96666666667</v>
      </c>
      <c r="EJ305">
        <v>12491.63333333333</v>
      </c>
      <c r="EK305">
        <v>39.208</v>
      </c>
      <c r="EL305">
        <v>41.312</v>
      </c>
      <c r="EM305">
        <v>39.5</v>
      </c>
      <c r="EN305">
        <v>41.875</v>
      </c>
      <c r="EO305">
        <v>40.437</v>
      </c>
      <c r="EP305">
        <v>1454.653333333334</v>
      </c>
      <c r="EQ305">
        <v>40.35</v>
      </c>
      <c r="ER305">
        <v>0</v>
      </c>
      <c r="ES305">
        <v>859.4000000953674</v>
      </c>
      <c r="ET305">
        <v>0</v>
      </c>
      <c r="EU305">
        <v>841.4734</v>
      </c>
      <c r="EV305">
        <v>-2.195923075122868</v>
      </c>
      <c r="EW305">
        <v>20.3307692057037</v>
      </c>
      <c r="EX305">
        <v>12570.796</v>
      </c>
      <c r="EY305">
        <v>15</v>
      </c>
      <c r="EZ305">
        <v>1651865518.1</v>
      </c>
      <c r="FA305" t="s">
        <v>910</v>
      </c>
      <c r="FB305">
        <v>1651865507.1</v>
      </c>
      <c r="FC305">
        <v>1651865518.1</v>
      </c>
      <c r="FD305">
        <v>8</v>
      </c>
      <c r="FE305">
        <v>0.06</v>
      </c>
      <c r="FF305">
        <v>0</v>
      </c>
      <c r="FG305">
        <v>-0.927</v>
      </c>
      <c r="FH305">
        <v>-0.062</v>
      </c>
      <c r="FI305">
        <v>400</v>
      </c>
      <c r="FJ305">
        <v>11</v>
      </c>
      <c r="FK305">
        <v>0.11</v>
      </c>
      <c r="FL305">
        <v>0.01</v>
      </c>
      <c r="FM305">
        <v>-37.76968292682928</v>
      </c>
      <c r="FN305">
        <v>-18.25350522648092</v>
      </c>
      <c r="FO305">
        <v>1.800308498618032</v>
      </c>
      <c r="FP305">
        <v>-1</v>
      </c>
      <c r="FQ305">
        <v>9.202676829268293</v>
      </c>
      <c r="FR305">
        <v>0.1671219512195029</v>
      </c>
      <c r="FS305">
        <v>0.01656933877701321</v>
      </c>
      <c r="FT305">
        <v>-1</v>
      </c>
      <c r="FU305">
        <v>0</v>
      </c>
      <c r="FV305">
        <v>0</v>
      </c>
      <c r="FW305">
        <v>0</v>
      </c>
      <c r="FX305">
        <v>-1</v>
      </c>
      <c r="FY305">
        <v>0</v>
      </c>
      <c r="FZ305">
        <v>0</v>
      </c>
      <c r="GA305" t="s">
        <v>420</v>
      </c>
      <c r="GB305">
        <v>2.98145</v>
      </c>
      <c r="GC305">
        <v>2.70636</v>
      </c>
      <c r="GD305">
        <v>0.0612672</v>
      </c>
      <c r="GE305">
        <v>0.06884800000000001</v>
      </c>
      <c r="GF305">
        <v>0.08873979999999999</v>
      </c>
      <c r="GG305">
        <v>0.0528625</v>
      </c>
      <c r="GH305">
        <v>29662.5</v>
      </c>
      <c r="GI305">
        <v>29487</v>
      </c>
      <c r="GJ305">
        <v>29376.4</v>
      </c>
      <c r="GK305">
        <v>29291.6</v>
      </c>
      <c r="GL305">
        <v>35443.4</v>
      </c>
      <c r="GM305">
        <v>36955.9</v>
      </c>
      <c r="GN305">
        <v>41347.6</v>
      </c>
      <c r="GO305">
        <v>41810.7</v>
      </c>
      <c r="GP305">
        <v>1.96648</v>
      </c>
      <c r="GQ305">
        <v>1.85308</v>
      </c>
      <c r="GR305">
        <v>-0.00607222</v>
      </c>
      <c r="GS305">
        <v>0</v>
      </c>
      <c r="GT305">
        <v>25.0948</v>
      </c>
      <c r="GU305">
        <v>999.9</v>
      </c>
      <c r="GV305">
        <v>29.8</v>
      </c>
      <c r="GW305">
        <v>34.2</v>
      </c>
      <c r="GX305">
        <v>17.9061</v>
      </c>
      <c r="GY305">
        <v>62.4476</v>
      </c>
      <c r="GZ305">
        <v>35.1322</v>
      </c>
      <c r="HA305">
        <v>1</v>
      </c>
      <c r="HB305">
        <v>0.0460391</v>
      </c>
      <c r="HC305">
        <v>1.49398</v>
      </c>
      <c r="HD305">
        <v>20.3296</v>
      </c>
      <c r="HE305">
        <v>5.21669</v>
      </c>
      <c r="HF305">
        <v>12.0099</v>
      </c>
      <c r="HG305">
        <v>4.9886</v>
      </c>
      <c r="HH305">
        <v>3.28845</v>
      </c>
      <c r="HI305">
        <v>1031.1</v>
      </c>
      <c r="HJ305">
        <v>9733.1</v>
      </c>
      <c r="HK305">
        <v>5139.4</v>
      </c>
      <c r="HL305">
        <v>25.3</v>
      </c>
      <c r="HM305">
        <v>1.86746</v>
      </c>
      <c r="HN305">
        <v>1.86646</v>
      </c>
      <c r="HO305">
        <v>1.866</v>
      </c>
      <c r="HP305">
        <v>1.86584</v>
      </c>
      <c r="HQ305">
        <v>1.86768</v>
      </c>
      <c r="HR305">
        <v>1.8702</v>
      </c>
      <c r="HS305">
        <v>1.8689</v>
      </c>
      <c r="HT305">
        <v>1.8702</v>
      </c>
      <c r="HU305">
        <v>0</v>
      </c>
      <c r="HV305">
        <v>0</v>
      </c>
      <c r="HW305">
        <v>0</v>
      </c>
      <c r="HX305">
        <v>0</v>
      </c>
      <c r="HY305" t="s">
        <v>421</v>
      </c>
      <c r="HZ305" t="s">
        <v>422</v>
      </c>
      <c r="IA305" t="s">
        <v>423</v>
      </c>
      <c r="IB305" t="s">
        <v>423</v>
      </c>
      <c r="IC305" t="s">
        <v>423</v>
      </c>
      <c r="ID305" t="s">
        <v>423</v>
      </c>
      <c r="IE305">
        <v>0</v>
      </c>
      <c r="IF305">
        <v>100</v>
      </c>
      <c r="IG305">
        <v>100</v>
      </c>
      <c r="IH305">
        <v>-0.647</v>
      </c>
      <c r="II305">
        <v>0.0246</v>
      </c>
      <c r="IJ305">
        <v>-0.1559367209035702</v>
      </c>
      <c r="IK305">
        <v>-0.002077099775823331</v>
      </c>
      <c r="IL305">
        <v>4.593143279902166E-07</v>
      </c>
      <c r="IM305">
        <v>-1.865383991892071E-10</v>
      </c>
      <c r="IN305">
        <v>-0.0607165066849496</v>
      </c>
      <c r="IO305">
        <v>-0.01129461987421345</v>
      </c>
      <c r="IP305">
        <v>0.00116580895745559</v>
      </c>
      <c r="IQ305">
        <v>-1.679085872906199E-05</v>
      </c>
      <c r="IR305">
        <v>2</v>
      </c>
      <c r="IS305">
        <v>2290</v>
      </c>
      <c r="IT305">
        <v>0</v>
      </c>
      <c r="IU305">
        <v>32</v>
      </c>
      <c r="IV305">
        <v>13.9</v>
      </c>
      <c r="IW305">
        <v>13.7</v>
      </c>
      <c r="IX305">
        <v>0.806885</v>
      </c>
      <c r="IY305">
        <v>2.23267</v>
      </c>
      <c r="IZ305">
        <v>1.39648</v>
      </c>
      <c r="JA305">
        <v>2.35596</v>
      </c>
      <c r="JB305">
        <v>1.49536</v>
      </c>
      <c r="JC305">
        <v>2.30103</v>
      </c>
      <c r="JD305">
        <v>38.0134</v>
      </c>
      <c r="JE305">
        <v>24.035</v>
      </c>
      <c r="JF305">
        <v>18</v>
      </c>
      <c r="JG305">
        <v>512.4160000000001</v>
      </c>
      <c r="JH305">
        <v>425.725</v>
      </c>
      <c r="JI305">
        <v>23.152</v>
      </c>
      <c r="JJ305">
        <v>27.9239</v>
      </c>
      <c r="JK305">
        <v>29.9999</v>
      </c>
      <c r="JL305">
        <v>27.9505</v>
      </c>
      <c r="JM305">
        <v>27.8969</v>
      </c>
      <c r="JN305">
        <v>16.1992</v>
      </c>
      <c r="JO305">
        <v>44.9415</v>
      </c>
      <c r="JP305">
        <v>0</v>
      </c>
      <c r="JQ305">
        <v>23.1521</v>
      </c>
      <c r="JR305">
        <v>311.816</v>
      </c>
      <c r="JS305">
        <v>9.40335</v>
      </c>
      <c r="JT305">
        <v>100.413</v>
      </c>
      <c r="JU305">
        <v>100.346</v>
      </c>
    </row>
    <row r="306" spans="1:281">
      <c r="A306">
        <v>290</v>
      </c>
      <c r="B306">
        <v>1651866344</v>
      </c>
      <c r="C306">
        <v>2123.400000095367</v>
      </c>
      <c r="D306" t="s">
        <v>1003</v>
      </c>
      <c r="E306" t="s">
        <v>1004</v>
      </c>
      <c r="F306">
        <v>2</v>
      </c>
      <c r="G306" t="s">
        <v>908</v>
      </c>
      <c r="H306" t="s">
        <v>414</v>
      </c>
      <c r="I306">
        <v>1651866342.625</v>
      </c>
      <c r="J306">
        <f>(K306)/1000</f>
        <v>0</v>
      </c>
      <c r="K306">
        <f>IF(CZ306, AN306, AH306)</f>
        <v>0</v>
      </c>
      <c r="L306">
        <f>IF(CZ306, AI306, AG306)</f>
        <v>0</v>
      </c>
      <c r="M306">
        <f>DB306 - IF(AU306&gt;1, L306*CV306*100.0/(AW306*DP306), 0)</f>
        <v>0</v>
      </c>
      <c r="N306">
        <f>((T306-J306/2)*M306-L306)/(T306+J306/2)</f>
        <v>0</v>
      </c>
      <c r="O306">
        <f>N306*(DI306+DJ306)/1000.0</f>
        <v>0</v>
      </c>
      <c r="P306">
        <f>(DB306 - IF(AU306&gt;1, L306*CV306*100.0/(AW306*DP306), 0))*(DI306+DJ306)/1000.0</f>
        <v>0</v>
      </c>
      <c r="Q306">
        <f>2.0/((1/S306-1/R306)+SIGN(S306)*SQRT((1/S306-1/R306)*(1/S306-1/R306) + 4*CW306/((CW306+1)*(CW306+1))*(2*1/S306*1/R306-1/R306*1/R306)))</f>
        <v>0</v>
      </c>
      <c r="R306">
        <f>IF(LEFT(CX306,1)&lt;&gt;"0",IF(LEFT(CX306,1)="1",3.0,CY306),$D$5+$E$5*(DP306*DI306/($K$5*1000))+$F$5*(DP306*DI306/($K$5*1000))*MAX(MIN(CV306,$J$5),$I$5)*MAX(MIN(CV306,$J$5),$I$5)+$G$5*MAX(MIN(CV306,$J$5),$I$5)*(DP306*DI306/($K$5*1000))+$H$5*(DP306*DI306/($K$5*1000))*(DP306*DI306/($K$5*1000)))</f>
        <v>0</v>
      </c>
      <c r="S306">
        <f>J306*(1000-(1000*0.61365*exp(17.502*W306/(240.97+W306))/(DI306+DJ306)+DD306)/2)/(1000*0.61365*exp(17.502*W306/(240.97+W306))/(DI306+DJ306)-DD306)</f>
        <v>0</v>
      </c>
      <c r="T306">
        <f>1/((CW306+1)/(Q306/1.6)+1/(R306/1.37)) + CW306/((CW306+1)/(Q306/1.6) + CW306/(R306/1.37))</f>
        <v>0</v>
      </c>
      <c r="U306">
        <f>(CR306*CU306)</f>
        <v>0</v>
      </c>
      <c r="V306">
        <f>(DK306+(U306+2*0.95*5.67E-8*(((DK306+$B$7)+273)^4-(DK306+273)^4)-44100*J306)/(1.84*29.3*R306+8*0.95*5.67E-8*(DK306+273)^3))</f>
        <v>0</v>
      </c>
      <c r="W306">
        <f>($C$7*DL306+$D$7*DM306+$E$7*V306)</f>
        <v>0</v>
      </c>
      <c r="X306">
        <f>0.61365*exp(17.502*W306/(240.97+W306))</f>
        <v>0</v>
      </c>
      <c r="Y306">
        <f>(Z306/AA306*100)</f>
        <v>0</v>
      </c>
      <c r="Z306">
        <f>DD306*(DI306+DJ306)/1000</f>
        <v>0</v>
      </c>
      <c r="AA306">
        <f>0.61365*exp(17.502*DK306/(240.97+DK306))</f>
        <v>0</v>
      </c>
      <c r="AB306">
        <f>(X306-DD306*(DI306+DJ306)/1000)</f>
        <v>0</v>
      </c>
      <c r="AC306">
        <f>(-J306*44100)</f>
        <v>0</v>
      </c>
      <c r="AD306">
        <f>2*29.3*R306*0.92*(DK306-W306)</f>
        <v>0</v>
      </c>
      <c r="AE306">
        <f>2*0.95*5.67E-8*(((DK306+$B$7)+273)^4-(W306+273)^4)</f>
        <v>0</v>
      </c>
      <c r="AF306">
        <f>U306+AE306+AC306+AD306</f>
        <v>0</v>
      </c>
      <c r="AG306">
        <f>DH306*AU306*(DC306-DB306*(1000-AU306*DE306)/(1000-AU306*DD306))/(100*CV306)</f>
        <v>0</v>
      </c>
      <c r="AH306">
        <f>1000*DH306*AU306*(DD306-DE306)/(100*CV306*(1000-AU306*DD306))</f>
        <v>0</v>
      </c>
      <c r="AI306">
        <f>(AJ306 - AK306 - DI306*1E3/(8.314*(DK306+273.15)) * AM306/DH306 * AL306) * DH306/(100*CV306) * (1000 - DE306)/1000</f>
        <v>0</v>
      </c>
      <c r="AJ306">
        <v>289.1989642162837</v>
      </c>
      <c r="AK306">
        <v>257.4171272727272</v>
      </c>
      <c r="AL306">
        <v>3.106418504091836</v>
      </c>
      <c r="AM306">
        <v>66.38195617057868</v>
      </c>
      <c r="AN306">
        <f>(AP306 - AO306 + DI306*1E3/(8.314*(DK306+273.15)) * AR306/DH306 * AQ306) * DH306/(100*CV306) * 1000/(1000 - AP306)</f>
        <v>0</v>
      </c>
      <c r="AO306">
        <v>9.402254876377054</v>
      </c>
      <c r="AP306">
        <v>18.63319176470588</v>
      </c>
      <c r="AQ306">
        <v>9.625919194935146E-05</v>
      </c>
      <c r="AR306">
        <v>80.47178418790507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MAX(0,($B$13+$C$13*DP306)/(1+$D$13*DP306)*DI306/(DK306+273)*$E$13)</f>
        <v>0</v>
      </c>
      <c r="AX306" t="s">
        <v>417</v>
      </c>
      <c r="AY306" t="s">
        <v>417</v>
      </c>
      <c r="AZ306">
        <v>0</v>
      </c>
      <c r="BA306">
        <v>0</v>
      </c>
      <c r="BB306">
        <f>1-AZ306/BA306</f>
        <v>0</v>
      </c>
      <c r="BC306">
        <v>0</v>
      </c>
      <c r="BD306" t="s">
        <v>417</v>
      </c>
      <c r="BE306" t="s">
        <v>417</v>
      </c>
      <c r="BF306">
        <v>0</v>
      </c>
      <c r="BG306">
        <v>0</v>
      </c>
      <c r="BH306">
        <f>1-BF306/BG306</f>
        <v>0</v>
      </c>
      <c r="BI306">
        <v>0.5</v>
      </c>
      <c r="BJ306">
        <f>CS306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417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BZ306">
        <v>1249</v>
      </c>
      <c r="CA306">
        <v>300</v>
      </c>
      <c r="CB306">
        <v>300</v>
      </c>
      <c r="CC306">
        <v>300</v>
      </c>
      <c r="CD306">
        <v>10442.4</v>
      </c>
      <c r="CE306">
        <v>1239.69</v>
      </c>
      <c r="CF306">
        <v>-0.00735276</v>
      </c>
      <c r="CG306">
        <v>0.07000000000000001</v>
      </c>
      <c r="CH306" t="s">
        <v>417</v>
      </c>
      <c r="CI306" t="s">
        <v>417</v>
      </c>
      <c r="CJ306" t="s">
        <v>417</v>
      </c>
      <c r="CK306" t="s">
        <v>417</v>
      </c>
      <c r="CL306" t="s">
        <v>417</v>
      </c>
      <c r="CM306" t="s">
        <v>417</v>
      </c>
      <c r="CN306" t="s">
        <v>417</v>
      </c>
      <c r="CO306" t="s">
        <v>417</v>
      </c>
      <c r="CP306" t="s">
        <v>417</v>
      </c>
      <c r="CQ306" t="s">
        <v>417</v>
      </c>
      <c r="CR306">
        <f>$B$11*DQ306+$C$11*DR306+$F$11*EC306*(1-EF306)</f>
        <v>0</v>
      </c>
      <c r="CS306">
        <f>CR306*CT306</f>
        <v>0</v>
      </c>
      <c r="CT306">
        <f>($B$11*$D$9+$C$11*$D$9+$F$11*((EP306+EH306)/MAX(EP306+EH306+EQ306, 0.1)*$I$9+EQ306/MAX(EP306+EH306+EQ306, 0.1)*$J$9))/($B$11+$C$11+$F$11)</f>
        <v>0</v>
      </c>
      <c r="CU306">
        <f>($B$11*$K$9+$C$11*$K$9+$F$11*((EP306+EH306)/MAX(EP306+EH306+EQ306, 0.1)*$P$9+EQ306/MAX(EP306+EH306+EQ306, 0.1)*$Q$9))/($B$11+$C$11+$F$11)</f>
        <v>0</v>
      </c>
      <c r="CV306">
        <v>6</v>
      </c>
      <c r="CW306">
        <v>0.5</v>
      </c>
      <c r="CX306" t="s">
        <v>418</v>
      </c>
      <c r="CY306">
        <v>2</v>
      </c>
      <c r="CZ306" t="b">
        <v>1</v>
      </c>
      <c r="DA306">
        <v>1651866342.625</v>
      </c>
      <c r="DB306">
        <v>249.95125</v>
      </c>
      <c r="DC306">
        <v>291.25125</v>
      </c>
      <c r="DD306">
        <v>18.63215</v>
      </c>
      <c r="DE306">
        <v>9.400845</v>
      </c>
      <c r="DF306">
        <v>250.60175</v>
      </c>
      <c r="DG306">
        <v>18.607525</v>
      </c>
      <c r="DH306">
        <v>500.06525</v>
      </c>
      <c r="DI306">
        <v>89.92229999999999</v>
      </c>
      <c r="DJ306">
        <v>0.10001195</v>
      </c>
      <c r="DK306">
        <v>25.89165</v>
      </c>
      <c r="DL306">
        <v>24.9962</v>
      </c>
      <c r="DM306">
        <v>999.9</v>
      </c>
      <c r="DN306">
        <v>0</v>
      </c>
      <c r="DO306">
        <v>0</v>
      </c>
      <c r="DP306">
        <v>10013.925</v>
      </c>
      <c r="DQ306">
        <v>0</v>
      </c>
      <c r="DR306">
        <v>3.207345</v>
      </c>
      <c r="DS306">
        <v>-41.300425</v>
      </c>
      <c r="DT306">
        <v>254.6965</v>
      </c>
      <c r="DU306">
        <v>294.0155</v>
      </c>
      <c r="DV306">
        <v>9.231290000000001</v>
      </c>
      <c r="DW306">
        <v>291.25125</v>
      </c>
      <c r="DX306">
        <v>9.400845</v>
      </c>
      <c r="DY306">
        <v>1.6754425</v>
      </c>
      <c r="DZ306">
        <v>0.84534575</v>
      </c>
      <c r="EA306">
        <v>14.670775</v>
      </c>
      <c r="EB306">
        <v>4.492445</v>
      </c>
      <c r="EC306">
        <v>1499.975</v>
      </c>
      <c r="ED306">
        <v>0.973009</v>
      </c>
      <c r="EE306">
        <v>0.0269908</v>
      </c>
      <c r="EF306">
        <v>0</v>
      </c>
      <c r="EG306">
        <v>841.81025</v>
      </c>
      <c r="EH306">
        <v>5.00097</v>
      </c>
      <c r="EI306">
        <v>12582.25</v>
      </c>
      <c r="EJ306">
        <v>12491.4</v>
      </c>
      <c r="EK306">
        <v>39.25</v>
      </c>
      <c r="EL306">
        <v>41.32774999999999</v>
      </c>
      <c r="EM306">
        <v>39.5</v>
      </c>
      <c r="EN306">
        <v>41.92149999999999</v>
      </c>
      <c r="EO306">
        <v>40.48425</v>
      </c>
      <c r="EP306">
        <v>1454.625</v>
      </c>
      <c r="EQ306">
        <v>40.35</v>
      </c>
      <c r="ER306">
        <v>0</v>
      </c>
      <c r="ES306">
        <v>861.7999999523163</v>
      </c>
      <c r="ET306">
        <v>0</v>
      </c>
      <c r="EU306">
        <v>841.4415199999999</v>
      </c>
      <c r="EV306">
        <v>1.255384618405493</v>
      </c>
      <c r="EW306">
        <v>74.90000008955261</v>
      </c>
      <c r="EX306">
        <v>12572.752</v>
      </c>
      <c r="EY306">
        <v>15</v>
      </c>
      <c r="EZ306">
        <v>1651865518.1</v>
      </c>
      <c r="FA306" t="s">
        <v>910</v>
      </c>
      <c r="FB306">
        <v>1651865507.1</v>
      </c>
      <c r="FC306">
        <v>1651865518.1</v>
      </c>
      <c r="FD306">
        <v>8</v>
      </c>
      <c r="FE306">
        <v>0.06</v>
      </c>
      <c r="FF306">
        <v>0</v>
      </c>
      <c r="FG306">
        <v>-0.927</v>
      </c>
      <c r="FH306">
        <v>-0.062</v>
      </c>
      <c r="FI306">
        <v>400</v>
      </c>
      <c r="FJ306">
        <v>11</v>
      </c>
      <c r="FK306">
        <v>0.11</v>
      </c>
      <c r="FL306">
        <v>0.01</v>
      </c>
      <c r="FM306">
        <v>-38.3097425</v>
      </c>
      <c r="FN306">
        <v>-18.46263151969973</v>
      </c>
      <c r="FO306">
        <v>1.776758988845632</v>
      </c>
      <c r="FP306">
        <v>-1</v>
      </c>
      <c r="FQ306">
        <v>9.207144750000001</v>
      </c>
      <c r="FR306">
        <v>0.1676103939962564</v>
      </c>
      <c r="FS306">
        <v>0.01621861969889858</v>
      </c>
      <c r="FT306">
        <v>-1</v>
      </c>
      <c r="FU306">
        <v>0</v>
      </c>
      <c r="FV306">
        <v>0</v>
      </c>
      <c r="FW306">
        <v>0</v>
      </c>
      <c r="FX306">
        <v>-1</v>
      </c>
      <c r="FY306">
        <v>0</v>
      </c>
      <c r="FZ306">
        <v>0</v>
      </c>
      <c r="GA306" t="s">
        <v>420</v>
      </c>
      <c r="GB306">
        <v>2.98148</v>
      </c>
      <c r="GC306">
        <v>2.70628</v>
      </c>
      <c r="GD306">
        <v>0.06255090000000001</v>
      </c>
      <c r="GE306">
        <v>0.0701857</v>
      </c>
      <c r="GF306">
        <v>0.0887623</v>
      </c>
      <c r="GG306">
        <v>0.0528608</v>
      </c>
      <c r="GH306">
        <v>29621.7</v>
      </c>
      <c r="GI306">
        <v>29444.8</v>
      </c>
      <c r="GJ306">
        <v>29376.1</v>
      </c>
      <c r="GK306">
        <v>29291.7</v>
      </c>
      <c r="GL306">
        <v>35442.3</v>
      </c>
      <c r="GM306">
        <v>36956.3</v>
      </c>
      <c r="GN306">
        <v>41347.4</v>
      </c>
      <c r="GO306">
        <v>41811</v>
      </c>
      <c r="GP306">
        <v>1.96685</v>
      </c>
      <c r="GQ306">
        <v>1.85292</v>
      </c>
      <c r="GR306">
        <v>-0.00592321</v>
      </c>
      <c r="GS306">
        <v>0</v>
      </c>
      <c r="GT306">
        <v>25.0938</v>
      </c>
      <c r="GU306">
        <v>999.9</v>
      </c>
      <c r="GV306">
        <v>29.8</v>
      </c>
      <c r="GW306">
        <v>34.2</v>
      </c>
      <c r="GX306">
        <v>17.9052</v>
      </c>
      <c r="GY306">
        <v>62.4276</v>
      </c>
      <c r="GZ306">
        <v>35.3926</v>
      </c>
      <c r="HA306">
        <v>1</v>
      </c>
      <c r="HB306">
        <v>0.0458232</v>
      </c>
      <c r="HC306">
        <v>1.49351</v>
      </c>
      <c r="HD306">
        <v>20.3297</v>
      </c>
      <c r="HE306">
        <v>5.21744</v>
      </c>
      <c r="HF306">
        <v>12.0099</v>
      </c>
      <c r="HG306">
        <v>4.9886</v>
      </c>
      <c r="HH306">
        <v>3.28855</v>
      </c>
      <c r="HI306">
        <v>1031.1</v>
      </c>
      <c r="HJ306">
        <v>9733.1</v>
      </c>
      <c r="HK306">
        <v>5139.4</v>
      </c>
      <c r="HL306">
        <v>25.3</v>
      </c>
      <c r="HM306">
        <v>1.86744</v>
      </c>
      <c r="HN306">
        <v>1.86646</v>
      </c>
      <c r="HO306">
        <v>1.866</v>
      </c>
      <c r="HP306">
        <v>1.86584</v>
      </c>
      <c r="HQ306">
        <v>1.86768</v>
      </c>
      <c r="HR306">
        <v>1.87021</v>
      </c>
      <c r="HS306">
        <v>1.8689</v>
      </c>
      <c r="HT306">
        <v>1.87021</v>
      </c>
      <c r="HU306">
        <v>0</v>
      </c>
      <c r="HV306">
        <v>0</v>
      </c>
      <c r="HW306">
        <v>0</v>
      </c>
      <c r="HX306">
        <v>0</v>
      </c>
      <c r="HY306" t="s">
        <v>421</v>
      </c>
      <c r="HZ306" t="s">
        <v>422</v>
      </c>
      <c r="IA306" t="s">
        <v>423</v>
      </c>
      <c r="IB306" t="s">
        <v>423</v>
      </c>
      <c r="IC306" t="s">
        <v>423</v>
      </c>
      <c r="ID306" t="s">
        <v>423</v>
      </c>
      <c r="IE306">
        <v>0</v>
      </c>
      <c r="IF306">
        <v>100</v>
      </c>
      <c r="IG306">
        <v>100</v>
      </c>
      <c r="IH306">
        <v>-0.659</v>
      </c>
      <c r="II306">
        <v>0.0246</v>
      </c>
      <c r="IJ306">
        <v>-0.1559367209035702</v>
      </c>
      <c r="IK306">
        <v>-0.002077099775823331</v>
      </c>
      <c r="IL306">
        <v>4.593143279902166E-07</v>
      </c>
      <c r="IM306">
        <v>-1.865383991892071E-10</v>
      </c>
      <c r="IN306">
        <v>-0.0607165066849496</v>
      </c>
      <c r="IO306">
        <v>-0.01129461987421345</v>
      </c>
      <c r="IP306">
        <v>0.00116580895745559</v>
      </c>
      <c r="IQ306">
        <v>-1.679085872906199E-05</v>
      </c>
      <c r="IR306">
        <v>2</v>
      </c>
      <c r="IS306">
        <v>2290</v>
      </c>
      <c r="IT306">
        <v>0</v>
      </c>
      <c r="IU306">
        <v>32</v>
      </c>
      <c r="IV306">
        <v>13.9</v>
      </c>
      <c r="IW306">
        <v>13.8</v>
      </c>
      <c r="IX306">
        <v>0.820312</v>
      </c>
      <c r="IY306">
        <v>2.22534</v>
      </c>
      <c r="IZ306">
        <v>1.39648</v>
      </c>
      <c r="JA306">
        <v>2.35474</v>
      </c>
      <c r="JB306">
        <v>1.49536</v>
      </c>
      <c r="JC306">
        <v>2.30591</v>
      </c>
      <c r="JD306">
        <v>38.0134</v>
      </c>
      <c r="JE306">
        <v>24.0437</v>
      </c>
      <c r="JF306">
        <v>18</v>
      </c>
      <c r="JG306">
        <v>512.651</v>
      </c>
      <c r="JH306">
        <v>425.628</v>
      </c>
      <c r="JI306">
        <v>23.1519</v>
      </c>
      <c r="JJ306">
        <v>27.9227</v>
      </c>
      <c r="JK306">
        <v>30</v>
      </c>
      <c r="JL306">
        <v>27.9493</v>
      </c>
      <c r="JM306">
        <v>27.8957</v>
      </c>
      <c r="JN306">
        <v>16.4783</v>
      </c>
      <c r="JO306">
        <v>44.9415</v>
      </c>
      <c r="JP306">
        <v>0</v>
      </c>
      <c r="JQ306">
        <v>23.1521</v>
      </c>
      <c r="JR306">
        <v>318.494</v>
      </c>
      <c r="JS306">
        <v>9.389659999999999</v>
      </c>
      <c r="JT306">
        <v>100.412</v>
      </c>
      <c r="JU306">
        <v>100.347</v>
      </c>
    </row>
    <row r="307" spans="1:281">
      <c r="A307">
        <v>291</v>
      </c>
      <c r="B307">
        <v>1651866346</v>
      </c>
      <c r="C307">
        <v>2125.400000095367</v>
      </c>
      <c r="D307" t="s">
        <v>1005</v>
      </c>
      <c r="E307" t="s">
        <v>1006</v>
      </c>
      <c r="F307">
        <v>2</v>
      </c>
      <c r="G307" t="s">
        <v>908</v>
      </c>
      <c r="H307" t="s">
        <v>414</v>
      </c>
      <c r="I307">
        <v>1651866345</v>
      </c>
      <c r="J307">
        <f>(K307)/1000</f>
        <v>0</v>
      </c>
      <c r="K307">
        <f>IF(CZ307, AN307, AH307)</f>
        <v>0</v>
      </c>
      <c r="L307">
        <f>IF(CZ307, AI307, AG307)</f>
        <v>0</v>
      </c>
      <c r="M307">
        <f>DB307 - IF(AU307&gt;1, L307*CV307*100.0/(AW307*DP307), 0)</f>
        <v>0</v>
      </c>
      <c r="N307">
        <f>((T307-J307/2)*M307-L307)/(T307+J307/2)</f>
        <v>0</v>
      </c>
      <c r="O307">
        <f>N307*(DI307+DJ307)/1000.0</f>
        <v>0</v>
      </c>
      <c r="P307">
        <f>(DB307 - IF(AU307&gt;1, L307*CV307*100.0/(AW307*DP307), 0))*(DI307+DJ307)/1000.0</f>
        <v>0</v>
      </c>
      <c r="Q307">
        <f>2.0/((1/S307-1/R307)+SIGN(S307)*SQRT((1/S307-1/R307)*(1/S307-1/R307) + 4*CW307/((CW307+1)*(CW307+1))*(2*1/S307*1/R307-1/R307*1/R307)))</f>
        <v>0</v>
      </c>
      <c r="R307">
        <f>IF(LEFT(CX307,1)&lt;&gt;"0",IF(LEFT(CX307,1)="1",3.0,CY307),$D$5+$E$5*(DP307*DI307/($K$5*1000))+$F$5*(DP307*DI307/($K$5*1000))*MAX(MIN(CV307,$J$5),$I$5)*MAX(MIN(CV307,$J$5),$I$5)+$G$5*MAX(MIN(CV307,$J$5),$I$5)*(DP307*DI307/($K$5*1000))+$H$5*(DP307*DI307/($K$5*1000))*(DP307*DI307/($K$5*1000)))</f>
        <v>0</v>
      </c>
      <c r="S307">
        <f>J307*(1000-(1000*0.61365*exp(17.502*W307/(240.97+W307))/(DI307+DJ307)+DD307)/2)/(1000*0.61365*exp(17.502*W307/(240.97+W307))/(DI307+DJ307)-DD307)</f>
        <v>0</v>
      </c>
      <c r="T307">
        <f>1/((CW307+1)/(Q307/1.6)+1/(R307/1.37)) + CW307/((CW307+1)/(Q307/1.6) + CW307/(R307/1.37))</f>
        <v>0</v>
      </c>
      <c r="U307">
        <f>(CR307*CU307)</f>
        <v>0</v>
      </c>
      <c r="V307">
        <f>(DK307+(U307+2*0.95*5.67E-8*(((DK307+$B$7)+273)^4-(DK307+273)^4)-44100*J307)/(1.84*29.3*R307+8*0.95*5.67E-8*(DK307+273)^3))</f>
        <v>0</v>
      </c>
      <c r="W307">
        <f>($C$7*DL307+$D$7*DM307+$E$7*V307)</f>
        <v>0</v>
      </c>
      <c r="X307">
        <f>0.61365*exp(17.502*W307/(240.97+W307))</f>
        <v>0</v>
      </c>
      <c r="Y307">
        <f>(Z307/AA307*100)</f>
        <v>0</v>
      </c>
      <c r="Z307">
        <f>DD307*(DI307+DJ307)/1000</f>
        <v>0</v>
      </c>
      <c r="AA307">
        <f>0.61365*exp(17.502*DK307/(240.97+DK307))</f>
        <v>0</v>
      </c>
      <c r="AB307">
        <f>(X307-DD307*(DI307+DJ307)/1000)</f>
        <v>0</v>
      </c>
      <c r="AC307">
        <f>(-J307*44100)</f>
        <v>0</v>
      </c>
      <c r="AD307">
        <f>2*29.3*R307*0.92*(DK307-W307)</f>
        <v>0</v>
      </c>
      <c r="AE307">
        <f>2*0.95*5.67E-8*(((DK307+$B$7)+273)^4-(W307+273)^4)</f>
        <v>0</v>
      </c>
      <c r="AF307">
        <f>U307+AE307+AC307+AD307</f>
        <v>0</v>
      </c>
      <c r="AG307">
        <f>DH307*AU307*(DC307-DB307*(1000-AU307*DE307)/(1000-AU307*DD307))/(100*CV307)</f>
        <v>0</v>
      </c>
      <c r="AH307">
        <f>1000*DH307*AU307*(DD307-DE307)/(100*CV307*(1000-AU307*DD307))</f>
        <v>0</v>
      </c>
      <c r="AI307">
        <f>(AJ307 - AK307 - DI307*1E3/(8.314*(DK307+273.15)) * AM307/DH307 * AL307) * DH307/(100*CV307) * (1000 - DE307)/1000</f>
        <v>0</v>
      </c>
      <c r="AJ307">
        <v>296.0996723168296</v>
      </c>
      <c r="AK307">
        <v>263.6857878787878</v>
      </c>
      <c r="AL307">
        <v>3.124972602508067</v>
      </c>
      <c r="AM307">
        <v>66.38195617057868</v>
      </c>
      <c r="AN307">
        <f>(AP307 - AO307 + DI307*1E3/(8.314*(DK307+273.15)) * AR307/DH307 * AQ307) * DH307/(100*CV307) * 1000/(1000 - AP307)</f>
        <v>0</v>
      </c>
      <c r="AO307">
        <v>9.401063008953068</v>
      </c>
      <c r="AP307">
        <v>18.64188470588234</v>
      </c>
      <c r="AQ307">
        <v>1.642489974240039E-05</v>
      </c>
      <c r="AR307">
        <v>80.47178418790507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MAX(0,($B$13+$C$13*DP307)/(1+$D$13*DP307)*DI307/(DK307+273)*$E$13)</f>
        <v>0</v>
      </c>
      <c r="AX307" t="s">
        <v>417</v>
      </c>
      <c r="AY307" t="s">
        <v>417</v>
      </c>
      <c r="AZ307">
        <v>0</v>
      </c>
      <c r="BA307">
        <v>0</v>
      </c>
      <c r="BB307">
        <f>1-AZ307/BA307</f>
        <v>0</v>
      </c>
      <c r="BC307">
        <v>0</v>
      </c>
      <c r="BD307" t="s">
        <v>417</v>
      </c>
      <c r="BE307" t="s">
        <v>417</v>
      </c>
      <c r="BF307">
        <v>0</v>
      </c>
      <c r="BG307">
        <v>0</v>
      </c>
      <c r="BH307">
        <f>1-BF307/BG307</f>
        <v>0</v>
      </c>
      <c r="BI307">
        <v>0.5</v>
      </c>
      <c r="BJ307">
        <f>CS307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417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BZ307">
        <v>1249</v>
      </c>
      <c r="CA307">
        <v>300</v>
      </c>
      <c r="CB307">
        <v>300</v>
      </c>
      <c r="CC307">
        <v>300</v>
      </c>
      <c r="CD307">
        <v>10442.4</v>
      </c>
      <c r="CE307">
        <v>1239.69</v>
      </c>
      <c r="CF307">
        <v>-0.00735276</v>
      </c>
      <c r="CG307">
        <v>0.07000000000000001</v>
      </c>
      <c r="CH307" t="s">
        <v>417</v>
      </c>
      <c r="CI307" t="s">
        <v>417</v>
      </c>
      <c r="CJ307" t="s">
        <v>417</v>
      </c>
      <c r="CK307" t="s">
        <v>417</v>
      </c>
      <c r="CL307" t="s">
        <v>417</v>
      </c>
      <c r="CM307" t="s">
        <v>417</v>
      </c>
      <c r="CN307" t="s">
        <v>417</v>
      </c>
      <c r="CO307" t="s">
        <v>417</v>
      </c>
      <c r="CP307" t="s">
        <v>417</v>
      </c>
      <c r="CQ307" t="s">
        <v>417</v>
      </c>
      <c r="CR307">
        <f>$B$11*DQ307+$C$11*DR307+$F$11*EC307*(1-EF307)</f>
        <v>0</v>
      </c>
      <c r="CS307">
        <f>CR307*CT307</f>
        <v>0</v>
      </c>
      <c r="CT307">
        <f>($B$11*$D$9+$C$11*$D$9+$F$11*((EP307+EH307)/MAX(EP307+EH307+EQ307, 0.1)*$I$9+EQ307/MAX(EP307+EH307+EQ307, 0.1)*$J$9))/($B$11+$C$11+$F$11)</f>
        <v>0</v>
      </c>
      <c r="CU307">
        <f>($B$11*$K$9+$C$11*$K$9+$F$11*((EP307+EH307)/MAX(EP307+EH307+EQ307, 0.1)*$P$9+EQ307/MAX(EP307+EH307+EQ307, 0.1)*$Q$9))/($B$11+$C$11+$F$11)</f>
        <v>0</v>
      </c>
      <c r="CV307">
        <v>6</v>
      </c>
      <c r="CW307">
        <v>0.5</v>
      </c>
      <c r="CX307" t="s">
        <v>418</v>
      </c>
      <c r="CY307">
        <v>2</v>
      </c>
      <c r="CZ307" t="b">
        <v>1</v>
      </c>
      <c r="DA307">
        <v>1651866345</v>
      </c>
      <c r="DB307">
        <v>257.232</v>
      </c>
      <c r="DC307">
        <v>299.3106666666667</v>
      </c>
      <c r="DD307">
        <v>18.64003333333334</v>
      </c>
      <c r="DE307">
        <v>9.400613333333332</v>
      </c>
      <c r="DF307">
        <v>257.896</v>
      </c>
      <c r="DG307">
        <v>18.61533333333334</v>
      </c>
      <c r="DH307">
        <v>500.02</v>
      </c>
      <c r="DI307">
        <v>89.92136666666666</v>
      </c>
      <c r="DJ307">
        <v>0.09988669999999999</v>
      </c>
      <c r="DK307">
        <v>25.89186666666667</v>
      </c>
      <c r="DL307">
        <v>24.99953333333333</v>
      </c>
      <c r="DM307">
        <v>999.9</v>
      </c>
      <c r="DN307">
        <v>0</v>
      </c>
      <c r="DO307">
        <v>0</v>
      </c>
      <c r="DP307">
        <v>10026.03333333333</v>
      </c>
      <c r="DQ307">
        <v>0</v>
      </c>
      <c r="DR307">
        <v>3.219286666666667</v>
      </c>
      <c r="DS307">
        <v>-42.07883333333334</v>
      </c>
      <c r="DT307">
        <v>262.118</v>
      </c>
      <c r="DU307">
        <v>302.1513333333333</v>
      </c>
      <c r="DV307">
        <v>9.239426666666667</v>
      </c>
      <c r="DW307">
        <v>299.3106666666667</v>
      </c>
      <c r="DX307">
        <v>9.400613333333332</v>
      </c>
      <c r="DY307">
        <v>1.676136666666667</v>
      </c>
      <c r="DZ307">
        <v>0.845316</v>
      </c>
      <c r="EA307">
        <v>14.67716666666667</v>
      </c>
      <c r="EB307">
        <v>4.49194</v>
      </c>
      <c r="EC307">
        <v>1499.936666666667</v>
      </c>
      <c r="ED307">
        <v>0.9730089999999999</v>
      </c>
      <c r="EE307">
        <v>0.0269908</v>
      </c>
      <c r="EF307">
        <v>0</v>
      </c>
      <c r="EG307">
        <v>842.1916666666667</v>
      </c>
      <c r="EH307">
        <v>5.00097</v>
      </c>
      <c r="EI307">
        <v>12590.73333333333</v>
      </c>
      <c r="EJ307">
        <v>12491.13333333333</v>
      </c>
      <c r="EK307">
        <v>39.27066666666666</v>
      </c>
      <c r="EL307">
        <v>41.375</v>
      </c>
      <c r="EM307">
        <v>39.52066666666666</v>
      </c>
      <c r="EN307">
        <v>41.958</v>
      </c>
      <c r="EO307">
        <v>40.5</v>
      </c>
      <c r="EP307">
        <v>1454.586666666667</v>
      </c>
      <c r="EQ307">
        <v>40.35</v>
      </c>
      <c r="ER307">
        <v>0</v>
      </c>
      <c r="ES307">
        <v>863.6000001430511</v>
      </c>
      <c r="ET307">
        <v>0</v>
      </c>
      <c r="EU307">
        <v>841.5281538461539</v>
      </c>
      <c r="EV307">
        <v>4.198700863210545</v>
      </c>
      <c r="EW307">
        <v>110.0205129075531</v>
      </c>
      <c r="EX307">
        <v>12575.44230769231</v>
      </c>
      <c r="EY307">
        <v>15</v>
      </c>
      <c r="EZ307">
        <v>1651865518.1</v>
      </c>
      <c r="FA307" t="s">
        <v>910</v>
      </c>
      <c r="FB307">
        <v>1651865507.1</v>
      </c>
      <c r="FC307">
        <v>1651865518.1</v>
      </c>
      <c r="FD307">
        <v>8</v>
      </c>
      <c r="FE307">
        <v>0.06</v>
      </c>
      <c r="FF307">
        <v>0</v>
      </c>
      <c r="FG307">
        <v>-0.927</v>
      </c>
      <c r="FH307">
        <v>-0.062</v>
      </c>
      <c r="FI307">
        <v>400</v>
      </c>
      <c r="FJ307">
        <v>11</v>
      </c>
      <c r="FK307">
        <v>0.11</v>
      </c>
      <c r="FL307">
        <v>0.01</v>
      </c>
      <c r="FM307">
        <v>-39.01566097560976</v>
      </c>
      <c r="FN307">
        <v>-18.85979581881536</v>
      </c>
      <c r="FO307">
        <v>1.860546848130101</v>
      </c>
      <c r="FP307">
        <v>-1</v>
      </c>
      <c r="FQ307">
        <v>9.213471463414633</v>
      </c>
      <c r="FR307">
        <v>0.1634790940766287</v>
      </c>
      <c r="FS307">
        <v>0.01619962730088831</v>
      </c>
      <c r="FT307">
        <v>-1</v>
      </c>
      <c r="FU307">
        <v>0</v>
      </c>
      <c r="FV307">
        <v>0</v>
      </c>
      <c r="FW307">
        <v>0</v>
      </c>
      <c r="FX307">
        <v>-1</v>
      </c>
      <c r="FY307">
        <v>0</v>
      </c>
      <c r="FZ307">
        <v>0</v>
      </c>
      <c r="GA307" t="s">
        <v>420</v>
      </c>
      <c r="GB307">
        <v>2.98135</v>
      </c>
      <c r="GC307">
        <v>2.70621</v>
      </c>
      <c r="GD307">
        <v>0.0638304</v>
      </c>
      <c r="GE307">
        <v>0.07149800000000001</v>
      </c>
      <c r="GF307">
        <v>0.08878179999999999</v>
      </c>
      <c r="GG307">
        <v>0.0528621</v>
      </c>
      <c r="GH307">
        <v>29581.6</v>
      </c>
      <c r="GI307">
        <v>29403.1</v>
      </c>
      <c r="GJ307">
        <v>29376.4</v>
      </c>
      <c r="GK307">
        <v>29291.6</v>
      </c>
      <c r="GL307">
        <v>35442</v>
      </c>
      <c r="GM307">
        <v>36956.3</v>
      </c>
      <c r="GN307">
        <v>41347.8</v>
      </c>
      <c r="GO307">
        <v>41811</v>
      </c>
      <c r="GP307">
        <v>1.96682</v>
      </c>
      <c r="GQ307">
        <v>1.853</v>
      </c>
      <c r="GR307">
        <v>-0.00562519</v>
      </c>
      <c r="GS307">
        <v>0</v>
      </c>
      <c r="GT307">
        <v>25.0931</v>
      </c>
      <c r="GU307">
        <v>999.9</v>
      </c>
      <c r="GV307">
        <v>29.8</v>
      </c>
      <c r="GW307">
        <v>34.2</v>
      </c>
      <c r="GX307">
        <v>17.9054</v>
      </c>
      <c r="GY307">
        <v>62.3176</v>
      </c>
      <c r="GZ307">
        <v>35.5689</v>
      </c>
      <c r="HA307">
        <v>1</v>
      </c>
      <c r="HB307">
        <v>0.0459299</v>
      </c>
      <c r="HC307">
        <v>1.49349</v>
      </c>
      <c r="HD307">
        <v>20.3296</v>
      </c>
      <c r="HE307">
        <v>5.21789</v>
      </c>
      <c r="HF307">
        <v>12.0099</v>
      </c>
      <c r="HG307">
        <v>4.98855</v>
      </c>
      <c r="HH307">
        <v>3.28865</v>
      </c>
      <c r="HI307">
        <v>1031.1</v>
      </c>
      <c r="HJ307">
        <v>9733.1</v>
      </c>
      <c r="HK307">
        <v>5139.4</v>
      </c>
      <c r="HL307">
        <v>25.3</v>
      </c>
      <c r="HM307">
        <v>1.86744</v>
      </c>
      <c r="HN307">
        <v>1.86646</v>
      </c>
      <c r="HO307">
        <v>1.866</v>
      </c>
      <c r="HP307">
        <v>1.86584</v>
      </c>
      <c r="HQ307">
        <v>1.86768</v>
      </c>
      <c r="HR307">
        <v>1.87023</v>
      </c>
      <c r="HS307">
        <v>1.86889</v>
      </c>
      <c r="HT307">
        <v>1.87021</v>
      </c>
      <c r="HU307">
        <v>0</v>
      </c>
      <c r="HV307">
        <v>0</v>
      </c>
      <c r="HW307">
        <v>0</v>
      </c>
      <c r="HX307">
        <v>0</v>
      </c>
      <c r="HY307" t="s">
        <v>421</v>
      </c>
      <c r="HZ307" t="s">
        <v>422</v>
      </c>
      <c r="IA307" t="s">
        <v>423</v>
      </c>
      <c r="IB307" t="s">
        <v>423</v>
      </c>
      <c r="IC307" t="s">
        <v>423</v>
      </c>
      <c r="ID307" t="s">
        <v>423</v>
      </c>
      <c r="IE307">
        <v>0</v>
      </c>
      <c r="IF307">
        <v>100</v>
      </c>
      <c r="IG307">
        <v>100</v>
      </c>
      <c r="IH307">
        <v>-0.67</v>
      </c>
      <c r="II307">
        <v>0.0247</v>
      </c>
      <c r="IJ307">
        <v>-0.1559367209035702</v>
      </c>
      <c r="IK307">
        <v>-0.002077099775823331</v>
      </c>
      <c r="IL307">
        <v>4.593143279902166E-07</v>
      </c>
      <c r="IM307">
        <v>-1.865383991892071E-10</v>
      </c>
      <c r="IN307">
        <v>-0.0607165066849496</v>
      </c>
      <c r="IO307">
        <v>-0.01129461987421345</v>
      </c>
      <c r="IP307">
        <v>0.00116580895745559</v>
      </c>
      <c r="IQ307">
        <v>-1.679085872906199E-05</v>
      </c>
      <c r="IR307">
        <v>2</v>
      </c>
      <c r="IS307">
        <v>2290</v>
      </c>
      <c r="IT307">
        <v>0</v>
      </c>
      <c r="IU307">
        <v>32</v>
      </c>
      <c r="IV307">
        <v>14</v>
      </c>
      <c r="IW307">
        <v>13.8</v>
      </c>
      <c r="IX307">
        <v>0.83374</v>
      </c>
      <c r="IY307">
        <v>2.22534</v>
      </c>
      <c r="IZ307">
        <v>1.39648</v>
      </c>
      <c r="JA307">
        <v>2.35474</v>
      </c>
      <c r="JB307">
        <v>1.49536</v>
      </c>
      <c r="JC307">
        <v>2.35352</v>
      </c>
      <c r="JD307">
        <v>38.0134</v>
      </c>
      <c r="JE307">
        <v>24.0437</v>
      </c>
      <c r="JF307">
        <v>18</v>
      </c>
      <c r="JG307">
        <v>512.625</v>
      </c>
      <c r="JH307">
        <v>425.664</v>
      </c>
      <c r="JI307">
        <v>23.152</v>
      </c>
      <c r="JJ307">
        <v>27.9227</v>
      </c>
      <c r="JK307">
        <v>30.0001</v>
      </c>
      <c r="JL307">
        <v>27.9481</v>
      </c>
      <c r="JM307">
        <v>27.8945</v>
      </c>
      <c r="JN307">
        <v>16.7569</v>
      </c>
      <c r="JO307">
        <v>44.9415</v>
      </c>
      <c r="JP307">
        <v>0</v>
      </c>
      <c r="JQ307">
        <v>23.152</v>
      </c>
      <c r="JR307">
        <v>325.179</v>
      </c>
      <c r="JS307">
        <v>9.38416</v>
      </c>
      <c r="JT307">
        <v>100.414</v>
      </c>
      <c r="JU307">
        <v>100.347</v>
      </c>
    </row>
    <row r="308" spans="1:281">
      <c r="A308">
        <v>292</v>
      </c>
      <c r="B308">
        <v>1651866348</v>
      </c>
      <c r="C308">
        <v>2127.400000095367</v>
      </c>
      <c r="D308" t="s">
        <v>1007</v>
      </c>
      <c r="E308" t="s">
        <v>1008</v>
      </c>
      <c r="F308">
        <v>2</v>
      </c>
      <c r="G308" t="s">
        <v>908</v>
      </c>
      <c r="H308" t="s">
        <v>414</v>
      </c>
      <c r="I308">
        <v>1651866346.625</v>
      </c>
      <c r="J308">
        <f>(K308)/1000</f>
        <v>0</v>
      </c>
      <c r="K308">
        <f>IF(CZ308, AN308, AH308)</f>
        <v>0</v>
      </c>
      <c r="L308">
        <f>IF(CZ308, AI308, AG308)</f>
        <v>0</v>
      </c>
      <c r="M308">
        <f>DB308 - IF(AU308&gt;1, L308*CV308*100.0/(AW308*DP308), 0)</f>
        <v>0</v>
      </c>
      <c r="N308">
        <f>((T308-J308/2)*M308-L308)/(T308+J308/2)</f>
        <v>0</v>
      </c>
      <c r="O308">
        <f>N308*(DI308+DJ308)/1000.0</f>
        <v>0</v>
      </c>
      <c r="P308">
        <f>(DB308 - IF(AU308&gt;1, L308*CV308*100.0/(AW308*DP308), 0))*(DI308+DJ308)/1000.0</f>
        <v>0</v>
      </c>
      <c r="Q308">
        <f>2.0/((1/S308-1/R308)+SIGN(S308)*SQRT((1/S308-1/R308)*(1/S308-1/R308) + 4*CW308/((CW308+1)*(CW308+1))*(2*1/S308*1/R308-1/R308*1/R308)))</f>
        <v>0</v>
      </c>
      <c r="R308">
        <f>IF(LEFT(CX308,1)&lt;&gt;"0",IF(LEFT(CX308,1)="1",3.0,CY308),$D$5+$E$5*(DP308*DI308/($K$5*1000))+$F$5*(DP308*DI308/($K$5*1000))*MAX(MIN(CV308,$J$5),$I$5)*MAX(MIN(CV308,$J$5),$I$5)+$G$5*MAX(MIN(CV308,$J$5),$I$5)*(DP308*DI308/($K$5*1000))+$H$5*(DP308*DI308/($K$5*1000))*(DP308*DI308/($K$5*1000)))</f>
        <v>0</v>
      </c>
      <c r="S308">
        <f>J308*(1000-(1000*0.61365*exp(17.502*W308/(240.97+W308))/(DI308+DJ308)+DD308)/2)/(1000*0.61365*exp(17.502*W308/(240.97+W308))/(DI308+DJ308)-DD308)</f>
        <v>0</v>
      </c>
      <c r="T308">
        <f>1/((CW308+1)/(Q308/1.6)+1/(R308/1.37)) + CW308/((CW308+1)/(Q308/1.6) + CW308/(R308/1.37))</f>
        <v>0</v>
      </c>
      <c r="U308">
        <f>(CR308*CU308)</f>
        <v>0</v>
      </c>
      <c r="V308">
        <f>(DK308+(U308+2*0.95*5.67E-8*(((DK308+$B$7)+273)^4-(DK308+273)^4)-44100*J308)/(1.84*29.3*R308+8*0.95*5.67E-8*(DK308+273)^3))</f>
        <v>0</v>
      </c>
      <c r="W308">
        <f>($C$7*DL308+$D$7*DM308+$E$7*V308)</f>
        <v>0</v>
      </c>
      <c r="X308">
        <f>0.61365*exp(17.502*W308/(240.97+W308))</f>
        <v>0</v>
      </c>
      <c r="Y308">
        <f>(Z308/AA308*100)</f>
        <v>0</v>
      </c>
      <c r="Z308">
        <f>DD308*(DI308+DJ308)/1000</f>
        <v>0</v>
      </c>
      <c r="AA308">
        <f>0.61365*exp(17.502*DK308/(240.97+DK308))</f>
        <v>0</v>
      </c>
      <c r="AB308">
        <f>(X308-DD308*(DI308+DJ308)/1000)</f>
        <v>0</v>
      </c>
      <c r="AC308">
        <f>(-J308*44100)</f>
        <v>0</v>
      </c>
      <c r="AD308">
        <f>2*29.3*R308*0.92*(DK308-W308)</f>
        <v>0</v>
      </c>
      <c r="AE308">
        <f>2*0.95*5.67E-8*(((DK308+$B$7)+273)^4-(W308+273)^4)</f>
        <v>0</v>
      </c>
      <c r="AF308">
        <f>U308+AE308+AC308+AD308</f>
        <v>0</v>
      </c>
      <c r="AG308">
        <f>DH308*AU308*(DC308-DB308*(1000-AU308*DE308)/(1000-AU308*DD308))/(100*CV308)</f>
        <v>0</v>
      </c>
      <c r="AH308">
        <f>1000*DH308*AU308*(DD308-DE308)/(100*CV308*(1000-AU308*DD308))</f>
        <v>0</v>
      </c>
      <c r="AI308">
        <f>(AJ308 - AK308 - DI308*1E3/(8.314*(DK308+273.15)) * AM308/DH308 * AL308) * DH308/(100*CV308) * (1000 - DE308)/1000</f>
        <v>0</v>
      </c>
      <c r="AJ308">
        <v>302.9340500794083</v>
      </c>
      <c r="AK308">
        <v>269.9090121212121</v>
      </c>
      <c r="AL308">
        <v>3.12016120535419</v>
      </c>
      <c r="AM308">
        <v>66.38195617057868</v>
      </c>
      <c r="AN308">
        <f>(AP308 - AO308 + DI308*1E3/(8.314*(DK308+273.15)) * AR308/DH308 * AQ308) * DH308/(100*CV308) * 1000/(1000 - AP308)</f>
        <v>0</v>
      </c>
      <c r="AO308">
        <v>9.400771507689099</v>
      </c>
      <c r="AP308">
        <v>18.64664676470587</v>
      </c>
      <c r="AQ308">
        <v>9.836765120650334E-05</v>
      </c>
      <c r="AR308">
        <v>80.47178418790507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MAX(0,($B$13+$C$13*DP308)/(1+$D$13*DP308)*DI308/(DK308+273)*$E$13)</f>
        <v>0</v>
      </c>
      <c r="AX308" t="s">
        <v>417</v>
      </c>
      <c r="AY308" t="s">
        <v>417</v>
      </c>
      <c r="AZ308">
        <v>0</v>
      </c>
      <c r="BA308">
        <v>0</v>
      </c>
      <c r="BB308">
        <f>1-AZ308/BA308</f>
        <v>0</v>
      </c>
      <c r="BC308">
        <v>0</v>
      </c>
      <c r="BD308" t="s">
        <v>417</v>
      </c>
      <c r="BE308" t="s">
        <v>417</v>
      </c>
      <c r="BF308">
        <v>0</v>
      </c>
      <c r="BG308">
        <v>0</v>
      </c>
      <c r="BH308">
        <f>1-BF308/BG308</f>
        <v>0</v>
      </c>
      <c r="BI308">
        <v>0.5</v>
      </c>
      <c r="BJ308">
        <f>CS308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417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BZ308">
        <v>1249</v>
      </c>
      <c r="CA308">
        <v>300</v>
      </c>
      <c r="CB308">
        <v>300</v>
      </c>
      <c r="CC308">
        <v>300</v>
      </c>
      <c r="CD308">
        <v>10442.4</v>
      </c>
      <c r="CE308">
        <v>1239.69</v>
      </c>
      <c r="CF308">
        <v>-0.00735276</v>
      </c>
      <c r="CG308">
        <v>0.07000000000000001</v>
      </c>
      <c r="CH308" t="s">
        <v>417</v>
      </c>
      <c r="CI308" t="s">
        <v>417</v>
      </c>
      <c r="CJ308" t="s">
        <v>417</v>
      </c>
      <c r="CK308" t="s">
        <v>417</v>
      </c>
      <c r="CL308" t="s">
        <v>417</v>
      </c>
      <c r="CM308" t="s">
        <v>417</v>
      </c>
      <c r="CN308" t="s">
        <v>417</v>
      </c>
      <c r="CO308" t="s">
        <v>417</v>
      </c>
      <c r="CP308" t="s">
        <v>417</v>
      </c>
      <c r="CQ308" t="s">
        <v>417</v>
      </c>
      <c r="CR308">
        <f>$B$11*DQ308+$C$11*DR308+$F$11*EC308*(1-EF308)</f>
        <v>0</v>
      </c>
      <c r="CS308">
        <f>CR308*CT308</f>
        <v>0</v>
      </c>
      <c r="CT308">
        <f>($B$11*$D$9+$C$11*$D$9+$F$11*((EP308+EH308)/MAX(EP308+EH308+EQ308, 0.1)*$I$9+EQ308/MAX(EP308+EH308+EQ308, 0.1)*$J$9))/($B$11+$C$11+$F$11)</f>
        <v>0</v>
      </c>
      <c r="CU308">
        <f>($B$11*$K$9+$C$11*$K$9+$F$11*((EP308+EH308)/MAX(EP308+EH308+EQ308, 0.1)*$P$9+EQ308/MAX(EP308+EH308+EQ308, 0.1)*$Q$9))/($B$11+$C$11+$F$11)</f>
        <v>0</v>
      </c>
      <c r="CV308">
        <v>6</v>
      </c>
      <c r="CW308">
        <v>0.5</v>
      </c>
      <c r="CX308" t="s">
        <v>418</v>
      </c>
      <c r="CY308">
        <v>2</v>
      </c>
      <c r="CZ308" t="b">
        <v>1</v>
      </c>
      <c r="DA308">
        <v>1651866346.625</v>
      </c>
      <c r="DB308">
        <v>262.2035</v>
      </c>
      <c r="DC308">
        <v>304.7895</v>
      </c>
      <c r="DD308">
        <v>18.643875</v>
      </c>
      <c r="DE308">
        <v>9.4001325</v>
      </c>
      <c r="DF308">
        <v>262.87725</v>
      </c>
      <c r="DG308">
        <v>18.619125</v>
      </c>
      <c r="DH308">
        <v>500.033</v>
      </c>
      <c r="DI308">
        <v>89.92085</v>
      </c>
      <c r="DJ308">
        <v>0.09999844999999999</v>
      </c>
      <c r="DK308">
        <v>25.892425</v>
      </c>
      <c r="DL308">
        <v>24.999425</v>
      </c>
      <c r="DM308">
        <v>999.9</v>
      </c>
      <c r="DN308">
        <v>0</v>
      </c>
      <c r="DO308">
        <v>0</v>
      </c>
      <c r="DP308">
        <v>10014.85</v>
      </c>
      <c r="DQ308">
        <v>0</v>
      </c>
      <c r="DR308">
        <v>3.2294725</v>
      </c>
      <c r="DS308">
        <v>-42.58615</v>
      </c>
      <c r="DT308">
        <v>267.185</v>
      </c>
      <c r="DU308">
        <v>307.68175</v>
      </c>
      <c r="DV308">
        <v>9.243749999999999</v>
      </c>
      <c r="DW308">
        <v>304.7895</v>
      </c>
      <c r="DX308">
        <v>9.4001325</v>
      </c>
      <c r="DY308">
        <v>1.676475</v>
      </c>
      <c r="DZ308">
        <v>0.8452679999999999</v>
      </c>
      <c r="EA308">
        <v>14.6803</v>
      </c>
      <c r="EB308">
        <v>4.49113</v>
      </c>
      <c r="EC308">
        <v>1499.925</v>
      </c>
      <c r="ED308">
        <v>0.972994</v>
      </c>
      <c r="EE308">
        <v>0.027006025</v>
      </c>
      <c r="EF308">
        <v>0</v>
      </c>
      <c r="EG308">
        <v>842.933</v>
      </c>
      <c r="EH308">
        <v>5.00097</v>
      </c>
      <c r="EI308">
        <v>12600.675</v>
      </c>
      <c r="EJ308">
        <v>12490.95</v>
      </c>
      <c r="EK308">
        <v>39.312</v>
      </c>
      <c r="EL308">
        <v>41.42149999999999</v>
      </c>
      <c r="EM308">
        <v>39.562</v>
      </c>
      <c r="EN308">
        <v>42.0155</v>
      </c>
      <c r="EO308">
        <v>40.54649999999999</v>
      </c>
      <c r="EP308">
        <v>1454.5525</v>
      </c>
      <c r="EQ308">
        <v>40.3725</v>
      </c>
      <c r="ER308">
        <v>0</v>
      </c>
      <c r="ES308">
        <v>865.4000000953674</v>
      </c>
      <c r="ET308">
        <v>0</v>
      </c>
      <c r="EU308">
        <v>841.7417199999999</v>
      </c>
      <c r="EV308">
        <v>8.97069231415445</v>
      </c>
      <c r="EW308">
        <v>163.8384615182532</v>
      </c>
      <c r="EX308">
        <v>12580.092</v>
      </c>
      <c r="EY308">
        <v>15</v>
      </c>
      <c r="EZ308">
        <v>1651865518.1</v>
      </c>
      <c r="FA308" t="s">
        <v>910</v>
      </c>
      <c r="FB308">
        <v>1651865507.1</v>
      </c>
      <c r="FC308">
        <v>1651865518.1</v>
      </c>
      <c r="FD308">
        <v>8</v>
      </c>
      <c r="FE308">
        <v>0.06</v>
      </c>
      <c r="FF308">
        <v>0</v>
      </c>
      <c r="FG308">
        <v>-0.927</v>
      </c>
      <c r="FH308">
        <v>-0.062</v>
      </c>
      <c r="FI308">
        <v>400</v>
      </c>
      <c r="FJ308">
        <v>11</v>
      </c>
      <c r="FK308">
        <v>0.11</v>
      </c>
      <c r="FL308">
        <v>0.01</v>
      </c>
      <c r="FM308">
        <v>-39.56259</v>
      </c>
      <c r="FN308">
        <v>-19.12760150093803</v>
      </c>
      <c r="FO308">
        <v>1.840670667555715</v>
      </c>
      <c r="FP308">
        <v>-1</v>
      </c>
      <c r="FQ308">
        <v>9.218560249999999</v>
      </c>
      <c r="FR308">
        <v>0.156564090056273</v>
      </c>
      <c r="FS308">
        <v>0.01509256778807037</v>
      </c>
      <c r="FT308">
        <v>-1</v>
      </c>
      <c r="FU308">
        <v>0</v>
      </c>
      <c r="FV308">
        <v>0</v>
      </c>
      <c r="FW308">
        <v>0</v>
      </c>
      <c r="FX308">
        <v>-1</v>
      </c>
      <c r="FY308">
        <v>0</v>
      </c>
      <c r="FZ308">
        <v>0</v>
      </c>
      <c r="GA308" t="s">
        <v>420</v>
      </c>
      <c r="GB308">
        <v>2.98147</v>
      </c>
      <c r="GC308">
        <v>2.70621</v>
      </c>
      <c r="GD308">
        <v>0.06509429999999999</v>
      </c>
      <c r="GE308">
        <v>0.0727988</v>
      </c>
      <c r="GF308">
        <v>0.088798</v>
      </c>
      <c r="GG308">
        <v>0.0528574</v>
      </c>
      <c r="GH308">
        <v>29542.1</v>
      </c>
      <c r="GI308">
        <v>29361.8</v>
      </c>
      <c r="GJ308">
        <v>29376.9</v>
      </c>
      <c r="GK308">
        <v>29291.5</v>
      </c>
      <c r="GL308">
        <v>35441.8</v>
      </c>
      <c r="GM308">
        <v>36956.4</v>
      </c>
      <c r="GN308">
        <v>41348.3</v>
      </c>
      <c r="GO308">
        <v>41810.8</v>
      </c>
      <c r="GP308">
        <v>1.96675</v>
      </c>
      <c r="GQ308">
        <v>1.8531</v>
      </c>
      <c r="GR308">
        <v>-0.00573695</v>
      </c>
      <c r="GS308">
        <v>0</v>
      </c>
      <c r="GT308">
        <v>25.0931</v>
      </c>
      <c r="GU308">
        <v>999.9</v>
      </c>
      <c r="GV308">
        <v>29.8</v>
      </c>
      <c r="GW308">
        <v>34.2</v>
      </c>
      <c r="GX308">
        <v>17.906</v>
      </c>
      <c r="GY308">
        <v>62.0576</v>
      </c>
      <c r="GZ308">
        <v>35.3566</v>
      </c>
      <c r="HA308">
        <v>1</v>
      </c>
      <c r="HB308">
        <v>0.0459223</v>
      </c>
      <c r="HC308">
        <v>1.49346</v>
      </c>
      <c r="HD308">
        <v>20.3293</v>
      </c>
      <c r="HE308">
        <v>5.21789</v>
      </c>
      <c r="HF308">
        <v>12.0099</v>
      </c>
      <c r="HG308">
        <v>4.9887</v>
      </c>
      <c r="HH308">
        <v>3.28865</v>
      </c>
      <c r="HI308">
        <v>1031.1</v>
      </c>
      <c r="HJ308">
        <v>9733.1</v>
      </c>
      <c r="HK308">
        <v>5139.4</v>
      </c>
      <c r="HL308">
        <v>25.3</v>
      </c>
      <c r="HM308">
        <v>1.86747</v>
      </c>
      <c r="HN308">
        <v>1.86646</v>
      </c>
      <c r="HO308">
        <v>1.866</v>
      </c>
      <c r="HP308">
        <v>1.86584</v>
      </c>
      <c r="HQ308">
        <v>1.86768</v>
      </c>
      <c r="HR308">
        <v>1.87025</v>
      </c>
      <c r="HS308">
        <v>1.8689</v>
      </c>
      <c r="HT308">
        <v>1.87022</v>
      </c>
      <c r="HU308">
        <v>0</v>
      </c>
      <c r="HV308">
        <v>0</v>
      </c>
      <c r="HW308">
        <v>0</v>
      </c>
      <c r="HX308">
        <v>0</v>
      </c>
      <c r="HY308" t="s">
        <v>421</v>
      </c>
      <c r="HZ308" t="s">
        <v>422</v>
      </c>
      <c r="IA308" t="s">
        <v>423</v>
      </c>
      <c r="IB308" t="s">
        <v>423</v>
      </c>
      <c r="IC308" t="s">
        <v>423</v>
      </c>
      <c r="ID308" t="s">
        <v>423</v>
      </c>
      <c r="IE308">
        <v>0</v>
      </c>
      <c r="IF308">
        <v>100</v>
      </c>
      <c r="IG308">
        <v>100</v>
      </c>
      <c r="IH308">
        <v>-0.681</v>
      </c>
      <c r="II308">
        <v>0.0248</v>
      </c>
      <c r="IJ308">
        <v>-0.1559367209035702</v>
      </c>
      <c r="IK308">
        <v>-0.002077099775823331</v>
      </c>
      <c r="IL308">
        <v>4.593143279902166E-07</v>
      </c>
      <c r="IM308">
        <v>-1.865383991892071E-10</v>
      </c>
      <c r="IN308">
        <v>-0.0607165066849496</v>
      </c>
      <c r="IO308">
        <v>-0.01129461987421345</v>
      </c>
      <c r="IP308">
        <v>0.00116580895745559</v>
      </c>
      <c r="IQ308">
        <v>-1.679085872906199E-05</v>
      </c>
      <c r="IR308">
        <v>2</v>
      </c>
      <c r="IS308">
        <v>2290</v>
      </c>
      <c r="IT308">
        <v>0</v>
      </c>
      <c r="IU308">
        <v>32</v>
      </c>
      <c r="IV308">
        <v>14</v>
      </c>
      <c r="IW308">
        <v>13.8</v>
      </c>
      <c r="IX308">
        <v>0.8483889999999999</v>
      </c>
      <c r="IY308">
        <v>2.2229</v>
      </c>
      <c r="IZ308">
        <v>1.39648</v>
      </c>
      <c r="JA308">
        <v>2.35474</v>
      </c>
      <c r="JB308">
        <v>1.49536</v>
      </c>
      <c r="JC308">
        <v>2.36206</v>
      </c>
      <c r="JD308">
        <v>38.0134</v>
      </c>
      <c r="JE308">
        <v>24.0437</v>
      </c>
      <c r="JF308">
        <v>18</v>
      </c>
      <c r="JG308">
        <v>512.575</v>
      </c>
      <c r="JH308">
        <v>425.714</v>
      </c>
      <c r="JI308">
        <v>23.152</v>
      </c>
      <c r="JJ308">
        <v>27.9221</v>
      </c>
      <c r="JK308">
        <v>30.0001</v>
      </c>
      <c r="JL308">
        <v>27.9481</v>
      </c>
      <c r="JM308">
        <v>27.8933</v>
      </c>
      <c r="JN308">
        <v>17.0334</v>
      </c>
      <c r="JO308">
        <v>44.9415</v>
      </c>
      <c r="JP308">
        <v>0</v>
      </c>
      <c r="JQ308">
        <v>23.152</v>
      </c>
      <c r="JR308">
        <v>331.857</v>
      </c>
      <c r="JS308">
        <v>9.37025</v>
      </c>
      <c r="JT308">
        <v>100.415</v>
      </c>
      <c r="JU308">
        <v>100.346</v>
      </c>
    </row>
    <row r="309" spans="1:281">
      <c r="A309">
        <v>293</v>
      </c>
      <c r="B309">
        <v>1651866350</v>
      </c>
      <c r="C309">
        <v>2129.400000095367</v>
      </c>
      <c r="D309" t="s">
        <v>1009</v>
      </c>
      <c r="E309" t="s">
        <v>1010</v>
      </c>
      <c r="F309">
        <v>2</v>
      </c>
      <c r="G309" t="s">
        <v>908</v>
      </c>
      <c r="H309" t="s">
        <v>414</v>
      </c>
      <c r="I309">
        <v>1651866349</v>
      </c>
      <c r="J309">
        <f>(K309)/1000</f>
        <v>0</v>
      </c>
      <c r="K309">
        <f>IF(CZ309, AN309, AH309)</f>
        <v>0</v>
      </c>
      <c r="L309">
        <f>IF(CZ309, AI309, AG309)</f>
        <v>0</v>
      </c>
      <c r="M309">
        <f>DB309 - IF(AU309&gt;1, L309*CV309*100.0/(AW309*DP309), 0)</f>
        <v>0</v>
      </c>
      <c r="N309">
        <f>((T309-J309/2)*M309-L309)/(T309+J309/2)</f>
        <v>0</v>
      </c>
      <c r="O309">
        <f>N309*(DI309+DJ309)/1000.0</f>
        <v>0</v>
      </c>
      <c r="P309">
        <f>(DB309 - IF(AU309&gt;1, L309*CV309*100.0/(AW309*DP309), 0))*(DI309+DJ309)/1000.0</f>
        <v>0</v>
      </c>
      <c r="Q309">
        <f>2.0/((1/S309-1/R309)+SIGN(S309)*SQRT((1/S309-1/R309)*(1/S309-1/R309) + 4*CW309/((CW309+1)*(CW309+1))*(2*1/S309*1/R309-1/R309*1/R309)))</f>
        <v>0</v>
      </c>
      <c r="R309">
        <f>IF(LEFT(CX309,1)&lt;&gt;"0",IF(LEFT(CX309,1)="1",3.0,CY309),$D$5+$E$5*(DP309*DI309/($K$5*1000))+$F$5*(DP309*DI309/($K$5*1000))*MAX(MIN(CV309,$J$5),$I$5)*MAX(MIN(CV309,$J$5),$I$5)+$G$5*MAX(MIN(CV309,$J$5),$I$5)*(DP309*DI309/($K$5*1000))+$H$5*(DP309*DI309/($K$5*1000))*(DP309*DI309/($K$5*1000)))</f>
        <v>0</v>
      </c>
      <c r="S309">
        <f>J309*(1000-(1000*0.61365*exp(17.502*W309/(240.97+W309))/(DI309+DJ309)+DD309)/2)/(1000*0.61365*exp(17.502*W309/(240.97+W309))/(DI309+DJ309)-DD309)</f>
        <v>0</v>
      </c>
      <c r="T309">
        <f>1/((CW309+1)/(Q309/1.6)+1/(R309/1.37)) + CW309/((CW309+1)/(Q309/1.6) + CW309/(R309/1.37))</f>
        <v>0</v>
      </c>
      <c r="U309">
        <f>(CR309*CU309)</f>
        <v>0</v>
      </c>
      <c r="V309">
        <f>(DK309+(U309+2*0.95*5.67E-8*(((DK309+$B$7)+273)^4-(DK309+273)^4)-44100*J309)/(1.84*29.3*R309+8*0.95*5.67E-8*(DK309+273)^3))</f>
        <v>0</v>
      </c>
      <c r="W309">
        <f>($C$7*DL309+$D$7*DM309+$E$7*V309)</f>
        <v>0</v>
      </c>
      <c r="X309">
        <f>0.61365*exp(17.502*W309/(240.97+W309))</f>
        <v>0</v>
      </c>
      <c r="Y309">
        <f>(Z309/AA309*100)</f>
        <v>0</v>
      </c>
      <c r="Z309">
        <f>DD309*(DI309+DJ309)/1000</f>
        <v>0</v>
      </c>
      <c r="AA309">
        <f>0.61365*exp(17.502*DK309/(240.97+DK309))</f>
        <v>0</v>
      </c>
      <c r="AB309">
        <f>(X309-DD309*(DI309+DJ309)/1000)</f>
        <v>0</v>
      </c>
      <c r="AC309">
        <f>(-J309*44100)</f>
        <v>0</v>
      </c>
      <c r="AD309">
        <f>2*29.3*R309*0.92*(DK309-W309)</f>
        <v>0</v>
      </c>
      <c r="AE309">
        <f>2*0.95*5.67E-8*(((DK309+$B$7)+273)^4-(W309+273)^4)</f>
        <v>0</v>
      </c>
      <c r="AF309">
        <f>U309+AE309+AC309+AD309</f>
        <v>0</v>
      </c>
      <c r="AG309">
        <f>DH309*AU309*(DC309-DB309*(1000-AU309*DE309)/(1000-AU309*DD309))/(100*CV309)</f>
        <v>0</v>
      </c>
      <c r="AH309">
        <f>1000*DH309*AU309*(DD309-DE309)/(100*CV309*(1000-AU309*DD309))</f>
        <v>0</v>
      </c>
      <c r="AI309">
        <f>(AJ309 - AK309 - DI309*1E3/(8.314*(DK309+273.15)) * AM309/DH309 * AL309) * DH309/(100*CV309) * (1000 - DE309)/1000</f>
        <v>0</v>
      </c>
      <c r="AJ309">
        <v>309.7456539215519</v>
      </c>
      <c r="AK309">
        <v>276.1363999999999</v>
      </c>
      <c r="AL309">
        <v>3.112999692951805</v>
      </c>
      <c r="AM309">
        <v>66.38195617057868</v>
      </c>
      <c r="AN309">
        <f>(AP309 - AO309 + DI309*1E3/(8.314*(DK309+273.15)) * AR309/DH309 * AQ309) * DH309/(100*CV309) * 1000/(1000 - AP309)</f>
        <v>0</v>
      </c>
      <c r="AO309">
        <v>9.400512298679535</v>
      </c>
      <c r="AP309">
        <v>18.65327323529412</v>
      </c>
      <c r="AQ309">
        <v>0.0001083311079685538</v>
      </c>
      <c r="AR309">
        <v>80.47178418790507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MAX(0,($B$13+$C$13*DP309)/(1+$D$13*DP309)*DI309/(DK309+273)*$E$13)</f>
        <v>0</v>
      </c>
      <c r="AX309" t="s">
        <v>417</v>
      </c>
      <c r="AY309" t="s">
        <v>417</v>
      </c>
      <c r="AZ309">
        <v>0</v>
      </c>
      <c r="BA309">
        <v>0</v>
      </c>
      <c r="BB309">
        <f>1-AZ309/BA309</f>
        <v>0</v>
      </c>
      <c r="BC309">
        <v>0</v>
      </c>
      <c r="BD309" t="s">
        <v>417</v>
      </c>
      <c r="BE309" t="s">
        <v>417</v>
      </c>
      <c r="BF309">
        <v>0</v>
      </c>
      <c r="BG309">
        <v>0</v>
      </c>
      <c r="BH309">
        <f>1-BF309/BG309</f>
        <v>0</v>
      </c>
      <c r="BI309">
        <v>0.5</v>
      </c>
      <c r="BJ309">
        <f>CS309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417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BZ309">
        <v>1249</v>
      </c>
      <c r="CA309">
        <v>300</v>
      </c>
      <c r="CB309">
        <v>300</v>
      </c>
      <c r="CC309">
        <v>300</v>
      </c>
      <c r="CD309">
        <v>10442.4</v>
      </c>
      <c r="CE309">
        <v>1239.69</v>
      </c>
      <c r="CF309">
        <v>-0.00735276</v>
      </c>
      <c r="CG309">
        <v>0.07000000000000001</v>
      </c>
      <c r="CH309" t="s">
        <v>417</v>
      </c>
      <c r="CI309" t="s">
        <v>417</v>
      </c>
      <c r="CJ309" t="s">
        <v>417</v>
      </c>
      <c r="CK309" t="s">
        <v>417</v>
      </c>
      <c r="CL309" t="s">
        <v>417</v>
      </c>
      <c r="CM309" t="s">
        <v>417</v>
      </c>
      <c r="CN309" t="s">
        <v>417</v>
      </c>
      <c r="CO309" t="s">
        <v>417</v>
      </c>
      <c r="CP309" t="s">
        <v>417</v>
      </c>
      <c r="CQ309" t="s">
        <v>417</v>
      </c>
      <c r="CR309">
        <f>$B$11*DQ309+$C$11*DR309+$F$11*EC309*(1-EF309)</f>
        <v>0</v>
      </c>
      <c r="CS309">
        <f>CR309*CT309</f>
        <v>0</v>
      </c>
      <c r="CT309">
        <f>($B$11*$D$9+$C$11*$D$9+$F$11*((EP309+EH309)/MAX(EP309+EH309+EQ309, 0.1)*$I$9+EQ309/MAX(EP309+EH309+EQ309, 0.1)*$J$9))/($B$11+$C$11+$F$11)</f>
        <v>0</v>
      </c>
      <c r="CU309">
        <f>($B$11*$K$9+$C$11*$K$9+$F$11*((EP309+EH309)/MAX(EP309+EH309+EQ309, 0.1)*$P$9+EQ309/MAX(EP309+EH309+EQ309, 0.1)*$Q$9))/($B$11+$C$11+$F$11)</f>
        <v>0</v>
      </c>
      <c r="CV309">
        <v>6</v>
      </c>
      <c r="CW309">
        <v>0.5</v>
      </c>
      <c r="CX309" t="s">
        <v>418</v>
      </c>
      <c r="CY309">
        <v>2</v>
      </c>
      <c r="CZ309" t="b">
        <v>1</v>
      </c>
      <c r="DA309">
        <v>1651866349</v>
      </c>
      <c r="DB309">
        <v>269.458</v>
      </c>
      <c r="DC309">
        <v>312.8106666666667</v>
      </c>
      <c r="DD309">
        <v>18.65213333333334</v>
      </c>
      <c r="DE309">
        <v>9.399749999999999</v>
      </c>
      <c r="DF309">
        <v>270.145</v>
      </c>
      <c r="DG309">
        <v>18.62726666666667</v>
      </c>
      <c r="DH309">
        <v>500.044</v>
      </c>
      <c r="DI309">
        <v>89.91980000000001</v>
      </c>
      <c r="DJ309">
        <v>0.1000913333333334</v>
      </c>
      <c r="DK309">
        <v>25.8932</v>
      </c>
      <c r="DL309">
        <v>24.99683333333333</v>
      </c>
      <c r="DM309">
        <v>999.9</v>
      </c>
      <c r="DN309">
        <v>0</v>
      </c>
      <c r="DO309">
        <v>0</v>
      </c>
      <c r="DP309">
        <v>9983.75</v>
      </c>
      <c r="DQ309">
        <v>0</v>
      </c>
      <c r="DR309">
        <v>3.230526666666667</v>
      </c>
      <c r="DS309">
        <v>-43.3526</v>
      </c>
      <c r="DT309">
        <v>274.5793333333334</v>
      </c>
      <c r="DU309">
        <v>315.7786666666667</v>
      </c>
      <c r="DV309">
        <v>9.252386666666666</v>
      </c>
      <c r="DW309">
        <v>312.8106666666667</v>
      </c>
      <c r="DX309">
        <v>9.399749999999999</v>
      </c>
      <c r="DY309">
        <v>1.677196666666666</v>
      </c>
      <c r="DZ309">
        <v>0.8452236666666667</v>
      </c>
      <c r="EA309">
        <v>14.68696666666666</v>
      </c>
      <c r="EB309">
        <v>4.49038</v>
      </c>
      <c r="EC309">
        <v>1500.003333333333</v>
      </c>
      <c r="ED309">
        <v>0.9729973333333334</v>
      </c>
      <c r="EE309">
        <v>0.02700273333333333</v>
      </c>
      <c r="EF309">
        <v>0</v>
      </c>
      <c r="EG309">
        <v>843.639</v>
      </c>
      <c r="EH309">
        <v>5.00097</v>
      </c>
      <c r="EI309">
        <v>12617.3</v>
      </c>
      <c r="EJ309">
        <v>12491.6</v>
      </c>
      <c r="EK309">
        <v>39.375</v>
      </c>
      <c r="EL309">
        <v>41.437</v>
      </c>
      <c r="EM309">
        <v>39.562</v>
      </c>
      <c r="EN309">
        <v>42.04133333333333</v>
      </c>
      <c r="EO309">
        <v>40.562</v>
      </c>
      <c r="EP309">
        <v>1454.633333333333</v>
      </c>
      <c r="EQ309">
        <v>40.37</v>
      </c>
      <c r="ER309">
        <v>0</v>
      </c>
      <c r="ES309">
        <v>867.2000000476837</v>
      </c>
      <c r="ET309">
        <v>0</v>
      </c>
      <c r="EU309">
        <v>842.0035384615385</v>
      </c>
      <c r="EV309">
        <v>11.39740169759813</v>
      </c>
      <c r="EW309">
        <v>209.7264954392913</v>
      </c>
      <c r="EX309">
        <v>12585.35769230769</v>
      </c>
      <c r="EY309">
        <v>15</v>
      </c>
      <c r="EZ309">
        <v>1651865518.1</v>
      </c>
      <c r="FA309" t="s">
        <v>910</v>
      </c>
      <c r="FB309">
        <v>1651865507.1</v>
      </c>
      <c r="FC309">
        <v>1651865518.1</v>
      </c>
      <c r="FD309">
        <v>8</v>
      </c>
      <c r="FE309">
        <v>0.06</v>
      </c>
      <c r="FF309">
        <v>0</v>
      </c>
      <c r="FG309">
        <v>-0.927</v>
      </c>
      <c r="FH309">
        <v>-0.062</v>
      </c>
      <c r="FI309">
        <v>400</v>
      </c>
      <c r="FJ309">
        <v>11</v>
      </c>
      <c r="FK309">
        <v>0.11</v>
      </c>
      <c r="FL309">
        <v>0.01</v>
      </c>
      <c r="FM309">
        <v>-40.27847560975609</v>
      </c>
      <c r="FN309">
        <v>-19.33699024390251</v>
      </c>
      <c r="FO309">
        <v>1.907129549973133</v>
      </c>
      <c r="FP309">
        <v>-1</v>
      </c>
      <c r="FQ309">
        <v>9.224778536585363</v>
      </c>
      <c r="FR309">
        <v>0.1600636933797839</v>
      </c>
      <c r="FS309">
        <v>0.01582684529540734</v>
      </c>
      <c r="FT309">
        <v>-1</v>
      </c>
      <c r="FU309">
        <v>0</v>
      </c>
      <c r="FV309">
        <v>0</v>
      </c>
      <c r="FW309">
        <v>0</v>
      </c>
      <c r="FX309">
        <v>-1</v>
      </c>
      <c r="FY309">
        <v>0</v>
      </c>
      <c r="FZ309">
        <v>0</v>
      </c>
      <c r="GA309" t="s">
        <v>420</v>
      </c>
      <c r="GB309">
        <v>2.98152</v>
      </c>
      <c r="GC309">
        <v>2.70604</v>
      </c>
      <c r="GD309">
        <v>0.0663478</v>
      </c>
      <c r="GE309">
        <v>0.0740856</v>
      </c>
      <c r="GF309">
        <v>0.0888219</v>
      </c>
      <c r="GG309">
        <v>0.0528573</v>
      </c>
      <c r="GH309">
        <v>29503</v>
      </c>
      <c r="GI309">
        <v>29321</v>
      </c>
      <c r="GJ309">
        <v>29377.4</v>
      </c>
      <c r="GK309">
        <v>29291.5</v>
      </c>
      <c r="GL309">
        <v>35441.6</v>
      </c>
      <c r="GM309">
        <v>36956.4</v>
      </c>
      <c r="GN309">
        <v>41349.2</v>
      </c>
      <c r="GO309">
        <v>41810.9</v>
      </c>
      <c r="GP309">
        <v>1.96672</v>
      </c>
      <c r="GQ309">
        <v>1.85315</v>
      </c>
      <c r="GR309">
        <v>-0.00573695</v>
      </c>
      <c r="GS309">
        <v>0</v>
      </c>
      <c r="GT309">
        <v>25.0931</v>
      </c>
      <c r="GU309">
        <v>999.9</v>
      </c>
      <c r="GV309">
        <v>29.8</v>
      </c>
      <c r="GW309">
        <v>34.2</v>
      </c>
      <c r="GX309">
        <v>17.9033</v>
      </c>
      <c r="GY309">
        <v>62.3376</v>
      </c>
      <c r="GZ309">
        <v>35.1522</v>
      </c>
      <c r="HA309">
        <v>1</v>
      </c>
      <c r="HB309">
        <v>0.0458841</v>
      </c>
      <c r="HC309">
        <v>1.49327</v>
      </c>
      <c r="HD309">
        <v>20.3285</v>
      </c>
      <c r="HE309">
        <v>5.21774</v>
      </c>
      <c r="HF309">
        <v>12.0099</v>
      </c>
      <c r="HG309">
        <v>4.98855</v>
      </c>
      <c r="HH309">
        <v>3.28865</v>
      </c>
      <c r="HI309">
        <v>1031.3</v>
      </c>
      <c r="HJ309">
        <v>9734.5</v>
      </c>
      <c r="HK309">
        <v>5139.4</v>
      </c>
      <c r="HL309">
        <v>25.3</v>
      </c>
      <c r="HM309">
        <v>1.86747</v>
      </c>
      <c r="HN309">
        <v>1.86646</v>
      </c>
      <c r="HO309">
        <v>1.866</v>
      </c>
      <c r="HP309">
        <v>1.86584</v>
      </c>
      <c r="HQ309">
        <v>1.86768</v>
      </c>
      <c r="HR309">
        <v>1.87024</v>
      </c>
      <c r="HS309">
        <v>1.8689</v>
      </c>
      <c r="HT309">
        <v>1.87022</v>
      </c>
      <c r="HU309">
        <v>0</v>
      </c>
      <c r="HV309">
        <v>0</v>
      </c>
      <c r="HW309">
        <v>0</v>
      </c>
      <c r="HX309">
        <v>0</v>
      </c>
      <c r="HY309" t="s">
        <v>421</v>
      </c>
      <c r="HZ309" t="s">
        <v>422</v>
      </c>
      <c r="IA309" t="s">
        <v>423</v>
      </c>
      <c r="IB309" t="s">
        <v>423</v>
      </c>
      <c r="IC309" t="s">
        <v>423</v>
      </c>
      <c r="ID309" t="s">
        <v>423</v>
      </c>
      <c r="IE309">
        <v>0</v>
      </c>
      <c r="IF309">
        <v>100</v>
      </c>
      <c r="IG309">
        <v>100</v>
      </c>
      <c r="IH309">
        <v>-0.6929999999999999</v>
      </c>
      <c r="II309">
        <v>0.0249</v>
      </c>
      <c r="IJ309">
        <v>-0.1559367209035702</v>
      </c>
      <c r="IK309">
        <v>-0.002077099775823331</v>
      </c>
      <c r="IL309">
        <v>4.593143279902166E-07</v>
      </c>
      <c r="IM309">
        <v>-1.865383991892071E-10</v>
      </c>
      <c r="IN309">
        <v>-0.0607165066849496</v>
      </c>
      <c r="IO309">
        <v>-0.01129461987421345</v>
      </c>
      <c r="IP309">
        <v>0.00116580895745559</v>
      </c>
      <c r="IQ309">
        <v>-1.679085872906199E-05</v>
      </c>
      <c r="IR309">
        <v>2</v>
      </c>
      <c r="IS309">
        <v>2290</v>
      </c>
      <c r="IT309">
        <v>0</v>
      </c>
      <c r="IU309">
        <v>32</v>
      </c>
      <c r="IV309">
        <v>14</v>
      </c>
      <c r="IW309">
        <v>13.9</v>
      </c>
      <c r="IX309">
        <v>0.861816</v>
      </c>
      <c r="IY309">
        <v>2.22656</v>
      </c>
      <c r="IZ309">
        <v>1.39648</v>
      </c>
      <c r="JA309">
        <v>2.35474</v>
      </c>
      <c r="JB309">
        <v>1.49536</v>
      </c>
      <c r="JC309">
        <v>2.28394</v>
      </c>
      <c r="JD309">
        <v>38.0134</v>
      </c>
      <c r="JE309">
        <v>24.035</v>
      </c>
      <c r="JF309">
        <v>18</v>
      </c>
      <c r="JG309">
        <v>512.549</v>
      </c>
      <c r="JH309">
        <v>425.74</v>
      </c>
      <c r="JI309">
        <v>23.152</v>
      </c>
      <c r="JJ309">
        <v>27.9209</v>
      </c>
      <c r="JK309">
        <v>30</v>
      </c>
      <c r="JL309">
        <v>27.9469</v>
      </c>
      <c r="JM309">
        <v>27.8928</v>
      </c>
      <c r="JN309">
        <v>17.3103</v>
      </c>
      <c r="JO309">
        <v>44.9415</v>
      </c>
      <c r="JP309">
        <v>0</v>
      </c>
      <c r="JQ309">
        <v>23.1529</v>
      </c>
      <c r="JR309">
        <v>338.536</v>
      </c>
      <c r="JS309">
        <v>9.365830000000001</v>
      </c>
      <c r="JT309">
        <v>100.417</v>
      </c>
      <c r="JU309">
        <v>100.346</v>
      </c>
    </row>
    <row r="310" spans="1:281">
      <c r="A310">
        <v>294</v>
      </c>
      <c r="B310">
        <v>1651866352</v>
      </c>
      <c r="C310">
        <v>2131.400000095367</v>
      </c>
      <c r="D310" t="s">
        <v>1011</v>
      </c>
      <c r="E310" t="s">
        <v>1012</v>
      </c>
      <c r="F310">
        <v>2</v>
      </c>
      <c r="G310" t="s">
        <v>908</v>
      </c>
      <c r="H310" t="s">
        <v>414</v>
      </c>
      <c r="I310">
        <v>1651866350.625</v>
      </c>
      <c r="J310">
        <f>(K310)/1000</f>
        <v>0</v>
      </c>
      <c r="K310">
        <f>IF(CZ310, AN310, AH310)</f>
        <v>0</v>
      </c>
      <c r="L310">
        <f>IF(CZ310, AI310, AG310)</f>
        <v>0</v>
      </c>
      <c r="M310">
        <f>DB310 - IF(AU310&gt;1, L310*CV310*100.0/(AW310*DP310), 0)</f>
        <v>0</v>
      </c>
      <c r="N310">
        <f>((T310-J310/2)*M310-L310)/(T310+J310/2)</f>
        <v>0</v>
      </c>
      <c r="O310">
        <f>N310*(DI310+DJ310)/1000.0</f>
        <v>0</v>
      </c>
      <c r="P310">
        <f>(DB310 - IF(AU310&gt;1, L310*CV310*100.0/(AW310*DP310), 0))*(DI310+DJ310)/1000.0</f>
        <v>0</v>
      </c>
      <c r="Q310">
        <f>2.0/((1/S310-1/R310)+SIGN(S310)*SQRT((1/S310-1/R310)*(1/S310-1/R310) + 4*CW310/((CW310+1)*(CW310+1))*(2*1/S310*1/R310-1/R310*1/R310)))</f>
        <v>0</v>
      </c>
      <c r="R310">
        <f>IF(LEFT(CX310,1)&lt;&gt;"0",IF(LEFT(CX310,1)="1",3.0,CY310),$D$5+$E$5*(DP310*DI310/($K$5*1000))+$F$5*(DP310*DI310/($K$5*1000))*MAX(MIN(CV310,$J$5),$I$5)*MAX(MIN(CV310,$J$5),$I$5)+$G$5*MAX(MIN(CV310,$J$5),$I$5)*(DP310*DI310/($K$5*1000))+$H$5*(DP310*DI310/($K$5*1000))*(DP310*DI310/($K$5*1000)))</f>
        <v>0</v>
      </c>
      <c r="S310">
        <f>J310*(1000-(1000*0.61365*exp(17.502*W310/(240.97+W310))/(DI310+DJ310)+DD310)/2)/(1000*0.61365*exp(17.502*W310/(240.97+W310))/(DI310+DJ310)-DD310)</f>
        <v>0</v>
      </c>
      <c r="T310">
        <f>1/((CW310+1)/(Q310/1.6)+1/(R310/1.37)) + CW310/((CW310+1)/(Q310/1.6) + CW310/(R310/1.37))</f>
        <v>0</v>
      </c>
      <c r="U310">
        <f>(CR310*CU310)</f>
        <v>0</v>
      </c>
      <c r="V310">
        <f>(DK310+(U310+2*0.95*5.67E-8*(((DK310+$B$7)+273)^4-(DK310+273)^4)-44100*J310)/(1.84*29.3*R310+8*0.95*5.67E-8*(DK310+273)^3))</f>
        <v>0</v>
      </c>
      <c r="W310">
        <f>($C$7*DL310+$D$7*DM310+$E$7*V310)</f>
        <v>0</v>
      </c>
      <c r="X310">
        <f>0.61365*exp(17.502*W310/(240.97+W310))</f>
        <v>0</v>
      </c>
      <c r="Y310">
        <f>(Z310/AA310*100)</f>
        <v>0</v>
      </c>
      <c r="Z310">
        <f>DD310*(DI310+DJ310)/1000</f>
        <v>0</v>
      </c>
      <c r="AA310">
        <f>0.61365*exp(17.502*DK310/(240.97+DK310))</f>
        <v>0</v>
      </c>
      <c r="AB310">
        <f>(X310-DD310*(DI310+DJ310)/1000)</f>
        <v>0</v>
      </c>
      <c r="AC310">
        <f>(-J310*44100)</f>
        <v>0</v>
      </c>
      <c r="AD310">
        <f>2*29.3*R310*0.92*(DK310-W310)</f>
        <v>0</v>
      </c>
      <c r="AE310">
        <f>2*0.95*5.67E-8*(((DK310+$B$7)+273)^4-(W310+273)^4)</f>
        <v>0</v>
      </c>
      <c r="AF310">
        <f>U310+AE310+AC310+AD310</f>
        <v>0</v>
      </c>
      <c r="AG310">
        <f>DH310*AU310*(DC310-DB310*(1000-AU310*DE310)/(1000-AU310*DD310))/(100*CV310)</f>
        <v>0</v>
      </c>
      <c r="AH310">
        <f>1000*DH310*AU310*(DD310-DE310)/(100*CV310*(1000-AU310*DD310))</f>
        <v>0</v>
      </c>
      <c r="AI310">
        <f>(AJ310 - AK310 - DI310*1E3/(8.314*(DK310+273.15)) * AM310/DH310 * AL310) * DH310/(100*CV310) * (1000 - DE310)/1000</f>
        <v>0</v>
      </c>
      <c r="AJ310">
        <v>316.5697142339762</v>
      </c>
      <c r="AK310">
        <v>282.3833151515152</v>
      </c>
      <c r="AL310">
        <v>3.117788343166478</v>
      </c>
      <c r="AM310">
        <v>66.38195617057868</v>
      </c>
      <c r="AN310">
        <f>(AP310 - AO310 + DI310*1E3/(8.314*(DK310+273.15)) * AR310/DH310 * AQ310) * DH310/(100*CV310) * 1000/(1000 - AP310)</f>
        <v>0</v>
      </c>
      <c r="AO310">
        <v>9.399893015241062</v>
      </c>
      <c r="AP310">
        <v>18.65930411764706</v>
      </c>
      <c r="AQ310">
        <v>9.447271850060728E-05</v>
      </c>
      <c r="AR310">
        <v>80.47178418790507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MAX(0,($B$13+$C$13*DP310)/(1+$D$13*DP310)*DI310/(DK310+273)*$E$13)</f>
        <v>0</v>
      </c>
      <c r="AX310" t="s">
        <v>417</v>
      </c>
      <c r="AY310" t="s">
        <v>417</v>
      </c>
      <c r="AZ310">
        <v>0</v>
      </c>
      <c r="BA310">
        <v>0</v>
      </c>
      <c r="BB310">
        <f>1-AZ310/BA310</f>
        <v>0</v>
      </c>
      <c r="BC310">
        <v>0</v>
      </c>
      <c r="BD310" t="s">
        <v>417</v>
      </c>
      <c r="BE310" t="s">
        <v>417</v>
      </c>
      <c r="BF310">
        <v>0</v>
      </c>
      <c r="BG310">
        <v>0</v>
      </c>
      <c r="BH310">
        <f>1-BF310/BG310</f>
        <v>0</v>
      </c>
      <c r="BI310">
        <v>0.5</v>
      </c>
      <c r="BJ310">
        <f>CS310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417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BZ310">
        <v>1249</v>
      </c>
      <c r="CA310">
        <v>300</v>
      </c>
      <c r="CB310">
        <v>300</v>
      </c>
      <c r="CC310">
        <v>300</v>
      </c>
      <c r="CD310">
        <v>10442.4</v>
      </c>
      <c r="CE310">
        <v>1239.69</v>
      </c>
      <c r="CF310">
        <v>-0.00735276</v>
      </c>
      <c r="CG310">
        <v>0.07000000000000001</v>
      </c>
      <c r="CH310" t="s">
        <v>417</v>
      </c>
      <c r="CI310" t="s">
        <v>417</v>
      </c>
      <c r="CJ310" t="s">
        <v>417</v>
      </c>
      <c r="CK310" t="s">
        <v>417</v>
      </c>
      <c r="CL310" t="s">
        <v>417</v>
      </c>
      <c r="CM310" t="s">
        <v>417</v>
      </c>
      <c r="CN310" t="s">
        <v>417</v>
      </c>
      <c r="CO310" t="s">
        <v>417</v>
      </c>
      <c r="CP310" t="s">
        <v>417</v>
      </c>
      <c r="CQ310" t="s">
        <v>417</v>
      </c>
      <c r="CR310">
        <f>$B$11*DQ310+$C$11*DR310+$F$11*EC310*(1-EF310)</f>
        <v>0</v>
      </c>
      <c r="CS310">
        <f>CR310*CT310</f>
        <v>0</v>
      </c>
      <c r="CT310">
        <f>($B$11*$D$9+$C$11*$D$9+$F$11*((EP310+EH310)/MAX(EP310+EH310+EQ310, 0.1)*$I$9+EQ310/MAX(EP310+EH310+EQ310, 0.1)*$J$9))/($B$11+$C$11+$F$11)</f>
        <v>0</v>
      </c>
      <c r="CU310">
        <f>($B$11*$K$9+$C$11*$K$9+$F$11*((EP310+EH310)/MAX(EP310+EH310+EQ310, 0.1)*$P$9+EQ310/MAX(EP310+EH310+EQ310, 0.1)*$Q$9))/($B$11+$C$11+$F$11)</f>
        <v>0</v>
      </c>
      <c r="CV310">
        <v>6</v>
      </c>
      <c r="CW310">
        <v>0.5</v>
      </c>
      <c r="CX310" t="s">
        <v>418</v>
      </c>
      <c r="CY310">
        <v>2</v>
      </c>
      <c r="CZ310" t="b">
        <v>1</v>
      </c>
      <c r="DA310">
        <v>1651866350.625</v>
      </c>
      <c r="DB310">
        <v>274.43525</v>
      </c>
      <c r="DC310">
        <v>318.3005000000001</v>
      </c>
      <c r="DD310">
        <v>18.6566</v>
      </c>
      <c r="DE310">
        <v>9.399852500000001</v>
      </c>
      <c r="DF310">
        <v>275.1320000000001</v>
      </c>
      <c r="DG310">
        <v>18.631675</v>
      </c>
      <c r="DH310">
        <v>500.0655</v>
      </c>
      <c r="DI310">
        <v>89.92019999999999</v>
      </c>
      <c r="DJ310">
        <v>0.10008775</v>
      </c>
      <c r="DK310">
        <v>25.896075</v>
      </c>
      <c r="DL310">
        <v>25.000475</v>
      </c>
      <c r="DM310">
        <v>999.9</v>
      </c>
      <c r="DN310">
        <v>0</v>
      </c>
      <c r="DO310">
        <v>0</v>
      </c>
      <c r="DP310">
        <v>9971.564999999999</v>
      </c>
      <c r="DQ310">
        <v>0</v>
      </c>
      <c r="DR310">
        <v>3.2192875</v>
      </c>
      <c r="DS310">
        <v>-43.86477499999999</v>
      </c>
      <c r="DT310">
        <v>279.653</v>
      </c>
      <c r="DU310">
        <v>321.3205</v>
      </c>
      <c r="DV310">
        <v>9.256752500000001</v>
      </c>
      <c r="DW310">
        <v>318.3005000000001</v>
      </c>
      <c r="DX310">
        <v>9.399852500000001</v>
      </c>
      <c r="DY310">
        <v>1.677605</v>
      </c>
      <c r="DZ310">
        <v>0.84523675</v>
      </c>
      <c r="EA310">
        <v>14.69075</v>
      </c>
      <c r="EB310">
        <v>4.490600000000001</v>
      </c>
      <c r="EC310">
        <v>1499.9525</v>
      </c>
      <c r="ED310">
        <v>0.9729990000000001</v>
      </c>
      <c r="EE310">
        <v>0.0270011</v>
      </c>
      <c r="EF310">
        <v>0</v>
      </c>
      <c r="EG310">
        <v>844.44775</v>
      </c>
      <c r="EH310">
        <v>5.00097</v>
      </c>
      <c r="EI310">
        <v>12628.025</v>
      </c>
      <c r="EJ310">
        <v>12491.175</v>
      </c>
      <c r="EK310">
        <v>39.375</v>
      </c>
      <c r="EL310">
        <v>41.42149999999999</v>
      </c>
      <c r="EM310">
        <v>39.60925</v>
      </c>
      <c r="EN310">
        <v>41.93725</v>
      </c>
      <c r="EO310">
        <v>40.49975</v>
      </c>
      <c r="EP310">
        <v>1454.5875</v>
      </c>
      <c r="EQ310">
        <v>40.365</v>
      </c>
      <c r="ER310">
        <v>0</v>
      </c>
      <c r="ES310">
        <v>869.6000001430511</v>
      </c>
      <c r="ET310">
        <v>0</v>
      </c>
      <c r="EU310">
        <v>842.5931538461537</v>
      </c>
      <c r="EV310">
        <v>16.2233162456763</v>
      </c>
      <c r="EW310">
        <v>285.1555556987449</v>
      </c>
      <c r="EX310">
        <v>12595.32307692308</v>
      </c>
      <c r="EY310">
        <v>15</v>
      </c>
      <c r="EZ310">
        <v>1651865518.1</v>
      </c>
      <c r="FA310" t="s">
        <v>910</v>
      </c>
      <c r="FB310">
        <v>1651865507.1</v>
      </c>
      <c r="FC310">
        <v>1651865518.1</v>
      </c>
      <c r="FD310">
        <v>8</v>
      </c>
      <c r="FE310">
        <v>0.06</v>
      </c>
      <c r="FF310">
        <v>0</v>
      </c>
      <c r="FG310">
        <v>-0.927</v>
      </c>
      <c r="FH310">
        <v>-0.062</v>
      </c>
      <c r="FI310">
        <v>400</v>
      </c>
      <c r="FJ310">
        <v>11</v>
      </c>
      <c r="FK310">
        <v>0.11</v>
      </c>
      <c r="FL310">
        <v>0.01</v>
      </c>
      <c r="FM310">
        <v>-40.837005</v>
      </c>
      <c r="FN310">
        <v>-19.43977035647266</v>
      </c>
      <c r="FO310">
        <v>1.870395934414689</v>
      </c>
      <c r="FP310">
        <v>-1</v>
      </c>
      <c r="FQ310">
        <v>9.229595749999998</v>
      </c>
      <c r="FR310">
        <v>0.1635927579737244</v>
      </c>
      <c r="FS310">
        <v>0.01579130344327214</v>
      </c>
      <c r="FT310">
        <v>-1</v>
      </c>
      <c r="FU310">
        <v>0</v>
      </c>
      <c r="FV310">
        <v>0</v>
      </c>
      <c r="FW310">
        <v>0</v>
      </c>
      <c r="FX310">
        <v>-1</v>
      </c>
      <c r="FY310">
        <v>0</v>
      </c>
      <c r="FZ310">
        <v>0</v>
      </c>
      <c r="GA310" t="s">
        <v>420</v>
      </c>
      <c r="GB310">
        <v>2.98151</v>
      </c>
      <c r="GC310">
        <v>2.70597</v>
      </c>
      <c r="GD310">
        <v>0.067583</v>
      </c>
      <c r="GE310">
        <v>0.075353</v>
      </c>
      <c r="GF310">
        <v>0.0888381</v>
      </c>
      <c r="GG310">
        <v>0.0528566</v>
      </c>
      <c r="GH310">
        <v>29464</v>
      </c>
      <c r="GI310">
        <v>29280.8</v>
      </c>
      <c r="GJ310">
        <v>29377.4</v>
      </c>
      <c r="GK310">
        <v>29291.4</v>
      </c>
      <c r="GL310">
        <v>35441.1</v>
      </c>
      <c r="GM310">
        <v>36956.4</v>
      </c>
      <c r="GN310">
        <v>41349.3</v>
      </c>
      <c r="GO310">
        <v>41810.8</v>
      </c>
      <c r="GP310">
        <v>1.96668</v>
      </c>
      <c r="GQ310">
        <v>1.85312</v>
      </c>
      <c r="GR310">
        <v>-0.00547618</v>
      </c>
      <c r="GS310">
        <v>0</v>
      </c>
      <c r="GT310">
        <v>25.0931</v>
      </c>
      <c r="GU310">
        <v>999.9</v>
      </c>
      <c r="GV310">
        <v>29.8</v>
      </c>
      <c r="GW310">
        <v>34.2</v>
      </c>
      <c r="GX310">
        <v>17.9052</v>
      </c>
      <c r="GY310">
        <v>62.3776</v>
      </c>
      <c r="GZ310">
        <v>35.3245</v>
      </c>
      <c r="HA310">
        <v>1</v>
      </c>
      <c r="HB310">
        <v>0.0458994</v>
      </c>
      <c r="HC310">
        <v>1.49098</v>
      </c>
      <c r="HD310">
        <v>20.3279</v>
      </c>
      <c r="HE310">
        <v>5.21729</v>
      </c>
      <c r="HF310">
        <v>12.0099</v>
      </c>
      <c r="HG310">
        <v>4.98835</v>
      </c>
      <c r="HH310">
        <v>3.28865</v>
      </c>
      <c r="HI310">
        <v>1031.3</v>
      </c>
      <c r="HJ310">
        <v>9734.5</v>
      </c>
      <c r="HK310">
        <v>5139.4</v>
      </c>
      <c r="HL310">
        <v>25.3</v>
      </c>
      <c r="HM310">
        <v>1.86747</v>
      </c>
      <c r="HN310">
        <v>1.86646</v>
      </c>
      <c r="HO310">
        <v>1.866</v>
      </c>
      <c r="HP310">
        <v>1.86584</v>
      </c>
      <c r="HQ310">
        <v>1.86768</v>
      </c>
      <c r="HR310">
        <v>1.87024</v>
      </c>
      <c r="HS310">
        <v>1.8689</v>
      </c>
      <c r="HT310">
        <v>1.87021</v>
      </c>
      <c r="HU310">
        <v>0</v>
      </c>
      <c r="HV310">
        <v>0</v>
      </c>
      <c r="HW310">
        <v>0</v>
      </c>
      <c r="HX310">
        <v>0</v>
      </c>
      <c r="HY310" t="s">
        <v>421</v>
      </c>
      <c r="HZ310" t="s">
        <v>422</v>
      </c>
      <c r="IA310" t="s">
        <v>423</v>
      </c>
      <c r="IB310" t="s">
        <v>423</v>
      </c>
      <c r="IC310" t="s">
        <v>423</v>
      </c>
      <c r="ID310" t="s">
        <v>423</v>
      </c>
      <c r="IE310">
        <v>0</v>
      </c>
      <c r="IF310">
        <v>100</v>
      </c>
      <c r="IG310">
        <v>100</v>
      </c>
      <c r="IH310">
        <v>-0.705</v>
      </c>
      <c r="II310">
        <v>0.025</v>
      </c>
      <c r="IJ310">
        <v>-0.1559367209035702</v>
      </c>
      <c r="IK310">
        <v>-0.002077099775823331</v>
      </c>
      <c r="IL310">
        <v>4.593143279902166E-07</v>
      </c>
      <c r="IM310">
        <v>-1.865383991892071E-10</v>
      </c>
      <c r="IN310">
        <v>-0.0607165066849496</v>
      </c>
      <c r="IO310">
        <v>-0.01129461987421345</v>
      </c>
      <c r="IP310">
        <v>0.00116580895745559</v>
      </c>
      <c r="IQ310">
        <v>-1.679085872906199E-05</v>
      </c>
      <c r="IR310">
        <v>2</v>
      </c>
      <c r="IS310">
        <v>2290</v>
      </c>
      <c r="IT310">
        <v>0</v>
      </c>
      <c r="IU310">
        <v>32</v>
      </c>
      <c r="IV310">
        <v>14.1</v>
      </c>
      <c r="IW310">
        <v>13.9</v>
      </c>
      <c r="IX310">
        <v>0.875244</v>
      </c>
      <c r="IY310">
        <v>2.2229</v>
      </c>
      <c r="IZ310">
        <v>1.39648</v>
      </c>
      <c r="JA310">
        <v>2.35474</v>
      </c>
      <c r="JB310">
        <v>1.49536</v>
      </c>
      <c r="JC310">
        <v>2.29004</v>
      </c>
      <c r="JD310">
        <v>38.0134</v>
      </c>
      <c r="JE310">
        <v>24.0437</v>
      </c>
      <c r="JF310">
        <v>18</v>
      </c>
      <c r="JG310">
        <v>512.506</v>
      </c>
      <c r="JH310">
        <v>425.716</v>
      </c>
      <c r="JI310">
        <v>23.152</v>
      </c>
      <c r="JJ310">
        <v>27.9203</v>
      </c>
      <c r="JK310">
        <v>30</v>
      </c>
      <c r="JL310">
        <v>27.9457</v>
      </c>
      <c r="JM310">
        <v>27.8916</v>
      </c>
      <c r="JN310">
        <v>17.588</v>
      </c>
      <c r="JO310">
        <v>44.9415</v>
      </c>
      <c r="JP310">
        <v>0</v>
      </c>
      <c r="JQ310">
        <v>23.1529</v>
      </c>
      <c r="JR310">
        <v>345.215</v>
      </c>
      <c r="JS310">
        <v>9.35121</v>
      </c>
      <c r="JT310">
        <v>100.417</v>
      </c>
      <c r="JU310">
        <v>100.346</v>
      </c>
    </row>
    <row r="311" spans="1:281">
      <c r="A311">
        <v>295</v>
      </c>
      <c r="B311">
        <v>1651866354</v>
      </c>
      <c r="C311">
        <v>2133.400000095367</v>
      </c>
      <c r="D311" t="s">
        <v>1013</v>
      </c>
      <c r="E311" t="s">
        <v>1014</v>
      </c>
      <c r="F311">
        <v>2</v>
      </c>
      <c r="G311" t="s">
        <v>908</v>
      </c>
      <c r="H311" t="s">
        <v>414</v>
      </c>
      <c r="I311">
        <v>1651866353</v>
      </c>
      <c r="J311">
        <f>(K311)/1000</f>
        <v>0</v>
      </c>
      <c r="K311">
        <f>IF(CZ311, AN311, AH311)</f>
        <v>0</v>
      </c>
      <c r="L311">
        <f>IF(CZ311, AI311, AG311)</f>
        <v>0</v>
      </c>
      <c r="M311">
        <f>DB311 - IF(AU311&gt;1, L311*CV311*100.0/(AW311*DP311), 0)</f>
        <v>0</v>
      </c>
      <c r="N311">
        <f>((T311-J311/2)*M311-L311)/(T311+J311/2)</f>
        <v>0</v>
      </c>
      <c r="O311">
        <f>N311*(DI311+DJ311)/1000.0</f>
        <v>0</v>
      </c>
      <c r="P311">
        <f>(DB311 - IF(AU311&gt;1, L311*CV311*100.0/(AW311*DP311), 0))*(DI311+DJ311)/1000.0</f>
        <v>0</v>
      </c>
      <c r="Q311">
        <f>2.0/((1/S311-1/R311)+SIGN(S311)*SQRT((1/S311-1/R311)*(1/S311-1/R311) + 4*CW311/((CW311+1)*(CW311+1))*(2*1/S311*1/R311-1/R311*1/R311)))</f>
        <v>0</v>
      </c>
      <c r="R311">
        <f>IF(LEFT(CX311,1)&lt;&gt;"0",IF(LEFT(CX311,1)="1",3.0,CY311),$D$5+$E$5*(DP311*DI311/($K$5*1000))+$F$5*(DP311*DI311/($K$5*1000))*MAX(MIN(CV311,$J$5),$I$5)*MAX(MIN(CV311,$J$5),$I$5)+$G$5*MAX(MIN(CV311,$J$5),$I$5)*(DP311*DI311/($K$5*1000))+$H$5*(DP311*DI311/($K$5*1000))*(DP311*DI311/($K$5*1000)))</f>
        <v>0</v>
      </c>
      <c r="S311">
        <f>J311*(1000-(1000*0.61365*exp(17.502*W311/(240.97+W311))/(DI311+DJ311)+DD311)/2)/(1000*0.61365*exp(17.502*W311/(240.97+W311))/(DI311+DJ311)-DD311)</f>
        <v>0</v>
      </c>
      <c r="T311">
        <f>1/((CW311+1)/(Q311/1.6)+1/(R311/1.37)) + CW311/((CW311+1)/(Q311/1.6) + CW311/(R311/1.37))</f>
        <v>0</v>
      </c>
      <c r="U311">
        <f>(CR311*CU311)</f>
        <v>0</v>
      </c>
      <c r="V311">
        <f>(DK311+(U311+2*0.95*5.67E-8*(((DK311+$B$7)+273)^4-(DK311+273)^4)-44100*J311)/(1.84*29.3*R311+8*0.95*5.67E-8*(DK311+273)^3))</f>
        <v>0</v>
      </c>
      <c r="W311">
        <f>($C$7*DL311+$D$7*DM311+$E$7*V311)</f>
        <v>0</v>
      </c>
      <c r="X311">
        <f>0.61365*exp(17.502*W311/(240.97+W311))</f>
        <v>0</v>
      </c>
      <c r="Y311">
        <f>(Z311/AA311*100)</f>
        <v>0</v>
      </c>
      <c r="Z311">
        <f>DD311*(DI311+DJ311)/1000</f>
        <v>0</v>
      </c>
      <c r="AA311">
        <f>0.61365*exp(17.502*DK311/(240.97+DK311))</f>
        <v>0</v>
      </c>
      <c r="AB311">
        <f>(X311-DD311*(DI311+DJ311)/1000)</f>
        <v>0</v>
      </c>
      <c r="AC311">
        <f>(-J311*44100)</f>
        <v>0</v>
      </c>
      <c r="AD311">
        <f>2*29.3*R311*0.92*(DK311-W311)</f>
        <v>0</v>
      </c>
      <c r="AE311">
        <f>2*0.95*5.67E-8*(((DK311+$B$7)+273)^4-(W311+273)^4)</f>
        <v>0</v>
      </c>
      <c r="AF311">
        <f>U311+AE311+AC311+AD311</f>
        <v>0</v>
      </c>
      <c r="AG311">
        <f>DH311*AU311*(DC311-DB311*(1000-AU311*DE311)/(1000-AU311*DD311))/(100*CV311)</f>
        <v>0</v>
      </c>
      <c r="AH311">
        <f>1000*DH311*AU311*(DD311-DE311)/(100*CV311*(1000-AU311*DD311))</f>
        <v>0</v>
      </c>
      <c r="AI311">
        <f>(AJ311 - AK311 - DI311*1E3/(8.314*(DK311+273.15)) * AM311/DH311 * AL311) * DH311/(100*CV311) * (1000 - DE311)/1000</f>
        <v>0</v>
      </c>
      <c r="AJ311">
        <v>323.3647873715666</v>
      </c>
      <c r="AK311">
        <v>288.5726909090908</v>
      </c>
      <c r="AL311">
        <v>3.103925704497787</v>
      </c>
      <c r="AM311">
        <v>66.38195617057868</v>
      </c>
      <c r="AN311">
        <f>(AP311 - AO311 + DI311*1E3/(8.314*(DK311+273.15)) * AR311/DH311 * AQ311) * DH311/(100*CV311) * 1000/(1000 - AP311)</f>
        <v>0</v>
      </c>
      <c r="AO311">
        <v>9.399928153341826</v>
      </c>
      <c r="AP311">
        <v>18.66146823529411</v>
      </c>
      <c r="AQ311">
        <v>0.0001336839929272856</v>
      </c>
      <c r="AR311">
        <v>80.47178418790507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MAX(0,($B$13+$C$13*DP311)/(1+$D$13*DP311)*DI311/(DK311+273)*$E$13)</f>
        <v>0</v>
      </c>
      <c r="AX311" t="s">
        <v>417</v>
      </c>
      <c r="AY311" t="s">
        <v>417</v>
      </c>
      <c r="AZ311">
        <v>0</v>
      </c>
      <c r="BA311">
        <v>0</v>
      </c>
      <c r="BB311">
        <f>1-AZ311/BA311</f>
        <v>0</v>
      </c>
      <c r="BC311">
        <v>0</v>
      </c>
      <c r="BD311" t="s">
        <v>417</v>
      </c>
      <c r="BE311" t="s">
        <v>417</v>
      </c>
      <c r="BF311">
        <v>0</v>
      </c>
      <c r="BG311">
        <v>0</v>
      </c>
      <c r="BH311">
        <f>1-BF311/BG311</f>
        <v>0</v>
      </c>
      <c r="BI311">
        <v>0.5</v>
      </c>
      <c r="BJ311">
        <f>CS311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417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BZ311">
        <v>1249</v>
      </c>
      <c r="CA311">
        <v>300</v>
      </c>
      <c r="CB311">
        <v>300</v>
      </c>
      <c r="CC311">
        <v>300</v>
      </c>
      <c r="CD311">
        <v>10442.4</v>
      </c>
      <c r="CE311">
        <v>1239.69</v>
      </c>
      <c r="CF311">
        <v>-0.00735276</v>
      </c>
      <c r="CG311">
        <v>0.07000000000000001</v>
      </c>
      <c r="CH311" t="s">
        <v>417</v>
      </c>
      <c r="CI311" t="s">
        <v>417</v>
      </c>
      <c r="CJ311" t="s">
        <v>417</v>
      </c>
      <c r="CK311" t="s">
        <v>417</v>
      </c>
      <c r="CL311" t="s">
        <v>417</v>
      </c>
      <c r="CM311" t="s">
        <v>417</v>
      </c>
      <c r="CN311" t="s">
        <v>417</v>
      </c>
      <c r="CO311" t="s">
        <v>417</v>
      </c>
      <c r="CP311" t="s">
        <v>417</v>
      </c>
      <c r="CQ311" t="s">
        <v>417</v>
      </c>
      <c r="CR311">
        <f>$B$11*DQ311+$C$11*DR311+$F$11*EC311*(1-EF311)</f>
        <v>0</v>
      </c>
      <c r="CS311">
        <f>CR311*CT311</f>
        <v>0</v>
      </c>
      <c r="CT311">
        <f>($B$11*$D$9+$C$11*$D$9+$F$11*((EP311+EH311)/MAX(EP311+EH311+EQ311, 0.1)*$I$9+EQ311/MAX(EP311+EH311+EQ311, 0.1)*$J$9))/($B$11+$C$11+$F$11)</f>
        <v>0</v>
      </c>
      <c r="CU311">
        <f>($B$11*$K$9+$C$11*$K$9+$F$11*((EP311+EH311)/MAX(EP311+EH311+EQ311, 0.1)*$P$9+EQ311/MAX(EP311+EH311+EQ311, 0.1)*$Q$9))/($B$11+$C$11+$F$11)</f>
        <v>0</v>
      </c>
      <c r="CV311">
        <v>6</v>
      </c>
      <c r="CW311">
        <v>0.5</v>
      </c>
      <c r="CX311" t="s">
        <v>418</v>
      </c>
      <c r="CY311">
        <v>2</v>
      </c>
      <c r="CZ311" t="b">
        <v>1</v>
      </c>
      <c r="DA311">
        <v>1651866353</v>
      </c>
      <c r="DB311">
        <v>281.6673333333333</v>
      </c>
      <c r="DC311">
        <v>326.263</v>
      </c>
      <c r="DD311">
        <v>18.6606</v>
      </c>
      <c r="DE311">
        <v>9.398020000000001</v>
      </c>
      <c r="DF311">
        <v>282.3773333333334</v>
      </c>
      <c r="DG311">
        <v>18.63556666666667</v>
      </c>
      <c r="DH311">
        <v>500.0493333333333</v>
      </c>
      <c r="DI311">
        <v>89.92250000000001</v>
      </c>
      <c r="DJ311">
        <v>0.1000906666666667</v>
      </c>
      <c r="DK311">
        <v>25.90163333333334</v>
      </c>
      <c r="DL311">
        <v>25.00006666666667</v>
      </c>
      <c r="DM311">
        <v>999.9</v>
      </c>
      <c r="DN311">
        <v>0</v>
      </c>
      <c r="DO311">
        <v>0</v>
      </c>
      <c r="DP311">
        <v>9969.793333333333</v>
      </c>
      <c r="DQ311">
        <v>0</v>
      </c>
      <c r="DR311">
        <v>3.20383</v>
      </c>
      <c r="DS311">
        <v>-44.5957</v>
      </c>
      <c r="DT311">
        <v>287.0233333333333</v>
      </c>
      <c r="DU311">
        <v>329.3583333333333</v>
      </c>
      <c r="DV311">
        <v>9.262560000000001</v>
      </c>
      <c r="DW311">
        <v>326.263</v>
      </c>
      <c r="DX311">
        <v>9.398020000000001</v>
      </c>
      <c r="DY311">
        <v>1.678006666666667</v>
      </c>
      <c r="DZ311">
        <v>0.8450933333333334</v>
      </c>
      <c r="EA311">
        <v>14.69446666666667</v>
      </c>
      <c r="EB311">
        <v>4.488180000000001</v>
      </c>
      <c r="EC311">
        <v>1500.13</v>
      </c>
      <c r="ED311">
        <v>0.9730023333333332</v>
      </c>
      <c r="EE311">
        <v>0.02699756666666667</v>
      </c>
      <c r="EF311">
        <v>0</v>
      </c>
      <c r="EG311">
        <v>845.782</v>
      </c>
      <c r="EH311">
        <v>5.00097</v>
      </c>
      <c r="EI311">
        <v>12651.06666666667</v>
      </c>
      <c r="EJ311">
        <v>12492.66666666667</v>
      </c>
      <c r="EK311">
        <v>39.375</v>
      </c>
      <c r="EL311">
        <v>41.354</v>
      </c>
      <c r="EM311">
        <v>39.625</v>
      </c>
      <c r="EN311">
        <v>41.79133333333333</v>
      </c>
      <c r="EO311">
        <v>40.41633333333333</v>
      </c>
      <c r="EP311">
        <v>1454.76</v>
      </c>
      <c r="EQ311">
        <v>40.36333333333334</v>
      </c>
      <c r="ER311">
        <v>0</v>
      </c>
      <c r="ES311">
        <v>871.4000000953674</v>
      </c>
      <c r="ET311">
        <v>0</v>
      </c>
      <c r="EU311">
        <v>843.2287600000001</v>
      </c>
      <c r="EV311">
        <v>20.66561538983484</v>
      </c>
      <c r="EW311">
        <v>355.2769231123738</v>
      </c>
      <c r="EX311">
        <v>12606.292</v>
      </c>
      <c r="EY311">
        <v>15</v>
      </c>
      <c r="EZ311">
        <v>1651865518.1</v>
      </c>
      <c r="FA311" t="s">
        <v>910</v>
      </c>
      <c r="FB311">
        <v>1651865507.1</v>
      </c>
      <c r="FC311">
        <v>1651865518.1</v>
      </c>
      <c r="FD311">
        <v>8</v>
      </c>
      <c r="FE311">
        <v>0.06</v>
      </c>
      <c r="FF311">
        <v>0</v>
      </c>
      <c r="FG311">
        <v>-0.927</v>
      </c>
      <c r="FH311">
        <v>-0.062</v>
      </c>
      <c r="FI311">
        <v>400</v>
      </c>
      <c r="FJ311">
        <v>11</v>
      </c>
      <c r="FK311">
        <v>0.11</v>
      </c>
      <c r="FL311">
        <v>0.01</v>
      </c>
      <c r="FM311">
        <v>-41.55932195121951</v>
      </c>
      <c r="FN311">
        <v>-19.39432682926839</v>
      </c>
      <c r="FO311">
        <v>1.912699358589167</v>
      </c>
      <c r="FP311">
        <v>-1</v>
      </c>
      <c r="FQ311">
        <v>9.235768536585367</v>
      </c>
      <c r="FR311">
        <v>0.1667609059233552</v>
      </c>
      <c r="FS311">
        <v>0.01649238191629856</v>
      </c>
      <c r="FT311">
        <v>-1</v>
      </c>
      <c r="FU311">
        <v>0</v>
      </c>
      <c r="FV311">
        <v>0</v>
      </c>
      <c r="FW311">
        <v>0</v>
      </c>
      <c r="FX311">
        <v>-1</v>
      </c>
      <c r="FY311">
        <v>0</v>
      </c>
      <c r="FZ311">
        <v>0</v>
      </c>
      <c r="GA311" t="s">
        <v>420</v>
      </c>
      <c r="GB311">
        <v>2.98137</v>
      </c>
      <c r="GC311">
        <v>2.70604</v>
      </c>
      <c r="GD311">
        <v>0.06881230000000001</v>
      </c>
      <c r="GE311">
        <v>0.0766259</v>
      </c>
      <c r="GF311">
        <v>0.0888563</v>
      </c>
      <c r="GG311">
        <v>0.0528498</v>
      </c>
      <c r="GH311">
        <v>29424.8</v>
      </c>
      <c r="GI311">
        <v>29240.6</v>
      </c>
      <c r="GJ311">
        <v>29377</v>
      </c>
      <c r="GK311">
        <v>29291.5</v>
      </c>
      <c r="GL311">
        <v>35439.9</v>
      </c>
      <c r="GM311">
        <v>36956.8</v>
      </c>
      <c r="GN311">
        <v>41348.7</v>
      </c>
      <c r="GO311">
        <v>41810.9</v>
      </c>
      <c r="GP311">
        <v>1.96665</v>
      </c>
      <c r="GQ311">
        <v>1.8532</v>
      </c>
      <c r="GR311">
        <v>-0.00599772</v>
      </c>
      <c r="GS311">
        <v>0</v>
      </c>
      <c r="GT311">
        <v>25.0931</v>
      </c>
      <c r="GU311">
        <v>999.9</v>
      </c>
      <c r="GV311">
        <v>29.8</v>
      </c>
      <c r="GW311">
        <v>34.2</v>
      </c>
      <c r="GX311">
        <v>17.905</v>
      </c>
      <c r="GY311">
        <v>62.4476</v>
      </c>
      <c r="GZ311">
        <v>35.5929</v>
      </c>
      <c r="HA311">
        <v>1</v>
      </c>
      <c r="HB311">
        <v>0.0458537</v>
      </c>
      <c r="HC311">
        <v>1.4892</v>
      </c>
      <c r="HD311">
        <v>20.328</v>
      </c>
      <c r="HE311">
        <v>5.21744</v>
      </c>
      <c r="HF311">
        <v>12.0099</v>
      </c>
      <c r="HG311">
        <v>4.9884</v>
      </c>
      <c r="HH311">
        <v>3.28865</v>
      </c>
      <c r="HI311">
        <v>1031.3</v>
      </c>
      <c r="HJ311">
        <v>9734.5</v>
      </c>
      <c r="HK311">
        <v>5139.4</v>
      </c>
      <c r="HL311">
        <v>25.3</v>
      </c>
      <c r="HM311">
        <v>1.86746</v>
      </c>
      <c r="HN311">
        <v>1.86646</v>
      </c>
      <c r="HO311">
        <v>1.866</v>
      </c>
      <c r="HP311">
        <v>1.86584</v>
      </c>
      <c r="HQ311">
        <v>1.86768</v>
      </c>
      <c r="HR311">
        <v>1.87026</v>
      </c>
      <c r="HS311">
        <v>1.8689</v>
      </c>
      <c r="HT311">
        <v>1.8702</v>
      </c>
      <c r="HU311">
        <v>0</v>
      </c>
      <c r="HV311">
        <v>0</v>
      </c>
      <c r="HW311">
        <v>0</v>
      </c>
      <c r="HX311">
        <v>0</v>
      </c>
      <c r="HY311" t="s">
        <v>421</v>
      </c>
      <c r="HZ311" t="s">
        <v>422</v>
      </c>
      <c r="IA311" t="s">
        <v>423</v>
      </c>
      <c r="IB311" t="s">
        <v>423</v>
      </c>
      <c r="IC311" t="s">
        <v>423</v>
      </c>
      <c r="ID311" t="s">
        <v>423</v>
      </c>
      <c r="IE311">
        <v>0</v>
      </c>
      <c r="IF311">
        <v>100</v>
      </c>
      <c r="IG311">
        <v>100</v>
      </c>
      <c r="IH311">
        <v>-0.715</v>
      </c>
      <c r="II311">
        <v>0.0251</v>
      </c>
      <c r="IJ311">
        <v>-0.1559367209035702</v>
      </c>
      <c r="IK311">
        <v>-0.002077099775823331</v>
      </c>
      <c r="IL311">
        <v>4.593143279902166E-07</v>
      </c>
      <c r="IM311">
        <v>-1.865383991892071E-10</v>
      </c>
      <c r="IN311">
        <v>-0.0607165066849496</v>
      </c>
      <c r="IO311">
        <v>-0.01129461987421345</v>
      </c>
      <c r="IP311">
        <v>0.00116580895745559</v>
      </c>
      <c r="IQ311">
        <v>-1.679085872906199E-05</v>
      </c>
      <c r="IR311">
        <v>2</v>
      </c>
      <c r="IS311">
        <v>2290</v>
      </c>
      <c r="IT311">
        <v>0</v>
      </c>
      <c r="IU311">
        <v>32</v>
      </c>
      <c r="IV311">
        <v>14.1</v>
      </c>
      <c r="IW311">
        <v>13.9</v>
      </c>
      <c r="IX311">
        <v>0.888672</v>
      </c>
      <c r="IY311">
        <v>2.2168</v>
      </c>
      <c r="IZ311">
        <v>1.39648</v>
      </c>
      <c r="JA311">
        <v>2.35474</v>
      </c>
      <c r="JB311">
        <v>1.49536</v>
      </c>
      <c r="JC311">
        <v>2.35718</v>
      </c>
      <c r="JD311">
        <v>38.0134</v>
      </c>
      <c r="JE311">
        <v>24.0437</v>
      </c>
      <c r="JF311">
        <v>18</v>
      </c>
      <c r="JG311">
        <v>512.484</v>
      </c>
      <c r="JH311">
        <v>425.755</v>
      </c>
      <c r="JI311">
        <v>23.1523</v>
      </c>
      <c r="JJ311">
        <v>27.9197</v>
      </c>
      <c r="JK311">
        <v>30</v>
      </c>
      <c r="JL311">
        <v>27.9451</v>
      </c>
      <c r="JM311">
        <v>27.8909</v>
      </c>
      <c r="JN311">
        <v>17.858</v>
      </c>
      <c r="JO311">
        <v>44.9415</v>
      </c>
      <c r="JP311">
        <v>0</v>
      </c>
      <c r="JQ311">
        <v>23.1529</v>
      </c>
      <c r="JR311">
        <v>351.894</v>
      </c>
      <c r="JS311">
        <v>9.33975</v>
      </c>
      <c r="JT311">
        <v>100.416</v>
      </c>
      <c r="JU311">
        <v>100.346</v>
      </c>
    </row>
    <row r="312" spans="1:281">
      <c r="A312">
        <v>296</v>
      </c>
      <c r="B312">
        <v>1651866356</v>
      </c>
      <c r="C312">
        <v>2135.400000095367</v>
      </c>
      <c r="D312" t="s">
        <v>1015</v>
      </c>
      <c r="E312" t="s">
        <v>1016</v>
      </c>
      <c r="F312">
        <v>2</v>
      </c>
      <c r="G312" t="s">
        <v>908</v>
      </c>
      <c r="H312" t="s">
        <v>414</v>
      </c>
      <c r="I312">
        <v>1651866354.625</v>
      </c>
      <c r="J312">
        <f>(K312)/1000</f>
        <v>0</v>
      </c>
      <c r="K312">
        <f>IF(CZ312, AN312, AH312)</f>
        <v>0</v>
      </c>
      <c r="L312">
        <f>IF(CZ312, AI312, AG312)</f>
        <v>0</v>
      </c>
      <c r="M312">
        <f>DB312 - IF(AU312&gt;1, L312*CV312*100.0/(AW312*DP312), 0)</f>
        <v>0</v>
      </c>
      <c r="N312">
        <f>((T312-J312/2)*M312-L312)/(T312+J312/2)</f>
        <v>0</v>
      </c>
      <c r="O312">
        <f>N312*(DI312+DJ312)/1000.0</f>
        <v>0</v>
      </c>
      <c r="P312">
        <f>(DB312 - IF(AU312&gt;1, L312*CV312*100.0/(AW312*DP312), 0))*(DI312+DJ312)/1000.0</f>
        <v>0</v>
      </c>
      <c r="Q312">
        <f>2.0/((1/S312-1/R312)+SIGN(S312)*SQRT((1/S312-1/R312)*(1/S312-1/R312) + 4*CW312/((CW312+1)*(CW312+1))*(2*1/S312*1/R312-1/R312*1/R312)))</f>
        <v>0</v>
      </c>
      <c r="R312">
        <f>IF(LEFT(CX312,1)&lt;&gt;"0",IF(LEFT(CX312,1)="1",3.0,CY312),$D$5+$E$5*(DP312*DI312/($K$5*1000))+$F$5*(DP312*DI312/($K$5*1000))*MAX(MIN(CV312,$J$5),$I$5)*MAX(MIN(CV312,$J$5),$I$5)+$G$5*MAX(MIN(CV312,$J$5),$I$5)*(DP312*DI312/($K$5*1000))+$H$5*(DP312*DI312/($K$5*1000))*(DP312*DI312/($K$5*1000)))</f>
        <v>0</v>
      </c>
      <c r="S312">
        <f>J312*(1000-(1000*0.61365*exp(17.502*W312/(240.97+W312))/(DI312+DJ312)+DD312)/2)/(1000*0.61365*exp(17.502*W312/(240.97+W312))/(DI312+DJ312)-DD312)</f>
        <v>0</v>
      </c>
      <c r="T312">
        <f>1/((CW312+1)/(Q312/1.6)+1/(R312/1.37)) + CW312/((CW312+1)/(Q312/1.6) + CW312/(R312/1.37))</f>
        <v>0</v>
      </c>
      <c r="U312">
        <f>(CR312*CU312)</f>
        <v>0</v>
      </c>
      <c r="V312">
        <f>(DK312+(U312+2*0.95*5.67E-8*(((DK312+$B$7)+273)^4-(DK312+273)^4)-44100*J312)/(1.84*29.3*R312+8*0.95*5.67E-8*(DK312+273)^3))</f>
        <v>0</v>
      </c>
      <c r="W312">
        <f>($C$7*DL312+$D$7*DM312+$E$7*V312)</f>
        <v>0</v>
      </c>
      <c r="X312">
        <f>0.61365*exp(17.502*W312/(240.97+W312))</f>
        <v>0</v>
      </c>
      <c r="Y312">
        <f>(Z312/AA312*100)</f>
        <v>0</v>
      </c>
      <c r="Z312">
        <f>DD312*(DI312+DJ312)/1000</f>
        <v>0</v>
      </c>
      <c r="AA312">
        <f>0.61365*exp(17.502*DK312/(240.97+DK312))</f>
        <v>0</v>
      </c>
      <c r="AB312">
        <f>(X312-DD312*(DI312+DJ312)/1000)</f>
        <v>0</v>
      </c>
      <c r="AC312">
        <f>(-J312*44100)</f>
        <v>0</v>
      </c>
      <c r="AD312">
        <f>2*29.3*R312*0.92*(DK312-W312)</f>
        <v>0</v>
      </c>
      <c r="AE312">
        <f>2*0.95*5.67E-8*(((DK312+$B$7)+273)^4-(W312+273)^4)</f>
        <v>0</v>
      </c>
      <c r="AF312">
        <f>U312+AE312+AC312+AD312</f>
        <v>0</v>
      </c>
      <c r="AG312">
        <f>DH312*AU312*(DC312-DB312*(1000-AU312*DE312)/(1000-AU312*DD312))/(100*CV312)</f>
        <v>0</v>
      </c>
      <c r="AH312">
        <f>1000*DH312*AU312*(DD312-DE312)/(100*CV312*(1000-AU312*DD312))</f>
        <v>0</v>
      </c>
      <c r="AI312">
        <f>(AJ312 - AK312 - DI312*1E3/(8.314*(DK312+273.15)) * AM312/DH312 * AL312) * DH312/(100*CV312) * (1000 - DE312)/1000</f>
        <v>0</v>
      </c>
      <c r="AJ312">
        <v>330.1517107916383</v>
      </c>
      <c r="AK312">
        <v>294.7964424242422</v>
      </c>
      <c r="AL312">
        <v>3.109073681405804</v>
      </c>
      <c r="AM312">
        <v>66.38195617057868</v>
      </c>
      <c r="AN312">
        <f>(AP312 - AO312 + DI312*1E3/(8.314*(DK312+273.15)) * AR312/DH312 * AQ312) * DH312/(100*CV312) * 1000/(1000 - AP312)</f>
        <v>0</v>
      </c>
      <c r="AO312">
        <v>9.399376796378219</v>
      </c>
      <c r="AP312">
        <v>18.66628470588236</v>
      </c>
      <c r="AQ312">
        <v>7.855078150222712E-05</v>
      </c>
      <c r="AR312">
        <v>80.47178418790507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MAX(0,($B$13+$C$13*DP312)/(1+$D$13*DP312)*DI312/(DK312+273)*$E$13)</f>
        <v>0</v>
      </c>
      <c r="AX312" t="s">
        <v>417</v>
      </c>
      <c r="AY312" t="s">
        <v>417</v>
      </c>
      <c r="AZ312">
        <v>0</v>
      </c>
      <c r="BA312">
        <v>0</v>
      </c>
      <c r="BB312">
        <f>1-AZ312/BA312</f>
        <v>0</v>
      </c>
      <c r="BC312">
        <v>0</v>
      </c>
      <c r="BD312" t="s">
        <v>417</v>
      </c>
      <c r="BE312" t="s">
        <v>417</v>
      </c>
      <c r="BF312">
        <v>0</v>
      </c>
      <c r="BG312">
        <v>0</v>
      </c>
      <c r="BH312">
        <f>1-BF312/BG312</f>
        <v>0</v>
      </c>
      <c r="BI312">
        <v>0.5</v>
      </c>
      <c r="BJ312">
        <f>CS312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417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BZ312">
        <v>1249</v>
      </c>
      <c r="CA312">
        <v>300</v>
      </c>
      <c r="CB312">
        <v>300</v>
      </c>
      <c r="CC312">
        <v>300</v>
      </c>
      <c r="CD312">
        <v>10442.4</v>
      </c>
      <c r="CE312">
        <v>1239.69</v>
      </c>
      <c r="CF312">
        <v>-0.00735276</v>
      </c>
      <c r="CG312">
        <v>0.07000000000000001</v>
      </c>
      <c r="CH312" t="s">
        <v>417</v>
      </c>
      <c r="CI312" t="s">
        <v>417</v>
      </c>
      <c r="CJ312" t="s">
        <v>417</v>
      </c>
      <c r="CK312" t="s">
        <v>417</v>
      </c>
      <c r="CL312" t="s">
        <v>417</v>
      </c>
      <c r="CM312" t="s">
        <v>417</v>
      </c>
      <c r="CN312" t="s">
        <v>417</v>
      </c>
      <c r="CO312" t="s">
        <v>417</v>
      </c>
      <c r="CP312" t="s">
        <v>417</v>
      </c>
      <c r="CQ312" t="s">
        <v>417</v>
      </c>
      <c r="CR312">
        <f>$B$11*DQ312+$C$11*DR312+$F$11*EC312*(1-EF312)</f>
        <v>0</v>
      </c>
      <c r="CS312">
        <f>CR312*CT312</f>
        <v>0</v>
      </c>
      <c r="CT312">
        <f>($B$11*$D$9+$C$11*$D$9+$F$11*((EP312+EH312)/MAX(EP312+EH312+EQ312, 0.1)*$I$9+EQ312/MAX(EP312+EH312+EQ312, 0.1)*$J$9))/($B$11+$C$11+$F$11)</f>
        <v>0</v>
      </c>
      <c r="CU312">
        <f>($B$11*$K$9+$C$11*$K$9+$F$11*((EP312+EH312)/MAX(EP312+EH312+EQ312, 0.1)*$P$9+EQ312/MAX(EP312+EH312+EQ312, 0.1)*$Q$9))/($B$11+$C$11+$F$11)</f>
        <v>0</v>
      </c>
      <c r="CV312">
        <v>6</v>
      </c>
      <c r="CW312">
        <v>0.5</v>
      </c>
      <c r="CX312" t="s">
        <v>418</v>
      </c>
      <c r="CY312">
        <v>2</v>
      </c>
      <c r="CZ312" t="b">
        <v>1</v>
      </c>
      <c r="DA312">
        <v>1651866354.625</v>
      </c>
      <c r="DB312">
        <v>286.625</v>
      </c>
      <c r="DC312">
        <v>331.7809999999999</v>
      </c>
      <c r="DD312">
        <v>18.66455</v>
      </c>
      <c r="DE312">
        <v>9.397392499999999</v>
      </c>
      <c r="DF312">
        <v>287.344</v>
      </c>
      <c r="DG312">
        <v>18.639475</v>
      </c>
      <c r="DH312">
        <v>500.0085</v>
      </c>
      <c r="DI312">
        <v>89.923075</v>
      </c>
      <c r="DJ312">
        <v>0.10002345</v>
      </c>
      <c r="DK312">
        <v>25.90515</v>
      </c>
      <c r="DL312">
        <v>24.9927</v>
      </c>
      <c r="DM312">
        <v>999.9</v>
      </c>
      <c r="DN312">
        <v>0</v>
      </c>
      <c r="DO312">
        <v>0</v>
      </c>
      <c r="DP312">
        <v>9988.125</v>
      </c>
      <c r="DQ312">
        <v>0</v>
      </c>
      <c r="DR312">
        <v>3.20383</v>
      </c>
      <c r="DS312">
        <v>-45.15604999999999</v>
      </c>
      <c r="DT312">
        <v>292.0765</v>
      </c>
      <c r="DU312">
        <v>334.928</v>
      </c>
      <c r="DV312">
        <v>9.2671575</v>
      </c>
      <c r="DW312">
        <v>331.7809999999999</v>
      </c>
      <c r="DX312">
        <v>9.397392499999999</v>
      </c>
      <c r="DY312">
        <v>1.678375</v>
      </c>
      <c r="DZ312">
        <v>0.845042</v>
      </c>
      <c r="EA312">
        <v>14.69785</v>
      </c>
      <c r="EB312">
        <v>4.487315</v>
      </c>
      <c r="EC312">
        <v>1500.1475</v>
      </c>
      <c r="ED312">
        <v>0.9730077499999999</v>
      </c>
      <c r="EE312">
        <v>0.02699215</v>
      </c>
      <c r="EF312">
        <v>0</v>
      </c>
      <c r="EG312">
        <v>846.8385000000001</v>
      </c>
      <c r="EH312">
        <v>5.00097</v>
      </c>
      <c r="EI312">
        <v>12666.775</v>
      </c>
      <c r="EJ312">
        <v>12492.85</v>
      </c>
      <c r="EK312">
        <v>39.375</v>
      </c>
      <c r="EL312">
        <v>41.2655</v>
      </c>
      <c r="EM312">
        <v>39.625</v>
      </c>
      <c r="EN312">
        <v>41.73425</v>
      </c>
      <c r="EO312">
        <v>40.35925</v>
      </c>
      <c r="EP312">
        <v>1454.7875</v>
      </c>
      <c r="EQ312">
        <v>40.3575</v>
      </c>
      <c r="ER312">
        <v>0</v>
      </c>
      <c r="ES312">
        <v>873.7999999523163</v>
      </c>
      <c r="ET312">
        <v>0</v>
      </c>
      <c r="EU312">
        <v>844.1668400000001</v>
      </c>
      <c r="EV312">
        <v>27.59400004077646</v>
      </c>
      <c r="EW312">
        <v>437.7923084172954</v>
      </c>
      <c r="EX312">
        <v>12622.116</v>
      </c>
      <c r="EY312">
        <v>15</v>
      </c>
      <c r="EZ312">
        <v>1651865518.1</v>
      </c>
      <c r="FA312" t="s">
        <v>910</v>
      </c>
      <c r="FB312">
        <v>1651865507.1</v>
      </c>
      <c r="FC312">
        <v>1651865518.1</v>
      </c>
      <c r="FD312">
        <v>8</v>
      </c>
      <c r="FE312">
        <v>0.06</v>
      </c>
      <c r="FF312">
        <v>0</v>
      </c>
      <c r="FG312">
        <v>-0.927</v>
      </c>
      <c r="FH312">
        <v>-0.062</v>
      </c>
      <c r="FI312">
        <v>400</v>
      </c>
      <c r="FJ312">
        <v>11</v>
      </c>
      <c r="FK312">
        <v>0.11</v>
      </c>
      <c r="FL312">
        <v>0.01</v>
      </c>
      <c r="FM312">
        <v>-42.12777</v>
      </c>
      <c r="FN312">
        <v>-19.36920225140693</v>
      </c>
      <c r="FO312">
        <v>1.863621373455455</v>
      </c>
      <c r="FP312">
        <v>-1</v>
      </c>
      <c r="FQ312">
        <v>9.24049125</v>
      </c>
      <c r="FR312">
        <v>0.1713853283301896</v>
      </c>
      <c r="FS312">
        <v>0.01651935216458257</v>
      </c>
      <c r="FT312">
        <v>-1</v>
      </c>
      <c r="FU312">
        <v>0</v>
      </c>
      <c r="FV312">
        <v>0</v>
      </c>
      <c r="FW312">
        <v>0</v>
      </c>
      <c r="FX312">
        <v>-1</v>
      </c>
      <c r="FY312">
        <v>0</v>
      </c>
      <c r="FZ312">
        <v>0</v>
      </c>
      <c r="GA312" t="s">
        <v>420</v>
      </c>
      <c r="GB312">
        <v>2.98135</v>
      </c>
      <c r="GC312">
        <v>2.70607</v>
      </c>
      <c r="GD312">
        <v>0.07003470000000001</v>
      </c>
      <c r="GE312">
        <v>0.0778855</v>
      </c>
      <c r="GF312">
        <v>0.0888726</v>
      </c>
      <c r="GG312">
        <v>0.0528504</v>
      </c>
      <c r="GH312">
        <v>29386.3</v>
      </c>
      <c r="GI312">
        <v>29200.9</v>
      </c>
      <c r="GJ312">
        <v>29377.1</v>
      </c>
      <c r="GK312">
        <v>29291.6</v>
      </c>
      <c r="GL312">
        <v>35439.4</v>
      </c>
      <c r="GM312">
        <v>36956.9</v>
      </c>
      <c r="GN312">
        <v>41348.9</v>
      </c>
      <c r="GO312">
        <v>41811</v>
      </c>
      <c r="GP312">
        <v>1.9669</v>
      </c>
      <c r="GQ312">
        <v>1.85322</v>
      </c>
      <c r="GR312">
        <v>-0.00625849</v>
      </c>
      <c r="GS312">
        <v>0</v>
      </c>
      <c r="GT312">
        <v>25.0931</v>
      </c>
      <c r="GU312">
        <v>999.9</v>
      </c>
      <c r="GV312">
        <v>29.7</v>
      </c>
      <c r="GW312">
        <v>34.2</v>
      </c>
      <c r="GX312">
        <v>17.8448</v>
      </c>
      <c r="GY312">
        <v>62.5176</v>
      </c>
      <c r="GZ312">
        <v>35.3405</v>
      </c>
      <c r="HA312">
        <v>1</v>
      </c>
      <c r="HB312">
        <v>0.0458232</v>
      </c>
      <c r="HC312">
        <v>1.48873</v>
      </c>
      <c r="HD312">
        <v>20.3279</v>
      </c>
      <c r="HE312">
        <v>5.21774</v>
      </c>
      <c r="HF312">
        <v>12.0099</v>
      </c>
      <c r="HG312">
        <v>4.98845</v>
      </c>
      <c r="HH312">
        <v>3.28865</v>
      </c>
      <c r="HI312">
        <v>1031.3</v>
      </c>
      <c r="HJ312">
        <v>9734.5</v>
      </c>
      <c r="HK312">
        <v>5139.4</v>
      </c>
      <c r="HL312">
        <v>25.3</v>
      </c>
      <c r="HM312">
        <v>1.86746</v>
      </c>
      <c r="HN312">
        <v>1.86645</v>
      </c>
      <c r="HO312">
        <v>1.866</v>
      </c>
      <c r="HP312">
        <v>1.86584</v>
      </c>
      <c r="HQ312">
        <v>1.86768</v>
      </c>
      <c r="HR312">
        <v>1.87023</v>
      </c>
      <c r="HS312">
        <v>1.86889</v>
      </c>
      <c r="HT312">
        <v>1.87018</v>
      </c>
      <c r="HU312">
        <v>0</v>
      </c>
      <c r="HV312">
        <v>0</v>
      </c>
      <c r="HW312">
        <v>0</v>
      </c>
      <c r="HX312">
        <v>0</v>
      </c>
      <c r="HY312" t="s">
        <v>421</v>
      </c>
      <c r="HZ312" t="s">
        <v>422</v>
      </c>
      <c r="IA312" t="s">
        <v>423</v>
      </c>
      <c r="IB312" t="s">
        <v>423</v>
      </c>
      <c r="IC312" t="s">
        <v>423</v>
      </c>
      <c r="ID312" t="s">
        <v>423</v>
      </c>
      <c r="IE312">
        <v>0</v>
      </c>
      <c r="IF312">
        <v>100</v>
      </c>
      <c r="IG312">
        <v>100</v>
      </c>
      <c r="IH312">
        <v>-0.727</v>
      </c>
      <c r="II312">
        <v>0.0251</v>
      </c>
      <c r="IJ312">
        <v>-0.1559367209035702</v>
      </c>
      <c r="IK312">
        <v>-0.002077099775823331</v>
      </c>
      <c r="IL312">
        <v>4.593143279902166E-07</v>
      </c>
      <c r="IM312">
        <v>-1.865383991892071E-10</v>
      </c>
      <c r="IN312">
        <v>-0.0607165066849496</v>
      </c>
      <c r="IO312">
        <v>-0.01129461987421345</v>
      </c>
      <c r="IP312">
        <v>0.00116580895745559</v>
      </c>
      <c r="IQ312">
        <v>-1.679085872906199E-05</v>
      </c>
      <c r="IR312">
        <v>2</v>
      </c>
      <c r="IS312">
        <v>2290</v>
      </c>
      <c r="IT312">
        <v>0</v>
      </c>
      <c r="IU312">
        <v>32</v>
      </c>
      <c r="IV312">
        <v>14.1</v>
      </c>
      <c r="IW312">
        <v>14</v>
      </c>
      <c r="IX312">
        <v>0.90332</v>
      </c>
      <c r="IY312">
        <v>2.22168</v>
      </c>
      <c r="IZ312">
        <v>1.39648</v>
      </c>
      <c r="JA312">
        <v>2.35474</v>
      </c>
      <c r="JB312">
        <v>1.49536</v>
      </c>
      <c r="JC312">
        <v>2.33154</v>
      </c>
      <c r="JD312">
        <v>38.0134</v>
      </c>
      <c r="JE312">
        <v>24.0437</v>
      </c>
      <c r="JF312">
        <v>18</v>
      </c>
      <c r="JG312">
        <v>512.638</v>
      </c>
      <c r="JH312">
        <v>425.763</v>
      </c>
      <c r="JI312">
        <v>23.1526</v>
      </c>
      <c r="JJ312">
        <v>27.9185</v>
      </c>
      <c r="JK312">
        <v>30</v>
      </c>
      <c r="JL312">
        <v>27.944</v>
      </c>
      <c r="JM312">
        <v>27.8898</v>
      </c>
      <c r="JN312">
        <v>18.1334</v>
      </c>
      <c r="JO312">
        <v>44.9415</v>
      </c>
      <c r="JP312">
        <v>0</v>
      </c>
      <c r="JQ312">
        <v>23.1539</v>
      </c>
      <c r="JR312">
        <v>358.572</v>
      </c>
      <c r="JS312">
        <v>9.32573</v>
      </c>
      <c r="JT312">
        <v>100.416</v>
      </c>
      <c r="JU312">
        <v>100.347</v>
      </c>
    </row>
    <row r="313" spans="1:281">
      <c r="A313">
        <v>297</v>
      </c>
      <c r="B313">
        <v>1651866358</v>
      </c>
      <c r="C313">
        <v>2137.400000095367</v>
      </c>
      <c r="D313" t="s">
        <v>1017</v>
      </c>
      <c r="E313" t="s">
        <v>1018</v>
      </c>
      <c r="F313">
        <v>2</v>
      </c>
      <c r="G313" t="s">
        <v>908</v>
      </c>
      <c r="H313" t="s">
        <v>414</v>
      </c>
      <c r="I313">
        <v>1651866357</v>
      </c>
      <c r="J313">
        <f>(K313)/1000</f>
        <v>0</v>
      </c>
      <c r="K313">
        <f>IF(CZ313, AN313, AH313)</f>
        <v>0</v>
      </c>
      <c r="L313">
        <f>IF(CZ313, AI313, AG313)</f>
        <v>0</v>
      </c>
      <c r="M313">
        <f>DB313 - IF(AU313&gt;1, L313*CV313*100.0/(AW313*DP313), 0)</f>
        <v>0</v>
      </c>
      <c r="N313">
        <f>((T313-J313/2)*M313-L313)/(T313+J313/2)</f>
        <v>0</v>
      </c>
      <c r="O313">
        <f>N313*(DI313+DJ313)/1000.0</f>
        <v>0</v>
      </c>
      <c r="P313">
        <f>(DB313 - IF(AU313&gt;1, L313*CV313*100.0/(AW313*DP313), 0))*(DI313+DJ313)/1000.0</f>
        <v>0</v>
      </c>
      <c r="Q313">
        <f>2.0/((1/S313-1/R313)+SIGN(S313)*SQRT((1/S313-1/R313)*(1/S313-1/R313) + 4*CW313/((CW313+1)*(CW313+1))*(2*1/S313*1/R313-1/R313*1/R313)))</f>
        <v>0</v>
      </c>
      <c r="R313">
        <f>IF(LEFT(CX313,1)&lt;&gt;"0",IF(LEFT(CX313,1)="1",3.0,CY313),$D$5+$E$5*(DP313*DI313/($K$5*1000))+$F$5*(DP313*DI313/($K$5*1000))*MAX(MIN(CV313,$J$5),$I$5)*MAX(MIN(CV313,$J$5),$I$5)+$G$5*MAX(MIN(CV313,$J$5),$I$5)*(DP313*DI313/($K$5*1000))+$H$5*(DP313*DI313/($K$5*1000))*(DP313*DI313/($K$5*1000)))</f>
        <v>0</v>
      </c>
      <c r="S313">
        <f>J313*(1000-(1000*0.61365*exp(17.502*W313/(240.97+W313))/(DI313+DJ313)+DD313)/2)/(1000*0.61365*exp(17.502*W313/(240.97+W313))/(DI313+DJ313)-DD313)</f>
        <v>0</v>
      </c>
      <c r="T313">
        <f>1/((CW313+1)/(Q313/1.6)+1/(R313/1.37)) + CW313/((CW313+1)/(Q313/1.6) + CW313/(R313/1.37))</f>
        <v>0</v>
      </c>
      <c r="U313">
        <f>(CR313*CU313)</f>
        <v>0</v>
      </c>
      <c r="V313">
        <f>(DK313+(U313+2*0.95*5.67E-8*(((DK313+$B$7)+273)^4-(DK313+273)^4)-44100*J313)/(1.84*29.3*R313+8*0.95*5.67E-8*(DK313+273)^3))</f>
        <v>0</v>
      </c>
      <c r="W313">
        <f>($C$7*DL313+$D$7*DM313+$E$7*V313)</f>
        <v>0</v>
      </c>
      <c r="X313">
        <f>0.61365*exp(17.502*W313/(240.97+W313))</f>
        <v>0</v>
      </c>
      <c r="Y313">
        <f>(Z313/AA313*100)</f>
        <v>0</v>
      </c>
      <c r="Z313">
        <f>DD313*(DI313+DJ313)/1000</f>
        <v>0</v>
      </c>
      <c r="AA313">
        <f>0.61365*exp(17.502*DK313/(240.97+DK313))</f>
        <v>0</v>
      </c>
      <c r="AB313">
        <f>(X313-DD313*(DI313+DJ313)/1000)</f>
        <v>0</v>
      </c>
      <c r="AC313">
        <f>(-J313*44100)</f>
        <v>0</v>
      </c>
      <c r="AD313">
        <f>2*29.3*R313*0.92*(DK313-W313)</f>
        <v>0</v>
      </c>
      <c r="AE313">
        <f>2*0.95*5.67E-8*(((DK313+$B$7)+273)^4-(W313+273)^4)</f>
        <v>0</v>
      </c>
      <c r="AF313">
        <f>U313+AE313+AC313+AD313</f>
        <v>0</v>
      </c>
      <c r="AG313">
        <f>DH313*AU313*(DC313-DB313*(1000-AU313*DE313)/(1000-AU313*DD313))/(100*CV313)</f>
        <v>0</v>
      </c>
      <c r="AH313">
        <f>1000*DH313*AU313*(DD313-DE313)/(100*CV313*(1000-AU313*DD313))</f>
        <v>0</v>
      </c>
      <c r="AI313">
        <f>(AJ313 - AK313 - DI313*1E3/(8.314*(DK313+273.15)) * AM313/DH313 * AL313) * DH313/(100*CV313) * (1000 - DE313)/1000</f>
        <v>0</v>
      </c>
      <c r="AJ313">
        <v>337.0116407195479</v>
      </c>
      <c r="AK313">
        <v>301.0141939393938</v>
      </c>
      <c r="AL313">
        <v>3.109418057476303</v>
      </c>
      <c r="AM313">
        <v>66.38195617057868</v>
      </c>
      <c r="AN313">
        <f>(AP313 - AO313 + DI313*1E3/(8.314*(DK313+273.15)) * AR313/DH313 * AQ313) * DH313/(100*CV313) * 1000/(1000 - AP313)</f>
        <v>0</v>
      </c>
      <c r="AO313">
        <v>9.397744508485802</v>
      </c>
      <c r="AP313">
        <v>18.67183117647059</v>
      </c>
      <c r="AQ313">
        <v>5.499393602307017E-05</v>
      </c>
      <c r="AR313">
        <v>80.47178418790507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MAX(0,($B$13+$C$13*DP313)/(1+$D$13*DP313)*DI313/(DK313+273)*$E$13)</f>
        <v>0</v>
      </c>
      <c r="AX313" t="s">
        <v>417</v>
      </c>
      <c r="AY313" t="s">
        <v>417</v>
      </c>
      <c r="AZ313">
        <v>0</v>
      </c>
      <c r="BA313">
        <v>0</v>
      </c>
      <c r="BB313">
        <f>1-AZ313/BA313</f>
        <v>0</v>
      </c>
      <c r="BC313">
        <v>0</v>
      </c>
      <c r="BD313" t="s">
        <v>417</v>
      </c>
      <c r="BE313" t="s">
        <v>417</v>
      </c>
      <c r="BF313">
        <v>0</v>
      </c>
      <c r="BG313">
        <v>0</v>
      </c>
      <c r="BH313">
        <f>1-BF313/BG313</f>
        <v>0</v>
      </c>
      <c r="BI313">
        <v>0.5</v>
      </c>
      <c r="BJ313">
        <f>CS313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417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BZ313">
        <v>1249</v>
      </c>
      <c r="CA313">
        <v>300</v>
      </c>
      <c r="CB313">
        <v>300</v>
      </c>
      <c r="CC313">
        <v>300</v>
      </c>
      <c r="CD313">
        <v>10442.4</v>
      </c>
      <c r="CE313">
        <v>1239.69</v>
      </c>
      <c r="CF313">
        <v>-0.00735276</v>
      </c>
      <c r="CG313">
        <v>0.07000000000000001</v>
      </c>
      <c r="CH313" t="s">
        <v>417</v>
      </c>
      <c r="CI313" t="s">
        <v>417</v>
      </c>
      <c r="CJ313" t="s">
        <v>417</v>
      </c>
      <c r="CK313" t="s">
        <v>417</v>
      </c>
      <c r="CL313" t="s">
        <v>417</v>
      </c>
      <c r="CM313" t="s">
        <v>417</v>
      </c>
      <c r="CN313" t="s">
        <v>417</v>
      </c>
      <c r="CO313" t="s">
        <v>417</v>
      </c>
      <c r="CP313" t="s">
        <v>417</v>
      </c>
      <c r="CQ313" t="s">
        <v>417</v>
      </c>
      <c r="CR313">
        <f>$B$11*DQ313+$C$11*DR313+$F$11*EC313*(1-EF313)</f>
        <v>0</v>
      </c>
      <c r="CS313">
        <f>CR313*CT313</f>
        <v>0</v>
      </c>
      <c r="CT313">
        <f>($B$11*$D$9+$C$11*$D$9+$F$11*((EP313+EH313)/MAX(EP313+EH313+EQ313, 0.1)*$I$9+EQ313/MAX(EP313+EH313+EQ313, 0.1)*$J$9))/($B$11+$C$11+$F$11)</f>
        <v>0</v>
      </c>
      <c r="CU313">
        <f>($B$11*$K$9+$C$11*$K$9+$F$11*((EP313+EH313)/MAX(EP313+EH313+EQ313, 0.1)*$P$9+EQ313/MAX(EP313+EH313+EQ313, 0.1)*$Q$9))/($B$11+$C$11+$F$11)</f>
        <v>0</v>
      </c>
      <c r="CV313">
        <v>6</v>
      </c>
      <c r="CW313">
        <v>0.5</v>
      </c>
      <c r="CX313" t="s">
        <v>418</v>
      </c>
      <c r="CY313">
        <v>2</v>
      </c>
      <c r="CZ313" t="b">
        <v>1</v>
      </c>
      <c r="DA313">
        <v>1651866357</v>
      </c>
      <c r="DB313">
        <v>293.869</v>
      </c>
      <c r="DC313">
        <v>339.8056666666667</v>
      </c>
      <c r="DD313">
        <v>18.67053333333333</v>
      </c>
      <c r="DE313">
        <v>9.397576666666666</v>
      </c>
      <c r="DF313">
        <v>294.602</v>
      </c>
      <c r="DG313">
        <v>18.6454</v>
      </c>
      <c r="DH313">
        <v>500.0306666666666</v>
      </c>
      <c r="DI313">
        <v>89.92343333333334</v>
      </c>
      <c r="DJ313">
        <v>0.09985196666666667</v>
      </c>
      <c r="DK313">
        <v>25.90666666666667</v>
      </c>
      <c r="DL313">
        <v>24.99056666666667</v>
      </c>
      <c r="DM313">
        <v>999.9</v>
      </c>
      <c r="DN313">
        <v>0</v>
      </c>
      <c r="DO313">
        <v>0</v>
      </c>
      <c r="DP313">
        <v>10004.56666666667</v>
      </c>
      <c r="DQ313">
        <v>0</v>
      </c>
      <c r="DR313">
        <v>3.20383</v>
      </c>
      <c r="DS313">
        <v>-45.93666666666667</v>
      </c>
      <c r="DT313">
        <v>299.4603333333333</v>
      </c>
      <c r="DU313">
        <v>343.0293333333334</v>
      </c>
      <c r="DV313">
        <v>9.272953333333334</v>
      </c>
      <c r="DW313">
        <v>339.8056666666667</v>
      </c>
      <c r="DX313">
        <v>9.397576666666666</v>
      </c>
      <c r="DY313">
        <v>1.67892</v>
      </c>
      <c r="DZ313">
        <v>0.8450623333333334</v>
      </c>
      <c r="EA313">
        <v>14.70286666666667</v>
      </c>
      <c r="EB313">
        <v>4.487656666666667</v>
      </c>
      <c r="EC313">
        <v>1500.053333333333</v>
      </c>
      <c r="ED313">
        <v>0.973004</v>
      </c>
      <c r="EE313">
        <v>0.0269962</v>
      </c>
      <c r="EF313">
        <v>0</v>
      </c>
      <c r="EG313">
        <v>848.6460000000001</v>
      </c>
      <c r="EH313">
        <v>5.00097</v>
      </c>
      <c r="EI313">
        <v>12690.16666666667</v>
      </c>
      <c r="EJ313">
        <v>12492.03333333333</v>
      </c>
      <c r="EK313">
        <v>39.312</v>
      </c>
      <c r="EL313">
        <v>41.187</v>
      </c>
      <c r="EM313">
        <v>39.625</v>
      </c>
      <c r="EN313">
        <v>41.625</v>
      </c>
      <c r="EO313">
        <v>40.312</v>
      </c>
      <c r="EP313">
        <v>1454.693333333333</v>
      </c>
      <c r="EQ313">
        <v>40.36</v>
      </c>
      <c r="ER313">
        <v>0</v>
      </c>
      <c r="ES313">
        <v>875.6000001430511</v>
      </c>
      <c r="ET313">
        <v>0</v>
      </c>
      <c r="EU313">
        <v>844.9448846153847</v>
      </c>
      <c r="EV313">
        <v>31.22806838676339</v>
      </c>
      <c r="EW313">
        <v>488.5470087482656</v>
      </c>
      <c r="EX313">
        <v>12634.03076923077</v>
      </c>
      <c r="EY313">
        <v>15</v>
      </c>
      <c r="EZ313">
        <v>1651865518.1</v>
      </c>
      <c r="FA313" t="s">
        <v>910</v>
      </c>
      <c r="FB313">
        <v>1651865507.1</v>
      </c>
      <c r="FC313">
        <v>1651865518.1</v>
      </c>
      <c r="FD313">
        <v>8</v>
      </c>
      <c r="FE313">
        <v>0.06</v>
      </c>
      <c r="FF313">
        <v>0</v>
      </c>
      <c r="FG313">
        <v>-0.927</v>
      </c>
      <c r="FH313">
        <v>-0.062</v>
      </c>
      <c r="FI313">
        <v>400</v>
      </c>
      <c r="FJ313">
        <v>11</v>
      </c>
      <c r="FK313">
        <v>0.11</v>
      </c>
      <c r="FL313">
        <v>0.01</v>
      </c>
      <c r="FM313">
        <v>-42.85265853658537</v>
      </c>
      <c r="FN313">
        <v>-19.47669407665512</v>
      </c>
      <c r="FO313">
        <v>1.920760700928672</v>
      </c>
      <c r="FP313">
        <v>-1</v>
      </c>
      <c r="FQ313">
        <v>9.246785121951218</v>
      </c>
      <c r="FR313">
        <v>0.170665087108005</v>
      </c>
      <c r="FS313">
        <v>0.01686265322437766</v>
      </c>
      <c r="FT313">
        <v>-1</v>
      </c>
      <c r="FU313">
        <v>0</v>
      </c>
      <c r="FV313">
        <v>0</v>
      </c>
      <c r="FW313">
        <v>0</v>
      </c>
      <c r="FX313">
        <v>-1</v>
      </c>
      <c r="FY313">
        <v>0</v>
      </c>
      <c r="FZ313">
        <v>0</v>
      </c>
      <c r="GA313" t="s">
        <v>420</v>
      </c>
      <c r="GB313">
        <v>2.98149</v>
      </c>
      <c r="GC313">
        <v>2.70608</v>
      </c>
      <c r="GD313">
        <v>0.0712425</v>
      </c>
      <c r="GE313">
        <v>0.0791052</v>
      </c>
      <c r="GF313">
        <v>0.08887970000000001</v>
      </c>
      <c r="GG313">
        <v>0.0528484</v>
      </c>
      <c r="GH313">
        <v>29348.2</v>
      </c>
      <c r="GI313">
        <v>29162.3</v>
      </c>
      <c r="GJ313">
        <v>29377.2</v>
      </c>
      <c r="GK313">
        <v>29291.7</v>
      </c>
      <c r="GL313">
        <v>35439.2</v>
      </c>
      <c r="GM313">
        <v>36957.1</v>
      </c>
      <c r="GN313">
        <v>41348.9</v>
      </c>
      <c r="GO313">
        <v>41811.2</v>
      </c>
      <c r="GP313">
        <v>1.96695</v>
      </c>
      <c r="GQ313">
        <v>1.8532</v>
      </c>
      <c r="GR313">
        <v>-0.00596046</v>
      </c>
      <c r="GS313">
        <v>0</v>
      </c>
      <c r="GT313">
        <v>25.0931</v>
      </c>
      <c r="GU313">
        <v>999.9</v>
      </c>
      <c r="GV313">
        <v>29.7</v>
      </c>
      <c r="GW313">
        <v>34.2</v>
      </c>
      <c r="GX313">
        <v>17.8457</v>
      </c>
      <c r="GY313">
        <v>62.4376</v>
      </c>
      <c r="GZ313">
        <v>35.1522</v>
      </c>
      <c r="HA313">
        <v>1</v>
      </c>
      <c r="HB313">
        <v>0.0457851</v>
      </c>
      <c r="HC313">
        <v>1.48616</v>
      </c>
      <c r="HD313">
        <v>20.3279</v>
      </c>
      <c r="HE313">
        <v>5.21774</v>
      </c>
      <c r="HF313">
        <v>12.0099</v>
      </c>
      <c r="HG313">
        <v>4.9885</v>
      </c>
      <c r="HH313">
        <v>3.28865</v>
      </c>
      <c r="HI313">
        <v>1031.3</v>
      </c>
      <c r="HJ313">
        <v>9734.5</v>
      </c>
      <c r="HK313">
        <v>5139.4</v>
      </c>
      <c r="HL313">
        <v>25.3</v>
      </c>
      <c r="HM313">
        <v>1.86748</v>
      </c>
      <c r="HN313">
        <v>1.86645</v>
      </c>
      <c r="HO313">
        <v>1.866</v>
      </c>
      <c r="HP313">
        <v>1.86584</v>
      </c>
      <c r="HQ313">
        <v>1.86768</v>
      </c>
      <c r="HR313">
        <v>1.87021</v>
      </c>
      <c r="HS313">
        <v>1.8689</v>
      </c>
      <c r="HT313">
        <v>1.8702</v>
      </c>
      <c r="HU313">
        <v>0</v>
      </c>
      <c r="HV313">
        <v>0</v>
      </c>
      <c r="HW313">
        <v>0</v>
      </c>
      <c r="HX313">
        <v>0</v>
      </c>
      <c r="HY313" t="s">
        <v>421</v>
      </c>
      <c r="HZ313" t="s">
        <v>422</v>
      </c>
      <c r="IA313" t="s">
        <v>423</v>
      </c>
      <c r="IB313" t="s">
        <v>423</v>
      </c>
      <c r="IC313" t="s">
        <v>423</v>
      </c>
      <c r="ID313" t="s">
        <v>423</v>
      </c>
      <c r="IE313">
        <v>0</v>
      </c>
      <c r="IF313">
        <v>100</v>
      </c>
      <c r="IG313">
        <v>100</v>
      </c>
      <c r="IH313">
        <v>-0.738</v>
      </c>
      <c r="II313">
        <v>0.0252</v>
      </c>
      <c r="IJ313">
        <v>-0.1559367209035702</v>
      </c>
      <c r="IK313">
        <v>-0.002077099775823331</v>
      </c>
      <c r="IL313">
        <v>4.593143279902166E-07</v>
      </c>
      <c r="IM313">
        <v>-1.865383991892071E-10</v>
      </c>
      <c r="IN313">
        <v>-0.0607165066849496</v>
      </c>
      <c r="IO313">
        <v>-0.01129461987421345</v>
      </c>
      <c r="IP313">
        <v>0.00116580895745559</v>
      </c>
      <c r="IQ313">
        <v>-1.679085872906199E-05</v>
      </c>
      <c r="IR313">
        <v>2</v>
      </c>
      <c r="IS313">
        <v>2290</v>
      </c>
      <c r="IT313">
        <v>0</v>
      </c>
      <c r="IU313">
        <v>32</v>
      </c>
      <c r="IV313">
        <v>14.2</v>
      </c>
      <c r="IW313">
        <v>14</v>
      </c>
      <c r="IX313">
        <v>0.916748</v>
      </c>
      <c r="IY313">
        <v>2.229</v>
      </c>
      <c r="IZ313">
        <v>1.39648</v>
      </c>
      <c r="JA313">
        <v>2.35596</v>
      </c>
      <c r="JB313">
        <v>1.49536</v>
      </c>
      <c r="JC313">
        <v>2.29126</v>
      </c>
      <c r="JD313">
        <v>38.0134</v>
      </c>
      <c r="JE313">
        <v>24.035</v>
      </c>
      <c r="JF313">
        <v>18</v>
      </c>
      <c r="JG313">
        <v>512.665</v>
      </c>
      <c r="JH313">
        <v>425.74</v>
      </c>
      <c r="JI313">
        <v>23.1528</v>
      </c>
      <c r="JJ313">
        <v>27.9179</v>
      </c>
      <c r="JK313">
        <v>30</v>
      </c>
      <c r="JL313">
        <v>27.9434</v>
      </c>
      <c r="JM313">
        <v>27.8886</v>
      </c>
      <c r="JN313">
        <v>18.4102</v>
      </c>
      <c r="JO313">
        <v>44.9415</v>
      </c>
      <c r="JP313">
        <v>0</v>
      </c>
      <c r="JQ313">
        <v>23.1539</v>
      </c>
      <c r="JR313">
        <v>365.251</v>
      </c>
      <c r="JS313">
        <v>9.32127</v>
      </c>
      <c r="JT313">
        <v>100.416</v>
      </c>
      <c r="JU313">
        <v>100.347</v>
      </c>
    </row>
    <row r="314" spans="1:281">
      <c r="A314">
        <v>298</v>
      </c>
      <c r="B314">
        <v>1651866360</v>
      </c>
      <c r="C314">
        <v>2139.400000095367</v>
      </c>
      <c r="D314" t="s">
        <v>1019</v>
      </c>
      <c r="E314" t="s">
        <v>1020</v>
      </c>
      <c r="F314">
        <v>2</v>
      </c>
      <c r="G314" t="s">
        <v>908</v>
      </c>
      <c r="H314" t="s">
        <v>414</v>
      </c>
      <c r="I314">
        <v>1651866358.625</v>
      </c>
      <c r="J314">
        <f>(K314)/1000</f>
        <v>0</v>
      </c>
      <c r="K314">
        <f>IF(CZ314, AN314, AH314)</f>
        <v>0</v>
      </c>
      <c r="L314">
        <f>IF(CZ314, AI314, AG314)</f>
        <v>0</v>
      </c>
      <c r="M314">
        <f>DB314 - IF(AU314&gt;1, L314*CV314*100.0/(AW314*DP314), 0)</f>
        <v>0</v>
      </c>
      <c r="N314">
        <f>((T314-J314/2)*M314-L314)/(T314+J314/2)</f>
        <v>0</v>
      </c>
      <c r="O314">
        <f>N314*(DI314+DJ314)/1000.0</f>
        <v>0</v>
      </c>
      <c r="P314">
        <f>(DB314 - IF(AU314&gt;1, L314*CV314*100.0/(AW314*DP314), 0))*(DI314+DJ314)/1000.0</f>
        <v>0</v>
      </c>
      <c r="Q314">
        <f>2.0/((1/S314-1/R314)+SIGN(S314)*SQRT((1/S314-1/R314)*(1/S314-1/R314) + 4*CW314/((CW314+1)*(CW314+1))*(2*1/S314*1/R314-1/R314*1/R314)))</f>
        <v>0</v>
      </c>
      <c r="R314">
        <f>IF(LEFT(CX314,1)&lt;&gt;"0",IF(LEFT(CX314,1)="1",3.0,CY314),$D$5+$E$5*(DP314*DI314/($K$5*1000))+$F$5*(DP314*DI314/($K$5*1000))*MAX(MIN(CV314,$J$5),$I$5)*MAX(MIN(CV314,$J$5),$I$5)+$G$5*MAX(MIN(CV314,$J$5),$I$5)*(DP314*DI314/($K$5*1000))+$H$5*(DP314*DI314/($K$5*1000))*(DP314*DI314/($K$5*1000)))</f>
        <v>0</v>
      </c>
      <c r="S314">
        <f>J314*(1000-(1000*0.61365*exp(17.502*W314/(240.97+W314))/(DI314+DJ314)+DD314)/2)/(1000*0.61365*exp(17.502*W314/(240.97+W314))/(DI314+DJ314)-DD314)</f>
        <v>0</v>
      </c>
      <c r="T314">
        <f>1/((CW314+1)/(Q314/1.6)+1/(R314/1.37)) + CW314/((CW314+1)/(Q314/1.6) + CW314/(R314/1.37))</f>
        <v>0</v>
      </c>
      <c r="U314">
        <f>(CR314*CU314)</f>
        <v>0</v>
      </c>
      <c r="V314">
        <f>(DK314+(U314+2*0.95*5.67E-8*(((DK314+$B$7)+273)^4-(DK314+273)^4)-44100*J314)/(1.84*29.3*R314+8*0.95*5.67E-8*(DK314+273)^3))</f>
        <v>0</v>
      </c>
      <c r="W314">
        <f>($C$7*DL314+$D$7*DM314+$E$7*V314)</f>
        <v>0</v>
      </c>
      <c r="X314">
        <f>0.61365*exp(17.502*W314/(240.97+W314))</f>
        <v>0</v>
      </c>
      <c r="Y314">
        <f>(Z314/AA314*100)</f>
        <v>0</v>
      </c>
      <c r="Z314">
        <f>DD314*(DI314+DJ314)/1000</f>
        <v>0</v>
      </c>
      <c r="AA314">
        <f>0.61365*exp(17.502*DK314/(240.97+DK314))</f>
        <v>0</v>
      </c>
      <c r="AB314">
        <f>(X314-DD314*(DI314+DJ314)/1000)</f>
        <v>0</v>
      </c>
      <c r="AC314">
        <f>(-J314*44100)</f>
        <v>0</v>
      </c>
      <c r="AD314">
        <f>2*29.3*R314*0.92*(DK314-W314)</f>
        <v>0</v>
      </c>
      <c r="AE314">
        <f>2*0.95*5.67E-8*(((DK314+$B$7)+273)^4-(W314+273)^4)</f>
        <v>0</v>
      </c>
      <c r="AF314">
        <f>U314+AE314+AC314+AD314</f>
        <v>0</v>
      </c>
      <c r="AG314">
        <f>DH314*AU314*(DC314-DB314*(1000-AU314*DE314)/(1000-AU314*DD314))/(100*CV314)</f>
        <v>0</v>
      </c>
      <c r="AH314">
        <f>1000*DH314*AU314*(DD314-DE314)/(100*CV314*(1000-AU314*DD314))</f>
        <v>0</v>
      </c>
      <c r="AI314">
        <f>(AJ314 - AK314 - DI314*1E3/(8.314*(DK314+273.15)) * AM314/DH314 * AL314) * DH314/(100*CV314) * (1000 - DE314)/1000</f>
        <v>0</v>
      </c>
      <c r="AJ314">
        <v>343.7831501215467</v>
      </c>
      <c r="AK314">
        <v>307.2060848484849</v>
      </c>
      <c r="AL314">
        <v>3.100143092050917</v>
      </c>
      <c r="AM314">
        <v>66.38195617057868</v>
      </c>
      <c r="AN314">
        <f>(AP314 - AO314 + DI314*1E3/(8.314*(DK314+273.15)) * AR314/DH314 * AQ314) * DH314/(100*CV314) * 1000/(1000 - AP314)</f>
        <v>0</v>
      </c>
      <c r="AO314">
        <v>9.397479507947782</v>
      </c>
      <c r="AP314">
        <v>18.67499735294117</v>
      </c>
      <c r="AQ314">
        <v>8.06938197961175E-05</v>
      </c>
      <c r="AR314">
        <v>80.47178418790507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MAX(0,($B$13+$C$13*DP314)/(1+$D$13*DP314)*DI314/(DK314+273)*$E$13)</f>
        <v>0</v>
      </c>
      <c r="AX314" t="s">
        <v>417</v>
      </c>
      <c r="AY314" t="s">
        <v>417</v>
      </c>
      <c r="AZ314">
        <v>0</v>
      </c>
      <c r="BA314">
        <v>0</v>
      </c>
      <c r="BB314">
        <f>1-AZ314/BA314</f>
        <v>0</v>
      </c>
      <c r="BC314">
        <v>0</v>
      </c>
      <c r="BD314" t="s">
        <v>417</v>
      </c>
      <c r="BE314" t="s">
        <v>417</v>
      </c>
      <c r="BF314">
        <v>0</v>
      </c>
      <c r="BG314">
        <v>0</v>
      </c>
      <c r="BH314">
        <f>1-BF314/BG314</f>
        <v>0</v>
      </c>
      <c r="BI314">
        <v>0.5</v>
      </c>
      <c r="BJ314">
        <f>CS314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417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BZ314">
        <v>1249</v>
      </c>
      <c r="CA314">
        <v>300</v>
      </c>
      <c r="CB314">
        <v>300</v>
      </c>
      <c r="CC314">
        <v>300</v>
      </c>
      <c r="CD314">
        <v>10442.4</v>
      </c>
      <c r="CE314">
        <v>1239.69</v>
      </c>
      <c r="CF314">
        <v>-0.00735276</v>
      </c>
      <c r="CG314">
        <v>0.07000000000000001</v>
      </c>
      <c r="CH314" t="s">
        <v>417</v>
      </c>
      <c r="CI314" t="s">
        <v>417</v>
      </c>
      <c r="CJ314" t="s">
        <v>417</v>
      </c>
      <c r="CK314" t="s">
        <v>417</v>
      </c>
      <c r="CL314" t="s">
        <v>417</v>
      </c>
      <c r="CM314" t="s">
        <v>417</v>
      </c>
      <c r="CN314" t="s">
        <v>417</v>
      </c>
      <c r="CO314" t="s">
        <v>417</v>
      </c>
      <c r="CP314" t="s">
        <v>417</v>
      </c>
      <c r="CQ314" t="s">
        <v>417</v>
      </c>
      <c r="CR314">
        <f>$B$11*DQ314+$C$11*DR314+$F$11*EC314*(1-EF314)</f>
        <v>0</v>
      </c>
      <c r="CS314">
        <f>CR314*CT314</f>
        <v>0</v>
      </c>
      <c r="CT314">
        <f>($B$11*$D$9+$C$11*$D$9+$F$11*((EP314+EH314)/MAX(EP314+EH314+EQ314, 0.1)*$I$9+EQ314/MAX(EP314+EH314+EQ314, 0.1)*$J$9))/($B$11+$C$11+$F$11)</f>
        <v>0</v>
      </c>
      <c r="CU314">
        <f>($B$11*$K$9+$C$11*$K$9+$F$11*((EP314+EH314)/MAX(EP314+EH314+EQ314, 0.1)*$P$9+EQ314/MAX(EP314+EH314+EQ314, 0.1)*$Q$9))/($B$11+$C$11+$F$11)</f>
        <v>0</v>
      </c>
      <c r="CV314">
        <v>6</v>
      </c>
      <c r="CW314">
        <v>0.5</v>
      </c>
      <c r="CX314" t="s">
        <v>418</v>
      </c>
      <c r="CY314">
        <v>2</v>
      </c>
      <c r="CZ314" t="b">
        <v>1</v>
      </c>
      <c r="DA314">
        <v>1651866358.625</v>
      </c>
      <c r="DB314">
        <v>298.81325</v>
      </c>
      <c r="DC314">
        <v>345.19</v>
      </c>
      <c r="DD314">
        <v>18.673325</v>
      </c>
      <c r="DE314">
        <v>9.39669</v>
      </c>
      <c r="DF314">
        <v>299.55525</v>
      </c>
      <c r="DG314">
        <v>18.64815</v>
      </c>
      <c r="DH314">
        <v>500.04675</v>
      </c>
      <c r="DI314">
        <v>89.92297500000001</v>
      </c>
      <c r="DJ314">
        <v>0.099873675</v>
      </c>
      <c r="DK314">
        <v>25.9054</v>
      </c>
      <c r="DL314">
        <v>24.99725</v>
      </c>
      <c r="DM314">
        <v>999.9</v>
      </c>
      <c r="DN314">
        <v>0</v>
      </c>
      <c r="DO314">
        <v>0</v>
      </c>
      <c r="DP314">
        <v>10002.6625</v>
      </c>
      <c r="DQ314">
        <v>0</v>
      </c>
      <c r="DR314">
        <v>3.204885</v>
      </c>
      <c r="DS314">
        <v>-46.3769</v>
      </c>
      <c r="DT314">
        <v>304.499</v>
      </c>
      <c r="DU314">
        <v>348.4644999999999</v>
      </c>
      <c r="DV314">
        <v>9.27664</v>
      </c>
      <c r="DW314">
        <v>345.19</v>
      </c>
      <c r="DX314">
        <v>9.39669</v>
      </c>
      <c r="DY314">
        <v>1.67916</v>
      </c>
      <c r="DZ314">
        <v>0.84497825</v>
      </c>
      <c r="EA314">
        <v>14.705125</v>
      </c>
      <c r="EB314">
        <v>4.48623</v>
      </c>
      <c r="EC314">
        <v>1500.1375</v>
      </c>
      <c r="ED314">
        <v>0.973004</v>
      </c>
      <c r="EE314">
        <v>0.0269962</v>
      </c>
      <c r="EF314">
        <v>0</v>
      </c>
      <c r="EG314">
        <v>850.28025</v>
      </c>
      <c r="EH314">
        <v>5.00097</v>
      </c>
      <c r="EI314">
        <v>12712.95</v>
      </c>
      <c r="EJ314">
        <v>12492.775</v>
      </c>
      <c r="EK314">
        <v>39.312</v>
      </c>
      <c r="EL314">
        <v>41.1405</v>
      </c>
      <c r="EM314">
        <v>39.5935</v>
      </c>
      <c r="EN314">
        <v>41.56225</v>
      </c>
      <c r="EO314">
        <v>40.2655</v>
      </c>
      <c r="EP314">
        <v>1454.7775</v>
      </c>
      <c r="EQ314">
        <v>40.36</v>
      </c>
      <c r="ER314">
        <v>0</v>
      </c>
      <c r="ES314">
        <v>877.4000000953674</v>
      </c>
      <c r="ET314">
        <v>0</v>
      </c>
      <c r="EU314">
        <v>846.1194800000001</v>
      </c>
      <c r="EV314">
        <v>36.91976922463142</v>
      </c>
      <c r="EW314">
        <v>561.2076923694536</v>
      </c>
      <c r="EX314">
        <v>12651.976</v>
      </c>
      <c r="EY314">
        <v>15</v>
      </c>
      <c r="EZ314">
        <v>1651865518.1</v>
      </c>
      <c r="FA314" t="s">
        <v>910</v>
      </c>
      <c r="FB314">
        <v>1651865507.1</v>
      </c>
      <c r="FC314">
        <v>1651865518.1</v>
      </c>
      <c r="FD314">
        <v>8</v>
      </c>
      <c r="FE314">
        <v>0.06</v>
      </c>
      <c r="FF314">
        <v>0</v>
      </c>
      <c r="FG314">
        <v>-0.927</v>
      </c>
      <c r="FH314">
        <v>-0.062</v>
      </c>
      <c r="FI314">
        <v>400</v>
      </c>
      <c r="FJ314">
        <v>11</v>
      </c>
      <c r="FK314">
        <v>0.11</v>
      </c>
      <c r="FL314">
        <v>0.01</v>
      </c>
      <c r="FM314">
        <v>-43.4116225</v>
      </c>
      <c r="FN314">
        <v>-19.36649043151961</v>
      </c>
      <c r="FO314">
        <v>1.863469461312353</v>
      </c>
      <c r="FP314">
        <v>-1</v>
      </c>
      <c r="FQ314">
        <v>9.251493</v>
      </c>
      <c r="FR314">
        <v>0.1699418386491609</v>
      </c>
      <c r="FS314">
        <v>0.01638793293859849</v>
      </c>
      <c r="FT314">
        <v>-1</v>
      </c>
      <c r="FU314">
        <v>0</v>
      </c>
      <c r="FV314">
        <v>0</v>
      </c>
      <c r="FW314">
        <v>0</v>
      </c>
      <c r="FX314">
        <v>-1</v>
      </c>
      <c r="FY314">
        <v>0</v>
      </c>
      <c r="FZ314">
        <v>0</v>
      </c>
      <c r="GA314" t="s">
        <v>420</v>
      </c>
      <c r="GB314">
        <v>2.98154</v>
      </c>
      <c r="GC314">
        <v>2.70614</v>
      </c>
      <c r="GD314">
        <v>0.0724312</v>
      </c>
      <c r="GE314">
        <v>0.08033</v>
      </c>
      <c r="GF314">
        <v>0.0889008</v>
      </c>
      <c r="GG314">
        <v>0.0528414</v>
      </c>
      <c r="GH314">
        <v>29310.5</v>
      </c>
      <c r="GI314">
        <v>29123.6</v>
      </c>
      <c r="GJ314">
        <v>29377.1</v>
      </c>
      <c r="GK314">
        <v>29291.8</v>
      </c>
      <c r="GL314">
        <v>35438.3</v>
      </c>
      <c r="GM314">
        <v>36957.4</v>
      </c>
      <c r="GN314">
        <v>41348.8</v>
      </c>
      <c r="GO314">
        <v>41811.2</v>
      </c>
      <c r="GP314">
        <v>1.96705</v>
      </c>
      <c r="GQ314">
        <v>1.85325</v>
      </c>
      <c r="GR314">
        <v>-0.00599772</v>
      </c>
      <c r="GS314">
        <v>0</v>
      </c>
      <c r="GT314">
        <v>25.0931</v>
      </c>
      <c r="GU314">
        <v>999.9</v>
      </c>
      <c r="GV314">
        <v>29.7</v>
      </c>
      <c r="GW314">
        <v>34.2</v>
      </c>
      <c r="GX314">
        <v>17.8458</v>
      </c>
      <c r="GY314">
        <v>62.3876</v>
      </c>
      <c r="GZ314">
        <v>35.2845</v>
      </c>
      <c r="HA314">
        <v>1</v>
      </c>
      <c r="HB314">
        <v>0.0457952</v>
      </c>
      <c r="HC314">
        <v>1.48655</v>
      </c>
      <c r="HD314">
        <v>20.3278</v>
      </c>
      <c r="HE314">
        <v>5.21759</v>
      </c>
      <c r="HF314">
        <v>12.0099</v>
      </c>
      <c r="HG314">
        <v>4.9885</v>
      </c>
      <c r="HH314">
        <v>3.28865</v>
      </c>
      <c r="HI314">
        <v>1031.5</v>
      </c>
      <c r="HJ314">
        <v>9735.9</v>
      </c>
      <c r="HK314">
        <v>5139.4</v>
      </c>
      <c r="HL314">
        <v>25.3</v>
      </c>
      <c r="HM314">
        <v>1.86747</v>
      </c>
      <c r="HN314">
        <v>1.86646</v>
      </c>
      <c r="HO314">
        <v>1.866</v>
      </c>
      <c r="HP314">
        <v>1.86584</v>
      </c>
      <c r="HQ314">
        <v>1.86768</v>
      </c>
      <c r="HR314">
        <v>1.87022</v>
      </c>
      <c r="HS314">
        <v>1.86888</v>
      </c>
      <c r="HT314">
        <v>1.8702</v>
      </c>
      <c r="HU314">
        <v>0</v>
      </c>
      <c r="HV314">
        <v>0</v>
      </c>
      <c r="HW314">
        <v>0</v>
      </c>
      <c r="HX314">
        <v>0</v>
      </c>
      <c r="HY314" t="s">
        <v>421</v>
      </c>
      <c r="HZ314" t="s">
        <v>422</v>
      </c>
      <c r="IA314" t="s">
        <v>423</v>
      </c>
      <c r="IB314" t="s">
        <v>423</v>
      </c>
      <c r="IC314" t="s">
        <v>423</v>
      </c>
      <c r="ID314" t="s">
        <v>423</v>
      </c>
      <c r="IE314">
        <v>0</v>
      </c>
      <c r="IF314">
        <v>100</v>
      </c>
      <c r="IG314">
        <v>100</v>
      </c>
      <c r="IH314">
        <v>-0.75</v>
      </c>
      <c r="II314">
        <v>0.0252</v>
      </c>
      <c r="IJ314">
        <v>-0.1559367209035702</v>
      </c>
      <c r="IK314">
        <v>-0.002077099775823331</v>
      </c>
      <c r="IL314">
        <v>4.593143279902166E-07</v>
      </c>
      <c r="IM314">
        <v>-1.865383991892071E-10</v>
      </c>
      <c r="IN314">
        <v>-0.0607165066849496</v>
      </c>
      <c r="IO314">
        <v>-0.01129461987421345</v>
      </c>
      <c r="IP314">
        <v>0.00116580895745559</v>
      </c>
      <c r="IQ314">
        <v>-1.679085872906199E-05</v>
      </c>
      <c r="IR314">
        <v>2</v>
      </c>
      <c r="IS314">
        <v>2290</v>
      </c>
      <c r="IT314">
        <v>0</v>
      </c>
      <c r="IU314">
        <v>32</v>
      </c>
      <c r="IV314">
        <v>14.2</v>
      </c>
      <c r="IW314">
        <v>14</v>
      </c>
      <c r="IX314">
        <v>0.930176</v>
      </c>
      <c r="IY314">
        <v>2.2229</v>
      </c>
      <c r="IZ314">
        <v>1.39648</v>
      </c>
      <c r="JA314">
        <v>2.35474</v>
      </c>
      <c r="JB314">
        <v>1.49536</v>
      </c>
      <c r="JC314">
        <v>2.30103</v>
      </c>
      <c r="JD314">
        <v>38.0134</v>
      </c>
      <c r="JE314">
        <v>24.035</v>
      </c>
      <c r="JF314">
        <v>18</v>
      </c>
      <c r="JG314">
        <v>512.721</v>
      </c>
      <c r="JH314">
        <v>425.765</v>
      </c>
      <c r="JI314">
        <v>23.1534</v>
      </c>
      <c r="JJ314">
        <v>27.9179</v>
      </c>
      <c r="JK314">
        <v>30</v>
      </c>
      <c r="JL314">
        <v>27.9422</v>
      </c>
      <c r="JM314">
        <v>27.8881</v>
      </c>
      <c r="JN314">
        <v>18.681</v>
      </c>
      <c r="JO314">
        <v>45.2122</v>
      </c>
      <c r="JP314">
        <v>0</v>
      </c>
      <c r="JQ314">
        <v>23.1581</v>
      </c>
      <c r="JR314">
        <v>371.93</v>
      </c>
      <c r="JS314">
        <v>9.296329999999999</v>
      </c>
      <c r="JT314">
        <v>100.416</v>
      </c>
      <c r="JU314">
        <v>100.347</v>
      </c>
    </row>
    <row r="315" spans="1:281">
      <c r="A315">
        <v>299</v>
      </c>
      <c r="B315">
        <v>1651866362</v>
      </c>
      <c r="C315">
        <v>2141.400000095367</v>
      </c>
      <c r="D315" t="s">
        <v>1021</v>
      </c>
      <c r="E315" t="s">
        <v>1022</v>
      </c>
      <c r="F315">
        <v>2</v>
      </c>
      <c r="G315" t="s">
        <v>908</v>
      </c>
      <c r="H315" t="s">
        <v>414</v>
      </c>
      <c r="I315">
        <v>1651866361</v>
      </c>
      <c r="J315">
        <f>(K315)/1000</f>
        <v>0</v>
      </c>
      <c r="K315">
        <f>IF(CZ315, AN315, AH315)</f>
        <v>0</v>
      </c>
      <c r="L315">
        <f>IF(CZ315, AI315, AG315)</f>
        <v>0</v>
      </c>
      <c r="M315">
        <f>DB315 - IF(AU315&gt;1, L315*CV315*100.0/(AW315*DP315), 0)</f>
        <v>0</v>
      </c>
      <c r="N315">
        <f>((T315-J315/2)*M315-L315)/(T315+J315/2)</f>
        <v>0</v>
      </c>
      <c r="O315">
        <f>N315*(DI315+DJ315)/1000.0</f>
        <v>0</v>
      </c>
      <c r="P315">
        <f>(DB315 - IF(AU315&gt;1, L315*CV315*100.0/(AW315*DP315), 0))*(DI315+DJ315)/1000.0</f>
        <v>0</v>
      </c>
      <c r="Q315">
        <f>2.0/((1/S315-1/R315)+SIGN(S315)*SQRT((1/S315-1/R315)*(1/S315-1/R315) + 4*CW315/((CW315+1)*(CW315+1))*(2*1/S315*1/R315-1/R315*1/R315)))</f>
        <v>0</v>
      </c>
      <c r="R315">
        <f>IF(LEFT(CX315,1)&lt;&gt;"0",IF(LEFT(CX315,1)="1",3.0,CY315),$D$5+$E$5*(DP315*DI315/($K$5*1000))+$F$5*(DP315*DI315/($K$5*1000))*MAX(MIN(CV315,$J$5),$I$5)*MAX(MIN(CV315,$J$5),$I$5)+$G$5*MAX(MIN(CV315,$J$5),$I$5)*(DP315*DI315/($K$5*1000))+$H$5*(DP315*DI315/($K$5*1000))*(DP315*DI315/($K$5*1000)))</f>
        <v>0</v>
      </c>
      <c r="S315">
        <f>J315*(1000-(1000*0.61365*exp(17.502*W315/(240.97+W315))/(DI315+DJ315)+DD315)/2)/(1000*0.61365*exp(17.502*W315/(240.97+W315))/(DI315+DJ315)-DD315)</f>
        <v>0</v>
      </c>
      <c r="T315">
        <f>1/((CW315+1)/(Q315/1.6)+1/(R315/1.37)) + CW315/((CW315+1)/(Q315/1.6) + CW315/(R315/1.37))</f>
        <v>0</v>
      </c>
      <c r="U315">
        <f>(CR315*CU315)</f>
        <v>0</v>
      </c>
      <c r="V315">
        <f>(DK315+(U315+2*0.95*5.67E-8*(((DK315+$B$7)+273)^4-(DK315+273)^4)-44100*J315)/(1.84*29.3*R315+8*0.95*5.67E-8*(DK315+273)^3))</f>
        <v>0</v>
      </c>
      <c r="W315">
        <f>($C$7*DL315+$D$7*DM315+$E$7*V315)</f>
        <v>0</v>
      </c>
      <c r="X315">
        <f>0.61365*exp(17.502*W315/(240.97+W315))</f>
        <v>0</v>
      </c>
      <c r="Y315">
        <f>(Z315/AA315*100)</f>
        <v>0</v>
      </c>
      <c r="Z315">
        <f>DD315*(DI315+DJ315)/1000</f>
        <v>0</v>
      </c>
      <c r="AA315">
        <f>0.61365*exp(17.502*DK315/(240.97+DK315))</f>
        <v>0</v>
      </c>
      <c r="AB315">
        <f>(X315-DD315*(DI315+DJ315)/1000)</f>
        <v>0</v>
      </c>
      <c r="AC315">
        <f>(-J315*44100)</f>
        <v>0</v>
      </c>
      <c r="AD315">
        <f>2*29.3*R315*0.92*(DK315-W315)</f>
        <v>0</v>
      </c>
      <c r="AE315">
        <f>2*0.95*5.67E-8*(((DK315+$B$7)+273)^4-(W315+273)^4)</f>
        <v>0</v>
      </c>
      <c r="AF315">
        <f>U315+AE315+AC315+AD315</f>
        <v>0</v>
      </c>
      <c r="AG315">
        <f>DH315*AU315*(DC315-DB315*(1000-AU315*DE315)/(1000-AU315*DD315))/(100*CV315)</f>
        <v>0</v>
      </c>
      <c r="AH315">
        <f>1000*DH315*AU315*(DD315-DE315)/(100*CV315*(1000-AU315*DD315))</f>
        <v>0</v>
      </c>
      <c r="AI315">
        <f>(AJ315 - AK315 - DI315*1E3/(8.314*(DK315+273.15)) * AM315/DH315 * AL315) * DH315/(100*CV315) * (1000 - DE315)/1000</f>
        <v>0</v>
      </c>
      <c r="AJ315">
        <v>350.4963861042765</v>
      </c>
      <c r="AK315">
        <v>313.3648484848483</v>
      </c>
      <c r="AL315">
        <v>3.084118940979817</v>
      </c>
      <c r="AM315">
        <v>66.38195617057868</v>
      </c>
      <c r="AN315">
        <f>(AP315 - AO315 + DI315*1E3/(8.314*(DK315+273.15)) * AR315/DH315 * AQ315) * DH315/(100*CV315) * 1000/(1000 - AP315)</f>
        <v>0</v>
      </c>
      <c r="AO315">
        <v>9.397315085923244</v>
      </c>
      <c r="AP315">
        <v>18.68135029411764</v>
      </c>
      <c r="AQ315">
        <v>5.629692378107221E-05</v>
      </c>
      <c r="AR315">
        <v>80.47178418790507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MAX(0,($B$13+$C$13*DP315)/(1+$D$13*DP315)*DI315/(DK315+273)*$E$13)</f>
        <v>0</v>
      </c>
      <c r="AX315" t="s">
        <v>417</v>
      </c>
      <c r="AY315" t="s">
        <v>417</v>
      </c>
      <c r="AZ315">
        <v>0</v>
      </c>
      <c r="BA315">
        <v>0</v>
      </c>
      <c r="BB315">
        <f>1-AZ315/BA315</f>
        <v>0</v>
      </c>
      <c r="BC315">
        <v>0</v>
      </c>
      <c r="BD315" t="s">
        <v>417</v>
      </c>
      <c r="BE315" t="s">
        <v>417</v>
      </c>
      <c r="BF315">
        <v>0</v>
      </c>
      <c r="BG315">
        <v>0</v>
      </c>
      <c r="BH315">
        <f>1-BF315/BG315</f>
        <v>0</v>
      </c>
      <c r="BI315">
        <v>0.5</v>
      </c>
      <c r="BJ315">
        <f>CS315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417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BZ315">
        <v>1249</v>
      </c>
      <c r="CA315">
        <v>300</v>
      </c>
      <c r="CB315">
        <v>300</v>
      </c>
      <c r="CC315">
        <v>300</v>
      </c>
      <c r="CD315">
        <v>10442.4</v>
      </c>
      <c r="CE315">
        <v>1239.69</v>
      </c>
      <c r="CF315">
        <v>-0.00735276</v>
      </c>
      <c r="CG315">
        <v>0.07000000000000001</v>
      </c>
      <c r="CH315" t="s">
        <v>417</v>
      </c>
      <c r="CI315" t="s">
        <v>417</v>
      </c>
      <c r="CJ315" t="s">
        <v>417</v>
      </c>
      <c r="CK315" t="s">
        <v>417</v>
      </c>
      <c r="CL315" t="s">
        <v>417</v>
      </c>
      <c r="CM315" t="s">
        <v>417</v>
      </c>
      <c r="CN315" t="s">
        <v>417</v>
      </c>
      <c r="CO315" t="s">
        <v>417</v>
      </c>
      <c r="CP315" t="s">
        <v>417</v>
      </c>
      <c r="CQ315" t="s">
        <v>417</v>
      </c>
      <c r="CR315">
        <f>$B$11*DQ315+$C$11*DR315+$F$11*EC315*(1-EF315)</f>
        <v>0</v>
      </c>
      <c r="CS315">
        <f>CR315*CT315</f>
        <v>0</v>
      </c>
      <c r="CT315">
        <f>($B$11*$D$9+$C$11*$D$9+$F$11*((EP315+EH315)/MAX(EP315+EH315+EQ315, 0.1)*$I$9+EQ315/MAX(EP315+EH315+EQ315, 0.1)*$J$9))/($B$11+$C$11+$F$11)</f>
        <v>0</v>
      </c>
      <c r="CU315">
        <f>($B$11*$K$9+$C$11*$K$9+$F$11*((EP315+EH315)/MAX(EP315+EH315+EQ315, 0.1)*$P$9+EQ315/MAX(EP315+EH315+EQ315, 0.1)*$Q$9))/($B$11+$C$11+$F$11)</f>
        <v>0</v>
      </c>
      <c r="CV315">
        <v>6</v>
      </c>
      <c r="CW315">
        <v>0.5</v>
      </c>
      <c r="CX315" t="s">
        <v>418</v>
      </c>
      <c r="CY315">
        <v>2</v>
      </c>
      <c r="CZ315" t="b">
        <v>1</v>
      </c>
      <c r="DA315">
        <v>1651866361</v>
      </c>
      <c r="DB315">
        <v>306.0036666666667</v>
      </c>
      <c r="DC315">
        <v>353.2183333333333</v>
      </c>
      <c r="DD315">
        <v>18.67993333333333</v>
      </c>
      <c r="DE315">
        <v>9.39518</v>
      </c>
      <c r="DF315">
        <v>306.7586666666667</v>
      </c>
      <c r="DG315">
        <v>18.65466666666667</v>
      </c>
      <c r="DH315">
        <v>500.0023333333334</v>
      </c>
      <c r="DI315">
        <v>89.92123333333332</v>
      </c>
      <c r="DJ315">
        <v>0.1000886666666667</v>
      </c>
      <c r="DK315">
        <v>25.90536666666667</v>
      </c>
      <c r="DL315">
        <v>24.9979</v>
      </c>
      <c r="DM315">
        <v>999.9</v>
      </c>
      <c r="DN315">
        <v>0</v>
      </c>
      <c r="DO315">
        <v>0</v>
      </c>
      <c r="DP315">
        <v>9995.416666666666</v>
      </c>
      <c r="DQ315">
        <v>0</v>
      </c>
      <c r="DR315">
        <v>3.21788</v>
      </c>
      <c r="DS315">
        <v>-47.21456666666666</v>
      </c>
      <c r="DT315">
        <v>311.8283333333334</v>
      </c>
      <c r="DU315">
        <v>356.568</v>
      </c>
      <c r="DV315">
        <v>9.284756666666667</v>
      </c>
      <c r="DW315">
        <v>353.2183333333333</v>
      </c>
      <c r="DX315">
        <v>9.39518</v>
      </c>
      <c r="DY315">
        <v>1.679723333333333</v>
      </c>
      <c r="DZ315">
        <v>0.8448263333333332</v>
      </c>
      <c r="EA315">
        <v>14.7103</v>
      </c>
      <c r="EB315">
        <v>4.483663333333333</v>
      </c>
      <c r="EC315">
        <v>1500.023333333333</v>
      </c>
      <c r="ED315">
        <v>0.973</v>
      </c>
      <c r="EE315">
        <v>0.02699973333333333</v>
      </c>
      <c r="EF315">
        <v>0</v>
      </c>
      <c r="EG315">
        <v>852.7580000000002</v>
      </c>
      <c r="EH315">
        <v>5.00097</v>
      </c>
      <c r="EI315">
        <v>12743.93333333333</v>
      </c>
      <c r="EJ315">
        <v>12491.76666666666</v>
      </c>
      <c r="EK315">
        <v>39.25</v>
      </c>
      <c r="EL315">
        <v>41.062</v>
      </c>
      <c r="EM315">
        <v>39.562</v>
      </c>
      <c r="EN315">
        <v>41.479</v>
      </c>
      <c r="EO315">
        <v>40.229</v>
      </c>
      <c r="EP315">
        <v>1454.653333333333</v>
      </c>
      <c r="EQ315">
        <v>40.36666666666667</v>
      </c>
      <c r="ER315">
        <v>0</v>
      </c>
      <c r="ES315">
        <v>879.2000000476837</v>
      </c>
      <c r="ET315">
        <v>0</v>
      </c>
      <c r="EU315">
        <v>847.167423076923</v>
      </c>
      <c r="EV315">
        <v>41.56823925981007</v>
      </c>
      <c r="EW315">
        <v>608.5333325869336</v>
      </c>
      <c r="EX315">
        <v>12666.93846153846</v>
      </c>
      <c r="EY315">
        <v>15</v>
      </c>
      <c r="EZ315">
        <v>1651865518.1</v>
      </c>
      <c r="FA315" t="s">
        <v>910</v>
      </c>
      <c r="FB315">
        <v>1651865507.1</v>
      </c>
      <c r="FC315">
        <v>1651865518.1</v>
      </c>
      <c r="FD315">
        <v>8</v>
      </c>
      <c r="FE315">
        <v>0.06</v>
      </c>
      <c r="FF315">
        <v>0</v>
      </c>
      <c r="FG315">
        <v>-0.927</v>
      </c>
      <c r="FH315">
        <v>-0.062</v>
      </c>
      <c r="FI315">
        <v>400</v>
      </c>
      <c r="FJ315">
        <v>11</v>
      </c>
      <c r="FK315">
        <v>0.11</v>
      </c>
      <c r="FL315">
        <v>0.01</v>
      </c>
      <c r="FM315">
        <v>-44.1431487804878</v>
      </c>
      <c r="FN315">
        <v>-19.17914006968639</v>
      </c>
      <c r="FO315">
        <v>1.891387820071057</v>
      </c>
      <c r="FP315">
        <v>-1</v>
      </c>
      <c r="FQ315">
        <v>9.257793902439024</v>
      </c>
      <c r="FR315">
        <v>0.1705572125435458</v>
      </c>
      <c r="FS315">
        <v>0.01685498100773092</v>
      </c>
      <c r="FT315">
        <v>-1</v>
      </c>
      <c r="FU315">
        <v>0</v>
      </c>
      <c r="FV315">
        <v>0</v>
      </c>
      <c r="FW315">
        <v>0</v>
      </c>
      <c r="FX315">
        <v>-1</v>
      </c>
      <c r="FY315">
        <v>0</v>
      </c>
      <c r="FZ315">
        <v>0</v>
      </c>
      <c r="GA315" t="s">
        <v>420</v>
      </c>
      <c r="GB315">
        <v>2.9814</v>
      </c>
      <c r="GC315">
        <v>2.70617</v>
      </c>
      <c r="GD315">
        <v>0.0736084</v>
      </c>
      <c r="GE315">
        <v>0.0815728</v>
      </c>
      <c r="GF315">
        <v>0.0889262</v>
      </c>
      <c r="GG315">
        <v>0.0528268</v>
      </c>
      <c r="GH315">
        <v>29273.2</v>
      </c>
      <c r="GI315">
        <v>29084.5</v>
      </c>
      <c r="GJ315">
        <v>29377</v>
      </c>
      <c r="GK315">
        <v>29292</v>
      </c>
      <c r="GL315">
        <v>35437.4</v>
      </c>
      <c r="GM315">
        <v>36958.2</v>
      </c>
      <c r="GN315">
        <v>41348.9</v>
      </c>
      <c r="GO315">
        <v>41811.4</v>
      </c>
      <c r="GP315">
        <v>1.96712</v>
      </c>
      <c r="GQ315">
        <v>1.85327</v>
      </c>
      <c r="GR315">
        <v>-0.00592321</v>
      </c>
      <c r="GS315">
        <v>0</v>
      </c>
      <c r="GT315">
        <v>25.0931</v>
      </c>
      <c r="GU315">
        <v>999.9</v>
      </c>
      <c r="GV315">
        <v>29.7</v>
      </c>
      <c r="GW315">
        <v>34.2</v>
      </c>
      <c r="GX315">
        <v>17.8436</v>
      </c>
      <c r="GY315">
        <v>62.5176</v>
      </c>
      <c r="GZ315">
        <v>35.5769</v>
      </c>
      <c r="HA315">
        <v>1</v>
      </c>
      <c r="HB315">
        <v>0.0458028</v>
      </c>
      <c r="HC315">
        <v>1.47765</v>
      </c>
      <c r="HD315">
        <v>20.3278</v>
      </c>
      <c r="HE315">
        <v>5.21774</v>
      </c>
      <c r="HF315">
        <v>12.0099</v>
      </c>
      <c r="HG315">
        <v>4.98845</v>
      </c>
      <c r="HH315">
        <v>3.28865</v>
      </c>
      <c r="HI315">
        <v>1031.5</v>
      </c>
      <c r="HJ315">
        <v>9735.9</v>
      </c>
      <c r="HK315">
        <v>5139.4</v>
      </c>
      <c r="HL315">
        <v>25.3</v>
      </c>
      <c r="HM315">
        <v>1.86748</v>
      </c>
      <c r="HN315">
        <v>1.86645</v>
      </c>
      <c r="HO315">
        <v>1.866</v>
      </c>
      <c r="HP315">
        <v>1.86584</v>
      </c>
      <c r="HQ315">
        <v>1.86768</v>
      </c>
      <c r="HR315">
        <v>1.87021</v>
      </c>
      <c r="HS315">
        <v>1.86888</v>
      </c>
      <c r="HT315">
        <v>1.8702</v>
      </c>
      <c r="HU315">
        <v>0</v>
      </c>
      <c r="HV315">
        <v>0</v>
      </c>
      <c r="HW315">
        <v>0</v>
      </c>
      <c r="HX315">
        <v>0</v>
      </c>
      <c r="HY315" t="s">
        <v>421</v>
      </c>
      <c r="HZ315" t="s">
        <v>422</v>
      </c>
      <c r="IA315" t="s">
        <v>423</v>
      </c>
      <c r="IB315" t="s">
        <v>423</v>
      </c>
      <c r="IC315" t="s">
        <v>423</v>
      </c>
      <c r="ID315" t="s">
        <v>423</v>
      </c>
      <c r="IE315">
        <v>0</v>
      </c>
      <c r="IF315">
        <v>100</v>
      </c>
      <c r="IG315">
        <v>100</v>
      </c>
      <c r="IH315">
        <v>-0.761</v>
      </c>
      <c r="II315">
        <v>0.0253</v>
      </c>
      <c r="IJ315">
        <v>-0.1559367209035702</v>
      </c>
      <c r="IK315">
        <v>-0.002077099775823331</v>
      </c>
      <c r="IL315">
        <v>4.593143279902166E-07</v>
      </c>
      <c r="IM315">
        <v>-1.865383991892071E-10</v>
      </c>
      <c r="IN315">
        <v>-0.0607165066849496</v>
      </c>
      <c r="IO315">
        <v>-0.01129461987421345</v>
      </c>
      <c r="IP315">
        <v>0.00116580895745559</v>
      </c>
      <c r="IQ315">
        <v>-1.679085872906199E-05</v>
      </c>
      <c r="IR315">
        <v>2</v>
      </c>
      <c r="IS315">
        <v>2290</v>
      </c>
      <c r="IT315">
        <v>0</v>
      </c>
      <c r="IU315">
        <v>32</v>
      </c>
      <c r="IV315">
        <v>14.2</v>
      </c>
      <c r="IW315">
        <v>14.1</v>
      </c>
      <c r="IX315">
        <v>0.943604</v>
      </c>
      <c r="IY315">
        <v>2.21924</v>
      </c>
      <c r="IZ315">
        <v>1.39648</v>
      </c>
      <c r="JA315">
        <v>2.35474</v>
      </c>
      <c r="JB315">
        <v>1.49536</v>
      </c>
      <c r="JC315">
        <v>2.36694</v>
      </c>
      <c r="JD315">
        <v>38.0134</v>
      </c>
      <c r="JE315">
        <v>24.0437</v>
      </c>
      <c r="JF315">
        <v>18</v>
      </c>
      <c r="JG315">
        <v>512.759</v>
      </c>
      <c r="JH315">
        <v>425.771</v>
      </c>
      <c r="JI315">
        <v>23.1541</v>
      </c>
      <c r="JJ315">
        <v>27.9167</v>
      </c>
      <c r="JK315">
        <v>30</v>
      </c>
      <c r="JL315">
        <v>27.941</v>
      </c>
      <c r="JM315">
        <v>27.8869</v>
      </c>
      <c r="JN315">
        <v>18.9485</v>
      </c>
      <c r="JO315">
        <v>45.2122</v>
      </c>
      <c r="JP315">
        <v>0</v>
      </c>
      <c r="JQ315">
        <v>23.1581</v>
      </c>
      <c r="JR315">
        <v>378.609</v>
      </c>
      <c r="JS315">
        <v>9.285489999999999</v>
      </c>
      <c r="JT315">
        <v>100.416</v>
      </c>
      <c r="JU315">
        <v>100.348</v>
      </c>
    </row>
    <row r="316" spans="1:281">
      <c r="A316">
        <v>300</v>
      </c>
      <c r="B316">
        <v>1651866364</v>
      </c>
      <c r="C316">
        <v>2143.400000095367</v>
      </c>
      <c r="D316" t="s">
        <v>1023</v>
      </c>
      <c r="E316" t="s">
        <v>1024</v>
      </c>
      <c r="F316">
        <v>2</v>
      </c>
      <c r="G316" t="s">
        <v>908</v>
      </c>
      <c r="H316" t="s">
        <v>414</v>
      </c>
      <c r="I316">
        <v>1651866362.625</v>
      </c>
      <c r="J316">
        <f>(K316)/1000</f>
        <v>0</v>
      </c>
      <c r="K316">
        <f>IF(CZ316, AN316, AH316)</f>
        <v>0</v>
      </c>
      <c r="L316">
        <f>IF(CZ316, AI316, AG316)</f>
        <v>0</v>
      </c>
      <c r="M316">
        <f>DB316 - IF(AU316&gt;1, L316*CV316*100.0/(AW316*DP316), 0)</f>
        <v>0</v>
      </c>
      <c r="N316">
        <f>((T316-J316/2)*M316-L316)/(T316+J316/2)</f>
        <v>0</v>
      </c>
      <c r="O316">
        <f>N316*(DI316+DJ316)/1000.0</f>
        <v>0</v>
      </c>
      <c r="P316">
        <f>(DB316 - IF(AU316&gt;1, L316*CV316*100.0/(AW316*DP316), 0))*(DI316+DJ316)/1000.0</f>
        <v>0</v>
      </c>
      <c r="Q316">
        <f>2.0/((1/S316-1/R316)+SIGN(S316)*SQRT((1/S316-1/R316)*(1/S316-1/R316) + 4*CW316/((CW316+1)*(CW316+1))*(2*1/S316*1/R316-1/R316*1/R316)))</f>
        <v>0</v>
      </c>
      <c r="R316">
        <f>IF(LEFT(CX316,1)&lt;&gt;"0",IF(LEFT(CX316,1)="1",3.0,CY316),$D$5+$E$5*(DP316*DI316/($K$5*1000))+$F$5*(DP316*DI316/($K$5*1000))*MAX(MIN(CV316,$J$5),$I$5)*MAX(MIN(CV316,$J$5),$I$5)+$G$5*MAX(MIN(CV316,$J$5),$I$5)*(DP316*DI316/($K$5*1000))+$H$5*(DP316*DI316/($K$5*1000))*(DP316*DI316/($K$5*1000)))</f>
        <v>0</v>
      </c>
      <c r="S316">
        <f>J316*(1000-(1000*0.61365*exp(17.502*W316/(240.97+W316))/(DI316+DJ316)+DD316)/2)/(1000*0.61365*exp(17.502*W316/(240.97+W316))/(DI316+DJ316)-DD316)</f>
        <v>0</v>
      </c>
      <c r="T316">
        <f>1/((CW316+1)/(Q316/1.6)+1/(R316/1.37)) + CW316/((CW316+1)/(Q316/1.6) + CW316/(R316/1.37))</f>
        <v>0</v>
      </c>
      <c r="U316">
        <f>(CR316*CU316)</f>
        <v>0</v>
      </c>
      <c r="V316">
        <f>(DK316+(U316+2*0.95*5.67E-8*(((DK316+$B$7)+273)^4-(DK316+273)^4)-44100*J316)/(1.84*29.3*R316+8*0.95*5.67E-8*(DK316+273)^3))</f>
        <v>0</v>
      </c>
      <c r="W316">
        <f>($C$7*DL316+$D$7*DM316+$E$7*V316)</f>
        <v>0</v>
      </c>
      <c r="X316">
        <f>0.61365*exp(17.502*W316/(240.97+W316))</f>
        <v>0</v>
      </c>
      <c r="Y316">
        <f>(Z316/AA316*100)</f>
        <v>0</v>
      </c>
      <c r="Z316">
        <f>DD316*(DI316+DJ316)/1000</f>
        <v>0</v>
      </c>
      <c r="AA316">
        <f>0.61365*exp(17.502*DK316/(240.97+DK316))</f>
        <v>0</v>
      </c>
      <c r="AB316">
        <f>(X316-DD316*(DI316+DJ316)/1000)</f>
        <v>0</v>
      </c>
      <c r="AC316">
        <f>(-J316*44100)</f>
        <v>0</v>
      </c>
      <c r="AD316">
        <f>2*29.3*R316*0.92*(DK316-W316)</f>
        <v>0</v>
      </c>
      <c r="AE316">
        <f>2*0.95*5.67E-8*(((DK316+$B$7)+273)^4-(W316+273)^4)</f>
        <v>0</v>
      </c>
      <c r="AF316">
        <f>U316+AE316+AC316+AD316</f>
        <v>0</v>
      </c>
      <c r="AG316">
        <f>DH316*AU316*(DC316-DB316*(1000-AU316*DE316)/(1000-AU316*DD316))/(100*CV316)</f>
        <v>0</v>
      </c>
      <c r="AH316">
        <f>1000*DH316*AU316*(DD316-DE316)/(100*CV316*(1000-AU316*DD316))</f>
        <v>0</v>
      </c>
      <c r="AI316">
        <f>(AJ316 - AK316 - DI316*1E3/(8.314*(DK316+273.15)) * AM316/DH316 * AL316) * DH316/(100*CV316) * (1000 - DE316)/1000</f>
        <v>0</v>
      </c>
      <c r="AJ316">
        <v>357.3749378201716</v>
      </c>
      <c r="AK316">
        <v>319.6017393939394</v>
      </c>
      <c r="AL316">
        <v>3.104321221425939</v>
      </c>
      <c r="AM316">
        <v>66.38195617057868</v>
      </c>
      <c r="AN316">
        <f>(AP316 - AO316 + DI316*1E3/(8.314*(DK316+273.15)) * AR316/DH316 * AQ316) * DH316/(100*CV316) * 1000/(1000 - AP316)</f>
        <v>0</v>
      </c>
      <c r="AO316">
        <v>9.396970982541093</v>
      </c>
      <c r="AP316">
        <v>18.68831676470587</v>
      </c>
      <c r="AQ316">
        <v>5.545484101520898E-05</v>
      </c>
      <c r="AR316">
        <v>80.47178418790507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MAX(0,($B$13+$C$13*DP316)/(1+$D$13*DP316)*DI316/(DK316+273)*$E$13)</f>
        <v>0</v>
      </c>
      <c r="AX316" t="s">
        <v>417</v>
      </c>
      <c r="AY316" t="s">
        <v>417</v>
      </c>
      <c r="AZ316">
        <v>0</v>
      </c>
      <c r="BA316">
        <v>0</v>
      </c>
      <c r="BB316">
        <f>1-AZ316/BA316</f>
        <v>0</v>
      </c>
      <c r="BC316">
        <v>0</v>
      </c>
      <c r="BD316" t="s">
        <v>417</v>
      </c>
      <c r="BE316" t="s">
        <v>417</v>
      </c>
      <c r="BF316">
        <v>0</v>
      </c>
      <c r="BG316">
        <v>0</v>
      </c>
      <c r="BH316">
        <f>1-BF316/BG316</f>
        <v>0</v>
      </c>
      <c r="BI316">
        <v>0.5</v>
      </c>
      <c r="BJ316">
        <f>CS316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417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BZ316">
        <v>1249</v>
      </c>
      <c r="CA316">
        <v>300</v>
      </c>
      <c r="CB316">
        <v>300</v>
      </c>
      <c r="CC316">
        <v>300</v>
      </c>
      <c r="CD316">
        <v>10442.4</v>
      </c>
      <c r="CE316">
        <v>1239.69</v>
      </c>
      <c r="CF316">
        <v>-0.00735276</v>
      </c>
      <c r="CG316">
        <v>0.07000000000000001</v>
      </c>
      <c r="CH316" t="s">
        <v>417</v>
      </c>
      <c r="CI316" t="s">
        <v>417</v>
      </c>
      <c r="CJ316" t="s">
        <v>417</v>
      </c>
      <c r="CK316" t="s">
        <v>417</v>
      </c>
      <c r="CL316" t="s">
        <v>417</v>
      </c>
      <c r="CM316" t="s">
        <v>417</v>
      </c>
      <c r="CN316" t="s">
        <v>417</v>
      </c>
      <c r="CO316" t="s">
        <v>417</v>
      </c>
      <c r="CP316" t="s">
        <v>417</v>
      </c>
      <c r="CQ316" t="s">
        <v>417</v>
      </c>
      <c r="CR316">
        <f>$B$11*DQ316+$C$11*DR316+$F$11*EC316*(1-EF316)</f>
        <v>0</v>
      </c>
      <c r="CS316">
        <f>CR316*CT316</f>
        <v>0</v>
      </c>
      <c r="CT316">
        <f>($B$11*$D$9+$C$11*$D$9+$F$11*((EP316+EH316)/MAX(EP316+EH316+EQ316, 0.1)*$I$9+EQ316/MAX(EP316+EH316+EQ316, 0.1)*$J$9))/($B$11+$C$11+$F$11)</f>
        <v>0</v>
      </c>
      <c r="CU316">
        <f>($B$11*$K$9+$C$11*$K$9+$F$11*((EP316+EH316)/MAX(EP316+EH316+EQ316, 0.1)*$P$9+EQ316/MAX(EP316+EH316+EQ316, 0.1)*$Q$9))/($B$11+$C$11+$F$11)</f>
        <v>0</v>
      </c>
      <c r="CV316">
        <v>6</v>
      </c>
      <c r="CW316">
        <v>0.5</v>
      </c>
      <c r="CX316" t="s">
        <v>418</v>
      </c>
      <c r="CY316">
        <v>2</v>
      </c>
      <c r="CZ316" t="b">
        <v>1</v>
      </c>
      <c r="DA316">
        <v>1651866362.625</v>
      </c>
      <c r="DB316">
        <v>310.94825</v>
      </c>
      <c r="DC316">
        <v>358.74675</v>
      </c>
      <c r="DD316">
        <v>18.685275</v>
      </c>
      <c r="DE316">
        <v>9.38729</v>
      </c>
      <c r="DF316">
        <v>311.71275</v>
      </c>
      <c r="DG316">
        <v>18.659925</v>
      </c>
      <c r="DH316">
        <v>500.0125</v>
      </c>
      <c r="DI316">
        <v>89.92105000000001</v>
      </c>
      <c r="DJ316">
        <v>0.1000778</v>
      </c>
      <c r="DK316">
        <v>25.90715</v>
      </c>
      <c r="DL316">
        <v>24.9948</v>
      </c>
      <c r="DM316">
        <v>999.9</v>
      </c>
      <c r="DN316">
        <v>0</v>
      </c>
      <c r="DO316">
        <v>0</v>
      </c>
      <c r="DP316">
        <v>10000.325</v>
      </c>
      <c r="DQ316">
        <v>0</v>
      </c>
      <c r="DR316">
        <v>3.2168275</v>
      </c>
      <c r="DS316">
        <v>-47.79835</v>
      </c>
      <c r="DT316">
        <v>316.86875</v>
      </c>
      <c r="DU316">
        <v>362.146</v>
      </c>
      <c r="DV316">
        <v>9.297979999999999</v>
      </c>
      <c r="DW316">
        <v>358.74675</v>
      </c>
      <c r="DX316">
        <v>9.38729</v>
      </c>
      <c r="DY316">
        <v>1.6802</v>
      </c>
      <c r="DZ316">
        <v>0.8441149999999999</v>
      </c>
      <c r="EA316">
        <v>14.714675</v>
      </c>
      <c r="EB316">
        <v>4.4716275</v>
      </c>
      <c r="EC316">
        <v>1499.96</v>
      </c>
      <c r="ED316">
        <v>0.972998</v>
      </c>
      <c r="EE316">
        <v>0.0270015</v>
      </c>
      <c r="EF316">
        <v>0</v>
      </c>
      <c r="EG316">
        <v>854.1442500000001</v>
      </c>
      <c r="EH316">
        <v>5.00097</v>
      </c>
      <c r="EI316">
        <v>12765.525</v>
      </c>
      <c r="EJ316">
        <v>12491.275</v>
      </c>
      <c r="EK316">
        <v>39.25</v>
      </c>
      <c r="EL316">
        <v>41.0155</v>
      </c>
      <c r="EM316">
        <v>39.562</v>
      </c>
      <c r="EN316">
        <v>41.42149999999999</v>
      </c>
      <c r="EO316">
        <v>40.187</v>
      </c>
      <c r="EP316">
        <v>1454.59</v>
      </c>
      <c r="EQ316">
        <v>40.37</v>
      </c>
      <c r="ER316">
        <v>0</v>
      </c>
      <c r="ES316">
        <v>881.6000001430511</v>
      </c>
      <c r="ET316">
        <v>0</v>
      </c>
      <c r="EU316">
        <v>848.9263846153847</v>
      </c>
      <c r="EV316">
        <v>48.66878633648349</v>
      </c>
      <c r="EW316">
        <v>685.2341882505727</v>
      </c>
      <c r="EX316">
        <v>12692.88846153846</v>
      </c>
      <c r="EY316">
        <v>15</v>
      </c>
      <c r="EZ316">
        <v>1651865518.1</v>
      </c>
      <c r="FA316" t="s">
        <v>910</v>
      </c>
      <c r="FB316">
        <v>1651865507.1</v>
      </c>
      <c r="FC316">
        <v>1651865518.1</v>
      </c>
      <c r="FD316">
        <v>8</v>
      </c>
      <c r="FE316">
        <v>0.06</v>
      </c>
      <c r="FF316">
        <v>0</v>
      </c>
      <c r="FG316">
        <v>-0.927</v>
      </c>
      <c r="FH316">
        <v>-0.062</v>
      </c>
      <c r="FI316">
        <v>400</v>
      </c>
      <c r="FJ316">
        <v>11</v>
      </c>
      <c r="FK316">
        <v>0.11</v>
      </c>
      <c r="FL316">
        <v>0.01</v>
      </c>
      <c r="FM316">
        <v>-44.71496</v>
      </c>
      <c r="FN316">
        <v>-19.28357223264533</v>
      </c>
      <c r="FO316">
        <v>1.855538681865727</v>
      </c>
      <c r="FP316">
        <v>-1</v>
      </c>
      <c r="FQ316">
        <v>9.263488499999999</v>
      </c>
      <c r="FR316">
        <v>0.1776765478423984</v>
      </c>
      <c r="FS316">
        <v>0.01723847869592915</v>
      </c>
      <c r="FT316">
        <v>-1</v>
      </c>
      <c r="FU316">
        <v>0</v>
      </c>
      <c r="FV316">
        <v>0</v>
      </c>
      <c r="FW316">
        <v>0</v>
      </c>
      <c r="FX316">
        <v>-1</v>
      </c>
      <c r="FY316">
        <v>0</v>
      </c>
      <c r="FZ316">
        <v>0</v>
      </c>
      <c r="GA316" t="s">
        <v>420</v>
      </c>
      <c r="GB316">
        <v>2.98139</v>
      </c>
      <c r="GC316">
        <v>2.7063</v>
      </c>
      <c r="GD316">
        <v>0.07479619999999999</v>
      </c>
      <c r="GE316">
        <v>0.0827794</v>
      </c>
      <c r="GF316">
        <v>0.0889335</v>
      </c>
      <c r="GG316">
        <v>0.0527583</v>
      </c>
      <c r="GH316">
        <v>29235.8</v>
      </c>
      <c r="GI316">
        <v>29046.4</v>
      </c>
      <c r="GJ316">
        <v>29377.1</v>
      </c>
      <c r="GK316">
        <v>29292.2</v>
      </c>
      <c r="GL316">
        <v>35437</v>
      </c>
      <c r="GM316">
        <v>36961.1</v>
      </c>
      <c r="GN316">
        <v>41348.8</v>
      </c>
      <c r="GO316">
        <v>41811.6</v>
      </c>
      <c r="GP316">
        <v>1.96695</v>
      </c>
      <c r="GQ316">
        <v>1.8533</v>
      </c>
      <c r="GR316">
        <v>-0.00603497</v>
      </c>
      <c r="GS316">
        <v>0</v>
      </c>
      <c r="GT316">
        <v>25.0931</v>
      </c>
      <c r="GU316">
        <v>999.9</v>
      </c>
      <c r="GV316">
        <v>29.7</v>
      </c>
      <c r="GW316">
        <v>34.2</v>
      </c>
      <c r="GX316">
        <v>17.8454</v>
      </c>
      <c r="GY316">
        <v>62.3176</v>
      </c>
      <c r="GZ316">
        <v>35.3926</v>
      </c>
      <c r="HA316">
        <v>1</v>
      </c>
      <c r="HB316">
        <v>0.0457597</v>
      </c>
      <c r="HC316">
        <v>1.46988</v>
      </c>
      <c r="HD316">
        <v>20.328</v>
      </c>
      <c r="HE316">
        <v>5.21819</v>
      </c>
      <c r="HF316">
        <v>12.0099</v>
      </c>
      <c r="HG316">
        <v>4.9884</v>
      </c>
      <c r="HH316">
        <v>3.28865</v>
      </c>
      <c r="HI316">
        <v>1031.5</v>
      </c>
      <c r="HJ316">
        <v>9735.9</v>
      </c>
      <c r="HK316">
        <v>5139.4</v>
      </c>
      <c r="HL316">
        <v>25.3</v>
      </c>
      <c r="HM316">
        <v>1.86745</v>
      </c>
      <c r="HN316">
        <v>1.86646</v>
      </c>
      <c r="HO316">
        <v>1.866</v>
      </c>
      <c r="HP316">
        <v>1.86584</v>
      </c>
      <c r="HQ316">
        <v>1.86768</v>
      </c>
      <c r="HR316">
        <v>1.87022</v>
      </c>
      <c r="HS316">
        <v>1.8689</v>
      </c>
      <c r="HT316">
        <v>1.8702</v>
      </c>
      <c r="HU316">
        <v>0</v>
      </c>
      <c r="HV316">
        <v>0</v>
      </c>
      <c r="HW316">
        <v>0</v>
      </c>
      <c r="HX316">
        <v>0</v>
      </c>
      <c r="HY316" t="s">
        <v>421</v>
      </c>
      <c r="HZ316" t="s">
        <v>422</v>
      </c>
      <c r="IA316" t="s">
        <v>423</v>
      </c>
      <c r="IB316" t="s">
        <v>423</v>
      </c>
      <c r="IC316" t="s">
        <v>423</v>
      </c>
      <c r="ID316" t="s">
        <v>423</v>
      </c>
      <c r="IE316">
        <v>0</v>
      </c>
      <c r="IF316">
        <v>100</v>
      </c>
      <c r="IG316">
        <v>100</v>
      </c>
      <c r="IH316">
        <v>-0.772</v>
      </c>
      <c r="II316">
        <v>0.0254</v>
      </c>
      <c r="IJ316">
        <v>-0.1559367209035702</v>
      </c>
      <c r="IK316">
        <v>-0.002077099775823331</v>
      </c>
      <c r="IL316">
        <v>4.593143279902166E-07</v>
      </c>
      <c r="IM316">
        <v>-1.865383991892071E-10</v>
      </c>
      <c r="IN316">
        <v>-0.0607165066849496</v>
      </c>
      <c r="IO316">
        <v>-0.01129461987421345</v>
      </c>
      <c r="IP316">
        <v>0.00116580895745559</v>
      </c>
      <c r="IQ316">
        <v>-1.679085872906199E-05</v>
      </c>
      <c r="IR316">
        <v>2</v>
      </c>
      <c r="IS316">
        <v>2290</v>
      </c>
      <c r="IT316">
        <v>0</v>
      </c>
      <c r="IU316">
        <v>32</v>
      </c>
      <c r="IV316">
        <v>14.3</v>
      </c>
      <c r="IW316">
        <v>14.1</v>
      </c>
      <c r="IX316">
        <v>0.957031</v>
      </c>
      <c r="IY316">
        <v>2.22168</v>
      </c>
      <c r="IZ316">
        <v>1.39648</v>
      </c>
      <c r="JA316">
        <v>2.35474</v>
      </c>
      <c r="JB316">
        <v>1.49536</v>
      </c>
      <c r="JC316">
        <v>2.3645</v>
      </c>
      <c r="JD316">
        <v>38.0134</v>
      </c>
      <c r="JE316">
        <v>24.0437</v>
      </c>
      <c r="JF316">
        <v>18</v>
      </c>
      <c r="JG316">
        <v>512.64</v>
      </c>
      <c r="JH316">
        <v>425.781</v>
      </c>
      <c r="JI316">
        <v>23.1555</v>
      </c>
      <c r="JJ316">
        <v>27.9156</v>
      </c>
      <c r="JK316">
        <v>29.9999</v>
      </c>
      <c r="JL316">
        <v>27.9404</v>
      </c>
      <c r="JM316">
        <v>27.8862</v>
      </c>
      <c r="JN316">
        <v>19.2203</v>
      </c>
      <c r="JO316">
        <v>45.2122</v>
      </c>
      <c r="JP316">
        <v>0</v>
      </c>
      <c r="JQ316">
        <v>23.1581</v>
      </c>
      <c r="JR316">
        <v>385.288</v>
      </c>
      <c r="JS316">
        <v>9.27163</v>
      </c>
      <c r="JT316">
        <v>100.416</v>
      </c>
      <c r="JU316">
        <v>100.348</v>
      </c>
    </row>
    <row r="317" spans="1:281">
      <c r="A317">
        <v>301</v>
      </c>
      <c r="B317">
        <v>1651866366</v>
      </c>
      <c r="C317">
        <v>2145.400000095367</v>
      </c>
      <c r="D317" t="s">
        <v>1025</v>
      </c>
      <c r="E317" t="s">
        <v>1026</v>
      </c>
      <c r="F317">
        <v>2</v>
      </c>
      <c r="G317" t="s">
        <v>908</v>
      </c>
      <c r="H317" t="s">
        <v>414</v>
      </c>
      <c r="I317">
        <v>1651866365</v>
      </c>
      <c r="J317">
        <f>(K317)/1000</f>
        <v>0</v>
      </c>
      <c r="K317">
        <f>IF(CZ317, AN317, AH317)</f>
        <v>0</v>
      </c>
      <c r="L317">
        <f>IF(CZ317, AI317, AG317)</f>
        <v>0</v>
      </c>
      <c r="M317">
        <f>DB317 - IF(AU317&gt;1, L317*CV317*100.0/(AW317*DP317), 0)</f>
        <v>0</v>
      </c>
      <c r="N317">
        <f>((T317-J317/2)*M317-L317)/(T317+J317/2)</f>
        <v>0</v>
      </c>
      <c r="O317">
        <f>N317*(DI317+DJ317)/1000.0</f>
        <v>0</v>
      </c>
      <c r="P317">
        <f>(DB317 - IF(AU317&gt;1, L317*CV317*100.0/(AW317*DP317), 0))*(DI317+DJ317)/1000.0</f>
        <v>0</v>
      </c>
      <c r="Q317">
        <f>2.0/((1/S317-1/R317)+SIGN(S317)*SQRT((1/S317-1/R317)*(1/S317-1/R317) + 4*CW317/((CW317+1)*(CW317+1))*(2*1/S317*1/R317-1/R317*1/R317)))</f>
        <v>0</v>
      </c>
      <c r="R317">
        <f>IF(LEFT(CX317,1)&lt;&gt;"0",IF(LEFT(CX317,1)="1",3.0,CY317),$D$5+$E$5*(DP317*DI317/($K$5*1000))+$F$5*(DP317*DI317/($K$5*1000))*MAX(MIN(CV317,$J$5),$I$5)*MAX(MIN(CV317,$J$5),$I$5)+$G$5*MAX(MIN(CV317,$J$5),$I$5)*(DP317*DI317/($K$5*1000))+$H$5*(DP317*DI317/($K$5*1000))*(DP317*DI317/($K$5*1000)))</f>
        <v>0</v>
      </c>
      <c r="S317">
        <f>J317*(1000-(1000*0.61365*exp(17.502*W317/(240.97+W317))/(DI317+DJ317)+DD317)/2)/(1000*0.61365*exp(17.502*W317/(240.97+W317))/(DI317+DJ317)-DD317)</f>
        <v>0</v>
      </c>
      <c r="T317">
        <f>1/((CW317+1)/(Q317/1.6)+1/(R317/1.37)) + CW317/((CW317+1)/(Q317/1.6) + CW317/(R317/1.37))</f>
        <v>0</v>
      </c>
      <c r="U317">
        <f>(CR317*CU317)</f>
        <v>0</v>
      </c>
      <c r="V317">
        <f>(DK317+(U317+2*0.95*5.67E-8*(((DK317+$B$7)+273)^4-(DK317+273)^4)-44100*J317)/(1.84*29.3*R317+8*0.95*5.67E-8*(DK317+273)^3))</f>
        <v>0</v>
      </c>
      <c r="W317">
        <f>($C$7*DL317+$D$7*DM317+$E$7*V317)</f>
        <v>0</v>
      </c>
      <c r="X317">
        <f>0.61365*exp(17.502*W317/(240.97+W317))</f>
        <v>0</v>
      </c>
      <c r="Y317">
        <f>(Z317/AA317*100)</f>
        <v>0</v>
      </c>
      <c r="Z317">
        <f>DD317*(DI317+DJ317)/1000</f>
        <v>0</v>
      </c>
      <c r="AA317">
        <f>0.61365*exp(17.502*DK317/(240.97+DK317))</f>
        <v>0</v>
      </c>
      <c r="AB317">
        <f>(X317-DD317*(DI317+DJ317)/1000)</f>
        <v>0</v>
      </c>
      <c r="AC317">
        <f>(-J317*44100)</f>
        <v>0</v>
      </c>
      <c r="AD317">
        <f>2*29.3*R317*0.92*(DK317-W317)</f>
        <v>0</v>
      </c>
      <c r="AE317">
        <f>2*0.95*5.67E-8*(((DK317+$B$7)+273)^4-(W317+273)^4)</f>
        <v>0</v>
      </c>
      <c r="AF317">
        <f>U317+AE317+AC317+AD317</f>
        <v>0</v>
      </c>
      <c r="AG317">
        <f>DH317*AU317*(DC317-DB317*(1000-AU317*DE317)/(1000-AU317*DD317))/(100*CV317)</f>
        <v>0</v>
      </c>
      <c r="AH317">
        <f>1000*DH317*AU317*(DD317-DE317)/(100*CV317*(1000-AU317*DD317))</f>
        <v>0</v>
      </c>
      <c r="AI317">
        <f>(AJ317 - AK317 - DI317*1E3/(8.314*(DK317+273.15)) * AM317/DH317 * AL317) * DH317/(100*CV317) * (1000 - DE317)/1000</f>
        <v>0</v>
      </c>
      <c r="AJ317">
        <v>364.2128742200227</v>
      </c>
      <c r="AK317">
        <v>325.8409454545454</v>
      </c>
      <c r="AL317">
        <v>3.121896995072851</v>
      </c>
      <c r="AM317">
        <v>66.38195617057868</v>
      </c>
      <c r="AN317">
        <f>(AP317 - AO317 + DI317*1E3/(8.314*(DK317+273.15)) * AR317/DH317 * AQ317) * DH317/(100*CV317) * 1000/(1000 - AP317)</f>
        <v>0</v>
      </c>
      <c r="AO317">
        <v>9.393545585143615</v>
      </c>
      <c r="AP317">
        <v>18.68740117647058</v>
      </c>
      <c r="AQ317">
        <v>0.00012099003507502</v>
      </c>
      <c r="AR317">
        <v>80.47178418790507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MAX(0,($B$13+$C$13*DP317)/(1+$D$13*DP317)*DI317/(DK317+273)*$E$13)</f>
        <v>0</v>
      </c>
      <c r="AX317" t="s">
        <v>417</v>
      </c>
      <c r="AY317" t="s">
        <v>417</v>
      </c>
      <c r="AZ317">
        <v>0</v>
      </c>
      <c r="BA317">
        <v>0</v>
      </c>
      <c r="BB317">
        <f>1-AZ317/BA317</f>
        <v>0</v>
      </c>
      <c r="BC317">
        <v>0</v>
      </c>
      <c r="BD317" t="s">
        <v>417</v>
      </c>
      <c r="BE317" t="s">
        <v>417</v>
      </c>
      <c r="BF317">
        <v>0</v>
      </c>
      <c r="BG317">
        <v>0</v>
      </c>
      <c r="BH317">
        <f>1-BF317/BG317</f>
        <v>0</v>
      </c>
      <c r="BI317">
        <v>0.5</v>
      </c>
      <c r="BJ317">
        <f>CS317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417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BZ317">
        <v>1249</v>
      </c>
      <c r="CA317">
        <v>300</v>
      </c>
      <c r="CB317">
        <v>300</v>
      </c>
      <c r="CC317">
        <v>300</v>
      </c>
      <c r="CD317">
        <v>10442.4</v>
      </c>
      <c r="CE317">
        <v>1239.69</v>
      </c>
      <c r="CF317">
        <v>-0.00735276</v>
      </c>
      <c r="CG317">
        <v>0.07000000000000001</v>
      </c>
      <c r="CH317" t="s">
        <v>417</v>
      </c>
      <c r="CI317" t="s">
        <v>417</v>
      </c>
      <c r="CJ317" t="s">
        <v>417</v>
      </c>
      <c r="CK317" t="s">
        <v>417</v>
      </c>
      <c r="CL317" t="s">
        <v>417</v>
      </c>
      <c r="CM317" t="s">
        <v>417</v>
      </c>
      <c r="CN317" t="s">
        <v>417</v>
      </c>
      <c r="CO317" t="s">
        <v>417</v>
      </c>
      <c r="CP317" t="s">
        <v>417</v>
      </c>
      <c r="CQ317" t="s">
        <v>417</v>
      </c>
      <c r="CR317">
        <f>$B$11*DQ317+$C$11*DR317+$F$11*EC317*(1-EF317)</f>
        <v>0</v>
      </c>
      <c r="CS317">
        <f>CR317*CT317</f>
        <v>0</v>
      </c>
      <c r="CT317">
        <f>($B$11*$D$9+$C$11*$D$9+$F$11*((EP317+EH317)/MAX(EP317+EH317+EQ317, 0.1)*$I$9+EQ317/MAX(EP317+EH317+EQ317, 0.1)*$J$9))/($B$11+$C$11+$F$11)</f>
        <v>0</v>
      </c>
      <c r="CU317">
        <f>($B$11*$K$9+$C$11*$K$9+$F$11*((EP317+EH317)/MAX(EP317+EH317+EQ317, 0.1)*$P$9+EQ317/MAX(EP317+EH317+EQ317, 0.1)*$Q$9))/($B$11+$C$11+$F$11)</f>
        <v>0</v>
      </c>
      <c r="CV317">
        <v>6</v>
      </c>
      <c r="CW317">
        <v>0.5</v>
      </c>
      <c r="CX317" t="s">
        <v>418</v>
      </c>
      <c r="CY317">
        <v>2</v>
      </c>
      <c r="CZ317" t="b">
        <v>1</v>
      </c>
      <c r="DA317">
        <v>1651866365</v>
      </c>
      <c r="DB317">
        <v>318.2156666666667</v>
      </c>
      <c r="DC317">
        <v>366.723</v>
      </c>
      <c r="DD317">
        <v>18.68716666666667</v>
      </c>
      <c r="DE317">
        <v>9.367943333333333</v>
      </c>
      <c r="DF317">
        <v>318.9936666666667</v>
      </c>
      <c r="DG317">
        <v>18.66176666666667</v>
      </c>
      <c r="DH317">
        <v>500.0793333333334</v>
      </c>
      <c r="DI317">
        <v>89.9212</v>
      </c>
      <c r="DJ317">
        <v>0.1000256333333333</v>
      </c>
      <c r="DK317">
        <v>25.91043333333333</v>
      </c>
      <c r="DL317">
        <v>24.9949</v>
      </c>
      <c r="DM317">
        <v>999.9</v>
      </c>
      <c r="DN317">
        <v>0</v>
      </c>
      <c r="DO317">
        <v>0</v>
      </c>
      <c r="DP317">
        <v>10012.5</v>
      </c>
      <c r="DQ317">
        <v>0</v>
      </c>
      <c r="DR317">
        <v>3.205236666666667</v>
      </c>
      <c r="DS317">
        <v>-48.50726666666667</v>
      </c>
      <c r="DT317">
        <v>324.2756666666667</v>
      </c>
      <c r="DU317">
        <v>370.1913333333334</v>
      </c>
      <c r="DV317">
        <v>9.319246666666666</v>
      </c>
      <c r="DW317">
        <v>366.723</v>
      </c>
      <c r="DX317">
        <v>9.367943333333333</v>
      </c>
      <c r="DY317">
        <v>1.680373333333333</v>
      </c>
      <c r="DZ317">
        <v>0.8423766666666666</v>
      </c>
      <c r="EA317">
        <v>14.71633333333333</v>
      </c>
      <c r="EB317">
        <v>4.442186666666667</v>
      </c>
      <c r="EC317">
        <v>1500.026666666667</v>
      </c>
      <c r="ED317">
        <v>0.972998</v>
      </c>
      <c r="EE317">
        <v>0.0270015</v>
      </c>
      <c r="EF317">
        <v>0</v>
      </c>
      <c r="EG317">
        <v>856.5466666666666</v>
      </c>
      <c r="EH317">
        <v>5.00097</v>
      </c>
      <c r="EI317">
        <v>12804.76666666667</v>
      </c>
      <c r="EJ317">
        <v>12491.76666666667</v>
      </c>
      <c r="EK317">
        <v>39.25</v>
      </c>
      <c r="EL317">
        <v>40.937</v>
      </c>
      <c r="EM317">
        <v>39.562</v>
      </c>
      <c r="EN317">
        <v>41.354</v>
      </c>
      <c r="EO317">
        <v>40.16633333333333</v>
      </c>
      <c r="EP317">
        <v>1454.656666666667</v>
      </c>
      <c r="EQ317">
        <v>40.37</v>
      </c>
      <c r="ER317">
        <v>0</v>
      </c>
      <c r="ES317">
        <v>883.4000000953674</v>
      </c>
      <c r="ET317">
        <v>0</v>
      </c>
      <c r="EU317">
        <v>850.6374800000001</v>
      </c>
      <c r="EV317">
        <v>53.1910000066887</v>
      </c>
      <c r="EW317">
        <v>755.1307692864378</v>
      </c>
      <c r="EX317">
        <v>12717.748</v>
      </c>
      <c r="EY317">
        <v>15</v>
      </c>
      <c r="EZ317">
        <v>1651865518.1</v>
      </c>
      <c r="FA317" t="s">
        <v>910</v>
      </c>
      <c r="FB317">
        <v>1651865507.1</v>
      </c>
      <c r="FC317">
        <v>1651865518.1</v>
      </c>
      <c r="FD317">
        <v>8</v>
      </c>
      <c r="FE317">
        <v>0.06</v>
      </c>
      <c r="FF317">
        <v>0</v>
      </c>
      <c r="FG317">
        <v>-0.927</v>
      </c>
      <c r="FH317">
        <v>-0.062</v>
      </c>
      <c r="FI317">
        <v>400</v>
      </c>
      <c r="FJ317">
        <v>11</v>
      </c>
      <c r="FK317">
        <v>0.11</v>
      </c>
      <c r="FL317">
        <v>0.01</v>
      </c>
      <c r="FM317">
        <v>-45.358465</v>
      </c>
      <c r="FN317">
        <v>-19.40190168855524</v>
      </c>
      <c r="FO317">
        <v>1.866894610114615</v>
      </c>
      <c r="FP317">
        <v>-1</v>
      </c>
      <c r="FQ317">
        <v>9.2711045</v>
      </c>
      <c r="FR317">
        <v>0.2059792120074722</v>
      </c>
      <c r="FS317">
        <v>0.02043913977519601</v>
      </c>
      <c r="FT317">
        <v>-1</v>
      </c>
      <c r="FU317">
        <v>0</v>
      </c>
      <c r="FV317">
        <v>0</v>
      </c>
      <c r="FW317">
        <v>0</v>
      </c>
      <c r="FX317">
        <v>-1</v>
      </c>
      <c r="FY317">
        <v>0</v>
      </c>
      <c r="FZ317">
        <v>0</v>
      </c>
      <c r="GA317" t="s">
        <v>420</v>
      </c>
      <c r="GB317">
        <v>2.98157</v>
      </c>
      <c r="GC317">
        <v>2.70634</v>
      </c>
      <c r="GD317">
        <v>0.0759697</v>
      </c>
      <c r="GE317">
        <v>0.0839679</v>
      </c>
      <c r="GF317">
        <v>0.0889269</v>
      </c>
      <c r="GG317">
        <v>0.0526922</v>
      </c>
      <c r="GH317">
        <v>29198.3</v>
      </c>
      <c r="GI317">
        <v>29008.8</v>
      </c>
      <c r="GJ317">
        <v>29376.7</v>
      </c>
      <c r="GK317">
        <v>29292.2</v>
      </c>
      <c r="GL317">
        <v>35436.9</v>
      </c>
      <c r="GM317">
        <v>36963.9</v>
      </c>
      <c r="GN317">
        <v>41348.3</v>
      </c>
      <c r="GO317">
        <v>41811.8</v>
      </c>
      <c r="GP317">
        <v>1.96695</v>
      </c>
      <c r="GQ317">
        <v>1.85345</v>
      </c>
      <c r="GR317">
        <v>-0.00588596</v>
      </c>
      <c r="GS317">
        <v>0</v>
      </c>
      <c r="GT317">
        <v>25.0931</v>
      </c>
      <c r="GU317">
        <v>999.9</v>
      </c>
      <c r="GV317">
        <v>29.7</v>
      </c>
      <c r="GW317">
        <v>34.2</v>
      </c>
      <c r="GX317">
        <v>17.8459</v>
      </c>
      <c r="GY317">
        <v>62.5376</v>
      </c>
      <c r="GZ317">
        <v>35.1002</v>
      </c>
      <c r="HA317">
        <v>1</v>
      </c>
      <c r="HB317">
        <v>0.0457419</v>
      </c>
      <c r="HC317">
        <v>1.47294</v>
      </c>
      <c r="HD317">
        <v>20.3278</v>
      </c>
      <c r="HE317">
        <v>5.21729</v>
      </c>
      <c r="HF317">
        <v>12.0099</v>
      </c>
      <c r="HG317">
        <v>4.9881</v>
      </c>
      <c r="HH317">
        <v>3.28858</v>
      </c>
      <c r="HI317">
        <v>1031.5</v>
      </c>
      <c r="HJ317">
        <v>9735.9</v>
      </c>
      <c r="HK317">
        <v>5139.4</v>
      </c>
      <c r="HL317">
        <v>25.3</v>
      </c>
      <c r="HM317">
        <v>1.86744</v>
      </c>
      <c r="HN317">
        <v>1.86646</v>
      </c>
      <c r="HO317">
        <v>1.866</v>
      </c>
      <c r="HP317">
        <v>1.86584</v>
      </c>
      <c r="HQ317">
        <v>1.86768</v>
      </c>
      <c r="HR317">
        <v>1.87022</v>
      </c>
      <c r="HS317">
        <v>1.86889</v>
      </c>
      <c r="HT317">
        <v>1.87021</v>
      </c>
      <c r="HU317">
        <v>0</v>
      </c>
      <c r="HV317">
        <v>0</v>
      </c>
      <c r="HW317">
        <v>0</v>
      </c>
      <c r="HX317">
        <v>0</v>
      </c>
      <c r="HY317" t="s">
        <v>421</v>
      </c>
      <c r="HZ317" t="s">
        <v>422</v>
      </c>
      <c r="IA317" t="s">
        <v>423</v>
      </c>
      <c r="IB317" t="s">
        <v>423</v>
      </c>
      <c r="IC317" t="s">
        <v>423</v>
      </c>
      <c r="ID317" t="s">
        <v>423</v>
      </c>
      <c r="IE317">
        <v>0</v>
      </c>
      <c r="IF317">
        <v>100</v>
      </c>
      <c r="IG317">
        <v>100</v>
      </c>
      <c r="IH317">
        <v>-0.784</v>
      </c>
      <c r="II317">
        <v>0.0254</v>
      </c>
      <c r="IJ317">
        <v>-0.1559367209035702</v>
      </c>
      <c r="IK317">
        <v>-0.002077099775823331</v>
      </c>
      <c r="IL317">
        <v>4.593143279902166E-07</v>
      </c>
      <c r="IM317">
        <v>-1.865383991892071E-10</v>
      </c>
      <c r="IN317">
        <v>-0.0607165066849496</v>
      </c>
      <c r="IO317">
        <v>-0.01129461987421345</v>
      </c>
      <c r="IP317">
        <v>0.00116580895745559</v>
      </c>
      <c r="IQ317">
        <v>-1.679085872906199E-05</v>
      </c>
      <c r="IR317">
        <v>2</v>
      </c>
      <c r="IS317">
        <v>2290</v>
      </c>
      <c r="IT317">
        <v>0</v>
      </c>
      <c r="IU317">
        <v>32</v>
      </c>
      <c r="IV317">
        <v>14.3</v>
      </c>
      <c r="IW317">
        <v>14.1</v>
      </c>
      <c r="IX317">
        <v>0.970459</v>
      </c>
      <c r="IY317">
        <v>2.2229</v>
      </c>
      <c r="IZ317">
        <v>1.39648</v>
      </c>
      <c r="JA317">
        <v>2.35474</v>
      </c>
      <c r="JB317">
        <v>1.49536</v>
      </c>
      <c r="JC317">
        <v>2.29614</v>
      </c>
      <c r="JD317">
        <v>38.0134</v>
      </c>
      <c r="JE317">
        <v>24.035</v>
      </c>
      <c r="JF317">
        <v>18</v>
      </c>
      <c r="JG317">
        <v>512.63</v>
      </c>
      <c r="JH317">
        <v>425.862</v>
      </c>
      <c r="JI317">
        <v>23.1574</v>
      </c>
      <c r="JJ317">
        <v>27.9156</v>
      </c>
      <c r="JK317">
        <v>29.9999</v>
      </c>
      <c r="JL317">
        <v>27.9392</v>
      </c>
      <c r="JM317">
        <v>27.8851</v>
      </c>
      <c r="JN317">
        <v>19.4897</v>
      </c>
      <c r="JO317">
        <v>45.4933</v>
      </c>
      <c r="JP317">
        <v>0</v>
      </c>
      <c r="JQ317">
        <v>23.1613</v>
      </c>
      <c r="JR317">
        <v>391.968</v>
      </c>
      <c r="JS317">
        <v>9.267950000000001</v>
      </c>
      <c r="JT317">
        <v>100.415</v>
      </c>
      <c r="JU317">
        <v>100.349</v>
      </c>
    </row>
    <row r="318" spans="1:281">
      <c r="A318">
        <v>302</v>
      </c>
      <c r="B318">
        <v>1651866368</v>
      </c>
      <c r="C318">
        <v>2147.400000095367</v>
      </c>
      <c r="D318" t="s">
        <v>1027</v>
      </c>
      <c r="E318" t="s">
        <v>1028</v>
      </c>
      <c r="F318">
        <v>2</v>
      </c>
      <c r="G318" t="s">
        <v>908</v>
      </c>
      <c r="H318" t="s">
        <v>414</v>
      </c>
      <c r="I318">
        <v>1651866366.625</v>
      </c>
      <c r="J318">
        <f>(K318)/1000</f>
        <v>0</v>
      </c>
      <c r="K318">
        <f>IF(CZ318, AN318, AH318)</f>
        <v>0</v>
      </c>
      <c r="L318">
        <f>IF(CZ318, AI318, AG318)</f>
        <v>0</v>
      </c>
      <c r="M318">
        <f>DB318 - IF(AU318&gt;1, L318*CV318*100.0/(AW318*DP318), 0)</f>
        <v>0</v>
      </c>
      <c r="N318">
        <f>((T318-J318/2)*M318-L318)/(T318+J318/2)</f>
        <v>0</v>
      </c>
      <c r="O318">
        <f>N318*(DI318+DJ318)/1000.0</f>
        <v>0</v>
      </c>
      <c r="P318">
        <f>(DB318 - IF(AU318&gt;1, L318*CV318*100.0/(AW318*DP318), 0))*(DI318+DJ318)/1000.0</f>
        <v>0</v>
      </c>
      <c r="Q318">
        <f>2.0/((1/S318-1/R318)+SIGN(S318)*SQRT((1/S318-1/R318)*(1/S318-1/R318) + 4*CW318/((CW318+1)*(CW318+1))*(2*1/S318*1/R318-1/R318*1/R318)))</f>
        <v>0</v>
      </c>
      <c r="R318">
        <f>IF(LEFT(CX318,1)&lt;&gt;"0",IF(LEFT(CX318,1)="1",3.0,CY318),$D$5+$E$5*(DP318*DI318/($K$5*1000))+$F$5*(DP318*DI318/($K$5*1000))*MAX(MIN(CV318,$J$5),$I$5)*MAX(MIN(CV318,$J$5),$I$5)+$G$5*MAX(MIN(CV318,$J$5),$I$5)*(DP318*DI318/($K$5*1000))+$H$5*(DP318*DI318/($K$5*1000))*(DP318*DI318/($K$5*1000)))</f>
        <v>0</v>
      </c>
      <c r="S318">
        <f>J318*(1000-(1000*0.61365*exp(17.502*W318/(240.97+W318))/(DI318+DJ318)+DD318)/2)/(1000*0.61365*exp(17.502*W318/(240.97+W318))/(DI318+DJ318)-DD318)</f>
        <v>0</v>
      </c>
      <c r="T318">
        <f>1/((CW318+1)/(Q318/1.6)+1/(R318/1.37)) + CW318/((CW318+1)/(Q318/1.6) + CW318/(R318/1.37))</f>
        <v>0</v>
      </c>
      <c r="U318">
        <f>(CR318*CU318)</f>
        <v>0</v>
      </c>
      <c r="V318">
        <f>(DK318+(U318+2*0.95*5.67E-8*(((DK318+$B$7)+273)^4-(DK318+273)^4)-44100*J318)/(1.84*29.3*R318+8*0.95*5.67E-8*(DK318+273)^3))</f>
        <v>0</v>
      </c>
      <c r="W318">
        <f>($C$7*DL318+$D$7*DM318+$E$7*V318)</f>
        <v>0</v>
      </c>
      <c r="X318">
        <f>0.61365*exp(17.502*W318/(240.97+W318))</f>
        <v>0</v>
      </c>
      <c r="Y318">
        <f>(Z318/AA318*100)</f>
        <v>0</v>
      </c>
      <c r="Z318">
        <f>DD318*(DI318+DJ318)/1000</f>
        <v>0</v>
      </c>
      <c r="AA318">
        <f>0.61365*exp(17.502*DK318/(240.97+DK318))</f>
        <v>0</v>
      </c>
      <c r="AB318">
        <f>(X318-DD318*(DI318+DJ318)/1000)</f>
        <v>0</v>
      </c>
      <c r="AC318">
        <f>(-J318*44100)</f>
        <v>0</v>
      </c>
      <c r="AD318">
        <f>2*29.3*R318*0.92*(DK318-W318)</f>
        <v>0</v>
      </c>
      <c r="AE318">
        <f>2*0.95*5.67E-8*(((DK318+$B$7)+273)^4-(W318+273)^4)</f>
        <v>0</v>
      </c>
      <c r="AF318">
        <f>U318+AE318+AC318+AD318</f>
        <v>0</v>
      </c>
      <c r="AG318">
        <f>DH318*AU318*(DC318-DB318*(1000-AU318*DE318)/(1000-AU318*DD318))/(100*CV318)</f>
        <v>0</v>
      </c>
      <c r="AH318">
        <f>1000*DH318*AU318*(DD318-DE318)/(100*CV318*(1000-AU318*DD318))</f>
        <v>0</v>
      </c>
      <c r="AI318">
        <f>(AJ318 - AK318 - DI318*1E3/(8.314*(DK318+273.15)) * AM318/DH318 * AL318) * DH318/(100*CV318) * (1000 - DE318)/1000</f>
        <v>0</v>
      </c>
      <c r="AJ318">
        <v>370.964056750857</v>
      </c>
      <c r="AK318">
        <v>332.0903696969695</v>
      </c>
      <c r="AL318">
        <v>3.122691738882199</v>
      </c>
      <c r="AM318">
        <v>66.38195617057868</v>
      </c>
      <c r="AN318">
        <f>(AP318 - AO318 + DI318*1E3/(8.314*(DK318+273.15)) * AR318/DH318 * AQ318) * DH318/(100*CV318) * 1000/(1000 - AP318)</f>
        <v>0</v>
      </c>
      <c r="AO318">
        <v>9.380073612256981</v>
      </c>
      <c r="AP318">
        <v>18.68315352941176</v>
      </c>
      <c r="AQ318">
        <v>0.000103630481161408</v>
      </c>
      <c r="AR318">
        <v>80.47178418790507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MAX(0,($B$13+$C$13*DP318)/(1+$D$13*DP318)*DI318/(DK318+273)*$E$13)</f>
        <v>0</v>
      </c>
      <c r="AX318" t="s">
        <v>417</v>
      </c>
      <c r="AY318" t="s">
        <v>417</v>
      </c>
      <c r="AZ318">
        <v>0</v>
      </c>
      <c r="BA318">
        <v>0</v>
      </c>
      <c r="BB318">
        <f>1-AZ318/BA318</f>
        <v>0</v>
      </c>
      <c r="BC318">
        <v>0</v>
      </c>
      <c r="BD318" t="s">
        <v>417</v>
      </c>
      <c r="BE318" t="s">
        <v>417</v>
      </c>
      <c r="BF318">
        <v>0</v>
      </c>
      <c r="BG318">
        <v>0</v>
      </c>
      <c r="BH318">
        <f>1-BF318/BG318</f>
        <v>0</v>
      </c>
      <c r="BI318">
        <v>0.5</v>
      </c>
      <c r="BJ318">
        <f>CS318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417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BZ318">
        <v>1249</v>
      </c>
      <c r="CA318">
        <v>300</v>
      </c>
      <c r="CB318">
        <v>300</v>
      </c>
      <c r="CC318">
        <v>300</v>
      </c>
      <c r="CD318">
        <v>10442.4</v>
      </c>
      <c r="CE318">
        <v>1239.69</v>
      </c>
      <c r="CF318">
        <v>-0.00735276</v>
      </c>
      <c r="CG318">
        <v>0.07000000000000001</v>
      </c>
      <c r="CH318" t="s">
        <v>417</v>
      </c>
      <c r="CI318" t="s">
        <v>417</v>
      </c>
      <c r="CJ318" t="s">
        <v>417</v>
      </c>
      <c r="CK318" t="s">
        <v>417</v>
      </c>
      <c r="CL318" t="s">
        <v>417</v>
      </c>
      <c r="CM318" t="s">
        <v>417</v>
      </c>
      <c r="CN318" t="s">
        <v>417</v>
      </c>
      <c r="CO318" t="s">
        <v>417</v>
      </c>
      <c r="CP318" t="s">
        <v>417</v>
      </c>
      <c r="CQ318" t="s">
        <v>417</v>
      </c>
      <c r="CR318">
        <f>$B$11*DQ318+$C$11*DR318+$F$11*EC318*(1-EF318)</f>
        <v>0</v>
      </c>
      <c r="CS318">
        <f>CR318*CT318</f>
        <v>0</v>
      </c>
      <c r="CT318">
        <f>($B$11*$D$9+$C$11*$D$9+$F$11*((EP318+EH318)/MAX(EP318+EH318+EQ318, 0.1)*$I$9+EQ318/MAX(EP318+EH318+EQ318, 0.1)*$J$9))/($B$11+$C$11+$F$11)</f>
        <v>0</v>
      </c>
      <c r="CU318">
        <f>($B$11*$K$9+$C$11*$K$9+$F$11*((EP318+EH318)/MAX(EP318+EH318+EQ318, 0.1)*$P$9+EQ318/MAX(EP318+EH318+EQ318, 0.1)*$Q$9))/($B$11+$C$11+$F$11)</f>
        <v>0</v>
      </c>
      <c r="CV318">
        <v>6</v>
      </c>
      <c r="CW318">
        <v>0.5</v>
      </c>
      <c r="CX318" t="s">
        <v>418</v>
      </c>
      <c r="CY318">
        <v>2</v>
      </c>
      <c r="CZ318" t="b">
        <v>1</v>
      </c>
      <c r="DA318">
        <v>1651866366.625</v>
      </c>
      <c r="DB318">
        <v>323.203</v>
      </c>
      <c r="DC318">
        <v>372.153</v>
      </c>
      <c r="DD318">
        <v>18.685025</v>
      </c>
      <c r="DE318">
        <v>9.360019999999999</v>
      </c>
      <c r="DF318">
        <v>323.99</v>
      </c>
      <c r="DG318">
        <v>18.6597</v>
      </c>
      <c r="DH318">
        <v>500.083</v>
      </c>
      <c r="DI318">
        <v>89.920075</v>
      </c>
      <c r="DJ318">
        <v>0.10004125</v>
      </c>
      <c r="DK318">
        <v>25.91235</v>
      </c>
      <c r="DL318">
        <v>24.99435</v>
      </c>
      <c r="DM318">
        <v>999.9</v>
      </c>
      <c r="DN318">
        <v>0</v>
      </c>
      <c r="DO318">
        <v>0</v>
      </c>
      <c r="DP318">
        <v>10004.075</v>
      </c>
      <c r="DQ318">
        <v>0</v>
      </c>
      <c r="DR318">
        <v>3.2154225</v>
      </c>
      <c r="DS318">
        <v>-48.94987500000001</v>
      </c>
      <c r="DT318">
        <v>329.357</v>
      </c>
      <c r="DU318">
        <v>375.66925</v>
      </c>
      <c r="DV318">
        <v>9.325032499999999</v>
      </c>
      <c r="DW318">
        <v>372.153</v>
      </c>
      <c r="DX318">
        <v>9.360019999999999</v>
      </c>
      <c r="DY318">
        <v>1.68016</v>
      </c>
      <c r="DZ318">
        <v>0.84165325</v>
      </c>
      <c r="EA318">
        <v>14.71435</v>
      </c>
      <c r="EB318">
        <v>4.4299225</v>
      </c>
      <c r="EC318">
        <v>1500.0475</v>
      </c>
      <c r="ED318">
        <v>0.972998</v>
      </c>
      <c r="EE318">
        <v>0.0270015</v>
      </c>
      <c r="EF318">
        <v>0</v>
      </c>
      <c r="EG318">
        <v>858.5069999999999</v>
      </c>
      <c r="EH318">
        <v>5.00097</v>
      </c>
      <c r="EI318">
        <v>12830.175</v>
      </c>
      <c r="EJ318">
        <v>12491.975</v>
      </c>
      <c r="EK318">
        <v>39.25</v>
      </c>
      <c r="EL318">
        <v>40.92149999999999</v>
      </c>
      <c r="EM318">
        <v>39.562</v>
      </c>
      <c r="EN318">
        <v>41.2655</v>
      </c>
      <c r="EO318">
        <v>40.125</v>
      </c>
      <c r="EP318">
        <v>1454.6775</v>
      </c>
      <c r="EQ318">
        <v>40.37</v>
      </c>
      <c r="ER318">
        <v>0</v>
      </c>
      <c r="ES318">
        <v>885.2000000476837</v>
      </c>
      <c r="ET318">
        <v>0</v>
      </c>
      <c r="EU318">
        <v>852.0313076923078</v>
      </c>
      <c r="EV318">
        <v>57.083145227318</v>
      </c>
      <c r="EW318">
        <v>803.3059818634703</v>
      </c>
      <c r="EX318">
        <v>12737.66538461538</v>
      </c>
      <c r="EY318">
        <v>15</v>
      </c>
      <c r="EZ318">
        <v>1651865518.1</v>
      </c>
      <c r="FA318" t="s">
        <v>910</v>
      </c>
      <c r="FB318">
        <v>1651865507.1</v>
      </c>
      <c r="FC318">
        <v>1651865518.1</v>
      </c>
      <c r="FD318">
        <v>8</v>
      </c>
      <c r="FE318">
        <v>0.06</v>
      </c>
      <c r="FF318">
        <v>0</v>
      </c>
      <c r="FG318">
        <v>-0.927</v>
      </c>
      <c r="FH318">
        <v>-0.062</v>
      </c>
      <c r="FI318">
        <v>400</v>
      </c>
      <c r="FJ318">
        <v>11</v>
      </c>
      <c r="FK318">
        <v>0.11</v>
      </c>
      <c r="FL318">
        <v>0.01</v>
      </c>
      <c r="FM318">
        <v>-45.75651707317073</v>
      </c>
      <c r="FN318">
        <v>-19.34114843205576</v>
      </c>
      <c r="FO318">
        <v>1.907639959881784</v>
      </c>
      <c r="FP318">
        <v>-1</v>
      </c>
      <c r="FQ318">
        <v>9.27641975609756</v>
      </c>
      <c r="FR318">
        <v>0.2276084320557641</v>
      </c>
      <c r="FS318">
        <v>0.02325489903673642</v>
      </c>
      <c r="FT318">
        <v>-1</v>
      </c>
      <c r="FU318">
        <v>0</v>
      </c>
      <c r="FV318">
        <v>0</v>
      </c>
      <c r="FW318">
        <v>0</v>
      </c>
      <c r="FX318">
        <v>-1</v>
      </c>
      <c r="FY318">
        <v>0</v>
      </c>
      <c r="FZ318">
        <v>0</v>
      </c>
      <c r="GA318" t="s">
        <v>420</v>
      </c>
      <c r="GB318">
        <v>2.98146</v>
      </c>
      <c r="GC318">
        <v>2.70613</v>
      </c>
      <c r="GD318">
        <v>0.07713589999999999</v>
      </c>
      <c r="GE318">
        <v>0.0851495</v>
      </c>
      <c r="GF318">
        <v>0.0889219</v>
      </c>
      <c r="GG318">
        <v>0.0526718</v>
      </c>
      <c r="GH318">
        <v>29161.3</v>
      </c>
      <c r="GI318">
        <v>28971.2</v>
      </c>
      <c r="GJ318">
        <v>29376.5</v>
      </c>
      <c r="GK318">
        <v>29292</v>
      </c>
      <c r="GL318">
        <v>35437</v>
      </c>
      <c r="GM318">
        <v>36964.6</v>
      </c>
      <c r="GN318">
        <v>41348.1</v>
      </c>
      <c r="GO318">
        <v>41811.7</v>
      </c>
      <c r="GP318">
        <v>1.96683</v>
      </c>
      <c r="GQ318">
        <v>1.8533</v>
      </c>
      <c r="GR318">
        <v>-0.00610948</v>
      </c>
      <c r="GS318">
        <v>0</v>
      </c>
      <c r="GT318">
        <v>25.0931</v>
      </c>
      <c r="GU318">
        <v>999.9</v>
      </c>
      <c r="GV318">
        <v>29.7</v>
      </c>
      <c r="GW318">
        <v>34.2</v>
      </c>
      <c r="GX318">
        <v>17.8445</v>
      </c>
      <c r="GY318">
        <v>62.5476</v>
      </c>
      <c r="GZ318">
        <v>35.2604</v>
      </c>
      <c r="HA318">
        <v>1</v>
      </c>
      <c r="HB318">
        <v>0.0456809</v>
      </c>
      <c r="HC318">
        <v>1.46926</v>
      </c>
      <c r="HD318">
        <v>20.3277</v>
      </c>
      <c r="HE318">
        <v>5.21669</v>
      </c>
      <c r="HF318">
        <v>12.0099</v>
      </c>
      <c r="HG318">
        <v>4.9879</v>
      </c>
      <c r="HH318">
        <v>3.2885</v>
      </c>
      <c r="HI318">
        <v>1031.5</v>
      </c>
      <c r="HJ318">
        <v>9735.9</v>
      </c>
      <c r="HK318">
        <v>5139.4</v>
      </c>
      <c r="HL318">
        <v>25.3</v>
      </c>
      <c r="HM318">
        <v>1.86747</v>
      </c>
      <c r="HN318">
        <v>1.86646</v>
      </c>
      <c r="HO318">
        <v>1.866</v>
      </c>
      <c r="HP318">
        <v>1.86584</v>
      </c>
      <c r="HQ318">
        <v>1.86768</v>
      </c>
      <c r="HR318">
        <v>1.87021</v>
      </c>
      <c r="HS318">
        <v>1.86888</v>
      </c>
      <c r="HT318">
        <v>1.87022</v>
      </c>
      <c r="HU318">
        <v>0</v>
      </c>
      <c r="HV318">
        <v>0</v>
      </c>
      <c r="HW318">
        <v>0</v>
      </c>
      <c r="HX318">
        <v>0</v>
      </c>
      <c r="HY318" t="s">
        <v>421</v>
      </c>
      <c r="HZ318" t="s">
        <v>422</v>
      </c>
      <c r="IA318" t="s">
        <v>423</v>
      </c>
      <c r="IB318" t="s">
        <v>423</v>
      </c>
      <c r="IC318" t="s">
        <v>423</v>
      </c>
      <c r="ID318" t="s">
        <v>423</v>
      </c>
      <c r="IE318">
        <v>0</v>
      </c>
      <c r="IF318">
        <v>100</v>
      </c>
      <c r="IG318">
        <v>100</v>
      </c>
      <c r="IH318">
        <v>-0.794</v>
      </c>
      <c r="II318">
        <v>0.0253</v>
      </c>
      <c r="IJ318">
        <v>-0.1559367209035702</v>
      </c>
      <c r="IK318">
        <v>-0.002077099775823331</v>
      </c>
      <c r="IL318">
        <v>4.593143279902166E-07</v>
      </c>
      <c r="IM318">
        <v>-1.865383991892071E-10</v>
      </c>
      <c r="IN318">
        <v>-0.0607165066849496</v>
      </c>
      <c r="IO318">
        <v>-0.01129461987421345</v>
      </c>
      <c r="IP318">
        <v>0.00116580895745559</v>
      </c>
      <c r="IQ318">
        <v>-1.679085872906199E-05</v>
      </c>
      <c r="IR318">
        <v>2</v>
      </c>
      <c r="IS318">
        <v>2290</v>
      </c>
      <c r="IT318">
        <v>0</v>
      </c>
      <c r="IU318">
        <v>32</v>
      </c>
      <c r="IV318">
        <v>14.3</v>
      </c>
      <c r="IW318">
        <v>14.2</v>
      </c>
      <c r="IX318">
        <v>0.985107</v>
      </c>
      <c r="IY318">
        <v>2.2168</v>
      </c>
      <c r="IZ318">
        <v>1.39648</v>
      </c>
      <c r="JA318">
        <v>2.35474</v>
      </c>
      <c r="JB318">
        <v>1.49536</v>
      </c>
      <c r="JC318">
        <v>2.29858</v>
      </c>
      <c r="JD318">
        <v>38.0134</v>
      </c>
      <c r="JE318">
        <v>24.0437</v>
      </c>
      <c r="JF318">
        <v>18</v>
      </c>
      <c r="JG318">
        <v>512.543</v>
      </c>
      <c r="JH318">
        <v>425.765</v>
      </c>
      <c r="JI318">
        <v>23.1588</v>
      </c>
      <c r="JJ318">
        <v>27.915</v>
      </c>
      <c r="JK318">
        <v>29.9999</v>
      </c>
      <c r="JL318">
        <v>27.9386</v>
      </c>
      <c r="JM318">
        <v>27.8839</v>
      </c>
      <c r="JN318">
        <v>19.7624</v>
      </c>
      <c r="JO318">
        <v>45.4933</v>
      </c>
      <c r="JP318">
        <v>0</v>
      </c>
      <c r="JQ318">
        <v>23.1613</v>
      </c>
      <c r="JR318">
        <v>398.688</v>
      </c>
      <c r="JS318">
        <v>9.25426</v>
      </c>
      <c r="JT318">
        <v>100.414</v>
      </c>
      <c r="JU318">
        <v>100.348</v>
      </c>
    </row>
    <row r="319" spans="1:281">
      <c r="A319">
        <v>303</v>
      </c>
      <c r="B319">
        <v>1651866370</v>
      </c>
      <c r="C319">
        <v>2149.400000095367</v>
      </c>
      <c r="D319" t="s">
        <v>1029</v>
      </c>
      <c r="E319" t="s">
        <v>1030</v>
      </c>
      <c r="F319">
        <v>2</v>
      </c>
      <c r="G319" t="s">
        <v>908</v>
      </c>
      <c r="H319" t="s">
        <v>414</v>
      </c>
      <c r="I319">
        <v>1651866369</v>
      </c>
      <c r="J319">
        <f>(K319)/1000</f>
        <v>0</v>
      </c>
      <c r="K319">
        <f>IF(CZ319, AN319, AH319)</f>
        <v>0</v>
      </c>
      <c r="L319">
        <f>IF(CZ319, AI319, AG319)</f>
        <v>0</v>
      </c>
      <c r="M319">
        <f>DB319 - IF(AU319&gt;1, L319*CV319*100.0/(AW319*DP319), 0)</f>
        <v>0</v>
      </c>
      <c r="N319">
        <f>((T319-J319/2)*M319-L319)/(T319+J319/2)</f>
        <v>0</v>
      </c>
      <c r="O319">
        <f>N319*(DI319+DJ319)/1000.0</f>
        <v>0</v>
      </c>
      <c r="P319">
        <f>(DB319 - IF(AU319&gt;1, L319*CV319*100.0/(AW319*DP319), 0))*(DI319+DJ319)/1000.0</f>
        <v>0</v>
      </c>
      <c r="Q319">
        <f>2.0/((1/S319-1/R319)+SIGN(S319)*SQRT((1/S319-1/R319)*(1/S319-1/R319) + 4*CW319/((CW319+1)*(CW319+1))*(2*1/S319*1/R319-1/R319*1/R319)))</f>
        <v>0</v>
      </c>
      <c r="R319">
        <f>IF(LEFT(CX319,1)&lt;&gt;"0",IF(LEFT(CX319,1)="1",3.0,CY319),$D$5+$E$5*(DP319*DI319/($K$5*1000))+$F$5*(DP319*DI319/($K$5*1000))*MAX(MIN(CV319,$J$5),$I$5)*MAX(MIN(CV319,$J$5),$I$5)+$G$5*MAX(MIN(CV319,$J$5),$I$5)*(DP319*DI319/($K$5*1000))+$H$5*(DP319*DI319/($K$5*1000))*(DP319*DI319/($K$5*1000)))</f>
        <v>0</v>
      </c>
      <c r="S319">
        <f>J319*(1000-(1000*0.61365*exp(17.502*W319/(240.97+W319))/(DI319+DJ319)+DD319)/2)/(1000*0.61365*exp(17.502*W319/(240.97+W319))/(DI319+DJ319)-DD319)</f>
        <v>0</v>
      </c>
      <c r="T319">
        <f>1/((CW319+1)/(Q319/1.6)+1/(R319/1.37)) + CW319/((CW319+1)/(Q319/1.6) + CW319/(R319/1.37))</f>
        <v>0</v>
      </c>
      <c r="U319">
        <f>(CR319*CU319)</f>
        <v>0</v>
      </c>
      <c r="V319">
        <f>(DK319+(U319+2*0.95*5.67E-8*(((DK319+$B$7)+273)^4-(DK319+273)^4)-44100*J319)/(1.84*29.3*R319+8*0.95*5.67E-8*(DK319+273)^3))</f>
        <v>0</v>
      </c>
      <c r="W319">
        <f>($C$7*DL319+$D$7*DM319+$E$7*V319)</f>
        <v>0</v>
      </c>
      <c r="X319">
        <f>0.61365*exp(17.502*W319/(240.97+W319))</f>
        <v>0</v>
      </c>
      <c r="Y319">
        <f>(Z319/AA319*100)</f>
        <v>0</v>
      </c>
      <c r="Z319">
        <f>DD319*(DI319+DJ319)/1000</f>
        <v>0</v>
      </c>
      <c r="AA319">
        <f>0.61365*exp(17.502*DK319/(240.97+DK319))</f>
        <v>0</v>
      </c>
      <c r="AB319">
        <f>(X319-DD319*(DI319+DJ319)/1000)</f>
        <v>0</v>
      </c>
      <c r="AC319">
        <f>(-J319*44100)</f>
        <v>0</v>
      </c>
      <c r="AD319">
        <f>2*29.3*R319*0.92*(DK319-W319)</f>
        <v>0</v>
      </c>
      <c r="AE319">
        <f>2*0.95*5.67E-8*(((DK319+$B$7)+273)^4-(W319+273)^4)</f>
        <v>0</v>
      </c>
      <c r="AF319">
        <f>U319+AE319+AC319+AD319</f>
        <v>0</v>
      </c>
      <c r="AG319">
        <f>DH319*AU319*(DC319-DB319*(1000-AU319*DE319)/(1000-AU319*DD319))/(100*CV319)</f>
        <v>0</v>
      </c>
      <c r="AH319">
        <f>1000*DH319*AU319*(DD319-DE319)/(100*CV319*(1000-AU319*DD319))</f>
        <v>0</v>
      </c>
      <c r="AI319">
        <f>(AJ319 - AK319 - DI319*1E3/(8.314*(DK319+273.15)) * AM319/DH319 * AL319) * DH319/(100*CV319) * (1000 - DE319)/1000</f>
        <v>0</v>
      </c>
      <c r="AJ319">
        <v>377.6964720948955</v>
      </c>
      <c r="AK319">
        <v>338.3428545454547</v>
      </c>
      <c r="AL319">
        <v>3.124503004927207</v>
      </c>
      <c r="AM319">
        <v>66.38195617057868</v>
      </c>
      <c r="AN319">
        <f>(AP319 - AO319 + DI319*1E3/(8.314*(DK319+273.15)) * AR319/DH319 * AQ319) * DH319/(100*CV319) * 1000/(1000 - AP319)</f>
        <v>0</v>
      </c>
      <c r="AO319">
        <v>9.366252166518288</v>
      </c>
      <c r="AP319">
        <v>18.68289999999999</v>
      </c>
      <c r="AQ319">
        <v>8.874819594348899E-07</v>
      </c>
      <c r="AR319">
        <v>80.47178418790507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MAX(0,($B$13+$C$13*DP319)/(1+$D$13*DP319)*DI319/(DK319+273)*$E$13)</f>
        <v>0</v>
      </c>
      <c r="AX319" t="s">
        <v>417</v>
      </c>
      <c r="AY319" t="s">
        <v>417</v>
      </c>
      <c r="AZ319">
        <v>0</v>
      </c>
      <c r="BA319">
        <v>0</v>
      </c>
      <c r="BB319">
        <f>1-AZ319/BA319</f>
        <v>0</v>
      </c>
      <c r="BC319">
        <v>0</v>
      </c>
      <c r="BD319" t="s">
        <v>417</v>
      </c>
      <c r="BE319" t="s">
        <v>417</v>
      </c>
      <c r="BF319">
        <v>0</v>
      </c>
      <c r="BG319">
        <v>0</v>
      </c>
      <c r="BH319">
        <f>1-BF319/BG319</f>
        <v>0</v>
      </c>
      <c r="BI319">
        <v>0.5</v>
      </c>
      <c r="BJ319">
        <f>CS319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417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BZ319">
        <v>1249</v>
      </c>
      <c r="CA319">
        <v>300</v>
      </c>
      <c r="CB319">
        <v>300</v>
      </c>
      <c r="CC319">
        <v>300</v>
      </c>
      <c r="CD319">
        <v>10442.4</v>
      </c>
      <c r="CE319">
        <v>1239.69</v>
      </c>
      <c r="CF319">
        <v>-0.00735276</v>
      </c>
      <c r="CG319">
        <v>0.07000000000000001</v>
      </c>
      <c r="CH319" t="s">
        <v>417</v>
      </c>
      <c r="CI319" t="s">
        <v>417</v>
      </c>
      <c r="CJ319" t="s">
        <v>417</v>
      </c>
      <c r="CK319" t="s">
        <v>417</v>
      </c>
      <c r="CL319" t="s">
        <v>417</v>
      </c>
      <c r="CM319" t="s">
        <v>417</v>
      </c>
      <c r="CN319" t="s">
        <v>417</v>
      </c>
      <c r="CO319" t="s">
        <v>417</v>
      </c>
      <c r="CP319" t="s">
        <v>417</v>
      </c>
      <c r="CQ319" t="s">
        <v>417</v>
      </c>
      <c r="CR319">
        <f>$B$11*DQ319+$C$11*DR319+$F$11*EC319*(1-EF319)</f>
        <v>0</v>
      </c>
      <c r="CS319">
        <f>CR319*CT319</f>
        <v>0</v>
      </c>
      <c r="CT319">
        <f>($B$11*$D$9+$C$11*$D$9+$F$11*((EP319+EH319)/MAX(EP319+EH319+EQ319, 0.1)*$I$9+EQ319/MAX(EP319+EH319+EQ319, 0.1)*$J$9))/($B$11+$C$11+$F$11)</f>
        <v>0</v>
      </c>
      <c r="CU319">
        <f>($B$11*$K$9+$C$11*$K$9+$F$11*((EP319+EH319)/MAX(EP319+EH319+EQ319, 0.1)*$P$9+EQ319/MAX(EP319+EH319+EQ319, 0.1)*$Q$9))/($B$11+$C$11+$F$11)</f>
        <v>0</v>
      </c>
      <c r="CV319">
        <v>6</v>
      </c>
      <c r="CW319">
        <v>0.5</v>
      </c>
      <c r="CX319" t="s">
        <v>418</v>
      </c>
      <c r="CY319">
        <v>2</v>
      </c>
      <c r="CZ319" t="b">
        <v>1</v>
      </c>
      <c r="DA319">
        <v>1651866369</v>
      </c>
      <c r="DB319">
        <v>330.4916666666667</v>
      </c>
      <c r="DC319">
        <v>380.0953333333334</v>
      </c>
      <c r="DD319">
        <v>18.68386666666667</v>
      </c>
      <c r="DE319">
        <v>9.343850000000002</v>
      </c>
      <c r="DF319">
        <v>331.292</v>
      </c>
      <c r="DG319">
        <v>18.65853333333333</v>
      </c>
      <c r="DH319">
        <v>499.9946666666667</v>
      </c>
      <c r="DI319">
        <v>89.91983333333333</v>
      </c>
      <c r="DJ319">
        <v>0.1000318333333333</v>
      </c>
      <c r="DK319">
        <v>25.91506666666666</v>
      </c>
      <c r="DL319">
        <v>24.99526666666667</v>
      </c>
      <c r="DM319">
        <v>999.9</v>
      </c>
      <c r="DN319">
        <v>0</v>
      </c>
      <c r="DO319">
        <v>0</v>
      </c>
      <c r="DP319">
        <v>9991.25</v>
      </c>
      <c r="DQ319">
        <v>0</v>
      </c>
      <c r="DR319">
        <v>3.216476666666667</v>
      </c>
      <c r="DS319">
        <v>-49.6039</v>
      </c>
      <c r="DT319">
        <v>336.784</v>
      </c>
      <c r="DU319">
        <v>383.6803333333334</v>
      </c>
      <c r="DV319">
        <v>9.340003333333334</v>
      </c>
      <c r="DW319">
        <v>380.0953333333334</v>
      </c>
      <c r="DX319">
        <v>9.343850000000002</v>
      </c>
      <c r="DY319">
        <v>1.68005</v>
      </c>
      <c r="DZ319">
        <v>0.8401976666666666</v>
      </c>
      <c r="EA319">
        <v>14.7133</v>
      </c>
      <c r="EB319">
        <v>4.405203333333334</v>
      </c>
      <c r="EC319">
        <v>1500.086666666667</v>
      </c>
      <c r="ED319">
        <v>0.972998</v>
      </c>
      <c r="EE319">
        <v>0.0270015</v>
      </c>
      <c r="EF319">
        <v>0</v>
      </c>
      <c r="EG319">
        <v>861.044</v>
      </c>
      <c r="EH319">
        <v>5.00097</v>
      </c>
      <c r="EI319">
        <v>12868.43333333333</v>
      </c>
      <c r="EJ319">
        <v>12492.33333333333</v>
      </c>
      <c r="EK319">
        <v>39.187</v>
      </c>
      <c r="EL319">
        <v>40.875</v>
      </c>
      <c r="EM319">
        <v>39.562</v>
      </c>
      <c r="EN319">
        <v>41.16633333333333</v>
      </c>
      <c r="EO319">
        <v>40.104</v>
      </c>
      <c r="EP319">
        <v>1454.716666666666</v>
      </c>
      <c r="EQ319">
        <v>40.37</v>
      </c>
      <c r="ER319">
        <v>0</v>
      </c>
      <c r="ES319">
        <v>887.6000001430511</v>
      </c>
      <c r="ET319">
        <v>0</v>
      </c>
      <c r="EU319">
        <v>854.3719230769232</v>
      </c>
      <c r="EV319">
        <v>61.60601710784961</v>
      </c>
      <c r="EW319">
        <v>879.6341882068275</v>
      </c>
      <c r="EX319">
        <v>12771.11153846154</v>
      </c>
      <c r="EY319">
        <v>15</v>
      </c>
      <c r="EZ319">
        <v>1651865518.1</v>
      </c>
      <c r="FA319" t="s">
        <v>910</v>
      </c>
      <c r="FB319">
        <v>1651865507.1</v>
      </c>
      <c r="FC319">
        <v>1651865518.1</v>
      </c>
      <c r="FD319">
        <v>8</v>
      </c>
      <c r="FE319">
        <v>0.06</v>
      </c>
      <c r="FF319">
        <v>0</v>
      </c>
      <c r="FG319">
        <v>-0.927</v>
      </c>
      <c r="FH319">
        <v>-0.062</v>
      </c>
      <c r="FI319">
        <v>400</v>
      </c>
      <c r="FJ319">
        <v>11</v>
      </c>
      <c r="FK319">
        <v>0.11</v>
      </c>
      <c r="FL319">
        <v>0.01</v>
      </c>
      <c r="FM319">
        <v>-46.70068536585365</v>
      </c>
      <c r="FN319">
        <v>-19.05045156794411</v>
      </c>
      <c r="FO319">
        <v>1.879526496099999</v>
      </c>
      <c r="FP319">
        <v>-1</v>
      </c>
      <c r="FQ319">
        <v>9.288973658536586</v>
      </c>
      <c r="FR319">
        <v>0.2682252961672562</v>
      </c>
      <c r="FS319">
        <v>0.02724496576958476</v>
      </c>
      <c r="FT319">
        <v>-1</v>
      </c>
      <c r="FU319">
        <v>0</v>
      </c>
      <c r="FV319">
        <v>0</v>
      </c>
      <c r="FW319">
        <v>0</v>
      </c>
      <c r="FX319">
        <v>-1</v>
      </c>
      <c r="FY319">
        <v>0</v>
      </c>
      <c r="FZ319">
        <v>0</v>
      </c>
      <c r="GA319" t="s">
        <v>420</v>
      </c>
      <c r="GB319">
        <v>2.98133</v>
      </c>
      <c r="GC319">
        <v>2.70612</v>
      </c>
      <c r="GD319">
        <v>0.0782902</v>
      </c>
      <c r="GE319">
        <v>0.0863399</v>
      </c>
      <c r="GF319">
        <v>0.088921</v>
      </c>
      <c r="GG319">
        <v>0.05255</v>
      </c>
      <c r="GH319">
        <v>29125</v>
      </c>
      <c r="GI319">
        <v>28933.4</v>
      </c>
      <c r="GJ319">
        <v>29376.7</v>
      </c>
      <c r="GK319">
        <v>29291.9</v>
      </c>
      <c r="GL319">
        <v>35437.1</v>
      </c>
      <c r="GM319">
        <v>36969.3</v>
      </c>
      <c r="GN319">
        <v>41348.2</v>
      </c>
      <c r="GO319">
        <v>41811.5</v>
      </c>
      <c r="GP319">
        <v>1.96668</v>
      </c>
      <c r="GQ319">
        <v>1.85312</v>
      </c>
      <c r="GR319">
        <v>-0.00581145</v>
      </c>
      <c r="GS319">
        <v>0</v>
      </c>
      <c r="GT319">
        <v>25.0931</v>
      </c>
      <c r="GU319">
        <v>999.9</v>
      </c>
      <c r="GV319">
        <v>29.7</v>
      </c>
      <c r="GW319">
        <v>34.2</v>
      </c>
      <c r="GX319">
        <v>17.8446</v>
      </c>
      <c r="GY319">
        <v>62.2576</v>
      </c>
      <c r="GZ319">
        <v>35.5088</v>
      </c>
      <c r="HA319">
        <v>1</v>
      </c>
      <c r="HB319">
        <v>0.0453379</v>
      </c>
      <c r="HC319">
        <v>1.46921</v>
      </c>
      <c r="HD319">
        <v>20.3277</v>
      </c>
      <c r="HE319">
        <v>5.21729</v>
      </c>
      <c r="HF319">
        <v>12.0099</v>
      </c>
      <c r="HG319">
        <v>4.98815</v>
      </c>
      <c r="HH319">
        <v>3.2885</v>
      </c>
      <c r="HI319">
        <v>1031.7</v>
      </c>
      <c r="HJ319">
        <v>9737.299999999999</v>
      </c>
      <c r="HK319">
        <v>5139.4</v>
      </c>
      <c r="HL319">
        <v>25.3</v>
      </c>
      <c r="HM319">
        <v>1.86746</v>
      </c>
      <c r="HN319">
        <v>1.86646</v>
      </c>
      <c r="HO319">
        <v>1.866</v>
      </c>
      <c r="HP319">
        <v>1.86584</v>
      </c>
      <c r="HQ319">
        <v>1.86768</v>
      </c>
      <c r="HR319">
        <v>1.87022</v>
      </c>
      <c r="HS319">
        <v>1.86889</v>
      </c>
      <c r="HT319">
        <v>1.87021</v>
      </c>
      <c r="HU319">
        <v>0</v>
      </c>
      <c r="HV319">
        <v>0</v>
      </c>
      <c r="HW319">
        <v>0</v>
      </c>
      <c r="HX319">
        <v>0</v>
      </c>
      <c r="HY319" t="s">
        <v>421</v>
      </c>
      <c r="HZ319" t="s">
        <v>422</v>
      </c>
      <c r="IA319" t="s">
        <v>423</v>
      </c>
      <c r="IB319" t="s">
        <v>423</v>
      </c>
      <c r="IC319" t="s">
        <v>423</v>
      </c>
      <c r="ID319" t="s">
        <v>423</v>
      </c>
      <c r="IE319">
        <v>0</v>
      </c>
      <c r="IF319">
        <v>100</v>
      </c>
      <c r="IG319">
        <v>100</v>
      </c>
      <c r="IH319">
        <v>-0.806</v>
      </c>
      <c r="II319">
        <v>0.0253</v>
      </c>
      <c r="IJ319">
        <v>-0.1559367209035702</v>
      </c>
      <c r="IK319">
        <v>-0.002077099775823331</v>
      </c>
      <c r="IL319">
        <v>4.593143279902166E-07</v>
      </c>
      <c r="IM319">
        <v>-1.865383991892071E-10</v>
      </c>
      <c r="IN319">
        <v>-0.0607165066849496</v>
      </c>
      <c r="IO319">
        <v>-0.01129461987421345</v>
      </c>
      <c r="IP319">
        <v>0.00116580895745559</v>
      </c>
      <c r="IQ319">
        <v>-1.679085872906199E-05</v>
      </c>
      <c r="IR319">
        <v>2</v>
      </c>
      <c r="IS319">
        <v>2290</v>
      </c>
      <c r="IT319">
        <v>0</v>
      </c>
      <c r="IU319">
        <v>32</v>
      </c>
      <c r="IV319">
        <v>14.4</v>
      </c>
      <c r="IW319">
        <v>14.2</v>
      </c>
      <c r="IX319">
        <v>0.997314</v>
      </c>
      <c r="IY319">
        <v>2.21436</v>
      </c>
      <c r="IZ319">
        <v>1.39648</v>
      </c>
      <c r="JA319">
        <v>2.35474</v>
      </c>
      <c r="JB319">
        <v>1.49536</v>
      </c>
      <c r="JC319">
        <v>2.35229</v>
      </c>
      <c r="JD319">
        <v>38.0134</v>
      </c>
      <c r="JE319">
        <v>24.0437</v>
      </c>
      <c r="JF319">
        <v>18</v>
      </c>
      <c r="JG319">
        <v>512.4349999999999</v>
      </c>
      <c r="JH319">
        <v>425.652</v>
      </c>
      <c r="JI319">
        <v>23.1603</v>
      </c>
      <c r="JJ319">
        <v>27.9138</v>
      </c>
      <c r="JK319">
        <v>29.9998</v>
      </c>
      <c r="JL319">
        <v>27.9375</v>
      </c>
      <c r="JM319">
        <v>27.8828</v>
      </c>
      <c r="JN319">
        <v>20.0255</v>
      </c>
      <c r="JO319">
        <v>45.4933</v>
      </c>
      <c r="JP319">
        <v>0</v>
      </c>
      <c r="JQ319">
        <v>23.1648</v>
      </c>
      <c r="JR319">
        <v>405.381</v>
      </c>
      <c r="JS319">
        <v>9.24708</v>
      </c>
      <c r="JT319">
        <v>100.415</v>
      </c>
      <c r="JU319">
        <v>100.348</v>
      </c>
    </row>
    <row r="320" spans="1:281">
      <c r="A320">
        <v>304</v>
      </c>
      <c r="B320">
        <v>1651866372</v>
      </c>
      <c r="C320">
        <v>2151.400000095367</v>
      </c>
      <c r="D320" t="s">
        <v>1031</v>
      </c>
      <c r="E320" t="s">
        <v>1032</v>
      </c>
      <c r="F320">
        <v>2</v>
      </c>
      <c r="G320" t="s">
        <v>908</v>
      </c>
      <c r="H320" t="s">
        <v>414</v>
      </c>
      <c r="I320">
        <v>1651866370.625</v>
      </c>
      <c r="J320">
        <f>(K320)/1000</f>
        <v>0</v>
      </c>
      <c r="K320">
        <f>IF(CZ320, AN320, AH320)</f>
        <v>0</v>
      </c>
      <c r="L320">
        <f>IF(CZ320, AI320, AG320)</f>
        <v>0</v>
      </c>
      <c r="M320">
        <f>DB320 - IF(AU320&gt;1, L320*CV320*100.0/(AW320*DP320), 0)</f>
        <v>0</v>
      </c>
      <c r="N320">
        <f>((T320-J320/2)*M320-L320)/(T320+J320/2)</f>
        <v>0</v>
      </c>
      <c r="O320">
        <f>N320*(DI320+DJ320)/1000.0</f>
        <v>0</v>
      </c>
      <c r="P320">
        <f>(DB320 - IF(AU320&gt;1, L320*CV320*100.0/(AW320*DP320), 0))*(DI320+DJ320)/1000.0</f>
        <v>0</v>
      </c>
      <c r="Q320">
        <f>2.0/((1/S320-1/R320)+SIGN(S320)*SQRT((1/S320-1/R320)*(1/S320-1/R320) + 4*CW320/((CW320+1)*(CW320+1))*(2*1/S320*1/R320-1/R320*1/R320)))</f>
        <v>0</v>
      </c>
      <c r="R320">
        <f>IF(LEFT(CX320,1)&lt;&gt;"0",IF(LEFT(CX320,1)="1",3.0,CY320),$D$5+$E$5*(DP320*DI320/($K$5*1000))+$F$5*(DP320*DI320/($K$5*1000))*MAX(MIN(CV320,$J$5),$I$5)*MAX(MIN(CV320,$J$5),$I$5)+$G$5*MAX(MIN(CV320,$J$5),$I$5)*(DP320*DI320/($K$5*1000))+$H$5*(DP320*DI320/($K$5*1000))*(DP320*DI320/($K$5*1000)))</f>
        <v>0</v>
      </c>
      <c r="S320">
        <f>J320*(1000-(1000*0.61365*exp(17.502*W320/(240.97+W320))/(DI320+DJ320)+DD320)/2)/(1000*0.61365*exp(17.502*W320/(240.97+W320))/(DI320+DJ320)-DD320)</f>
        <v>0</v>
      </c>
      <c r="T320">
        <f>1/((CW320+1)/(Q320/1.6)+1/(R320/1.37)) + CW320/((CW320+1)/(Q320/1.6) + CW320/(R320/1.37))</f>
        <v>0</v>
      </c>
      <c r="U320">
        <f>(CR320*CU320)</f>
        <v>0</v>
      </c>
      <c r="V320">
        <f>(DK320+(U320+2*0.95*5.67E-8*(((DK320+$B$7)+273)^4-(DK320+273)^4)-44100*J320)/(1.84*29.3*R320+8*0.95*5.67E-8*(DK320+273)^3))</f>
        <v>0</v>
      </c>
      <c r="W320">
        <f>($C$7*DL320+$D$7*DM320+$E$7*V320)</f>
        <v>0</v>
      </c>
      <c r="X320">
        <f>0.61365*exp(17.502*W320/(240.97+W320))</f>
        <v>0</v>
      </c>
      <c r="Y320">
        <f>(Z320/AA320*100)</f>
        <v>0</v>
      </c>
      <c r="Z320">
        <f>DD320*(DI320+DJ320)/1000</f>
        <v>0</v>
      </c>
      <c r="AA320">
        <f>0.61365*exp(17.502*DK320/(240.97+DK320))</f>
        <v>0</v>
      </c>
      <c r="AB320">
        <f>(X320-DD320*(DI320+DJ320)/1000)</f>
        <v>0</v>
      </c>
      <c r="AC320">
        <f>(-J320*44100)</f>
        <v>0</v>
      </c>
      <c r="AD320">
        <f>2*29.3*R320*0.92*(DK320-W320)</f>
        <v>0</v>
      </c>
      <c r="AE320">
        <f>2*0.95*5.67E-8*(((DK320+$B$7)+273)^4-(W320+273)^4)</f>
        <v>0</v>
      </c>
      <c r="AF320">
        <f>U320+AE320+AC320+AD320</f>
        <v>0</v>
      </c>
      <c r="AG320">
        <f>DH320*AU320*(DC320-DB320*(1000-AU320*DE320)/(1000-AU320*DD320))/(100*CV320)</f>
        <v>0</v>
      </c>
      <c r="AH320">
        <f>1000*DH320*AU320*(DD320-DE320)/(100*CV320*(1000-AU320*DD320))</f>
        <v>0</v>
      </c>
      <c r="AI320">
        <f>(AJ320 - AK320 - DI320*1E3/(8.314*(DK320+273.15)) * AM320/DH320 * AL320) * DH320/(100*CV320) * (1000 - DE320)/1000</f>
        <v>0</v>
      </c>
      <c r="AJ320">
        <v>384.4769494544109</v>
      </c>
      <c r="AK320">
        <v>344.5646666666665</v>
      </c>
      <c r="AL320">
        <v>3.115999581297927</v>
      </c>
      <c r="AM320">
        <v>66.38195617057868</v>
      </c>
      <c r="AN320">
        <f>(AP320 - AO320 + DI320*1E3/(8.314*(DK320+273.15)) * AR320/DH320 * AQ320) * DH320/(100*CV320) * 1000/(1000 - AP320)</f>
        <v>0</v>
      </c>
      <c r="AO320">
        <v>9.357499958255909</v>
      </c>
      <c r="AP320">
        <v>18.68240352941176</v>
      </c>
      <c r="AQ320">
        <v>-2.922724885186386E-05</v>
      </c>
      <c r="AR320">
        <v>80.47178418790507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MAX(0,($B$13+$C$13*DP320)/(1+$D$13*DP320)*DI320/(DK320+273)*$E$13)</f>
        <v>0</v>
      </c>
      <c r="AX320" t="s">
        <v>417</v>
      </c>
      <c r="AY320" t="s">
        <v>417</v>
      </c>
      <c r="AZ320">
        <v>0</v>
      </c>
      <c r="BA320">
        <v>0</v>
      </c>
      <c r="BB320">
        <f>1-AZ320/BA320</f>
        <v>0</v>
      </c>
      <c r="BC320">
        <v>0</v>
      </c>
      <c r="BD320" t="s">
        <v>417</v>
      </c>
      <c r="BE320" t="s">
        <v>417</v>
      </c>
      <c r="BF320">
        <v>0</v>
      </c>
      <c r="BG320">
        <v>0</v>
      </c>
      <c r="BH320">
        <f>1-BF320/BG320</f>
        <v>0</v>
      </c>
      <c r="BI320">
        <v>0.5</v>
      </c>
      <c r="BJ320">
        <f>CS320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417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BZ320">
        <v>1249</v>
      </c>
      <c r="CA320">
        <v>300</v>
      </c>
      <c r="CB320">
        <v>300</v>
      </c>
      <c r="CC320">
        <v>300</v>
      </c>
      <c r="CD320">
        <v>10442.4</v>
      </c>
      <c r="CE320">
        <v>1239.69</v>
      </c>
      <c r="CF320">
        <v>-0.00735276</v>
      </c>
      <c r="CG320">
        <v>0.07000000000000001</v>
      </c>
      <c r="CH320" t="s">
        <v>417</v>
      </c>
      <c r="CI320" t="s">
        <v>417</v>
      </c>
      <c r="CJ320" t="s">
        <v>417</v>
      </c>
      <c r="CK320" t="s">
        <v>417</v>
      </c>
      <c r="CL320" t="s">
        <v>417</v>
      </c>
      <c r="CM320" t="s">
        <v>417</v>
      </c>
      <c r="CN320" t="s">
        <v>417</v>
      </c>
      <c r="CO320" t="s">
        <v>417</v>
      </c>
      <c r="CP320" t="s">
        <v>417</v>
      </c>
      <c r="CQ320" t="s">
        <v>417</v>
      </c>
      <c r="CR320">
        <f>$B$11*DQ320+$C$11*DR320+$F$11*EC320*(1-EF320)</f>
        <v>0</v>
      </c>
      <c r="CS320">
        <f>CR320*CT320</f>
        <v>0</v>
      </c>
      <c r="CT320">
        <f>($B$11*$D$9+$C$11*$D$9+$F$11*((EP320+EH320)/MAX(EP320+EH320+EQ320, 0.1)*$I$9+EQ320/MAX(EP320+EH320+EQ320, 0.1)*$J$9))/($B$11+$C$11+$F$11)</f>
        <v>0</v>
      </c>
      <c r="CU320">
        <f>($B$11*$K$9+$C$11*$K$9+$F$11*((EP320+EH320)/MAX(EP320+EH320+EQ320, 0.1)*$P$9+EQ320/MAX(EP320+EH320+EQ320, 0.1)*$Q$9))/($B$11+$C$11+$F$11)</f>
        <v>0</v>
      </c>
      <c r="CV320">
        <v>6</v>
      </c>
      <c r="CW320">
        <v>0.5</v>
      </c>
      <c r="CX320" t="s">
        <v>418</v>
      </c>
      <c r="CY320">
        <v>2</v>
      </c>
      <c r="CZ320" t="b">
        <v>1</v>
      </c>
      <c r="DA320">
        <v>1651866370.625</v>
      </c>
      <c r="DB320">
        <v>335.451</v>
      </c>
      <c r="DC320">
        <v>385.692</v>
      </c>
      <c r="DD320">
        <v>18.6827</v>
      </c>
      <c r="DE320">
        <v>9.316335</v>
      </c>
      <c r="DF320">
        <v>336.2605</v>
      </c>
      <c r="DG320">
        <v>18.6574</v>
      </c>
      <c r="DH320">
        <v>499.9854999999999</v>
      </c>
      <c r="DI320">
        <v>89.92082500000001</v>
      </c>
      <c r="DJ320">
        <v>0.09994545000000001</v>
      </c>
      <c r="DK320">
        <v>25.9177</v>
      </c>
      <c r="DL320">
        <v>25.00045</v>
      </c>
      <c r="DM320">
        <v>999.9</v>
      </c>
      <c r="DN320">
        <v>0</v>
      </c>
      <c r="DO320">
        <v>0</v>
      </c>
      <c r="DP320">
        <v>10008.75</v>
      </c>
      <c r="DQ320">
        <v>0</v>
      </c>
      <c r="DR320">
        <v>3.20629</v>
      </c>
      <c r="DS320">
        <v>-50.240925</v>
      </c>
      <c r="DT320">
        <v>341.8375</v>
      </c>
      <c r="DU320">
        <v>389.31875</v>
      </c>
      <c r="DV320">
        <v>9.3663825</v>
      </c>
      <c r="DW320">
        <v>385.692</v>
      </c>
      <c r="DX320">
        <v>9.316335</v>
      </c>
      <c r="DY320">
        <v>1.6799675</v>
      </c>
      <c r="DZ320">
        <v>0.83773275</v>
      </c>
      <c r="EA320">
        <v>14.712525</v>
      </c>
      <c r="EB320">
        <v>4.3632525</v>
      </c>
      <c r="EC320">
        <v>1499.97</v>
      </c>
      <c r="ED320">
        <v>0.9729954999999999</v>
      </c>
      <c r="EE320">
        <v>0.0270042</v>
      </c>
      <c r="EF320">
        <v>0</v>
      </c>
      <c r="EG320">
        <v>863.0794999999999</v>
      </c>
      <c r="EH320">
        <v>5.00097</v>
      </c>
      <c r="EI320">
        <v>12898.025</v>
      </c>
      <c r="EJ320">
        <v>12491.35</v>
      </c>
      <c r="EK320">
        <v>39.187</v>
      </c>
      <c r="EL320">
        <v>40.82774999999999</v>
      </c>
      <c r="EM320">
        <v>39.5155</v>
      </c>
      <c r="EN320">
        <v>41.125</v>
      </c>
      <c r="EO320">
        <v>40.062</v>
      </c>
      <c r="EP320">
        <v>1454.6</v>
      </c>
      <c r="EQ320">
        <v>40.37</v>
      </c>
      <c r="ER320">
        <v>0</v>
      </c>
      <c r="ES320">
        <v>889.4000000953674</v>
      </c>
      <c r="ET320">
        <v>0</v>
      </c>
      <c r="EU320">
        <v>856.5396</v>
      </c>
      <c r="EV320">
        <v>64.1068461727197</v>
      </c>
      <c r="EW320">
        <v>931.5153846618222</v>
      </c>
      <c r="EX320">
        <v>12802.056</v>
      </c>
      <c r="EY320">
        <v>15</v>
      </c>
      <c r="EZ320">
        <v>1651865518.1</v>
      </c>
      <c r="FA320" t="s">
        <v>910</v>
      </c>
      <c r="FB320">
        <v>1651865507.1</v>
      </c>
      <c r="FC320">
        <v>1651865518.1</v>
      </c>
      <c r="FD320">
        <v>8</v>
      </c>
      <c r="FE320">
        <v>0.06</v>
      </c>
      <c r="FF320">
        <v>0</v>
      </c>
      <c r="FG320">
        <v>-0.927</v>
      </c>
      <c r="FH320">
        <v>-0.062</v>
      </c>
      <c r="FI320">
        <v>400</v>
      </c>
      <c r="FJ320">
        <v>11</v>
      </c>
      <c r="FK320">
        <v>0.11</v>
      </c>
      <c r="FL320">
        <v>0.01</v>
      </c>
      <c r="FM320">
        <v>-47.25810249999999</v>
      </c>
      <c r="FN320">
        <v>-19.02051669793611</v>
      </c>
      <c r="FO320">
        <v>1.830866061661461</v>
      </c>
      <c r="FP320">
        <v>-1</v>
      </c>
      <c r="FQ320">
        <v>9.297915750000001</v>
      </c>
      <c r="FR320">
        <v>0.3174834146341348</v>
      </c>
      <c r="FS320">
        <v>0.03160202753681329</v>
      </c>
      <c r="FT320">
        <v>-1</v>
      </c>
      <c r="FU320">
        <v>0</v>
      </c>
      <c r="FV320">
        <v>0</v>
      </c>
      <c r="FW320">
        <v>0</v>
      </c>
      <c r="FX320">
        <v>-1</v>
      </c>
      <c r="FY320">
        <v>0</v>
      </c>
      <c r="FZ320">
        <v>0</v>
      </c>
      <c r="GA320" t="s">
        <v>420</v>
      </c>
      <c r="GB320">
        <v>2.98138</v>
      </c>
      <c r="GC320">
        <v>2.70624</v>
      </c>
      <c r="GD320">
        <v>0.0794425</v>
      </c>
      <c r="GE320">
        <v>0.08753619999999999</v>
      </c>
      <c r="GF320">
        <v>0.0889057</v>
      </c>
      <c r="GG320">
        <v>0.0523938</v>
      </c>
      <c r="GH320">
        <v>29088.5</v>
      </c>
      <c r="GI320">
        <v>28895.5</v>
      </c>
      <c r="GJ320">
        <v>29376.7</v>
      </c>
      <c r="GK320">
        <v>29291.9</v>
      </c>
      <c r="GL320">
        <v>35437.6</v>
      </c>
      <c r="GM320">
        <v>36975.5</v>
      </c>
      <c r="GN320">
        <v>41348.1</v>
      </c>
      <c r="GO320">
        <v>41811.6</v>
      </c>
      <c r="GP320">
        <v>1.96672</v>
      </c>
      <c r="GQ320">
        <v>1.85322</v>
      </c>
      <c r="GR320">
        <v>-0.00506639</v>
      </c>
      <c r="GS320">
        <v>0</v>
      </c>
      <c r="GT320">
        <v>25.0931</v>
      </c>
      <c r="GU320">
        <v>999.9</v>
      </c>
      <c r="GV320">
        <v>29.7</v>
      </c>
      <c r="GW320">
        <v>34.2</v>
      </c>
      <c r="GX320">
        <v>17.8457</v>
      </c>
      <c r="GY320">
        <v>62.7176</v>
      </c>
      <c r="GZ320">
        <v>35.4768</v>
      </c>
      <c r="HA320">
        <v>1</v>
      </c>
      <c r="HB320">
        <v>0.045127</v>
      </c>
      <c r="HC320">
        <v>1.4665</v>
      </c>
      <c r="HD320">
        <v>20.3277</v>
      </c>
      <c r="HE320">
        <v>5.21744</v>
      </c>
      <c r="HF320">
        <v>12.0099</v>
      </c>
      <c r="HG320">
        <v>4.9882</v>
      </c>
      <c r="HH320">
        <v>3.2885</v>
      </c>
      <c r="HI320">
        <v>1031.7</v>
      </c>
      <c r="HJ320">
        <v>9737.299999999999</v>
      </c>
      <c r="HK320">
        <v>5139.4</v>
      </c>
      <c r="HL320">
        <v>25.3</v>
      </c>
      <c r="HM320">
        <v>1.86747</v>
      </c>
      <c r="HN320">
        <v>1.86646</v>
      </c>
      <c r="HO320">
        <v>1.866</v>
      </c>
      <c r="HP320">
        <v>1.86584</v>
      </c>
      <c r="HQ320">
        <v>1.86768</v>
      </c>
      <c r="HR320">
        <v>1.87021</v>
      </c>
      <c r="HS320">
        <v>1.8689</v>
      </c>
      <c r="HT320">
        <v>1.87022</v>
      </c>
      <c r="HU320">
        <v>0</v>
      </c>
      <c r="HV320">
        <v>0</v>
      </c>
      <c r="HW320">
        <v>0</v>
      </c>
      <c r="HX320">
        <v>0</v>
      </c>
      <c r="HY320" t="s">
        <v>421</v>
      </c>
      <c r="HZ320" t="s">
        <v>422</v>
      </c>
      <c r="IA320" t="s">
        <v>423</v>
      </c>
      <c r="IB320" t="s">
        <v>423</v>
      </c>
      <c r="IC320" t="s">
        <v>423</v>
      </c>
      <c r="ID320" t="s">
        <v>423</v>
      </c>
      <c r="IE320">
        <v>0</v>
      </c>
      <c r="IF320">
        <v>100</v>
      </c>
      <c r="IG320">
        <v>100</v>
      </c>
      <c r="IH320">
        <v>-0.8169999999999999</v>
      </c>
      <c r="II320">
        <v>0.0253</v>
      </c>
      <c r="IJ320">
        <v>-0.1559367209035702</v>
      </c>
      <c r="IK320">
        <v>-0.002077099775823331</v>
      </c>
      <c r="IL320">
        <v>4.593143279902166E-07</v>
      </c>
      <c r="IM320">
        <v>-1.865383991892071E-10</v>
      </c>
      <c r="IN320">
        <v>-0.0607165066849496</v>
      </c>
      <c r="IO320">
        <v>-0.01129461987421345</v>
      </c>
      <c r="IP320">
        <v>0.00116580895745559</v>
      </c>
      <c r="IQ320">
        <v>-1.679085872906199E-05</v>
      </c>
      <c r="IR320">
        <v>2</v>
      </c>
      <c r="IS320">
        <v>2290</v>
      </c>
      <c r="IT320">
        <v>0</v>
      </c>
      <c r="IU320">
        <v>32</v>
      </c>
      <c r="IV320">
        <v>14.4</v>
      </c>
      <c r="IW320">
        <v>14.2</v>
      </c>
      <c r="IX320">
        <v>1.01074</v>
      </c>
      <c r="IY320">
        <v>2.21802</v>
      </c>
      <c r="IZ320">
        <v>1.39648</v>
      </c>
      <c r="JA320">
        <v>2.35474</v>
      </c>
      <c r="JB320">
        <v>1.49536</v>
      </c>
      <c r="JC320">
        <v>2.36206</v>
      </c>
      <c r="JD320">
        <v>38.0134</v>
      </c>
      <c r="JE320">
        <v>24.0437</v>
      </c>
      <c r="JF320">
        <v>18</v>
      </c>
      <c r="JG320">
        <v>512.458</v>
      </c>
      <c r="JH320">
        <v>425.703</v>
      </c>
      <c r="JI320">
        <v>23.1619</v>
      </c>
      <c r="JJ320">
        <v>27.9132</v>
      </c>
      <c r="JK320">
        <v>29.9999</v>
      </c>
      <c r="JL320">
        <v>27.9363</v>
      </c>
      <c r="JM320">
        <v>27.8816</v>
      </c>
      <c r="JN320">
        <v>20.2921</v>
      </c>
      <c r="JO320">
        <v>45.4933</v>
      </c>
      <c r="JP320">
        <v>0</v>
      </c>
      <c r="JQ320">
        <v>23.1648</v>
      </c>
      <c r="JR320">
        <v>412.059</v>
      </c>
      <c r="JS320">
        <v>9.249700000000001</v>
      </c>
      <c r="JT320">
        <v>100.414</v>
      </c>
      <c r="JU320">
        <v>100.348</v>
      </c>
    </row>
    <row r="321" spans="1:281">
      <c r="A321">
        <v>305</v>
      </c>
      <c r="B321">
        <v>1651866374</v>
      </c>
      <c r="C321">
        <v>2153.400000095367</v>
      </c>
      <c r="D321" t="s">
        <v>1033</v>
      </c>
      <c r="E321" t="s">
        <v>1034</v>
      </c>
      <c r="F321">
        <v>2</v>
      </c>
      <c r="G321" t="s">
        <v>908</v>
      </c>
      <c r="H321" t="s">
        <v>414</v>
      </c>
      <c r="I321">
        <v>1651866373</v>
      </c>
      <c r="J321">
        <f>(K321)/1000</f>
        <v>0</v>
      </c>
      <c r="K321">
        <f>IF(CZ321, AN321, AH321)</f>
        <v>0</v>
      </c>
      <c r="L321">
        <f>IF(CZ321, AI321, AG321)</f>
        <v>0</v>
      </c>
      <c r="M321">
        <f>DB321 - IF(AU321&gt;1, L321*CV321*100.0/(AW321*DP321), 0)</f>
        <v>0</v>
      </c>
      <c r="N321">
        <f>((T321-J321/2)*M321-L321)/(T321+J321/2)</f>
        <v>0</v>
      </c>
      <c r="O321">
        <f>N321*(DI321+DJ321)/1000.0</f>
        <v>0</v>
      </c>
      <c r="P321">
        <f>(DB321 - IF(AU321&gt;1, L321*CV321*100.0/(AW321*DP321), 0))*(DI321+DJ321)/1000.0</f>
        <v>0</v>
      </c>
      <c r="Q321">
        <f>2.0/((1/S321-1/R321)+SIGN(S321)*SQRT((1/S321-1/R321)*(1/S321-1/R321) + 4*CW321/((CW321+1)*(CW321+1))*(2*1/S321*1/R321-1/R321*1/R321)))</f>
        <v>0</v>
      </c>
      <c r="R321">
        <f>IF(LEFT(CX321,1)&lt;&gt;"0",IF(LEFT(CX321,1)="1",3.0,CY321),$D$5+$E$5*(DP321*DI321/($K$5*1000))+$F$5*(DP321*DI321/($K$5*1000))*MAX(MIN(CV321,$J$5),$I$5)*MAX(MIN(CV321,$J$5),$I$5)+$G$5*MAX(MIN(CV321,$J$5),$I$5)*(DP321*DI321/($K$5*1000))+$H$5*(DP321*DI321/($K$5*1000))*(DP321*DI321/($K$5*1000)))</f>
        <v>0</v>
      </c>
      <c r="S321">
        <f>J321*(1000-(1000*0.61365*exp(17.502*W321/(240.97+W321))/(DI321+DJ321)+DD321)/2)/(1000*0.61365*exp(17.502*W321/(240.97+W321))/(DI321+DJ321)-DD321)</f>
        <v>0</v>
      </c>
      <c r="T321">
        <f>1/((CW321+1)/(Q321/1.6)+1/(R321/1.37)) + CW321/((CW321+1)/(Q321/1.6) + CW321/(R321/1.37))</f>
        <v>0</v>
      </c>
      <c r="U321">
        <f>(CR321*CU321)</f>
        <v>0</v>
      </c>
      <c r="V321">
        <f>(DK321+(U321+2*0.95*5.67E-8*(((DK321+$B$7)+273)^4-(DK321+273)^4)-44100*J321)/(1.84*29.3*R321+8*0.95*5.67E-8*(DK321+273)^3))</f>
        <v>0</v>
      </c>
      <c r="W321">
        <f>($C$7*DL321+$D$7*DM321+$E$7*V321)</f>
        <v>0</v>
      </c>
      <c r="X321">
        <f>0.61365*exp(17.502*W321/(240.97+W321))</f>
        <v>0</v>
      </c>
      <c r="Y321">
        <f>(Z321/AA321*100)</f>
        <v>0</v>
      </c>
      <c r="Z321">
        <f>DD321*(DI321+DJ321)/1000</f>
        <v>0</v>
      </c>
      <c r="AA321">
        <f>0.61365*exp(17.502*DK321/(240.97+DK321))</f>
        <v>0</v>
      </c>
      <c r="AB321">
        <f>(X321-DD321*(DI321+DJ321)/1000)</f>
        <v>0</v>
      </c>
      <c r="AC321">
        <f>(-J321*44100)</f>
        <v>0</v>
      </c>
      <c r="AD321">
        <f>2*29.3*R321*0.92*(DK321-W321)</f>
        <v>0</v>
      </c>
      <c r="AE321">
        <f>2*0.95*5.67E-8*(((DK321+$B$7)+273)^4-(W321+273)^4)</f>
        <v>0</v>
      </c>
      <c r="AF321">
        <f>U321+AE321+AC321+AD321</f>
        <v>0</v>
      </c>
      <c r="AG321">
        <f>DH321*AU321*(DC321-DB321*(1000-AU321*DE321)/(1000-AU321*DD321))/(100*CV321)</f>
        <v>0</v>
      </c>
      <c r="AH321">
        <f>1000*DH321*AU321*(DD321-DE321)/(100*CV321*(1000-AU321*DD321))</f>
        <v>0</v>
      </c>
      <c r="AI321">
        <f>(AJ321 - AK321 - DI321*1E3/(8.314*(DK321+273.15)) * AM321/DH321 * AL321) * DH321/(100*CV321) * (1000 - DE321)/1000</f>
        <v>0</v>
      </c>
      <c r="AJ321">
        <v>391.4249004944979</v>
      </c>
      <c r="AK321">
        <v>350.8713696969696</v>
      </c>
      <c r="AL321">
        <v>3.13969383239238</v>
      </c>
      <c r="AM321">
        <v>66.38195617057868</v>
      </c>
      <c r="AN321">
        <f>(AP321 - AO321 + DI321*1E3/(8.314*(DK321+273.15)) * AR321/DH321 * AQ321) * DH321/(100*CV321) * 1000/(1000 - AP321)</f>
        <v>0</v>
      </c>
      <c r="AO321">
        <v>9.334814992534158</v>
      </c>
      <c r="AP321">
        <v>18.67185676470589</v>
      </c>
      <c r="AQ321">
        <v>2.612592248770848E-05</v>
      </c>
      <c r="AR321">
        <v>80.47178418790507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MAX(0,($B$13+$C$13*DP321)/(1+$D$13*DP321)*DI321/(DK321+273)*$E$13)</f>
        <v>0</v>
      </c>
      <c r="AX321" t="s">
        <v>417</v>
      </c>
      <c r="AY321" t="s">
        <v>417</v>
      </c>
      <c r="AZ321">
        <v>0</v>
      </c>
      <c r="BA321">
        <v>0</v>
      </c>
      <c r="BB321">
        <f>1-AZ321/BA321</f>
        <v>0</v>
      </c>
      <c r="BC321">
        <v>0</v>
      </c>
      <c r="BD321" t="s">
        <v>417</v>
      </c>
      <c r="BE321" t="s">
        <v>417</v>
      </c>
      <c r="BF321">
        <v>0</v>
      </c>
      <c r="BG321">
        <v>0</v>
      </c>
      <c r="BH321">
        <f>1-BF321/BG321</f>
        <v>0</v>
      </c>
      <c r="BI321">
        <v>0.5</v>
      </c>
      <c r="BJ321">
        <f>CS321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417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BZ321">
        <v>1249</v>
      </c>
      <c r="CA321">
        <v>300</v>
      </c>
      <c r="CB321">
        <v>300</v>
      </c>
      <c r="CC321">
        <v>300</v>
      </c>
      <c r="CD321">
        <v>10442.4</v>
      </c>
      <c r="CE321">
        <v>1239.69</v>
      </c>
      <c r="CF321">
        <v>-0.00735276</v>
      </c>
      <c r="CG321">
        <v>0.07000000000000001</v>
      </c>
      <c r="CH321" t="s">
        <v>417</v>
      </c>
      <c r="CI321" t="s">
        <v>417</v>
      </c>
      <c r="CJ321" t="s">
        <v>417</v>
      </c>
      <c r="CK321" t="s">
        <v>417</v>
      </c>
      <c r="CL321" t="s">
        <v>417</v>
      </c>
      <c r="CM321" t="s">
        <v>417</v>
      </c>
      <c r="CN321" t="s">
        <v>417</v>
      </c>
      <c r="CO321" t="s">
        <v>417</v>
      </c>
      <c r="CP321" t="s">
        <v>417</v>
      </c>
      <c r="CQ321" t="s">
        <v>417</v>
      </c>
      <c r="CR321">
        <f>$B$11*DQ321+$C$11*DR321+$F$11*EC321*(1-EF321)</f>
        <v>0</v>
      </c>
      <c r="CS321">
        <f>CR321*CT321</f>
        <v>0</v>
      </c>
      <c r="CT321">
        <f>($B$11*$D$9+$C$11*$D$9+$F$11*((EP321+EH321)/MAX(EP321+EH321+EQ321, 0.1)*$I$9+EQ321/MAX(EP321+EH321+EQ321, 0.1)*$J$9))/($B$11+$C$11+$F$11)</f>
        <v>0</v>
      </c>
      <c r="CU321">
        <f>($B$11*$K$9+$C$11*$K$9+$F$11*((EP321+EH321)/MAX(EP321+EH321+EQ321, 0.1)*$P$9+EQ321/MAX(EP321+EH321+EQ321, 0.1)*$Q$9))/($B$11+$C$11+$F$11)</f>
        <v>0</v>
      </c>
      <c r="CV321">
        <v>6</v>
      </c>
      <c r="CW321">
        <v>0.5</v>
      </c>
      <c r="CX321" t="s">
        <v>418</v>
      </c>
      <c r="CY321">
        <v>2</v>
      </c>
      <c r="CZ321" t="b">
        <v>1</v>
      </c>
      <c r="DA321">
        <v>1651866373</v>
      </c>
      <c r="DB321">
        <v>342.7739999999999</v>
      </c>
      <c r="DC321">
        <v>393.794</v>
      </c>
      <c r="DD321">
        <v>18.67346666666667</v>
      </c>
      <c r="DE321">
        <v>9.283746666666667</v>
      </c>
      <c r="DF321">
        <v>343.597</v>
      </c>
      <c r="DG321">
        <v>18.64826666666667</v>
      </c>
      <c r="DH321">
        <v>500.0446666666667</v>
      </c>
      <c r="DI321">
        <v>89.92103333333334</v>
      </c>
      <c r="DJ321">
        <v>0.09992553333333332</v>
      </c>
      <c r="DK321">
        <v>25.922</v>
      </c>
      <c r="DL321">
        <v>25.0062</v>
      </c>
      <c r="DM321">
        <v>999.9</v>
      </c>
      <c r="DN321">
        <v>0</v>
      </c>
      <c r="DO321">
        <v>0</v>
      </c>
      <c r="DP321">
        <v>10017.9</v>
      </c>
      <c r="DQ321">
        <v>0</v>
      </c>
      <c r="DR321">
        <v>3.205236666666667</v>
      </c>
      <c r="DS321">
        <v>-51.02016666666666</v>
      </c>
      <c r="DT321">
        <v>349.2966666666666</v>
      </c>
      <c r="DU321">
        <v>397.484</v>
      </c>
      <c r="DV321">
        <v>9.38969</v>
      </c>
      <c r="DW321">
        <v>393.794</v>
      </c>
      <c r="DX321">
        <v>9.283746666666667</v>
      </c>
      <c r="DY321">
        <v>1.679133333333333</v>
      </c>
      <c r="DZ321">
        <v>0.8348040000000001</v>
      </c>
      <c r="EA321">
        <v>14.7049</v>
      </c>
      <c r="EB321">
        <v>4.313300000000001</v>
      </c>
      <c r="EC321">
        <v>1500.043333333333</v>
      </c>
      <c r="ED321">
        <v>0.9729946666666667</v>
      </c>
      <c r="EE321">
        <v>0.0270051</v>
      </c>
      <c r="EF321">
        <v>0</v>
      </c>
      <c r="EG321">
        <v>866.1586666666667</v>
      </c>
      <c r="EH321">
        <v>5.00097</v>
      </c>
      <c r="EI321">
        <v>12940.46666666667</v>
      </c>
      <c r="EJ321">
        <v>12491.93333333333</v>
      </c>
      <c r="EK321">
        <v>39.16633333333333</v>
      </c>
      <c r="EL321">
        <v>40.75</v>
      </c>
      <c r="EM321">
        <v>39.5</v>
      </c>
      <c r="EN321">
        <v>41.04133333333333</v>
      </c>
      <c r="EO321">
        <v>40.04133333333333</v>
      </c>
      <c r="EP321">
        <v>1454.67</v>
      </c>
      <c r="EQ321">
        <v>40.37333333333333</v>
      </c>
      <c r="ER321">
        <v>0</v>
      </c>
      <c r="ES321">
        <v>891.2000000476837</v>
      </c>
      <c r="ET321">
        <v>0</v>
      </c>
      <c r="EU321">
        <v>858.1860384615385</v>
      </c>
      <c r="EV321">
        <v>66.43046146786816</v>
      </c>
      <c r="EW321">
        <v>962.5914516786368</v>
      </c>
      <c r="EX321">
        <v>12825.78461538461</v>
      </c>
      <c r="EY321">
        <v>15</v>
      </c>
      <c r="EZ321">
        <v>1651865518.1</v>
      </c>
      <c r="FA321" t="s">
        <v>910</v>
      </c>
      <c r="FB321">
        <v>1651865507.1</v>
      </c>
      <c r="FC321">
        <v>1651865518.1</v>
      </c>
      <c r="FD321">
        <v>8</v>
      </c>
      <c r="FE321">
        <v>0.06</v>
      </c>
      <c r="FF321">
        <v>0</v>
      </c>
      <c r="FG321">
        <v>-0.927</v>
      </c>
      <c r="FH321">
        <v>-0.062</v>
      </c>
      <c r="FI321">
        <v>400</v>
      </c>
      <c r="FJ321">
        <v>11</v>
      </c>
      <c r="FK321">
        <v>0.11</v>
      </c>
      <c r="FL321">
        <v>0.01</v>
      </c>
      <c r="FM321">
        <v>-47.98154634146341</v>
      </c>
      <c r="FN321">
        <v>-19.02377142857145</v>
      </c>
      <c r="FO321">
        <v>1.876910335722054</v>
      </c>
      <c r="FP321">
        <v>-1</v>
      </c>
      <c r="FQ321">
        <v>9.312492439024389</v>
      </c>
      <c r="FR321">
        <v>0.3928720557491469</v>
      </c>
      <c r="FS321">
        <v>0.04002829223707917</v>
      </c>
      <c r="FT321">
        <v>-1</v>
      </c>
      <c r="FU321">
        <v>0</v>
      </c>
      <c r="FV321">
        <v>0</v>
      </c>
      <c r="FW321">
        <v>0</v>
      </c>
      <c r="FX321">
        <v>-1</v>
      </c>
      <c r="FY321">
        <v>0</v>
      </c>
      <c r="FZ321">
        <v>0</v>
      </c>
      <c r="GA321" t="s">
        <v>420</v>
      </c>
      <c r="GB321">
        <v>2.98148</v>
      </c>
      <c r="GC321">
        <v>2.70629</v>
      </c>
      <c r="GD321">
        <v>0.0805887</v>
      </c>
      <c r="GE321">
        <v>0.08869349999999999</v>
      </c>
      <c r="GF321">
        <v>0.08887200000000001</v>
      </c>
      <c r="GG321">
        <v>0.0523415</v>
      </c>
      <c r="GH321">
        <v>29052.3</v>
      </c>
      <c r="GI321">
        <v>28859</v>
      </c>
      <c r="GJ321">
        <v>29376.7</v>
      </c>
      <c r="GK321">
        <v>29292</v>
      </c>
      <c r="GL321">
        <v>35439</v>
      </c>
      <c r="GM321">
        <v>36977.6</v>
      </c>
      <c r="GN321">
        <v>41348.2</v>
      </c>
      <c r="GO321">
        <v>41811.6</v>
      </c>
      <c r="GP321">
        <v>1.96685</v>
      </c>
      <c r="GQ321">
        <v>1.8534</v>
      </c>
      <c r="GR321">
        <v>-0.00532717</v>
      </c>
      <c r="GS321">
        <v>0</v>
      </c>
      <c r="GT321">
        <v>25.0931</v>
      </c>
      <c r="GU321">
        <v>999.9</v>
      </c>
      <c r="GV321">
        <v>29.7</v>
      </c>
      <c r="GW321">
        <v>34.2</v>
      </c>
      <c r="GX321">
        <v>17.8447</v>
      </c>
      <c r="GY321">
        <v>62.5476</v>
      </c>
      <c r="GZ321">
        <v>35.1522</v>
      </c>
      <c r="HA321">
        <v>1</v>
      </c>
      <c r="HB321">
        <v>0.0452134</v>
      </c>
      <c r="HC321">
        <v>1.46369</v>
      </c>
      <c r="HD321">
        <v>20.3278</v>
      </c>
      <c r="HE321">
        <v>5.21729</v>
      </c>
      <c r="HF321">
        <v>12.0099</v>
      </c>
      <c r="HG321">
        <v>4.98815</v>
      </c>
      <c r="HH321">
        <v>3.28848</v>
      </c>
      <c r="HI321">
        <v>1031.7</v>
      </c>
      <c r="HJ321">
        <v>9737.299999999999</v>
      </c>
      <c r="HK321">
        <v>5139.4</v>
      </c>
      <c r="HL321">
        <v>25.3</v>
      </c>
      <c r="HM321">
        <v>1.86748</v>
      </c>
      <c r="HN321">
        <v>1.86646</v>
      </c>
      <c r="HO321">
        <v>1.866</v>
      </c>
      <c r="HP321">
        <v>1.86584</v>
      </c>
      <c r="HQ321">
        <v>1.86768</v>
      </c>
      <c r="HR321">
        <v>1.8702</v>
      </c>
      <c r="HS321">
        <v>1.8689</v>
      </c>
      <c r="HT321">
        <v>1.87022</v>
      </c>
      <c r="HU321">
        <v>0</v>
      </c>
      <c r="HV321">
        <v>0</v>
      </c>
      <c r="HW321">
        <v>0</v>
      </c>
      <c r="HX321">
        <v>0</v>
      </c>
      <c r="HY321" t="s">
        <v>421</v>
      </c>
      <c r="HZ321" t="s">
        <v>422</v>
      </c>
      <c r="IA321" t="s">
        <v>423</v>
      </c>
      <c r="IB321" t="s">
        <v>423</v>
      </c>
      <c r="IC321" t="s">
        <v>423</v>
      </c>
      <c r="ID321" t="s">
        <v>423</v>
      </c>
      <c r="IE321">
        <v>0</v>
      </c>
      <c r="IF321">
        <v>100</v>
      </c>
      <c r="IG321">
        <v>100</v>
      </c>
      <c r="IH321">
        <v>-0.828</v>
      </c>
      <c r="II321">
        <v>0.0252</v>
      </c>
      <c r="IJ321">
        <v>-0.1559367209035702</v>
      </c>
      <c r="IK321">
        <v>-0.002077099775823331</v>
      </c>
      <c r="IL321">
        <v>4.593143279902166E-07</v>
      </c>
      <c r="IM321">
        <v>-1.865383991892071E-10</v>
      </c>
      <c r="IN321">
        <v>-0.0607165066849496</v>
      </c>
      <c r="IO321">
        <v>-0.01129461987421345</v>
      </c>
      <c r="IP321">
        <v>0.00116580895745559</v>
      </c>
      <c r="IQ321">
        <v>-1.679085872906199E-05</v>
      </c>
      <c r="IR321">
        <v>2</v>
      </c>
      <c r="IS321">
        <v>2290</v>
      </c>
      <c r="IT321">
        <v>0</v>
      </c>
      <c r="IU321">
        <v>32</v>
      </c>
      <c r="IV321">
        <v>14.4</v>
      </c>
      <c r="IW321">
        <v>14.3</v>
      </c>
      <c r="IX321">
        <v>1.02417</v>
      </c>
      <c r="IY321">
        <v>2.21558</v>
      </c>
      <c r="IZ321">
        <v>1.39648</v>
      </c>
      <c r="JA321">
        <v>2.35474</v>
      </c>
      <c r="JB321">
        <v>1.49536</v>
      </c>
      <c r="JC321">
        <v>2.30469</v>
      </c>
      <c r="JD321">
        <v>38.0134</v>
      </c>
      <c r="JE321">
        <v>24.035</v>
      </c>
      <c r="JF321">
        <v>18</v>
      </c>
      <c r="JG321">
        <v>512.534</v>
      </c>
      <c r="JH321">
        <v>425.803</v>
      </c>
      <c r="JI321">
        <v>23.1636</v>
      </c>
      <c r="JJ321">
        <v>27.9132</v>
      </c>
      <c r="JK321">
        <v>30</v>
      </c>
      <c r="JL321">
        <v>27.9357</v>
      </c>
      <c r="JM321">
        <v>27.881</v>
      </c>
      <c r="JN321">
        <v>20.5562</v>
      </c>
      <c r="JO321">
        <v>45.4933</v>
      </c>
      <c r="JP321">
        <v>0</v>
      </c>
      <c r="JQ321">
        <v>23.1648</v>
      </c>
      <c r="JR321">
        <v>418.736</v>
      </c>
      <c r="JS321">
        <v>9.24611</v>
      </c>
      <c r="JT321">
        <v>100.414</v>
      </c>
      <c r="JU321">
        <v>100.348</v>
      </c>
    </row>
    <row r="322" spans="1:281">
      <c r="A322">
        <v>306</v>
      </c>
      <c r="B322">
        <v>1651866376</v>
      </c>
      <c r="C322">
        <v>2155.400000095367</v>
      </c>
      <c r="D322" t="s">
        <v>1035</v>
      </c>
      <c r="E322" t="s">
        <v>1036</v>
      </c>
      <c r="F322">
        <v>2</v>
      </c>
      <c r="G322" t="s">
        <v>908</v>
      </c>
      <c r="H322" t="s">
        <v>414</v>
      </c>
      <c r="I322">
        <v>1651866374.625</v>
      </c>
      <c r="J322">
        <f>(K322)/1000</f>
        <v>0</v>
      </c>
      <c r="K322">
        <f>IF(CZ322, AN322, AH322)</f>
        <v>0</v>
      </c>
      <c r="L322">
        <f>IF(CZ322, AI322, AG322)</f>
        <v>0</v>
      </c>
      <c r="M322">
        <f>DB322 - IF(AU322&gt;1, L322*CV322*100.0/(AW322*DP322), 0)</f>
        <v>0</v>
      </c>
      <c r="N322">
        <f>((T322-J322/2)*M322-L322)/(T322+J322/2)</f>
        <v>0</v>
      </c>
      <c r="O322">
        <f>N322*(DI322+DJ322)/1000.0</f>
        <v>0</v>
      </c>
      <c r="P322">
        <f>(DB322 - IF(AU322&gt;1, L322*CV322*100.0/(AW322*DP322), 0))*(DI322+DJ322)/1000.0</f>
        <v>0</v>
      </c>
      <c r="Q322">
        <f>2.0/((1/S322-1/R322)+SIGN(S322)*SQRT((1/S322-1/R322)*(1/S322-1/R322) + 4*CW322/((CW322+1)*(CW322+1))*(2*1/S322*1/R322-1/R322*1/R322)))</f>
        <v>0</v>
      </c>
      <c r="R322">
        <f>IF(LEFT(CX322,1)&lt;&gt;"0",IF(LEFT(CX322,1)="1",3.0,CY322),$D$5+$E$5*(DP322*DI322/($K$5*1000))+$F$5*(DP322*DI322/($K$5*1000))*MAX(MIN(CV322,$J$5),$I$5)*MAX(MIN(CV322,$J$5),$I$5)+$G$5*MAX(MIN(CV322,$J$5),$I$5)*(DP322*DI322/($K$5*1000))+$H$5*(DP322*DI322/($K$5*1000))*(DP322*DI322/($K$5*1000)))</f>
        <v>0</v>
      </c>
      <c r="S322">
        <f>J322*(1000-(1000*0.61365*exp(17.502*W322/(240.97+W322))/(DI322+DJ322)+DD322)/2)/(1000*0.61365*exp(17.502*W322/(240.97+W322))/(DI322+DJ322)-DD322)</f>
        <v>0</v>
      </c>
      <c r="T322">
        <f>1/((CW322+1)/(Q322/1.6)+1/(R322/1.37)) + CW322/((CW322+1)/(Q322/1.6) + CW322/(R322/1.37))</f>
        <v>0</v>
      </c>
      <c r="U322">
        <f>(CR322*CU322)</f>
        <v>0</v>
      </c>
      <c r="V322">
        <f>(DK322+(U322+2*0.95*5.67E-8*(((DK322+$B$7)+273)^4-(DK322+273)^4)-44100*J322)/(1.84*29.3*R322+8*0.95*5.67E-8*(DK322+273)^3))</f>
        <v>0</v>
      </c>
      <c r="W322">
        <f>($C$7*DL322+$D$7*DM322+$E$7*V322)</f>
        <v>0</v>
      </c>
      <c r="X322">
        <f>0.61365*exp(17.502*W322/(240.97+W322))</f>
        <v>0</v>
      </c>
      <c r="Y322">
        <f>(Z322/AA322*100)</f>
        <v>0</v>
      </c>
      <c r="Z322">
        <f>DD322*(DI322+DJ322)/1000</f>
        <v>0</v>
      </c>
      <c r="AA322">
        <f>0.61365*exp(17.502*DK322/(240.97+DK322))</f>
        <v>0</v>
      </c>
      <c r="AB322">
        <f>(X322-DD322*(DI322+DJ322)/1000)</f>
        <v>0</v>
      </c>
      <c r="AC322">
        <f>(-J322*44100)</f>
        <v>0</v>
      </c>
      <c r="AD322">
        <f>2*29.3*R322*0.92*(DK322-W322)</f>
        <v>0</v>
      </c>
      <c r="AE322">
        <f>2*0.95*5.67E-8*(((DK322+$B$7)+273)^4-(W322+273)^4)</f>
        <v>0</v>
      </c>
      <c r="AF322">
        <f>U322+AE322+AC322+AD322</f>
        <v>0</v>
      </c>
      <c r="AG322">
        <f>DH322*AU322*(DC322-DB322*(1000-AU322*DE322)/(1000-AU322*DD322))/(100*CV322)</f>
        <v>0</v>
      </c>
      <c r="AH322">
        <f>1000*DH322*AU322*(DD322-DE322)/(100*CV322*(1000-AU322*DD322))</f>
        <v>0</v>
      </c>
      <c r="AI322">
        <f>(AJ322 - AK322 - DI322*1E3/(8.314*(DK322+273.15)) * AM322/DH322 * AL322) * DH322/(100*CV322) * (1000 - DE322)/1000</f>
        <v>0</v>
      </c>
      <c r="AJ322">
        <v>398.2591272039228</v>
      </c>
      <c r="AK322">
        <v>357.1243454545454</v>
      </c>
      <c r="AL322">
        <v>3.13316022838278</v>
      </c>
      <c r="AM322">
        <v>66.38195617057868</v>
      </c>
      <c r="AN322">
        <f>(AP322 - AO322 + DI322*1E3/(8.314*(DK322+273.15)) * AR322/DH322 * AQ322) * DH322/(100*CV322) * 1000/(1000 - AP322)</f>
        <v>0</v>
      </c>
      <c r="AO322">
        <v>9.301124173494138</v>
      </c>
      <c r="AP322">
        <v>18.66139529411764</v>
      </c>
      <c r="AQ322">
        <v>-2.023104534086885E-05</v>
      </c>
      <c r="AR322">
        <v>80.47178418790507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MAX(0,($B$13+$C$13*DP322)/(1+$D$13*DP322)*DI322/(DK322+273)*$E$13)</f>
        <v>0</v>
      </c>
      <c r="AX322" t="s">
        <v>417</v>
      </c>
      <c r="AY322" t="s">
        <v>417</v>
      </c>
      <c r="AZ322">
        <v>0</v>
      </c>
      <c r="BA322">
        <v>0</v>
      </c>
      <c r="BB322">
        <f>1-AZ322/BA322</f>
        <v>0</v>
      </c>
      <c r="BC322">
        <v>0</v>
      </c>
      <c r="BD322" t="s">
        <v>417</v>
      </c>
      <c r="BE322" t="s">
        <v>417</v>
      </c>
      <c r="BF322">
        <v>0</v>
      </c>
      <c r="BG322">
        <v>0</v>
      </c>
      <c r="BH322">
        <f>1-BF322/BG322</f>
        <v>0</v>
      </c>
      <c r="BI322">
        <v>0.5</v>
      </c>
      <c r="BJ322">
        <f>CS322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417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BZ322">
        <v>1249</v>
      </c>
      <c r="CA322">
        <v>300</v>
      </c>
      <c r="CB322">
        <v>300</v>
      </c>
      <c r="CC322">
        <v>300</v>
      </c>
      <c r="CD322">
        <v>10442.4</v>
      </c>
      <c r="CE322">
        <v>1239.69</v>
      </c>
      <c r="CF322">
        <v>-0.00735276</v>
      </c>
      <c r="CG322">
        <v>0.07000000000000001</v>
      </c>
      <c r="CH322" t="s">
        <v>417</v>
      </c>
      <c r="CI322" t="s">
        <v>417</v>
      </c>
      <c r="CJ322" t="s">
        <v>417</v>
      </c>
      <c r="CK322" t="s">
        <v>417</v>
      </c>
      <c r="CL322" t="s">
        <v>417</v>
      </c>
      <c r="CM322" t="s">
        <v>417</v>
      </c>
      <c r="CN322" t="s">
        <v>417</v>
      </c>
      <c r="CO322" t="s">
        <v>417</v>
      </c>
      <c r="CP322" t="s">
        <v>417</v>
      </c>
      <c r="CQ322" t="s">
        <v>417</v>
      </c>
      <c r="CR322">
        <f>$B$11*DQ322+$C$11*DR322+$F$11*EC322*(1-EF322)</f>
        <v>0</v>
      </c>
      <c r="CS322">
        <f>CR322*CT322</f>
        <v>0</v>
      </c>
      <c r="CT322">
        <f>($B$11*$D$9+$C$11*$D$9+$F$11*((EP322+EH322)/MAX(EP322+EH322+EQ322, 0.1)*$I$9+EQ322/MAX(EP322+EH322+EQ322, 0.1)*$J$9))/($B$11+$C$11+$F$11)</f>
        <v>0</v>
      </c>
      <c r="CU322">
        <f>($B$11*$K$9+$C$11*$K$9+$F$11*((EP322+EH322)/MAX(EP322+EH322+EQ322, 0.1)*$P$9+EQ322/MAX(EP322+EH322+EQ322, 0.1)*$Q$9))/($B$11+$C$11+$F$11)</f>
        <v>0</v>
      </c>
      <c r="CV322">
        <v>6</v>
      </c>
      <c r="CW322">
        <v>0.5</v>
      </c>
      <c r="CX322" t="s">
        <v>418</v>
      </c>
      <c r="CY322">
        <v>2</v>
      </c>
      <c r="CZ322" t="b">
        <v>1</v>
      </c>
      <c r="DA322">
        <v>1651866374.625</v>
      </c>
      <c r="DB322">
        <v>347.775</v>
      </c>
      <c r="DC322">
        <v>399.171</v>
      </c>
      <c r="DD322">
        <v>18.666425</v>
      </c>
      <c r="DE322">
        <v>9.278662499999999</v>
      </c>
      <c r="DF322">
        <v>348.6075</v>
      </c>
      <c r="DG322">
        <v>18.64135</v>
      </c>
      <c r="DH322">
        <v>500.0719999999999</v>
      </c>
      <c r="DI322">
        <v>89.920275</v>
      </c>
      <c r="DJ322">
        <v>0.09996564999999999</v>
      </c>
      <c r="DK322">
        <v>25.9242</v>
      </c>
      <c r="DL322">
        <v>25.005425</v>
      </c>
      <c r="DM322">
        <v>999.9</v>
      </c>
      <c r="DN322">
        <v>0</v>
      </c>
      <c r="DO322">
        <v>0</v>
      </c>
      <c r="DP322">
        <v>10012.975</v>
      </c>
      <c r="DQ322">
        <v>0</v>
      </c>
      <c r="DR322">
        <v>3.2164775</v>
      </c>
      <c r="DS322">
        <v>-51.3957</v>
      </c>
      <c r="DT322">
        <v>354.39025</v>
      </c>
      <c r="DU322">
        <v>402.90925</v>
      </c>
      <c r="DV322">
        <v>9.387764999999998</v>
      </c>
      <c r="DW322">
        <v>399.171</v>
      </c>
      <c r="DX322">
        <v>9.278662499999999</v>
      </c>
      <c r="DY322">
        <v>1.67849</v>
      </c>
      <c r="DZ322">
        <v>0.83433975</v>
      </c>
      <c r="EA322">
        <v>14.69895</v>
      </c>
      <c r="EB322">
        <v>4.3053675</v>
      </c>
      <c r="EC322">
        <v>1500.0925</v>
      </c>
      <c r="ED322">
        <v>0.9729955</v>
      </c>
      <c r="EE322">
        <v>0.0270042</v>
      </c>
      <c r="EF322">
        <v>0</v>
      </c>
      <c r="EG322">
        <v>867.8174999999999</v>
      </c>
      <c r="EH322">
        <v>5.00097</v>
      </c>
      <c r="EI322">
        <v>12966.6</v>
      </c>
      <c r="EJ322">
        <v>12492.35</v>
      </c>
      <c r="EK322">
        <v>39.156</v>
      </c>
      <c r="EL322">
        <v>40.70274999999999</v>
      </c>
      <c r="EM322">
        <v>39.5</v>
      </c>
      <c r="EN322">
        <v>40.98425</v>
      </c>
      <c r="EO322">
        <v>40</v>
      </c>
      <c r="EP322">
        <v>1454.72</v>
      </c>
      <c r="EQ322">
        <v>40.3725</v>
      </c>
      <c r="ER322">
        <v>0</v>
      </c>
      <c r="ES322">
        <v>893.6000001430511</v>
      </c>
      <c r="ET322">
        <v>0</v>
      </c>
      <c r="EU322">
        <v>860.8476153846154</v>
      </c>
      <c r="EV322">
        <v>67.89935044791515</v>
      </c>
      <c r="EW322">
        <v>999.3025641007748</v>
      </c>
      <c r="EX322">
        <v>12864.51538461539</v>
      </c>
      <c r="EY322">
        <v>15</v>
      </c>
      <c r="EZ322">
        <v>1651865518.1</v>
      </c>
      <c r="FA322" t="s">
        <v>910</v>
      </c>
      <c r="FB322">
        <v>1651865507.1</v>
      </c>
      <c r="FC322">
        <v>1651865518.1</v>
      </c>
      <c r="FD322">
        <v>8</v>
      </c>
      <c r="FE322">
        <v>0.06</v>
      </c>
      <c r="FF322">
        <v>0</v>
      </c>
      <c r="FG322">
        <v>-0.927</v>
      </c>
      <c r="FH322">
        <v>-0.062</v>
      </c>
      <c r="FI322">
        <v>400</v>
      </c>
      <c r="FJ322">
        <v>11</v>
      </c>
      <c r="FK322">
        <v>0.11</v>
      </c>
      <c r="FL322">
        <v>0.01</v>
      </c>
      <c r="FM322">
        <v>-48.52974</v>
      </c>
      <c r="FN322">
        <v>-18.85890056285172</v>
      </c>
      <c r="FO322">
        <v>1.815530900150146</v>
      </c>
      <c r="FP322">
        <v>-1</v>
      </c>
      <c r="FQ322">
        <v>9.322751999999999</v>
      </c>
      <c r="FR322">
        <v>0.425580787992497</v>
      </c>
      <c r="FS322">
        <v>0.04182235366403945</v>
      </c>
      <c r="FT322">
        <v>-1</v>
      </c>
      <c r="FU322">
        <v>0</v>
      </c>
      <c r="FV322">
        <v>0</v>
      </c>
      <c r="FW322">
        <v>0</v>
      </c>
      <c r="FX322">
        <v>-1</v>
      </c>
      <c r="FY322">
        <v>0</v>
      </c>
      <c r="FZ322">
        <v>0</v>
      </c>
      <c r="GA322" t="s">
        <v>420</v>
      </c>
      <c r="GB322">
        <v>2.98153</v>
      </c>
      <c r="GC322">
        <v>2.70622</v>
      </c>
      <c r="GD322">
        <v>0.0817132</v>
      </c>
      <c r="GE322">
        <v>0.089827</v>
      </c>
      <c r="GF322">
        <v>0.0888544</v>
      </c>
      <c r="GG322">
        <v>0.0523277</v>
      </c>
      <c r="GH322">
        <v>29017</v>
      </c>
      <c r="GI322">
        <v>28823.1</v>
      </c>
      <c r="GJ322">
        <v>29376.8</v>
      </c>
      <c r="GK322">
        <v>29292</v>
      </c>
      <c r="GL322">
        <v>35440</v>
      </c>
      <c r="GM322">
        <v>36978.2</v>
      </c>
      <c r="GN322">
        <v>41348.5</v>
      </c>
      <c r="GO322">
        <v>41811.7</v>
      </c>
      <c r="GP322">
        <v>1.96685</v>
      </c>
      <c r="GQ322">
        <v>1.85352</v>
      </c>
      <c r="GR322">
        <v>-0.00543892</v>
      </c>
      <c r="GS322">
        <v>0</v>
      </c>
      <c r="GT322">
        <v>25.0922</v>
      </c>
      <c r="GU322">
        <v>999.9</v>
      </c>
      <c r="GV322">
        <v>29.7</v>
      </c>
      <c r="GW322">
        <v>34.2</v>
      </c>
      <c r="GX322">
        <v>17.845</v>
      </c>
      <c r="GY322">
        <v>62.4976</v>
      </c>
      <c r="GZ322">
        <v>35.2364</v>
      </c>
      <c r="HA322">
        <v>1</v>
      </c>
      <c r="HB322">
        <v>0.0452795</v>
      </c>
      <c r="HC322">
        <v>1.47721</v>
      </c>
      <c r="HD322">
        <v>20.3278</v>
      </c>
      <c r="HE322">
        <v>5.21729</v>
      </c>
      <c r="HF322">
        <v>12.0099</v>
      </c>
      <c r="HG322">
        <v>4.988</v>
      </c>
      <c r="HH322">
        <v>3.28845</v>
      </c>
      <c r="HI322">
        <v>1031.7</v>
      </c>
      <c r="HJ322">
        <v>9737.299999999999</v>
      </c>
      <c r="HK322">
        <v>5139.4</v>
      </c>
      <c r="HL322">
        <v>25.3</v>
      </c>
      <c r="HM322">
        <v>1.86747</v>
      </c>
      <c r="HN322">
        <v>1.86645</v>
      </c>
      <c r="HO322">
        <v>1.866</v>
      </c>
      <c r="HP322">
        <v>1.86584</v>
      </c>
      <c r="HQ322">
        <v>1.86768</v>
      </c>
      <c r="HR322">
        <v>1.87021</v>
      </c>
      <c r="HS322">
        <v>1.86889</v>
      </c>
      <c r="HT322">
        <v>1.87021</v>
      </c>
      <c r="HU322">
        <v>0</v>
      </c>
      <c r="HV322">
        <v>0</v>
      </c>
      <c r="HW322">
        <v>0</v>
      </c>
      <c r="HX322">
        <v>0</v>
      </c>
      <c r="HY322" t="s">
        <v>421</v>
      </c>
      <c r="HZ322" t="s">
        <v>422</v>
      </c>
      <c r="IA322" t="s">
        <v>423</v>
      </c>
      <c r="IB322" t="s">
        <v>423</v>
      </c>
      <c r="IC322" t="s">
        <v>423</v>
      </c>
      <c r="ID322" t="s">
        <v>423</v>
      </c>
      <c r="IE322">
        <v>0</v>
      </c>
      <c r="IF322">
        <v>100</v>
      </c>
      <c r="IG322">
        <v>100</v>
      </c>
      <c r="IH322">
        <v>-0.839</v>
      </c>
      <c r="II322">
        <v>0.025</v>
      </c>
      <c r="IJ322">
        <v>-0.1559367209035702</v>
      </c>
      <c r="IK322">
        <v>-0.002077099775823331</v>
      </c>
      <c r="IL322">
        <v>4.593143279902166E-07</v>
      </c>
      <c r="IM322">
        <v>-1.865383991892071E-10</v>
      </c>
      <c r="IN322">
        <v>-0.0607165066849496</v>
      </c>
      <c r="IO322">
        <v>-0.01129461987421345</v>
      </c>
      <c r="IP322">
        <v>0.00116580895745559</v>
      </c>
      <c r="IQ322">
        <v>-1.679085872906199E-05</v>
      </c>
      <c r="IR322">
        <v>2</v>
      </c>
      <c r="IS322">
        <v>2290</v>
      </c>
      <c r="IT322">
        <v>0</v>
      </c>
      <c r="IU322">
        <v>32</v>
      </c>
      <c r="IV322">
        <v>14.5</v>
      </c>
      <c r="IW322">
        <v>14.3</v>
      </c>
      <c r="IX322">
        <v>1.0376</v>
      </c>
      <c r="IY322">
        <v>2.21802</v>
      </c>
      <c r="IZ322">
        <v>1.39648</v>
      </c>
      <c r="JA322">
        <v>2.35474</v>
      </c>
      <c r="JB322">
        <v>1.49536</v>
      </c>
      <c r="JC322">
        <v>2.29614</v>
      </c>
      <c r="JD322">
        <v>38.0134</v>
      </c>
      <c r="JE322">
        <v>24.035</v>
      </c>
      <c r="JF322">
        <v>18</v>
      </c>
      <c r="JG322">
        <v>512.524</v>
      </c>
      <c r="JH322">
        <v>425.868</v>
      </c>
      <c r="JI322">
        <v>23.1651</v>
      </c>
      <c r="JJ322">
        <v>27.912</v>
      </c>
      <c r="JK322">
        <v>30</v>
      </c>
      <c r="JL322">
        <v>27.9345</v>
      </c>
      <c r="JM322">
        <v>27.8799</v>
      </c>
      <c r="JN322">
        <v>20.8235</v>
      </c>
      <c r="JO322">
        <v>45.4933</v>
      </c>
      <c r="JP322">
        <v>0</v>
      </c>
      <c r="JQ322">
        <v>23.1581</v>
      </c>
      <c r="JR322">
        <v>425.415</v>
      </c>
      <c r="JS322">
        <v>9.23316</v>
      </c>
      <c r="JT322">
        <v>100.415</v>
      </c>
      <c r="JU322">
        <v>100.348</v>
      </c>
    </row>
    <row r="323" spans="1:281">
      <c r="A323">
        <v>307</v>
      </c>
      <c r="B323">
        <v>1651866378</v>
      </c>
      <c r="C323">
        <v>2157.400000095367</v>
      </c>
      <c r="D323" t="s">
        <v>1037</v>
      </c>
      <c r="E323" t="s">
        <v>1038</v>
      </c>
      <c r="F323">
        <v>2</v>
      </c>
      <c r="G323" t="s">
        <v>908</v>
      </c>
      <c r="H323" t="s">
        <v>414</v>
      </c>
      <c r="I323">
        <v>1651866377</v>
      </c>
      <c r="J323">
        <f>(K323)/1000</f>
        <v>0</v>
      </c>
      <c r="K323">
        <f>IF(CZ323, AN323, AH323)</f>
        <v>0</v>
      </c>
      <c r="L323">
        <f>IF(CZ323, AI323, AG323)</f>
        <v>0</v>
      </c>
      <c r="M323">
        <f>DB323 - IF(AU323&gt;1, L323*CV323*100.0/(AW323*DP323), 0)</f>
        <v>0</v>
      </c>
      <c r="N323">
        <f>((T323-J323/2)*M323-L323)/(T323+J323/2)</f>
        <v>0</v>
      </c>
      <c r="O323">
        <f>N323*(DI323+DJ323)/1000.0</f>
        <v>0</v>
      </c>
      <c r="P323">
        <f>(DB323 - IF(AU323&gt;1, L323*CV323*100.0/(AW323*DP323), 0))*(DI323+DJ323)/1000.0</f>
        <v>0</v>
      </c>
      <c r="Q323">
        <f>2.0/((1/S323-1/R323)+SIGN(S323)*SQRT((1/S323-1/R323)*(1/S323-1/R323) + 4*CW323/((CW323+1)*(CW323+1))*(2*1/S323*1/R323-1/R323*1/R323)))</f>
        <v>0</v>
      </c>
      <c r="R323">
        <f>IF(LEFT(CX323,1)&lt;&gt;"0",IF(LEFT(CX323,1)="1",3.0,CY323),$D$5+$E$5*(DP323*DI323/($K$5*1000))+$F$5*(DP323*DI323/($K$5*1000))*MAX(MIN(CV323,$J$5),$I$5)*MAX(MIN(CV323,$J$5),$I$5)+$G$5*MAX(MIN(CV323,$J$5),$I$5)*(DP323*DI323/($K$5*1000))+$H$5*(DP323*DI323/($K$5*1000))*(DP323*DI323/($K$5*1000)))</f>
        <v>0</v>
      </c>
      <c r="S323">
        <f>J323*(1000-(1000*0.61365*exp(17.502*W323/(240.97+W323))/(DI323+DJ323)+DD323)/2)/(1000*0.61365*exp(17.502*W323/(240.97+W323))/(DI323+DJ323)-DD323)</f>
        <v>0</v>
      </c>
      <c r="T323">
        <f>1/((CW323+1)/(Q323/1.6)+1/(R323/1.37)) + CW323/((CW323+1)/(Q323/1.6) + CW323/(R323/1.37))</f>
        <v>0</v>
      </c>
      <c r="U323">
        <f>(CR323*CU323)</f>
        <v>0</v>
      </c>
      <c r="V323">
        <f>(DK323+(U323+2*0.95*5.67E-8*(((DK323+$B$7)+273)^4-(DK323+273)^4)-44100*J323)/(1.84*29.3*R323+8*0.95*5.67E-8*(DK323+273)^3))</f>
        <v>0</v>
      </c>
      <c r="W323">
        <f>($C$7*DL323+$D$7*DM323+$E$7*V323)</f>
        <v>0</v>
      </c>
      <c r="X323">
        <f>0.61365*exp(17.502*W323/(240.97+W323))</f>
        <v>0</v>
      </c>
      <c r="Y323">
        <f>(Z323/AA323*100)</f>
        <v>0</v>
      </c>
      <c r="Z323">
        <f>DD323*(DI323+DJ323)/1000</f>
        <v>0</v>
      </c>
      <c r="AA323">
        <f>0.61365*exp(17.502*DK323/(240.97+DK323))</f>
        <v>0</v>
      </c>
      <c r="AB323">
        <f>(X323-DD323*(DI323+DJ323)/1000)</f>
        <v>0</v>
      </c>
      <c r="AC323">
        <f>(-J323*44100)</f>
        <v>0</v>
      </c>
      <c r="AD323">
        <f>2*29.3*R323*0.92*(DK323-W323)</f>
        <v>0</v>
      </c>
      <c r="AE323">
        <f>2*0.95*5.67E-8*(((DK323+$B$7)+273)^4-(W323+273)^4)</f>
        <v>0</v>
      </c>
      <c r="AF323">
        <f>U323+AE323+AC323+AD323</f>
        <v>0</v>
      </c>
      <c r="AG323">
        <f>DH323*AU323*(DC323-DB323*(1000-AU323*DE323)/(1000-AU323*DD323))/(100*CV323)</f>
        <v>0</v>
      </c>
      <c r="AH323">
        <f>1000*DH323*AU323*(DD323-DE323)/(100*CV323*(1000-AU323*DD323))</f>
        <v>0</v>
      </c>
      <c r="AI323">
        <f>(AJ323 - AK323 - DI323*1E3/(8.314*(DK323+273.15)) * AM323/DH323 * AL323) * DH323/(100*CV323) * (1000 - DE323)/1000</f>
        <v>0</v>
      </c>
      <c r="AJ323">
        <v>404.9354253176555</v>
      </c>
      <c r="AK323">
        <v>363.3668666666667</v>
      </c>
      <c r="AL323">
        <v>3.123133919516202</v>
      </c>
      <c r="AM323">
        <v>66.38195617057868</v>
      </c>
      <c r="AN323">
        <f>(AP323 - AO323 + DI323*1E3/(8.314*(DK323+273.15)) * AR323/DH323 * AQ323) * DH323/(100*CV323) * 1000/(1000 - AP323)</f>
        <v>0</v>
      </c>
      <c r="AO323">
        <v>9.281934842387695</v>
      </c>
      <c r="AP323">
        <v>18.66141029411764</v>
      </c>
      <c r="AQ323">
        <v>-0.005627147675852968</v>
      </c>
      <c r="AR323">
        <v>80.47178418790507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MAX(0,($B$13+$C$13*DP323)/(1+$D$13*DP323)*DI323/(DK323+273)*$E$13)</f>
        <v>0</v>
      </c>
      <c r="AX323" t="s">
        <v>417</v>
      </c>
      <c r="AY323" t="s">
        <v>417</v>
      </c>
      <c r="AZ323">
        <v>0</v>
      </c>
      <c r="BA323">
        <v>0</v>
      </c>
      <c r="BB323">
        <f>1-AZ323/BA323</f>
        <v>0</v>
      </c>
      <c r="BC323">
        <v>0</v>
      </c>
      <c r="BD323" t="s">
        <v>417</v>
      </c>
      <c r="BE323" t="s">
        <v>417</v>
      </c>
      <c r="BF323">
        <v>0</v>
      </c>
      <c r="BG323">
        <v>0</v>
      </c>
      <c r="BH323">
        <f>1-BF323/BG323</f>
        <v>0</v>
      </c>
      <c r="BI323">
        <v>0.5</v>
      </c>
      <c r="BJ323">
        <f>CS323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417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BZ323">
        <v>1249</v>
      </c>
      <c r="CA323">
        <v>300</v>
      </c>
      <c r="CB323">
        <v>300</v>
      </c>
      <c r="CC323">
        <v>300</v>
      </c>
      <c r="CD323">
        <v>10442.4</v>
      </c>
      <c r="CE323">
        <v>1239.69</v>
      </c>
      <c r="CF323">
        <v>-0.00735276</v>
      </c>
      <c r="CG323">
        <v>0.07000000000000001</v>
      </c>
      <c r="CH323" t="s">
        <v>417</v>
      </c>
      <c r="CI323" t="s">
        <v>417</v>
      </c>
      <c r="CJ323" t="s">
        <v>417</v>
      </c>
      <c r="CK323" t="s">
        <v>417</v>
      </c>
      <c r="CL323" t="s">
        <v>417</v>
      </c>
      <c r="CM323" t="s">
        <v>417</v>
      </c>
      <c r="CN323" t="s">
        <v>417</v>
      </c>
      <c r="CO323" t="s">
        <v>417</v>
      </c>
      <c r="CP323" t="s">
        <v>417</v>
      </c>
      <c r="CQ323" t="s">
        <v>417</v>
      </c>
      <c r="CR323">
        <f>$B$11*DQ323+$C$11*DR323+$F$11*EC323*(1-EF323)</f>
        <v>0</v>
      </c>
      <c r="CS323">
        <f>CR323*CT323</f>
        <v>0</v>
      </c>
      <c r="CT323">
        <f>($B$11*$D$9+$C$11*$D$9+$F$11*((EP323+EH323)/MAX(EP323+EH323+EQ323, 0.1)*$I$9+EQ323/MAX(EP323+EH323+EQ323, 0.1)*$J$9))/($B$11+$C$11+$F$11)</f>
        <v>0</v>
      </c>
      <c r="CU323">
        <f>($B$11*$K$9+$C$11*$K$9+$F$11*((EP323+EH323)/MAX(EP323+EH323+EQ323, 0.1)*$P$9+EQ323/MAX(EP323+EH323+EQ323, 0.1)*$Q$9))/($B$11+$C$11+$F$11)</f>
        <v>0</v>
      </c>
      <c r="CV323">
        <v>6</v>
      </c>
      <c r="CW323">
        <v>0.5</v>
      </c>
      <c r="CX323" t="s">
        <v>418</v>
      </c>
      <c r="CY323">
        <v>2</v>
      </c>
      <c r="CZ323" t="b">
        <v>1</v>
      </c>
      <c r="DA323">
        <v>1651866377</v>
      </c>
      <c r="DB323">
        <v>355.051</v>
      </c>
      <c r="DC323">
        <v>407.087</v>
      </c>
      <c r="DD323">
        <v>18.66253333333333</v>
      </c>
      <c r="DE323">
        <v>9.275323333333333</v>
      </c>
      <c r="DF323">
        <v>355.897</v>
      </c>
      <c r="DG323">
        <v>18.6375</v>
      </c>
      <c r="DH323">
        <v>500.0513333333333</v>
      </c>
      <c r="DI323">
        <v>89.92100000000001</v>
      </c>
      <c r="DJ323">
        <v>0.1000694</v>
      </c>
      <c r="DK323">
        <v>25.9261</v>
      </c>
      <c r="DL323">
        <v>25.01243333333333</v>
      </c>
      <c r="DM323">
        <v>999.9</v>
      </c>
      <c r="DN323">
        <v>0</v>
      </c>
      <c r="DO323">
        <v>0</v>
      </c>
      <c r="DP323">
        <v>9992.916666666666</v>
      </c>
      <c r="DQ323">
        <v>0</v>
      </c>
      <c r="DR323">
        <v>3.23193</v>
      </c>
      <c r="DS323">
        <v>-52.0359</v>
      </c>
      <c r="DT323">
        <v>361.8036666666667</v>
      </c>
      <c r="DU323">
        <v>410.8983333333333</v>
      </c>
      <c r="DV323">
        <v>9.387203333333332</v>
      </c>
      <c r="DW323">
        <v>407.087</v>
      </c>
      <c r="DX323">
        <v>9.275323333333333</v>
      </c>
      <c r="DY323">
        <v>1.678153333333333</v>
      </c>
      <c r="DZ323">
        <v>0.8340463333333332</v>
      </c>
      <c r="EA323">
        <v>14.69576666666667</v>
      </c>
      <c r="EB323">
        <v>4.30034</v>
      </c>
      <c r="EC323">
        <v>1500.086666666667</v>
      </c>
      <c r="ED323">
        <v>0.9729963333333332</v>
      </c>
      <c r="EE323">
        <v>0.0270033</v>
      </c>
      <c r="EF323">
        <v>0</v>
      </c>
      <c r="EG323">
        <v>870.7673333333333</v>
      </c>
      <c r="EH323">
        <v>5.00097</v>
      </c>
      <c r="EI323">
        <v>13008.7</v>
      </c>
      <c r="EJ323">
        <v>12492.33333333333</v>
      </c>
      <c r="EK323">
        <v>39.125</v>
      </c>
      <c r="EL323">
        <v>40.66633333333333</v>
      </c>
      <c r="EM323">
        <v>39.5</v>
      </c>
      <c r="EN323">
        <v>40.91633333333333</v>
      </c>
      <c r="EO323">
        <v>39.979</v>
      </c>
      <c r="EP323">
        <v>1454.716666666666</v>
      </c>
      <c r="EQ323">
        <v>40.37</v>
      </c>
      <c r="ER323">
        <v>0</v>
      </c>
      <c r="ES323">
        <v>895.4000000953674</v>
      </c>
      <c r="ET323">
        <v>0</v>
      </c>
      <c r="EU323">
        <v>863.2124799999999</v>
      </c>
      <c r="EV323">
        <v>69.3416153960647</v>
      </c>
      <c r="EW323">
        <v>1015.461538360697</v>
      </c>
      <c r="EX323">
        <v>12899.292</v>
      </c>
      <c r="EY323">
        <v>15</v>
      </c>
      <c r="EZ323">
        <v>1651865518.1</v>
      </c>
      <c r="FA323" t="s">
        <v>910</v>
      </c>
      <c r="FB323">
        <v>1651865507.1</v>
      </c>
      <c r="FC323">
        <v>1651865518.1</v>
      </c>
      <c r="FD323">
        <v>8</v>
      </c>
      <c r="FE323">
        <v>0.06</v>
      </c>
      <c r="FF323">
        <v>0</v>
      </c>
      <c r="FG323">
        <v>-0.927</v>
      </c>
      <c r="FH323">
        <v>-0.062</v>
      </c>
      <c r="FI323">
        <v>400</v>
      </c>
      <c r="FJ323">
        <v>11</v>
      </c>
      <c r="FK323">
        <v>0.11</v>
      </c>
      <c r="FL323">
        <v>0.01</v>
      </c>
      <c r="FM323">
        <v>-49.21637317073171</v>
      </c>
      <c r="FN323">
        <v>-18.55842020905918</v>
      </c>
      <c r="FO323">
        <v>1.831810149261851</v>
      </c>
      <c r="FP323">
        <v>-1</v>
      </c>
      <c r="FQ323">
        <v>9.335572195121951</v>
      </c>
      <c r="FR323">
        <v>0.4195528222996514</v>
      </c>
      <c r="FS323">
        <v>0.04229208035832581</v>
      </c>
      <c r="FT323">
        <v>-1</v>
      </c>
      <c r="FU323">
        <v>0</v>
      </c>
      <c r="FV323">
        <v>0</v>
      </c>
      <c r="FW323">
        <v>0</v>
      </c>
      <c r="FX323">
        <v>-1</v>
      </c>
      <c r="FY323">
        <v>0</v>
      </c>
      <c r="FZ323">
        <v>0</v>
      </c>
      <c r="GA323" t="s">
        <v>420</v>
      </c>
      <c r="GB323">
        <v>2.98141</v>
      </c>
      <c r="GC323">
        <v>2.70614</v>
      </c>
      <c r="GD323">
        <v>0.0828402</v>
      </c>
      <c r="GE323">
        <v>0.0909635</v>
      </c>
      <c r="GF323">
        <v>0.0888516</v>
      </c>
      <c r="GG323">
        <v>0.0523186</v>
      </c>
      <c r="GH323">
        <v>28981.2</v>
      </c>
      <c r="GI323">
        <v>28787</v>
      </c>
      <c r="GJ323">
        <v>29376.7</v>
      </c>
      <c r="GK323">
        <v>29291.9</v>
      </c>
      <c r="GL323">
        <v>35440</v>
      </c>
      <c r="GM323">
        <v>36978.5</v>
      </c>
      <c r="GN323">
        <v>41348.4</v>
      </c>
      <c r="GO323">
        <v>41811.6</v>
      </c>
      <c r="GP323">
        <v>1.96668</v>
      </c>
      <c r="GQ323">
        <v>1.85357</v>
      </c>
      <c r="GR323">
        <v>-0.00476837</v>
      </c>
      <c r="GS323">
        <v>0</v>
      </c>
      <c r="GT323">
        <v>25.0912</v>
      </c>
      <c r="GU323">
        <v>999.9</v>
      </c>
      <c r="GV323">
        <v>29.7</v>
      </c>
      <c r="GW323">
        <v>34.2</v>
      </c>
      <c r="GX323">
        <v>17.8446</v>
      </c>
      <c r="GY323">
        <v>62.3876</v>
      </c>
      <c r="GZ323">
        <v>35.5369</v>
      </c>
      <c r="HA323">
        <v>1</v>
      </c>
      <c r="HB323">
        <v>0.0452719</v>
      </c>
      <c r="HC323">
        <v>1.49732</v>
      </c>
      <c r="HD323">
        <v>20.3278</v>
      </c>
      <c r="HE323">
        <v>5.21729</v>
      </c>
      <c r="HF323">
        <v>12.0099</v>
      </c>
      <c r="HG323">
        <v>4.98805</v>
      </c>
      <c r="HH323">
        <v>3.28848</v>
      </c>
      <c r="HI323">
        <v>1031.7</v>
      </c>
      <c r="HJ323">
        <v>9737.299999999999</v>
      </c>
      <c r="HK323">
        <v>5139.4</v>
      </c>
      <c r="HL323">
        <v>25.3</v>
      </c>
      <c r="HM323">
        <v>1.86746</v>
      </c>
      <c r="HN323">
        <v>1.86645</v>
      </c>
      <c r="HO323">
        <v>1.866</v>
      </c>
      <c r="HP323">
        <v>1.86584</v>
      </c>
      <c r="HQ323">
        <v>1.86768</v>
      </c>
      <c r="HR323">
        <v>1.87021</v>
      </c>
      <c r="HS323">
        <v>1.86888</v>
      </c>
      <c r="HT323">
        <v>1.87022</v>
      </c>
      <c r="HU323">
        <v>0</v>
      </c>
      <c r="HV323">
        <v>0</v>
      </c>
      <c r="HW323">
        <v>0</v>
      </c>
      <c r="HX323">
        <v>0</v>
      </c>
      <c r="HY323" t="s">
        <v>421</v>
      </c>
      <c r="HZ323" t="s">
        <v>422</v>
      </c>
      <c r="IA323" t="s">
        <v>423</v>
      </c>
      <c r="IB323" t="s">
        <v>423</v>
      </c>
      <c r="IC323" t="s">
        <v>423</v>
      </c>
      <c r="ID323" t="s">
        <v>423</v>
      </c>
      <c r="IE323">
        <v>0</v>
      </c>
      <c r="IF323">
        <v>100</v>
      </c>
      <c r="IG323">
        <v>100</v>
      </c>
      <c r="IH323">
        <v>-0.851</v>
      </c>
      <c r="II323">
        <v>0.025</v>
      </c>
      <c r="IJ323">
        <v>-0.1559367209035702</v>
      </c>
      <c r="IK323">
        <v>-0.002077099775823331</v>
      </c>
      <c r="IL323">
        <v>4.593143279902166E-07</v>
      </c>
      <c r="IM323">
        <v>-1.865383991892071E-10</v>
      </c>
      <c r="IN323">
        <v>-0.0607165066849496</v>
      </c>
      <c r="IO323">
        <v>-0.01129461987421345</v>
      </c>
      <c r="IP323">
        <v>0.00116580895745559</v>
      </c>
      <c r="IQ323">
        <v>-1.679085872906199E-05</v>
      </c>
      <c r="IR323">
        <v>2</v>
      </c>
      <c r="IS323">
        <v>2290</v>
      </c>
      <c r="IT323">
        <v>0</v>
      </c>
      <c r="IU323">
        <v>32</v>
      </c>
      <c r="IV323">
        <v>14.5</v>
      </c>
      <c r="IW323">
        <v>14.3</v>
      </c>
      <c r="IX323">
        <v>1.05103</v>
      </c>
      <c r="IY323">
        <v>2.21313</v>
      </c>
      <c r="IZ323">
        <v>1.39648</v>
      </c>
      <c r="JA323">
        <v>2.35474</v>
      </c>
      <c r="JB323">
        <v>1.49536</v>
      </c>
      <c r="JC323">
        <v>2.34375</v>
      </c>
      <c r="JD323">
        <v>38.0134</v>
      </c>
      <c r="JE323">
        <v>24.0437</v>
      </c>
      <c r="JF323">
        <v>18</v>
      </c>
      <c r="JG323">
        <v>512.404</v>
      </c>
      <c r="JH323">
        <v>425.892</v>
      </c>
      <c r="JI323">
        <v>23.1646</v>
      </c>
      <c r="JJ323">
        <v>27.9108</v>
      </c>
      <c r="JK323">
        <v>30</v>
      </c>
      <c r="JL323">
        <v>27.9339</v>
      </c>
      <c r="JM323">
        <v>27.8792</v>
      </c>
      <c r="JN323">
        <v>21.0882</v>
      </c>
      <c r="JO323">
        <v>45.4933</v>
      </c>
      <c r="JP323">
        <v>0</v>
      </c>
      <c r="JQ323">
        <v>23.1581</v>
      </c>
      <c r="JR323">
        <v>432.115</v>
      </c>
      <c r="JS323">
        <v>9.228440000000001</v>
      </c>
      <c r="JT323">
        <v>100.415</v>
      </c>
      <c r="JU323">
        <v>100.348</v>
      </c>
    </row>
    <row r="324" spans="1:281">
      <c r="A324">
        <v>308</v>
      </c>
      <c r="B324">
        <v>1651866380</v>
      </c>
      <c r="C324">
        <v>2159.400000095367</v>
      </c>
      <c r="D324" t="s">
        <v>1039</v>
      </c>
      <c r="E324" t="s">
        <v>1040</v>
      </c>
      <c r="F324">
        <v>2</v>
      </c>
      <c r="G324" t="s">
        <v>908</v>
      </c>
      <c r="H324" t="s">
        <v>414</v>
      </c>
      <c r="I324">
        <v>1651866378.625</v>
      </c>
      <c r="J324">
        <f>(K324)/1000</f>
        <v>0</v>
      </c>
      <c r="K324">
        <f>IF(CZ324, AN324, AH324)</f>
        <v>0</v>
      </c>
      <c r="L324">
        <f>IF(CZ324, AI324, AG324)</f>
        <v>0</v>
      </c>
      <c r="M324">
        <f>DB324 - IF(AU324&gt;1, L324*CV324*100.0/(AW324*DP324), 0)</f>
        <v>0</v>
      </c>
      <c r="N324">
        <f>((T324-J324/2)*M324-L324)/(T324+J324/2)</f>
        <v>0</v>
      </c>
      <c r="O324">
        <f>N324*(DI324+DJ324)/1000.0</f>
        <v>0</v>
      </c>
      <c r="P324">
        <f>(DB324 - IF(AU324&gt;1, L324*CV324*100.0/(AW324*DP324), 0))*(DI324+DJ324)/1000.0</f>
        <v>0</v>
      </c>
      <c r="Q324">
        <f>2.0/((1/S324-1/R324)+SIGN(S324)*SQRT((1/S324-1/R324)*(1/S324-1/R324) + 4*CW324/((CW324+1)*(CW324+1))*(2*1/S324*1/R324-1/R324*1/R324)))</f>
        <v>0</v>
      </c>
      <c r="R324">
        <f>IF(LEFT(CX324,1)&lt;&gt;"0",IF(LEFT(CX324,1)="1",3.0,CY324),$D$5+$E$5*(DP324*DI324/($K$5*1000))+$F$5*(DP324*DI324/($K$5*1000))*MAX(MIN(CV324,$J$5),$I$5)*MAX(MIN(CV324,$J$5),$I$5)+$G$5*MAX(MIN(CV324,$J$5),$I$5)*(DP324*DI324/($K$5*1000))+$H$5*(DP324*DI324/($K$5*1000))*(DP324*DI324/($K$5*1000)))</f>
        <v>0</v>
      </c>
      <c r="S324">
        <f>J324*(1000-(1000*0.61365*exp(17.502*W324/(240.97+W324))/(DI324+DJ324)+DD324)/2)/(1000*0.61365*exp(17.502*W324/(240.97+W324))/(DI324+DJ324)-DD324)</f>
        <v>0</v>
      </c>
      <c r="T324">
        <f>1/((CW324+1)/(Q324/1.6)+1/(R324/1.37)) + CW324/((CW324+1)/(Q324/1.6) + CW324/(R324/1.37))</f>
        <v>0</v>
      </c>
      <c r="U324">
        <f>(CR324*CU324)</f>
        <v>0</v>
      </c>
      <c r="V324">
        <f>(DK324+(U324+2*0.95*5.67E-8*(((DK324+$B$7)+273)^4-(DK324+273)^4)-44100*J324)/(1.84*29.3*R324+8*0.95*5.67E-8*(DK324+273)^3))</f>
        <v>0</v>
      </c>
      <c r="W324">
        <f>($C$7*DL324+$D$7*DM324+$E$7*V324)</f>
        <v>0</v>
      </c>
      <c r="X324">
        <f>0.61365*exp(17.502*W324/(240.97+W324))</f>
        <v>0</v>
      </c>
      <c r="Y324">
        <f>(Z324/AA324*100)</f>
        <v>0</v>
      </c>
      <c r="Z324">
        <f>DD324*(DI324+DJ324)/1000</f>
        <v>0</v>
      </c>
      <c r="AA324">
        <f>0.61365*exp(17.502*DK324/(240.97+DK324))</f>
        <v>0</v>
      </c>
      <c r="AB324">
        <f>(X324-DD324*(DI324+DJ324)/1000)</f>
        <v>0</v>
      </c>
      <c r="AC324">
        <f>(-J324*44100)</f>
        <v>0</v>
      </c>
      <c r="AD324">
        <f>2*29.3*R324*0.92*(DK324-W324)</f>
        <v>0</v>
      </c>
      <c r="AE324">
        <f>2*0.95*5.67E-8*(((DK324+$B$7)+273)^4-(W324+273)^4)</f>
        <v>0</v>
      </c>
      <c r="AF324">
        <f>U324+AE324+AC324+AD324</f>
        <v>0</v>
      </c>
      <c r="AG324">
        <f>DH324*AU324*(DC324-DB324*(1000-AU324*DE324)/(1000-AU324*DD324))/(100*CV324)</f>
        <v>0</v>
      </c>
      <c r="AH324">
        <f>1000*DH324*AU324*(DD324-DE324)/(100*CV324*(1000-AU324*DD324))</f>
        <v>0</v>
      </c>
      <c r="AI324">
        <f>(AJ324 - AK324 - DI324*1E3/(8.314*(DK324+273.15)) * AM324/DH324 * AL324) * DH324/(100*CV324) * (1000 - DE324)/1000</f>
        <v>0</v>
      </c>
      <c r="AJ324">
        <v>411.6786374107782</v>
      </c>
      <c r="AK324">
        <v>369.6347333333331</v>
      </c>
      <c r="AL324">
        <v>3.132200558269357</v>
      </c>
      <c r="AM324">
        <v>66.38195617057868</v>
      </c>
      <c r="AN324">
        <f>(AP324 - AO324 + DI324*1E3/(8.314*(DK324+273.15)) * AR324/DH324 * AQ324) * DH324/(100*CV324) * 1000/(1000 - AP324)</f>
        <v>0</v>
      </c>
      <c r="AO324">
        <v>9.277133399536794</v>
      </c>
      <c r="AP324">
        <v>18.66160764705882</v>
      </c>
      <c r="AQ324">
        <v>-0.003478453909102136</v>
      </c>
      <c r="AR324">
        <v>80.47178418790507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MAX(0,($B$13+$C$13*DP324)/(1+$D$13*DP324)*DI324/(DK324+273)*$E$13)</f>
        <v>0</v>
      </c>
      <c r="AX324" t="s">
        <v>417</v>
      </c>
      <c r="AY324" t="s">
        <v>417</v>
      </c>
      <c r="AZ324">
        <v>0</v>
      </c>
      <c r="BA324">
        <v>0</v>
      </c>
      <c r="BB324">
        <f>1-AZ324/BA324</f>
        <v>0</v>
      </c>
      <c r="BC324">
        <v>0</v>
      </c>
      <c r="BD324" t="s">
        <v>417</v>
      </c>
      <c r="BE324" t="s">
        <v>417</v>
      </c>
      <c r="BF324">
        <v>0</v>
      </c>
      <c r="BG324">
        <v>0</v>
      </c>
      <c r="BH324">
        <f>1-BF324/BG324</f>
        <v>0</v>
      </c>
      <c r="BI324">
        <v>0.5</v>
      </c>
      <c r="BJ324">
        <f>CS324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417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BZ324">
        <v>1249</v>
      </c>
      <c r="CA324">
        <v>300</v>
      </c>
      <c r="CB324">
        <v>300</v>
      </c>
      <c r="CC324">
        <v>300</v>
      </c>
      <c r="CD324">
        <v>10442.4</v>
      </c>
      <c r="CE324">
        <v>1239.69</v>
      </c>
      <c r="CF324">
        <v>-0.00735276</v>
      </c>
      <c r="CG324">
        <v>0.07000000000000001</v>
      </c>
      <c r="CH324" t="s">
        <v>417</v>
      </c>
      <c r="CI324" t="s">
        <v>417</v>
      </c>
      <c r="CJ324" t="s">
        <v>417</v>
      </c>
      <c r="CK324" t="s">
        <v>417</v>
      </c>
      <c r="CL324" t="s">
        <v>417</v>
      </c>
      <c r="CM324" t="s">
        <v>417</v>
      </c>
      <c r="CN324" t="s">
        <v>417</v>
      </c>
      <c r="CO324" t="s">
        <v>417</v>
      </c>
      <c r="CP324" t="s">
        <v>417</v>
      </c>
      <c r="CQ324" t="s">
        <v>417</v>
      </c>
      <c r="CR324">
        <f>$B$11*DQ324+$C$11*DR324+$F$11*EC324*(1-EF324)</f>
        <v>0</v>
      </c>
      <c r="CS324">
        <f>CR324*CT324</f>
        <v>0</v>
      </c>
      <c r="CT324">
        <f>($B$11*$D$9+$C$11*$D$9+$F$11*((EP324+EH324)/MAX(EP324+EH324+EQ324, 0.1)*$I$9+EQ324/MAX(EP324+EH324+EQ324, 0.1)*$J$9))/($B$11+$C$11+$F$11)</f>
        <v>0</v>
      </c>
      <c r="CU324">
        <f>($B$11*$K$9+$C$11*$K$9+$F$11*((EP324+EH324)/MAX(EP324+EH324+EQ324, 0.1)*$P$9+EQ324/MAX(EP324+EH324+EQ324, 0.1)*$Q$9))/($B$11+$C$11+$F$11)</f>
        <v>0</v>
      </c>
      <c r="CV324">
        <v>6</v>
      </c>
      <c r="CW324">
        <v>0.5</v>
      </c>
      <c r="CX324" t="s">
        <v>418</v>
      </c>
      <c r="CY324">
        <v>2</v>
      </c>
      <c r="CZ324" t="b">
        <v>1</v>
      </c>
      <c r="DA324">
        <v>1651866378.625</v>
      </c>
      <c r="DB324">
        <v>360.0475</v>
      </c>
      <c r="DC324">
        <v>412.59875</v>
      </c>
      <c r="DD324">
        <v>18.661275</v>
      </c>
      <c r="DE324">
        <v>9.274125</v>
      </c>
      <c r="DF324">
        <v>360.902</v>
      </c>
      <c r="DG324">
        <v>18.636275</v>
      </c>
      <c r="DH324">
        <v>500.0339999999999</v>
      </c>
      <c r="DI324">
        <v>89.92165</v>
      </c>
      <c r="DJ324">
        <v>0.1000679</v>
      </c>
      <c r="DK324">
        <v>25.927225</v>
      </c>
      <c r="DL324">
        <v>25.009325</v>
      </c>
      <c r="DM324">
        <v>999.9</v>
      </c>
      <c r="DN324">
        <v>0</v>
      </c>
      <c r="DO324">
        <v>0</v>
      </c>
      <c r="DP324">
        <v>9985.625</v>
      </c>
      <c r="DQ324">
        <v>0</v>
      </c>
      <c r="DR324">
        <v>3.23193</v>
      </c>
      <c r="DS324">
        <v>-52.55135</v>
      </c>
      <c r="DT324">
        <v>366.89425</v>
      </c>
      <c r="DU324">
        <v>416.46125</v>
      </c>
      <c r="DV324">
        <v>9.387157500000001</v>
      </c>
      <c r="DW324">
        <v>412.59875</v>
      </c>
      <c r="DX324">
        <v>9.274125</v>
      </c>
      <c r="DY324">
        <v>1.678055</v>
      </c>
      <c r="DZ324">
        <v>0.8339445</v>
      </c>
      <c r="EA324">
        <v>14.694875</v>
      </c>
      <c r="EB324">
        <v>4.298605</v>
      </c>
      <c r="EC324">
        <v>1500.065</v>
      </c>
      <c r="ED324">
        <v>0.9729955</v>
      </c>
      <c r="EE324">
        <v>0.0270042</v>
      </c>
      <c r="EF324">
        <v>0</v>
      </c>
      <c r="EG324">
        <v>872.5337500000001</v>
      </c>
      <c r="EH324">
        <v>5.00097</v>
      </c>
      <c r="EI324">
        <v>13033.9</v>
      </c>
      <c r="EJ324">
        <v>12492.125</v>
      </c>
      <c r="EK324">
        <v>39.125</v>
      </c>
      <c r="EL324">
        <v>40.625</v>
      </c>
      <c r="EM324">
        <v>39.48425</v>
      </c>
      <c r="EN324">
        <v>40.875</v>
      </c>
      <c r="EO324">
        <v>39.937</v>
      </c>
      <c r="EP324">
        <v>1454.6925</v>
      </c>
      <c r="EQ324">
        <v>40.37</v>
      </c>
      <c r="ER324">
        <v>0</v>
      </c>
      <c r="ES324">
        <v>897.2000000476837</v>
      </c>
      <c r="ET324">
        <v>0</v>
      </c>
      <c r="EU324">
        <v>864.9337692307693</v>
      </c>
      <c r="EV324">
        <v>70.04676914145524</v>
      </c>
      <c r="EW324">
        <v>1017.189742106839</v>
      </c>
      <c r="EX324">
        <v>12924.4923076923</v>
      </c>
      <c r="EY324">
        <v>15</v>
      </c>
      <c r="EZ324">
        <v>1651865518.1</v>
      </c>
      <c r="FA324" t="s">
        <v>910</v>
      </c>
      <c r="FB324">
        <v>1651865507.1</v>
      </c>
      <c r="FC324">
        <v>1651865518.1</v>
      </c>
      <c r="FD324">
        <v>8</v>
      </c>
      <c r="FE324">
        <v>0.06</v>
      </c>
      <c r="FF324">
        <v>0</v>
      </c>
      <c r="FG324">
        <v>-0.927</v>
      </c>
      <c r="FH324">
        <v>-0.062</v>
      </c>
      <c r="FI324">
        <v>400</v>
      </c>
      <c r="FJ324">
        <v>11</v>
      </c>
      <c r="FK324">
        <v>0.11</v>
      </c>
      <c r="FL324">
        <v>0.01</v>
      </c>
      <c r="FM324">
        <v>-49.75956000000001</v>
      </c>
      <c r="FN324">
        <v>-18.21980037523437</v>
      </c>
      <c r="FO324">
        <v>1.754367477440231</v>
      </c>
      <c r="FP324">
        <v>-1</v>
      </c>
      <c r="FQ324">
        <v>9.345518</v>
      </c>
      <c r="FR324">
        <v>0.3970763977485753</v>
      </c>
      <c r="FS324">
        <v>0.03966040583503896</v>
      </c>
      <c r="FT324">
        <v>-1</v>
      </c>
      <c r="FU324">
        <v>0</v>
      </c>
      <c r="FV324">
        <v>0</v>
      </c>
      <c r="FW324">
        <v>0</v>
      </c>
      <c r="FX324">
        <v>-1</v>
      </c>
      <c r="FY324">
        <v>0</v>
      </c>
      <c r="FZ324">
        <v>0</v>
      </c>
      <c r="GA324" t="s">
        <v>420</v>
      </c>
      <c r="GB324">
        <v>2.98139</v>
      </c>
      <c r="GC324">
        <v>2.706</v>
      </c>
      <c r="GD324">
        <v>0.0839564</v>
      </c>
      <c r="GE324">
        <v>0.0921095</v>
      </c>
      <c r="GF324">
        <v>0.0888441</v>
      </c>
      <c r="GG324">
        <v>0.0523136</v>
      </c>
      <c r="GH324">
        <v>28946</v>
      </c>
      <c r="GI324">
        <v>28750.8</v>
      </c>
      <c r="GJ324">
        <v>29376.7</v>
      </c>
      <c r="GK324">
        <v>29292</v>
      </c>
      <c r="GL324">
        <v>35440.5</v>
      </c>
      <c r="GM324">
        <v>36978.8</v>
      </c>
      <c r="GN324">
        <v>41348.5</v>
      </c>
      <c r="GO324">
        <v>41811.7</v>
      </c>
      <c r="GP324">
        <v>1.96665</v>
      </c>
      <c r="GQ324">
        <v>1.85357</v>
      </c>
      <c r="GR324">
        <v>-0.00536442</v>
      </c>
      <c r="GS324">
        <v>0</v>
      </c>
      <c r="GT324">
        <v>25.0911</v>
      </c>
      <c r="GU324">
        <v>999.9</v>
      </c>
      <c r="GV324">
        <v>29.7</v>
      </c>
      <c r="GW324">
        <v>34.2</v>
      </c>
      <c r="GX324">
        <v>17.8453</v>
      </c>
      <c r="GY324">
        <v>62.4876</v>
      </c>
      <c r="GZ324">
        <v>35.4487</v>
      </c>
      <c r="HA324">
        <v>1</v>
      </c>
      <c r="HB324">
        <v>0.0451956</v>
      </c>
      <c r="HC324">
        <v>1.5034</v>
      </c>
      <c r="HD324">
        <v>20.3278</v>
      </c>
      <c r="HE324">
        <v>5.21744</v>
      </c>
      <c r="HF324">
        <v>12.0099</v>
      </c>
      <c r="HG324">
        <v>4.98835</v>
      </c>
      <c r="HH324">
        <v>3.28848</v>
      </c>
      <c r="HI324">
        <v>1031.9</v>
      </c>
      <c r="HJ324">
        <v>9738.700000000001</v>
      </c>
      <c r="HK324">
        <v>5139.4</v>
      </c>
      <c r="HL324">
        <v>25.3</v>
      </c>
      <c r="HM324">
        <v>1.86748</v>
      </c>
      <c r="HN324">
        <v>1.86646</v>
      </c>
      <c r="HO324">
        <v>1.866</v>
      </c>
      <c r="HP324">
        <v>1.86585</v>
      </c>
      <c r="HQ324">
        <v>1.86768</v>
      </c>
      <c r="HR324">
        <v>1.87022</v>
      </c>
      <c r="HS324">
        <v>1.86889</v>
      </c>
      <c r="HT324">
        <v>1.87024</v>
      </c>
      <c r="HU324">
        <v>0</v>
      </c>
      <c r="HV324">
        <v>0</v>
      </c>
      <c r="HW324">
        <v>0</v>
      </c>
      <c r="HX324">
        <v>0</v>
      </c>
      <c r="HY324" t="s">
        <v>421</v>
      </c>
      <c r="HZ324" t="s">
        <v>422</v>
      </c>
      <c r="IA324" t="s">
        <v>423</v>
      </c>
      <c r="IB324" t="s">
        <v>423</v>
      </c>
      <c r="IC324" t="s">
        <v>423</v>
      </c>
      <c r="ID324" t="s">
        <v>423</v>
      </c>
      <c r="IE324">
        <v>0</v>
      </c>
      <c r="IF324">
        <v>100</v>
      </c>
      <c r="IG324">
        <v>100</v>
      </c>
      <c r="IH324">
        <v>-0.862</v>
      </c>
      <c r="II324">
        <v>0.0249</v>
      </c>
      <c r="IJ324">
        <v>-0.1559367209035702</v>
      </c>
      <c r="IK324">
        <v>-0.002077099775823331</v>
      </c>
      <c r="IL324">
        <v>4.593143279902166E-07</v>
      </c>
      <c r="IM324">
        <v>-1.865383991892071E-10</v>
      </c>
      <c r="IN324">
        <v>-0.0607165066849496</v>
      </c>
      <c r="IO324">
        <v>-0.01129461987421345</v>
      </c>
      <c r="IP324">
        <v>0.00116580895745559</v>
      </c>
      <c r="IQ324">
        <v>-1.679085872906199E-05</v>
      </c>
      <c r="IR324">
        <v>2</v>
      </c>
      <c r="IS324">
        <v>2290</v>
      </c>
      <c r="IT324">
        <v>0</v>
      </c>
      <c r="IU324">
        <v>32</v>
      </c>
      <c r="IV324">
        <v>14.5</v>
      </c>
      <c r="IW324">
        <v>14.4</v>
      </c>
      <c r="IX324">
        <v>1.06445</v>
      </c>
      <c r="IY324">
        <v>2.21436</v>
      </c>
      <c r="IZ324">
        <v>1.39648</v>
      </c>
      <c r="JA324">
        <v>2.35474</v>
      </c>
      <c r="JB324">
        <v>1.49536</v>
      </c>
      <c r="JC324">
        <v>2.3584</v>
      </c>
      <c r="JD324">
        <v>38.0134</v>
      </c>
      <c r="JE324">
        <v>24.0437</v>
      </c>
      <c r="JF324">
        <v>18</v>
      </c>
      <c r="JG324">
        <v>512.378</v>
      </c>
      <c r="JH324">
        <v>425.885</v>
      </c>
      <c r="JI324">
        <v>23.1621</v>
      </c>
      <c r="JJ324">
        <v>27.9108</v>
      </c>
      <c r="JK324">
        <v>30</v>
      </c>
      <c r="JL324">
        <v>27.9327</v>
      </c>
      <c r="JM324">
        <v>27.8781</v>
      </c>
      <c r="JN324">
        <v>21.3522</v>
      </c>
      <c r="JO324">
        <v>45.4933</v>
      </c>
      <c r="JP324">
        <v>0</v>
      </c>
      <c r="JQ324">
        <v>23.1497</v>
      </c>
      <c r="JR324">
        <v>438.794</v>
      </c>
      <c r="JS324">
        <v>9.218360000000001</v>
      </c>
      <c r="JT324">
        <v>100.415</v>
      </c>
      <c r="JU324">
        <v>100.348</v>
      </c>
    </row>
    <row r="325" spans="1:281">
      <c r="A325">
        <v>309</v>
      </c>
      <c r="B325">
        <v>1651866382</v>
      </c>
      <c r="C325">
        <v>2161.400000095367</v>
      </c>
      <c r="D325" t="s">
        <v>1041</v>
      </c>
      <c r="E325" t="s">
        <v>1042</v>
      </c>
      <c r="F325">
        <v>2</v>
      </c>
      <c r="G325" t="s">
        <v>908</v>
      </c>
      <c r="H325" t="s">
        <v>414</v>
      </c>
      <c r="I325">
        <v>1651866381</v>
      </c>
      <c r="J325">
        <f>(K325)/1000</f>
        <v>0</v>
      </c>
      <c r="K325">
        <f>IF(CZ325, AN325, AH325)</f>
        <v>0</v>
      </c>
      <c r="L325">
        <f>IF(CZ325, AI325, AG325)</f>
        <v>0</v>
      </c>
      <c r="M325">
        <f>DB325 - IF(AU325&gt;1, L325*CV325*100.0/(AW325*DP325), 0)</f>
        <v>0</v>
      </c>
      <c r="N325">
        <f>((T325-J325/2)*M325-L325)/(T325+J325/2)</f>
        <v>0</v>
      </c>
      <c r="O325">
        <f>N325*(DI325+DJ325)/1000.0</f>
        <v>0</v>
      </c>
      <c r="P325">
        <f>(DB325 - IF(AU325&gt;1, L325*CV325*100.0/(AW325*DP325), 0))*(DI325+DJ325)/1000.0</f>
        <v>0</v>
      </c>
      <c r="Q325">
        <f>2.0/((1/S325-1/R325)+SIGN(S325)*SQRT((1/S325-1/R325)*(1/S325-1/R325) + 4*CW325/((CW325+1)*(CW325+1))*(2*1/S325*1/R325-1/R325*1/R325)))</f>
        <v>0</v>
      </c>
      <c r="R325">
        <f>IF(LEFT(CX325,1)&lt;&gt;"0",IF(LEFT(CX325,1)="1",3.0,CY325),$D$5+$E$5*(DP325*DI325/($K$5*1000))+$F$5*(DP325*DI325/($K$5*1000))*MAX(MIN(CV325,$J$5),$I$5)*MAX(MIN(CV325,$J$5),$I$5)+$G$5*MAX(MIN(CV325,$J$5),$I$5)*(DP325*DI325/($K$5*1000))+$H$5*(DP325*DI325/($K$5*1000))*(DP325*DI325/($K$5*1000)))</f>
        <v>0</v>
      </c>
      <c r="S325">
        <f>J325*(1000-(1000*0.61365*exp(17.502*W325/(240.97+W325))/(DI325+DJ325)+DD325)/2)/(1000*0.61365*exp(17.502*W325/(240.97+W325))/(DI325+DJ325)-DD325)</f>
        <v>0</v>
      </c>
      <c r="T325">
        <f>1/((CW325+1)/(Q325/1.6)+1/(R325/1.37)) + CW325/((CW325+1)/(Q325/1.6) + CW325/(R325/1.37))</f>
        <v>0</v>
      </c>
      <c r="U325">
        <f>(CR325*CU325)</f>
        <v>0</v>
      </c>
      <c r="V325">
        <f>(DK325+(U325+2*0.95*5.67E-8*(((DK325+$B$7)+273)^4-(DK325+273)^4)-44100*J325)/(1.84*29.3*R325+8*0.95*5.67E-8*(DK325+273)^3))</f>
        <v>0</v>
      </c>
      <c r="W325">
        <f>($C$7*DL325+$D$7*DM325+$E$7*V325)</f>
        <v>0</v>
      </c>
      <c r="X325">
        <f>0.61365*exp(17.502*W325/(240.97+W325))</f>
        <v>0</v>
      </c>
      <c r="Y325">
        <f>(Z325/AA325*100)</f>
        <v>0</v>
      </c>
      <c r="Z325">
        <f>DD325*(DI325+DJ325)/1000</f>
        <v>0</v>
      </c>
      <c r="AA325">
        <f>0.61365*exp(17.502*DK325/(240.97+DK325))</f>
        <v>0</v>
      </c>
      <c r="AB325">
        <f>(X325-DD325*(DI325+DJ325)/1000)</f>
        <v>0</v>
      </c>
      <c r="AC325">
        <f>(-J325*44100)</f>
        <v>0</v>
      </c>
      <c r="AD325">
        <f>2*29.3*R325*0.92*(DK325-W325)</f>
        <v>0</v>
      </c>
      <c r="AE325">
        <f>2*0.95*5.67E-8*(((DK325+$B$7)+273)^4-(W325+273)^4)</f>
        <v>0</v>
      </c>
      <c r="AF325">
        <f>U325+AE325+AC325+AD325</f>
        <v>0</v>
      </c>
      <c r="AG325">
        <f>DH325*AU325*(DC325-DB325*(1000-AU325*DE325)/(1000-AU325*DD325))/(100*CV325)</f>
        <v>0</v>
      </c>
      <c r="AH325">
        <f>1000*DH325*AU325*(DD325-DE325)/(100*CV325*(1000-AU325*DD325))</f>
        <v>0</v>
      </c>
      <c r="AI325">
        <f>(AJ325 - AK325 - DI325*1E3/(8.314*(DK325+273.15)) * AM325/DH325 * AL325) * DH325/(100*CV325) * (1000 - DE325)/1000</f>
        <v>0</v>
      </c>
      <c r="AJ325">
        <v>418.5348241650086</v>
      </c>
      <c r="AK325">
        <v>375.9209333333332</v>
      </c>
      <c r="AL325">
        <v>3.138802093510177</v>
      </c>
      <c r="AM325">
        <v>66.38195617057868</v>
      </c>
      <c r="AN325">
        <f>(AP325 - AO325 + DI325*1E3/(8.314*(DK325+273.15)) * AR325/DH325 * AQ325) * DH325/(100*CV325) * 1000/(1000 - AP325)</f>
        <v>0</v>
      </c>
      <c r="AO325">
        <v>9.274931313629475</v>
      </c>
      <c r="AP325">
        <v>18.66079058823529</v>
      </c>
      <c r="AQ325">
        <v>-0.0006720238765877885</v>
      </c>
      <c r="AR325">
        <v>80.47178418790507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MAX(0,($B$13+$C$13*DP325)/(1+$D$13*DP325)*DI325/(DK325+273)*$E$13)</f>
        <v>0</v>
      </c>
      <c r="AX325" t="s">
        <v>417</v>
      </c>
      <c r="AY325" t="s">
        <v>417</v>
      </c>
      <c r="AZ325">
        <v>0</v>
      </c>
      <c r="BA325">
        <v>0</v>
      </c>
      <c r="BB325">
        <f>1-AZ325/BA325</f>
        <v>0</v>
      </c>
      <c r="BC325">
        <v>0</v>
      </c>
      <c r="BD325" t="s">
        <v>417</v>
      </c>
      <c r="BE325" t="s">
        <v>417</v>
      </c>
      <c r="BF325">
        <v>0</v>
      </c>
      <c r="BG325">
        <v>0</v>
      </c>
      <c r="BH325">
        <f>1-BF325/BG325</f>
        <v>0</v>
      </c>
      <c r="BI325">
        <v>0.5</v>
      </c>
      <c r="BJ325">
        <f>CS325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417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BZ325">
        <v>1249</v>
      </c>
      <c r="CA325">
        <v>300</v>
      </c>
      <c r="CB325">
        <v>300</v>
      </c>
      <c r="CC325">
        <v>300</v>
      </c>
      <c r="CD325">
        <v>10442.4</v>
      </c>
      <c r="CE325">
        <v>1239.69</v>
      </c>
      <c r="CF325">
        <v>-0.00735276</v>
      </c>
      <c r="CG325">
        <v>0.07000000000000001</v>
      </c>
      <c r="CH325" t="s">
        <v>417</v>
      </c>
      <c r="CI325" t="s">
        <v>417</v>
      </c>
      <c r="CJ325" t="s">
        <v>417</v>
      </c>
      <c r="CK325" t="s">
        <v>417</v>
      </c>
      <c r="CL325" t="s">
        <v>417</v>
      </c>
      <c r="CM325" t="s">
        <v>417</v>
      </c>
      <c r="CN325" t="s">
        <v>417</v>
      </c>
      <c r="CO325" t="s">
        <v>417</v>
      </c>
      <c r="CP325" t="s">
        <v>417</v>
      </c>
      <c r="CQ325" t="s">
        <v>417</v>
      </c>
      <c r="CR325">
        <f>$B$11*DQ325+$C$11*DR325+$F$11*EC325*(1-EF325)</f>
        <v>0</v>
      </c>
      <c r="CS325">
        <f>CR325*CT325</f>
        <v>0</v>
      </c>
      <c r="CT325">
        <f>($B$11*$D$9+$C$11*$D$9+$F$11*((EP325+EH325)/MAX(EP325+EH325+EQ325, 0.1)*$I$9+EQ325/MAX(EP325+EH325+EQ325, 0.1)*$J$9))/($B$11+$C$11+$F$11)</f>
        <v>0</v>
      </c>
      <c r="CU325">
        <f>($B$11*$K$9+$C$11*$K$9+$F$11*((EP325+EH325)/MAX(EP325+EH325+EQ325, 0.1)*$P$9+EQ325/MAX(EP325+EH325+EQ325, 0.1)*$Q$9))/($B$11+$C$11+$F$11)</f>
        <v>0</v>
      </c>
      <c r="CV325">
        <v>6</v>
      </c>
      <c r="CW325">
        <v>0.5</v>
      </c>
      <c r="CX325" t="s">
        <v>418</v>
      </c>
      <c r="CY325">
        <v>2</v>
      </c>
      <c r="CZ325" t="b">
        <v>1</v>
      </c>
      <c r="DA325">
        <v>1651866381</v>
      </c>
      <c r="DB325">
        <v>367.3633333333334</v>
      </c>
      <c r="DC325">
        <v>420.6353333333333</v>
      </c>
      <c r="DD325">
        <v>18.66073333333334</v>
      </c>
      <c r="DE325">
        <v>9.272530000000001</v>
      </c>
      <c r="DF325">
        <v>368.2313333333333</v>
      </c>
      <c r="DG325">
        <v>18.63576666666667</v>
      </c>
      <c r="DH325">
        <v>500.02</v>
      </c>
      <c r="DI325">
        <v>89.92076666666667</v>
      </c>
      <c r="DJ325">
        <v>0.09988766666666667</v>
      </c>
      <c r="DK325">
        <v>25.9289</v>
      </c>
      <c r="DL325">
        <v>24.99793333333333</v>
      </c>
      <c r="DM325">
        <v>999.9</v>
      </c>
      <c r="DN325">
        <v>0</v>
      </c>
      <c r="DO325">
        <v>0</v>
      </c>
      <c r="DP325">
        <v>10000</v>
      </c>
      <c r="DQ325">
        <v>0</v>
      </c>
      <c r="DR325">
        <v>3.230526666666667</v>
      </c>
      <c r="DS325">
        <v>-53.27193333333334</v>
      </c>
      <c r="DT325">
        <v>374.3486666666666</v>
      </c>
      <c r="DU325">
        <v>424.5723333333333</v>
      </c>
      <c r="DV325">
        <v>9.388193333333334</v>
      </c>
      <c r="DW325">
        <v>420.6353333333333</v>
      </c>
      <c r="DX325">
        <v>9.272530000000001</v>
      </c>
      <c r="DY325">
        <v>1.677986666666667</v>
      </c>
      <c r="DZ325">
        <v>0.8337933333333334</v>
      </c>
      <c r="EA325">
        <v>14.69426666666667</v>
      </c>
      <c r="EB325">
        <v>4.29602</v>
      </c>
      <c r="EC325">
        <v>1499.936666666666</v>
      </c>
      <c r="ED325">
        <v>0.9729930000000001</v>
      </c>
      <c r="EE325">
        <v>0.0270069</v>
      </c>
      <c r="EF325">
        <v>0</v>
      </c>
      <c r="EG325">
        <v>874.8486666666668</v>
      </c>
      <c r="EH325">
        <v>5.00097</v>
      </c>
      <c r="EI325">
        <v>13068.33333333333</v>
      </c>
      <c r="EJ325">
        <v>12491.03333333333</v>
      </c>
      <c r="EK325">
        <v>39.104</v>
      </c>
      <c r="EL325">
        <v>40.562</v>
      </c>
      <c r="EM325">
        <v>39.437</v>
      </c>
      <c r="EN325">
        <v>40.812</v>
      </c>
      <c r="EO325">
        <v>39.937</v>
      </c>
      <c r="EP325">
        <v>1454.566666666667</v>
      </c>
      <c r="EQ325">
        <v>40.37</v>
      </c>
      <c r="ER325">
        <v>0</v>
      </c>
      <c r="ES325">
        <v>899.6000001430511</v>
      </c>
      <c r="ET325">
        <v>0</v>
      </c>
      <c r="EU325">
        <v>867.7219615384615</v>
      </c>
      <c r="EV325">
        <v>69.30806838317341</v>
      </c>
      <c r="EW325">
        <v>1005.528205010724</v>
      </c>
      <c r="EX325">
        <v>12964.51153846154</v>
      </c>
      <c r="EY325">
        <v>15</v>
      </c>
      <c r="EZ325">
        <v>1651865518.1</v>
      </c>
      <c r="FA325" t="s">
        <v>910</v>
      </c>
      <c r="FB325">
        <v>1651865507.1</v>
      </c>
      <c r="FC325">
        <v>1651865518.1</v>
      </c>
      <c r="FD325">
        <v>8</v>
      </c>
      <c r="FE325">
        <v>0.06</v>
      </c>
      <c r="FF325">
        <v>0</v>
      </c>
      <c r="FG325">
        <v>-0.927</v>
      </c>
      <c r="FH325">
        <v>-0.062</v>
      </c>
      <c r="FI325">
        <v>400</v>
      </c>
      <c r="FJ325">
        <v>11</v>
      </c>
      <c r="FK325">
        <v>0.11</v>
      </c>
      <c r="FL325">
        <v>0.01</v>
      </c>
      <c r="FM325">
        <v>-50.44674146341464</v>
      </c>
      <c r="FN325">
        <v>-17.92574634146339</v>
      </c>
      <c r="FO325">
        <v>1.768667876276795</v>
      </c>
      <c r="FP325">
        <v>-1</v>
      </c>
      <c r="FQ325">
        <v>9.356854146341464</v>
      </c>
      <c r="FR325">
        <v>0.3282033449477467</v>
      </c>
      <c r="FS325">
        <v>0.03503071063632447</v>
      </c>
      <c r="FT325">
        <v>-1</v>
      </c>
      <c r="FU325">
        <v>0</v>
      </c>
      <c r="FV325">
        <v>0</v>
      </c>
      <c r="FW325">
        <v>0</v>
      </c>
      <c r="FX325">
        <v>-1</v>
      </c>
      <c r="FY325">
        <v>0</v>
      </c>
      <c r="FZ325">
        <v>0</v>
      </c>
      <c r="GA325" t="s">
        <v>420</v>
      </c>
      <c r="GB325">
        <v>2.98154</v>
      </c>
      <c r="GC325">
        <v>2.70605</v>
      </c>
      <c r="GD325">
        <v>0.0850674</v>
      </c>
      <c r="GE325">
        <v>0.0932359</v>
      </c>
      <c r="GF325">
        <v>0.0888523</v>
      </c>
      <c r="GG325">
        <v>0.0523058</v>
      </c>
      <c r="GH325">
        <v>28911.2</v>
      </c>
      <c r="GI325">
        <v>28715.3</v>
      </c>
      <c r="GJ325">
        <v>29377</v>
      </c>
      <c r="GK325">
        <v>29292.2</v>
      </c>
      <c r="GL325">
        <v>35440.6</v>
      </c>
      <c r="GM325">
        <v>36979.2</v>
      </c>
      <c r="GN325">
        <v>41349</v>
      </c>
      <c r="GO325">
        <v>41811.8</v>
      </c>
      <c r="GP325">
        <v>1.96688</v>
      </c>
      <c r="GQ325">
        <v>1.85357</v>
      </c>
      <c r="GR325">
        <v>-0.00584871</v>
      </c>
      <c r="GS325">
        <v>0</v>
      </c>
      <c r="GT325">
        <v>25.0915</v>
      </c>
      <c r="GU325">
        <v>999.9</v>
      </c>
      <c r="GV325">
        <v>29.7</v>
      </c>
      <c r="GW325">
        <v>34.2</v>
      </c>
      <c r="GX325">
        <v>17.8461</v>
      </c>
      <c r="GY325">
        <v>62.4976</v>
      </c>
      <c r="GZ325">
        <v>35.1522</v>
      </c>
      <c r="HA325">
        <v>1</v>
      </c>
      <c r="HB325">
        <v>0.0451728</v>
      </c>
      <c r="HC325">
        <v>1.5192</v>
      </c>
      <c r="HD325">
        <v>20.3276</v>
      </c>
      <c r="HE325">
        <v>5.21774</v>
      </c>
      <c r="HF325">
        <v>12.0099</v>
      </c>
      <c r="HG325">
        <v>4.98835</v>
      </c>
      <c r="HH325">
        <v>3.28848</v>
      </c>
      <c r="HI325">
        <v>1031.9</v>
      </c>
      <c r="HJ325">
        <v>9738.700000000001</v>
      </c>
      <c r="HK325">
        <v>5139.4</v>
      </c>
      <c r="HL325">
        <v>25.3</v>
      </c>
      <c r="HM325">
        <v>1.86747</v>
      </c>
      <c r="HN325">
        <v>1.86646</v>
      </c>
      <c r="HO325">
        <v>1.866</v>
      </c>
      <c r="HP325">
        <v>1.86584</v>
      </c>
      <c r="HQ325">
        <v>1.86768</v>
      </c>
      <c r="HR325">
        <v>1.87019</v>
      </c>
      <c r="HS325">
        <v>1.86889</v>
      </c>
      <c r="HT325">
        <v>1.87022</v>
      </c>
      <c r="HU325">
        <v>0</v>
      </c>
      <c r="HV325">
        <v>0</v>
      </c>
      <c r="HW325">
        <v>0</v>
      </c>
      <c r="HX325">
        <v>0</v>
      </c>
      <c r="HY325" t="s">
        <v>421</v>
      </c>
      <c r="HZ325" t="s">
        <v>422</v>
      </c>
      <c r="IA325" t="s">
        <v>423</v>
      </c>
      <c r="IB325" t="s">
        <v>423</v>
      </c>
      <c r="IC325" t="s">
        <v>423</v>
      </c>
      <c r="ID325" t="s">
        <v>423</v>
      </c>
      <c r="IE325">
        <v>0</v>
      </c>
      <c r="IF325">
        <v>100</v>
      </c>
      <c r="IG325">
        <v>100</v>
      </c>
      <c r="IH325">
        <v>-0.873</v>
      </c>
      <c r="II325">
        <v>0.025</v>
      </c>
      <c r="IJ325">
        <v>-0.1559367209035702</v>
      </c>
      <c r="IK325">
        <v>-0.002077099775823331</v>
      </c>
      <c r="IL325">
        <v>4.593143279902166E-07</v>
      </c>
      <c r="IM325">
        <v>-1.865383991892071E-10</v>
      </c>
      <c r="IN325">
        <v>-0.0607165066849496</v>
      </c>
      <c r="IO325">
        <v>-0.01129461987421345</v>
      </c>
      <c r="IP325">
        <v>0.00116580895745559</v>
      </c>
      <c r="IQ325">
        <v>-1.679085872906199E-05</v>
      </c>
      <c r="IR325">
        <v>2</v>
      </c>
      <c r="IS325">
        <v>2290</v>
      </c>
      <c r="IT325">
        <v>0</v>
      </c>
      <c r="IU325">
        <v>32</v>
      </c>
      <c r="IV325">
        <v>14.6</v>
      </c>
      <c r="IW325">
        <v>14.4</v>
      </c>
      <c r="IX325">
        <v>1.07666</v>
      </c>
      <c r="IY325">
        <v>2.21924</v>
      </c>
      <c r="IZ325">
        <v>1.39648</v>
      </c>
      <c r="JA325">
        <v>2.35474</v>
      </c>
      <c r="JB325">
        <v>1.49536</v>
      </c>
      <c r="JC325">
        <v>2.31812</v>
      </c>
      <c r="JD325">
        <v>38.0134</v>
      </c>
      <c r="JE325">
        <v>24.035</v>
      </c>
      <c r="JF325">
        <v>18</v>
      </c>
      <c r="JG325">
        <v>512.515</v>
      </c>
      <c r="JH325">
        <v>425.877</v>
      </c>
      <c r="JI325">
        <v>23.1594</v>
      </c>
      <c r="JJ325">
        <v>27.9096</v>
      </c>
      <c r="JK325">
        <v>30</v>
      </c>
      <c r="JL325">
        <v>27.9316</v>
      </c>
      <c r="JM325">
        <v>27.8769</v>
      </c>
      <c r="JN325">
        <v>21.6148</v>
      </c>
      <c r="JO325">
        <v>45.4933</v>
      </c>
      <c r="JP325">
        <v>0</v>
      </c>
      <c r="JQ325">
        <v>23.1497</v>
      </c>
      <c r="JR325">
        <v>445.472</v>
      </c>
      <c r="JS325">
        <v>9.208539999999999</v>
      </c>
      <c r="JT325">
        <v>100.416</v>
      </c>
      <c r="JU325">
        <v>100.349</v>
      </c>
    </row>
    <row r="326" spans="1:281">
      <c r="A326">
        <v>310</v>
      </c>
      <c r="B326">
        <v>1651866384</v>
      </c>
      <c r="C326">
        <v>2163.400000095367</v>
      </c>
      <c r="D326" t="s">
        <v>1043</v>
      </c>
      <c r="E326" t="s">
        <v>1044</v>
      </c>
      <c r="F326">
        <v>2</v>
      </c>
      <c r="G326" t="s">
        <v>908</v>
      </c>
      <c r="H326" t="s">
        <v>414</v>
      </c>
      <c r="I326">
        <v>1651866382.625</v>
      </c>
      <c r="J326">
        <f>(K326)/1000</f>
        <v>0</v>
      </c>
      <c r="K326">
        <f>IF(CZ326, AN326, AH326)</f>
        <v>0</v>
      </c>
      <c r="L326">
        <f>IF(CZ326, AI326, AG326)</f>
        <v>0</v>
      </c>
      <c r="M326">
        <f>DB326 - IF(AU326&gt;1, L326*CV326*100.0/(AW326*DP326), 0)</f>
        <v>0</v>
      </c>
      <c r="N326">
        <f>((T326-J326/2)*M326-L326)/(T326+J326/2)</f>
        <v>0</v>
      </c>
      <c r="O326">
        <f>N326*(DI326+DJ326)/1000.0</f>
        <v>0</v>
      </c>
      <c r="P326">
        <f>(DB326 - IF(AU326&gt;1, L326*CV326*100.0/(AW326*DP326), 0))*(DI326+DJ326)/1000.0</f>
        <v>0</v>
      </c>
      <c r="Q326">
        <f>2.0/((1/S326-1/R326)+SIGN(S326)*SQRT((1/S326-1/R326)*(1/S326-1/R326) + 4*CW326/((CW326+1)*(CW326+1))*(2*1/S326*1/R326-1/R326*1/R326)))</f>
        <v>0</v>
      </c>
      <c r="R326">
        <f>IF(LEFT(CX326,1)&lt;&gt;"0",IF(LEFT(CX326,1)="1",3.0,CY326),$D$5+$E$5*(DP326*DI326/($K$5*1000))+$F$5*(DP326*DI326/($K$5*1000))*MAX(MIN(CV326,$J$5),$I$5)*MAX(MIN(CV326,$J$5),$I$5)+$G$5*MAX(MIN(CV326,$J$5),$I$5)*(DP326*DI326/($K$5*1000))+$H$5*(DP326*DI326/($K$5*1000))*(DP326*DI326/($K$5*1000)))</f>
        <v>0</v>
      </c>
      <c r="S326">
        <f>J326*(1000-(1000*0.61365*exp(17.502*W326/(240.97+W326))/(DI326+DJ326)+DD326)/2)/(1000*0.61365*exp(17.502*W326/(240.97+W326))/(DI326+DJ326)-DD326)</f>
        <v>0</v>
      </c>
      <c r="T326">
        <f>1/((CW326+1)/(Q326/1.6)+1/(R326/1.37)) + CW326/((CW326+1)/(Q326/1.6) + CW326/(R326/1.37))</f>
        <v>0</v>
      </c>
      <c r="U326">
        <f>(CR326*CU326)</f>
        <v>0</v>
      </c>
      <c r="V326">
        <f>(DK326+(U326+2*0.95*5.67E-8*(((DK326+$B$7)+273)^4-(DK326+273)^4)-44100*J326)/(1.84*29.3*R326+8*0.95*5.67E-8*(DK326+273)^3))</f>
        <v>0</v>
      </c>
      <c r="W326">
        <f>($C$7*DL326+$D$7*DM326+$E$7*V326)</f>
        <v>0</v>
      </c>
      <c r="X326">
        <f>0.61365*exp(17.502*W326/(240.97+W326))</f>
        <v>0</v>
      </c>
      <c r="Y326">
        <f>(Z326/AA326*100)</f>
        <v>0</v>
      </c>
      <c r="Z326">
        <f>DD326*(DI326+DJ326)/1000</f>
        <v>0</v>
      </c>
      <c r="AA326">
        <f>0.61365*exp(17.502*DK326/(240.97+DK326))</f>
        <v>0</v>
      </c>
      <c r="AB326">
        <f>(X326-DD326*(DI326+DJ326)/1000)</f>
        <v>0</v>
      </c>
      <c r="AC326">
        <f>(-J326*44100)</f>
        <v>0</v>
      </c>
      <c r="AD326">
        <f>2*29.3*R326*0.92*(DK326-W326)</f>
        <v>0</v>
      </c>
      <c r="AE326">
        <f>2*0.95*5.67E-8*(((DK326+$B$7)+273)^4-(W326+273)^4)</f>
        <v>0</v>
      </c>
      <c r="AF326">
        <f>U326+AE326+AC326+AD326</f>
        <v>0</v>
      </c>
      <c r="AG326">
        <f>DH326*AU326*(DC326-DB326*(1000-AU326*DE326)/(1000-AU326*DD326))/(100*CV326)</f>
        <v>0</v>
      </c>
      <c r="AH326">
        <f>1000*DH326*AU326*(DD326-DE326)/(100*CV326*(1000-AU326*DD326))</f>
        <v>0</v>
      </c>
      <c r="AI326">
        <f>(AJ326 - AK326 - DI326*1E3/(8.314*(DK326+273.15)) * AM326/DH326 * AL326) * DH326/(100*CV326) * (1000 - DE326)/1000</f>
        <v>0</v>
      </c>
      <c r="AJ326">
        <v>425.34604355806</v>
      </c>
      <c r="AK326">
        <v>382.2404363636362</v>
      </c>
      <c r="AL326">
        <v>3.154493776565428</v>
      </c>
      <c r="AM326">
        <v>66.38195617057868</v>
      </c>
      <c r="AN326">
        <f>(AP326 - AO326 + DI326*1E3/(8.314*(DK326+273.15)) * AR326/DH326 * AQ326) * DH326/(100*CV326) * 1000/(1000 - AP326)</f>
        <v>0</v>
      </c>
      <c r="AO326">
        <v>9.27355146431162</v>
      </c>
      <c r="AP326">
        <v>18.66319970588236</v>
      </c>
      <c r="AQ326">
        <v>-0.0003775013633399387</v>
      </c>
      <c r="AR326">
        <v>80.47178418790507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MAX(0,($B$13+$C$13*DP326)/(1+$D$13*DP326)*DI326/(DK326+273)*$E$13)</f>
        <v>0</v>
      </c>
      <c r="AX326" t="s">
        <v>417</v>
      </c>
      <c r="AY326" t="s">
        <v>417</v>
      </c>
      <c r="AZ326">
        <v>0</v>
      </c>
      <c r="BA326">
        <v>0</v>
      </c>
      <c r="BB326">
        <f>1-AZ326/BA326</f>
        <v>0</v>
      </c>
      <c r="BC326">
        <v>0</v>
      </c>
      <c r="BD326" t="s">
        <v>417</v>
      </c>
      <c r="BE326" t="s">
        <v>417</v>
      </c>
      <c r="BF326">
        <v>0</v>
      </c>
      <c r="BG326">
        <v>0</v>
      </c>
      <c r="BH326">
        <f>1-BF326/BG326</f>
        <v>0</v>
      </c>
      <c r="BI326">
        <v>0.5</v>
      </c>
      <c r="BJ326">
        <f>CS326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417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BZ326">
        <v>1249</v>
      </c>
      <c r="CA326">
        <v>300</v>
      </c>
      <c r="CB326">
        <v>300</v>
      </c>
      <c r="CC326">
        <v>300</v>
      </c>
      <c r="CD326">
        <v>10442.4</v>
      </c>
      <c r="CE326">
        <v>1239.69</v>
      </c>
      <c r="CF326">
        <v>-0.00735276</v>
      </c>
      <c r="CG326">
        <v>0.07000000000000001</v>
      </c>
      <c r="CH326" t="s">
        <v>417</v>
      </c>
      <c r="CI326" t="s">
        <v>417</v>
      </c>
      <c r="CJ326" t="s">
        <v>417</v>
      </c>
      <c r="CK326" t="s">
        <v>417</v>
      </c>
      <c r="CL326" t="s">
        <v>417</v>
      </c>
      <c r="CM326" t="s">
        <v>417</v>
      </c>
      <c r="CN326" t="s">
        <v>417</v>
      </c>
      <c r="CO326" t="s">
        <v>417</v>
      </c>
      <c r="CP326" t="s">
        <v>417</v>
      </c>
      <c r="CQ326" t="s">
        <v>417</v>
      </c>
      <c r="CR326">
        <f>$B$11*DQ326+$C$11*DR326+$F$11*EC326*(1-EF326)</f>
        <v>0</v>
      </c>
      <c r="CS326">
        <f>CR326*CT326</f>
        <v>0</v>
      </c>
      <c r="CT326">
        <f>($B$11*$D$9+$C$11*$D$9+$F$11*((EP326+EH326)/MAX(EP326+EH326+EQ326, 0.1)*$I$9+EQ326/MAX(EP326+EH326+EQ326, 0.1)*$J$9))/($B$11+$C$11+$F$11)</f>
        <v>0</v>
      </c>
      <c r="CU326">
        <f>($B$11*$K$9+$C$11*$K$9+$F$11*((EP326+EH326)/MAX(EP326+EH326+EQ326, 0.1)*$P$9+EQ326/MAX(EP326+EH326+EQ326, 0.1)*$Q$9))/($B$11+$C$11+$F$11)</f>
        <v>0</v>
      </c>
      <c r="CV326">
        <v>6</v>
      </c>
      <c r="CW326">
        <v>0.5</v>
      </c>
      <c r="CX326" t="s">
        <v>418</v>
      </c>
      <c r="CY326">
        <v>2</v>
      </c>
      <c r="CZ326" t="b">
        <v>1</v>
      </c>
      <c r="DA326">
        <v>1651866382.625</v>
      </c>
      <c r="DB326">
        <v>372.3905</v>
      </c>
      <c r="DC326">
        <v>426.104</v>
      </c>
      <c r="DD326">
        <v>18.662375</v>
      </c>
      <c r="DE326">
        <v>9.271049999999999</v>
      </c>
      <c r="DF326">
        <v>373.2675</v>
      </c>
      <c r="DG326">
        <v>18.637325</v>
      </c>
      <c r="DH326">
        <v>500.0577500000001</v>
      </c>
      <c r="DI326">
        <v>89.92072499999999</v>
      </c>
      <c r="DJ326">
        <v>0.09992482499999999</v>
      </c>
      <c r="DK326">
        <v>25.9304</v>
      </c>
      <c r="DL326">
        <v>25.001725</v>
      </c>
      <c r="DM326">
        <v>999.9</v>
      </c>
      <c r="DN326">
        <v>0</v>
      </c>
      <c r="DO326">
        <v>0</v>
      </c>
      <c r="DP326">
        <v>9997.825000000001</v>
      </c>
      <c r="DQ326">
        <v>0</v>
      </c>
      <c r="DR326">
        <v>3.22034</v>
      </c>
      <c r="DS326">
        <v>-53.7133</v>
      </c>
      <c r="DT326">
        <v>379.47225</v>
      </c>
      <c r="DU326">
        <v>430.091</v>
      </c>
      <c r="DV326">
        <v>9.3913125</v>
      </c>
      <c r="DW326">
        <v>426.104</v>
      </c>
      <c r="DX326">
        <v>9.271049999999999</v>
      </c>
      <c r="DY326">
        <v>1.678135</v>
      </c>
      <c r="DZ326">
        <v>0.8336600000000001</v>
      </c>
      <c r="EA326">
        <v>14.695625</v>
      </c>
      <c r="EB326">
        <v>4.293737500000001</v>
      </c>
      <c r="EC326">
        <v>1500.045</v>
      </c>
      <c r="ED326">
        <v>0.9729942499999999</v>
      </c>
      <c r="EE326">
        <v>0.02700555</v>
      </c>
      <c r="EF326">
        <v>0</v>
      </c>
      <c r="EG326">
        <v>876.9662500000002</v>
      </c>
      <c r="EH326">
        <v>5.00097</v>
      </c>
      <c r="EI326">
        <v>13096.375</v>
      </c>
      <c r="EJ326">
        <v>12491.975</v>
      </c>
      <c r="EK326">
        <v>39.0935</v>
      </c>
      <c r="EL326">
        <v>40.54649999999999</v>
      </c>
      <c r="EM326">
        <v>39.437</v>
      </c>
      <c r="EN326">
        <v>40.7655</v>
      </c>
      <c r="EO326">
        <v>39.937</v>
      </c>
      <c r="EP326">
        <v>1454.6675</v>
      </c>
      <c r="EQ326">
        <v>40.375</v>
      </c>
      <c r="ER326">
        <v>0</v>
      </c>
      <c r="ES326">
        <v>901.4000000953674</v>
      </c>
      <c r="ET326">
        <v>0</v>
      </c>
      <c r="EU326">
        <v>870.1306</v>
      </c>
      <c r="EV326">
        <v>69.03238461793684</v>
      </c>
      <c r="EW326">
        <v>989.2923076030809</v>
      </c>
      <c r="EX326">
        <v>12999.296</v>
      </c>
      <c r="EY326">
        <v>15</v>
      </c>
      <c r="EZ326">
        <v>1651865518.1</v>
      </c>
      <c r="FA326" t="s">
        <v>910</v>
      </c>
      <c r="FB326">
        <v>1651865507.1</v>
      </c>
      <c r="FC326">
        <v>1651865518.1</v>
      </c>
      <c r="FD326">
        <v>8</v>
      </c>
      <c r="FE326">
        <v>0.06</v>
      </c>
      <c r="FF326">
        <v>0</v>
      </c>
      <c r="FG326">
        <v>-0.927</v>
      </c>
      <c r="FH326">
        <v>-0.062</v>
      </c>
      <c r="FI326">
        <v>400</v>
      </c>
      <c r="FJ326">
        <v>11</v>
      </c>
      <c r="FK326">
        <v>0.11</v>
      </c>
      <c r="FL326">
        <v>0.01</v>
      </c>
      <c r="FM326">
        <v>-50.96423249999999</v>
      </c>
      <c r="FN326">
        <v>-17.87677485928703</v>
      </c>
      <c r="FO326">
        <v>1.720895292048227</v>
      </c>
      <c r="FP326">
        <v>-1</v>
      </c>
      <c r="FQ326">
        <v>9.36568125</v>
      </c>
      <c r="FR326">
        <v>0.272996510318947</v>
      </c>
      <c r="FS326">
        <v>0.02967053118731614</v>
      </c>
      <c r="FT326">
        <v>-1</v>
      </c>
      <c r="FU326">
        <v>0</v>
      </c>
      <c r="FV326">
        <v>0</v>
      </c>
      <c r="FW326">
        <v>0</v>
      </c>
      <c r="FX326">
        <v>-1</v>
      </c>
      <c r="FY326">
        <v>0</v>
      </c>
      <c r="FZ326">
        <v>0</v>
      </c>
      <c r="GA326" t="s">
        <v>420</v>
      </c>
      <c r="GB326">
        <v>2.98149</v>
      </c>
      <c r="GC326">
        <v>2.70614</v>
      </c>
      <c r="GD326">
        <v>0.08618149999999999</v>
      </c>
      <c r="GE326">
        <v>0.0943611</v>
      </c>
      <c r="GF326">
        <v>0.08885170000000001</v>
      </c>
      <c r="GG326">
        <v>0.0523012</v>
      </c>
      <c r="GH326">
        <v>28876.1</v>
      </c>
      <c r="GI326">
        <v>28679.8</v>
      </c>
      <c r="GJ326">
        <v>29377.2</v>
      </c>
      <c r="GK326">
        <v>29292.3</v>
      </c>
      <c r="GL326">
        <v>35440.7</v>
      </c>
      <c r="GM326">
        <v>36979.4</v>
      </c>
      <c r="GN326">
        <v>41349.1</v>
      </c>
      <c r="GO326">
        <v>41811.8</v>
      </c>
      <c r="GP326">
        <v>1.96693</v>
      </c>
      <c r="GQ326">
        <v>1.85365</v>
      </c>
      <c r="GR326">
        <v>-0.00521541</v>
      </c>
      <c r="GS326">
        <v>0</v>
      </c>
      <c r="GT326">
        <v>25.0925</v>
      </c>
      <c r="GU326">
        <v>999.9</v>
      </c>
      <c r="GV326">
        <v>29.7</v>
      </c>
      <c r="GW326">
        <v>34.2</v>
      </c>
      <c r="GX326">
        <v>17.8456</v>
      </c>
      <c r="GY326">
        <v>62.6576</v>
      </c>
      <c r="GZ326">
        <v>35.2604</v>
      </c>
      <c r="HA326">
        <v>1</v>
      </c>
      <c r="HB326">
        <v>0.0451982</v>
      </c>
      <c r="HC326">
        <v>1.53232</v>
      </c>
      <c r="HD326">
        <v>20.3276</v>
      </c>
      <c r="HE326">
        <v>5.21759</v>
      </c>
      <c r="HF326">
        <v>12.0099</v>
      </c>
      <c r="HG326">
        <v>4.9883</v>
      </c>
      <c r="HH326">
        <v>3.28848</v>
      </c>
      <c r="HI326">
        <v>1031.9</v>
      </c>
      <c r="HJ326">
        <v>9738.700000000001</v>
      </c>
      <c r="HK326">
        <v>5139.4</v>
      </c>
      <c r="HL326">
        <v>25.3</v>
      </c>
      <c r="HM326">
        <v>1.86744</v>
      </c>
      <c r="HN326">
        <v>1.86646</v>
      </c>
      <c r="HO326">
        <v>1.866</v>
      </c>
      <c r="HP326">
        <v>1.86584</v>
      </c>
      <c r="HQ326">
        <v>1.86768</v>
      </c>
      <c r="HR326">
        <v>1.87018</v>
      </c>
      <c r="HS326">
        <v>1.86889</v>
      </c>
      <c r="HT326">
        <v>1.8702</v>
      </c>
      <c r="HU326">
        <v>0</v>
      </c>
      <c r="HV326">
        <v>0</v>
      </c>
      <c r="HW326">
        <v>0</v>
      </c>
      <c r="HX326">
        <v>0</v>
      </c>
      <c r="HY326" t="s">
        <v>421</v>
      </c>
      <c r="HZ326" t="s">
        <v>422</v>
      </c>
      <c r="IA326" t="s">
        <v>423</v>
      </c>
      <c r="IB326" t="s">
        <v>423</v>
      </c>
      <c r="IC326" t="s">
        <v>423</v>
      </c>
      <c r="ID326" t="s">
        <v>423</v>
      </c>
      <c r="IE326">
        <v>0</v>
      </c>
      <c r="IF326">
        <v>100</v>
      </c>
      <c r="IG326">
        <v>100</v>
      </c>
      <c r="IH326">
        <v>-0.885</v>
      </c>
      <c r="II326">
        <v>0.025</v>
      </c>
      <c r="IJ326">
        <v>-0.1559367209035702</v>
      </c>
      <c r="IK326">
        <v>-0.002077099775823331</v>
      </c>
      <c r="IL326">
        <v>4.593143279902166E-07</v>
      </c>
      <c r="IM326">
        <v>-1.865383991892071E-10</v>
      </c>
      <c r="IN326">
        <v>-0.0607165066849496</v>
      </c>
      <c r="IO326">
        <v>-0.01129461987421345</v>
      </c>
      <c r="IP326">
        <v>0.00116580895745559</v>
      </c>
      <c r="IQ326">
        <v>-1.679085872906199E-05</v>
      </c>
      <c r="IR326">
        <v>2</v>
      </c>
      <c r="IS326">
        <v>2290</v>
      </c>
      <c r="IT326">
        <v>0</v>
      </c>
      <c r="IU326">
        <v>32</v>
      </c>
      <c r="IV326">
        <v>14.6</v>
      </c>
      <c r="IW326">
        <v>14.4</v>
      </c>
      <c r="IX326">
        <v>1.09009</v>
      </c>
      <c r="IY326">
        <v>2.21558</v>
      </c>
      <c r="IZ326">
        <v>1.39648</v>
      </c>
      <c r="JA326">
        <v>2.35474</v>
      </c>
      <c r="JB326">
        <v>1.49536</v>
      </c>
      <c r="JC326">
        <v>2.2937</v>
      </c>
      <c r="JD326">
        <v>38.0134</v>
      </c>
      <c r="JE326">
        <v>24.035</v>
      </c>
      <c r="JF326">
        <v>18</v>
      </c>
      <c r="JG326">
        <v>512.542</v>
      </c>
      <c r="JH326">
        <v>425.917</v>
      </c>
      <c r="JI326">
        <v>23.1556</v>
      </c>
      <c r="JJ326">
        <v>27.9084</v>
      </c>
      <c r="JK326">
        <v>30</v>
      </c>
      <c r="JL326">
        <v>27.931</v>
      </c>
      <c r="JM326">
        <v>27.8763</v>
      </c>
      <c r="JN326">
        <v>21.8739</v>
      </c>
      <c r="JO326">
        <v>45.4933</v>
      </c>
      <c r="JP326">
        <v>0</v>
      </c>
      <c r="JQ326">
        <v>23.1497</v>
      </c>
      <c r="JR326">
        <v>452.15</v>
      </c>
      <c r="JS326">
        <v>9.20377</v>
      </c>
      <c r="JT326">
        <v>100.416</v>
      </c>
      <c r="JU326">
        <v>100.349</v>
      </c>
    </row>
    <row r="327" spans="1:281">
      <c r="A327">
        <v>311</v>
      </c>
      <c r="B327">
        <v>1651866386</v>
      </c>
      <c r="C327">
        <v>2165.400000095367</v>
      </c>
      <c r="D327" t="s">
        <v>1045</v>
      </c>
      <c r="E327" t="s">
        <v>1046</v>
      </c>
      <c r="F327">
        <v>2</v>
      </c>
      <c r="G327" t="s">
        <v>908</v>
      </c>
      <c r="H327" t="s">
        <v>414</v>
      </c>
      <c r="I327">
        <v>1651866385</v>
      </c>
      <c r="J327">
        <f>(K327)/1000</f>
        <v>0</v>
      </c>
      <c r="K327">
        <f>IF(CZ327, AN327, AH327)</f>
        <v>0</v>
      </c>
      <c r="L327">
        <f>IF(CZ327, AI327, AG327)</f>
        <v>0</v>
      </c>
      <c r="M327">
        <f>DB327 - IF(AU327&gt;1, L327*CV327*100.0/(AW327*DP327), 0)</f>
        <v>0</v>
      </c>
      <c r="N327">
        <f>((T327-J327/2)*M327-L327)/(T327+J327/2)</f>
        <v>0</v>
      </c>
      <c r="O327">
        <f>N327*(DI327+DJ327)/1000.0</f>
        <v>0</v>
      </c>
      <c r="P327">
        <f>(DB327 - IF(AU327&gt;1, L327*CV327*100.0/(AW327*DP327), 0))*(DI327+DJ327)/1000.0</f>
        <v>0</v>
      </c>
      <c r="Q327">
        <f>2.0/((1/S327-1/R327)+SIGN(S327)*SQRT((1/S327-1/R327)*(1/S327-1/R327) + 4*CW327/((CW327+1)*(CW327+1))*(2*1/S327*1/R327-1/R327*1/R327)))</f>
        <v>0</v>
      </c>
      <c r="R327">
        <f>IF(LEFT(CX327,1)&lt;&gt;"0",IF(LEFT(CX327,1)="1",3.0,CY327),$D$5+$E$5*(DP327*DI327/($K$5*1000))+$F$5*(DP327*DI327/($K$5*1000))*MAX(MIN(CV327,$J$5),$I$5)*MAX(MIN(CV327,$J$5),$I$5)+$G$5*MAX(MIN(CV327,$J$5),$I$5)*(DP327*DI327/($K$5*1000))+$H$5*(DP327*DI327/($K$5*1000))*(DP327*DI327/($K$5*1000)))</f>
        <v>0</v>
      </c>
      <c r="S327">
        <f>J327*(1000-(1000*0.61365*exp(17.502*W327/(240.97+W327))/(DI327+DJ327)+DD327)/2)/(1000*0.61365*exp(17.502*W327/(240.97+W327))/(DI327+DJ327)-DD327)</f>
        <v>0</v>
      </c>
      <c r="T327">
        <f>1/((CW327+1)/(Q327/1.6)+1/(R327/1.37)) + CW327/((CW327+1)/(Q327/1.6) + CW327/(R327/1.37))</f>
        <v>0</v>
      </c>
      <c r="U327">
        <f>(CR327*CU327)</f>
        <v>0</v>
      </c>
      <c r="V327">
        <f>(DK327+(U327+2*0.95*5.67E-8*(((DK327+$B$7)+273)^4-(DK327+273)^4)-44100*J327)/(1.84*29.3*R327+8*0.95*5.67E-8*(DK327+273)^3))</f>
        <v>0</v>
      </c>
      <c r="W327">
        <f>($C$7*DL327+$D$7*DM327+$E$7*V327)</f>
        <v>0</v>
      </c>
      <c r="X327">
        <f>0.61365*exp(17.502*W327/(240.97+W327))</f>
        <v>0</v>
      </c>
      <c r="Y327">
        <f>(Z327/AA327*100)</f>
        <v>0</v>
      </c>
      <c r="Z327">
        <f>DD327*(DI327+DJ327)/1000</f>
        <v>0</v>
      </c>
      <c r="AA327">
        <f>0.61365*exp(17.502*DK327/(240.97+DK327))</f>
        <v>0</v>
      </c>
      <c r="AB327">
        <f>(X327-DD327*(DI327+DJ327)/1000)</f>
        <v>0</v>
      </c>
      <c r="AC327">
        <f>(-J327*44100)</f>
        <v>0</v>
      </c>
      <c r="AD327">
        <f>2*29.3*R327*0.92*(DK327-W327)</f>
        <v>0</v>
      </c>
      <c r="AE327">
        <f>2*0.95*5.67E-8*(((DK327+$B$7)+273)^4-(W327+273)^4)</f>
        <v>0</v>
      </c>
      <c r="AF327">
        <f>U327+AE327+AC327+AD327</f>
        <v>0</v>
      </c>
      <c r="AG327">
        <f>DH327*AU327*(DC327-DB327*(1000-AU327*DE327)/(1000-AU327*DD327))/(100*CV327)</f>
        <v>0</v>
      </c>
      <c r="AH327">
        <f>1000*DH327*AU327*(DD327-DE327)/(100*CV327*(1000-AU327*DD327))</f>
        <v>0</v>
      </c>
      <c r="AI327">
        <f>(AJ327 - AK327 - DI327*1E3/(8.314*(DK327+273.15)) * AM327/DH327 * AL327) * DH327/(100*CV327) * (1000 - DE327)/1000</f>
        <v>0</v>
      </c>
      <c r="AJ327">
        <v>432.1557500924534</v>
      </c>
      <c r="AK327">
        <v>388.623715151515</v>
      </c>
      <c r="AL327">
        <v>3.181725640212456</v>
      </c>
      <c r="AM327">
        <v>66.38195617057868</v>
      </c>
      <c r="AN327">
        <f>(AP327 - AO327 + DI327*1E3/(8.314*(DK327+273.15)) * AR327/DH327 * AQ327) * DH327/(100*CV327) * 1000/(1000 - AP327)</f>
        <v>0</v>
      </c>
      <c r="AO327">
        <v>9.271895349097221</v>
      </c>
      <c r="AP327">
        <v>18.66190617647059</v>
      </c>
      <c r="AQ327">
        <v>0.0001197357579654456</v>
      </c>
      <c r="AR327">
        <v>80.47178418790507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MAX(0,($B$13+$C$13*DP327)/(1+$D$13*DP327)*DI327/(DK327+273)*$E$13)</f>
        <v>0</v>
      </c>
      <c r="AX327" t="s">
        <v>417</v>
      </c>
      <c r="AY327" t="s">
        <v>417</v>
      </c>
      <c r="AZ327">
        <v>0</v>
      </c>
      <c r="BA327">
        <v>0</v>
      </c>
      <c r="BB327">
        <f>1-AZ327/BA327</f>
        <v>0</v>
      </c>
      <c r="BC327">
        <v>0</v>
      </c>
      <c r="BD327" t="s">
        <v>417</v>
      </c>
      <c r="BE327" t="s">
        <v>417</v>
      </c>
      <c r="BF327">
        <v>0</v>
      </c>
      <c r="BG327">
        <v>0</v>
      </c>
      <c r="BH327">
        <f>1-BF327/BG327</f>
        <v>0</v>
      </c>
      <c r="BI327">
        <v>0.5</v>
      </c>
      <c r="BJ327">
        <f>CS327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417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BZ327">
        <v>1249</v>
      </c>
      <c r="CA327">
        <v>300</v>
      </c>
      <c r="CB327">
        <v>300</v>
      </c>
      <c r="CC327">
        <v>300</v>
      </c>
      <c r="CD327">
        <v>10442.4</v>
      </c>
      <c r="CE327">
        <v>1239.69</v>
      </c>
      <c r="CF327">
        <v>-0.00735276</v>
      </c>
      <c r="CG327">
        <v>0.07000000000000001</v>
      </c>
      <c r="CH327" t="s">
        <v>417</v>
      </c>
      <c r="CI327" t="s">
        <v>417</v>
      </c>
      <c r="CJ327" t="s">
        <v>417</v>
      </c>
      <c r="CK327" t="s">
        <v>417</v>
      </c>
      <c r="CL327" t="s">
        <v>417</v>
      </c>
      <c r="CM327" t="s">
        <v>417</v>
      </c>
      <c r="CN327" t="s">
        <v>417</v>
      </c>
      <c r="CO327" t="s">
        <v>417</v>
      </c>
      <c r="CP327" t="s">
        <v>417</v>
      </c>
      <c r="CQ327" t="s">
        <v>417</v>
      </c>
      <c r="CR327">
        <f>$B$11*DQ327+$C$11*DR327+$F$11*EC327*(1-EF327)</f>
        <v>0</v>
      </c>
      <c r="CS327">
        <f>CR327*CT327</f>
        <v>0</v>
      </c>
      <c r="CT327">
        <f>($B$11*$D$9+$C$11*$D$9+$F$11*((EP327+EH327)/MAX(EP327+EH327+EQ327, 0.1)*$I$9+EQ327/MAX(EP327+EH327+EQ327, 0.1)*$J$9))/($B$11+$C$11+$F$11)</f>
        <v>0</v>
      </c>
      <c r="CU327">
        <f>($B$11*$K$9+$C$11*$K$9+$F$11*((EP327+EH327)/MAX(EP327+EH327+EQ327, 0.1)*$P$9+EQ327/MAX(EP327+EH327+EQ327, 0.1)*$Q$9))/($B$11+$C$11+$F$11)</f>
        <v>0</v>
      </c>
      <c r="CV327">
        <v>6</v>
      </c>
      <c r="CW327">
        <v>0.5</v>
      </c>
      <c r="CX327" t="s">
        <v>418</v>
      </c>
      <c r="CY327">
        <v>2</v>
      </c>
      <c r="CZ327" t="b">
        <v>1</v>
      </c>
      <c r="DA327">
        <v>1651866385</v>
      </c>
      <c r="DB327">
        <v>379.797</v>
      </c>
      <c r="DC327">
        <v>434.211</v>
      </c>
      <c r="DD327">
        <v>18.66166666666667</v>
      </c>
      <c r="DE327">
        <v>9.270426666666665</v>
      </c>
      <c r="DF327">
        <v>380.6873333333333</v>
      </c>
      <c r="DG327">
        <v>18.6366</v>
      </c>
      <c r="DH327">
        <v>500.0496666666666</v>
      </c>
      <c r="DI327">
        <v>89.92123333333332</v>
      </c>
      <c r="DJ327">
        <v>0.1000677666666667</v>
      </c>
      <c r="DK327">
        <v>25.9334</v>
      </c>
      <c r="DL327">
        <v>25.00456666666667</v>
      </c>
      <c r="DM327">
        <v>999.9</v>
      </c>
      <c r="DN327">
        <v>0</v>
      </c>
      <c r="DO327">
        <v>0</v>
      </c>
      <c r="DP327">
        <v>9993.75</v>
      </c>
      <c r="DQ327">
        <v>0</v>
      </c>
      <c r="DR327">
        <v>3.21788</v>
      </c>
      <c r="DS327">
        <v>-54.4138</v>
      </c>
      <c r="DT327">
        <v>387.0193333333333</v>
      </c>
      <c r="DU327">
        <v>438.2740000000001</v>
      </c>
      <c r="DV327">
        <v>9.391216666666667</v>
      </c>
      <c r="DW327">
        <v>434.211</v>
      </c>
      <c r="DX327">
        <v>9.270426666666665</v>
      </c>
      <c r="DY327">
        <v>1.67808</v>
      </c>
      <c r="DZ327">
        <v>0.8336083333333333</v>
      </c>
      <c r="EA327">
        <v>14.69513333333333</v>
      </c>
      <c r="EB327">
        <v>4.292856666666666</v>
      </c>
      <c r="EC327">
        <v>1499.993333333333</v>
      </c>
      <c r="ED327">
        <v>0.9729930000000001</v>
      </c>
      <c r="EE327">
        <v>0.0270069</v>
      </c>
      <c r="EF327">
        <v>0</v>
      </c>
      <c r="EG327">
        <v>879.4340000000001</v>
      </c>
      <c r="EH327">
        <v>5.00097</v>
      </c>
      <c r="EI327">
        <v>13130.8</v>
      </c>
      <c r="EJ327">
        <v>12491.53333333333</v>
      </c>
      <c r="EK327">
        <v>39.062</v>
      </c>
      <c r="EL327">
        <v>40.5</v>
      </c>
      <c r="EM327">
        <v>39.437</v>
      </c>
      <c r="EN327">
        <v>40.687</v>
      </c>
      <c r="EO327">
        <v>39.875</v>
      </c>
      <c r="EP327">
        <v>1454.613333333333</v>
      </c>
      <c r="EQ327">
        <v>40.38</v>
      </c>
      <c r="ER327">
        <v>0</v>
      </c>
      <c r="ES327">
        <v>903.2000000476837</v>
      </c>
      <c r="ET327">
        <v>0</v>
      </c>
      <c r="EU327">
        <v>871.8156923076923</v>
      </c>
      <c r="EV327">
        <v>68.15384606148645</v>
      </c>
      <c r="EW327">
        <v>969.4495712415154</v>
      </c>
      <c r="EX327">
        <v>13023.34615384615</v>
      </c>
      <c r="EY327">
        <v>15</v>
      </c>
      <c r="EZ327">
        <v>1651865518.1</v>
      </c>
      <c r="FA327" t="s">
        <v>910</v>
      </c>
      <c r="FB327">
        <v>1651865507.1</v>
      </c>
      <c r="FC327">
        <v>1651865518.1</v>
      </c>
      <c r="FD327">
        <v>8</v>
      </c>
      <c r="FE327">
        <v>0.06</v>
      </c>
      <c r="FF327">
        <v>0</v>
      </c>
      <c r="FG327">
        <v>-0.927</v>
      </c>
      <c r="FH327">
        <v>-0.062</v>
      </c>
      <c r="FI327">
        <v>400</v>
      </c>
      <c r="FJ327">
        <v>11</v>
      </c>
      <c r="FK327">
        <v>0.11</v>
      </c>
      <c r="FL327">
        <v>0.01</v>
      </c>
      <c r="FM327">
        <v>-51.62709024390244</v>
      </c>
      <c r="FN327">
        <v>-17.77460069686424</v>
      </c>
      <c r="FO327">
        <v>1.753863719822524</v>
      </c>
      <c r="FP327">
        <v>-1</v>
      </c>
      <c r="FQ327">
        <v>9.373963170731706</v>
      </c>
      <c r="FR327">
        <v>0.2027648780487868</v>
      </c>
      <c r="FS327">
        <v>0.02449694967960281</v>
      </c>
      <c r="FT327">
        <v>-1</v>
      </c>
      <c r="FU327">
        <v>0</v>
      </c>
      <c r="FV327">
        <v>0</v>
      </c>
      <c r="FW327">
        <v>0</v>
      </c>
      <c r="FX327">
        <v>-1</v>
      </c>
      <c r="FY327">
        <v>0</v>
      </c>
      <c r="FZ327">
        <v>0</v>
      </c>
      <c r="GA327" t="s">
        <v>420</v>
      </c>
      <c r="GB327">
        <v>2.98131</v>
      </c>
      <c r="GC327">
        <v>2.70598</v>
      </c>
      <c r="GD327">
        <v>0.0872947</v>
      </c>
      <c r="GE327">
        <v>0.0954865</v>
      </c>
      <c r="GF327">
        <v>0.08884549999999999</v>
      </c>
      <c r="GG327">
        <v>0.0523014</v>
      </c>
      <c r="GH327">
        <v>28841</v>
      </c>
      <c r="GI327">
        <v>28644.2</v>
      </c>
      <c r="GJ327">
        <v>29377.2</v>
      </c>
      <c r="GK327">
        <v>29292.4</v>
      </c>
      <c r="GL327">
        <v>35441</v>
      </c>
      <c r="GM327">
        <v>36979.5</v>
      </c>
      <c r="GN327">
        <v>41349.2</v>
      </c>
      <c r="GO327">
        <v>41811.9</v>
      </c>
      <c r="GP327">
        <v>1.9669</v>
      </c>
      <c r="GQ327">
        <v>1.85355</v>
      </c>
      <c r="GR327">
        <v>-0.00540167</v>
      </c>
      <c r="GS327">
        <v>0</v>
      </c>
      <c r="GT327">
        <v>25.0931</v>
      </c>
      <c r="GU327">
        <v>999.9</v>
      </c>
      <c r="GV327">
        <v>29.7</v>
      </c>
      <c r="GW327">
        <v>34.2</v>
      </c>
      <c r="GX327">
        <v>17.8452</v>
      </c>
      <c r="GY327">
        <v>62.4276</v>
      </c>
      <c r="GZ327">
        <v>35.5849</v>
      </c>
      <c r="HA327">
        <v>1</v>
      </c>
      <c r="HB327">
        <v>0.0452109</v>
      </c>
      <c r="HC327">
        <v>1.52246</v>
      </c>
      <c r="HD327">
        <v>20.3276</v>
      </c>
      <c r="HE327">
        <v>5.21714</v>
      </c>
      <c r="HF327">
        <v>12.0099</v>
      </c>
      <c r="HG327">
        <v>4.9883</v>
      </c>
      <c r="HH327">
        <v>3.28848</v>
      </c>
      <c r="HI327">
        <v>1031.9</v>
      </c>
      <c r="HJ327">
        <v>9738.700000000001</v>
      </c>
      <c r="HK327">
        <v>5139.4</v>
      </c>
      <c r="HL327">
        <v>25.3</v>
      </c>
      <c r="HM327">
        <v>1.86741</v>
      </c>
      <c r="HN327">
        <v>1.86646</v>
      </c>
      <c r="HO327">
        <v>1.866</v>
      </c>
      <c r="HP327">
        <v>1.86584</v>
      </c>
      <c r="HQ327">
        <v>1.86768</v>
      </c>
      <c r="HR327">
        <v>1.8702</v>
      </c>
      <c r="HS327">
        <v>1.86888</v>
      </c>
      <c r="HT327">
        <v>1.87019</v>
      </c>
      <c r="HU327">
        <v>0</v>
      </c>
      <c r="HV327">
        <v>0</v>
      </c>
      <c r="HW327">
        <v>0</v>
      </c>
      <c r="HX327">
        <v>0</v>
      </c>
      <c r="HY327" t="s">
        <v>421</v>
      </c>
      <c r="HZ327" t="s">
        <v>422</v>
      </c>
      <c r="IA327" t="s">
        <v>423</v>
      </c>
      <c r="IB327" t="s">
        <v>423</v>
      </c>
      <c r="IC327" t="s">
        <v>423</v>
      </c>
      <c r="ID327" t="s">
        <v>423</v>
      </c>
      <c r="IE327">
        <v>0</v>
      </c>
      <c r="IF327">
        <v>100</v>
      </c>
      <c r="IG327">
        <v>100</v>
      </c>
      <c r="IH327">
        <v>-0.896</v>
      </c>
      <c r="II327">
        <v>0.025</v>
      </c>
      <c r="IJ327">
        <v>-0.1559367209035702</v>
      </c>
      <c r="IK327">
        <v>-0.002077099775823331</v>
      </c>
      <c r="IL327">
        <v>4.593143279902166E-07</v>
      </c>
      <c r="IM327">
        <v>-1.865383991892071E-10</v>
      </c>
      <c r="IN327">
        <v>-0.0607165066849496</v>
      </c>
      <c r="IO327">
        <v>-0.01129461987421345</v>
      </c>
      <c r="IP327">
        <v>0.00116580895745559</v>
      </c>
      <c r="IQ327">
        <v>-1.679085872906199E-05</v>
      </c>
      <c r="IR327">
        <v>2</v>
      </c>
      <c r="IS327">
        <v>2290</v>
      </c>
      <c r="IT327">
        <v>0</v>
      </c>
      <c r="IU327">
        <v>32</v>
      </c>
      <c r="IV327">
        <v>14.6</v>
      </c>
      <c r="IW327">
        <v>14.5</v>
      </c>
      <c r="IX327">
        <v>1.10352</v>
      </c>
      <c r="IY327">
        <v>2.21313</v>
      </c>
      <c r="IZ327">
        <v>1.39648</v>
      </c>
      <c r="JA327">
        <v>2.35474</v>
      </c>
      <c r="JB327">
        <v>1.49536</v>
      </c>
      <c r="JC327">
        <v>2.33276</v>
      </c>
      <c r="JD327">
        <v>38.0134</v>
      </c>
      <c r="JE327">
        <v>24.0437</v>
      </c>
      <c r="JF327">
        <v>18</v>
      </c>
      <c r="JG327">
        <v>512.516</v>
      </c>
      <c r="JH327">
        <v>425.849</v>
      </c>
      <c r="JI327">
        <v>23.1517</v>
      </c>
      <c r="JJ327">
        <v>27.9084</v>
      </c>
      <c r="JK327">
        <v>30</v>
      </c>
      <c r="JL327">
        <v>27.9298</v>
      </c>
      <c r="JM327">
        <v>27.8752</v>
      </c>
      <c r="JN327">
        <v>22.1332</v>
      </c>
      <c r="JO327">
        <v>45.4933</v>
      </c>
      <c r="JP327">
        <v>0</v>
      </c>
      <c r="JQ327">
        <v>23.1481</v>
      </c>
      <c r="JR327">
        <v>458.829</v>
      </c>
      <c r="JS327">
        <v>9.239330000000001</v>
      </c>
      <c r="JT327">
        <v>100.417</v>
      </c>
      <c r="JU327">
        <v>100.349</v>
      </c>
    </row>
    <row r="328" spans="1:281">
      <c r="A328">
        <v>312</v>
      </c>
      <c r="B328">
        <v>1651866388</v>
      </c>
      <c r="C328">
        <v>2167.400000095367</v>
      </c>
      <c r="D328" t="s">
        <v>1047</v>
      </c>
      <c r="E328" t="s">
        <v>1048</v>
      </c>
      <c r="F328">
        <v>2</v>
      </c>
      <c r="G328" t="s">
        <v>908</v>
      </c>
      <c r="H328" t="s">
        <v>414</v>
      </c>
      <c r="I328">
        <v>1651866386.625</v>
      </c>
      <c r="J328">
        <f>(K328)/1000</f>
        <v>0</v>
      </c>
      <c r="K328">
        <f>IF(CZ328, AN328, AH328)</f>
        <v>0</v>
      </c>
      <c r="L328">
        <f>IF(CZ328, AI328, AG328)</f>
        <v>0</v>
      </c>
      <c r="M328">
        <f>DB328 - IF(AU328&gt;1, L328*CV328*100.0/(AW328*DP328), 0)</f>
        <v>0</v>
      </c>
      <c r="N328">
        <f>((T328-J328/2)*M328-L328)/(T328+J328/2)</f>
        <v>0</v>
      </c>
      <c r="O328">
        <f>N328*(DI328+DJ328)/1000.0</f>
        <v>0</v>
      </c>
      <c r="P328">
        <f>(DB328 - IF(AU328&gt;1, L328*CV328*100.0/(AW328*DP328), 0))*(DI328+DJ328)/1000.0</f>
        <v>0</v>
      </c>
      <c r="Q328">
        <f>2.0/((1/S328-1/R328)+SIGN(S328)*SQRT((1/S328-1/R328)*(1/S328-1/R328) + 4*CW328/((CW328+1)*(CW328+1))*(2*1/S328*1/R328-1/R328*1/R328)))</f>
        <v>0</v>
      </c>
      <c r="R328">
        <f>IF(LEFT(CX328,1)&lt;&gt;"0",IF(LEFT(CX328,1)="1",3.0,CY328),$D$5+$E$5*(DP328*DI328/($K$5*1000))+$F$5*(DP328*DI328/($K$5*1000))*MAX(MIN(CV328,$J$5),$I$5)*MAX(MIN(CV328,$J$5),$I$5)+$G$5*MAX(MIN(CV328,$J$5),$I$5)*(DP328*DI328/($K$5*1000))+$H$5*(DP328*DI328/($K$5*1000))*(DP328*DI328/($K$5*1000)))</f>
        <v>0</v>
      </c>
      <c r="S328">
        <f>J328*(1000-(1000*0.61365*exp(17.502*W328/(240.97+W328))/(DI328+DJ328)+DD328)/2)/(1000*0.61365*exp(17.502*W328/(240.97+W328))/(DI328+DJ328)-DD328)</f>
        <v>0</v>
      </c>
      <c r="T328">
        <f>1/((CW328+1)/(Q328/1.6)+1/(R328/1.37)) + CW328/((CW328+1)/(Q328/1.6) + CW328/(R328/1.37))</f>
        <v>0</v>
      </c>
      <c r="U328">
        <f>(CR328*CU328)</f>
        <v>0</v>
      </c>
      <c r="V328">
        <f>(DK328+(U328+2*0.95*5.67E-8*(((DK328+$B$7)+273)^4-(DK328+273)^4)-44100*J328)/(1.84*29.3*R328+8*0.95*5.67E-8*(DK328+273)^3))</f>
        <v>0</v>
      </c>
      <c r="W328">
        <f>($C$7*DL328+$D$7*DM328+$E$7*V328)</f>
        <v>0</v>
      </c>
      <c r="X328">
        <f>0.61365*exp(17.502*W328/(240.97+W328))</f>
        <v>0</v>
      </c>
      <c r="Y328">
        <f>(Z328/AA328*100)</f>
        <v>0</v>
      </c>
      <c r="Z328">
        <f>DD328*(DI328+DJ328)/1000</f>
        <v>0</v>
      </c>
      <c r="AA328">
        <f>0.61365*exp(17.502*DK328/(240.97+DK328))</f>
        <v>0</v>
      </c>
      <c r="AB328">
        <f>(X328-DD328*(DI328+DJ328)/1000)</f>
        <v>0</v>
      </c>
      <c r="AC328">
        <f>(-J328*44100)</f>
        <v>0</v>
      </c>
      <c r="AD328">
        <f>2*29.3*R328*0.92*(DK328-W328)</f>
        <v>0</v>
      </c>
      <c r="AE328">
        <f>2*0.95*5.67E-8*(((DK328+$B$7)+273)^4-(W328+273)^4)</f>
        <v>0</v>
      </c>
      <c r="AF328">
        <f>U328+AE328+AC328+AD328</f>
        <v>0</v>
      </c>
      <c r="AG328">
        <f>DH328*AU328*(DC328-DB328*(1000-AU328*DE328)/(1000-AU328*DD328))/(100*CV328)</f>
        <v>0</v>
      </c>
      <c r="AH328">
        <f>1000*DH328*AU328*(DD328-DE328)/(100*CV328*(1000-AU328*DD328))</f>
        <v>0</v>
      </c>
      <c r="AI328">
        <f>(AJ328 - AK328 - DI328*1E3/(8.314*(DK328+273.15)) * AM328/DH328 * AL328) * DH328/(100*CV328) * (1000 - DE328)/1000</f>
        <v>0</v>
      </c>
      <c r="AJ328">
        <v>439.0647999808656</v>
      </c>
      <c r="AK328">
        <v>395.0344121212121</v>
      </c>
      <c r="AL328">
        <v>3.201299228150361</v>
      </c>
      <c r="AM328">
        <v>66.38195617057868</v>
      </c>
      <c r="AN328">
        <f>(AP328 - AO328 + DI328*1E3/(8.314*(DK328+273.15)) * AR328/DH328 * AQ328) * DH328/(100*CV328) * 1000/(1000 - AP328)</f>
        <v>0</v>
      </c>
      <c r="AO328">
        <v>9.270594054156344</v>
      </c>
      <c r="AP328">
        <v>18.66261588235293</v>
      </c>
      <c r="AQ328">
        <v>5.68685106518094E-05</v>
      </c>
      <c r="AR328">
        <v>80.47178418790507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MAX(0,($B$13+$C$13*DP328)/(1+$D$13*DP328)*DI328/(DK328+273)*$E$13)</f>
        <v>0</v>
      </c>
      <c r="AX328" t="s">
        <v>417</v>
      </c>
      <c r="AY328" t="s">
        <v>417</v>
      </c>
      <c r="AZ328">
        <v>0</v>
      </c>
      <c r="BA328">
        <v>0</v>
      </c>
      <c r="BB328">
        <f>1-AZ328/BA328</f>
        <v>0</v>
      </c>
      <c r="BC328">
        <v>0</v>
      </c>
      <c r="BD328" t="s">
        <v>417</v>
      </c>
      <c r="BE328" t="s">
        <v>417</v>
      </c>
      <c r="BF328">
        <v>0</v>
      </c>
      <c r="BG328">
        <v>0</v>
      </c>
      <c r="BH328">
        <f>1-BF328/BG328</f>
        <v>0</v>
      </c>
      <c r="BI328">
        <v>0.5</v>
      </c>
      <c r="BJ328">
        <f>CS328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417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BZ328">
        <v>1249</v>
      </c>
      <c r="CA328">
        <v>300</v>
      </c>
      <c r="CB328">
        <v>300</v>
      </c>
      <c r="CC328">
        <v>300</v>
      </c>
      <c r="CD328">
        <v>10442.4</v>
      </c>
      <c r="CE328">
        <v>1239.69</v>
      </c>
      <c r="CF328">
        <v>-0.00735276</v>
      </c>
      <c r="CG328">
        <v>0.07000000000000001</v>
      </c>
      <c r="CH328" t="s">
        <v>417</v>
      </c>
      <c r="CI328" t="s">
        <v>417</v>
      </c>
      <c r="CJ328" t="s">
        <v>417</v>
      </c>
      <c r="CK328" t="s">
        <v>417</v>
      </c>
      <c r="CL328" t="s">
        <v>417</v>
      </c>
      <c r="CM328" t="s">
        <v>417</v>
      </c>
      <c r="CN328" t="s">
        <v>417</v>
      </c>
      <c r="CO328" t="s">
        <v>417</v>
      </c>
      <c r="CP328" t="s">
        <v>417</v>
      </c>
      <c r="CQ328" t="s">
        <v>417</v>
      </c>
      <c r="CR328">
        <f>$B$11*DQ328+$C$11*DR328+$F$11*EC328*(1-EF328)</f>
        <v>0</v>
      </c>
      <c r="CS328">
        <f>CR328*CT328</f>
        <v>0</v>
      </c>
      <c r="CT328">
        <f>($B$11*$D$9+$C$11*$D$9+$F$11*((EP328+EH328)/MAX(EP328+EH328+EQ328, 0.1)*$I$9+EQ328/MAX(EP328+EH328+EQ328, 0.1)*$J$9))/($B$11+$C$11+$F$11)</f>
        <v>0</v>
      </c>
      <c r="CU328">
        <f>($B$11*$K$9+$C$11*$K$9+$F$11*((EP328+EH328)/MAX(EP328+EH328+EQ328, 0.1)*$P$9+EQ328/MAX(EP328+EH328+EQ328, 0.1)*$Q$9))/($B$11+$C$11+$F$11)</f>
        <v>0</v>
      </c>
      <c r="CV328">
        <v>6</v>
      </c>
      <c r="CW328">
        <v>0.5</v>
      </c>
      <c r="CX328" t="s">
        <v>418</v>
      </c>
      <c r="CY328">
        <v>2</v>
      </c>
      <c r="CZ328" t="b">
        <v>1</v>
      </c>
      <c r="DA328">
        <v>1651866386.625</v>
      </c>
      <c r="DB328">
        <v>384.90825</v>
      </c>
      <c r="DC328">
        <v>439.71775</v>
      </c>
      <c r="DD328">
        <v>18.6624</v>
      </c>
      <c r="DE328">
        <v>9.270152500000002</v>
      </c>
      <c r="DF328">
        <v>385.80825</v>
      </c>
      <c r="DG328">
        <v>18.637375</v>
      </c>
      <c r="DH328">
        <v>499.9505</v>
      </c>
      <c r="DI328">
        <v>89.920725</v>
      </c>
      <c r="DJ328">
        <v>0.099849775</v>
      </c>
      <c r="DK328">
        <v>25.932625</v>
      </c>
      <c r="DL328">
        <v>25.002375</v>
      </c>
      <c r="DM328">
        <v>999.9</v>
      </c>
      <c r="DN328">
        <v>0</v>
      </c>
      <c r="DO328">
        <v>0</v>
      </c>
      <c r="DP328">
        <v>10001.405</v>
      </c>
      <c r="DQ328">
        <v>0</v>
      </c>
      <c r="DR328">
        <v>3.21788</v>
      </c>
      <c r="DS328">
        <v>-54.80902500000001</v>
      </c>
      <c r="DT328">
        <v>392.228</v>
      </c>
      <c r="DU328">
        <v>443.832</v>
      </c>
      <c r="DV328">
        <v>9.392262500000001</v>
      </c>
      <c r="DW328">
        <v>439.71775</v>
      </c>
      <c r="DX328">
        <v>9.270152500000002</v>
      </c>
      <c r="DY328">
        <v>1.67814</v>
      </c>
      <c r="DZ328">
        <v>0.8335787499999999</v>
      </c>
      <c r="EA328">
        <v>14.695675</v>
      </c>
      <c r="EB328">
        <v>4.2923525</v>
      </c>
      <c r="EC328">
        <v>1500.0125</v>
      </c>
      <c r="ED328">
        <v>0.972993</v>
      </c>
      <c r="EE328">
        <v>0.0270069</v>
      </c>
      <c r="EF328">
        <v>0</v>
      </c>
      <c r="EG328">
        <v>880.615</v>
      </c>
      <c r="EH328">
        <v>5.00097</v>
      </c>
      <c r="EI328">
        <v>13151.425</v>
      </c>
      <c r="EJ328">
        <v>12491.675</v>
      </c>
      <c r="EK328">
        <v>39.062</v>
      </c>
      <c r="EL328">
        <v>40.48425</v>
      </c>
      <c r="EM328">
        <v>39.3905</v>
      </c>
      <c r="EN328">
        <v>40.6405</v>
      </c>
      <c r="EO328">
        <v>39.875</v>
      </c>
      <c r="EP328">
        <v>1454.6325</v>
      </c>
      <c r="EQ328">
        <v>40.38</v>
      </c>
      <c r="ER328">
        <v>0</v>
      </c>
      <c r="ES328">
        <v>905.6000001430511</v>
      </c>
      <c r="ET328">
        <v>0</v>
      </c>
      <c r="EU328">
        <v>874.4228076923077</v>
      </c>
      <c r="EV328">
        <v>64.26369229909216</v>
      </c>
      <c r="EW328">
        <v>928.4888887288296</v>
      </c>
      <c r="EX328">
        <v>13061.12692307692</v>
      </c>
      <c r="EY328">
        <v>15</v>
      </c>
      <c r="EZ328">
        <v>1651865518.1</v>
      </c>
      <c r="FA328" t="s">
        <v>910</v>
      </c>
      <c r="FB328">
        <v>1651865507.1</v>
      </c>
      <c r="FC328">
        <v>1651865518.1</v>
      </c>
      <c r="FD328">
        <v>8</v>
      </c>
      <c r="FE328">
        <v>0.06</v>
      </c>
      <c r="FF328">
        <v>0</v>
      </c>
      <c r="FG328">
        <v>-0.927</v>
      </c>
      <c r="FH328">
        <v>-0.062</v>
      </c>
      <c r="FI328">
        <v>400</v>
      </c>
      <c r="FJ328">
        <v>11</v>
      </c>
      <c r="FK328">
        <v>0.11</v>
      </c>
      <c r="FL328">
        <v>0.01</v>
      </c>
      <c r="FM328">
        <v>-52.14221999999999</v>
      </c>
      <c r="FN328">
        <v>-17.55607429643526</v>
      </c>
      <c r="FO328">
        <v>1.690202540259599</v>
      </c>
      <c r="FP328">
        <v>-1</v>
      </c>
      <c r="FQ328">
        <v>9.380220750000001</v>
      </c>
      <c r="FR328">
        <v>0.1420648030018689</v>
      </c>
      <c r="FS328">
        <v>0.01881112455270812</v>
      </c>
      <c r="FT328">
        <v>-1</v>
      </c>
      <c r="FU328">
        <v>0</v>
      </c>
      <c r="FV328">
        <v>0</v>
      </c>
      <c r="FW328">
        <v>0</v>
      </c>
      <c r="FX328">
        <v>-1</v>
      </c>
      <c r="FY328">
        <v>0</v>
      </c>
      <c r="FZ328">
        <v>0</v>
      </c>
      <c r="GA328" t="s">
        <v>420</v>
      </c>
      <c r="GB328">
        <v>2.98136</v>
      </c>
      <c r="GC328">
        <v>2.70605</v>
      </c>
      <c r="GD328">
        <v>0.0884002</v>
      </c>
      <c r="GE328">
        <v>0.0965883</v>
      </c>
      <c r="GF328">
        <v>0.0888618</v>
      </c>
      <c r="GG328">
        <v>0.0522984</v>
      </c>
      <c r="GH328">
        <v>28805.9</v>
      </c>
      <c r="GI328">
        <v>28609.3</v>
      </c>
      <c r="GJ328">
        <v>29377.1</v>
      </c>
      <c r="GK328">
        <v>29292.3</v>
      </c>
      <c r="GL328">
        <v>35440.2</v>
      </c>
      <c r="GM328">
        <v>36979.6</v>
      </c>
      <c r="GN328">
        <v>41349</v>
      </c>
      <c r="GO328">
        <v>41811.9</v>
      </c>
      <c r="GP328">
        <v>1.96695</v>
      </c>
      <c r="GQ328">
        <v>1.85365</v>
      </c>
      <c r="GR328">
        <v>-0.00569969</v>
      </c>
      <c r="GS328">
        <v>0</v>
      </c>
      <c r="GT328">
        <v>25.0931</v>
      </c>
      <c r="GU328">
        <v>999.9</v>
      </c>
      <c r="GV328">
        <v>29.7</v>
      </c>
      <c r="GW328">
        <v>34.2</v>
      </c>
      <c r="GX328">
        <v>17.8465</v>
      </c>
      <c r="GY328">
        <v>62.2576</v>
      </c>
      <c r="GZ328">
        <v>35.4728</v>
      </c>
      <c r="HA328">
        <v>1</v>
      </c>
      <c r="HB328">
        <v>0.045155</v>
      </c>
      <c r="HC328">
        <v>1.51869</v>
      </c>
      <c r="HD328">
        <v>20.3274</v>
      </c>
      <c r="HE328">
        <v>5.21519</v>
      </c>
      <c r="HF328">
        <v>12.0099</v>
      </c>
      <c r="HG328">
        <v>4.98775</v>
      </c>
      <c r="HH328">
        <v>3.28813</v>
      </c>
      <c r="HI328">
        <v>1031.9</v>
      </c>
      <c r="HJ328">
        <v>9738.700000000001</v>
      </c>
      <c r="HK328">
        <v>5139.4</v>
      </c>
      <c r="HL328">
        <v>25.3</v>
      </c>
      <c r="HM328">
        <v>1.8674</v>
      </c>
      <c r="HN328">
        <v>1.86646</v>
      </c>
      <c r="HO328">
        <v>1.866</v>
      </c>
      <c r="HP328">
        <v>1.86584</v>
      </c>
      <c r="HQ328">
        <v>1.86768</v>
      </c>
      <c r="HR328">
        <v>1.87021</v>
      </c>
      <c r="HS328">
        <v>1.86889</v>
      </c>
      <c r="HT328">
        <v>1.87019</v>
      </c>
      <c r="HU328">
        <v>0</v>
      </c>
      <c r="HV328">
        <v>0</v>
      </c>
      <c r="HW328">
        <v>0</v>
      </c>
      <c r="HX328">
        <v>0</v>
      </c>
      <c r="HY328" t="s">
        <v>421</v>
      </c>
      <c r="HZ328" t="s">
        <v>422</v>
      </c>
      <c r="IA328" t="s">
        <v>423</v>
      </c>
      <c r="IB328" t="s">
        <v>423</v>
      </c>
      <c r="IC328" t="s">
        <v>423</v>
      </c>
      <c r="ID328" t="s">
        <v>423</v>
      </c>
      <c r="IE328">
        <v>0</v>
      </c>
      <c r="IF328">
        <v>100</v>
      </c>
      <c r="IG328">
        <v>100</v>
      </c>
      <c r="IH328">
        <v>-0.908</v>
      </c>
      <c r="II328">
        <v>0.025</v>
      </c>
      <c r="IJ328">
        <v>-0.1559367209035702</v>
      </c>
      <c r="IK328">
        <v>-0.002077099775823331</v>
      </c>
      <c r="IL328">
        <v>4.593143279902166E-07</v>
      </c>
      <c r="IM328">
        <v>-1.865383991892071E-10</v>
      </c>
      <c r="IN328">
        <v>-0.0607165066849496</v>
      </c>
      <c r="IO328">
        <v>-0.01129461987421345</v>
      </c>
      <c r="IP328">
        <v>0.00116580895745559</v>
      </c>
      <c r="IQ328">
        <v>-1.679085872906199E-05</v>
      </c>
      <c r="IR328">
        <v>2</v>
      </c>
      <c r="IS328">
        <v>2290</v>
      </c>
      <c r="IT328">
        <v>0</v>
      </c>
      <c r="IU328">
        <v>32</v>
      </c>
      <c r="IV328">
        <v>14.7</v>
      </c>
      <c r="IW328">
        <v>14.5</v>
      </c>
      <c r="IX328">
        <v>1.11572</v>
      </c>
      <c r="IY328">
        <v>2.21313</v>
      </c>
      <c r="IZ328">
        <v>1.39648</v>
      </c>
      <c r="JA328">
        <v>2.35474</v>
      </c>
      <c r="JB328">
        <v>1.49536</v>
      </c>
      <c r="JC328">
        <v>2.35596</v>
      </c>
      <c r="JD328">
        <v>38.0134</v>
      </c>
      <c r="JE328">
        <v>24.035</v>
      </c>
      <c r="JF328">
        <v>18</v>
      </c>
      <c r="JG328">
        <v>512.542</v>
      </c>
      <c r="JH328">
        <v>425.903</v>
      </c>
      <c r="JI328">
        <v>23.1494</v>
      </c>
      <c r="JJ328">
        <v>27.9078</v>
      </c>
      <c r="JK328">
        <v>30</v>
      </c>
      <c r="JL328">
        <v>27.9292</v>
      </c>
      <c r="JM328">
        <v>27.8745</v>
      </c>
      <c r="JN328">
        <v>22.39</v>
      </c>
      <c r="JO328">
        <v>45.4933</v>
      </c>
      <c r="JP328">
        <v>0</v>
      </c>
      <c r="JQ328">
        <v>23.1481</v>
      </c>
      <c r="JR328">
        <v>465.507</v>
      </c>
      <c r="JS328">
        <v>9.239330000000001</v>
      </c>
      <c r="JT328">
        <v>100.416</v>
      </c>
      <c r="JU328">
        <v>100.349</v>
      </c>
    </row>
    <row r="329" spans="1:281">
      <c r="A329">
        <v>313</v>
      </c>
      <c r="B329">
        <v>1651866390</v>
      </c>
      <c r="C329">
        <v>2169.400000095367</v>
      </c>
      <c r="D329" t="s">
        <v>1049</v>
      </c>
      <c r="E329" t="s">
        <v>1050</v>
      </c>
      <c r="F329">
        <v>2</v>
      </c>
      <c r="G329" t="s">
        <v>908</v>
      </c>
      <c r="H329" t="s">
        <v>414</v>
      </c>
      <c r="I329">
        <v>1651866389</v>
      </c>
      <c r="J329">
        <f>(K329)/1000</f>
        <v>0</v>
      </c>
      <c r="K329">
        <f>IF(CZ329, AN329, AH329)</f>
        <v>0</v>
      </c>
      <c r="L329">
        <f>IF(CZ329, AI329, AG329)</f>
        <v>0</v>
      </c>
      <c r="M329">
        <f>DB329 - IF(AU329&gt;1, L329*CV329*100.0/(AW329*DP329), 0)</f>
        <v>0</v>
      </c>
      <c r="N329">
        <f>((T329-J329/2)*M329-L329)/(T329+J329/2)</f>
        <v>0</v>
      </c>
      <c r="O329">
        <f>N329*(DI329+DJ329)/1000.0</f>
        <v>0</v>
      </c>
      <c r="P329">
        <f>(DB329 - IF(AU329&gt;1, L329*CV329*100.0/(AW329*DP329), 0))*(DI329+DJ329)/1000.0</f>
        <v>0</v>
      </c>
      <c r="Q329">
        <f>2.0/((1/S329-1/R329)+SIGN(S329)*SQRT((1/S329-1/R329)*(1/S329-1/R329) + 4*CW329/((CW329+1)*(CW329+1))*(2*1/S329*1/R329-1/R329*1/R329)))</f>
        <v>0</v>
      </c>
      <c r="R329">
        <f>IF(LEFT(CX329,1)&lt;&gt;"0",IF(LEFT(CX329,1)="1",3.0,CY329),$D$5+$E$5*(DP329*DI329/($K$5*1000))+$F$5*(DP329*DI329/($K$5*1000))*MAX(MIN(CV329,$J$5),$I$5)*MAX(MIN(CV329,$J$5),$I$5)+$G$5*MAX(MIN(CV329,$J$5),$I$5)*(DP329*DI329/($K$5*1000))+$H$5*(DP329*DI329/($K$5*1000))*(DP329*DI329/($K$5*1000)))</f>
        <v>0</v>
      </c>
      <c r="S329">
        <f>J329*(1000-(1000*0.61365*exp(17.502*W329/(240.97+W329))/(DI329+DJ329)+DD329)/2)/(1000*0.61365*exp(17.502*W329/(240.97+W329))/(DI329+DJ329)-DD329)</f>
        <v>0</v>
      </c>
      <c r="T329">
        <f>1/((CW329+1)/(Q329/1.6)+1/(R329/1.37)) + CW329/((CW329+1)/(Q329/1.6) + CW329/(R329/1.37))</f>
        <v>0</v>
      </c>
      <c r="U329">
        <f>(CR329*CU329)</f>
        <v>0</v>
      </c>
      <c r="V329">
        <f>(DK329+(U329+2*0.95*5.67E-8*(((DK329+$B$7)+273)^4-(DK329+273)^4)-44100*J329)/(1.84*29.3*R329+8*0.95*5.67E-8*(DK329+273)^3))</f>
        <v>0</v>
      </c>
      <c r="W329">
        <f>($C$7*DL329+$D$7*DM329+$E$7*V329)</f>
        <v>0</v>
      </c>
      <c r="X329">
        <f>0.61365*exp(17.502*W329/(240.97+W329))</f>
        <v>0</v>
      </c>
      <c r="Y329">
        <f>(Z329/AA329*100)</f>
        <v>0</v>
      </c>
      <c r="Z329">
        <f>DD329*(DI329+DJ329)/1000</f>
        <v>0</v>
      </c>
      <c r="AA329">
        <f>0.61365*exp(17.502*DK329/(240.97+DK329))</f>
        <v>0</v>
      </c>
      <c r="AB329">
        <f>(X329-DD329*(DI329+DJ329)/1000)</f>
        <v>0</v>
      </c>
      <c r="AC329">
        <f>(-J329*44100)</f>
        <v>0</v>
      </c>
      <c r="AD329">
        <f>2*29.3*R329*0.92*(DK329-W329)</f>
        <v>0</v>
      </c>
      <c r="AE329">
        <f>2*0.95*5.67E-8*(((DK329+$B$7)+273)^4-(W329+273)^4)</f>
        <v>0</v>
      </c>
      <c r="AF329">
        <f>U329+AE329+AC329+AD329</f>
        <v>0</v>
      </c>
      <c r="AG329">
        <f>DH329*AU329*(DC329-DB329*(1000-AU329*DE329)/(1000-AU329*DD329))/(100*CV329)</f>
        <v>0</v>
      </c>
      <c r="AH329">
        <f>1000*DH329*AU329*(DD329-DE329)/(100*CV329*(1000-AU329*DD329))</f>
        <v>0</v>
      </c>
      <c r="AI329">
        <f>(AJ329 - AK329 - DI329*1E3/(8.314*(DK329+273.15)) * AM329/DH329 * AL329) * DH329/(100*CV329) * (1000 - DE329)/1000</f>
        <v>0</v>
      </c>
      <c r="AJ329">
        <v>445.898457001394</v>
      </c>
      <c r="AK329">
        <v>401.4487818181817</v>
      </c>
      <c r="AL329">
        <v>3.205855009833065</v>
      </c>
      <c r="AM329">
        <v>66.38195617057868</v>
      </c>
      <c r="AN329">
        <f>(AP329 - AO329 + DI329*1E3/(8.314*(DK329+273.15)) * AR329/DH329 * AQ329) * DH329/(100*CV329) * 1000/(1000 - AP329)</f>
        <v>0</v>
      </c>
      <c r="AO329">
        <v>9.270404277183092</v>
      </c>
      <c r="AP329">
        <v>18.67054735294118</v>
      </c>
      <c r="AQ329">
        <v>-0.0002561999259632855</v>
      </c>
      <c r="AR329">
        <v>80.47178418790507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MAX(0,($B$13+$C$13*DP329)/(1+$D$13*DP329)*DI329/(DK329+273)*$E$13)</f>
        <v>0</v>
      </c>
      <c r="AX329" t="s">
        <v>417</v>
      </c>
      <c r="AY329" t="s">
        <v>417</v>
      </c>
      <c r="AZ329">
        <v>0</v>
      </c>
      <c r="BA329">
        <v>0</v>
      </c>
      <c r="BB329">
        <f>1-AZ329/BA329</f>
        <v>0</v>
      </c>
      <c r="BC329">
        <v>0</v>
      </c>
      <c r="BD329" t="s">
        <v>417</v>
      </c>
      <c r="BE329" t="s">
        <v>417</v>
      </c>
      <c r="BF329">
        <v>0</v>
      </c>
      <c r="BG329">
        <v>0</v>
      </c>
      <c r="BH329">
        <f>1-BF329/BG329</f>
        <v>0</v>
      </c>
      <c r="BI329">
        <v>0.5</v>
      </c>
      <c r="BJ329">
        <f>CS329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417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BZ329">
        <v>1249</v>
      </c>
      <c r="CA329">
        <v>300</v>
      </c>
      <c r="CB329">
        <v>300</v>
      </c>
      <c r="CC329">
        <v>300</v>
      </c>
      <c r="CD329">
        <v>10442.4</v>
      </c>
      <c r="CE329">
        <v>1239.69</v>
      </c>
      <c r="CF329">
        <v>-0.00735276</v>
      </c>
      <c r="CG329">
        <v>0.07000000000000001</v>
      </c>
      <c r="CH329" t="s">
        <v>417</v>
      </c>
      <c r="CI329" t="s">
        <v>417</v>
      </c>
      <c r="CJ329" t="s">
        <v>417</v>
      </c>
      <c r="CK329" t="s">
        <v>417</v>
      </c>
      <c r="CL329" t="s">
        <v>417</v>
      </c>
      <c r="CM329" t="s">
        <v>417</v>
      </c>
      <c r="CN329" t="s">
        <v>417</v>
      </c>
      <c r="CO329" t="s">
        <v>417</v>
      </c>
      <c r="CP329" t="s">
        <v>417</v>
      </c>
      <c r="CQ329" t="s">
        <v>417</v>
      </c>
      <c r="CR329">
        <f>$B$11*DQ329+$C$11*DR329+$F$11*EC329*(1-EF329)</f>
        <v>0</v>
      </c>
      <c r="CS329">
        <f>CR329*CT329</f>
        <v>0</v>
      </c>
      <c r="CT329">
        <f>($B$11*$D$9+$C$11*$D$9+$F$11*((EP329+EH329)/MAX(EP329+EH329+EQ329, 0.1)*$I$9+EQ329/MAX(EP329+EH329+EQ329, 0.1)*$J$9))/($B$11+$C$11+$F$11)</f>
        <v>0</v>
      </c>
      <c r="CU329">
        <f>($B$11*$K$9+$C$11*$K$9+$F$11*((EP329+EH329)/MAX(EP329+EH329+EQ329, 0.1)*$P$9+EQ329/MAX(EP329+EH329+EQ329, 0.1)*$Q$9))/($B$11+$C$11+$F$11)</f>
        <v>0</v>
      </c>
      <c r="CV329">
        <v>6</v>
      </c>
      <c r="CW329">
        <v>0.5</v>
      </c>
      <c r="CX329" t="s">
        <v>418</v>
      </c>
      <c r="CY329">
        <v>2</v>
      </c>
      <c r="CZ329" t="b">
        <v>1</v>
      </c>
      <c r="DA329">
        <v>1651866389</v>
      </c>
      <c r="DB329">
        <v>392.3843333333334</v>
      </c>
      <c r="DC329">
        <v>447.635</v>
      </c>
      <c r="DD329">
        <v>18.6688</v>
      </c>
      <c r="DE329">
        <v>9.269096666666668</v>
      </c>
      <c r="DF329">
        <v>393.2973333333334</v>
      </c>
      <c r="DG329">
        <v>18.64366666666666</v>
      </c>
      <c r="DH329">
        <v>500.0303333333333</v>
      </c>
      <c r="DI329">
        <v>89.91879999999999</v>
      </c>
      <c r="DJ329">
        <v>0.0999795</v>
      </c>
      <c r="DK329">
        <v>25.93173333333333</v>
      </c>
      <c r="DL329">
        <v>25.0009</v>
      </c>
      <c r="DM329">
        <v>999.9</v>
      </c>
      <c r="DN329">
        <v>0</v>
      </c>
      <c r="DO329">
        <v>0</v>
      </c>
      <c r="DP329">
        <v>10001.45</v>
      </c>
      <c r="DQ329">
        <v>0</v>
      </c>
      <c r="DR329">
        <v>3.219286666666667</v>
      </c>
      <c r="DS329">
        <v>-55.25086666666667</v>
      </c>
      <c r="DT329">
        <v>399.8486666666666</v>
      </c>
      <c r="DU329">
        <v>451.8229999999999</v>
      </c>
      <c r="DV329">
        <v>9.399686666666668</v>
      </c>
      <c r="DW329">
        <v>447.635</v>
      </c>
      <c r="DX329">
        <v>9.269096666666668</v>
      </c>
      <c r="DY329">
        <v>1.678676666666667</v>
      </c>
      <c r="DZ329">
        <v>0.8334663333333333</v>
      </c>
      <c r="EA329">
        <v>14.70063333333333</v>
      </c>
      <c r="EB329">
        <v>4.290423333333334</v>
      </c>
      <c r="EC329">
        <v>1500.043333333333</v>
      </c>
      <c r="ED329">
        <v>0.9729930000000001</v>
      </c>
      <c r="EE329">
        <v>0.0270069</v>
      </c>
      <c r="EF329">
        <v>0</v>
      </c>
      <c r="EG329">
        <v>882.8539999999999</v>
      </c>
      <c r="EH329">
        <v>5.00097</v>
      </c>
      <c r="EI329">
        <v>13183.73333333333</v>
      </c>
      <c r="EJ329">
        <v>12491.93333333333</v>
      </c>
      <c r="EK329">
        <v>39</v>
      </c>
      <c r="EL329">
        <v>40.437</v>
      </c>
      <c r="EM329">
        <v>39.375</v>
      </c>
      <c r="EN329">
        <v>40.604</v>
      </c>
      <c r="EO329">
        <v>39.854</v>
      </c>
      <c r="EP329">
        <v>1454.663333333333</v>
      </c>
      <c r="EQ329">
        <v>40.38</v>
      </c>
      <c r="ER329">
        <v>0</v>
      </c>
      <c r="ES329">
        <v>907.4000000953674</v>
      </c>
      <c r="ET329">
        <v>0</v>
      </c>
      <c r="EU329">
        <v>876.6118000000001</v>
      </c>
      <c r="EV329">
        <v>61.25769229723664</v>
      </c>
      <c r="EW329">
        <v>887.9230768802885</v>
      </c>
      <c r="EX329">
        <v>13093.028</v>
      </c>
      <c r="EY329">
        <v>15</v>
      </c>
      <c r="EZ329">
        <v>1651865518.1</v>
      </c>
      <c r="FA329" t="s">
        <v>910</v>
      </c>
      <c r="FB329">
        <v>1651865507.1</v>
      </c>
      <c r="FC329">
        <v>1651865518.1</v>
      </c>
      <c r="FD329">
        <v>8</v>
      </c>
      <c r="FE329">
        <v>0.06</v>
      </c>
      <c r="FF329">
        <v>0</v>
      </c>
      <c r="FG329">
        <v>-0.927</v>
      </c>
      <c r="FH329">
        <v>-0.062</v>
      </c>
      <c r="FI329">
        <v>400</v>
      </c>
      <c r="FJ329">
        <v>11</v>
      </c>
      <c r="FK329">
        <v>0.11</v>
      </c>
      <c r="FL329">
        <v>0.01</v>
      </c>
      <c r="FM329">
        <v>-52.78121463414634</v>
      </c>
      <c r="FN329">
        <v>-16.80932404181179</v>
      </c>
      <c r="FO329">
        <v>1.659428691662487</v>
      </c>
      <c r="FP329">
        <v>-1</v>
      </c>
      <c r="FQ329">
        <v>9.387119268292683</v>
      </c>
      <c r="FR329">
        <v>0.07374271777004177</v>
      </c>
      <c r="FS329">
        <v>0.01018178176707827</v>
      </c>
      <c r="FT329">
        <v>-1</v>
      </c>
      <c r="FU329">
        <v>0</v>
      </c>
      <c r="FV329">
        <v>0</v>
      </c>
      <c r="FW329">
        <v>0</v>
      </c>
      <c r="FX329">
        <v>-1</v>
      </c>
      <c r="FY329">
        <v>0</v>
      </c>
      <c r="FZ329">
        <v>0</v>
      </c>
      <c r="GA329" t="s">
        <v>420</v>
      </c>
      <c r="GB329">
        <v>2.98165</v>
      </c>
      <c r="GC329">
        <v>2.70633</v>
      </c>
      <c r="GD329">
        <v>0.08949849999999999</v>
      </c>
      <c r="GE329">
        <v>0.0976576</v>
      </c>
      <c r="GF329">
        <v>0.0888837</v>
      </c>
      <c r="GG329">
        <v>0.0522947</v>
      </c>
      <c r="GH329">
        <v>28770.8</v>
      </c>
      <c r="GI329">
        <v>28575.5</v>
      </c>
      <c r="GJ329">
        <v>29376.7</v>
      </c>
      <c r="GK329">
        <v>29292.4</v>
      </c>
      <c r="GL329">
        <v>35438.9</v>
      </c>
      <c r="GM329">
        <v>36979.9</v>
      </c>
      <c r="GN329">
        <v>41348.5</v>
      </c>
      <c r="GO329">
        <v>41811.9</v>
      </c>
      <c r="GP329">
        <v>1.9671</v>
      </c>
      <c r="GQ329">
        <v>1.85385</v>
      </c>
      <c r="GR329">
        <v>-0.00566244</v>
      </c>
      <c r="GS329">
        <v>0</v>
      </c>
      <c r="GT329">
        <v>25.0931</v>
      </c>
      <c r="GU329">
        <v>999.9</v>
      </c>
      <c r="GV329">
        <v>29.7</v>
      </c>
      <c r="GW329">
        <v>34.2</v>
      </c>
      <c r="GX329">
        <v>17.8452</v>
      </c>
      <c r="GY329">
        <v>62.8076</v>
      </c>
      <c r="GZ329">
        <v>35.0881</v>
      </c>
      <c r="HA329">
        <v>1</v>
      </c>
      <c r="HB329">
        <v>0.0450711</v>
      </c>
      <c r="HC329">
        <v>1.51452</v>
      </c>
      <c r="HD329">
        <v>20.3275</v>
      </c>
      <c r="HE329">
        <v>5.21609</v>
      </c>
      <c r="HF329">
        <v>12.0099</v>
      </c>
      <c r="HG329">
        <v>4.9879</v>
      </c>
      <c r="HH329">
        <v>3.2882</v>
      </c>
      <c r="HI329">
        <v>1031.9</v>
      </c>
      <c r="HJ329">
        <v>9738.700000000001</v>
      </c>
      <c r="HK329">
        <v>5139.4</v>
      </c>
      <c r="HL329">
        <v>25.3</v>
      </c>
      <c r="HM329">
        <v>1.8674</v>
      </c>
      <c r="HN329">
        <v>1.86645</v>
      </c>
      <c r="HO329">
        <v>1.86599</v>
      </c>
      <c r="HP329">
        <v>1.86584</v>
      </c>
      <c r="HQ329">
        <v>1.86768</v>
      </c>
      <c r="HR329">
        <v>1.87021</v>
      </c>
      <c r="HS329">
        <v>1.8689</v>
      </c>
      <c r="HT329">
        <v>1.87019</v>
      </c>
      <c r="HU329">
        <v>0</v>
      </c>
      <c r="HV329">
        <v>0</v>
      </c>
      <c r="HW329">
        <v>0</v>
      </c>
      <c r="HX329">
        <v>0</v>
      </c>
      <c r="HY329" t="s">
        <v>421</v>
      </c>
      <c r="HZ329" t="s">
        <v>422</v>
      </c>
      <c r="IA329" t="s">
        <v>423</v>
      </c>
      <c r="IB329" t="s">
        <v>423</v>
      </c>
      <c r="IC329" t="s">
        <v>423</v>
      </c>
      <c r="ID329" t="s">
        <v>423</v>
      </c>
      <c r="IE329">
        <v>0</v>
      </c>
      <c r="IF329">
        <v>100</v>
      </c>
      <c r="IG329">
        <v>100</v>
      </c>
      <c r="IH329">
        <v>-0.918</v>
      </c>
      <c r="II329">
        <v>0.0251</v>
      </c>
      <c r="IJ329">
        <v>-0.1559367209035702</v>
      </c>
      <c r="IK329">
        <v>-0.002077099775823331</v>
      </c>
      <c r="IL329">
        <v>4.593143279902166E-07</v>
      </c>
      <c r="IM329">
        <v>-1.865383991892071E-10</v>
      </c>
      <c r="IN329">
        <v>-0.0607165066849496</v>
      </c>
      <c r="IO329">
        <v>-0.01129461987421345</v>
      </c>
      <c r="IP329">
        <v>0.00116580895745559</v>
      </c>
      <c r="IQ329">
        <v>-1.679085872906199E-05</v>
      </c>
      <c r="IR329">
        <v>2</v>
      </c>
      <c r="IS329">
        <v>2290</v>
      </c>
      <c r="IT329">
        <v>0</v>
      </c>
      <c r="IU329">
        <v>32</v>
      </c>
      <c r="IV329">
        <v>14.7</v>
      </c>
      <c r="IW329">
        <v>14.5</v>
      </c>
      <c r="IX329">
        <v>1.12915</v>
      </c>
      <c r="IY329">
        <v>2.21558</v>
      </c>
      <c r="IZ329">
        <v>1.39648</v>
      </c>
      <c r="JA329">
        <v>2.35474</v>
      </c>
      <c r="JB329">
        <v>1.49536</v>
      </c>
      <c r="JC329">
        <v>2.31079</v>
      </c>
      <c r="JD329">
        <v>38.0134</v>
      </c>
      <c r="JE329">
        <v>24.035</v>
      </c>
      <c r="JF329">
        <v>18</v>
      </c>
      <c r="JG329">
        <v>512.636</v>
      </c>
      <c r="JH329">
        <v>426.014</v>
      </c>
      <c r="JI329">
        <v>23.1479</v>
      </c>
      <c r="JJ329">
        <v>27.9066</v>
      </c>
      <c r="JK329">
        <v>29.9999</v>
      </c>
      <c r="JL329">
        <v>27.9286</v>
      </c>
      <c r="JM329">
        <v>27.8734</v>
      </c>
      <c r="JN329">
        <v>22.6528</v>
      </c>
      <c r="JO329">
        <v>45.4933</v>
      </c>
      <c r="JP329">
        <v>0</v>
      </c>
      <c r="JQ329">
        <v>23.1464</v>
      </c>
      <c r="JR329">
        <v>472.185</v>
      </c>
      <c r="JS329">
        <v>9.239330000000001</v>
      </c>
      <c r="JT329">
        <v>100.415</v>
      </c>
      <c r="JU329">
        <v>100.349</v>
      </c>
    </row>
    <row r="330" spans="1:281">
      <c r="A330">
        <v>314</v>
      </c>
      <c r="B330">
        <v>1651866392</v>
      </c>
      <c r="C330">
        <v>2171.400000095367</v>
      </c>
      <c r="D330" t="s">
        <v>1051</v>
      </c>
      <c r="E330" t="s">
        <v>1052</v>
      </c>
      <c r="F330">
        <v>2</v>
      </c>
      <c r="G330" t="s">
        <v>908</v>
      </c>
      <c r="H330" t="s">
        <v>414</v>
      </c>
      <c r="I330">
        <v>1651866390.625</v>
      </c>
      <c r="J330">
        <f>(K330)/1000</f>
        <v>0</v>
      </c>
      <c r="K330">
        <f>IF(CZ330, AN330, AH330)</f>
        <v>0</v>
      </c>
      <c r="L330">
        <f>IF(CZ330, AI330, AG330)</f>
        <v>0</v>
      </c>
      <c r="M330">
        <f>DB330 - IF(AU330&gt;1, L330*CV330*100.0/(AW330*DP330), 0)</f>
        <v>0</v>
      </c>
      <c r="N330">
        <f>((T330-J330/2)*M330-L330)/(T330+J330/2)</f>
        <v>0</v>
      </c>
      <c r="O330">
        <f>N330*(DI330+DJ330)/1000.0</f>
        <v>0</v>
      </c>
      <c r="P330">
        <f>(DB330 - IF(AU330&gt;1, L330*CV330*100.0/(AW330*DP330), 0))*(DI330+DJ330)/1000.0</f>
        <v>0</v>
      </c>
      <c r="Q330">
        <f>2.0/((1/S330-1/R330)+SIGN(S330)*SQRT((1/S330-1/R330)*(1/S330-1/R330) + 4*CW330/((CW330+1)*(CW330+1))*(2*1/S330*1/R330-1/R330*1/R330)))</f>
        <v>0</v>
      </c>
      <c r="R330">
        <f>IF(LEFT(CX330,1)&lt;&gt;"0",IF(LEFT(CX330,1)="1",3.0,CY330),$D$5+$E$5*(DP330*DI330/($K$5*1000))+$F$5*(DP330*DI330/($K$5*1000))*MAX(MIN(CV330,$J$5),$I$5)*MAX(MIN(CV330,$J$5),$I$5)+$G$5*MAX(MIN(CV330,$J$5),$I$5)*(DP330*DI330/($K$5*1000))+$H$5*(DP330*DI330/($K$5*1000))*(DP330*DI330/($K$5*1000)))</f>
        <v>0</v>
      </c>
      <c r="S330">
        <f>J330*(1000-(1000*0.61365*exp(17.502*W330/(240.97+W330))/(DI330+DJ330)+DD330)/2)/(1000*0.61365*exp(17.502*W330/(240.97+W330))/(DI330+DJ330)-DD330)</f>
        <v>0</v>
      </c>
      <c r="T330">
        <f>1/((CW330+1)/(Q330/1.6)+1/(R330/1.37)) + CW330/((CW330+1)/(Q330/1.6) + CW330/(R330/1.37))</f>
        <v>0</v>
      </c>
      <c r="U330">
        <f>(CR330*CU330)</f>
        <v>0</v>
      </c>
      <c r="V330">
        <f>(DK330+(U330+2*0.95*5.67E-8*(((DK330+$B$7)+273)^4-(DK330+273)^4)-44100*J330)/(1.84*29.3*R330+8*0.95*5.67E-8*(DK330+273)^3))</f>
        <v>0</v>
      </c>
      <c r="W330">
        <f>($C$7*DL330+$D$7*DM330+$E$7*V330)</f>
        <v>0</v>
      </c>
      <c r="X330">
        <f>0.61365*exp(17.502*W330/(240.97+W330))</f>
        <v>0</v>
      </c>
      <c r="Y330">
        <f>(Z330/AA330*100)</f>
        <v>0</v>
      </c>
      <c r="Z330">
        <f>DD330*(DI330+DJ330)/1000</f>
        <v>0</v>
      </c>
      <c r="AA330">
        <f>0.61365*exp(17.502*DK330/(240.97+DK330))</f>
        <v>0</v>
      </c>
      <c r="AB330">
        <f>(X330-DD330*(DI330+DJ330)/1000)</f>
        <v>0</v>
      </c>
      <c r="AC330">
        <f>(-J330*44100)</f>
        <v>0</v>
      </c>
      <c r="AD330">
        <f>2*29.3*R330*0.92*(DK330-W330)</f>
        <v>0</v>
      </c>
      <c r="AE330">
        <f>2*0.95*5.67E-8*(((DK330+$B$7)+273)^4-(W330+273)^4)</f>
        <v>0</v>
      </c>
      <c r="AF330">
        <f>U330+AE330+AC330+AD330</f>
        <v>0</v>
      </c>
      <c r="AG330">
        <f>DH330*AU330*(DC330-DB330*(1000-AU330*DE330)/(1000-AU330*DD330))/(100*CV330)</f>
        <v>0</v>
      </c>
      <c r="AH330">
        <f>1000*DH330*AU330*(DD330-DE330)/(100*CV330*(1000-AU330*DD330))</f>
        <v>0</v>
      </c>
      <c r="AI330">
        <f>(AJ330 - AK330 - DI330*1E3/(8.314*(DK330+273.15)) * AM330/DH330 * AL330) * DH330/(100*CV330) * (1000 - DE330)/1000</f>
        <v>0</v>
      </c>
      <c r="AJ330">
        <v>452.5859972763174</v>
      </c>
      <c r="AK330">
        <v>407.8415030303029</v>
      </c>
      <c r="AL330">
        <v>3.199221973820365</v>
      </c>
      <c r="AM330">
        <v>66.38195617057868</v>
      </c>
      <c r="AN330">
        <f>(AP330 - AO330 + DI330*1E3/(8.314*(DK330+273.15)) * AR330/DH330 * AQ330) * DH330/(100*CV330) * 1000/(1000 - AP330)</f>
        <v>0</v>
      </c>
      <c r="AO330">
        <v>9.269795696894382</v>
      </c>
      <c r="AP330">
        <v>18.67776058823529</v>
      </c>
      <c r="AQ330">
        <v>6.3358593187208E-05</v>
      </c>
      <c r="AR330">
        <v>80.47178418790507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MAX(0,($B$13+$C$13*DP330)/(1+$D$13*DP330)*DI330/(DK330+273)*$E$13)</f>
        <v>0</v>
      </c>
      <c r="AX330" t="s">
        <v>417</v>
      </c>
      <c r="AY330" t="s">
        <v>417</v>
      </c>
      <c r="AZ330">
        <v>0</v>
      </c>
      <c r="BA330">
        <v>0</v>
      </c>
      <c r="BB330">
        <f>1-AZ330/BA330</f>
        <v>0</v>
      </c>
      <c r="BC330">
        <v>0</v>
      </c>
      <c r="BD330" t="s">
        <v>417</v>
      </c>
      <c r="BE330" t="s">
        <v>417</v>
      </c>
      <c r="BF330">
        <v>0</v>
      </c>
      <c r="BG330">
        <v>0</v>
      </c>
      <c r="BH330">
        <f>1-BF330/BG330</f>
        <v>0</v>
      </c>
      <c r="BI330">
        <v>0.5</v>
      </c>
      <c r="BJ330">
        <f>CS330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417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BZ330">
        <v>1249</v>
      </c>
      <c r="CA330">
        <v>300</v>
      </c>
      <c r="CB330">
        <v>300</v>
      </c>
      <c r="CC330">
        <v>300</v>
      </c>
      <c r="CD330">
        <v>10442.4</v>
      </c>
      <c r="CE330">
        <v>1239.69</v>
      </c>
      <c r="CF330">
        <v>-0.00735276</v>
      </c>
      <c r="CG330">
        <v>0.07000000000000001</v>
      </c>
      <c r="CH330" t="s">
        <v>417</v>
      </c>
      <c r="CI330" t="s">
        <v>417</v>
      </c>
      <c r="CJ330" t="s">
        <v>417</v>
      </c>
      <c r="CK330" t="s">
        <v>417</v>
      </c>
      <c r="CL330" t="s">
        <v>417</v>
      </c>
      <c r="CM330" t="s">
        <v>417</v>
      </c>
      <c r="CN330" t="s">
        <v>417</v>
      </c>
      <c r="CO330" t="s">
        <v>417</v>
      </c>
      <c r="CP330" t="s">
        <v>417</v>
      </c>
      <c r="CQ330" t="s">
        <v>417</v>
      </c>
      <c r="CR330">
        <f>$B$11*DQ330+$C$11*DR330+$F$11*EC330*(1-EF330)</f>
        <v>0</v>
      </c>
      <c r="CS330">
        <f>CR330*CT330</f>
        <v>0</v>
      </c>
      <c r="CT330">
        <f>($B$11*$D$9+$C$11*$D$9+$F$11*((EP330+EH330)/MAX(EP330+EH330+EQ330, 0.1)*$I$9+EQ330/MAX(EP330+EH330+EQ330, 0.1)*$J$9))/($B$11+$C$11+$F$11)</f>
        <v>0</v>
      </c>
      <c r="CU330">
        <f>($B$11*$K$9+$C$11*$K$9+$F$11*((EP330+EH330)/MAX(EP330+EH330+EQ330, 0.1)*$P$9+EQ330/MAX(EP330+EH330+EQ330, 0.1)*$Q$9))/($B$11+$C$11+$F$11)</f>
        <v>0</v>
      </c>
      <c r="CV330">
        <v>6</v>
      </c>
      <c r="CW330">
        <v>0.5</v>
      </c>
      <c r="CX330" t="s">
        <v>418</v>
      </c>
      <c r="CY330">
        <v>2</v>
      </c>
      <c r="CZ330" t="b">
        <v>1</v>
      </c>
      <c r="DA330">
        <v>1651866390.625</v>
      </c>
      <c r="DB330">
        <v>397.4845</v>
      </c>
      <c r="DC330">
        <v>452.995</v>
      </c>
      <c r="DD330">
        <v>18.6741</v>
      </c>
      <c r="DE330">
        <v>9.268935000000001</v>
      </c>
      <c r="DF330">
        <v>398.407</v>
      </c>
      <c r="DG330">
        <v>18.6489</v>
      </c>
      <c r="DH330">
        <v>500.118</v>
      </c>
      <c r="DI330">
        <v>89.91795</v>
      </c>
      <c r="DJ330">
        <v>0.100234</v>
      </c>
      <c r="DK330">
        <v>25.933775</v>
      </c>
      <c r="DL330">
        <v>24.9995</v>
      </c>
      <c r="DM330">
        <v>999.9</v>
      </c>
      <c r="DN330">
        <v>0</v>
      </c>
      <c r="DO330">
        <v>0</v>
      </c>
      <c r="DP330">
        <v>9993.594999999999</v>
      </c>
      <c r="DQ330">
        <v>0</v>
      </c>
      <c r="DR330">
        <v>3.2294725</v>
      </c>
      <c r="DS330">
        <v>-55.51025</v>
      </c>
      <c r="DT330">
        <v>405.0485</v>
      </c>
      <c r="DU330">
        <v>457.23275</v>
      </c>
      <c r="DV330">
        <v>9.405150000000001</v>
      </c>
      <c r="DW330">
        <v>452.995</v>
      </c>
      <c r="DX330">
        <v>9.268935000000001</v>
      </c>
      <c r="DY330">
        <v>1.679135</v>
      </c>
      <c r="DZ330">
        <v>0.83344375</v>
      </c>
      <c r="EA330">
        <v>14.7049</v>
      </c>
      <c r="EB330">
        <v>4.2900325</v>
      </c>
      <c r="EC330">
        <v>1500.0625</v>
      </c>
      <c r="ED330">
        <v>0.972993</v>
      </c>
      <c r="EE330">
        <v>0.0270069</v>
      </c>
      <c r="EF330">
        <v>0</v>
      </c>
      <c r="EG330">
        <v>884.02125</v>
      </c>
      <c r="EH330">
        <v>5.00097</v>
      </c>
      <c r="EI330">
        <v>13202.3</v>
      </c>
      <c r="EJ330">
        <v>12492.125</v>
      </c>
      <c r="EK330">
        <v>39</v>
      </c>
      <c r="EL330">
        <v>40.3905</v>
      </c>
      <c r="EM330">
        <v>39.375</v>
      </c>
      <c r="EN330">
        <v>40.5155</v>
      </c>
      <c r="EO330">
        <v>39.8435</v>
      </c>
      <c r="EP330">
        <v>1454.6825</v>
      </c>
      <c r="EQ330">
        <v>40.38</v>
      </c>
      <c r="ER330">
        <v>0</v>
      </c>
      <c r="ES330">
        <v>909.2000000476837</v>
      </c>
      <c r="ET330">
        <v>0</v>
      </c>
      <c r="EU330">
        <v>878.0818846153848</v>
      </c>
      <c r="EV330">
        <v>58.67148709277779</v>
      </c>
      <c r="EW330">
        <v>855.8529902704671</v>
      </c>
      <c r="EX330">
        <v>13114.47307692308</v>
      </c>
      <c r="EY330">
        <v>15</v>
      </c>
      <c r="EZ330">
        <v>1651865518.1</v>
      </c>
      <c r="FA330" t="s">
        <v>910</v>
      </c>
      <c r="FB330">
        <v>1651865507.1</v>
      </c>
      <c r="FC330">
        <v>1651865518.1</v>
      </c>
      <c r="FD330">
        <v>8</v>
      </c>
      <c r="FE330">
        <v>0.06</v>
      </c>
      <c r="FF330">
        <v>0</v>
      </c>
      <c r="FG330">
        <v>-0.927</v>
      </c>
      <c r="FH330">
        <v>-0.062</v>
      </c>
      <c r="FI330">
        <v>400</v>
      </c>
      <c r="FJ330">
        <v>11</v>
      </c>
      <c r="FK330">
        <v>0.11</v>
      </c>
      <c r="FL330">
        <v>0.01</v>
      </c>
      <c r="FM330">
        <v>-53.2520575</v>
      </c>
      <c r="FN330">
        <v>-16.13949681050642</v>
      </c>
      <c r="FO330">
        <v>1.556491990163699</v>
      </c>
      <c r="FP330">
        <v>-1</v>
      </c>
      <c r="FQ330">
        <v>9.391152999999999</v>
      </c>
      <c r="FR330">
        <v>0.04636097560974875</v>
      </c>
      <c r="FS330">
        <v>0.005423946533659971</v>
      </c>
      <c r="FT330">
        <v>-1</v>
      </c>
      <c r="FU330">
        <v>0</v>
      </c>
      <c r="FV330">
        <v>0</v>
      </c>
      <c r="FW330">
        <v>0</v>
      </c>
      <c r="FX330">
        <v>-1</v>
      </c>
      <c r="FY330">
        <v>0</v>
      </c>
      <c r="FZ330">
        <v>0</v>
      </c>
      <c r="GA330" t="s">
        <v>420</v>
      </c>
      <c r="GB330">
        <v>2.9816</v>
      </c>
      <c r="GC330">
        <v>2.70623</v>
      </c>
      <c r="GD330">
        <v>0.0905841</v>
      </c>
      <c r="GE330">
        <v>0.09872649999999999</v>
      </c>
      <c r="GF330">
        <v>0.0889012</v>
      </c>
      <c r="GG330">
        <v>0.0522923</v>
      </c>
      <c r="GH330">
        <v>28736.7</v>
      </c>
      <c r="GI330">
        <v>28541.5</v>
      </c>
      <c r="GJ330">
        <v>29376.8</v>
      </c>
      <c r="GK330">
        <v>29292.3</v>
      </c>
      <c r="GL330">
        <v>35438.5</v>
      </c>
      <c r="GM330">
        <v>36979.8</v>
      </c>
      <c r="GN330">
        <v>41348.7</v>
      </c>
      <c r="GO330">
        <v>41811.7</v>
      </c>
      <c r="GP330">
        <v>1.96728</v>
      </c>
      <c r="GQ330">
        <v>1.85355</v>
      </c>
      <c r="GR330">
        <v>-0.00581145</v>
      </c>
      <c r="GS330">
        <v>0</v>
      </c>
      <c r="GT330">
        <v>25.0931</v>
      </c>
      <c r="GU330">
        <v>999.9</v>
      </c>
      <c r="GV330">
        <v>29.7</v>
      </c>
      <c r="GW330">
        <v>34.2</v>
      </c>
      <c r="GX330">
        <v>17.8452</v>
      </c>
      <c r="GY330">
        <v>62.5776</v>
      </c>
      <c r="GZ330">
        <v>35.2644</v>
      </c>
      <c r="HA330">
        <v>1</v>
      </c>
      <c r="HB330">
        <v>0.0448247</v>
      </c>
      <c r="HC330">
        <v>1.51323</v>
      </c>
      <c r="HD330">
        <v>20.3277</v>
      </c>
      <c r="HE330">
        <v>5.21819</v>
      </c>
      <c r="HF330">
        <v>12.0099</v>
      </c>
      <c r="HG330">
        <v>4.98865</v>
      </c>
      <c r="HH330">
        <v>3.28865</v>
      </c>
      <c r="HI330">
        <v>1032.1</v>
      </c>
      <c r="HJ330">
        <v>9740.200000000001</v>
      </c>
      <c r="HK330">
        <v>5139.4</v>
      </c>
      <c r="HL330">
        <v>25.3</v>
      </c>
      <c r="HM330">
        <v>1.86742</v>
      </c>
      <c r="HN330">
        <v>1.86645</v>
      </c>
      <c r="HO330">
        <v>1.86599</v>
      </c>
      <c r="HP330">
        <v>1.86584</v>
      </c>
      <c r="HQ330">
        <v>1.86768</v>
      </c>
      <c r="HR330">
        <v>1.8702</v>
      </c>
      <c r="HS330">
        <v>1.8689</v>
      </c>
      <c r="HT330">
        <v>1.87017</v>
      </c>
      <c r="HU330">
        <v>0</v>
      </c>
      <c r="HV330">
        <v>0</v>
      </c>
      <c r="HW330">
        <v>0</v>
      </c>
      <c r="HX330">
        <v>0</v>
      </c>
      <c r="HY330" t="s">
        <v>421</v>
      </c>
      <c r="HZ330" t="s">
        <v>422</v>
      </c>
      <c r="IA330" t="s">
        <v>423</v>
      </c>
      <c r="IB330" t="s">
        <v>423</v>
      </c>
      <c r="IC330" t="s">
        <v>423</v>
      </c>
      <c r="ID330" t="s">
        <v>423</v>
      </c>
      <c r="IE330">
        <v>0</v>
      </c>
      <c r="IF330">
        <v>100</v>
      </c>
      <c r="IG330">
        <v>100</v>
      </c>
      <c r="IH330">
        <v>-0.93</v>
      </c>
      <c r="II330">
        <v>0.0252</v>
      </c>
      <c r="IJ330">
        <v>-0.1559367209035702</v>
      </c>
      <c r="IK330">
        <v>-0.002077099775823331</v>
      </c>
      <c r="IL330">
        <v>4.593143279902166E-07</v>
      </c>
      <c r="IM330">
        <v>-1.865383991892071E-10</v>
      </c>
      <c r="IN330">
        <v>-0.0607165066849496</v>
      </c>
      <c r="IO330">
        <v>-0.01129461987421345</v>
      </c>
      <c r="IP330">
        <v>0.00116580895745559</v>
      </c>
      <c r="IQ330">
        <v>-1.679085872906199E-05</v>
      </c>
      <c r="IR330">
        <v>2</v>
      </c>
      <c r="IS330">
        <v>2290</v>
      </c>
      <c r="IT330">
        <v>0</v>
      </c>
      <c r="IU330">
        <v>32</v>
      </c>
      <c r="IV330">
        <v>14.7</v>
      </c>
      <c r="IW330">
        <v>14.6</v>
      </c>
      <c r="IX330">
        <v>1.14258</v>
      </c>
      <c r="IY330">
        <v>2.21069</v>
      </c>
      <c r="IZ330">
        <v>1.39648</v>
      </c>
      <c r="JA330">
        <v>2.35474</v>
      </c>
      <c r="JB330">
        <v>1.49536</v>
      </c>
      <c r="JC330">
        <v>2.30469</v>
      </c>
      <c r="JD330">
        <v>38.0134</v>
      </c>
      <c r="JE330">
        <v>24.035</v>
      </c>
      <c r="JF330">
        <v>18</v>
      </c>
      <c r="JG330">
        <v>512.74</v>
      </c>
      <c r="JH330">
        <v>425.828</v>
      </c>
      <c r="JI330">
        <v>23.1468</v>
      </c>
      <c r="JJ330">
        <v>27.906</v>
      </c>
      <c r="JK330">
        <v>30</v>
      </c>
      <c r="JL330">
        <v>27.9274</v>
      </c>
      <c r="JM330">
        <v>27.8722</v>
      </c>
      <c r="JN330">
        <v>22.9117</v>
      </c>
      <c r="JO330">
        <v>45.4933</v>
      </c>
      <c r="JP330">
        <v>0</v>
      </c>
      <c r="JQ330">
        <v>23.1464</v>
      </c>
      <c r="JR330">
        <v>478.864</v>
      </c>
      <c r="JS330">
        <v>9.239330000000001</v>
      </c>
      <c r="JT330">
        <v>100.415</v>
      </c>
      <c r="JU330">
        <v>100.349</v>
      </c>
    </row>
    <row r="331" spans="1:281">
      <c r="A331">
        <v>315</v>
      </c>
      <c r="B331">
        <v>1651866394</v>
      </c>
      <c r="C331">
        <v>2173.400000095367</v>
      </c>
      <c r="D331" t="s">
        <v>1053</v>
      </c>
      <c r="E331" t="s">
        <v>1054</v>
      </c>
      <c r="F331">
        <v>2</v>
      </c>
      <c r="G331" t="s">
        <v>908</v>
      </c>
      <c r="H331" t="s">
        <v>414</v>
      </c>
      <c r="I331">
        <v>1651866393</v>
      </c>
      <c r="J331">
        <f>(K331)/1000</f>
        <v>0</v>
      </c>
      <c r="K331">
        <f>IF(CZ331, AN331, AH331)</f>
        <v>0</v>
      </c>
      <c r="L331">
        <f>IF(CZ331, AI331, AG331)</f>
        <v>0</v>
      </c>
      <c r="M331">
        <f>DB331 - IF(AU331&gt;1, L331*CV331*100.0/(AW331*DP331), 0)</f>
        <v>0</v>
      </c>
      <c r="N331">
        <f>((T331-J331/2)*M331-L331)/(T331+J331/2)</f>
        <v>0</v>
      </c>
      <c r="O331">
        <f>N331*(DI331+DJ331)/1000.0</f>
        <v>0</v>
      </c>
      <c r="P331">
        <f>(DB331 - IF(AU331&gt;1, L331*CV331*100.0/(AW331*DP331), 0))*(DI331+DJ331)/1000.0</f>
        <v>0</v>
      </c>
      <c r="Q331">
        <f>2.0/((1/S331-1/R331)+SIGN(S331)*SQRT((1/S331-1/R331)*(1/S331-1/R331) + 4*CW331/((CW331+1)*(CW331+1))*(2*1/S331*1/R331-1/R331*1/R331)))</f>
        <v>0</v>
      </c>
      <c r="R331">
        <f>IF(LEFT(CX331,1)&lt;&gt;"0",IF(LEFT(CX331,1)="1",3.0,CY331),$D$5+$E$5*(DP331*DI331/($K$5*1000))+$F$5*(DP331*DI331/($K$5*1000))*MAX(MIN(CV331,$J$5),$I$5)*MAX(MIN(CV331,$J$5),$I$5)+$G$5*MAX(MIN(CV331,$J$5),$I$5)*(DP331*DI331/($K$5*1000))+$H$5*(DP331*DI331/($K$5*1000))*(DP331*DI331/($K$5*1000)))</f>
        <v>0</v>
      </c>
      <c r="S331">
        <f>J331*(1000-(1000*0.61365*exp(17.502*W331/(240.97+W331))/(DI331+DJ331)+DD331)/2)/(1000*0.61365*exp(17.502*W331/(240.97+W331))/(DI331+DJ331)-DD331)</f>
        <v>0</v>
      </c>
      <c r="T331">
        <f>1/((CW331+1)/(Q331/1.6)+1/(R331/1.37)) + CW331/((CW331+1)/(Q331/1.6) + CW331/(R331/1.37))</f>
        <v>0</v>
      </c>
      <c r="U331">
        <f>(CR331*CU331)</f>
        <v>0</v>
      </c>
      <c r="V331">
        <f>(DK331+(U331+2*0.95*5.67E-8*(((DK331+$B$7)+273)^4-(DK331+273)^4)-44100*J331)/(1.84*29.3*R331+8*0.95*5.67E-8*(DK331+273)^3))</f>
        <v>0</v>
      </c>
      <c r="W331">
        <f>($C$7*DL331+$D$7*DM331+$E$7*V331)</f>
        <v>0</v>
      </c>
      <c r="X331">
        <f>0.61365*exp(17.502*W331/(240.97+W331))</f>
        <v>0</v>
      </c>
      <c r="Y331">
        <f>(Z331/AA331*100)</f>
        <v>0</v>
      </c>
      <c r="Z331">
        <f>DD331*(DI331+DJ331)/1000</f>
        <v>0</v>
      </c>
      <c r="AA331">
        <f>0.61365*exp(17.502*DK331/(240.97+DK331))</f>
        <v>0</v>
      </c>
      <c r="AB331">
        <f>(X331-DD331*(DI331+DJ331)/1000)</f>
        <v>0</v>
      </c>
      <c r="AC331">
        <f>(-J331*44100)</f>
        <v>0</v>
      </c>
      <c r="AD331">
        <f>2*29.3*R331*0.92*(DK331-W331)</f>
        <v>0</v>
      </c>
      <c r="AE331">
        <f>2*0.95*5.67E-8*(((DK331+$B$7)+273)^4-(W331+273)^4)</f>
        <v>0</v>
      </c>
      <c r="AF331">
        <f>U331+AE331+AC331+AD331</f>
        <v>0</v>
      </c>
      <c r="AG331">
        <f>DH331*AU331*(DC331-DB331*(1000-AU331*DE331)/(1000-AU331*DD331))/(100*CV331)</f>
        <v>0</v>
      </c>
      <c r="AH331">
        <f>1000*DH331*AU331*(DD331-DE331)/(100*CV331*(1000-AU331*DD331))</f>
        <v>0</v>
      </c>
      <c r="AI331">
        <f>(AJ331 - AK331 - DI331*1E3/(8.314*(DK331+273.15)) * AM331/DH331 * AL331) * DH331/(100*CV331) * (1000 - DE331)/1000</f>
        <v>0</v>
      </c>
      <c r="AJ331">
        <v>459.2481152463522</v>
      </c>
      <c r="AK331">
        <v>414.1402909090908</v>
      </c>
      <c r="AL331">
        <v>3.166120317198212</v>
      </c>
      <c r="AM331">
        <v>66.38195617057868</v>
      </c>
      <c r="AN331">
        <f>(AP331 - AO331 + DI331*1E3/(8.314*(DK331+273.15)) * AR331/DH331 * AQ331) * DH331/(100*CV331) * 1000/(1000 - AP331)</f>
        <v>0</v>
      </c>
      <c r="AO331">
        <v>9.269165759960021</v>
      </c>
      <c r="AP331">
        <v>18.68128441176469</v>
      </c>
      <c r="AQ331">
        <v>0.0004007617533922014</v>
      </c>
      <c r="AR331">
        <v>80.47178418790507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MAX(0,($B$13+$C$13*DP331)/(1+$D$13*DP331)*DI331/(DK331+273)*$E$13)</f>
        <v>0</v>
      </c>
      <c r="AX331" t="s">
        <v>417</v>
      </c>
      <c r="AY331" t="s">
        <v>417</v>
      </c>
      <c r="AZ331">
        <v>0</v>
      </c>
      <c r="BA331">
        <v>0</v>
      </c>
      <c r="BB331">
        <f>1-AZ331/BA331</f>
        <v>0</v>
      </c>
      <c r="BC331">
        <v>0</v>
      </c>
      <c r="BD331" t="s">
        <v>417</v>
      </c>
      <c r="BE331" t="s">
        <v>417</v>
      </c>
      <c r="BF331">
        <v>0</v>
      </c>
      <c r="BG331">
        <v>0</v>
      </c>
      <c r="BH331">
        <f>1-BF331/BG331</f>
        <v>0</v>
      </c>
      <c r="BI331">
        <v>0.5</v>
      </c>
      <c r="BJ331">
        <f>CS331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417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BZ331">
        <v>1249</v>
      </c>
      <c r="CA331">
        <v>300</v>
      </c>
      <c r="CB331">
        <v>300</v>
      </c>
      <c r="CC331">
        <v>300</v>
      </c>
      <c r="CD331">
        <v>10442.4</v>
      </c>
      <c r="CE331">
        <v>1239.69</v>
      </c>
      <c r="CF331">
        <v>-0.00735276</v>
      </c>
      <c r="CG331">
        <v>0.07000000000000001</v>
      </c>
      <c r="CH331" t="s">
        <v>417</v>
      </c>
      <c r="CI331" t="s">
        <v>417</v>
      </c>
      <c r="CJ331" t="s">
        <v>417</v>
      </c>
      <c r="CK331" t="s">
        <v>417</v>
      </c>
      <c r="CL331" t="s">
        <v>417</v>
      </c>
      <c r="CM331" t="s">
        <v>417</v>
      </c>
      <c r="CN331" t="s">
        <v>417</v>
      </c>
      <c r="CO331" t="s">
        <v>417</v>
      </c>
      <c r="CP331" t="s">
        <v>417</v>
      </c>
      <c r="CQ331" t="s">
        <v>417</v>
      </c>
      <c r="CR331">
        <f>$B$11*DQ331+$C$11*DR331+$F$11*EC331*(1-EF331)</f>
        <v>0</v>
      </c>
      <c r="CS331">
        <f>CR331*CT331</f>
        <v>0</v>
      </c>
      <c r="CT331">
        <f>($B$11*$D$9+$C$11*$D$9+$F$11*((EP331+EH331)/MAX(EP331+EH331+EQ331, 0.1)*$I$9+EQ331/MAX(EP331+EH331+EQ331, 0.1)*$J$9))/($B$11+$C$11+$F$11)</f>
        <v>0</v>
      </c>
      <c r="CU331">
        <f>($B$11*$K$9+$C$11*$K$9+$F$11*((EP331+EH331)/MAX(EP331+EH331+EQ331, 0.1)*$P$9+EQ331/MAX(EP331+EH331+EQ331, 0.1)*$Q$9))/($B$11+$C$11+$F$11)</f>
        <v>0</v>
      </c>
      <c r="CV331">
        <v>6</v>
      </c>
      <c r="CW331">
        <v>0.5</v>
      </c>
      <c r="CX331" t="s">
        <v>418</v>
      </c>
      <c r="CY331">
        <v>2</v>
      </c>
      <c r="CZ331" t="b">
        <v>1</v>
      </c>
      <c r="DA331">
        <v>1651866393</v>
      </c>
      <c r="DB331">
        <v>404.8633333333333</v>
      </c>
      <c r="DC331">
        <v>460.9673333333333</v>
      </c>
      <c r="DD331">
        <v>18.67996666666667</v>
      </c>
      <c r="DE331">
        <v>9.267743333333334</v>
      </c>
      <c r="DF331">
        <v>405.7986666666667</v>
      </c>
      <c r="DG331">
        <v>18.65466666666667</v>
      </c>
      <c r="DH331">
        <v>500.0339999999999</v>
      </c>
      <c r="DI331">
        <v>89.9183</v>
      </c>
      <c r="DJ331">
        <v>0.09971966666666666</v>
      </c>
      <c r="DK331">
        <v>25.9352</v>
      </c>
      <c r="DL331">
        <v>24.99836666666667</v>
      </c>
      <c r="DM331">
        <v>999.9</v>
      </c>
      <c r="DN331">
        <v>0</v>
      </c>
      <c r="DO331">
        <v>0</v>
      </c>
      <c r="DP331">
        <v>10023.73333333333</v>
      </c>
      <c r="DQ331">
        <v>0</v>
      </c>
      <c r="DR331">
        <v>3.23193</v>
      </c>
      <c r="DS331">
        <v>-56.10393333333334</v>
      </c>
      <c r="DT331">
        <v>412.57</v>
      </c>
      <c r="DU331">
        <v>465.2793333333334</v>
      </c>
      <c r="DV331">
        <v>9.412193333333335</v>
      </c>
      <c r="DW331">
        <v>460.9673333333333</v>
      </c>
      <c r="DX331">
        <v>9.267743333333334</v>
      </c>
      <c r="DY331">
        <v>1.679666666666667</v>
      </c>
      <c r="DZ331">
        <v>0.8333400000000001</v>
      </c>
      <c r="EA331">
        <v>14.7098</v>
      </c>
      <c r="EB331">
        <v>4.28826</v>
      </c>
      <c r="EC331">
        <v>1499.893333333333</v>
      </c>
      <c r="ED331">
        <v>0.9729896666666665</v>
      </c>
      <c r="EE331">
        <v>0.02701043333333333</v>
      </c>
      <c r="EF331">
        <v>0</v>
      </c>
      <c r="EG331">
        <v>885.7716666666666</v>
      </c>
      <c r="EH331">
        <v>5.00097</v>
      </c>
      <c r="EI331">
        <v>13225.86666666667</v>
      </c>
      <c r="EJ331">
        <v>12490.63333333333</v>
      </c>
      <c r="EK331">
        <v>39</v>
      </c>
      <c r="EL331">
        <v>40.354</v>
      </c>
      <c r="EM331">
        <v>39.375</v>
      </c>
      <c r="EN331">
        <v>40.5</v>
      </c>
      <c r="EO331">
        <v>39.812</v>
      </c>
      <c r="EP331">
        <v>1454.513333333333</v>
      </c>
      <c r="EQ331">
        <v>40.38</v>
      </c>
      <c r="ER331">
        <v>0</v>
      </c>
      <c r="ES331">
        <v>911.6000001430511</v>
      </c>
      <c r="ET331">
        <v>0</v>
      </c>
      <c r="EU331">
        <v>880.357576923077</v>
      </c>
      <c r="EV331">
        <v>54.41842733572764</v>
      </c>
      <c r="EW331">
        <v>795.9829058938702</v>
      </c>
      <c r="EX331">
        <v>13147.34230769231</v>
      </c>
      <c r="EY331">
        <v>15</v>
      </c>
      <c r="EZ331">
        <v>1651865518.1</v>
      </c>
      <c r="FA331" t="s">
        <v>910</v>
      </c>
      <c r="FB331">
        <v>1651865507.1</v>
      </c>
      <c r="FC331">
        <v>1651865518.1</v>
      </c>
      <c r="FD331">
        <v>8</v>
      </c>
      <c r="FE331">
        <v>0.06</v>
      </c>
      <c r="FF331">
        <v>0</v>
      </c>
      <c r="FG331">
        <v>-0.927</v>
      </c>
      <c r="FH331">
        <v>-0.062</v>
      </c>
      <c r="FI331">
        <v>400</v>
      </c>
      <c r="FJ331">
        <v>11</v>
      </c>
      <c r="FK331">
        <v>0.11</v>
      </c>
      <c r="FL331">
        <v>0.01</v>
      </c>
      <c r="FM331">
        <v>-53.5656</v>
      </c>
      <c r="FN331">
        <v>-15.68990174216023</v>
      </c>
      <c r="FO331">
        <v>1.552835124821064</v>
      </c>
      <c r="FP331">
        <v>-1</v>
      </c>
      <c r="FQ331">
        <v>9.39283268292683</v>
      </c>
      <c r="FR331">
        <v>0.0582844599303212</v>
      </c>
      <c r="FS331">
        <v>0.006877290669169647</v>
      </c>
      <c r="FT331">
        <v>-1</v>
      </c>
      <c r="FU331">
        <v>0</v>
      </c>
      <c r="FV331">
        <v>0</v>
      </c>
      <c r="FW331">
        <v>0</v>
      </c>
      <c r="FX331">
        <v>-1</v>
      </c>
      <c r="FY331">
        <v>0</v>
      </c>
      <c r="FZ331">
        <v>0</v>
      </c>
      <c r="GA331" t="s">
        <v>420</v>
      </c>
      <c r="GB331">
        <v>2.98127</v>
      </c>
      <c r="GC331">
        <v>2.70615</v>
      </c>
      <c r="GD331">
        <v>0.09165089999999999</v>
      </c>
      <c r="GE331">
        <v>0.0998174</v>
      </c>
      <c r="GF331">
        <v>0.088917</v>
      </c>
      <c r="GG331">
        <v>0.0522875</v>
      </c>
      <c r="GH331">
        <v>28703.4</v>
      </c>
      <c r="GI331">
        <v>28507</v>
      </c>
      <c r="GJ331">
        <v>29377.3</v>
      </c>
      <c r="GK331">
        <v>29292.3</v>
      </c>
      <c r="GL331">
        <v>35438.3</v>
      </c>
      <c r="GM331">
        <v>36979.9</v>
      </c>
      <c r="GN331">
        <v>41349.2</v>
      </c>
      <c r="GO331">
        <v>41811.6</v>
      </c>
      <c r="GP331">
        <v>1.96697</v>
      </c>
      <c r="GQ331">
        <v>1.85368</v>
      </c>
      <c r="GR331">
        <v>-0.00573695</v>
      </c>
      <c r="GS331">
        <v>0</v>
      </c>
      <c r="GT331">
        <v>25.0931</v>
      </c>
      <c r="GU331">
        <v>999.9</v>
      </c>
      <c r="GV331">
        <v>29.7</v>
      </c>
      <c r="GW331">
        <v>34.2</v>
      </c>
      <c r="GX331">
        <v>17.8444</v>
      </c>
      <c r="GY331">
        <v>62.1976</v>
      </c>
      <c r="GZ331">
        <v>35.5769</v>
      </c>
      <c r="HA331">
        <v>1</v>
      </c>
      <c r="HB331">
        <v>0.0447612</v>
      </c>
      <c r="HC331">
        <v>1.51195</v>
      </c>
      <c r="HD331">
        <v>20.3277</v>
      </c>
      <c r="HE331">
        <v>5.21804</v>
      </c>
      <c r="HF331">
        <v>12.0099</v>
      </c>
      <c r="HG331">
        <v>4.98875</v>
      </c>
      <c r="HH331">
        <v>3.28865</v>
      </c>
      <c r="HI331">
        <v>1032.1</v>
      </c>
      <c r="HJ331">
        <v>9740.200000000001</v>
      </c>
      <c r="HK331">
        <v>5139.4</v>
      </c>
      <c r="HL331">
        <v>25.3</v>
      </c>
      <c r="HM331">
        <v>1.8674</v>
      </c>
      <c r="HN331">
        <v>1.86646</v>
      </c>
      <c r="HO331">
        <v>1.866</v>
      </c>
      <c r="HP331">
        <v>1.86584</v>
      </c>
      <c r="HQ331">
        <v>1.86768</v>
      </c>
      <c r="HR331">
        <v>1.87018</v>
      </c>
      <c r="HS331">
        <v>1.8689</v>
      </c>
      <c r="HT331">
        <v>1.87017</v>
      </c>
      <c r="HU331">
        <v>0</v>
      </c>
      <c r="HV331">
        <v>0</v>
      </c>
      <c r="HW331">
        <v>0</v>
      </c>
      <c r="HX331">
        <v>0</v>
      </c>
      <c r="HY331" t="s">
        <v>421</v>
      </c>
      <c r="HZ331" t="s">
        <v>422</v>
      </c>
      <c r="IA331" t="s">
        <v>423</v>
      </c>
      <c r="IB331" t="s">
        <v>423</v>
      </c>
      <c r="IC331" t="s">
        <v>423</v>
      </c>
      <c r="ID331" t="s">
        <v>423</v>
      </c>
      <c r="IE331">
        <v>0</v>
      </c>
      <c r="IF331">
        <v>100</v>
      </c>
      <c r="IG331">
        <v>100</v>
      </c>
      <c r="IH331">
        <v>-0.9409999999999999</v>
      </c>
      <c r="II331">
        <v>0.0253</v>
      </c>
      <c r="IJ331">
        <v>-0.1559367209035702</v>
      </c>
      <c r="IK331">
        <v>-0.002077099775823331</v>
      </c>
      <c r="IL331">
        <v>4.593143279902166E-07</v>
      </c>
      <c r="IM331">
        <v>-1.865383991892071E-10</v>
      </c>
      <c r="IN331">
        <v>-0.0607165066849496</v>
      </c>
      <c r="IO331">
        <v>-0.01129461987421345</v>
      </c>
      <c r="IP331">
        <v>0.00116580895745559</v>
      </c>
      <c r="IQ331">
        <v>-1.679085872906199E-05</v>
      </c>
      <c r="IR331">
        <v>2</v>
      </c>
      <c r="IS331">
        <v>2290</v>
      </c>
      <c r="IT331">
        <v>0</v>
      </c>
      <c r="IU331">
        <v>32</v>
      </c>
      <c r="IV331">
        <v>14.8</v>
      </c>
      <c r="IW331">
        <v>14.6</v>
      </c>
      <c r="IX331">
        <v>1.15479</v>
      </c>
      <c r="IY331">
        <v>2.21069</v>
      </c>
      <c r="IZ331">
        <v>1.39648</v>
      </c>
      <c r="JA331">
        <v>2.35474</v>
      </c>
      <c r="JB331">
        <v>1.49536</v>
      </c>
      <c r="JC331">
        <v>2.34253</v>
      </c>
      <c r="JD331">
        <v>38.0134</v>
      </c>
      <c r="JE331">
        <v>24.0437</v>
      </c>
      <c r="JF331">
        <v>18</v>
      </c>
      <c r="JG331">
        <v>512.538</v>
      </c>
      <c r="JH331">
        <v>425.898</v>
      </c>
      <c r="JI331">
        <v>23.1459</v>
      </c>
      <c r="JJ331">
        <v>27.9055</v>
      </c>
      <c r="JK331">
        <v>30.0001</v>
      </c>
      <c r="JL331">
        <v>27.9268</v>
      </c>
      <c r="JM331">
        <v>27.8716</v>
      </c>
      <c r="JN331">
        <v>23.1692</v>
      </c>
      <c r="JO331">
        <v>45.4933</v>
      </c>
      <c r="JP331">
        <v>0</v>
      </c>
      <c r="JQ331">
        <v>23.1464</v>
      </c>
      <c r="JR331">
        <v>485.542</v>
      </c>
      <c r="JS331">
        <v>9.239330000000001</v>
      </c>
      <c r="JT331">
        <v>100.417</v>
      </c>
      <c r="JU331">
        <v>100.348</v>
      </c>
    </row>
    <row r="332" spans="1:281">
      <c r="A332">
        <v>316</v>
      </c>
      <c r="B332">
        <v>1651866396</v>
      </c>
      <c r="C332">
        <v>2175.400000095367</v>
      </c>
      <c r="D332" t="s">
        <v>1055</v>
      </c>
      <c r="E332" t="s">
        <v>1056</v>
      </c>
      <c r="F332">
        <v>2</v>
      </c>
      <c r="G332" t="s">
        <v>908</v>
      </c>
      <c r="H332" t="s">
        <v>414</v>
      </c>
      <c r="I332">
        <v>1651866394.625</v>
      </c>
      <c r="J332">
        <f>(K332)/1000</f>
        <v>0</v>
      </c>
      <c r="K332">
        <f>IF(CZ332, AN332, AH332)</f>
        <v>0</v>
      </c>
      <c r="L332">
        <f>IF(CZ332, AI332, AG332)</f>
        <v>0</v>
      </c>
      <c r="M332">
        <f>DB332 - IF(AU332&gt;1, L332*CV332*100.0/(AW332*DP332), 0)</f>
        <v>0</v>
      </c>
      <c r="N332">
        <f>((T332-J332/2)*M332-L332)/(T332+J332/2)</f>
        <v>0</v>
      </c>
      <c r="O332">
        <f>N332*(DI332+DJ332)/1000.0</f>
        <v>0</v>
      </c>
      <c r="P332">
        <f>(DB332 - IF(AU332&gt;1, L332*CV332*100.0/(AW332*DP332), 0))*(DI332+DJ332)/1000.0</f>
        <v>0</v>
      </c>
      <c r="Q332">
        <f>2.0/((1/S332-1/R332)+SIGN(S332)*SQRT((1/S332-1/R332)*(1/S332-1/R332) + 4*CW332/((CW332+1)*(CW332+1))*(2*1/S332*1/R332-1/R332*1/R332)))</f>
        <v>0</v>
      </c>
      <c r="R332">
        <f>IF(LEFT(CX332,1)&lt;&gt;"0",IF(LEFT(CX332,1)="1",3.0,CY332),$D$5+$E$5*(DP332*DI332/($K$5*1000))+$F$5*(DP332*DI332/($K$5*1000))*MAX(MIN(CV332,$J$5),$I$5)*MAX(MIN(CV332,$J$5),$I$5)+$G$5*MAX(MIN(CV332,$J$5),$I$5)*(DP332*DI332/($K$5*1000))+$H$5*(DP332*DI332/($K$5*1000))*(DP332*DI332/($K$5*1000)))</f>
        <v>0</v>
      </c>
      <c r="S332">
        <f>J332*(1000-(1000*0.61365*exp(17.502*W332/(240.97+W332))/(DI332+DJ332)+DD332)/2)/(1000*0.61365*exp(17.502*W332/(240.97+W332))/(DI332+DJ332)-DD332)</f>
        <v>0</v>
      </c>
      <c r="T332">
        <f>1/((CW332+1)/(Q332/1.6)+1/(R332/1.37)) + CW332/((CW332+1)/(Q332/1.6) + CW332/(R332/1.37))</f>
        <v>0</v>
      </c>
      <c r="U332">
        <f>(CR332*CU332)</f>
        <v>0</v>
      </c>
      <c r="V332">
        <f>(DK332+(U332+2*0.95*5.67E-8*(((DK332+$B$7)+273)^4-(DK332+273)^4)-44100*J332)/(1.84*29.3*R332+8*0.95*5.67E-8*(DK332+273)^3))</f>
        <v>0</v>
      </c>
      <c r="W332">
        <f>($C$7*DL332+$D$7*DM332+$E$7*V332)</f>
        <v>0</v>
      </c>
      <c r="X332">
        <f>0.61365*exp(17.502*W332/(240.97+W332))</f>
        <v>0</v>
      </c>
      <c r="Y332">
        <f>(Z332/AA332*100)</f>
        <v>0</v>
      </c>
      <c r="Z332">
        <f>DD332*(DI332+DJ332)/1000</f>
        <v>0</v>
      </c>
      <c r="AA332">
        <f>0.61365*exp(17.502*DK332/(240.97+DK332))</f>
        <v>0</v>
      </c>
      <c r="AB332">
        <f>(X332-DD332*(DI332+DJ332)/1000)</f>
        <v>0</v>
      </c>
      <c r="AC332">
        <f>(-J332*44100)</f>
        <v>0</v>
      </c>
      <c r="AD332">
        <f>2*29.3*R332*0.92*(DK332-W332)</f>
        <v>0</v>
      </c>
      <c r="AE332">
        <f>2*0.95*5.67E-8*(((DK332+$B$7)+273)^4-(W332+273)^4)</f>
        <v>0</v>
      </c>
      <c r="AF332">
        <f>U332+AE332+AC332+AD332</f>
        <v>0</v>
      </c>
      <c r="AG332">
        <f>DH332*AU332*(DC332-DB332*(1000-AU332*DE332)/(1000-AU332*DD332))/(100*CV332)</f>
        <v>0</v>
      </c>
      <c r="AH332">
        <f>1000*DH332*AU332*(DD332-DE332)/(100*CV332*(1000-AU332*DD332))</f>
        <v>0</v>
      </c>
      <c r="AI332">
        <f>(AJ332 - AK332 - DI332*1E3/(8.314*(DK332+273.15)) * AM332/DH332 * AL332) * DH332/(100*CV332) * (1000 - DE332)/1000</f>
        <v>0</v>
      </c>
      <c r="AJ332">
        <v>466.0762917298778</v>
      </c>
      <c r="AK332">
        <v>420.5141878787877</v>
      </c>
      <c r="AL332">
        <v>3.173640636934692</v>
      </c>
      <c r="AM332">
        <v>66.38195617057868</v>
      </c>
      <c r="AN332">
        <f>(AP332 - AO332 + DI332*1E3/(8.314*(DK332+273.15)) * AR332/DH332 * AQ332) * DH332/(100*CV332) * 1000/(1000 - AP332)</f>
        <v>0</v>
      </c>
      <c r="AO332">
        <v>9.26869140037646</v>
      </c>
      <c r="AP332">
        <v>18.68489235294118</v>
      </c>
      <c r="AQ332">
        <v>0.0003641260345639804</v>
      </c>
      <c r="AR332">
        <v>80.47178418790507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MAX(0,($B$13+$C$13*DP332)/(1+$D$13*DP332)*DI332/(DK332+273)*$E$13)</f>
        <v>0</v>
      </c>
      <c r="AX332" t="s">
        <v>417</v>
      </c>
      <c r="AY332" t="s">
        <v>417</v>
      </c>
      <c r="AZ332">
        <v>0</v>
      </c>
      <c r="BA332">
        <v>0</v>
      </c>
      <c r="BB332">
        <f>1-AZ332/BA332</f>
        <v>0</v>
      </c>
      <c r="BC332">
        <v>0</v>
      </c>
      <c r="BD332" t="s">
        <v>417</v>
      </c>
      <c r="BE332" t="s">
        <v>417</v>
      </c>
      <c r="BF332">
        <v>0</v>
      </c>
      <c r="BG332">
        <v>0</v>
      </c>
      <c r="BH332">
        <f>1-BF332/BG332</f>
        <v>0</v>
      </c>
      <c r="BI332">
        <v>0.5</v>
      </c>
      <c r="BJ332">
        <f>CS332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417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BZ332">
        <v>1249</v>
      </c>
      <c r="CA332">
        <v>300</v>
      </c>
      <c r="CB332">
        <v>300</v>
      </c>
      <c r="CC332">
        <v>300</v>
      </c>
      <c r="CD332">
        <v>10442.4</v>
      </c>
      <c r="CE332">
        <v>1239.69</v>
      </c>
      <c r="CF332">
        <v>-0.00735276</v>
      </c>
      <c r="CG332">
        <v>0.07000000000000001</v>
      </c>
      <c r="CH332" t="s">
        <v>417</v>
      </c>
      <c r="CI332" t="s">
        <v>417</v>
      </c>
      <c r="CJ332" t="s">
        <v>417</v>
      </c>
      <c r="CK332" t="s">
        <v>417</v>
      </c>
      <c r="CL332" t="s">
        <v>417</v>
      </c>
      <c r="CM332" t="s">
        <v>417</v>
      </c>
      <c r="CN332" t="s">
        <v>417</v>
      </c>
      <c r="CO332" t="s">
        <v>417</v>
      </c>
      <c r="CP332" t="s">
        <v>417</v>
      </c>
      <c r="CQ332" t="s">
        <v>417</v>
      </c>
      <c r="CR332">
        <f>$B$11*DQ332+$C$11*DR332+$F$11*EC332*(1-EF332)</f>
        <v>0</v>
      </c>
      <c r="CS332">
        <f>CR332*CT332</f>
        <v>0</v>
      </c>
      <c r="CT332">
        <f>($B$11*$D$9+$C$11*$D$9+$F$11*((EP332+EH332)/MAX(EP332+EH332+EQ332, 0.1)*$I$9+EQ332/MAX(EP332+EH332+EQ332, 0.1)*$J$9))/($B$11+$C$11+$F$11)</f>
        <v>0</v>
      </c>
      <c r="CU332">
        <f>($B$11*$K$9+$C$11*$K$9+$F$11*((EP332+EH332)/MAX(EP332+EH332+EQ332, 0.1)*$P$9+EQ332/MAX(EP332+EH332+EQ332, 0.1)*$Q$9))/($B$11+$C$11+$F$11)</f>
        <v>0</v>
      </c>
      <c r="CV332">
        <v>6</v>
      </c>
      <c r="CW332">
        <v>0.5</v>
      </c>
      <c r="CX332" t="s">
        <v>418</v>
      </c>
      <c r="CY332">
        <v>2</v>
      </c>
      <c r="CZ332" t="b">
        <v>1</v>
      </c>
      <c r="DA332">
        <v>1651866394.625</v>
      </c>
      <c r="DB332">
        <v>409.9192499999999</v>
      </c>
      <c r="DC332">
        <v>466.4857499999999</v>
      </c>
      <c r="DD332">
        <v>18.683375</v>
      </c>
      <c r="DE332">
        <v>9.266747499999999</v>
      </c>
      <c r="DF332">
        <v>410.864</v>
      </c>
      <c r="DG332">
        <v>18.658025</v>
      </c>
      <c r="DH332">
        <v>499.99725</v>
      </c>
      <c r="DI332">
        <v>89.91935000000001</v>
      </c>
      <c r="DJ332">
        <v>0.09977825000000001</v>
      </c>
      <c r="DK332">
        <v>25.93515</v>
      </c>
      <c r="DL332">
        <v>25.0023</v>
      </c>
      <c r="DM332">
        <v>999.9</v>
      </c>
      <c r="DN332">
        <v>0</v>
      </c>
      <c r="DO332">
        <v>0</v>
      </c>
      <c r="DP332">
        <v>10030.3</v>
      </c>
      <c r="DQ332">
        <v>0</v>
      </c>
      <c r="DR332">
        <v>3.23193</v>
      </c>
      <c r="DS332">
        <v>-56.5664</v>
      </c>
      <c r="DT332">
        <v>417.72375</v>
      </c>
      <c r="DU332">
        <v>470.849</v>
      </c>
      <c r="DV332">
        <v>9.416605000000001</v>
      </c>
      <c r="DW332">
        <v>466.4857499999999</v>
      </c>
      <c r="DX332">
        <v>9.266747499999999</v>
      </c>
      <c r="DY332">
        <v>1.6799925</v>
      </c>
      <c r="DZ332">
        <v>0.83326</v>
      </c>
      <c r="EA332">
        <v>14.712825</v>
      </c>
      <c r="EB332">
        <v>4.2868925</v>
      </c>
      <c r="EC332">
        <v>1499.88</v>
      </c>
      <c r="ED332">
        <v>0.97299925</v>
      </c>
      <c r="EE332">
        <v>0.027001025</v>
      </c>
      <c r="EF332">
        <v>0</v>
      </c>
      <c r="EG332">
        <v>887.1182500000001</v>
      </c>
      <c r="EH332">
        <v>5.00097</v>
      </c>
      <c r="EI332">
        <v>13244.375</v>
      </c>
      <c r="EJ332">
        <v>12490.525</v>
      </c>
      <c r="EK332">
        <v>38.98425</v>
      </c>
      <c r="EL332">
        <v>40.312</v>
      </c>
      <c r="EM332">
        <v>39.32774999999999</v>
      </c>
      <c r="EN332">
        <v>40.45274999999999</v>
      </c>
      <c r="EO332">
        <v>39.812</v>
      </c>
      <c r="EP332">
        <v>1454.515</v>
      </c>
      <c r="EQ332">
        <v>40.365</v>
      </c>
      <c r="ER332">
        <v>0</v>
      </c>
      <c r="ES332">
        <v>913.4000000953674</v>
      </c>
      <c r="ET332">
        <v>0</v>
      </c>
      <c r="EU332">
        <v>882.2494800000001</v>
      </c>
      <c r="EV332">
        <v>50.50107691676047</v>
      </c>
      <c r="EW332">
        <v>742.5923077143196</v>
      </c>
      <c r="EX332">
        <v>13174.492</v>
      </c>
      <c r="EY332">
        <v>15</v>
      </c>
      <c r="EZ332">
        <v>1651865518.1</v>
      </c>
      <c r="FA332" t="s">
        <v>910</v>
      </c>
      <c r="FB332">
        <v>1651865507.1</v>
      </c>
      <c r="FC332">
        <v>1651865518.1</v>
      </c>
      <c r="FD332">
        <v>8</v>
      </c>
      <c r="FE332">
        <v>0.06</v>
      </c>
      <c r="FF332">
        <v>0</v>
      </c>
      <c r="FG332">
        <v>-0.927</v>
      </c>
      <c r="FH332">
        <v>-0.062</v>
      </c>
      <c r="FI332">
        <v>400</v>
      </c>
      <c r="FJ332">
        <v>11</v>
      </c>
      <c r="FK332">
        <v>0.11</v>
      </c>
      <c r="FL332">
        <v>0.01</v>
      </c>
      <c r="FM332">
        <v>-54.27676</v>
      </c>
      <c r="FN332">
        <v>-15.10153621013133</v>
      </c>
      <c r="FO332">
        <v>1.458677197806286</v>
      </c>
      <c r="FP332">
        <v>-1</v>
      </c>
      <c r="FQ332">
        <v>9.396220000000001</v>
      </c>
      <c r="FR332">
        <v>0.09423512195121386</v>
      </c>
      <c r="FS332">
        <v>0.009810511454557401</v>
      </c>
      <c r="FT332">
        <v>-1</v>
      </c>
      <c r="FU332">
        <v>0</v>
      </c>
      <c r="FV332">
        <v>0</v>
      </c>
      <c r="FW332">
        <v>0</v>
      </c>
      <c r="FX332">
        <v>-1</v>
      </c>
      <c r="FY332">
        <v>0</v>
      </c>
      <c r="FZ332">
        <v>0</v>
      </c>
      <c r="GA332" t="s">
        <v>420</v>
      </c>
      <c r="GB332">
        <v>2.98139</v>
      </c>
      <c r="GC332">
        <v>2.70639</v>
      </c>
      <c r="GD332">
        <v>0.0927255</v>
      </c>
      <c r="GE332">
        <v>0.100886</v>
      </c>
      <c r="GF332">
        <v>0.088935</v>
      </c>
      <c r="GG332">
        <v>0.0522841</v>
      </c>
      <c r="GH332">
        <v>28669.3</v>
      </c>
      <c r="GI332">
        <v>28473</v>
      </c>
      <c r="GJ332">
        <v>29377.1</v>
      </c>
      <c r="GK332">
        <v>29292.1</v>
      </c>
      <c r="GL332">
        <v>35437.4</v>
      </c>
      <c r="GM332">
        <v>36979.9</v>
      </c>
      <c r="GN332">
        <v>41349</v>
      </c>
      <c r="GO332">
        <v>41811.5</v>
      </c>
      <c r="GP332">
        <v>1.96675</v>
      </c>
      <c r="GQ332">
        <v>1.85382</v>
      </c>
      <c r="GR332">
        <v>-0.00510365</v>
      </c>
      <c r="GS332">
        <v>0</v>
      </c>
      <c r="GT332">
        <v>25.0931</v>
      </c>
      <c r="GU332">
        <v>999.9</v>
      </c>
      <c r="GV332">
        <v>29.7</v>
      </c>
      <c r="GW332">
        <v>34.2</v>
      </c>
      <c r="GX332">
        <v>17.8451</v>
      </c>
      <c r="GY332">
        <v>62.2676</v>
      </c>
      <c r="GZ332">
        <v>35.4167</v>
      </c>
      <c r="HA332">
        <v>1</v>
      </c>
      <c r="HB332">
        <v>0.044939</v>
      </c>
      <c r="HC332">
        <v>1.50002</v>
      </c>
      <c r="HD332">
        <v>20.3277</v>
      </c>
      <c r="HE332">
        <v>5.21804</v>
      </c>
      <c r="HF332">
        <v>12.0099</v>
      </c>
      <c r="HG332">
        <v>4.9888</v>
      </c>
      <c r="HH332">
        <v>3.28865</v>
      </c>
      <c r="HI332">
        <v>1032.1</v>
      </c>
      <c r="HJ332">
        <v>9740.200000000001</v>
      </c>
      <c r="HK332">
        <v>5139.4</v>
      </c>
      <c r="HL332">
        <v>25.3</v>
      </c>
      <c r="HM332">
        <v>1.86739</v>
      </c>
      <c r="HN332">
        <v>1.86646</v>
      </c>
      <c r="HO332">
        <v>1.866</v>
      </c>
      <c r="HP332">
        <v>1.86584</v>
      </c>
      <c r="HQ332">
        <v>1.86768</v>
      </c>
      <c r="HR332">
        <v>1.8702</v>
      </c>
      <c r="HS332">
        <v>1.8689</v>
      </c>
      <c r="HT332">
        <v>1.87018</v>
      </c>
      <c r="HU332">
        <v>0</v>
      </c>
      <c r="HV332">
        <v>0</v>
      </c>
      <c r="HW332">
        <v>0</v>
      </c>
      <c r="HX332">
        <v>0</v>
      </c>
      <c r="HY332" t="s">
        <v>421</v>
      </c>
      <c r="HZ332" t="s">
        <v>422</v>
      </c>
      <c r="IA332" t="s">
        <v>423</v>
      </c>
      <c r="IB332" t="s">
        <v>423</v>
      </c>
      <c r="IC332" t="s">
        <v>423</v>
      </c>
      <c r="ID332" t="s">
        <v>423</v>
      </c>
      <c r="IE332">
        <v>0</v>
      </c>
      <c r="IF332">
        <v>100</v>
      </c>
      <c r="IG332">
        <v>100</v>
      </c>
      <c r="IH332">
        <v>-0.953</v>
      </c>
      <c r="II332">
        <v>0.0254</v>
      </c>
      <c r="IJ332">
        <v>-0.1559367209035702</v>
      </c>
      <c r="IK332">
        <v>-0.002077099775823331</v>
      </c>
      <c r="IL332">
        <v>4.593143279902166E-07</v>
      </c>
      <c r="IM332">
        <v>-1.865383991892071E-10</v>
      </c>
      <c r="IN332">
        <v>-0.0607165066849496</v>
      </c>
      <c r="IO332">
        <v>-0.01129461987421345</v>
      </c>
      <c r="IP332">
        <v>0.00116580895745559</v>
      </c>
      <c r="IQ332">
        <v>-1.679085872906199E-05</v>
      </c>
      <c r="IR332">
        <v>2</v>
      </c>
      <c r="IS332">
        <v>2290</v>
      </c>
      <c r="IT332">
        <v>0</v>
      </c>
      <c r="IU332">
        <v>32</v>
      </c>
      <c r="IV332">
        <v>14.8</v>
      </c>
      <c r="IW332">
        <v>14.6</v>
      </c>
      <c r="IX332">
        <v>1.16821</v>
      </c>
      <c r="IY332">
        <v>2.20825</v>
      </c>
      <c r="IZ332">
        <v>1.39648</v>
      </c>
      <c r="JA332">
        <v>2.35474</v>
      </c>
      <c r="JB332">
        <v>1.49536</v>
      </c>
      <c r="JC332">
        <v>2.35718</v>
      </c>
      <c r="JD332">
        <v>38.0134</v>
      </c>
      <c r="JE332">
        <v>24.0437</v>
      </c>
      <c r="JF332">
        <v>18</v>
      </c>
      <c r="JG332">
        <v>512.3819999999999</v>
      </c>
      <c r="JH332">
        <v>425.978</v>
      </c>
      <c r="JI332">
        <v>23.1449</v>
      </c>
      <c r="JJ332">
        <v>27.9043</v>
      </c>
      <c r="JK332">
        <v>30.0001</v>
      </c>
      <c r="JL332">
        <v>27.9256</v>
      </c>
      <c r="JM332">
        <v>27.8704</v>
      </c>
      <c r="JN332">
        <v>23.427</v>
      </c>
      <c r="JO332">
        <v>45.4933</v>
      </c>
      <c r="JP332">
        <v>0</v>
      </c>
      <c r="JQ332">
        <v>23.1517</v>
      </c>
      <c r="JR332">
        <v>492.221</v>
      </c>
      <c r="JS332">
        <v>9.239330000000001</v>
      </c>
      <c r="JT332">
        <v>100.416</v>
      </c>
      <c r="JU332">
        <v>100.348</v>
      </c>
    </row>
    <row r="333" spans="1:281">
      <c r="A333">
        <v>317</v>
      </c>
      <c r="B333">
        <v>1651866398</v>
      </c>
      <c r="C333">
        <v>2177.400000095367</v>
      </c>
      <c r="D333" t="s">
        <v>1057</v>
      </c>
      <c r="E333" t="s">
        <v>1058</v>
      </c>
      <c r="F333">
        <v>2</v>
      </c>
      <c r="G333" t="s">
        <v>908</v>
      </c>
      <c r="H333" t="s">
        <v>414</v>
      </c>
      <c r="I333">
        <v>1651866397</v>
      </c>
      <c r="J333">
        <f>(K333)/1000</f>
        <v>0</v>
      </c>
      <c r="K333">
        <f>IF(CZ333, AN333, AH333)</f>
        <v>0</v>
      </c>
      <c r="L333">
        <f>IF(CZ333, AI333, AG333)</f>
        <v>0</v>
      </c>
      <c r="M333">
        <f>DB333 - IF(AU333&gt;1, L333*CV333*100.0/(AW333*DP333), 0)</f>
        <v>0</v>
      </c>
      <c r="N333">
        <f>((T333-J333/2)*M333-L333)/(T333+J333/2)</f>
        <v>0</v>
      </c>
      <c r="O333">
        <f>N333*(DI333+DJ333)/1000.0</f>
        <v>0</v>
      </c>
      <c r="P333">
        <f>(DB333 - IF(AU333&gt;1, L333*CV333*100.0/(AW333*DP333), 0))*(DI333+DJ333)/1000.0</f>
        <v>0</v>
      </c>
      <c r="Q333">
        <f>2.0/((1/S333-1/R333)+SIGN(S333)*SQRT((1/S333-1/R333)*(1/S333-1/R333) + 4*CW333/((CW333+1)*(CW333+1))*(2*1/S333*1/R333-1/R333*1/R333)))</f>
        <v>0</v>
      </c>
      <c r="R333">
        <f>IF(LEFT(CX333,1)&lt;&gt;"0",IF(LEFT(CX333,1)="1",3.0,CY333),$D$5+$E$5*(DP333*DI333/($K$5*1000))+$F$5*(DP333*DI333/($K$5*1000))*MAX(MIN(CV333,$J$5),$I$5)*MAX(MIN(CV333,$J$5),$I$5)+$G$5*MAX(MIN(CV333,$J$5),$I$5)*(DP333*DI333/($K$5*1000))+$H$5*(DP333*DI333/($K$5*1000))*(DP333*DI333/($K$5*1000)))</f>
        <v>0</v>
      </c>
      <c r="S333">
        <f>J333*(1000-(1000*0.61365*exp(17.502*W333/(240.97+W333))/(DI333+DJ333)+DD333)/2)/(1000*0.61365*exp(17.502*W333/(240.97+W333))/(DI333+DJ333)-DD333)</f>
        <v>0</v>
      </c>
      <c r="T333">
        <f>1/((CW333+1)/(Q333/1.6)+1/(R333/1.37)) + CW333/((CW333+1)/(Q333/1.6) + CW333/(R333/1.37))</f>
        <v>0</v>
      </c>
      <c r="U333">
        <f>(CR333*CU333)</f>
        <v>0</v>
      </c>
      <c r="V333">
        <f>(DK333+(U333+2*0.95*5.67E-8*(((DK333+$B$7)+273)^4-(DK333+273)^4)-44100*J333)/(1.84*29.3*R333+8*0.95*5.67E-8*(DK333+273)^3))</f>
        <v>0</v>
      </c>
      <c r="W333">
        <f>($C$7*DL333+$D$7*DM333+$E$7*V333)</f>
        <v>0</v>
      </c>
      <c r="X333">
        <f>0.61365*exp(17.502*W333/(240.97+W333))</f>
        <v>0</v>
      </c>
      <c r="Y333">
        <f>(Z333/AA333*100)</f>
        <v>0</v>
      </c>
      <c r="Z333">
        <f>DD333*(DI333+DJ333)/1000</f>
        <v>0</v>
      </c>
      <c r="AA333">
        <f>0.61365*exp(17.502*DK333/(240.97+DK333))</f>
        <v>0</v>
      </c>
      <c r="AB333">
        <f>(X333-DD333*(DI333+DJ333)/1000)</f>
        <v>0</v>
      </c>
      <c r="AC333">
        <f>(-J333*44100)</f>
        <v>0</v>
      </c>
      <c r="AD333">
        <f>2*29.3*R333*0.92*(DK333-W333)</f>
        <v>0</v>
      </c>
      <c r="AE333">
        <f>2*0.95*5.67E-8*(((DK333+$B$7)+273)^4-(W333+273)^4)</f>
        <v>0</v>
      </c>
      <c r="AF333">
        <f>U333+AE333+AC333+AD333</f>
        <v>0</v>
      </c>
      <c r="AG333">
        <f>DH333*AU333*(DC333-DB333*(1000-AU333*DE333)/(1000-AU333*DD333))/(100*CV333)</f>
        <v>0</v>
      </c>
      <c r="AH333">
        <f>1000*DH333*AU333*(DD333-DE333)/(100*CV333*(1000-AU333*DD333))</f>
        <v>0</v>
      </c>
      <c r="AI333">
        <f>(AJ333 - AK333 - DI333*1E3/(8.314*(DK333+273.15)) * AM333/DH333 * AL333) * DH333/(100*CV333) * (1000 - DE333)/1000</f>
        <v>0</v>
      </c>
      <c r="AJ333">
        <v>472.9043514765771</v>
      </c>
      <c r="AK333">
        <v>426.9645030303029</v>
      </c>
      <c r="AL333">
        <v>3.211362815877016</v>
      </c>
      <c r="AM333">
        <v>66.38195617057868</v>
      </c>
      <c r="AN333">
        <f>(AP333 - AO333 + DI333*1E3/(8.314*(DK333+273.15)) * AR333/DH333 * AQ333) * DH333/(100*CV333) * 1000/(1000 - AP333)</f>
        <v>0</v>
      </c>
      <c r="AO333">
        <v>9.267341012766071</v>
      </c>
      <c r="AP333">
        <v>18.69033529411763</v>
      </c>
      <c r="AQ333">
        <v>0.0002255111497501311</v>
      </c>
      <c r="AR333">
        <v>80.47178418790507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MAX(0,($B$13+$C$13*DP333)/(1+$D$13*DP333)*DI333/(DK333+273)*$E$13)</f>
        <v>0</v>
      </c>
      <c r="AX333" t="s">
        <v>417</v>
      </c>
      <c r="AY333" t="s">
        <v>417</v>
      </c>
      <c r="AZ333">
        <v>0</v>
      </c>
      <c r="BA333">
        <v>0</v>
      </c>
      <c r="BB333">
        <f>1-AZ333/BA333</f>
        <v>0</v>
      </c>
      <c r="BC333">
        <v>0</v>
      </c>
      <c r="BD333" t="s">
        <v>417</v>
      </c>
      <c r="BE333" t="s">
        <v>417</v>
      </c>
      <c r="BF333">
        <v>0</v>
      </c>
      <c r="BG333">
        <v>0</v>
      </c>
      <c r="BH333">
        <f>1-BF333/BG333</f>
        <v>0</v>
      </c>
      <c r="BI333">
        <v>0.5</v>
      </c>
      <c r="BJ333">
        <f>CS333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417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BZ333">
        <v>1249</v>
      </c>
      <c r="CA333">
        <v>300</v>
      </c>
      <c r="CB333">
        <v>300</v>
      </c>
      <c r="CC333">
        <v>300</v>
      </c>
      <c r="CD333">
        <v>10442.4</v>
      </c>
      <c r="CE333">
        <v>1239.69</v>
      </c>
      <c r="CF333">
        <v>-0.00735276</v>
      </c>
      <c r="CG333">
        <v>0.07000000000000001</v>
      </c>
      <c r="CH333" t="s">
        <v>417</v>
      </c>
      <c r="CI333" t="s">
        <v>417</v>
      </c>
      <c r="CJ333" t="s">
        <v>417</v>
      </c>
      <c r="CK333" t="s">
        <v>417</v>
      </c>
      <c r="CL333" t="s">
        <v>417</v>
      </c>
      <c r="CM333" t="s">
        <v>417</v>
      </c>
      <c r="CN333" t="s">
        <v>417</v>
      </c>
      <c r="CO333" t="s">
        <v>417</v>
      </c>
      <c r="CP333" t="s">
        <v>417</v>
      </c>
      <c r="CQ333" t="s">
        <v>417</v>
      </c>
      <c r="CR333">
        <f>$B$11*DQ333+$C$11*DR333+$F$11*EC333*(1-EF333)</f>
        <v>0</v>
      </c>
      <c r="CS333">
        <f>CR333*CT333</f>
        <v>0</v>
      </c>
      <c r="CT333">
        <f>($B$11*$D$9+$C$11*$D$9+$F$11*((EP333+EH333)/MAX(EP333+EH333+EQ333, 0.1)*$I$9+EQ333/MAX(EP333+EH333+EQ333, 0.1)*$J$9))/($B$11+$C$11+$F$11)</f>
        <v>0</v>
      </c>
      <c r="CU333">
        <f>($B$11*$K$9+$C$11*$K$9+$F$11*((EP333+EH333)/MAX(EP333+EH333+EQ333, 0.1)*$P$9+EQ333/MAX(EP333+EH333+EQ333, 0.1)*$Q$9))/($B$11+$C$11+$F$11)</f>
        <v>0</v>
      </c>
      <c r="CV333">
        <v>6</v>
      </c>
      <c r="CW333">
        <v>0.5</v>
      </c>
      <c r="CX333" t="s">
        <v>418</v>
      </c>
      <c r="CY333">
        <v>2</v>
      </c>
      <c r="CZ333" t="b">
        <v>1</v>
      </c>
      <c r="DA333">
        <v>1651866397</v>
      </c>
      <c r="DB333">
        <v>417.3976666666667</v>
      </c>
      <c r="DC333">
        <v>474.4496666666667</v>
      </c>
      <c r="DD333">
        <v>18.68926666666666</v>
      </c>
      <c r="DE333">
        <v>9.266696666666666</v>
      </c>
      <c r="DF333">
        <v>418.356</v>
      </c>
      <c r="DG333">
        <v>18.66383333333333</v>
      </c>
      <c r="DH333">
        <v>500.075</v>
      </c>
      <c r="DI333">
        <v>89.91993333333333</v>
      </c>
      <c r="DJ333">
        <v>0.1003106666666667</v>
      </c>
      <c r="DK333">
        <v>25.9355</v>
      </c>
      <c r="DL333">
        <v>25.0054</v>
      </c>
      <c r="DM333">
        <v>999.9</v>
      </c>
      <c r="DN333">
        <v>0</v>
      </c>
      <c r="DO333">
        <v>0</v>
      </c>
      <c r="DP333">
        <v>9990.613333333335</v>
      </c>
      <c r="DQ333">
        <v>0</v>
      </c>
      <c r="DR333">
        <v>3.23193</v>
      </c>
      <c r="DS333">
        <v>-57.05223333333333</v>
      </c>
      <c r="DT333">
        <v>425.347</v>
      </c>
      <c r="DU333">
        <v>478.8873333333333</v>
      </c>
      <c r="DV333">
        <v>9.422573333333334</v>
      </c>
      <c r="DW333">
        <v>474.4496666666667</v>
      </c>
      <c r="DX333">
        <v>9.266696666666666</v>
      </c>
      <c r="DY333">
        <v>1.680536666666667</v>
      </c>
      <c r="DZ333">
        <v>0.8332606666666665</v>
      </c>
      <c r="EA333">
        <v>14.7178</v>
      </c>
      <c r="EB333">
        <v>4.286903333333334</v>
      </c>
      <c r="EC333">
        <v>1500.013333333333</v>
      </c>
      <c r="ED333">
        <v>0.972998</v>
      </c>
      <c r="EE333">
        <v>0.0270021</v>
      </c>
      <c r="EF333">
        <v>0</v>
      </c>
      <c r="EG333">
        <v>888.5863333333333</v>
      </c>
      <c r="EH333">
        <v>5.00097</v>
      </c>
      <c r="EI333">
        <v>13268.8</v>
      </c>
      <c r="EJ333">
        <v>12491.73333333333</v>
      </c>
      <c r="EK333">
        <v>38.937</v>
      </c>
      <c r="EL333">
        <v>40.29133333333333</v>
      </c>
      <c r="EM333">
        <v>39.312</v>
      </c>
      <c r="EN333">
        <v>40.375</v>
      </c>
      <c r="EO333">
        <v>39.75</v>
      </c>
      <c r="EP333">
        <v>1454.643333333333</v>
      </c>
      <c r="EQ333">
        <v>40.37</v>
      </c>
      <c r="ER333">
        <v>0</v>
      </c>
      <c r="ES333">
        <v>915.2000000476837</v>
      </c>
      <c r="ET333">
        <v>0</v>
      </c>
      <c r="EU333">
        <v>883.4574615384615</v>
      </c>
      <c r="EV333">
        <v>47.98509394169157</v>
      </c>
      <c r="EW333">
        <v>705.9418794166395</v>
      </c>
      <c r="EX333">
        <v>13192.47692307693</v>
      </c>
      <c r="EY333">
        <v>15</v>
      </c>
      <c r="EZ333">
        <v>1651865518.1</v>
      </c>
      <c r="FA333" t="s">
        <v>910</v>
      </c>
      <c r="FB333">
        <v>1651865507.1</v>
      </c>
      <c r="FC333">
        <v>1651865518.1</v>
      </c>
      <c r="FD333">
        <v>8</v>
      </c>
      <c r="FE333">
        <v>0.06</v>
      </c>
      <c r="FF333">
        <v>0</v>
      </c>
      <c r="FG333">
        <v>-0.927</v>
      </c>
      <c r="FH333">
        <v>-0.062</v>
      </c>
      <c r="FI333">
        <v>400</v>
      </c>
      <c r="FJ333">
        <v>11</v>
      </c>
      <c r="FK333">
        <v>0.11</v>
      </c>
      <c r="FL333">
        <v>0.01</v>
      </c>
      <c r="FM333">
        <v>-54.59144146341463</v>
      </c>
      <c r="FN333">
        <v>-14.79094912891979</v>
      </c>
      <c r="FO333">
        <v>1.463701854716423</v>
      </c>
      <c r="FP333">
        <v>-1</v>
      </c>
      <c r="FQ333">
        <v>9.398452195121951</v>
      </c>
      <c r="FR333">
        <v>0.107489477351916</v>
      </c>
      <c r="FS333">
        <v>0.01125763318542302</v>
      </c>
      <c r="FT333">
        <v>-1</v>
      </c>
      <c r="FU333">
        <v>0</v>
      </c>
      <c r="FV333">
        <v>0</v>
      </c>
      <c r="FW333">
        <v>0</v>
      </c>
      <c r="FX333">
        <v>-1</v>
      </c>
      <c r="FY333">
        <v>0</v>
      </c>
      <c r="FZ333">
        <v>0</v>
      </c>
      <c r="GA333" t="s">
        <v>420</v>
      </c>
      <c r="GB333">
        <v>2.98161</v>
      </c>
      <c r="GC333">
        <v>2.70638</v>
      </c>
      <c r="GD333">
        <v>0.0937967</v>
      </c>
      <c r="GE333">
        <v>0.101946</v>
      </c>
      <c r="GF333">
        <v>0.0889506</v>
      </c>
      <c r="GG333">
        <v>0.0522828</v>
      </c>
      <c r="GH333">
        <v>28635.1</v>
      </c>
      <c r="GI333">
        <v>28439.3</v>
      </c>
      <c r="GJ333">
        <v>29376.8</v>
      </c>
      <c r="GK333">
        <v>29292</v>
      </c>
      <c r="GL333">
        <v>35436.5</v>
      </c>
      <c r="GM333">
        <v>36979.9</v>
      </c>
      <c r="GN333">
        <v>41348.6</v>
      </c>
      <c r="GO333">
        <v>41811.3</v>
      </c>
      <c r="GP333">
        <v>1.96707</v>
      </c>
      <c r="GQ333">
        <v>1.85365</v>
      </c>
      <c r="GR333">
        <v>-0.00543892</v>
      </c>
      <c r="GS333">
        <v>0</v>
      </c>
      <c r="GT333">
        <v>25.0931</v>
      </c>
      <c r="GU333">
        <v>999.9</v>
      </c>
      <c r="GV333">
        <v>29.7</v>
      </c>
      <c r="GW333">
        <v>34.2</v>
      </c>
      <c r="GX333">
        <v>17.8442</v>
      </c>
      <c r="GY333">
        <v>62.6076</v>
      </c>
      <c r="GZ333">
        <v>35.1643</v>
      </c>
      <c r="HA333">
        <v>1</v>
      </c>
      <c r="HB333">
        <v>0.0448069</v>
      </c>
      <c r="HC333">
        <v>1.4834</v>
      </c>
      <c r="HD333">
        <v>20.3278</v>
      </c>
      <c r="HE333">
        <v>5.21789</v>
      </c>
      <c r="HF333">
        <v>12.0099</v>
      </c>
      <c r="HG333">
        <v>4.98855</v>
      </c>
      <c r="HH333">
        <v>3.28865</v>
      </c>
      <c r="HI333">
        <v>1032.1</v>
      </c>
      <c r="HJ333">
        <v>9740.200000000001</v>
      </c>
      <c r="HK333">
        <v>5139.4</v>
      </c>
      <c r="HL333">
        <v>25.3</v>
      </c>
      <c r="HM333">
        <v>1.8674</v>
      </c>
      <c r="HN333">
        <v>1.86646</v>
      </c>
      <c r="HO333">
        <v>1.86599</v>
      </c>
      <c r="HP333">
        <v>1.86584</v>
      </c>
      <c r="HQ333">
        <v>1.86768</v>
      </c>
      <c r="HR333">
        <v>1.87022</v>
      </c>
      <c r="HS333">
        <v>1.8689</v>
      </c>
      <c r="HT333">
        <v>1.87017</v>
      </c>
      <c r="HU333">
        <v>0</v>
      </c>
      <c r="HV333">
        <v>0</v>
      </c>
      <c r="HW333">
        <v>0</v>
      </c>
      <c r="HX333">
        <v>0</v>
      </c>
      <c r="HY333" t="s">
        <v>421</v>
      </c>
      <c r="HZ333" t="s">
        <v>422</v>
      </c>
      <c r="IA333" t="s">
        <v>423</v>
      </c>
      <c r="IB333" t="s">
        <v>423</v>
      </c>
      <c r="IC333" t="s">
        <v>423</v>
      </c>
      <c r="ID333" t="s">
        <v>423</v>
      </c>
      <c r="IE333">
        <v>0</v>
      </c>
      <c r="IF333">
        <v>100</v>
      </c>
      <c r="IG333">
        <v>100</v>
      </c>
      <c r="IH333">
        <v>-0.963</v>
      </c>
      <c r="II333">
        <v>0.0254</v>
      </c>
      <c r="IJ333">
        <v>-0.1559367209035702</v>
      </c>
      <c r="IK333">
        <v>-0.002077099775823331</v>
      </c>
      <c r="IL333">
        <v>4.593143279902166E-07</v>
      </c>
      <c r="IM333">
        <v>-1.865383991892071E-10</v>
      </c>
      <c r="IN333">
        <v>-0.0607165066849496</v>
      </c>
      <c r="IO333">
        <v>-0.01129461987421345</v>
      </c>
      <c r="IP333">
        <v>0.00116580895745559</v>
      </c>
      <c r="IQ333">
        <v>-1.679085872906199E-05</v>
      </c>
      <c r="IR333">
        <v>2</v>
      </c>
      <c r="IS333">
        <v>2290</v>
      </c>
      <c r="IT333">
        <v>0</v>
      </c>
      <c r="IU333">
        <v>32</v>
      </c>
      <c r="IV333">
        <v>14.8</v>
      </c>
      <c r="IW333">
        <v>14.7</v>
      </c>
      <c r="IX333">
        <v>1.18042</v>
      </c>
      <c r="IY333">
        <v>2.21436</v>
      </c>
      <c r="IZ333">
        <v>1.39648</v>
      </c>
      <c r="JA333">
        <v>2.35474</v>
      </c>
      <c r="JB333">
        <v>1.49536</v>
      </c>
      <c r="JC333">
        <v>2.31079</v>
      </c>
      <c r="JD333">
        <v>38.0134</v>
      </c>
      <c r="JE333">
        <v>24.035</v>
      </c>
      <c r="JF333">
        <v>18</v>
      </c>
      <c r="JG333">
        <v>512.5839999999999</v>
      </c>
      <c r="JH333">
        <v>425.868</v>
      </c>
      <c r="JI333">
        <v>23.1456</v>
      </c>
      <c r="JJ333">
        <v>27.9037</v>
      </c>
      <c r="JK333">
        <v>30</v>
      </c>
      <c r="JL333">
        <v>27.9245</v>
      </c>
      <c r="JM333">
        <v>27.8697</v>
      </c>
      <c r="JN333">
        <v>23.6822</v>
      </c>
      <c r="JO333">
        <v>45.4933</v>
      </c>
      <c r="JP333">
        <v>0</v>
      </c>
      <c r="JQ333">
        <v>23.1517</v>
      </c>
      <c r="JR333">
        <v>498.9</v>
      </c>
      <c r="JS333">
        <v>9.239330000000001</v>
      </c>
      <c r="JT333">
        <v>100.415</v>
      </c>
      <c r="JU333">
        <v>100.348</v>
      </c>
    </row>
    <row r="334" spans="1:281">
      <c r="A334">
        <v>318</v>
      </c>
      <c r="B334">
        <v>1651866400</v>
      </c>
      <c r="C334">
        <v>2179.400000095367</v>
      </c>
      <c r="D334" t="s">
        <v>1059</v>
      </c>
      <c r="E334" t="s">
        <v>1060</v>
      </c>
      <c r="F334">
        <v>2</v>
      </c>
      <c r="G334" t="s">
        <v>908</v>
      </c>
      <c r="H334" t="s">
        <v>414</v>
      </c>
      <c r="I334">
        <v>1651866398.625</v>
      </c>
      <c r="J334">
        <f>(K334)/1000</f>
        <v>0</v>
      </c>
      <c r="K334">
        <f>IF(CZ334, AN334, AH334)</f>
        <v>0</v>
      </c>
      <c r="L334">
        <f>IF(CZ334, AI334, AG334)</f>
        <v>0</v>
      </c>
      <c r="M334">
        <f>DB334 - IF(AU334&gt;1, L334*CV334*100.0/(AW334*DP334), 0)</f>
        <v>0</v>
      </c>
      <c r="N334">
        <f>((T334-J334/2)*M334-L334)/(T334+J334/2)</f>
        <v>0</v>
      </c>
      <c r="O334">
        <f>N334*(DI334+DJ334)/1000.0</f>
        <v>0</v>
      </c>
      <c r="P334">
        <f>(DB334 - IF(AU334&gt;1, L334*CV334*100.0/(AW334*DP334), 0))*(DI334+DJ334)/1000.0</f>
        <v>0</v>
      </c>
      <c r="Q334">
        <f>2.0/((1/S334-1/R334)+SIGN(S334)*SQRT((1/S334-1/R334)*(1/S334-1/R334) + 4*CW334/((CW334+1)*(CW334+1))*(2*1/S334*1/R334-1/R334*1/R334)))</f>
        <v>0</v>
      </c>
      <c r="R334">
        <f>IF(LEFT(CX334,1)&lt;&gt;"0",IF(LEFT(CX334,1)="1",3.0,CY334),$D$5+$E$5*(DP334*DI334/($K$5*1000))+$F$5*(DP334*DI334/($K$5*1000))*MAX(MIN(CV334,$J$5),$I$5)*MAX(MIN(CV334,$J$5),$I$5)+$G$5*MAX(MIN(CV334,$J$5),$I$5)*(DP334*DI334/($K$5*1000))+$H$5*(DP334*DI334/($K$5*1000))*(DP334*DI334/($K$5*1000)))</f>
        <v>0</v>
      </c>
      <c r="S334">
        <f>J334*(1000-(1000*0.61365*exp(17.502*W334/(240.97+W334))/(DI334+DJ334)+DD334)/2)/(1000*0.61365*exp(17.502*W334/(240.97+W334))/(DI334+DJ334)-DD334)</f>
        <v>0</v>
      </c>
      <c r="T334">
        <f>1/((CW334+1)/(Q334/1.6)+1/(R334/1.37)) + CW334/((CW334+1)/(Q334/1.6) + CW334/(R334/1.37))</f>
        <v>0</v>
      </c>
      <c r="U334">
        <f>(CR334*CU334)</f>
        <v>0</v>
      </c>
      <c r="V334">
        <f>(DK334+(U334+2*0.95*5.67E-8*(((DK334+$B$7)+273)^4-(DK334+273)^4)-44100*J334)/(1.84*29.3*R334+8*0.95*5.67E-8*(DK334+273)^3))</f>
        <v>0</v>
      </c>
      <c r="W334">
        <f>($C$7*DL334+$D$7*DM334+$E$7*V334)</f>
        <v>0</v>
      </c>
      <c r="X334">
        <f>0.61365*exp(17.502*W334/(240.97+W334))</f>
        <v>0</v>
      </c>
      <c r="Y334">
        <f>(Z334/AA334*100)</f>
        <v>0</v>
      </c>
      <c r="Z334">
        <f>DD334*(DI334+DJ334)/1000</f>
        <v>0</v>
      </c>
      <c r="AA334">
        <f>0.61365*exp(17.502*DK334/(240.97+DK334))</f>
        <v>0</v>
      </c>
      <c r="AB334">
        <f>(X334-DD334*(DI334+DJ334)/1000)</f>
        <v>0</v>
      </c>
      <c r="AC334">
        <f>(-J334*44100)</f>
        <v>0</v>
      </c>
      <c r="AD334">
        <f>2*29.3*R334*0.92*(DK334-W334)</f>
        <v>0</v>
      </c>
      <c r="AE334">
        <f>2*0.95*5.67E-8*(((DK334+$B$7)+273)^4-(W334+273)^4)</f>
        <v>0</v>
      </c>
      <c r="AF334">
        <f>U334+AE334+AC334+AD334</f>
        <v>0</v>
      </c>
      <c r="AG334">
        <f>DH334*AU334*(DC334-DB334*(1000-AU334*DE334)/(1000-AU334*DD334))/(100*CV334)</f>
        <v>0</v>
      </c>
      <c r="AH334">
        <f>1000*DH334*AU334*(DD334-DE334)/(100*CV334*(1000-AU334*DD334))</f>
        <v>0</v>
      </c>
      <c r="AI334">
        <f>(AJ334 - AK334 - DI334*1E3/(8.314*(DK334+273.15)) * AM334/DH334 * AL334) * DH334/(100*CV334) * (1000 - DE334)/1000</f>
        <v>0</v>
      </c>
      <c r="AJ334">
        <v>479.6661606281047</v>
      </c>
      <c r="AK334">
        <v>433.3693757575757</v>
      </c>
      <c r="AL334">
        <v>3.210405507411811</v>
      </c>
      <c r="AM334">
        <v>66.38195617057868</v>
      </c>
      <c r="AN334">
        <f>(AP334 - AO334 + DI334*1E3/(8.314*(DK334+273.15)) * AR334/DH334 * AQ334) * DH334/(100*CV334) * 1000/(1000 - AP334)</f>
        <v>0</v>
      </c>
      <c r="AO334">
        <v>9.266607763682527</v>
      </c>
      <c r="AP334">
        <v>18.69445882352941</v>
      </c>
      <c r="AQ334">
        <v>0.0002096989149073471</v>
      </c>
      <c r="AR334">
        <v>80.47178418790507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MAX(0,($B$13+$C$13*DP334)/(1+$D$13*DP334)*DI334/(DK334+273)*$E$13)</f>
        <v>0</v>
      </c>
      <c r="AX334" t="s">
        <v>417</v>
      </c>
      <c r="AY334" t="s">
        <v>417</v>
      </c>
      <c r="AZ334">
        <v>0</v>
      </c>
      <c r="BA334">
        <v>0</v>
      </c>
      <c r="BB334">
        <f>1-AZ334/BA334</f>
        <v>0</v>
      </c>
      <c r="BC334">
        <v>0</v>
      </c>
      <c r="BD334" t="s">
        <v>417</v>
      </c>
      <c r="BE334" t="s">
        <v>417</v>
      </c>
      <c r="BF334">
        <v>0</v>
      </c>
      <c r="BG334">
        <v>0</v>
      </c>
      <c r="BH334">
        <f>1-BF334/BG334</f>
        <v>0</v>
      </c>
      <c r="BI334">
        <v>0.5</v>
      </c>
      <c r="BJ334">
        <f>CS334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417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BZ334">
        <v>1249</v>
      </c>
      <c r="CA334">
        <v>300</v>
      </c>
      <c r="CB334">
        <v>300</v>
      </c>
      <c r="CC334">
        <v>300</v>
      </c>
      <c r="CD334">
        <v>10442.4</v>
      </c>
      <c r="CE334">
        <v>1239.69</v>
      </c>
      <c r="CF334">
        <v>-0.00735276</v>
      </c>
      <c r="CG334">
        <v>0.07000000000000001</v>
      </c>
      <c r="CH334" t="s">
        <v>417</v>
      </c>
      <c r="CI334" t="s">
        <v>417</v>
      </c>
      <c r="CJ334" t="s">
        <v>417</v>
      </c>
      <c r="CK334" t="s">
        <v>417</v>
      </c>
      <c r="CL334" t="s">
        <v>417</v>
      </c>
      <c r="CM334" t="s">
        <v>417</v>
      </c>
      <c r="CN334" t="s">
        <v>417</v>
      </c>
      <c r="CO334" t="s">
        <v>417</v>
      </c>
      <c r="CP334" t="s">
        <v>417</v>
      </c>
      <c r="CQ334" t="s">
        <v>417</v>
      </c>
      <c r="CR334">
        <f>$B$11*DQ334+$C$11*DR334+$F$11*EC334*(1-EF334)</f>
        <v>0</v>
      </c>
      <c r="CS334">
        <f>CR334*CT334</f>
        <v>0</v>
      </c>
      <c r="CT334">
        <f>($B$11*$D$9+$C$11*$D$9+$F$11*((EP334+EH334)/MAX(EP334+EH334+EQ334, 0.1)*$I$9+EQ334/MAX(EP334+EH334+EQ334, 0.1)*$J$9))/($B$11+$C$11+$F$11)</f>
        <v>0</v>
      </c>
      <c r="CU334">
        <f>($B$11*$K$9+$C$11*$K$9+$F$11*((EP334+EH334)/MAX(EP334+EH334+EQ334, 0.1)*$P$9+EQ334/MAX(EP334+EH334+EQ334, 0.1)*$Q$9))/($B$11+$C$11+$F$11)</f>
        <v>0</v>
      </c>
      <c r="CV334">
        <v>6</v>
      </c>
      <c r="CW334">
        <v>0.5</v>
      </c>
      <c r="CX334" t="s">
        <v>418</v>
      </c>
      <c r="CY334">
        <v>2</v>
      </c>
      <c r="CZ334" t="b">
        <v>1</v>
      </c>
      <c r="DA334">
        <v>1651866398.625</v>
      </c>
      <c r="DB334">
        <v>422.5155</v>
      </c>
      <c r="DC334">
        <v>479.88375</v>
      </c>
      <c r="DD334">
        <v>18.6926</v>
      </c>
      <c r="DE334">
        <v>9.265632500000001</v>
      </c>
      <c r="DF334">
        <v>423.4825</v>
      </c>
      <c r="DG334">
        <v>18.667125</v>
      </c>
      <c r="DH334">
        <v>500.08975</v>
      </c>
      <c r="DI334">
        <v>89.91995</v>
      </c>
      <c r="DJ334">
        <v>0.10027275</v>
      </c>
      <c r="DK334">
        <v>25.938725</v>
      </c>
      <c r="DL334">
        <v>25.000675</v>
      </c>
      <c r="DM334">
        <v>999.9</v>
      </c>
      <c r="DN334">
        <v>0</v>
      </c>
      <c r="DO334">
        <v>0</v>
      </c>
      <c r="DP334">
        <v>9980.934999999999</v>
      </c>
      <c r="DQ334">
        <v>0</v>
      </c>
      <c r="DR334">
        <v>3.23193</v>
      </c>
      <c r="DS334">
        <v>-57.3685</v>
      </c>
      <c r="DT334">
        <v>430.5635</v>
      </c>
      <c r="DU334">
        <v>484.3715</v>
      </c>
      <c r="DV334">
        <v>9.426950000000001</v>
      </c>
      <c r="DW334">
        <v>479.88375</v>
      </c>
      <c r="DX334">
        <v>9.265632500000001</v>
      </c>
      <c r="DY334">
        <v>1.6808375</v>
      </c>
      <c r="DZ334">
        <v>0.83316525</v>
      </c>
      <c r="EA334">
        <v>14.72055</v>
      </c>
      <c r="EB334">
        <v>4.285270000000001</v>
      </c>
      <c r="EC334">
        <v>1499.895</v>
      </c>
      <c r="ED334">
        <v>0.97299925</v>
      </c>
      <c r="EE334">
        <v>0.0270009</v>
      </c>
      <c r="EF334">
        <v>0</v>
      </c>
      <c r="EG334">
        <v>889.4872499999999</v>
      </c>
      <c r="EH334">
        <v>5.00097</v>
      </c>
      <c r="EI334">
        <v>13280.175</v>
      </c>
      <c r="EJ334">
        <v>12490.7</v>
      </c>
      <c r="EK334">
        <v>38.937</v>
      </c>
      <c r="EL334">
        <v>40.25</v>
      </c>
      <c r="EM334">
        <v>39.312</v>
      </c>
      <c r="EN334">
        <v>40.35925</v>
      </c>
      <c r="EO334">
        <v>39.75</v>
      </c>
      <c r="EP334">
        <v>1454.53</v>
      </c>
      <c r="EQ334">
        <v>40.365</v>
      </c>
      <c r="ER334">
        <v>0</v>
      </c>
      <c r="ES334">
        <v>917.6000001430511</v>
      </c>
      <c r="ET334">
        <v>0</v>
      </c>
      <c r="EU334">
        <v>885.2941923076924</v>
      </c>
      <c r="EV334">
        <v>44.48639314999004</v>
      </c>
      <c r="EW334">
        <v>646.9162392922555</v>
      </c>
      <c r="EX334">
        <v>13219.5576923077</v>
      </c>
      <c r="EY334">
        <v>15</v>
      </c>
      <c r="EZ334">
        <v>1651865518.1</v>
      </c>
      <c r="FA334" t="s">
        <v>910</v>
      </c>
      <c r="FB334">
        <v>1651865507.1</v>
      </c>
      <c r="FC334">
        <v>1651865518.1</v>
      </c>
      <c r="FD334">
        <v>8</v>
      </c>
      <c r="FE334">
        <v>0.06</v>
      </c>
      <c r="FF334">
        <v>0</v>
      </c>
      <c r="FG334">
        <v>-0.927</v>
      </c>
      <c r="FH334">
        <v>-0.062</v>
      </c>
      <c r="FI334">
        <v>400</v>
      </c>
      <c r="FJ334">
        <v>11</v>
      </c>
      <c r="FK334">
        <v>0.11</v>
      </c>
      <c r="FL334">
        <v>0.01</v>
      </c>
      <c r="FM334">
        <v>-55.3269219512195</v>
      </c>
      <c r="FN334">
        <v>-13.87303066202103</v>
      </c>
      <c r="FO334">
        <v>1.370958069044826</v>
      </c>
      <c r="FP334">
        <v>-1</v>
      </c>
      <c r="FQ334">
        <v>9.404080731707317</v>
      </c>
      <c r="FR334">
        <v>0.1357250174216221</v>
      </c>
      <c r="FS334">
        <v>0.01372209210214415</v>
      </c>
      <c r="FT334">
        <v>-1</v>
      </c>
      <c r="FU334">
        <v>0</v>
      </c>
      <c r="FV334">
        <v>0</v>
      </c>
      <c r="FW334">
        <v>0</v>
      </c>
      <c r="FX334">
        <v>-1</v>
      </c>
      <c r="FY334">
        <v>0</v>
      </c>
      <c r="FZ334">
        <v>0</v>
      </c>
      <c r="GA334" t="s">
        <v>420</v>
      </c>
      <c r="GB334">
        <v>2.9816</v>
      </c>
      <c r="GC334">
        <v>2.70606</v>
      </c>
      <c r="GD334">
        <v>0.09485970000000001</v>
      </c>
      <c r="GE334">
        <v>0.102997</v>
      </c>
      <c r="GF334">
        <v>0.08896179999999999</v>
      </c>
      <c r="GG334">
        <v>0.0522778</v>
      </c>
      <c r="GH334">
        <v>28601.4</v>
      </c>
      <c r="GI334">
        <v>28405.9</v>
      </c>
      <c r="GJ334">
        <v>29376.6</v>
      </c>
      <c r="GK334">
        <v>29291.8</v>
      </c>
      <c r="GL334">
        <v>35435.8</v>
      </c>
      <c r="GM334">
        <v>36980</v>
      </c>
      <c r="GN334">
        <v>41348.3</v>
      </c>
      <c r="GO334">
        <v>41811.3</v>
      </c>
      <c r="GP334">
        <v>1.96723</v>
      </c>
      <c r="GQ334">
        <v>1.8538</v>
      </c>
      <c r="GR334">
        <v>-0.00592321</v>
      </c>
      <c r="GS334">
        <v>0</v>
      </c>
      <c r="GT334">
        <v>25.0931</v>
      </c>
      <c r="GU334">
        <v>999.9</v>
      </c>
      <c r="GV334">
        <v>29.7</v>
      </c>
      <c r="GW334">
        <v>34.2</v>
      </c>
      <c r="GX334">
        <v>17.8453</v>
      </c>
      <c r="GY334">
        <v>62.6776</v>
      </c>
      <c r="GZ334">
        <v>35.2764</v>
      </c>
      <c r="HA334">
        <v>1</v>
      </c>
      <c r="HB334">
        <v>0.0446723</v>
      </c>
      <c r="HC334">
        <v>1.47852</v>
      </c>
      <c r="HD334">
        <v>20.3278</v>
      </c>
      <c r="HE334">
        <v>5.21819</v>
      </c>
      <c r="HF334">
        <v>12.0099</v>
      </c>
      <c r="HG334">
        <v>4.98855</v>
      </c>
      <c r="HH334">
        <v>3.28865</v>
      </c>
      <c r="HI334">
        <v>1032.1</v>
      </c>
      <c r="HJ334">
        <v>9740.200000000001</v>
      </c>
      <c r="HK334">
        <v>5139.4</v>
      </c>
      <c r="HL334">
        <v>25.3</v>
      </c>
      <c r="HM334">
        <v>1.86744</v>
      </c>
      <c r="HN334">
        <v>1.86646</v>
      </c>
      <c r="HO334">
        <v>1.86599</v>
      </c>
      <c r="HP334">
        <v>1.86584</v>
      </c>
      <c r="HQ334">
        <v>1.86768</v>
      </c>
      <c r="HR334">
        <v>1.87021</v>
      </c>
      <c r="HS334">
        <v>1.86889</v>
      </c>
      <c r="HT334">
        <v>1.87015</v>
      </c>
      <c r="HU334">
        <v>0</v>
      </c>
      <c r="HV334">
        <v>0</v>
      </c>
      <c r="HW334">
        <v>0</v>
      </c>
      <c r="HX334">
        <v>0</v>
      </c>
      <c r="HY334" t="s">
        <v>421</v>
      </c>
      <c r="HZ334" t="s">
        <v>422</v>
      </c>
      <c r="IA334" t="s">
        <v>423</v>
      </c>
      <c r="IB334" t="s">
        <v>423</v>
      </c>
      <c r="IC334" t="s">
        <v>423</v>
      </c>
      <c r="ID334" t="s">
        <v>423</v>
      </c>
      <c r="IE334">
        <v>0</v>
      </c>
      <c r="IF334">
        <v>100</v>
      </c>
      <c r="IG334">
        <v>100</v>
      </c>
      <c r="IH334">
        <v>-0.975</v>
      </c>
      <c r="II334">
        <v>0.0255</v>
      </c>
      <c r="IJ334">
        <v>-0.1559367209035702</v>
      </c>
      <c r="IK334">
        <v>-0.002077099775823331</v>
      </c>
      <c r="IL334">
        <v>4.593143279902166E-07</v>
      </c>
      <c r="IM334">
        <v>-1.865383991892071E-10</v>
      </c>
      <c r="IN334">
        <v>-0.0607165066849496</v>
      </c>
      <c r="IO334">
        <v>-0.01129461987421345</v>
      </c>
      <c r="IP334">
        <v>0.00116580895745559</v>
      </c>
      <c r="IQ334">
        <v>-1.679085872906199E-05</v>
      </c>
      <c r="IR334">
        <v>2</v>
      </c>
      <c r="IS334">
        <v>2290</v>
      </c>
      <c r="IT334">
        <v>0</v>
      </c>
      <c r="IU334">
        <v>32</v>
      </c>
      <c r="IV334">
        <v>14.9</v>
      </c>
      <c r="IW334">
        <v>14.7</v>
      </c>
      <c r="IX334">
        <v>1.19385</v>
      </c>
      <c r="IY334">
        <v>2.21069</v>
      </c>
      <c r="IZ334">
        <v>1.39648</v>
      </c>
      <c r="JA334">
        <v>2.35474</v>
      </c>
      <c r="JB334">
        <v>1.49536</v>
      </c>
      <c r="JC334">
        <v>2.30591</v>
      </c>
      <c r="JD334">
        <v>38.0134</v>
      </c>
      <c r="JE334">
        <v>24.035</v>
      </c>
      <c r="JF334">
        <v>18</v>
      </c>
      <c r="JG334">
        <v>512.677</v>
      </c>
      <c r="JH334">
        <v>425.95</v>
      </c>
      <c r="JI334">
        <v>23.1479</v>
      </c>
      <c r="JJ334">
        <v>27.9037</v>
      </c>
      <c r="JK334">
        <v>30</v>
      </c>
      <c r="JL334">
        <v>27.9239</v>
      </c>
      <c r="JM334">
        <v>27.8687</v>
      </c>
      <c r="JN334">
        <v>23.9403</v>
      </c>
      <c r="JO334">
        <v>45.4933</v>
      </c>
      <c r="JP334">
        <v>0</v>
      </c>
      <c r="JQ334">
        <v>23.1498</v>
      </c>
      <c r="JR334">
        <v>505.579</v>
      </c>
      <c r="JS334">
        <v>9.239330000000001</v>
      </c>
      <c r="JT334">
        <v>100.414</v>
      </c>
      <c r="JU334">
        <v>100.347</v>
      </c>
    </row>
    <row r="335" spans="1:281">
      <c r="A335">
        <v>319</v>
      </c>
      <c r="B335">
        <v>1651866402</v>
      </c>
      <c r="C335">
        <v>2181.400000095367</v>
      </c>
      <c r="D335" t="s">
        <v>1061</v>
      </c>
      <c r="E335" t="s">
        <v>1062</v>
      </c>
      <c r="F335">
        <v>2</v>
      </c>
      <c r="G335" t="s">
        <v>908</v>
      </c>
      <c r="H335" t="s">
        <v>414</v>
      </c>
      <c r="I335">
        <v>1651866401</v>
      </c>
      <c r="J335">
        <f>(K335)/1000</f>
        <v>0</v>
      </c>
      <c r="K335">
        <f>IF(CZ335, AN335, AH335)</f>
        <v>0</v>
      </c>
      <c r="L335">
        <f>IF(CZ335, AI335, AG335)</f>
        <v>0</v>
      </c>
      <c r="M335">
        <f>DB335 - IF(AU335&gt;1, L335*CV335*100.0/(AW335*DP335), 0)</f>
        <v>0</v>
      </c>
      <c r="N335">
        <f>((T335-J335/2)*M335-L335)/(T335+J335/2)</f>
        <v>0</v>
      </c>
      <c r="O335">
        <f>N335*(DI335+DJ335)/1000.0</f>
        <v>0</v>
      </c>
      <c r="P335">
        <f>(DB335 - IF(AU335&gt;1, L335*CV335*100.0/(AW335*DP335), 0))*(DI335+DJ335)/1000.0</f>
        <v>0</v>
      </c>
      <c r="Q335">
        <f>2.0/((1/S335-1/R335)+SIGN(S335)*SQRT((1/S335-1/R335)*(1/S335-1/R335) + 4*CW335/((CW335+1)*(CW335+1))*(2*1/S335*1/R335-1/R335*1/R335)))</f>
        <v>0</v>
      </c>
      <c r="R335">
        <f>IF(LEFT(CX335,1)&lt;&gt;"0",IF(LEFT(CX335,1)="1",3.0,CY335),$D$5+$E$5*(DP335*DI335/($K$5*1000))+$F$5*(DP335*DI335/($K$5*1000))*MAX(MIN(CV335,$J$5),$I$5)*MAX(MIN(CV335,$J$5),$I$5)+$G$5*MAX(MIN(CV335,$J$5),$I$5)*(DP335*DI335/($K$5*1000))+$H$5*(DP335*DI335/($K$5*1000))*(DP335*DI335/($K$5*1000)))</f>
        <v>0</v>
      </c>
      <c r="S335">
        <f>J335*(1000-(1000*0.61365*exp(17.502*W335/(240.97+W335))/(DI335+DJ335)+DD335)/2)/(1000*0.61365*exp(17.502*W335/(240.97+W335))/(DI335+DJ335)-DD335)</f>
        <v>0</v>
      </c>
      <c r="T335">
        <f>1/((CW335+1)/(Q335/1.6)+1/(R335/1.37)) + CW335/((CW335+1)/(Q335/1.6) + CW335/(R335/1.37))</f>
        <v>0</v>
      </c>
      <c r="U335">
        <f>(CR335*CU335)</f>
        <v>0</v>
      </c>
      <c r="V335">
        <f>(DK335+(U335+2*0.95*5.67E-8*(((DK335+$B$7)+273)^4-(DK335+273)^4)-44100*J335)/(1.84*29.3*R335+8*0.95*5.67E-8*(DK335+273)^3))</f>
        <v>0</v>
      </c>
      <c r="W335">
        <f>($C$7*DL335+$D$7*DM335+$E$7*V335)</f>
        <v>0</v>
      </c>
      <c r="X335">
        <f>0.61365*exp(17.502*W335/(240.97+W335))</f>
        <v>0</v>
      </c>
      <c r="Y335">
        <f>(Z335/AA335*100)</f>
        <v>0</v>
      </c>
      <c r="Z335">
        <f>DD335*(DI335+DJ335)/1000</f>
        <v>0</v>
      </c>
      <c r="AA335">
        <f>0.61365*exp(17.502*DK335/(240.97+DK335))</f>
        <v>0</v>
      </c>
      <c r="AB335">
        <f>(X335-DD335*(DI335+DJ335)/1000)</f>
        <v>0</v>
      </c>
      <c r="AC335">
        <f>(-J335*44100)</f>
        <v>0</v>
      </c>
      <c r="AD335">
        <f>2*29.3*R335*0.92*(DK335-W335)</f>
        <v>0</v>
      </c>
      <c r="AE335">
        <f>2*0.95*5.67E-8*(((DK335+$B$7)+273)^4-(W335+273)^4)</f>
        <v>0</v>
      </c>
      <c r="AF335">
        <f>U335+AE335+AC335+AD335</f>
        <v>0</v>
      </c>
      <c r="AG335">
        <f>DH335*AU335*(DC335-DB335*(1000-AU335*DE335)/(1000-AU335*DD335))/(100*CV335)</f>
        <v>0</v>
      </c>
      <c r="AH335">
        <f>1000*DH335*AU335*(DD335-DE335)/(100*CV335*(1000-AU335*DD335))</f>
        <v>0</v>
      </c>
      <c r="AI335">
        <f>(AJ335 - AK335 - DI335*1E3/(8.314*(DK335+273.15)) * AM335/DH335 * AL335) * DH335/(100*CV335) * (1000 - DE335)/1000</f>
        <v>0</v>
      </c>
      <c r="AJ335">
        <v>486.4228584415018</v>
      </c>
      <c r="AK335">
        <v>439.8799333333332</v>
      </c>
      <c r="AL335">
        <v>3.238607648290572</v>
      </c>
      <c r="AM335">
        <v>66.38195617057868</v>
      </c>
      <c r="AN335">
        <f>(AP335 - AO335 + DI335*1E3/(8.314*(DK335+273.15)) * AR335/DH335 * AQ335) * DH335/(100*CV335) * 1000/(1000 - AP335)</f>
        <v>0</v>
      </c>
      <c r="AO335">
        <v>9.266352358894052</v>
      </c>
      <c r="AP335">
        <v>18.69589264705883</v>
      </c>
      <c r="AQ335">
        <v>0.000233528085924072</v>
      </c>
      <c r="AR335">
        <v>80.47178418790507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MAX(0,($B$13+$C$13*DP335)/(1+$D$13*DP335)*DI335/(DK335+273)*$E$13)</f>
        <v>0</v>
      </c>
      <c r="AX335" t="s">
        <v>417</v>
      </c>
      <c r="AY335" t="s">
        <v>417</v>
      </c>
      <c r="AZ335">
        <v>0</v>
      </c>
      <c r="BA335">
        <v>0</v>
      </c>
      <c r="BB335">
        <f>1-AZ335/BA335</f>
        <v>0</v>
      </c>
      <c r="BC335">
        <v>0</v>
      </c>
      <c r="BD335" t="s">
        <v>417</v>
      </c>
      <c r="BE335" t="s">
        <v>417</v>
      </c>
      <c r="BF335">
        <v>0</v>
      </c>
      <c r="BG335">
        <v>0</v>
      </c>
      <c r="BH335">
        <f>1-BF335/BG335</f>
        <v>0</v>
      </c>
      <c r="BI335">
        <v>0.5</v>
      </c>
      <c r="BJ335">
        <f>CS335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417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BZ335">
        <v>1249</v>
      </c>
      <c r="CA335">
        <v>300</v>
      </c>
      <c r="CB335">
        <v>300</v>
      </c>
      <c r="CC335">
        <v>300</v>
      </c>
      <c r="CD335">
        <v>10442.4</v>
      </c>
      <c r="CE335">
        <v>1239.69</v>
      </c>
      <c r="CF335">
        <v>-0.00735276</v>
      </c>
      <c r="CG335">
        <v>0.07000000000000001</v>
      </c>
      <c r="CH335" t="s">
        <v>417</v>
      </c>
      <c r="CI335" t="s">
        <v>417</v>
      </c>
      <c r="CJ335" t="s">
        <v>417</v>
      </c>
      <c r="CK335" t="s">
        <v>417</v>
      </c>
      <c r="CL335" t="s">
        <v>417</v>
      </c>
      <c r="CM335" t="s">
        <v>417</v>
      </c>
      <c r="CN335" t="s">
        <v>417</v>
      </c>
      <c r="CO335" t="s">
        <v>417</v>
      </c>
      <c r="CP335" t="s">
        <v>417</v>
      </c>
      <c r="CQ335" t="s">
        <v>417</v>
      </c>
      <c r="CR335">
        <f>$B$11*DQ335+$C$11*DR335+$F$11*EC335*(1-EF335)</f>
        <v>0</v>
      </c>
      <c r="CS335">
        <f>CR335*CT335</f>
        <v>0</v>
      </c>
      <c r="CT335">
        <f>($B$11*$D$9+$C$11*$D$9+$F$11*((EP335+EH335)/MAX(EP335+EH335+EQ335, 0.1)*$I$9+EQ335/MAX(EP335+EH335+EQ335, 0.1)*$J$9))/($B$11+$C$11+$F$11)</f>
        <v>0</v>
      </c>
      <c r="CU335">
        <f>($B$11*$K$9+$C$11*$K$9+$F$11*((EP335+EH335)/MAX(EP335+EH335+EQ335, 0.1)*$P$9+EQ335/MAX(EP335+EH335+EQ335, 0.1)*$Q$9))/($B$11+$C$11+$F$11)</f>
        <v>0</v>
      </c>
      <c r="CV335">
        <v>6</v>
      </c>
      <c r="CW335">
        <v>0.5</v>
      </c>
      <c r="CX335" t="s">
        <v>418</v>
      </c>
      <c r="CY335">
        <v>2</v>
      </c>
      <c r="CZ335" t="b">
        <v>1</v>
      </c>
      <c r="DA335">
        <v>1651866401</v>
      </c>
      <c r="DB335">
        <v>430.0529999999999</v>
      </c>
      <c r="DC335">
        <v>487.8426666666667</v>
      </c>
      <c r="DD335">
        <v>18.69536666666667</v>
      </c>
      <c r="DE335">
        <v>9.263983333333334</v>
      </c>
      <c r="DF335">
        <v>431.034</v>
      </c>
      <c r="DG335">
        <v>18.66986666666667</v>
      </c>
      <c r="DH335">
        <v>499.9883333333334</v>
      </c>
      <c r="DI335">
        <v>89.92099999999999</v>
      </c>
      <c r="DJ335">
        <v>0.0997671</v>
      </c>
      <c r="DK335">
        <v>25.9431</v>
      </c>
      <c r="DL335">
        <v>25.00106666666667</v>
      </c>
      <c r="DM335">
        <v>999.9</v>
      </c>
      <c r="DN335">
        <v>0</v>
      </c>
      <c r="DO335">
        <v>0</v>
      </c>
      <c r="DP335">
        <v>10013.73333333333</v>
      </c>
      <c r="DQ335">
        <v>0</v>
      </c>
      <c r="DR335">
        <v>3.23193</v>
      </c>
      <c r="DS335">
        <v>-57.78953333333333</v>
      </c>
      <c r="DT335">
        <v>438.2463333333333</v>
      </c>
      <c r="DU335">
        <v>492.4043333333333</v>
      </c>
      <c r="DV335">
        <v>9.431386666666667</v>
      </c>
      <c r="DW335">
        <v>487.8426666666667</v>
      </c>
      <c r="DX335">
        <v>9.263983333333334</v>
      </c>
      <c r="DY335">
        <v>1.681106666666667</v>
      </c>
      <c r="DZ335">
        <v>0.8330266666666667</v>
      </c>
      <c r="EA335">
        <v>14.72306666666667</v>
      </c>
      <c r="EB335">
        <v>4.282896666666667</v>
      </c>
      <c r="EC335">
        <v>1499.956666666667</v>
      </c>
      <c r="ED335">
        <v>0.9729896666666665</v>
      </c>
      <c r="EE335">
        <v>0.02701043333333333</v>
      </c>
      <c r="EF335">
        <v>0</v>
      </c>
      <c r="EG335">
        <v>891.1706666666665</v>
      </c>
      <c r="EH335">
        <v>5.00097</v>
      </c>
      <c r="EI335">
        <v>13299.7</v>
      </c>
      <c r="EJ335">
        <v>12491.2</v>
      </c>
      <c r="EK335">
        <v>38.937</v>
      </c>
      <c r="EL335">
        <v>40.25</v>
      </c>
      <c r="EM335">
        <v>39.312</v>
      </c>
      <c r="EN335">
        <v>40.312</v>
      </c>
      <c r="EO335">
        <v>39.75</v>
      </c>
      <c r="EP335">
        <v>1454.576666666667</v>
      </c>
      <c r="EQ335">
        <v>40.38</v>
      </c>
      <c r="ER335">
        <v>0</v>
      </c>
      <c r="ES335">
        <v>919.4000000953674</v>
      </c>
      <c r="ET335">
        <v>0</v>
      </c>
      <c r="EU335">
        <v>886.8530000000001</v>
      </c>
      <c r="EV335">
        <v>41.66353845125563</v>
      </c>
      <c r="EW335">
        <v>595.6076924281249</v>
      </c>
      <c r="EX335">
        <v>13241.684</v>
      </c>
      <c r="EY335">
        <v>15</v>
      </c>
      <c r="EZ335">
        <v>1651865518.1</v>
      </c>
      <c r="FA335" t="s">
        <v>910</v>
      </c>
      <c r="FB335">
        <v>1651865507.1</v>
      </c>
      <c r="FC335">
        <v>1651865518.1</v>
      </c>
      <c r="FD335">
        <v>8</v>
      </c>
      <c r="FE335">
        <v>0.06</v>
      </c>
      <c r="FF335">
        <v>0</v>
      </c>
      <c r="FG335">
        <v>-0.927</v>
      </c>
      <c r="FH335">
        <v>-0.062</v>
      </c>
      <c r="FI335">
        <v>400</v>
      </c>
      <c r="FJ335">
        <v>11</v>
      </c>
      <c r="FK335">
        <v>0.11</v>
      </c>
      <c r="FL335">
        <v>0.01</v>
      </c>
      <c r="FM335">
        <v>-55.73394</v>
      </c>
      <c r="FN335">
        <v>-13.42069418386485</v>
      </c>
      <c r="FO335">
        <v>1.293502188208431</v>
      </c>
      <c r="FP335">
        <v>-1</v>
      </c>
      <c r="FQ335">
        <v>9.407770500000002</v>
      </c>
      <c r="FR335">
        <v>0.1455791369606154</v>
      </c>
      <c r="FS335">
        <v>0.01425390612253349</v>
      </c>
      <c r="FT335">
        <v>-1</v>
      </c>
      <c r="FU335">
        <v>0</v>
      </c>
      <c r="FV335">
        <v>0</v>
      </c>
      <c r="FW335">
        <v>0</v>
      </c>
      <c r="FX335">
        <v>-1</v>
      </c>
      <c r="FY335">
        <v>0</v>
      </c>
      <c r="FZ335">
        <v>0</v>
      </c>
      <c r="GA335" t="s">
        <v>420</v>
      </c>
      <c r="GB335">
        <v>2.98131</v>
      </c>
      <c r="GC335">
        <v>2.70606</v>
      </c>
      <c r="GD335">
        <v>0.09593459999999999</v>
      </c>
      <c r="GE335">
        <v>0.104035</v>
      </c>
      <c r="GF335">
        <v>0.08897090000000001</v>
      </c>
      <c r="GG335">
        <v>0.0522742</v>
      </c>
      <c r="GH335">
        <v>28567.8</v>
      </c>
      <c r="GI335">
        <v>28372.9</v>
      </c>
      <c r="GJ335">
        <v>29377</v>
      </c>
      <c r="GK335">
        <v>29291.7</v>
      </c>
      <c r="GL335">
        <v>35435.8</v>
      </c>
      <c r="GM335">
        <v>36980.2</v>
      </c>
      <c r="GN335">
        <v>41348.7</v>
      </c>
      <c r="GO335">
        <v>41811.3</v>
      </c>
      <c r="GP335">
        <v>1.96693</v>
      </c>
      <c r="GQ335">
        <v>1.8541</v>
      </c>
      <c r="GR335">
        <v>-0.00547618</v>
      </c>
      <c r="GS335">
        <v>0</v>
      </c>
      <c r="GT335">
        <v>25.0931</v>
      </c>
      <c r="GU335">
        <v>999.9</v>
      </c>
      <c r="GV335">
        <v>29.7</v>
      </c>
      <c r="GW335">
        <v>34.2</v>
      </c>
      <c r="GX335">
        <v>17.8463</v>
      </c>
      <c r="GY335">
        <v>61.9076</v>
      </c>
      <c r="GZ335">
        <v>35.597</v>
      </c>
      <c r="HA335">
        <v>1</v>
      </c>
      <c r="HB335">
        <v>0.0447027</v>
      </c>
      <c r="HC335">
        <v>1.48706</v>
      </c>
      <c r="HD335">
        <v>20.3278</v>
      </c>
      <c r="HE335">
        <v>5.21834</v>
      </c>
      <c r="HF335">
        <v>12.0099</v>
      </c>
      <c r="HG335">
        <v>4.9888</v>
      </c>
      <c r="HH335">
        <v>3.28865</v>
      </c>
      <c r="HI335">
        <v>1032.4</v>
      </c>
      <c r="HJ335">
        <v>9741.6</v>
      </c>
      <c r="HK335">
        <v>5139.4</v>
      </c>
      <c r="HL335">
        <v>25.3</v>
      </c>
      <c r="HM335">
        <v>1.86744</v>
      </c>
      <c r="HN335">
        <v>1.86646</v>
      </c>
      <c r="HO335">
        <v>1.86598</v>
      </c>
      <c r="HP335">
        <v>1.86584</v>
      </c>
      <c r="HQ335">
        <v>1.86768</v>
      </c>
      <c r="HR335">
        <v>1.87018</v>
      </c>
      <c r="HS335">
        <v>1.86888</v>
      </c>
      <c r="HT335">
        <v>1.87015</v>
      </c>
      <c r="HU335">
        <v>0</v>
      </c>
      <c r="HV335">
        <v>0</v>
      </c>
      <c r="HW335">
        <v>0</v>
      </c>
      <c r="HX335">
        <v>0</v>
      </c>
      <c r="HY335" t="s">
        <v>421</v>
      </c>
      <c r="HZ335" t="s">
        <v>422</v>
      </c>
      <c r="IA335" t="s">
        <v>423</v>
      </c>
      <c r="IB335" t="s">
        <v>423</v>
      </c>
      <c r="IC335" t="s">
        <v>423</v>
      </c>
      <c r="ID335" t="s">
        <v>423</v>
      </c>
      <c r="IE335">
        <v>0</v>
      </c>
      <c r="IF335">
        <v>100</v>
      </c>
      <c r="IG335">
        <v>100</v>
      </c>
      <c r="IH335">
        <v>-0.987</v>
      </c>
      <c r="II335">
        <v>0.0255</v>
      </c>
      <c r="IJ335">
        <v>-0.1559367209035702</v>
      </c>
      <c r="IK335">
        <v>-0.002077099775823331</v>
      </c>
      <c r="IL335">
        <v>4.593143279902166E-07</v>
      </c>
      <c r="IM335">
        <v>-1.865383991892071E-10</v>
      </c>
      <c r="IN335">
        <v>-0.0607165066849496</v>
      </c>
      <c r="IO335">
        <v>-0.01129461987421345</v>
      </c>
      <c r="IP335">
        <v>0.00116580895745559</v>
      </c>
      <c r="IQ335">
        <v>-1.679085872906199E-05</v>
      </c>
      <c r="IR335">
        <v>2</v>
      </c>
      <c r="IS335">
        <v>2290</v>
      </c>
      <c r="IT335">
        <v>0</v>
      </c>
      <c r="IU335">
        <v>32</v>
      </c>
      <c r="IV335">
        <v>14.9</v>
      </c>
      <c r="IW335">
        <v>14.7</v>
      </c>
      <c r="IX335">
        <v>1.20605</v>
      </c>
      <c r="IY335">
        <v>2.20947</v>
      </c>
      <c r="IZ335">
        <v>1.39648</v>
      </c>
      <c r="JA335">
        <v>2.35474</v>
      </c>
      <c r="JB335">
        <v>1.49536</v>
      </c>
      <c r="JC335">
        <v>2.35352</v>
      </c>
      <c r="JD335">
        <v>38.0134</v>
      </c>
      <c r="JE335">
        <v>24.0437</v>
      </c>
      <c r="JF335">
        <v>18</v>
      </c>
      <c r="JG335">
        <v>512.471</v>
      </c>
      <c r="JH335">
        <v>426.12</v>
      </c>
      <c r="JI335">
        <v>23.1497</v>
      </c>
      <c r="JJ335">
        <v>27.9025</v>
      </c>
      <c r="JK335">
        <v>30.0001</v>
      </c>
      <c r="JL335">
        <v>27.9227</v>
      </c>
      <c r="JM335">
        <v>27.8675</v>
      </c>
      <c r="JN335">
        <v>24.1975</v>
      </c>
      <c r="JO335">
        <v>45.4933</v>
      </c>
      <c r="JP335">
        <v>0</v>
      </c>
      <c r="JQ335">
        <v>23.1498</v>
      </c>
      <c r="JR335">
        <v>512.255</v>
      </c>
      <c r="JS335">
        <v>9.234690000000001</v>
      </c>
      <c r="JT335">
        <v>100.416</v>
      </c>
      <c r="JU335">
        <v>100.347</v>
      </c>
    </row>
    <row r="336" spans="1:281">
      <c r="A336">
        <v>320</v>
      </c>
      <c r="B336">
        <v>1651866404</v>
      </c>
      <c r="C336">
        <v>2183.400000095367</v>
      </c>
      <c r="D336" t="s">
        <v>1063</v>
      </c>
      <c r="E336" t="s">
        <v>1064</v>
      </c>
      <c r="F336">
        <v>2</v>
      </c>
      <c r="G336" t="s">
        <v>908</v>
      </c>
      <c r="H336" t="s">
        <v>414</v>
      </c>
      <c r="I336">
        <v>1651866402.625</v>
      </c>
      <c r="J336">
        <f>(K336)/1000</f>
        <v>0</v>
      </c>
      <c r="K336">
        <f>IF(CZ336, AN336, AH336)</f>
        <v>0</v>
      </c>
      <c r="L336">
        <f>IF(CZ336, AI336, AG336)</f>
        <v>0</v>
      </c>
      <c r="M336">
        <f>DB336 - IF(AU336&gt;1, L336*CV336*100.0/(AW336*DP336), 0)</f>
        <v>0</v>
      </c>
      <c r="N336">
        <f>((T336-J336/2)*M336-L336)/(T336+J336/2)</f>
        <v>0</v>
      </c>
      <c r="O336">
        <f>N336*(DI336+DJ336)/1000.0</f>
        <v>0</v>
      </c>
      <c r="P336">
        <f>(DB336 - IF(AU336&gt;1, L336*CV336*100.0/(AW336*DP336), 0))*(DI336+DJ336)/1000.0</f>
        <v>0</v>
      </c>
      <c r="Q336">
        <f>2.0/((1/S336-1/R336)+SIGN(S336)*SQRT((1/S336-1/R336)*(1/S336-1/R336) + 4*CW336/((CW336+1)*(CW336+1))*(2*1/S336*1/R336-1/R336*1/R336)))</f>
        <v>0</v>
      </c>
      <c r="R336">
        <f>IF(LEFT(CX336,1)&lt;&gt;"0",IF(LEFT(CX336,1)="1",3.0,CY336),$D$5+$E$5*(DP336*DI336/($K$5*1000))+$F$5*(DP336*DI336/($K$5*1000))*MAX(MIN(CV336,$J$5),$I$5)*MAX(MIN(CV336,$J$5),$I$5)+$G$5*MAX(MIN(CV336,$J$5),$I$5)*(DP336*DI336/($K$5*1000))+$H$5*(DP336*DI336/($K$5*1000))*(DP336*DI336/($K$5*1000)))</f>
        <v>0</v>
      </c>
      <c r="S336">
        <f>J336*(1000-(1000*0.61365*exp(17.502*W336/(240.97+W336))/(DI336+DJ336)+DD336)/2)/(1000*0.61365*exp(17.502*W336/(240.97+W336))/(DI336+DJ336)-DD336)</f>
        <v>0</v>
      </c>
      <c r="T336">
        <f>1/((CW336+1)/(Q336/1.6)+1/(R336/1.37)) + CW336/((CW336+1)/(Q336/1.6) + CW336/(R336/1.37))</f>
        <v>0</v>
      </c>
      <c r="U336">
        <f>(CR336*CU336)</f>
        <v>0</v>
      </c>
      <c r="V336">
        <f>(DK336+(U336+2*0.95*5.67E-8*(((DK336+$B$7)+273)^4-(DK336+273)^4)-44100*J336)/(1.84*29.3*R336+8*0.95*5.67E-8*(DK336+273)^3))</f>
        <v>0</v>
      </c>
      <c r="W336">
        <f>($C$7*DL336+$D$7*DM336+$E$7*V336)</f>
        <v>0</v>
      </c>
      <c r="X336">
        <f>0.61365*exp(17.502*W336/(240.97+W336))</f>
        <v>0</v>
      </c>
      <c r="Y336">
        <f>(Z336/AA336*100)</f>
        <v>0</v>
      </c>
      <c r="Z336">
        <f>DD336*(DI336+DJ336)/1000</f>
        <v>0</v>
      </c>
      <c r="AA336">
        <f>0.61365*exp(17.502*DK336/(240.97+DK336))</f>
        <v>0</v>
      </c>
      <c r="AB336">
        <f>(X336-DD336*(DI336+DJ336)/1000)</f>
        <v>0</v>
      </c>
      <c r="AC336">
        <f>(-J336*44100)</f>
        <v>0</v>
      </c>
      <c r="AD336">
        <f>2*29.3*R336*0.92*(DK336-W336)</f>
        <v>0</v>
      </c>
      <c r="AE336">
        <f>2*0.95*5.67E-8*(((DK336+$B$7)+273)^4-(W336+273)^4)</f>
        <v>0</v>
      </c>
      <c r="AF336">
        <f>U336+AE336+AC336+AD336</f>
        <v>0</v>
      </c>
      <c r="AG336">
        <f>DH336*AU336*(DC336-DB336*(1000-AU336*DE336)/(1000-AU336*DD336))/(100*CV336)</f>
        <v>0</v>
      </c>
      <c r="AH336">
        <f>1000*DH336*AU336*(DD336-DE336)/(100*CV336*(1000-AU336*DD336))</f>
        <v>0</v>
      </c>
      <c r="AI336">
        <f>(AJ336 - AK336 - DI336*1E3/(8.314*(DK336+273.15)) * AM336/DH336 * AL336) * DH336/(100*CV336) * (1000 - DE336)/1000</f>
        <v>0</v>
      </c>
      <c r="AJ336">
        <v>493.1689741235523</v>
      </c>
      <c r="AK336">
        <v>446.4053575757574</v>
      </c>
      <c r="AL336">
        <v>3.262661745437649</v>
      </c>
      <c r="AM336">
        <v>66.38195617057868</v>
      </c>
      <c r="AN336">
        <f>(AP336 - AO336 + DI336*1E3/(8.314*(DK336+273.15)) * AR336/DH336 * AQ336) * DH336/(100*CV336) * 1000/(1000 - AP336)</f>
        <v>0</v>
      </c>
      <c r="AO336">
        <v>9.264930969611729</v>
      </c>
      <c r="AP336">
        <v>18.69910411764706</v>
      </c>
      <c r="AQ336">
        <v>0.0001350161647396275</v>
      </c>
      <c r="AR336">
        <v>80.47178418790507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MAX(0,($B$13+$C$13*DP336)/(1+$D$13*DP336)*DI336/(DK336+273)*$E$13)</f>
        <v>0</v>
      </c>
      <c r="AX336" t="s">
        <v>417</v>
      </c>
      <c r="AY336" t="s">
        <v>417</v>
      </c>
      <c r="AZ336">
        <v>0</v>
      </c>
      <c r="BA336">
        <v>0</v>
      </c>
      <c r="BB336">
        <f>1-AZ336/BA336</f>
        <v>0</v>
      </c>
      <c r="BC336">
        <v>0</v>
      </c>
      <c r="BD336" t="s">
        <v>417</v>
      </c>
      <c r="BE336" t="s">
        <v>417</v>
      </c>
      <c r="BF336">
        <v>0</v>
      </c>
      <c r="BG336">
        <v>0</v>
      </c>
      <c r="BH336">
        <f>1-BF336/BG336</f>
        <v>0</v>
      </c>
      <c r="BI336">
        <v>0.5</v>
      </c>
      <c r="BJ336">
        <f>CS336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417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BZ336">
        <v>1249</v>
      </c>
      <c r="CA336">
        <v>300</v>
      </c>
      <c r="CB336">
        <v>300</v>
      </c>
      <c r="CC336">
        <v>300</v>
      </c>
      <c r="CD336">
        <v>10442.4</v>
      </c>
      <c r="CE336">
        <v>1239.69</v>
      </c>
      <c r="CF336">
        <v>-0.00735276</v>
      </c>
      <c r="CG336">
        <v>0.07000000000000001</v>
      </c>
      <c r="CH336" t="s">
        <v>417</v>
      </c>
      <c r="CI336" t="s">
        <v>417</v>
      </c>
      <c r="CJ336" t="s">
        <v>417</v>
      </c>
      <c r="CK336" t="s">
        <v>417</v>
      </c>
      <c r="CL336" t="s">
        <v>417</v>
      </c>
      <c r="CM336" t="s">
        <v>417</v>
      </c>
      <c r="CN336" t="s">
        <v>417</v>
      </c>
      <c r="CO336" t="s">
        <v>417</v>
      </c>
      <c r="CP336" t="s">
        <v>417</v>
      </c>
      <c r="CQ336" t="s">
        <v>417</v>
      </c>
      <c r="CR336">
        <f>$B$11*DQ336+$C$11*DR336+$F$11*EC336*(1-EF336)</f>
        <v>0</v>
      </c>
      <c r="CS336">
        <f>CR336*CT336</f>
        <v>0</v>
      </c>
      <c r="CT336">
        <f>($B$11*$D$9+$C$11*$D$9+$F$11*((EP336+EH336)/MAX(EP336+EH336+EQ336, 0.1)*$I$9+EQ336/MAX(EP336+EH336+EQ336, 0.1)*$J$9))/($B$11+$C$11+$F$11)</f>
        <v>0</v>
      </c>
      <c r="CU336">
        <f>($B$11*$K$9+$C$11*$K$9+$F$11*((EP336+EH336)/MAX(EP336+EH336+EQ336, 0.1)*$P$9+EQ336/MAX(EP336+EH336+EQ336, 0.1)*$Q$9))/($B$11+$C$11+$F$11)</f>
        <v>0</v>
      </c>
      <c r="CV336">
        <v>6</v>
      </c>
      <c r="CW336">
        <v>0.5</v>
      </c>
      <c r="CX336" t="s">
        <v>418</v>
      </c>
      <c r="CY336">
        <v>2</v>
      </c>
      <c r="CZ336" t="b">
        <v>1</v>
      </c>
      <c r="DA336">
        <v>1651866402.625</v>
      </c>
      <c r="DB336">
        <v>435.25375</v>
      </c>
      <c r="DC336">
        <v>493.3167500000001</v>
      </c>
      <c r="DD336">
        <v>18.69795</v>
      </c>
      <c r="DE336">
        <v>9.2639125</v>
      </c>
      <c r="DF336">
        <v>436.244</v>
      </c>
      <c r="DG336">
        <v>18.67245</v>
      </c>
      <c r="DH336">
        <v>499.9705</v>
      </c>
      <c r="DI336">
        <v>89.92115</v>
      </c>
      <c r="DJ336">
        <v>0.09965775</v>
      </c>
      <c r="DK336">
        <v>25.94305</v>
      </c>
      <c r="DL336">
        <v>25.00205</v>
      </c>
      <c r="DM336">
        <v>999.9</v>
      </c>
      <c r="DN336">
        <v>0</v>
      </c>
      <c r="DO336">
        <v>0</v>
      </c>
      <c r="DP336">
        <v>10033.1</v>
      </c>
      <c r="DQ336">
        <v>0</v>
      </c>
      <c r="DR336">
        <v>3.23193</v>
      </c>
      <c r="DS336">
        <v>-58.062575</v>
      </c>
      <c r="DT336">
        <v>443.54725</v>
      </c>
      <c r="DU336">
        <v>497.92925</v>
      </c>
      <c r="DV336">
        <v>9.434075</v>
      </c>
      <c r="DW336">
        <v>493.3167500000001</v>
      </c>
      <c r="DX336">
        <v>9.2639125</v>
      </c>
      <c r="DY336">
        <v>1.681345</v>
      </c>
      <c r="DZ336">
        <v>0.83302175</v>
      </c>
      <c r="EA336">
        <v>14.72525</v>
      </c>
      <c r="EB336">
        <v>4.282815</v>
      </c>
      <c r="EC336">
        <v>1499.9475</v>
      </c>
      <c r="ED336">
        <v>0.9729892499999999</v>
      </c>
      <c r="EE336">
        <v>0.027010875</v>
      </c>
      <c r="EF336">
        <v>0</v>
      </c>
      <c r="EG336">
        <v>891.7594999999999</v>
      </c>
      <c r="EH336">
        <v>5.00097</v>
      </c>
      <c r="EI336">
        <v>13310.9</v>
      </c>
      <c r="EJ336">
        <v>12491.125</v>
      </c>
      <c r="EK336">
        <v>38.937</v>
      </c>
      <c r="EL336">
        <v>40.20274999999999</v>
      </c>
      <c r="EM336">
        <v>39.29649999999999</v>
      </c>
      <c r="EN336">
        <v>40.2655</v>
      </c>
      <c r="EO336">
        <v>39.73425</v>
      </c>
      <c r="EP336">
        <v>1454.5675</v>
      </c>
      <c r="EQ336">
        <v>40.38</v>
      </c>
      <c r="ER336">
        <v>0</v>
      </c>
      <c r="ES336">
        <v>921.7999999523163</v>
      </c>
      <c r="ET336">
        <v>0</v>
      </c>
      <c r="EU336">
        <v>888.41236</v>
      </c>
      <c r="EV336">
        <v>38.13430774456397</v>
      </c>
      <c r="EW336">
        <v>536.7615394229979</v>
      </c>
      <c r="EX336">
        <v>13264.304</v>
      </c>
      <c r="EY336">
        <v>15</v>
      </c>
      <c r="EZ336">
        <v>1651865518.1</v>
      </c>
      <c r="FA336" t="s">
        <v>910</v>
      </c>
      <c r="FB336">
        <v>1651865507.1</v>
      </c>
      <c r="FC336">
        <v>1651865518.1</v>
      </c>
      <c r="FD336">
        <v>8</v>
      </c>
      <c r="FE336">
        <v>0.06</v>
      </c>
      <c r="FF336">
        <v>0</v>
      </c>
      <c r="FG336">
        <v>-0.927</v>
      </c>
      <c r="FH336">
        <v>-0.062</v>
      </c>
      <c r="FI336">
        <v>400</v>
      </c>
      <c r="FJ336">
        <v>11</v>
      </c>
      <c r="FK336">
        <v>0.11</v>
      </c>
      <c r="FL336">
        <v>0.01</v>
      </c>
      <c r="FM336">
        <v>-56.00464146341464</v>
      </c>
      <c r="FN336">
        <v>-13.04879372822308</v>
      </c>
      <c r="FO336">
        <v>1.28946074680429</v>
      </c>
      <c r="FP336">
        <v>-1</v>
      </c>
      <c r="FQ336">
        <v>9.410465609756098</v>
      </c>
      <c r="FR336">
        <v>0.149729477351934</v>
      </c>
      <c r="FS336">
        <v>0.01493458207320732</v>
      </c>
      <c r="FT336">
        <v>-1</v>
      </c>
      <c r="FU336">
        <v>0</v>
      </c>
      <c r="FV336">
        <v>0</v>
      </c>
      <c r="FW336">
        <v>0</v>
      </c>
      <c r="FX336">
        <v>-1</v>
      </c>
      <c r="FY336">
        <v>0</v>
      </c>
      <c r="FZ336">
        <v>0</v>
      </c>
      <c r="GA336" t="s">
        <v>420</v>
      </c>
      <c r="GB336">
        <v>2.98131</v>
      </c>
      <c r="GC336">
        <v>2.70634</v>
      </c>
      <c r="GD336">
        <v>0.09699969999999999</v>
      </c>
      <c r="GE336">
        <v>0.105088</v>
      </c>
      <c r="GF336">
        <v>0.0889817</v>
      </c>
      <c r="GG336">
        <v>0.0522725</v>
      </c>
      <c r="GH336">
        <v>28534.6</v>
      </c>
      <c r="GI336">
        <v>28339.6</v>
      </c>
      <c r="GJ336">
        <v>29377.5</v>
      </c>
      <c r="GK336">
        <v>29291.8</v>
      </c>
      <c r="GL336">
        <v>35436</v>
      </c>
      <c r="GM336">
        <v>36980.5</v>
      </c>
      <c r="GN336">
        <v>41349.3</v>
      </c>
      <c r="GO336">
        <v>41811.5</v>
      </c>
      <c r="GP336">
        <v>1.9669</v>
      </c>
      <c r="GQ336">
        <v>1.85395</v>
      </c>
      <c r="GR336">
        <v>-0.00558794</v>
      </c>
      <c r="GS336">
        <v>0</v>
      </c>
      <c r="GT336">
        <v>25.0931</v>
      </c>
      <c r="GU336">
        <v>999.9</v>
      </c>
      <c r="GV336">
        <v>29.7</v>
      </c>
      <c r="GW336">
        <v>34.2</v>
      </c>
      <c r="GX336">
        <v>17.8457</v>
      </c>
      <c r="GY336">
        <v>62.5476</v>
      </c>
      <c r="GZ336">
        <v>35.3726</v>
      </c>
      <c r="HA336">
        <v>1</v>
      </c>
      <c r="HB336">
        <v>0.0446824</v>
      </c>
      <c r="HC336">
        <v>1.49246</v>
      </c>
      <c r="HD336">
        <v>20.3278</v>
      </c>
      <c r="HE336">
        <v>5.21804</v>
      </c>
      <c r="HF336">
        <v>12.0099</v>
      </c>
      <c r="HG336">
        <v>4.9887</v>
      </c>
      <c r="HH336">
        <v>3.28865</v>
      </c>
      <c r="HI336">
        <v>1032.4</v>
      </c>
      <c r="HJ336">
        <v>9741.6</v>
      </c>
      <c r="HK336">
        <v>5139.4</v>
      </c>
      <c r="HL336">
        <v>25.3</v>
      </c>
      <c r="HM336">
        <v>1.86743</v>
      </c>
      <c r="HN336">
        <v>1.86646</v>
      </c>
      <c r="HO336">
        <v>1.86598</v>
      </c>
      <c r="HP336">
        <v>1.86584</v>
      </c>
      <c r="HQ336">
        <v>1.86768</v>
      </c>
      <c r="HR336">
        <v>1.8702</v>
      </c>
      <c r="HS336">
        <v>1.86888</v>
      </c>
      <c r="HT336">
        <v>1.87017</v>
      </c>
      <c r="HU336">
        <v>0</v>
      </c>
      <c r="HV336">
        <v>0</v>
      </c>
      <c r="HW336">
        <v>0</v>
      </c>
      <c r="HX336">
        <v>0</v>
      </c>
      <c r="HY336" t="s">
        <v>421</v>
      </c>
      <c r="HZ336" t="s">
        <v>422</v>
      </c>
      <c r="IA336" t="s">
        <v>423</v>
      </c>
      <c r="IB336" t="s">
        <v>423</v>
      </c>
      <c r="IC336" t="s">
        <v>423</v>
      </c>
      <c r="ID336" t="s">
        <v>423</v>
      </c>
      <c r="IE336">
        <v>0</v>
      </c>
      <c r="IF336">
        <v>100</v>
      </c>
      <c r="IG336">
        <v>100</v>
      </c>
      <c r="IH336">
        <v>-0.998</v>
      </c>
      <c r="II336">
        <v>0.0256</v>
      </c>
      <c r="IJ336">
        <v>-0.1559367209035702</v>
      </c>
      <c r="IK336">
        <v>-0.002077099775823331</v>
      </c>
      <c r="IL336">
        <v>4.593143279902166E-07</v>
      </c>
      <c r="IM336">
        <v>-1.865383991892071E-10</v>
      </c>
      <c r="IN336">
        <v>-0.0607165066849496</v>
      </c>
      <c r="IO336">
        <v>-0.01129461987421345</v>
      </c>
      <c r="IP336">
        <v>0.00116580895745559</v>
      </c>
      <c r="IQ336">
        <v>-1.679085872906199E-05</v>
      </c>
      <c r="IR336">
        <v>2</v>
      </c>
      <c r="IS336">
        <v>2290</v>
      </c>
      <c r="IT336">
        <v>0</v>
      </c>
      <c r="IU336">
        <v>32</v>
      </c>
      <c r="IV336">
        <v>14.9</v>
      </c>
      <c r="IW336">
        <v>14.8</v>
      </c>
      <c r="IX336">
        <v>1.21948</v>
      </c>
      <c r="IY336">
        <v>2.20947</v>
      </c>
      <c r="IZ336">
        <v>1.39648</v>
      </c>
      <c r="JA336">
        <v>2.35596</v>
      </c>
      <c r="JB336">
        <v>1.49536</v>
      </c>
      <c r="JC336">
        <v>2.34253</v>
      </c>
      <c r="JD336">
        <v>38.0134</v>
      </c>
      <c r="JE336">
        <v>24.035</v>
      </c>
      <c r="JF336">
        <v>18</v>
      </c>
      <c r="JG336">
        <v>512.449</v>
      </c>
      <c r="JH336">
        <v>426.026</v>
      </c>
      <c r="JI336">
        <v>23.15</v>
      </c>
      <c r="JJ336">
        <v>27.9013</v>
      </c>
      <c r="JK336">
        <v>30</v>
      </c>
      <c r="JL336">
        <v>27.9221</v>
      </c>
      <c r="JM336">
        <v>27.8669</v>
      </c>
      <c r="JN336">
        <v>24.4504</v>
      </c>
      <c r="JO336">
        <v>45.4933</v>
      </c>
      <c r="JP336">
        <v>0</v>
      </c>
      <c r="JQ336">
        <v>23.1498</v>
      </c>
      <c r="JR336">
        <v>518.934</v>
      </c>
      <c r="JS336">
        <v>9.23414</v>
      </c>
      <c r="JT336">
        <v>100.417</v>
      </c>
      <c r="JU336">
        <v>100.348</v>
      </c>
    </row>
    <row r="337" spans="1:281">
      <c r="A337">
        <v>321</v>
      </c>
      <c r="B337">
        <v>1651866406</v>
      </c>
      <c r="C337">
        <v>2185.400000095367</v>
      </c>
      <c r="D337" t="s">
        <v>1065</v>
      </c>
      <c r="E337" t="s">
        <v>1066</v>
      </c>
      <c r="F337">
        <v>2</v>
      </c>
      <c r="G337" t="s">
        <v>908</v>
      </c>
      <c r="H337" t="s">
        <v>414</v>
      </c>
      <c r="I337">
        <v>1651866405</v>
      </c>
      <c r="J337">
        <f>(K337)/1000</f>
        <v>0</v>
      </c>
      <c r="K337">
        <f>IF(CZ337, AN337, AH337)</f>
        <v>0</v>
      </c>
      <c r="L337">
        <f>IF(CZ337, AI337, AG337)</f>
        <v>0</v>
      </c>
      <c r="M337">
        <f>DB337 - IF(AU337&gt;1, L337*CV337*100.0/(AW337*DP337), 0)</f>
        <v>0</v>
      </c>
      <c r="N337">
        <f>((T337-J337/2)*M337-L337)/(T337+J337/2)</f>
        <v>0</v>
      </c>
      <c r="O337">
        <f>N337*(DI337+DJ337)/1000.0</f>
        <v>0</v>
      </c>
      <c r="P337">
        <f>(DB337 - IF(AU337&gt;1, L337*CV337*100.0/(AW337*DP337), 0))*(DI337+DJ337)/1000.0</f>
        <v>0</v>
      </c>
      <c r="Q337">
        <f>2.0/((1/S337-1/R337)+SIGN(S337)*SQRT((1/S337-1/R337)*(1/S337-1/R337) + 4*CW337/((CW337+1)*(CW337+1))*(2*1/S337*1/R337-1/R337*1/R337)))</f>
        <v>0</v>
      </c>
      <c r="R337">
        <f>IF(LEFT(CX337,1)&lt;&gt;"0",IF(LEFT(CX337,1)="1",3.0,CY337),$D$5+$E$5*(DP337*DI337/($K$5*1000))+$F$5*(DP337*DI337/($K$5*1000))*MAX(MIN(CV337,$J$5),$I$5)*MAX(MIN(CV337,$J$5),$I$5)+$G$5*MAX(MIN(CV337,$J$5),$I$5)*(DP337*DI337/($K$5*1000))+$H$5*(DP337*DI337/($K$5*1000))*(DP337*DI337/($K$5*1000)))</f>
        <v>0</v>
      </c>
      <c r="S337">
        <f>J337*(1000-(1000*0.61365*exp(17.502*W337/(240.97+W337))/(DI337+DJ337)+DD337)/2)/(1000*0.61365*exp(17.502*W337/(240.97+W337))/(DI337+DJ337)-DD337)</f>
        <v>0</v>
      </c>
      <c r="T337">
        <f>1/((CW337+1)/(Q337/1.6)+1/(R337/1.37)) + CW337/((CW337+1)/(Q337/1.6) + CW337/(R337/1.37))</f>
        <v>0</v>
      </c>
      <c r="U337">
        <f>(CR337*CU337)</f>
        <v>0</v>
      </c>
      <c r="V337">
        <f>(DK337+(U337+2*0.95*5.67E-8*(((DK337+$B$7)+273)^4-(DK337+273)^4)-44100*J337)/(1.84*29.3*R337+8*0.95*5.67E-8*(DK337+273)^3))</f>
        <v>0</v>
      </c>
      <c r="W337">
        <f>($C$7*DL337+$D$7*DM337+$E$7*V337)</f>
        <v>0</v>
      </c>
      <c r="X337">
        <f>0.61365*exp(17.502*W337/(240.97+W337))</f>
        <v>0</v>
      </c>
      <c r="Y337">
        <f>(Z337/AA337*100)</f>
        <v>0</v>
      </c>
      <c r="Z337">
        <f>DD337*(DI337+DJ337)/1000</f>
        <v>0</v>
      </c>
      <c r="AA337">
        <f>0.61365*exp(17.502*DK337/(240.97+DK337))</f>
        <v>0</v>
      </c>
      <c r="AB337">
        <f>(X337-DD337*(DI337+DJ337)/1000)</f>
        <v>0</v>
      </c>
      <c r="AC337">
        <f>(-J337*44100)</f>
        <v>0</v>
      </c>
      <c r="AD337">
        <f>2*29.3*R337*0.92*(DK337-W337)</f>
        <v>0</v>
      </c>
      <c r="AE337">
        <f>2*0.95*5.67E-8*(((DK337+$B$7)+273)^4-(W337+273)^4)</f>
        <v>0</v>
      </c>
      <c r="AF337">
        <f>U337+AE337+AC337+AD337</f>
        <v>0</v>
      </c>
      <c r="AG337">
        <f>DH337*AU337*(DC337-DB337*(1000-AU337*DE337)/(1000-AU337*DD337))/(100*CV337)</f>
        <v>0</v>
      </c>
      <c r="AH337">
        <f>1000*DH337*AU337*(DD337-DE337)/(100*CV337*(1000-AU337*DD337))</f>
        <v>0</v>
      </c>
      <c r="AI337">
        <f>(AJ337 - AK337 - DI337*1E3/(8.314*(DK337+273.15)) * AM337/DH337 * AL337) * DH337/(100*CV337) * (1000 - DE337)/1000</f>
        <v>0</v>
      </c>
      <c r="AJ337">
        <v>499.9966684280472</v>
      </c>
      <c r="AK337">
        <v>452.9144787878786</v>
      </c>
      <c r="AL337">
        <v>3.257695627312825</v>
      </c>
      <c r="AM337">
        <v>66.38195617057868</v>
      </c>
      <c r="AN337">
        <f>(AP337 - AO337 + DI337*1E3/(8.314*(DK337+273.15)) * AR337/DH337 * AQ337) * DH337/(100*CV337) * 1000/(1000 - AP337)</f>
        <v>0</v>
      </c>
      <c r="AO337">
        <v>9.264031625875013</v>
      </c>
      <c r="AP337">
        <v>18.70524558823529</v>
      </c>
      <c r="AQ337">
        <v>4.452839826674381E-05</v>
      </c>
      <c r="AR337">
        <v>80.47178418790507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MAX(0,($B$13+$C$13*DP337)/(1+$D$13*DP337)*DI337/(DK337+273)*$E$13)</f>
        <v>0</v>
      </c>
      <c r="AX337" t="s">
        <v>417</v>
      </c>
      <c r="AY337" t="s">
        <v>417</v>
      </c>
      <c r="AZ337">
        <v>0</v>
      </c>
      <c r="BA337">
        <v>0</v>
      </c>
      <c r="BB337">
        <f>1-AZ337/BA337</f>
        <v>0</v>
      </c>
      <c r="BC337">
        <v>0</v>
      </c>
      <c r="BD337" t="s">
        <v>417</v>
      </c>
      <c r="BE337" t="s">
        <v>417</v>
      </c>
      <c r="BF337">
        <v>0</v>
      </c>
      <c r="BG337">
        <v>0</v>
      </c>
      <c r="BH337">
        <f>1-BF337/BG337</f>
        <v>0</v>
      </c>
      <c r="BI337">
        <v>0.5</v>
      </c>
      <c r="BJ337">
        <f>CS337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417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BZ337">
        <v>1249</v>
      </c>
      <c r="CA337">
        <v>300</v>
      </c>
      <c r="CB337">
        <v>300</v>
      </c>
      <c r="CC337">
        <v>300</v>
      </c>
      <c r="CD337">
        <v>10442.4</v>
      </c>
      <c r="CE337">
        <v>1239.69</v>
      </c>
      <c r="CF337">
        <v>-0.00735276</v>
      </c>
      <c r="CG337">
        <v>0.07000000000000001</v>
      </c>
      <c r="CH337" t="s">
        <v>417</v>
      </c>
      <c r="CI337" t="s">
        <v>417</v>
      </c>
      <c r="CJ337" t="s">
        <v>417</v>
      </c>
      <c r="CK337" t="s">
        <v>417</v>
      </c>
      <c r="CL337" t="s">
        <v>417</v>
      </c>
      <c r="CM337" t="s">
        <v>417</v>
      </c>
      <c r="CN337" t="s">
        <v>417</v>
      </c>
      <c r="CO337" t="s">
        <v>417</v>
      </c>
      <c r="CP337" t="s">
        <v>417</v>
      </c>
      <c r="CQ337" t="s">
        <v>417</v>
      </c>
      <c r="CR337">
        <f>$B$11*DQ337+$C$11*DR337+$F$11*EC337*(1-EF337)</f>
        <v>0</v>
      </c>
      <c r="CS337">
        <f>CR337*CT337</f>
        <v>0</v>
      </c>
      <c r="CT337">
        <f>($B$11*$D$9+$C$11*$D$9+$F$11*((EP337+EH337)/MAX(EP337+EH337+EQ337, 0.1)*$I$9+EQ337/MAX(EP337+EH337+EQ337, 0.1)*$J$9))/($B$11+$C$11+$F$11)</f>
        <v>0</v>
      </c>
      <c r="CU337">
        <f>($B$11*$K$9+$C$11*$K$9+$F$11*((EP337+EH337)/MAX(EP337+EH337+EQ337, 0.1)*$P$9+EQ337/MAX(EP337+EH337+EQ337, 0.1)*$Q$9))/($B$11+$C$11+$F$11)</f>
        <v>0</v>
      </c>
      <c r="CV337">
        <v>6</v>
      </c>
      <c r="CW337">
        <v>0.5</v>
      </c>
      <c r="CX337" t="s">
        <v>418</v>
      </c>
      <c r="CY337">
        <v>2</v>
      </c>
      <c r="CZ337" t="b">
        <v>1</v>
      </c>
      <c r="DA337">
        <v>1651866405</v>
      </c>
      <c r="DB337">
        <v>442.847</v>
      </c>
      <c r="DC337">
        <v>501.3573333333334</v>
      </c>
      <c r="DD337">
        <v>18.704</v>
      </c>
      <c r="DE337">
        <v>9.26308</v>
      </c>
      <c r="DF337">
        <v>443.8509999999999</v>
      </c>
      <c r="DG337">
        <v>18.6784</v>
      </c>
      <c r="DH337">
        <v>500.0723333333333</v>
      </c>
      <c r="DI337">
        <v>89.92066666666666</v>
      </c>
      <c r="DJ337">
        <v>0.1001306666666667</v>
      </c>
      <c r="DK337">
        <v>25.94193333333333</v>
      </c>
      <c r="DL337">
        <v>24.9989</v>
      </c>
      <c r="DM337">
        <v>999.9</v>
      </c>
      <c r="DN337">
        <v>0</v>
      </c>
      <c r="DO337">
        <v>0</v>
      </c>
      <c r="DP337">
        <v>10009.8</v>
      </c>
      <c r="DQ337">
        <v>0</v>
      </c>
      <c r="DR337">
        <v>3.230526666666667</v>
      </c>
      <c r="DS337">
        <v>-58.5103</v>
      </c>
      <c r="DT337">
        <v>451.288</v>
      </c>
      <c r="DU337">
        <v>506.045</v>
      </c>
      <c r="DV337">
        <v>9.440950000000001</v>
      </c>
      <c r="DW337">
        <v>501.3573333333334</v>
      </c>
      <c r="DX337">
        <v>9.26308</v>
      </c>
      <c r="DY337">
        <v>1.68188</v>
      </c>
      <c r="DZ337">
        <v>0.8329423333333333</v>
      </c>
      <c r="EA337">
        <v>14.73016666666667</v>
      </c>
      <c r="EB337">
        <v>4.281453333333333</v>
      </c>
      <c r="EC337">
        <v>1500.076666666667</v>
      </c>
      <c r="ED337">
        <v>0.9729979999999999</v>
      </c>
      <c r="EE337">
        <v>0.02700193333333334</v>
      </c>
      <c r="EF337">
        <v>0</v>
      </c>
      <c r="EG337">
        <v>892.832</v>
      </c>
      <c r="EH337">
        <v>5.00097</v>
      </c>
      <c r="EI337">
        <v>13328.6</v>
      </c>
      <c r="EJ337">
        <v>12492.2</v>
      </c>
      <c r="EK337">
        <v>38.875</v>
      </c>
      <c r="EL337">
        <v>40.187</v>
      </c>
      <c r="EM337">
        <v>39.25</v>
      </c>
      <c r="EN337">
        <v>40.229</v>
      </c>
      <c r="EO337">
        <v>39.687</v>
      </c>
      <c r="EP337">
        <v>1454.706666666667</v>
      </c>
      <c r="EQ337">
        <v>40.37</v>
      </c>
      <c r="ER337">
        <v>0</v>
      </c>
      <c r="ES337">
        <v>923.6000001430511</v>
      </c>
      <c r="ET337">
        <v>0</v>
      </c>
      <c r="EU337">
        <v>889.3168461538461</v>
      </c>
      <c r="EV337">
        <v>35.41217092898485</v>
      </c>
      <c r="EW337">
        <v>506.2256410437287</v>
      </c>
      <c r="EX337">
        <v>13277.18846153846</v>
      </c>
      <c r="EY337">
        <v>15</v>
      </c>
      <c r="EZ337">
        <v>1651865518.1</v>
      </c>
      <c r="FA337" t="s">
        <v>910</v>
      </c>
      <c r="FB337">
        <v>1651865507.1</v>
      </c>
      <c r="FC337">
        <v>1651865518.1</v>
      </c>
      <c r="FD337">
        <v>8</v>
      </c>
      <c r="FE337">
        <v>0.06</v>
      </c>
      <c r="FF337">
        <v>0</v>
      </c>
      <c r="FG337">
        <v>-0.927</v>
      </c>
      <c r="FH337">
        <v>-0.062</v>
      </c>
      <c r="FI337">
        <v>400</v>
      </c>
      <c r="FJ337">
        <v>11</v>
      </c>
      <c r="FK337">
        <v>0.11</v>
      </c>
      <c r="FL337">
        <v>0.01</v>
      </c>
      <c r="FM337">
        <v>-56.58922</v>
      </c>
      <c r="FN337">
        <v>-12.47582589118193</v>
      </c>
      <c r="FO337">
        <v>1.203074992924381</v>
      </c>
      <c r="FP337">
        <v>-1</v>
      </c>
      <c r="FQ337">
        <v>9.4166585</v>
      </c>
      <c r="FR337">
        <v>0.1574530581613195</v>
      </c>
      <c r="FS337">
        <v>0.01522204298870545</v>
      </c>
      <c r="FT337">
        <v>-1</v>
      </c>
      <c r="FU337">
        <v>0</v>
      </c>
      <c r="FV337">
        <v>0</v>
      </c>
      <c r="FW337">
        <v>0</v>
      </c>
      <c r="FX337">
        <v>-1</v>
      </c>
      <c r="FY337">
        <v>0</v>
      </c>
      <c r="FZ337">
        <v>0</v>
      </c>
      <c r="GA337" t="s">
        <v>420</v>
      </c>
      <c r="GB337">
        <v>2.98168</v>
      </c>
      <c r="GC337">
        <v>2.70631</v>
      </c>
      <c r="GD337">
        <v>0.0980602</v>
      </c>
      <c r="GE337">
        <v>0.106131</v>
      </c>
      <c r="GF337">
        <v>0.0889967</v>
      </c>
      <c r="GG337">
        <v>0.0522718</v>
      </c>
      <c r="GH337">
        <v>28500.8</v>
      </c>
      <c r="GI337">
        <v>28306.6</v>
      </c>
      <c r="GJ337">
        <v>29377.2</v>
      </c>
      <c r="GK337">
        <v>29291.8</v>
      </c>
      <c r="GL337">
        <v>35435.1</v>
      </c>
      <c r="GM337">
        <v>36980.6</v>
      </c>
      <c r="GN337">
        <v>41348.9</v>
      </c>
      <c r="GO337">
        <v>41811.6</v>
      </c>
      <c r="GP337">
        <v>1.9671</v>
      </c>
      <c r="GQ337">
        <v>1.85365</v>
      </c>
      <c r="GR337">
        <v>-0.00581145</v>
      </c>
      <c r="GS337">
        <v>0</v>
      </c>
      <c r="GT337">
        <v>25.0931</v>
      </c>
      <c r="GU337">
        <v>999.9</v>
      </c>
      <c r="GV337">
        <v>29.7</v>
      </c>
      <c r="GW337">
        <v>34.2</v>
      </c>
      <c r="GX337">
        <v>17.8444</v>
      </c>
      <c r="GY337">
        <v>62.3176</v>
      </c>
      <c r="GZ337">
        <v>35.1442</v>
      </c>
      <c r="HA337">
        <v>1</v>
      </c>
      <c r="HB337">
        <v>0.0446519</v>
      </c>
      <c r="HC337">
        <v>1.49367</v>
      </c>
      <c r="HD337">
        <v>20.3278</v>
      </c>
      <c r="HE337">
        <v>5.21789</v>
      </c>
      <c r="HF337">
        <v>12.0099</v>
      </c>
      <c r="HG337">
        <v>4.98875</v>
      </c>
      <c r="HH337">
        <v>3.28865</v>
      </c>
      <c r="HI337">
        <v>1032.4</v>
      </c>
      <c r="HJ337">
        <v>9741.6</v>
      </c>
      <c r="HK337">
        <v>5139.4</v>
      </c>
      <c r="HL337">
        <v>25.3</v>
      </c>
      <c r="HM337">
        <v>1.86742</v>
      </c>
      <c r="HN337">
        <v>1.86646</v>
      </c>
      <c r="HO337">
        <v>1.866</v>
      </c>
      <c r="HP337">
        <v>1.86584</v>
      </c>
      <c r="HQ337">
        <v>1.86768</v>
      </c>
      <c r="HR337">
        <v>1.87021</v>
      </c>
      <c r="HS337">
        <v>1.8689</v>
      </c>
      <c r="HT337">
        <v>1.87015</v>
      </c>
      <c r="HU337">
        <v>0</v>
      </c>
      <c r="HV337">
        <v>0</v>
      </c>
      <c r="HW337">
        <v>0</v>
      </c>
      <c r="HX337">
        <v>0</v>
      </c>
      <c r="HY337" t="s">
        <v>421</v>
      </c>
      <c r="HZ337" t="s">
        <v>422</v>
      </c>
      <c r="IA337" t="s">
        <v>423</v>
      </c>
      <c r="IB337" t="s">
        <v>423</v>
      </c>
      <c r="IC337" t="s">
        <v>423</v>
      </c>
      <c r="ID337" t="s">
        <v>423</v>
      </c>
      <c r="IE337">
        <v>0</v>
      </c>
      <c r="IF337">
        <v>100</v>
      </c>
      <c r="IG337">
        <v>100</v>
      </c>
      <c r="IH337">
        <v>-1.009</v>
      </c>
      <c r="II337">
        <v>0.0257</v>
      </c>
      <c r="IJ337">
        <v>-0.1559367209035702</v>
      </c>
      <c r="IK337">
        <v>-0.002077099775823331</v>
      </c>
      <c r="IL337">
        <v>4.593143279902166E-07</v>
      </c>
      <c r="IM337">
        <v>-1.865383991892071E-10</v>
      </c>
      <c r="IN337">
        <v>-0.0607165066849496</v>
      </c>
      <c r="IO337">
        <v>-0.01129461987421345</v>
      </c>
      <c r="IP337">
        <v>0.00116580895745559</v>
      </c>
      <c r="IQ337">
        <v>-1.679085872906199E-05</v>
      </c>
      <c r="IR337">
        <v>2</v>
      </c>
      <c r="IS337">
        <v>2290</v>
      </c>
      <c r="IT337">
        <v>0</v>
      </c>
      <c r="IU337">
        <v>32</v>
      </c>
      <c r="IV337">
        <v>15</v>
      </c>
      <c r="IW337">
        <v>14.8</v>
      </c>
      <c r="IX337">
        <v>1.23169</v>
      </c>
      <c r="IY337">
        <v>2.21191</v>
      </c>
      <c r="IZ337">
        <v>1.39648</v>
      </c>
      <c r="JA337">
        <v>2.35596</v>
      </c>
      <c r="JB337">
        <v>1.49536</v>
      </c>
      <c r="JC337">
        <v>2.28882</v>
      </c>
      <c r="JD337">
        <v>38.0134</v>
      </c>
      <c r="JE337">
        <v>24.035</v>
      </c>
      <c r="JF337">
        <v>18</v>
      </c>
      <c r="JG337">
        <v>512.575</v>
      </c>
      <c r="JH337">
        <v>425.84</v>
      </c>
      <c r="JI337">
        <v>23.1499</v>
      </c>
      <c r="JJ337">
        <v>27.9013</v>
      </c>
      <c r="JK337">
        <v>30</v>
      </c>
      <c r="JL337">
        <v>27.9215</v>
      </c>
      <c r="JM337">
        <v>27.8658</v>
      </c>
      <c r="JN337">
        <v>24.7035</v>
      </c>
      <c r="JO337">
        <v>45.4933</v>
      </c>
      <c r="JP337">
        <v>0</v>
      </c>
      <c r="JQ337">
        <v>23.1486</v>
      </c>
      <c r="JR337">
        <v>525.6130000000001</v>
      </c>
      <c r="JS337">
        <v>9.237299999999999</v>
      </c>
      <c r="JT337">
        <v>100.416</v>
      </c>
      <c r="JU337">
        <v>100.348</v>
      </c>
    </row>
    <row r="338" spans="1:281">
      <c r="A338">
        <v>322</v>
      </c>
      <c r="B338">
        <v>1651866408</v>
      </c>
      <c r="C338">
        <v>2187.400000095367</v>
      </c>
      <c r="D338" t="s">
        <v>1067</v>
      </c>
      <c r="E338" t="s">
        <v>1068</v>
      </c>
      <c r="F338">
        <v>2</v>
      </c>
      <c r="G338" t="s">
        <v>908</v>
      </c>
      <c r="H338" t="s">
        <v>414</v>
      </c>
      <c r="I338">
        <v>1651866406.625</v>
      </c>
      <c r="J338">
        <f>(K338)/1000</f>
        <v>0</v>
      </c>
      <c r="K338">
        <f>IF(CZ338, AN338, AH338)</f>
        <v>0</v>
      </c>
      <c r="L338">
        <f>IF(CZ338, AI338, AG338)</f>
        <v>0</v>
      </c>
      <c r="M338">
        <f>DB338 - IF(AU338&gt;1, L338*CV338*100.0/(AW338*DP338), 0)</f>
        <v>0</v>
      </c>
      <c r="N338">
        <f>((T338-J338/2)*M338-L338)/(T338+J338/2)</f>
        <v>0</v>
      </c>
      <c r="O338">
        <f>N338*(DI338+DJ338)/1000.0</f>
        <v>0</v>
      </c>
      <c r="P338">
        <f>(DB338 - IF(AU338&gt;1, L338*CV338*100.0/(AW338*DP338), 0))*(DI338+DJ338)/1000.0</f>
        <v>0</v>
      </c>
      <c r="Q338">
        <f>2.0/((1/S338-1/R338)+SIGN(S338)*SQRT((1/S338-1/R338)*(1/S338-1/R338) + 4*CW338/((CW338+1)*(CW338+1))*(2*1/S338*1/R338-1/R338*1/R338)))</f>
        <v>0</v>
      </c>
      <c r="R338">
        <f>IF(LEFT(CX338,1)&lt;&gt;"0",IF(LEFT(CX338,1)="1",3.0,CY338),$D$5+$E$5*(DP338*DI338/($K$5*1000))+$F$5*(DP338*DI338/($K$5*1000))*MAX(MIN(CV338,$J$5),$I$5)*MAX(MIN(CV338,$J$5),$I$5)+$G$5*MAX(MIN(CV338,$J$5),$I$5)*(DP338*DI338/($K$5*1000))+$H$5*(DP338*DI338/($K$5*1000))*(DP338*DI338/($K$5*1000)))</f>
        <v>0</v>
      </c>
      <c r="S338">
        <f>J338*(1000-(1000*0.61365*exp(17.502*W338/(240.97+W338))/(DI338+DJ338)+DD338)/2)/(1000*0.61365*exp(17.502*W338/(240.97+W338))/(DI338+DJ338)-DD338)</f>
        <v>0</v>
      </c>
      <c r="T338">
        <f>1/((CW338+1)/(Q338/1.6)+1/(R338/1.37)) + CW338/((CW338+1)/(Q338/1.6) + CW338/(R338/1.37))</f>
        <v>0</v>
      </c>
      <c r="U338">
        <f>(CR338*CU338)</f>
        <v>0</v>
      </c>
      <c r="V338">
        <f>(DK338+(U338+2*0.95*5.67E-8*(((DK338+$B$7)+273)^4-(DK338+273)^4)-44100*J338)/(1.84*29.3*R338+8*0.95*5.67E-8*(DK338+273)^3))</f>
        <v>0</v>
      </c>
      <c r="W338">
        <f>($C$7*DL338+$D$7*DM338+$E$7*V338)</f>
        <v>0</v>
      </c>
      <c r="X338">
        <f>0.61365*exp(17.502*W338/(240.97+W338))</f>
        <v>0</v>
      </c>
      <c r="Y338">
        <f>(Z338/AA338*100)</f>
        <v>0</v>
      </c>
      <c r="Z338">
        <f>DD338*(DI338+DJ338)/1000</f>
        <v>0</v>
      </c>
      <c r="AA338">
        <f>0.61365*exp(17.502*DK338/(240.97+DK338))</f>
        <v>0</v>
      </c>
      <c r="AB338">
        <f>(X338-DD338*(DI338+DJ338)/1000)</f>
        <v>0</v>
      </c>
      <c r="AC338">
        <f>(-J338*44100)</f>
        <v>0</v>
      </c>
      <c r="AD338">
        <f>2*29.3*R338*0.92*(DK338-W338)</f>
        <v>0</v>
      </c>
      <c r="AE338">
        <f>2*0.95*5.67E-8*(((DK338+$B$7)+273)^4-(W338+273)^4)</f>
        <v>0</v>
      </c>
      <c r="AF338">
        <f>U338+AE338+AC338+AD338</f>
        <v>0</v>
      </c>
      <c r="AG338">
        <f>DH338*AU338*(DC338-DB338*(1000-AU338*DE338)/(1000-AU338*DD338))/(100*CV338)</f>
        <v>0</v>
      </c>
      <c r="AH338">
        <f>1000*DH338*AU338*(DD338-DE338)/(100*CV338*(1000-AU338*DD338))</f>
        <v>0</v>
      </c>
      <c r="AI338">
        <f>(AJ338 - AK338 - DI338*1E3/(8.314*(DK338+273.15)) * AM338/DH338 * AL338) * DH338/(100*CV338) * (1000 - DE338)/1000</f>
        <v>0</v>
      </c>
      <c r="AJ338">
        <v>506.8333321110329</v>
      </c>
      <c r="AK338">
        <v>459.5226969696967</v>
      </c>
      <c r="AL338">
        <v>3.284447958722051</v>
      </c>
      <c r="AM338">
        <v>66.38195617057868</v>
      </c>
      <c r="AN338">
        <f>(AP338 - AO338 + DI338*1E3/(8.314*(DK338+273.15)) * AR338/DH338 * AQ338) * DH338/(100*CV338) * 1000/(1000 - AP338)</f>
        <v>0</v>
      </c>
      <c r="AO338">
        <v>9.263686406245888</v>
      </c>
      <c r="AP338">
        <v>18.70774705882353</v>
      </c>
      <c r="AQ338">
        <v>0.0001298608976312367</v>
      </c>
      <c r="AR338">
        <v>80.47178418790507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MAX(0,($B$13+$C$13*DP338)/(1+$D$13*DP338)*DI338/(DK338+273)*$E$13)</f>
        <v>0</v>
      </c>
      <c r="AX338" t="s">
        <v>417</v>
      </c>
      <c r="AY338" t="s">
        <v>417</v>
      </c>
      <c r="AZ338">
        <v>0</v>
      </c>
      <c r="BA338">
        <v>0</v>
      </c>
      <c r="BB338">
        <f>1-AZ338/BA338</f>
        <v>0</v>
      </c>
      <c r="BC338">
        <v>0</v>
      </c>
      <c r="BD338" t="s">
        <v>417</v>
      </c>
      <c r="BE338" t="s">
        <v>417</v>
      </c>
      <c r="BF338">
        <v>0</v>
      </c>
      <c r="BG338">
        <v>0</v>
      </c>
      <c r="BH338">
        <f>1-BF338/BG338</f>
        <v>0</v>
      </c>
      <c r="BI338">
        <v>0.5</v>
      </c>
      <c r="BJ338">
        <f>CS338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417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BZ338">
        <v>1249</v>
      </c>
      <c r="CA338">
        <v>300</v>
      </c>
      <c r="CB338">
        <v>300</v>
      </c>
      <c r="CC338">
        <v>300</v>
      </c>
      <c r="CD338">
        <v>10442.4</v>
      </c>
      <c r="CE338">
        <v>1239.69</v>
      </c>
      <c r="CF338">
        <v>-0.00735276</v>
      </c>
      <c r="CG338">
        <v>0.07000000000000001</v>
      </c>
      <c r="CH338" t="s">
        <v>417</v>
      </c>
      <c r="CI338" t="s">
        <v>417</v>
      </c>
      <c r="CJ338" t="s">
        <v>417</v>
      </c>
      <c r="CK338" t="s">
        <v>417</v>
      </c>
      <c r="CL338" t="s">
        <v>417</v>
      </c>
      <c r="CM338" t="s">
        <v>417</v>
      </c>
      <c r="CN338" t="s">
        <v>417</v>
      </c>
      <c r="CO338" t="s">
        <v>417</v>
      </c>
      <c r="CP338" t="s">
        <v>417</v>
      </c>
      <c r="CQ338" t="s">
        <v>417</v>
      </c>
      <c r="CR338">
        <f>$B$11*DQ338+$C$11*DR338+$F$11*EC338*(1-EF338)</f>
        <v>0</v>
      </c>
      <c r="CS338">
        <f>CR338*CT338</f>
        <v>0</v>
      </c>
      <c r="CT338">
        <f>($B$11*$D$9+$C$11*$D$9+$F$11*((EP338+EH338)/MAX(EP338+EH338+EQ338, 0.1)*$I$9+EQ338/MAX(EP338+EH338+EQ338, 0.1)*$J$9))/($B$11+$C$11+$F$11)</f>
        <v>0</v>
      </c>
      <c r="CU338">
        <f>($B$11*$K$9+$C$11*$K$9+$F$11*((EP338+EH338)/MAX(EP338+EH338+EQ338, 0.1)*$P$9+EQ338/MAX(EP338+EH338+EQ338, 0.1)*$Q$9))/($B$11+$C$11+$F$11)</f>
        <v>0</v>
      </c>
      <c r="CV338">
        <v>6</v>
      </c>
      <c r="CW338">
        <v>0.5</v>
      </c>
      <c r="CX338" t="s">
        <v>418</v>
      </c>
      <c r="CY338">
        <v>2</v>
      </c>
      <c r="CZ338" t="b">
        <v>1</v>
      </c>
      <c r="DA338">
        <v>1651866406.625</v>
      </c>
      <c r="DB338">
        <v>448.0905</v>
      </c>
      <c r="DC338">
        <v>506.826</v>
      </c>
      <c r="DD338">
        <v>18.7062</v>
      </c>
      <c r="DE338">
        <v>9.263005</v>
      </c>
      <c r="DF338">
        <v>449.1035</v>
      </c>
      <c r="DG338">
        <v>18.680525</v>
      </c>
      <c r="DH338">
        <v>500.119</v>
      </c>
      <c r="DI338">
        <v>89.92105000000001</v>
      </c>
      <c r="DJ338">
        <v>0.10026</v>
      </c>
      <c r="DK338">
        <v>25.942125</v>
      </c>
      <c r="DL338">
        <v>24.99975</v>
      </c>
      <c r="DM338">
        <v>999.9</v>
      </c>
      <c r="DN338">
        <v>0</v>
      </c>
      <c r="DO338">
        <v>0</v>
      </c>
      <c r="DP338">
        <v>9985.467500000001</v>
      </c>
      <c r="DQ338">
        <v>0</v>
      </c>
      <c r="DR338">
        <v>3.22034</v>
      </c>
      <c r="DS338">
        <v>-58.7355</v>
      </c>
      <c r="DT338">
        <v>456.6325000000001</v>
      </c>
      <c r="DU338">
        <v>511.5645</v>
      </c>
      <c r="DV338">
        <v>9.4432075</v>
      </c>
      <c r="DW338">
        <v>506.826</v>
      </c>
      <c r="DX338">
        <v>9.263005</v>
      </c>
      <c r="DY338">
        <v>1.68208</v>
      </c>
      <c r="DZ338">
        <v>0.832939</v>
      </c>
      <c r="EA338">
        <v>14.73205</v>
      </c>
      <c r="EB338">
        <v>4.2814</v>
      </c>
      <c r="EC338">
        <v>1500.03</v>
      </c>
      <c r="ED338">
        <v>0.9730005</v>
      </c>
      <c r="EE338">
        <v>0.0269997</v>
      </c>
      <c r="EF338">
        <v>0</v>
      </c>
      <c r="EG338">
        <v>893.5115000000001</v>
      </c>
      <c r="EH338">
        <v>5.00097</v>
      </c>
      <c r="EI338">
        <v>13338.15</v>
      </c>
      <c r="EJ338">
        <v>12491.825</v>
      </c>
      <c r="EK338">
        <v>38.875</v>
      </c>
      <c r="EL338">
        <v>40.17149999999999</v>
      </c>
      <c r="EM338">
        <v>39.25</v>
      </c>
      <c r="EN338">
        <v>40.187</v>
      </c>
      <c r="EO338">
        <v>39.687</v>
      </c>
      <c r="EP338">
        <v>1454.665</v>
      </c>
      <c r="EQ338">
        <v>40.365</v>
      </c>
      <c r="ER338">
        <v>0</v>
      </c>
      <c r="ES338">
        <v>925.4000000953674</v>
      </c>
      <c r="ET338">
        <v>0</v>
      </c>
      <c r="EU338">
        <v>890.54364</v>
      </c>
      <c r="EV338">
        <v>32.32723077618213</v>
      </c>
      <c r="EW338">
        <v>462.207692442815</v>
      </c>
      <c r="EX338">
        <v>13294.468</v>
      </c>
      <c r="EY338">
        <v>15</v>
      </c>
      <c r="EZ338">
        <v>1651865518.1</v>
      </c>
      <c r="FA338" t="s">
        <v>910</v>
      </c>
      <c r="FB338">
        <v>1651865507.1</v>
      </c>
      <c r="FC338">
        <v>1651865518.1</v>
      </c>
      <c r="FD338">
        <v>8</v>
      </c>
      <c r="FE338">
        <v>0.06</v>
      </c>
      <c r="FF338">
        <v>0</v>
      </c>
      <c r="FG338">
        <v>-0.927</v>
      </c>
      <c r="FH338">
        <v>-0.062</v>
      </c>
      <c r="FI338">
        <v>400</v>
      </c>
      <c r="FJ338">
        <v>11</v>
      </c>
      <c r="FK338">
        <v>0.11</v>
      </c>
      <c r="FL338">
        <v>0.01</v>
      </c>
      <c r="FM338">
        <v>-56.83819756097562</v>
      </c>
      <c r="FN338">
        <v>-12.26473588850172</v>
      </c>
      <c r="FO338">
        <v>1.212788288782789</v>
      </c>
      <c r="FP338">
        <v>-1</v>
      </c>
      <c r="FQ338">
        <v>9.41980756097561</v>
      </c>
      <c r="FR338">
        <v>0.152572473867589</v>
      </c>
      <c r="FS338">
        <v>0.0151272952752249</v>
      </c>
      <c r="FT338">
        <v>-1</v>
      </c>
      <c r="FU338">
        <v>0</v>
      </c>
      <c r="FV338">
        <v>0</v>
      </c>
      <c r="FW338">
        <v>0</v>
      </c>
      <c r="FX338">
        <v>-1</v>
      </c>
      <c r="FY338">
        <v>0</v>
      </c>
      <c r="FZ338">
        <v>0</v>
      </c>
      <c r="GA338" t="s">
        <v>420</v>
      </c>
      <c r="GB338">
        <v>2.98154</v>
      </c>
      <c r="GC338">
        <v>2.7062</v>
      </c>
      <c r="GD338">
        <v>0.0991187</v>
      </c>
      <c r="GE338">
        <v>0.107151</v>
      </c>
      <c r="GF338">
        <v>0.0890121</v>
      </c>
      <c r="GG338">
        <v>0.0522705</v>
      </c>
      <c r="GH338">
        <v>28467</v>
      </c>
      <c r="GI338">
        <v>28274.3</v>
      </c>
      <c r="GJ338">
        <v>29376.9</v>
      </c>
      <c r="GK338">
        <v>29291.8</v>
      </c>
      <c r="GL338">
        <v>35434.2</v>
      </c>
      <c r="GM338">
        <v>36980.6</v>
      </c>
      <c r="GN338">
        <v>41348.6</v>
      </c>
      <c r="GO338">
        <v>41811.5</v>
      </c>
      <c r="GP338">
        <v>1.96728</v>
      </c>
      <c r="GQ338">
        <v>1.85405</v>
      </c>
      <c r="GR338">
        <v>-0.00573695</v>
      </c>
      <c r="GS338">
        <v>0</v>
      </c>
      <c r="GT338">
        <v>25.0931</v>
      </c>
      <c r="GU338">
        <v>999.9</v>
      </c>
      <c r="GV338">
        <v>29.7</v>
      </c>
      <c r="GW338">
        <v>34.2</v>
      </c>
      <c r="GX338">
        <v>17.846</v>
      </c>
      <c r="GY338">
        <v>62.3576</v>
      </c>
      <c r="GZ338">
        <v>35.3686</v>
      </c>
      <c r="HA338">
        <v>1</v>
      </c>
      <c r="HB338">
        <v>0.044596</v>
      </c>
      <c r="HC338">
        <v>1.4962</v>
      </c>
      <c r="HD338">
        <v>20.328</v>
      </c>
      <c r="HE338">
        <v>5.21804</v>
      </c>
      <c r="HF338">
        <v>12.0099</v>
      </c>
      <c r="HG338">
        <v>4.98885</v>
      </c>
      <c r="HH338">
        <v>3.28865</v>
      </c>
      <c r="HI338">
        <v>1032.4</v>
      </c>
      <c r="HJ338">
        <v>9741.6</v>
      </c>
      <c r="HK338">
        <v>5139.4</v>
      </c>
      <c r="HL338">
        <v>25.3</v>
      </c>
      <c r="HM338">
        <v>1.8674</v>
      </c>
      <c r="HN338">
        <v>1.86646</v>
      </c>
      <c r="HO338">
        <v>1.86599</v>
      </c>
      <c r="HP338">
        <v>1.86584</v>
      </c>
      <c r="HQ338">
        <v>1.86768</v>
      </c>
      <c r="HR338">
        <v>1.87018</v>
      </c>
      <c r="HS338">
        <v>1.86888</v>
      </c>
      <c r="HT338">
        <v>1.87015</v>
      </c>
      <c r="HU338">
        <v>0</v>
      </c>
      <c r="HV338">
        <v>0</v>
      </c>
      <c r="HW338">
        <v>0</v>
      </c>
      <c r="HX338">
        <v>0</v>
      </c>
      <c r="HY338" t="s">
        <v>421</v>
      </c>
      <c r="HZ338" t="s">
        <v>422</v>
      </c>
      <c r="IA338" t="s">
        <v>423</v>
      </c>
      <c r="IB338" t="s">
        <v>423</v>
      </c>
      <c r="IC338" t="s">
        <v>423</v>
      </c>
      <c r="ID338" t="s">
        <v>423</v>
      </c>
      <c r="IE338">
        <v>0</v>
      </c>
      <c r="IF338">
        <v>100</v>
      </c>
      <c r="IG338">
        <v>100</v>
      </c>
      <c r="IH338">
        <v>-1.021</v>
      </c>
      <c r="II338">
        <v>0.0257</v>
      </c>
      <c r="IJ338">
        <v>-0.1559367209035702</v>
      </c>
      <c r="IK338">
        <v>-0.002077099775823331</v>
      </c>
      <c r="IL338">
        <v>4.593143279902166E-07</v>
      </c>
      <c r="IM338">
        <v>-1.865383991892071E-10</v>
      </c>
      <c r="IN338">
        <v>-0.0607165066849496</v>
      </c>
      <c r="IO338">
        <v>-0.01129461987421345</v>
      </c>
      <c r="IP338">
        <v>0.00116580895745559</v>
      </c>
      <c r="IQ338">
        <v>-1.679085872906199E-05</v>
      </c>
      <c r="IR338">
        <v>2</v>
      </c>
      <c r="IS338">
        <v>2290</v>
      </c>
      <c r="IT338">
        <v>0</v>
      </c>
      <c r="IU338">
        <v>32</v>
      </c>
      <c r="IV338">
        <v>15</v>
      </c>
      <c r="IW338">
        <v>14.8</v>
      </c>
      <c r="IX338">
        <v>1.2439</v>
      </c>
      <c r="IY338">
        <v>2.21191</v>
      </c>
      <c r="IZ338">
        <v>1.39648</v>
      </c>
      <c r="JA338">
        <v>2.35596</v>
      </c>
      <c r="JB338">
        <v>1.49536</v>
      </c>
      <c r="JC338">
        <v>2.32422</v>
      </c>
      <c r="JD338">
        <v>38.0134</v>
      </c>
      <c r="JE338">
        <v>24.035</v>
      </c>
      <c r="JF338">
        <v>18</v>
      </c>
      <c r="JG338">
        <v>512.679</v>
      </c>
      <c r="JH338">
        <v>426.072</v>
      </c>
      <c r="JI338">
        <v>23.1496</v>
      </c>
      <c r="JJ338">
        <v>27.9001</v>
      </c>
      <c r="JK338">
        <v>30</v>
      </c>
      <c r="JL338">
        <v>27.9203</v>
      </c>
      <c r="JM338">
        <v>27.8651</v>
      </c>
      <c r="JN338">
        <v>24.9576</v>
      </c>
      <c r="JO338">
        <v>45.4933</v>
      </c>
      <c r="JP338">
        <v>0</v>
      </c>
      <c r="JQ338">
        <v>23.1486</v>
      </c>
      <c r="JR338">
        <v>532.2910000000001</v>
      </c>
      <c r="JS338">
        <v>9.222770000000001</v>
      </c>
      <c r="JT338">
        <v>100.415</v>
      </c>
      <c r="JU338">
        <v>100.348</v>
      </c>
    </row>
    <row r="339" spans="1:281">
      <c r="A339">
        <v>323</v>
      </c>
      <c r="B339">
        <v>1651866410</v>
      </c>
      <c r="C339">
        <v>2189.400000095367</v>
      </c>
      <c r="D339" t="s">
        <v>1069</v>
      </c>
      <c r="E339" t="s">
        <v>1070</v>
      </c>
      <c r="F339">
        <v>2</v>
      </c>
      <c r="G339" t="s">
        <v>908</v>
      </c>
      <c r="H339" t="s">
        <v>414</v>
      </c>
      <c r="I339">
        <v>1651866409</v>
      </c>
      <c r="J339">
        <f>(K339)/1000</f>
        <v>0</v>
      </c>
      <c r="K339">
        <f>IF(CZ339, AN339, AH339)</f>
        <v>0</v>
      </c>
      <c r="L339">
        <f>IF(CZ339, AI339, AG339)</f>
        <v>0</v>
      </c>
      <c r="M339">
        <f>DB339 - IF(AU339&gt;1, L339*CV339*100.0/(AW339*DP339), 0)</f>
        <v>0</v>
      </c>
      <c r="N339">
        <f>((T339-J339/2)*M339-L339)/(T339+J339/2)</f>
        <v>0</v>
      </c>
      <c r="O339">
        <f>N339*(DI339+DJ339)/1000.0</f>
        <v>0</v>
      </c>
      <c r="P339">
        <f>(DB339 - IF(AU339&gt;1, L339*CV339*100.0/(AW339*DP339), 0))*(DI339+DJ339)/1000.0</f>
        <v>0</v>
      </c>
      <c r="Q339">
        <f>2.0/((1/S339-1/R339)+SIGN(S339)*SQRT((1/S339-1/R339)*(1/S339-1/R339) + 4*CW339/((CW339+1)*(CW339+1))*(2*1/S339*1/R339-1/R339*1/R339)))</f>
        <v>0</v>
      </c>
      <c r="R339">
        <f>IF(LEFT(CX339,1)&lt;&gt;"0",IF(LEFT(CX339,1)="1",3.0,CY339),$D$5+$E$5*(DP339*DI339/($K$5*1000))+$F$5*(DP339*DI339/($K$5*1000))*MAX(MIN(CV339,$J$5),$I$5)*MAX(MIN(CV339,$J$5),$I$5)+$G$5*MAX(MIN(CV339,$J$5),$I$5)*(DP339*DI339/($K$5*1000))+$H$5*(DP339*DI339/($K$5*1000))*(DP339*DI339/($K$5*1000)))</f>
        <v>0</v>
      </c>
      <c r="S339">
        <f>J339*(1000-(1000*0.61365*exp(17.502*W339/(240.97+W339))/(DI339+DJ339)+DD339)/2)/(1000*0.61365*exp(17.502*W339/(240.97+W339))/(DI339+DJ339)-DD339)</f>
        <v>0</v>
      </c>
      <c r="T339">
        <f>1/((CW339+1)/(Q339/1.6)+1/(R339/1.37)) + CW339/((CW339+1)/(Q339/1.6) + CW339/(R339/1.37))</f>
        <v>0</v>
      </c>
      <c r="U339">
        <f>(CR339*CU339)</f>
        <v>0</v>
      </c>
      <c r="V339">
        <f>(DK339+(U339+2*0.95*5.67E-8*(((DK339+$B$7)+273)^4-(DK339+273)^4)-44100*J339)/(1.84*29.3*R339+8*0.95*5.67E-8*(DK339+273)^3))</f>
        <v>0</v>
      </c>
      <c r="W339">
        <f>($C$7*DL339+$D$7*DM339+$E$7*V339)</f>
        <v>0</v>
      </c>
      <c r="X339">
        <f>0.61365*exp(17.502*W339/(240.97+W339))</f>
        <v>0</v>
      </c>
      <c r="Y339">
        <f>(Z339/AA339*100)</f>
        <v>0</v>
      </c>
      <c r="Z339">
        <f>DD339*(DI339+DJ339)/1000</f>
        <v>0</v>
      </c>
      <c r="AA339">
        <f>0.61365*exp(17.502*DK339/(240.97+DK339))</f>
        <v>0</v>
      </c>
      <c r="AB339">
        <f>(X339-DD339*(DI339+DJ339)/1000)</f>
        <v>0</v>
      </c>
      <c r="AC339">
        <f>(-J339*44100)</f>
        <v>0</v>
      </c>
      <c r="AD339">
        <f>2*29.3*R339*0.92*(DK339-W339)</f>
        <v>0</v>
      </c>
      <c r="AE339">
        <f>2*0.95*5.67E-8*(((DK339+$B$7)+273)^4-(W339+273)^4)</f>
        <v>0</v>
      </c>
      <c r="AF339">
        <f>U339+AE339+AC339+AD339</f>
        <v>0</v>
      </c>
      <c r="AG339">
        <f>DH339*AU339*(DC339-DB339*(1000-AU339*DE339)/(1000-AU339*DD339))/(100*CV339)</f>
        <v>0</v>
      </c>
      <c r="AH339">
        <f>1000*DH339*AU339*(DD339-DE339)/(100*CV339*(1000-AU339*DD339))</f>
        <v>0</v>
      </c>
      <c r="AI339">
        <f>(AJ339 - AK339 - DI339*1E3/(8.314*(DK339+273.15)) * AM339/DH339 * AL339) * DH339/(100*CV339) * (1000 - DE339)/1000</f>
        <v>0</v>
      </c>
      <c r="AJ339">
        <v>513.6091480219391</v>
      </c>
      <c r="AK339">
        <v>466.1139090909091</v>
      </c>
      <c r="AL339">
        <v>3.298406679777531</v>
      </c>
      <c r="AM339">
        <v>66.38195617057868</v>
      </c>
      <c r="AN339">
        <f>(AP339 - AO339 + DI339*1E3/(8.314*(DK339+273.15)) * AR339/DH339 * AQ339) * DH339/(100*CV339) * 1000/(1000 - AP339)</f>
        <v>0</v>
      </c>
      <c r="AO339">
        <v>9.263076508097246</v>
      </c>
      <c r="AP339">
        <v>18.71109352941176</v>
      </c>
      <c r="AQ339">
        <v>0.0001423549744587445</v>
      </c>
      <c r="AR339">
        <v>80.47178418790507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MAX(0,($B$13+$C$13*DP339)/(1+$D$13*DP339)*DI339/(DK339+273)*$E$13)</f>
        <v>0</v>
      </c>
      <c r="AX339" t="s">
        <v>417</v>
      </c>
      <c r="AY339" t="s">
        <v>417</v>
      </c>
      <c r="AZ339">
        <v>0</v>
      </c>
      <c r="BA339">
        <v>0</v>
      </c>
      <c r="BB339">
        <f>1-AZ339/BA339</f>
        <v>0</v>
      </c>
      <c r="BC339">
        <v>0</v>
      </c>
      <c r="BD339" t="s">
        <v>417</v>
      </c>
      <c r="BE339" t="s">
        <v>417</v>
      </c>
      <c r="BF339">
        <v>0</v>
      </c>
      <c r="BG339">
        <v>0</v>
      </c>
      <c r="BH339">
        <f>1-BF339/BG339</f>
        <v>0</v>
      </c>
      <c r="BI339">
        <v>0.5</v>
      </c>
      <c r="BJ339">
        <f>CS339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417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BZ339">
        <v>1249</v>
      </c>
      <c r="CA339">
        <v>300</v>
      </c>
      <c r="CB339">
        <v>300</v>
      </c>
      <c r="CC339">
        <v>300</v>
      </c>
      <c r="CD339">
        <v>10442.4</v>
      </c>
      <c r="CE339">
        <v>1239.69</v>
      </c>
      <c r="CF339">
        <v>-0.00735276</v>
      </c>
      <c r="CG339">
        <v>0.07000000000000001</v>
      </c>
      <c r="CH339" t="s">
        <v>417</v>
      </c>
      <c r="CI339" t="s">
        <v>417</v>
      </c>
      <c r="CJ339" t="s">
        <v>417</v>
      </c>
      <c r="CK339" t="s">
        <v>417</v>
      </c>
      <c r="CL339" t="s">
        <v>417</v>
      </c>
      <c r="CM339" t="s">
        <v>417</v>
      </c>
      <c r="CN339" t="s">
        <v>417</v>
      </c>
      <c r="CO339" t="s">
        <v>417</v>
      </c>
      <c r="CP339" t="s">
        <v>417</v>
      </c>
      <c r="CQ339" t="s">
        <v>417</v>
      </c>
      <c r="CR339">
        <f>$B$11*DQ339+$C$11*DR339+$F$11*EC339*(1-EF339)</f>
        <v>0</v>
      </c>
      <c r="CS339">
        <f>CR339*CT339</f>
        <v>0</v>
      </c>
      <c r="CT339">
        <f>($B$11*$D$9+$C$11*$D$9+$F$11*((EP339+EH339)/MAX(EP339+EH339+EQ339, 0.1)*$I$9+EQ339/MAX(EP339+EH339+EQ339, 0.1)*$J$9))/($B$11+$C$11+$F$11)</f>
        <v>0</v>
      </c>
      <c r="CU339">
        <f>($B$11*$K$9+$C$11*$K$9+$F$11*((EP339+EH339)/MAX(EP339+EH339+EQ339, 0.1)*$P$9+EQ339/MAX(EP339+EH339+EQ339, 0.1)*$Q$9))/($B$11+$C$11+$F$11)</f>
        <v>0</v>
      </c>
      <c r="CV339">
        <v>6</v>
      </c>
      <c r="CW339">
        <v>0.5</v>
      </c>
      <c r="CX339" t="s">
        <v>418</v>
      </c>
      <c r="CY339">
        <v>2</v>
      </c>
      <c r="CZ339" t="b">
        <v>1</v>
      </c>
      <c r="DA339">
        <v>1651866409</v>
      </c>
      <c r="DB339">
        <v>455.772</v>
      </c>
      <c r="DC339">
        <v>514.7873333333333</v>
      </c>
      <c r="DD339">
        <v>18.7104</v>
      </c>
      <c r="DE339">
        <v>9.262693333333333</v>
      </c>
      <c r="DF339">
        <v>456.799</v>
      </c>
      <c r="DG339">
        <v>18.6847</v>
      </c>
      <c r="DH339">
        <v>500.0393333333333</v>
      </c>
      <c r="DI339">
        <v>89.91993333333333</v>
      </c>
      <c r="DJ339">
        <v>0.1000496666666667</v>
      </c>
      <c r="DK339">
        <v>25.9434</v>
      </c>
      <c r="DL339">
        <v>24.99883333333333</v>
      </c>
      <c r="DM339">
        <v>999.9</v>
      </c>
      <c r="DN339">
        <v>0</v>
      </c>
      <c r="DO339">
        <v>0</v>
      </c>
      <c r="DP339">
        <v>9993.733333333334</v>
      </c>
      <c r="DQ339">
        <v>0</v>
      </c>
      <c r="DR339">
        <v>3.219286666666667</v>
      </c>
      <c r="DS339">
        <v>-59.01506666666666</v>
      </c>
      <c r="DT339">
        <v>464.4623333333334</v>
      </c>
      <c r="DU339">
        <v>519.6</v>
      </c>
      <c r="DV339">
        <v>9.447710000000001</v>
      </c>
      <c r="DW339">
        <v>514.7873333333333</v>
      </c>
      <c r="DX339">
        <v>9.262693333333333</v>
      </c>
      <c r="DY339">
        <v>1.682436666666667</v>
      </c>
      <c r="DZ339">
        <v>0.8329003333333334</v>
      </c>
      <c r="EA339">
        <v>14.73533333333333</v>
      </c>
      <c r="EB339">
        <v>4.280736666666667</v>
      </c>
      <c r="EC339">
        <v>1500.006666666667</v>
      </c>
      <c r="ED339">
        <v>0.9729963333333332</v>
      </c>
      <c r="EE339">
        <v>0.02700386666666667</v>
      </c>
      <c r="EF339">
        <v>0</v>
      </c>
      <c r="EG339">
        <v>894.4276666666666</v>
      </c>
      <c r="EH339">
        <v>5.00097</v>
      </c>
      <c r="EI339">
        <v>13352.7</v>
      </c>
      <c r="EJ339">
        <v>12491.63333333333</v>
      </c>
      <c r="EK339">
        <v>38.854</v>
      </c>
      <c r="EL339">
        <v>40.125</v>
      </c>
      <c r="EM339">
        <v>39.229</v>
      </c>
      <c r="EN339">
        <v>40.125</v>
      </c>
      <c r="EO339">
        <v>39.687</v>
      </c>
      <c r="EP339">
        <v>1454.636666666667</v>
      </c>
      <c r="EQ339">
        <v>40.37</v>
      </c>
      <c r="ER339">
        <v>0</v>
      </c>
      <c r="ES339">
        <v>927.2000000476837</v>
      </c>
      <c r="ET339">
        <v>0</v>
      </c>
      <c r="EU339">
        <v>891.2969615384613</v>
      </c>
      <c r="EV339">
        <v>30.32940167180357</v>
      </c>
      <c r="EW339">
        <v>435.9418798894473</v>
      </c>
      <c r="EX339">
        <v>13305.70384615385</v>
      </c>
      <c r="EY339">
        <v>15</v>
      </c>
      <c r="EZ339">
        <v>1651865518.1</v>
      </c>
      <c r="FA339" t="s">
        <v>910</v>
      </c>
      <c r="FB339">
        <v>1651865507.1</v>
      </c>
      <c r="FC339">
        <v>1651865518.1</v>
      </c>
      <c r="FD339">
        <v>8</v>
      </c>
      <c r="FE339">
        <v>0.06</v>
      </c>
      <c r="FF339">
        <v>0</v>
      </c>
      <c r="FG339">
        <v>-0.927</v>
      </c>
      <c r="FH339">
        <v>-0.062</v>
      </c>
      <c r="FI339">
        <v>400</v>
      </c>
      <c r="FJ339">
        <v>11</v>
      </c>
      <c r="FK339">
        <v>0.11</v>
      </c>
      <c r="FL339">
        <v>0.01</v>
      </c>
      <c r="FM339">
        <v>-57.40710975609757</v>
      </c>
      <c r="FN339">
        <v>-11.53757142857164</v>
      </c>
      <c r="FO339">
        <v>1.144776086276131</v>
      </c>
      <c r="FP339">
        <v>-1</v>
      </c>
      <c r="FQ339">
        <v>9.42726463414634</v>
      </c>
      <c r="FR339">
        <v>0.1381561672473856</v>
      </c>
      <c r="FS339">
        <v>0.01367467787957189</v>
      </c>
      <c r="FT339">
        <v>-1</v>
      </c>
      <c r="FU339">
        <v>0</v>
      </c>
      <c r="FV339">
        <v>0</v>
      </c>
      <c r="FW339">
        <v>0</v>
      </c>
      <c r="FX339">
        <v>-1</v>
      </c>
      <c r="FY339">
        <v>0</v>
      </c>
      <c r="FZ339">
        <v>0</v>
      </c>
      <c r="GA339" t="s">
        <v>420</v>
      </c>
      <c r="GB339">
        <v>2.98131</v>
      </c>
      <c r="GC339">
        <v>2.70617</v>
      </c>
      <c r="GD339">
        <v>0.10017</v>
      </c>
      <c r="GE339">
        <v>0.108168</v>
      </c>
      <c r="GF339">
        <v>0.08902409999999999</v>
      </c>
      <c r="GG339">
        <v>0.0522649</v>
      </c>
      <c r="GH339">
        <v>28433.9</v>
      </c>
      <c r="GI339">
        <v>28241.9</v>
      </c>
      <c r="GJ339">
        <v>29377</v>
      </c>
      <c r="GK339">
        <v>29291.7</v>
      </c>
      <c r="GL339">
        <v>35433.8</v>
      </c>
      <c r="GM339">
        <v>36980.4</v>
      </c>
      <c r="GN339">
        <v>41348.8</v>
      </c>
      <c r="GO339">
        <v>41811.1</v>
      </c>
      <c r="GP339">
        <v>1.9672</v>
      </c>
      <c r="GQ339">
        <v>1.85438</v>
      </c>
      <c r="GR339">
        <v>-0.00566244</v>
      </c>
      <c r="GS339">
        <v>0</v>
      </c>
      <c r="GT339">
        <v>25.0931</v>
      </c>
      <c r="GU339">
        <v>999.9</v>
      </c>
      <c r="GV339">
        <v>29.7</v>
      </c>
      <c r="GW339">
        <v>34.2</v>
      </c>
      <c r="GX339">
        <v>17.8471</v>
      </c>
      <c r="GY339">
        <v>62.3076</v>
      </c>
      <c r="GZ339">
        <v>35.629</v>
      </c>
      <c r="HA339">
        <v>1</v>
      </c>
      <c r="HB339">
        <v>0.044596</v>
      </c>
      <c r="HC339">
        <v>1.4969</v>
      </c>
      <c r="HD339">
        <v>20.3281</v>
      </c>
      <c r="HE339">
        <v>5.21834</v>
      </c>
      <c r="HF339">
        <v>12.0099</v>
      </c>
      <c r="HG339">
        <v>4.9889</v>
      </c>
      <c r="HH339">
        <v>3.28865</v>
      </c>
      <c r="HI339">
        <v>1032.4</v>
      </c>
      <c r="HJ339">
        <v>9741.6</v>
      </c>
      <c r="HK339">
        <v>5139.4</v>
      </c>
      <c r="HL339">
        <v>25.3</v>
      </c>
      <c r="HM339">
        <v>1.8674</v>
      </c>
      <c r="HN339">
        <v>1.86646</v>
      </c>
      <c r="HO339">
        <v>1.86599</v>
      </c>
      <c r="HP339">
        <v>1.86584</v>
      </c>
      <c r="HQ339">
        <v>1.86768</v>
      </c>
      <c r="HR339">
        <v>1.87018</v>
      </c>
      <c r="HS339">
        <v>1.86888</v>
      </c>
      <c r="HT339">
        <v>1.87018</v>
      </c>
      <c r="HU339">
        <v>0</v>
      </c>
      <c r="HV339">
        <v>0</v>
      </c>
      <c r="HW339">
        <v>0</v>
      </c>
      <c r="HX339">
        <v>0</v>
      </c>
      <c r="HY339" t="s">
        <v>421</v>
      </c>
      <c r="HZ339" t="s">
        <v>422</v>
      </c>
      <c r="IA339" t="s">
        <v>423</v>
      </c>
      <c r="IB339" t="s">
        <v>423</v>
      </c>
      <c r="IC339" t="s">
        <v>423</v>
      </c>
      <c r="ID339" t="s">
        <v>423</v>
      </c>
      <c r="IE339">
        <v>0</v>
      </c>
      <c r="IF339">
        <v>100</v>
      </c>
      <c r="IG339">
        <v>100</v>
      </c>
      <c r="IH339">
        <v>-1.033</v>
      </c>
      <c r="II339">
        <v>0.0257</v>
      </c>
      <c r="IJ339">
        <v>-0.1559367209035702</v>
      </c>
      <c r="IK339">
        <v>-0.002077099775823331</v>
      </c>
      <c r="IL339">
        <v>4.593143279902166E-07</v>
      </c>
      <c r="IM339">
        <v>-1.865383991892071E-10</v>
      </c>
      <c r="IN339">
        <v>-0.0607165066849496</v>
      </c>
      <c r="IO339">
        <v>-0.01129461987421345</v>
      </c>
      <c r="IP339">
        <v>0.00116580895745559</v>
      </c>
      <c r="IQ339">
        <v>-1.679085872906199E-05</v>
      </c>
      <c r="IR339">
        <v>2</v>
      </c>
      <c r="IS339">
        <v>2290</v>
      </c>
      <c r="IT339">
        <v>0</v>
      </c>
      <c r="IU339">
        <v>32</v>
      </c>
      <c r="IV339">
        <v>15</v>
      </c>
      <c r="IW339">
        <v>14.9</v>
      </c>
      <c r="IX339">
        <v>1.25732</v>
      </c>
      <c r="IY339">
        <v>2.20581</v>
      </c>
      <c r="IZ339">
        <v>1.39648</v>
      </c>
      <c r="JA339">
        <v>2.35474</v>
      </c>
      <c r="JB339">
        <v>1.49536</v>
      </c>
      <c r="JC339">
        <v>2.37427</v>
      </c>
      <c r="JD339">
        <v>38.0134</v>
      </c>
      <c r="JE339">
        <v>24.0437</v>
      </c>
      <c r="JF339">
        <v>18</v>
      </c>
      <c r="JG339">
        <v>512.624</v>
      </c>
      <c r="JH339">
        <v>426.258</v>
      </c>
      <c r="JI339">
        <v>23.1491</v>
      </c>
      <c r="JJ339">
        <v>27.8989</v>
      </c>
      <c r="JK339">
        <v>30</v>
      </c>
      <c r="JL339">
        <v>27.9197</v>
      </c>
      <c r="JM339">
        <v>27.864</v>
      </c>
      <c r="JN339">
        <v>25.2087</v>
      </c>
      <c r="JO339">
        <v>45.4933</v>
      </c>
      <c r="JP339">
        <v>0</v>
      </c>
      <c r="JQ339">
        <v>23.1495</v>
      </c>
      <c r="JR339">
        <v>538.97</v>
      </c>
      <c r="JS339">
        <v>9.22105</v>
      </c>
      <c r="JT339">
        <v>100.416</v>
      </c>
      <c r="JU339">
        <v>100.347</v>
      </c>
    </row>
    <row r="340" spans="1:281">
      <c r="A340">
        <v>324</v>
      </c>
      <c r="B340">
        <v>1651866412</v>
      </c>
      <c r="C340">
        <v>2191.400000095367</v>
      </c>
      <c r="D340" t="s">
        <v>1071</v>
      </c>
      <c r="E340" t="s">
        <v>1072</v>
      </c>
      <c r="F340">
        <v>2</v>
      </c>
      <c r="G340" t="s">
        <v>908</v>
      </c>
      <c r="H340" t="s">
        <v>414</v>
      </c>
      <c r="I340">
        <v>1651866410.625</v>
      </c>
      <c r="J340">
        <f>(K340)/1000</f>
        <v>0</v>
      </c>
      <c r="K340">
        <f>IF(CZ340, AN340, AH340)</f>
        <v>0</v>
      </c>
      <c r="L340">
        <f>IF(CZ340, AI340, AG340)</f>
        <v>0</v>
      </c>
      <c r="M340">
        <f>DB340 - IF(AU340&gt;1, L340*CV340*100.0/(AW340*DP340), 0)</f>
        <v>0</v>
      </c>
      <c r="N340">
        <f>((T340-J340/2)*M340-L340)/(T340+J340/2)</f>
        <v>0</v>
      </c>
      <c r="O340">
        <f>N340*(DI340+DJ340)/1000.0</f>
        <v>0</v>
      </c>
      <c r="P340">
        <f>(DB340 - IF(AU340&gt;1, L340*CV340*100.0/(AW340*DP340), 0))*(DI340+DJ340)/1000.0</f>
        <v>0</v>
      </c>
      <c r="Q340">
        <f>2.0/((1/S340-1/R340)+SIGN(S340)*SQRT((1/S340-1/R340)*(1/S340-1/R340) + 4*CW340/((CW340+1)*(CW340+1))*(2*1/S340*1/R340-1/R340*1/R340)))</f>
        <v>0</v>
      </c>
      <c r="R340">
        <f>IF(LEFT(CX340,1)&lt;&gt;"0",IF(LEFT(CX340,1)="1",3.0,CY340),$D$5+$E$5*(DP340*DI340/($K$5*1000))+$F$5*(DP340*DI340/($K$5*1000))*MAX(MIN(CV340,$J$5),$I$5)*MAX(MIN(CV340,$J$5),$I$5)+$G$5*MAX(MIN(CV340,$J$5),$I$5)*(DP340*DI340/($K$5*1000))+$H$5*(DP340*DI340/($K$5*1000))*(DP340*DI340/($K$5*1000)))</f>
        <v>0</v>
      </c>
      <c r="S340">
        <f>J340*(1000-(1000*0.61365*exp(17.502*W340/(240.97+W340))/(DI340+DJ340)+DD340)/2)/(1000*0.61365*exp(17.502*W340/(240.97+W340))/(DI340+DJ340)-DD340)</f>
        <v>0</v>
      </c>
      <c r="T340">
        <f>1/((CW340+1)/(Q340/1.6)+1/(R340/1.37)) + CW340/((CW340+1)/(Q340/1.6) + CW340/(R340/1.37))</f>
        <v>0</v>
      </c>
      <c r="U340">
        <f>(CR340*CU340)</f>
        <v>0</v>
      </c>
      <c r="V340">
        <f>(DK340+(U340+2*0.95*5.67E-8*(((DK340+$B$7)+273)^4-(DK340+273)^4)-44100*J340)/(1.84*29.3*R340+8*0.95*5.67E-8*(DK340+273)^3))</f>
        <v>0</v>
      </c>
      <c r="W340">
        <f>($C$7*DL340+$D$7*DM340+$E$7*V340)</f>
        <v>0</v>
      </c>
      <c r="X340">
        <f>0.61365*exp(17.502*W340/(240.97+W340))</f>
        <v>0</v>
      </c>
      <c r="Y340">
        <f>(Z340/AA340*100)</f>
        <v>0</v>
      </c>
      <c r="Z340">
        <f>DD340*(DI340+DJ340)/1000</f>
        <v>0</v>
      </c>
      <c r="AA340">
        <f>0.61365*exp(17.502*DK340/(240.97+DK340))</f>
        <v>0</v>
      </c>
      <c r="AB340">
        <f>(X340-DD340*(DI340+DJ340)/1000)</f>
        <v>0</v>
      </c>
      <c r="AC340">
        <f>(-J340*44100)</f>
        <v>0</v>
      </c>
      <c r="AD340">
        <f>2*29.3*R340*0.92*(DK340-W340)</f>
        <v>0</v>
      </c>
      <c r="AE340">
        <f>2*0.95*5.67E-8*(((DK340+$B$7)+273)^4-(W340+273)^4)</f>
        <v>0</v>
      </c>
      <c r="AF340">
        <f>U340+AE340+AC340+AD340</f>
        <v>0</v>
      </c>
      <c r="AG340">
        <f>DH340*AU340*(DC340-DB340*(1000-AU340*DE340)/(1000-AU340*DD340))/(100*CV340)</f>
        <v>0</v>
      </c>
      <c r="AH340">
        <f>1000*DH340*AU340*(DD340-DE340)/(100*CV340*(1000-AU340*DD340))</f>
        <v>0</v>
      </c>
      <c r="AI340">
        <f>(AJ340 - AK340 - DI340*1E3/(8.314*(DK340+273.15)) * AM340/DH340 * AL340) * DH340/(100*CV340) * (1000 - DE340)/1000</f>
        <v>0</v>
      </c>
      <c r="AJ340">
        <v>520.3817310552736</v>
      </c>
      <c r="AK340">
        <v>472.7270363636362</v>
      </c>
      <c r="AL340">
        <v>3.305491571401346</v>
      </c>
      <c r="AM340">
        <v>66.38195617057868</v>
      </c>
      <c r="AN340">
        <f>(AP340 - AO340 + DI340*1E3/(8.314*(DK340+273.15)) * AR340/DH340 * AQ340) * DH340/(100*CV340) * 1000/(1000 - AP340)</f>
        <v>0</v>
      </c>
      <c r="AO340">
        <v>9.262992492925921</v>
      </c>
      <c r="AP340">
        <v>18.71657647058824</v>
      </c>
      <c r="AQ340">
        <v>7.958322169758152E-05</v>
      </c>
      <c r="AR340">
        <v>80.47178418790507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MAX(0,($B$13+$C$13*DP340)/(1+$D$13*DP340)*DI340/(DK340+273)*$E$13)</f>
        <v>0</v>
      </c>
      <c r="AX340" t="s">
        <v>417</v>
      </c>
      <c r="AY340" t="s">
        <v>417</v>
      </c>
      <c r="AZ340">
        <v>0</v>
      </c>
      <c r="BA340">
        <v>0</v>
      </c>
      <c r="BB340">
        <f>1-AZ340/BA340</f>
        <v>0</v>
      </c>
      <c r="BC340">
        <v>0</v>
      </c>
      <c r="BD340" t="s">
        <v>417</v>
      </c>
      <c r="BE340" t="s">
        <v>417</v>
      </c>
      <c r="BF340">
        <v>0</v>
      </c>
      <c r="BG340">
        <v>0</v>
      </c>
      <c r="BH340">
        <f>1-BF340/BG340</f>
        <v>0</v>
      </c>
      <c r="BI340">
        <v>0.5</v>
      </c>
      <c r="BJ340">
        <f>CS340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417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BZ340">
        <v>1249</v>
      </c>
      <c r="CA340">
        <v>300</v>
      </c>
      <c r="CB340">
        <v>300</v>
      </c>
      <c r="CC340">
        <v>300</v>
      </c>
      <c r="CD340">
        <v>10442.4</v>
      </c>
      <c r="CE340">
        <v>1239.69</v>
      </c>
      <c r="CF340">
        <v>-0.00735276</v>
      </c>
      <c r="CG340">
        <v>0.07000000000000001</v>
      </c>
      <c r="CH340" t="s">
        <v>417</v>
      </c>
      <c r="CI340" t="s">
        <v>417</v>
      </c>
      <c r="CJ340" t="s">
        <v>417</v>
      </c>
      <c r="CK340" t="s">
        <v>417</v>
      </c>
      <c r="CL340" t="s">
        <v>417</v>
      </c>
      <c r="CM340" t="s">
        <v>417</v>
      </c>
      <c r="CN340" t="s">
        <v>417</v>
      </c>
      <c r="CO340" t="s">
        <v>417</v>
      </c>
      <c r="CP340" t="s">
        <v>417</v>
      </c>
      <c r="CQ340" t="s">
        <v>417</v>
      </c>
      <c r="CR340">
        <f>$B$11*DQ340+$C$11*DR340+$F$11*EC340*(1-EF340)</f>
        <v>0</v>
      </c>
      <c r="CS340">
        <f>CR340*CT340</f>
        <v>0</v>
      </c>
      <c r="CT340">
        <f>($B$11*$D$9+$C$11*$D$9+$F$11*((EP340+EH340)/MAX(EP340+EH340+EQ340, 0.1)*$I$9+EQ340/MAX(EP340+EH340+EQ340, 0.1)*$J$9))/($B$11+$C$11+$F$11)</f>
        <v>0</v>
      </c>
      <c r="CU340">
        <f>($B$11*$K$9+$C$11*$K$9+$F$11*((EP340+EH340)/MAX(EP340+EH340+EQ340, 0.1)*$P$9+EQ340/MAX(EP340+EH340+EQ340, 0.1)*$Q$9))/($B$11+$C$11+$F$11)</f>
        <v>0</v>
      </c>
      <c r="CV340">
        <v>6</v>
      </c>
      <c r="CW340">
        <v>0.5</v>
      </c>
      <c r="CX340" t="s">
        <v>418</v>
      </c>
      <c r="CY340">
        <v>2</v>
      </c>
      <c r="CZ340" t="b">
        <v>1</v>
      </c>
      <c r="DA340">
        <v>1651866410.625</v>
      </c>
      <c r="DB340">
        <v>461.042</v>
      </c>
      <c r="DC340">
        <v>520.2384999999999</v>
      </c>
      <c r="DD340">
        <v>18.714375</v>
      </c>
      <c r="DE340">
        <v>9.261420000000001</v>
      </c>
      <c r="DF340">
        <v>462.07875</v>
      </c>
      <c r="DG340">
        <v>18.6886</v>
      </c>
      <c r="DH340">
        <v>500.019</v>
      </c>
      <c r="DI340">
        <v>89.9178</v>
      </c>
      <c r="DJ340">
        <v>0.100027625</v>
      </c>
      <c r="DK340">
        <v>25.944925</v>
      </c>
      <c r="DL340">
        <v>24.997225</v>
      </c>
      <c r="DM340">
        <v>999.9</v>
      </c>
      <c r="DN340">
        <v>0</v>
      </c>
      <c r="DO340">
        <v>0</v>
      </c>
      <c r="DP340">
        <v>9991.875</v>
      </c>
      <c r="DQ340">
        <v>0</v>
      </c>
      <c r="DR340">
        <v>3.2294725</v>
      </c>
      <c r="DS340">
        <v>-59.19625000000001</v>
      </c>
      <c r="DT340">
        <v>469.835</v>
      </c>
      <c r="DU340">
        <v>525.10175</v>
      </c>
      <c r="DV340">
        <v>9.452947499999999</v>
      </c>
      <c r="DW340">
        <v>520.2384999999999</v>
      </c>
      <c r="DX340">
        <v>9.261420000000001</v>
      </c>
      <c r="DY340">
        <v>1.682755</v>
      </c>
      <c r="DZ340">
        <v>0.83276625</v>
      </c>
      <c r="EA340">
        <v>14.73825</v>
      </c>
      <c r="EB340">
        <v>4.2784425</v>
      </c>
      <c r="EC340">
        <v>1500.0625</v>
      </c>
      <c r="ED340">
        <v>0.9730004999999999</v>
      </c>
      <c r="EE340">
        <v>0.026999575</v>
      </c>
      <c r="EF340">
        <v>0</v>
      </c>
      <c r="EG340">
        <v>895.197</v>
      </c>
      <c r="EH340">
        <v>5.00097</v>
      </c>
      <c r="EI340">
        <v>13362.55</v>
      </c>
      <c r="EJ340">
        <v>12492.125</v>
      </c>
      <c r="EK340">
        <v>38.8435</v>
      </c>
      <c r="EL340">
        <v>40.125</v>
      </c>
      <c r="EM340">
        <v>39.187</v>
      </c>
      <c r="EN340">
        <v>40.125</v>
      </c>
      <c r="EO340">
        <v>39.67149999999999</v>
      </c>
      <c r="EP340">
        <v>1454.6975</v>
      </c>
      <c r="EQ340">
        <v>40.365</v>
      </c>
      <c r="ER340">
        <v>0</v>
      </c>
      <c r="ES340">
        <v>929.6000001430511</v>
      </c>
      <c r="ET340">
        <v>0</v>
      </c>
      <c r="EU340">
        <v>892.4631153846153</v>
      </c>
      <c r="EV340">
        <v>27.54779486920223</v>
      </c>
      <c r="EW340">
        <v>399.5794872498779</v>
      </c>
      <c r="EX340">
        <v>13322.67307692308</v>
      </c>
      <c r="EY340">
        <v>15</v>
      </c>
      <c r="EZ340">
        <v>1651865518.1</v>
      </c>
      <c r="FA340" t="s">
        <v>910</v>
      </c>
      <c r="FB340">
        <v>1651865507.1</v>
      </c>
      <c r="FC340">
        <v>1651865518.1</v>
      </c>
      <c r="FD340">
        <v>8</v>
      </c>
      <c r="FE340">
        <v>0.06</v>
      </c>
      <c r="FF340">
        <v>0</v>
      </c>
      <c r="FG340">
        <v>-0.927</v>
      </c>
      <c r="FH340">
        <v>-0.062</v>
      </c>
      <c r="FI340">
        <v>400</v>
      </c>
      <c r="FJ340">
        <v>11</v>
      </c>
      <c r="FK340">
        <v>0.11</v>
      </c>
      <c r="FL340">
        <v>0.01</v>
      </c>
      <c r="FM340">
        <v>-57.73708750000001</v>
      </c>
      <c r="FN340">
        <v>-10.74213095684784</v>
      </c>
      <c r="FO340">
        <v>1.041064093893239</v>
      </c>
      <c r="FP340">
        <v>-1</v>
      </c>
      <c r="FQ340">
        <v>9.43153425</v>
      </c>
      <c r="FR340">
        <v>0.1347625891181939</v>
      </c>
      <c r="FS340">
        <v>0.0129983010211912</v>
      </c>
      <c r="FT340">
        <v>-1</v>
      </c>
      <c r="FU340">
        <v>0</v>
      </c>
      <c r="FV340">
        <v>0</v>
      </c>
      <c r="FW340">
        <v>0</v>
      </c>
      <c r="FX340">
        <v>-1</v>
      </c>
      <c r="FY340">
        <v>0</v>
      </c>
      <c r="FZ340">
        <v>0</v>
      </c>
      <c r="GA340" t="s">
        <v>420</v>
      </c>
      <c r="GB340">
        <v>2.98149</v>
      </c>
      <c r="GC340">
        <v>2.70606</v>
      </c>
      <c r="GD340">
        <v>0.101219</v>
      </c>
      <c r="GE340">
        <v>0.109177</v>
      </c>
      <c r="GF340">
        <v>0.08903079999999999</v>
      </c>
      <c r="GG340">
        <v>0.0522594</v>
      </c>
      <c r="GH340">
        <v>28400.9</v>
      </c>
      <c r="GI340">
        <v>28209.8</v>
      </c>
      <c r="GJ340">
        <v>29377.1</v>
      </c>
      <c r="GK340">
        <v>29291.4</v>
      </c>
      <c r="GL340">
        <v>35433.9</v>
      </c>
      <c r="GM340">
        <v>36980.3</v>
      </c>
      <c r="GN340">
        <v>41349</v>
      </c>
      <c r="GO340">
        <v>41810.7</v>
      </c>
      <c r="GP340">
        <v>1.96707</v>
      </c>
      <c r="GQ340">
        <v>1.85432</v>
      </c>
      <c r="GR340">
        <v>-0.00588596</v>
      </c>
      <c r="GS340">
        <v>0</v>
      </c>
      <c r="GT340">
        <v>25.0931</v>
      </c>
      <c r="GU340">
        <v>999.9</v>
      </c>
      <c r="GV340">
        <v>29.7</v>
      </c>
      <c r="GW340">
        <v>34.2</v>
      </c>
      <c r="GX340">
        <v>17.8453</v>
      </c>
      <c r="GY340">
        <v>62.6176</v>
      </c>
      <c r="GZ340">
        <v>35.3285</v>
      </c>
      <c r="HA340">
        <v>1</v>
      </c>
      <c r="HB340">
        <v>0.0445859</v>
      </c>
      <c r="HC340">
        <v>1.49388</v>
      </c>
      <c r="HD340">
        <v>20.328</v>
      </c>
      <c r="HE340">
        <v>5.21774</v>
      </c>
      <c r="HF340">
        <v>12.0099</v>
      </c>
      <c r="HG340">
        <v>4.9888</v>
      </c>
      <c r="HH340">
        <v>3.28858</v>
      </c>
      <c r="HI340">
        <v>1032.6</v>
      </c>
      <c r="HJ340">
        <v>9743</v>
      </c>
      <c r="HK340">
        <v>5139.4</v>
      </c>
      <c r="HL340">
        <v>25.4</v>
      </c>
      <c r="HM340">
        <v>1.86742</v>
      </c>
      <c r="HN340">
        <v>1.86646</v>
      </c>
      <c r="HO340">
        <v>1.866</v>
      </c>
      <c r="HP340">
        <v>1.86584</v>
      </c>
      <c r="HQ340">
        <v>1.86768</v>
      </c>
      <c r="HR340">
        <v>1.87021</v>
      </c>
      <c r="HS340">
        <v>1.8689</v>
      </c>
      <c r="HT340">
        <v>1.87021</v>
      </c>
      <c r="HU340">
        <v>0</v>
      </c>
      <c r="HV340">
        <v>0</v>
      </c>
      <c r="HW340">
        <v>0</v>
      </c>
      <c r="HX340">
        <v>0</v>
      </c>
      <c r="HY340" t="s">
        <v>421</v>
      </c>
      <c r="HZ340" t="s">
        <v>422</v>
      </c>
      <c r="IA340" t="s">
        <v>423</v>
      </c>
      <c r="IB340" t="s">
        <v>423</v>
      </c>
      <c r="IC340" t="s">
        <v>423</v>
      </c>
      <c r="ID340" t="s">
        <v>423</v>
      </c>
      <c r="IE340">
        <v>0</v>
      </c>
      <c r="IF340">
        <v>100</v>
      </c>
      <c r="IG340">
        <v>100</v>
      </c>
      <c r="IH340">
        <v>-1.044</v>
      </c>
      <c r="II340">
        <v>0.0258</v>
      </c>
      <c r="IJ340">
        <v>-0.1559367209035702</v>
      </c>
      <c r="IK340">
        <v>-0.002077099775823331</v>
      </c>
      <c r="IL340">
        <v>4.593143279902166E-07</v>
      </c>
      <c r="IM340">
        <v>-1.865383991892071E-10</v>
      </c>
      <c r="IN340">
        <v>-0.0607165066849496</v>
      </c>
      <c r="IO340">
        <v>-0.01129461987421345</v>
      </c>
      <c r="IP340">
        <v>0.00116580895745559</v>
      </c>
      <c r="IQ340">
        <v>-1.679085872906199E-05</v>
      </c>
      <c r="IR340">
        <v>2</v>
      </c>
      <c r="IS340">
        <v>2290</v>
      </c>
      <c r="IT340">
        <v>0</v>
      </c>
      <c r="IU340">
        <v>32</v>
      </c>
      <c r="IV340">
        <v>15.1</v>
      </c>
      <c r="IW340">
        <v>14.9</v>
      </c>
      <c r="IX340">
        <v>1.26953</v>
      </c>
      <c r="IY340">
        <v>2.21069</v>
      </c>
      <c r="IZ340">
        <v>1.39648</v>
      </c>
      <c r="JA340">
        <v>2.35596</v>
      </c>
      <c r="JB340">
        <v>1.49536</v>
      </c>
      <c r="JC340">
        <v>2.33887</v>
      </c>
      <c r="JD340">
        <v>38.0134</v>
      </c>
      <c r="JE340">
        <v>24.035</v>
      </c>
      <c r="JF340">
        <v>18</v>
      </c>
      <c r="JG340">
        <v>512.533</v>
      </c>
      <c r="JH340">
        <v>426.219</v>
      </c>
      <c r="JI340">
        <v>23.1489</v>
      </c>
      <c r="JJ340">
        <v>27.8989</v>
      </c>
      <c r="JK340">
        <v>30</v>
      </c>
      <c r="JL340">
        <v>27.9185</v>
      </c>
      <c r="JM340">
        <v>27.8628</v>
      </c>
      <c r="JN340">
        <v>25.4614</v>
      </c>
      <c r="JO340">
        <v>45.4933</v>
      </c>
      <c r="JP340">
        <v>0</v>
      </c>
      <c r="JQ340">
        <v>23.1495</v>
      </c>
      <c r="JR340">
        <v>545.648</v>
      </c>
      <c r="JS340">
        <v>9.2171</v>
      </c>
      <c r="JT340">
        <v>100.416</v>
      </c>
      <c r="JU340">
        <v>100.346</v>
      </c>
    </row>
    <row r="341" spans="1:281">
      <c r="A341">
        <v>325</v>
      </c>
      <c r="B341">
        <v>1651866414</v>
      </c>
      <c r="C341">
        <v>2193.400000095367</v>
      </c>
      <c r="D341" t="s">
        <v>1073</v>
      </c>
      <c r="E341" t="s">
        <v>1074</v>
      </c>
      <c r="F341">
        <v>2</v>
      </c>
      <c r="G341" t="s">
        <v>908</v>
      </c>
      <c r="H341" t="s">
        <v>414</v>
      </c>
      <c r="I341">
        <v>1651866413</v>
      </c>
      <c r="J341">
        <f>(K341)/1000</f>
        <v>0</v>
      </c>
      <c r="K341">
        <f>IF(CZ341, AN341, AH341)</f>
        <v>0</v>
      </c>
      <c r="L341">
        <f>IF(CZ341, AI341, AG341)</f>
        <v>0</v>
      </c>
      <c r="M341">
        <f>DB341 - IF(AU341&gt;1, L341*CV341*100.0/(AW341*DP341), 0)</f>
        <v>0</v>
      </c>
      <c r="N341">
        <f>((T341-J341/2)*M341-L341)/(T341+J341/2)</f>
        <v>0</v>
      </c>
      <c r="O341">
        <f>N341*(DI341+DJ341)/1000.0</f>
        <v>0</v>
      </c>
      <c r="P341">
        <f>(DB341 - IF(AU341&gt;1, L341*CV341*100.0/(AW341*DP341), 0))*(DI341+DJ341)/1000.0</f>
        <v>0</v>
      </c>
      <c r="Q341">
        <f>2.0/((1/S341-1/R341)+SIGN(S341)*SQRT((1/S341-1/R341)*(1/S341-1/R341) + 4*CW341/((CW341+1)*(CW341+1))*(2*1/S341*1/R341-1/R341*1/R341)))</f>
        <v>0</v>
      </c>
      <c r="R341">
        <f>IF(LEFT(CX341,1)&lt;&gt;"0",IF(LEFT(CX341,1)="1",3.0,CY341),$D$5+$E$5*(DP341*DI341/($K$5*1000))+$F$5*(DP341*DI341/($K$5*1000))*MAX(MIN(CV341,$J$5),$I$5)*MAX(MIN(CV341,$J$5),$I$5)+$G$5*MAX(MIN(CV341,$J$5),$I$5)*(DP341*DI341/($K$5*1000))+$H$5*(DP341*DI341/($K$5*1000))*(DP341*DI341/($K$5*1000)))</f>
        <v>0</v>
      </c>
      <c r="S341">
        <f>J341*(1000-(1000*0.61365*exp(17.502*W341/(240.97+W341))/(DI341+DJ341)+DD341)/2)/(1000*0.61365*exp(17.502*W341/(240.97+W341))/(DI341+DJ341)-DD341)</f>
        <v>0</v>
      </c>
      <c r="T341">
        <f>1/((CW341+1)/(Q341/1.6)+1/(R341/1.37)) + CW341/((CW341+1)/(Q341/1.6) + CW341/(R341/1.37))</f>
        <v>0</v>
      </c>
      <c r="U341">
        <f>(CR341*CU341)</f>
        <v>0</v>
      </c>
      <c r="V341">
        <f>(DK341+(U341+2*0.95*5.67E-8*(((DK341+$B$7)+273)^4-(DK341+273)^4)-44100*J341)/(1.84*29.3*R341+8*0.95*5.67E-8*(DK341+273)^3))</f>
        <v>0</v>
      </c>
      <c r="W341">
        <f>($C$7*DL341+$D$7*DM341+$E$7*V341)</f>
        <v>0</v>
      </c>
      <c r="X341">
        <f>0.61365*exp(17.502*W341/(240.97+W341))</f>
        <v>0</v>
      </c>
      <c r="Y341">
        <f>(Z341/AA341*100)</f>
        <v>0</v>
      </c>
      <c r="Z341">
        <f>DD341*(DI341+DJ341)/1000</f>
        <v>0</v>
      </c>
      <c r="AA341">
        <f>0.61365*exp(17.502*DK341/(240.97+DK341))</f>
        <v>0</v>
      </c>
      <c r="AB341">
        <f>(X341-DD341*(DI341+DJ341)/1000)</f>
        <v>0</v>
      </c>
      <c r="AC341">
        <f>(-J341*44100)</f>
        <v>0</v>
      </c>
      <c r="AD341">
        <f>2*29.3*R341*0.92*(DK341-W341)</f>
        <v>0</v>
      </c>
      <c r="AE341">
        <f>2*0.95*5.67E-8*(((DK341+$B$7)+273)^4-(W341+273)^4)</f>
        <v>0</v>
      </c>
      <c r="AF341">
        <f>U341+AE341+AC341+AD341</f>
        <v>0</v>
      </c>
      <c r="AG341">
        <f>DH341*AU341*(DC341-DB341*(1000-AU341*DE341)/(1000-AU341*DD341))/(100*CV341)</f>
        <v>0</v>
      </c>
      <c r="AH341">
        <f>1000*DH341*AU341*(DD341-DE341)/(100*CV341*(1000-AU341*DD341))</f>
        <v>0</v>
      </c>
      <c r="AI341">
        <f>(AJ341 - AK341 - DI341*1E3/(8.314*(DK341+273.15)) * AM341/DH341 * AL341) * DH341/(100*CV341) * (1000 - DE341)/1000</f>
        <v>0</v>
      </c>
      <c r="AJ341">
        <v>527.150488017216</v>
      </c>
      <c r="AK341">
        <v>479.3205818181818</v>
      </c>
      <c r="AL341">
        <v>3.300119890037746</v>
      </c>
      <c r="AM341">
        <v>66.38195617057868</v>
      </c>
      <c r="AN341">
        <f>(AP341 - AO341 + DI341*1E3/(8.314*(DK341+273.15)) * AR341/DH341 * AQ341) * DH341/(100*CV341) * 1000/(1000 - AP341)</f>
        <v>0</v>
      </c>
      <c r="AO341">
        <v>9.262192184545903</v>
      </c>
      <c r="AP341">
        <v>18.71847676470588</v>
      </c>
      <c r="AQ341">
        <v>0.000134726476959484</v>
      </c>
      <c r="AR341">
        <v>80.47178418790507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MAX(0,($B$13+$C$13*DP341)/(1+$D$13*DP341)*DI341/(DK341+273)*$E$13)</f>
        <v>0</v>
      </c>
      <c r="AX341" t="s">
        <v>417</v>
      </c>
      <c r="AY341" t="s">
        <v>417</v>
      </c>
      <c r="AZ341">
        <v>0</v>
      </c>
      <c r="BA341">
        <v>0</v>
      </c>
      <c r="BB341">
        <f>1-AZ341/BA341</f>
        <v>0</v>
      </c>
      <c r="BC341">
        <v>0</v>
      </c>
      <c r="BD341" t="s">
        <v>417</v>
      </c>
      <c r="BE341" t="s">
        <v>417</v>
      </c>
      <c r="BF341">
        <v>0</v>
      </c>
      <c r="BG341">
        <v>0</v>
      </c>
      <c r="BH341">
        <f>1-BF341/BG341</f>
        <v>0</v>
      </c>
      <c r="BI341">
        <v>0.5</v>
      </c>
      <c r="BJ341">
        <f>CS341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417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BZ341">
        <v>1249</v>
      </c>
      <c r="CA341">
        <v>300</v>
      </c>
      <c r="CB341">
        <v>300</v>
      </c>
      <c r="CC341">
        <v>300</v>
      </c>
      <c r="CD341">
        <v>10442.4</v>
      </c>
      <c r="CE341">
        <v>1239.69</v>
      </c>
      <c r="CF341">
        <v>-0.00735276</v>
      </c>
      <c r="CG341">
        <v>0.07000000000000001</v>
      </c>
      <c r="CH341" t="s">
        <v>417</v>
      </c>
      <c r="CI341" t="s">
        <v>417</v>
      </c>
      <c r="CJ341" t="s">
        <v>417</v>
      </c>
      <c r="CK341" t="s">
        <v>417</v>
      </c>
      <c r="CL341" t="s">
        <v>417</v>
      </c>
      <c r="CM341" t="s">
        <v>417</v>
      </c>
      <c r="CN341" t="s">
        <v>417</v>
      </c>
      <c r="CO341" t="s">
        <v>417</v>
      </c>
      <c r="CP341" t="s">
        <v>417</v>
      </c>
      <c r="CQ341" t="s">
        <v>417</v>
      </c>
      <c r="CR341">
        <f>$B$11*DQ341+$C$11*DR341+$F$11*EC341*(1-EF341)</f>
        <v>0</v>
      </c>
      <c r="CS341">
        <f>CR341*CT341</f>
        <v>0</v>
      </c>
      <c r="CT341">
        <f>($B$11*$D$9+$C$11*$D$9+$F$11*((EP341+EH341)/MAX(EP341+EH341+EQ341, 0.1)*$I$9+EQ341/MAX(EP341+EH341+EQ341, 0.1)*$J$9))/($B$11+$C$11+$F$11)</f>
        <v>0</v>
      </c>
      <c r="CU341">
        <f>($B$11*$K$9+$C$11*$K$9+$F$11*((EP341+EH341)/MAX(EP341+EH341+EQ341, 0.1)*$P$9+EQ341/MAX(EP341+EH341+EQ341, 0.1)*$Q$9))/($B$11+$C$11+$F$11)</f>
        <v>0</v>
      </c>
      <c r="CV341">
        <v>6</v>
      </c>
      <c r="CW341">
        <v>0.5</v>
      </c>
      <c r="CX341" t="s">
        <v>418</v>
      </c>
      <c r="CY341">
        <v>2</v>
      </c>
      <c r="CZ341" t="b">
        <v>1</v>
      </c>
      <c r="DA341">
        <v>1651866413</v>
      </c>
      <c r="DB341">
        <v>468.7323333333334</v>
      </c>
      <c r="DC341">
        <v>528.2339999999999</v>
      </c>
      <c r="DD341">
        <v>18.7177</v>
      </c>
      <c r="DE341">
        <v>9.260956666666665</v>
      </c>
      <c r="DF341">
        <v>469.7823333333333</v>
      </c>
      <c r="DG341">
        <v>18.69186666666667</v>
      </c>
      <c r="DH341">
        <v>500.0626666666667</v>
      </c>
      <c r="DI341">
        <v>89.91606666666667</v>
      </c>
      <c r="DJ341">
        <v>0.09986113333333334</v>
      </c>
      <c r="DK341">
        <v>25.94563333333333</v>
      </c>
      <c r="DL341">
        <v>24.9948</v>
      </c>
      <c r="DM341">
        <v>999.9</v>
      </c>
      <c r="DN341">
        <v>0</v>
      </c>
      <c r="DO341">
        <v>0</v>
      </c>
      <c r="DP341">
        <v>10003.71666666667</v>
      </c>
      <c r="DQ341">
        <v>0</v>
      </c>
      <c r="DR341">
        <v>3.23193</v>
      </c>
      <c r="DS341">
        <v>-59.50126666666667</v>
      </c>
      <c r="DT341">
        <v>477.6736666666667</v>
      </c>
      <c r="DU341">
        <v>533.172</v>
      </c>
      <c r="DV341">
        <v>9.45673</v>
      </c>
      <c r="DW341">
        <v>528.2339999999999</v>
      </c>
      <c r="DX341">
        <v>9.260956666666665</v>
      </c>
      <c r="DY341">
        <v>1.68302</v>
      </c>
      <c r="DZ341">
        <v>0.8327086666666667</v>
      </c>
      <c r="EA341">
        <v>14.74073333333333</v>
      </c>
      <c r="EB341">
        <v>4.277456666666667</v>
      </c>
      <c r="EC341">
        <v>1499.906666666667</v>
      </c>
      <c r="ED341">
        <v>0.973008</v>
      </c>
      <c r="EE341">
        <v>0.026992</v>
      </c>
      <c r="EF341">
        <v>0</v>
      </c>
      <c r="EG341">
        <v>896.4186666666668</v>
      </c>
      <c r="EH341">
        <v>5.00097</v>
      </c>
      <c r="EI341">
        <v>13373.76666666667</v>
      </c>
      <c r="EJ341">
        <v>12490.86666666667</v>
      </c>
      <c r="EK341">
        <v>38.854</v>
      </c>
      <c r="EL341">
        <v>40.062</v>
      </c>
      <c r="EM341">
        <v>39.187</v>
      </c>
      <c r="EN341">
        <v>40.062</v>
      </c>
      <c r="EO341">
        <v>39.625</v>
      </c>
      <c r="EP341">
        <v>1454.556666666667</v>
      </c>
      <c r="EQ341">
        <v>40.35</v>
      </c>
      <c r="ER341">
        <v>0</v>
      </c>
      <c r="ES341">
        <v>931.4000000953674</v>
      </c>
      <c r="ET341">
        <v>0</v>
      </c>
      <c r="EU341">
        <v>893.4764</v>
      </c>
      <c r="EV341">
        <v>26.159153844915</v>
      </c>
      <c r="EW341">
        <v>375.6384616540295</v>
      </c>
      <c r="EX341">
        <v>13336.556</v>
      </c>
      <c r="EY341">
        <v>15</v>
      </c>
      <c r="EZ341">
        <v>1651865518.1</v>
      </c>
      <c r="FA341" t="s">
        <v>910</v>
      </c>
      <c r="FB341">
        <v>1651865507.1</v>
      </c>
      <c r="FC341">
        <v>1651865518.1</v>
      </c>
      <c r="FD341">
        <v>8</v>
      </c>
      <c r="FE341">
        <v>0.06</v>
      </c>
      <c r="FF341">
        <v>0</v>
      </c>
      <c r="FG341">
        <v>-0.927</v>
      </c>
      <c r="FH341">
        <v>-0.062</v>
      </c>
      <c r="FI341">
        <v>400</v>
      </c>
      <c r="FJ341">
        <v>11</v>
      </c>
      <c r="FK341">
        <v>0.11</v>
      </c>
      <c r="FL341">
        <v>0.01</v>
      </c>
      <c r="FM341">
        <v>-58.12548292682927</v>
      </c>
      <c r="FN341">
        <v>-9.665103135888506</v>
      </c>
      <c r="FO341">
        <v>0.9583505735917458</v>
      </c>
      <c r="FP341">
        <v>-1</v>
      </c>
      <c r="FQ341">
        <v>9.436620731707317</v>
      </c>
      <c r="FR341">
        <v>0.1309390243902425</v>
      </c>
      <c r="FS341">
        <v>0.01293774839803838</v>
      </c>
      <c r="FT341">
        <v>-1</v>
      </c>
      <c r="FU341">
        <v>0</v>
      </c>
      <c r="FV341">
        <v>0</v>
      </c>
      <c r="FW341">
        <v>0</v>
      </c>
      <c r="FX341">
        <v>-1</v>
      </c>
      <c r="FY341">
        <v>0</v>
      </c>
      <c r="FZ341">
        <v>0</v>
      </c>
      <c r="GA341" t="s">
        <v>420</v>
      </c>
      <c r="GB341">
        <v>2.98157</v>
      </c>
      <c r="GC341">
        <v>2.70606</v>
      </c>
      <c r="GD341">
        <v>0.102257</v>
      </c>
      <c r="GE341">
        <v>0.110179</v>
      </c>
      <c r="GF341">
        <v>0.0890451</v>
      </c>
      <c r="GG341">
        <v>0.0522593</v>
      </c>
      <c r="GH341">
        <v>28368.5</v>
      </c>
      <c r="GI341">
        <v>28178.2</v>
      </c>
      <c r="GJ341">
        <v>29377.5</v>
      </c>
      <c r="GK341">
        <v>29291.6</v>
      </c>
      <c r="GL341">
        <v>35433.8</v>
      </c>
      <c r="GM341">
        <v>36980.6</v>
      </c>
      <c r="GN341">
        <v>41349.6</v>
      </c>
      <c r="GO341">
        <v>41810.9</v>
      </c>
      <c r="GP341">
        <v>1.96715</v>
      </c>
      <c r="GQ341">
        <v>1.85415</v>
      </c>
      <c r="GR341">
        <v>-0.00610948</v>
      </c>
      <c r="GS341">
        <v>0</v>
      </c>
      <c r="GT341">
        <v>25.0931</v>
      </c>
      <c r="GU341">
        <v>999.9</v>
      </c>
      <c r="GV341">
        <v>29.7</v>
      </c>
      <c r="GW341">
        <v>34.2</v>
      </c>
      <c r="GX341">
        <v>17.8473</v>
      </c>
      <c r="GY341">
        <v>62.2376</v>
      </c>
      <c r="GZ341">
        <v>35.1562</v>
      </c>
      <c r="HA341">
        <v>1</v>
      </c>
      <c r="HB341">
        <v>0.0445427</v>
      </c>
      <c r="HC341">
        <v>1.49255</v>
      </c>
      <c r="HD341">
        <v>20.328</v>
      </c>
      <c r="HE341">
        <v>5.21714</v>
      </c>
      <c r="HF341">
        <v>12.0099</v>
      </c>
      <c r="HG341">
        <v>4.9887</v>
      </c>
      <c r="HH341">
        <v>3.2885</v>
      </c>
      <c r="HI341">
        <v>1032.6</v>
      </c>
      <c r="HJ341">
        <v>9743</v>
      </c>
      <c r="HK341">
        <v>5139.4</v>
      </c>
      <c r="HL341">
        <v>25.4</v>
      </c>
      <c r="HM341">
        <v>1.86741</v>
      </c>
      <c r="HN341">
        <v>1.86646</v>
      </c>
      <c r="HO341">
        <v>1.866</v>
      </c>
      <c r="HP341">
        <v>1.86584</v>
      </c>
      <c r="HQ341">
        <v>1.86768</v>
      </c>
      <c r="HR341">
        <v>1.87023</v>
      </c>
      <c r="HS341">
        <v>1.8689</v>
      </c>
      <c r="HT341">
        <v>1.8702</v>
      </c>
      <c r="HU341">
        <v>0</v>
      </c>
      <c r="HV341">
        <v>0</v>
      </c>
      <c r="HW341">
        <v>0</v>
      </c>
      <c r="HX341">
        <v>0</v>
      </c>
      <c r="HY341" t="s">
        <v>421</v>
      </c>
      <c r="HZ341" t="s">
        <v>422</v>
      </c>
      <c r="IA341" t="s">
        <v>423</v>
      </c>
      <c r="IB341" t="s">
        <v>423</v>
      </c>
      <c r="IC341" t="s">
        <v>423</v>
      </c>
      <c r="ID341" t="s">
        <v>423</v>
      </c>
      <c r="IE341">
        <v>0</v>
      </c>
      <c r="IF341">
        <v>100</v>
      </c>
      <c r="IG341">
        <v>100</v>
      </c>
      <c r="IH341">
        <v>-1.055</v>
      </c>
      <c r="II341">
        <v>0.0259</v>
      </c>
      <c r="IJ341">
        <v>-0.1559367209035702</v>
      </c>
      <c r="IK341">
        <v>-0.002077099775823331</v>
      </c>
      <c r="IL341">
        <v>4.593143279902166E-07</v>
      </c>
      <c r="IM341">
        <v>-1.865383991892071E-10</v>
      </c>
      <c r="IN341">
        <v>-0.0607165066849496</v>
      </c>
      <c r="IO341">
        <v>-0.01129461987421345</v>
      </c>
      <c r="IP341">
        <v>0.00116580895745559</v>
      </c>
      <c r="IQ341">
        <v>-1.679085872906199E-05</v>
      </c>
      <c r="IR341">
        <v>2</v>
      </c>
      <c r="IS341">
        <v>2290</v>
      </c>
      <c r="IT341">
        <v>0</v>
      </c>
      <c r="IU341">
        <v>32</v>
      </c>
      <c r="IV341">
        <v>15.1</v>
      </c>
      <c r="IW341">
        <v>14.9</v>
      </c>
      <c r="IX341">
        <v>1.28174</v>
      </c>
      <c r="IY341">
        <v>2.21191</v>
      </c>
      <c r="IZ341">
        <v>1.39648</v>
      </c>
      <c r="JA341">
        <v>2.35596</v>
      </c>
      <c r="JB341">
        <v>1.49536</v>
      </c>
      <c r="JC341">
        <v>2.28027</v>
      </c>
      <c r="JD341">
        <v>38.0134</v>
      </c>
      <c r="JE341">
        <v>24.035</v>
      </c>
      <c r="JF341">
        <v>18</v>
      </c>
      <c r="JG341">
        <v>512.572</v>
      </c>
      <c r="JH341">
        <v>426.114</v>
      </c>
      <c r="JI341">
        <v>23.1491</v>
      </c>
      <c r="JJ341">
        <v>27.8983</v>
      </c>
      <c r="JK341">
        <v>29.9999</v>
      </c>
      <c r="JL341">
        <v>27.9173</v>
      </c>
      <c r="JM341">
        <v>27.8627</v>
      </c>
      <c r="JN341">
        <v>25.7155</v>
      </c>
      <c r="JO341">
        <v>45.4933</v>
      </c>
      <c r="JP341">
        <v>0</v>
      </c>
      <c r="JQ341">
        <v>23.1495</v>
      </c>
      <c r="JR341">
        <v>552.327</v>
      </c>
      <c r="JS341">
        <v>9.20424</v>
      </c>
      <c r="JT341">
        <v>100.418</v>
      </c>
      <c r="JU341">
        <v>100.347</v>
      </c>
    </row>
    <row r="342" spans="1:281">
      <c r="A342">
        <v>326</v>
      </c>
      <c r="B342">
        <v>1651866416</v>
      </c>
      <c r="C342">
        <v>2195.400000095367</v>
      </c>
      <c r="D342" t="s">
        <v>1075</v>
      </c>
      <c r="E342" t="s">
        <v>1076</v>
      </c>
      <c r="F342">
        <v>2</v>
      </c>
      <c r="G342" t="s">
        <v>908</v>
      </c>
      <c r="H342" t="s">
        <v>414</v>
      </c>
      <c r="I342">
        <v>1651866414.625</v>
      </c>
      <c r="J342">
        <f>(K342)/1000</f>
        <v>0</v>
      </c>
      <c r="K342">
        <f>IF(CZ342, AN342, AH342)</f>
        <v>0</v>
      </c>
      <c r="L342">
        <f>IF(CZ342, AI342, AG342)</f>
        <v>0</v>
      </c>
      <c r="M342">
        <f>DB342 - IF(AU342&gt;1, L342*CV342*100.0/(AW342*DP342), 0)</f>
        <v>0</v>
      </c>
      <c r="N342">
        <f>((T342-J342/2)*M342-L342)/(T342+J342/2)</f>
        <v>0</v>
      </c>
      <c r="O342">
        <f>N342*(DI342+DJ342)/1000.0</f>
        <v>0</v>
      </c>
      <c r="P342">
        <f>(DB342 - IF(AU342&gt;1, L342*CV342*100.0/(AW342*DP342), 0))*(DI342+DJ342)/1000.0</f>
        <v>0</v>
      </c>
      <c r="Q342">
        <f>2.0/((1/S342-1/R342)+SIGN(S342)*SQRT((1/S342-1/R342)*(1/S342-1/R342) + 4*CW342/((CW342+1)*(CW342+1))*(2*1/S342*1/R342-1/R342*1/R342)))</f>
        <v>0</v>
      </c>
      <c r="R342">
        <f>IF(LEFT(CX342,1)&lt;&gt;"0",IF(LEFT(CX342,1)="1",3.0,CY342),$D$5+$E$5*(DP342*DI342/($K$5*1000))+$F$5*(DP342*DI342/($K$5*1000))*MAX(MIN(CV342,$J$5),$I$5)*MAX(MIN(CV342,$J$5),$I$5)+$G$5*MAX(MIN(CV342,$J$5),$I$5)*(DP342*DI342/($K$5*1000))+$H$5*(DP342*DI342/($K$5*1000))*(DP342*DI342/($K$5*1000)))</f>
        <v>0</v>
      </c>
      <c r="S342">
        <f>J342*(1000-(1000*0.61365*exp(17.502*W342/(240.97+W342))/(DI342+DJ342)+DD342)/2)/(1000*0.61365*exp(17.502*W342/(240.97+W342))/(DI342+DJ342)-DD342)</f>
        <v>0</v>
      </c>
      <c r="T342">
        <f>1/((CW342+1)/(Q342/1.6)+1/(R342/1.37)) + CW342/((CW342+1)/(Q342/1.6) + CW342/(R342/1.37))</f>
        <v>0</v>
      </c>
      <c r="U342">
        <f>(CR342*CU342)</f>
        <v>0</v>
      </c>
      <c r="V342">
        <f>(DK342+(U342+2*0.95*5.67E-8*(((DK342+$B$7)+273)^4-(DK342+273)^4)-44100*J342)/(1.84*29.3*R342+8*0.95*5.67E-8*(DK342+273)^3))</f>
        <v>0</v>
      </c>
      <c r="W342">
        <f>($C$7*DL342+$D$7*DM342+$E$7*V342)</f>
        <v>0</v>
      </c>
      <c r="X342">
        <f>0.61365*exp(17.502*W342/(240.97+W342))</f>
        <v>0</v>
      </c>
      <c r="Y342">
        <f>(Z342/AA342*100)</f>
        <v>0</v>
      </c>
      <c r="Z342">
        <f>DD342*(DI342+DJ342)/1000</f>
        <v>0</v>
      </c>
      <c r="AA342">
        <f>0.61365*exp(17.502*DK342/(240.97+DK342))</f>
        <v>0</v>
      </c>
      <c r="AB342">
        <f>(X342-DD342*(DI342+DJ342)/1000)</f>
        <v>0</v>
      </c>
      <c r="AC342">
        <f>(-J342*44100)</f>
        <v>0</v>
      </c>
      <c r="AD342">
        <f>2*29.3*R342*0.92*(DK342-W342)</f>
        <v>0</v>
      </c>
      <c r="AE342">
        <f>2*0.95*5.67E-8*(((DK342+$B$7)+273)^4-(W342+273)^4)</f>
        <v>0</v>
      </c>
      <c r="AF342">
        <f>U342+AE342+AC342+AD342</f>
        <v>0</v>
      </c>
      <c r="AG342">
        <f>DH342*AU342*(DC342-DB342*(1000-AU342*DE342)/(1000-AU342*DD342))/(100*CV342)</f>
        <v>0</v>
      </c>
      <c r="AH342">
        <f>1000*DH342*AU342*(DD342-DE342)/(100*CV342*(1000-AU342*DD342))</f>
        <v>0</v>
      </c>
      <c r="AI342">
        <f>(AJ342 - AK342 - DI342*1E3/(8.314*(DK342+273.15)) * AM342/DH342 * AL342) * DH342/(100*CV342) * (1000 - DE342)/1000</f>
        <v>0</v>
      </c>
      <c r="AJ342">
        <v>533.939185312879</v>
      </c>
      <c r="AK342">
        <v>485.9071515151515</v>
      </c>
      <c r="AL342">
        <v>3.294612215102853</v>
      </c>
      <c r="AM342">
        <v>66.38195617057868</v>
      </c>
      <c r="AN342">
        <f>(AP342 - AO342 + DI342*1E3/(8.314*(DK342+273.15)) * AR342/DH342 * AQ342) * DH342/(100*CV342) * 1000/(1000 - AP342)</f>
        <v>0</v>
      </c>
      <c r="AO342">
        <v>9.261082705961796</v>
      </c>
      <c r="AP342">
        <v>18.72204999999999</v>
      </c>
      <c r="AQ342">
        <v>0.0001117573112962411</v>
      </c>
      <c r="AR342">
        <v>80.47178418790507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MAX(0,($B$13+$C$13*DP342)/(1+$D$13*DP342)*DI342/(DK342+273)*$E$13)</f>
        <v>0</v>
      </c>
      <c r="AX342" t="s">
        <v>417</v>
      </c>
      <c r="AY342" t="s">
        <v>417</v>
      </c>
      <c r="AZ342">
        <v>0</v>
      </c>
      <c r="BA342">
        <v>0</v>
      </c>
      <c r="BB342">
        <f>1-AZ342/BA342</f>
        <v>0</v>
      </c>
      <c r="BC342">
        <v>0</v>
      </c>
      <c r="BD342" t="s">
        <v>417</v>
      </c>
      <c r="BE342" t="s">
        <v>417</v>
      </c>
      <c r="BF342">
        <v>0</v>
      </c>
      <c r="BG342">
        <v>0</v>
      </c>
      <c r="BH342">
        <f>1-BF342/BG342</f>
        <v>0</v>
      </c>
      <c r="BI342">
        <v>0.5</v>
      </c>
      <c r="BJ342">
        <f>CS342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417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BZ342">
        <v>1249</v>
      </c>
      <c r="CA342">
        <v>300</v>
      </c>
      <c r="CB342">
        <v>300</v>
      </c>
      <c r="CC342">
        <v>300</v>
      </c>
      <c r="CD342">
        <v>10442.4</v>
      </c>
      <c r="CE342">
        <v>1239.69</v>
      </c>
      <c r="CF342">
        <v>-0.00735276</v>
      </c>
      <c r="CG342">
        <v>0.07000000000000001</v>
      </c>
      <c r="CH342" t="s">
        <v>417</v>
      </c>
      <c r="CI342" t="s">
        <v>417</v>
      </c>
      <c r="CJ342" t="s">
        <v>417</v>
      </c>
      <c r="CK342" t="s">
        <v>417</v>
      </c>
      <c r="CL342" t="s">
        <v>417</v>
      </c>
      <c r="CM342" t="s">
        <v>417</v>
      </c>
      <c r="CN342" t="s">
        <v>417</v>
      </c>
      <c r="CO342" t="s">
        <v>417</v>
      </c>
      <c r="CP342" t="s">
        <v>417</v>
      </c>
      <c r="CQ342" t="s">
        <v>417</v>
      </c>
      <c r="CR342">
        <f>$B$11*DQ342+$C$11*DR342+$F$11*EC342*(1-EF342)</f>
        <v>0</v>
      </c>
      <c r="CS342">
        <f>CR342*CT342</f>
        <v>0</v>
      </c>
      <c r="CT342">
        <f>($B$11*$D$9+$C$11*$D$9+$F$11*((EP342+EH342)/MAX(EP342+EH342+EQ342, 0.1)*$I$9+EQ342/MAX(EP342+EH342+EQ342, 0.1)*$J$9))/($B$11+$C$11+$F$11)</f>
        <v>0</v>
      </c>
      <c r="CU342">
        <f>($B$11*$K$9+$C$11*$K$9+$F$11*((EP342+EH342)/MAX(EP342+EH342+EQ342, 0.1)*$P$9+EQ342/MAX(EP342+EH342+EQ342, 0.1)*$Q$9))/($B$11+$C$11+$F$11)</f>
        <v>0</v>
      </c>
      <c r="CV342">
        <v>6</v>
      </c>
      <c r="CW342">
        <v>0.5</v>
      </c>
      <c r="CX342" t="s">
        <v>418</v>
      </c>
      <c r="CY342">
        <v>2</v>
      </c>
      <c r="CZ342" t="b">
        <v>1</v>
      </c>
      <c r="DA342">
        <v>1651866414.625</v>
      </c>
      <c r="DB342">
        <v>473.98225</v>
      </c>
      <c r="DC342">
        <v>533.65525</v>
      </c>
      <c r="DD342">
        <v>18.7208</v>
      </c>
      <c r="DE342">
        <v>9.260694999999998</v>
      </c>
      <c r="DF342">
        <v>475.04125</v>
      </c>
      <c r="DG342">
        <v>18.694975</v>
      </c>
      <c r="DH342">
        <v>500.05275</v>
      </c>
      <c r="DI342">
        <v>89.91512499999999</v>
      </c>
      <c r="DJ342">
        <v>0.099844375</v>
      </c>
      <c r="DK342">
        <v>25.94345</v>
      </c>
      <c r="DL342">
        <v>24.996325</v>
      </c>
      <c r="DM342">
        <v>999.9</v>
      </c>
      <c r="DN342">
        <v>0</v>
      </c>
      <c r="DO342">
        <v>0</v>
      </c>
      <c r="DP342">
        <v>10010.3</v>
      </c>
      <c r="DQ342">
        <v>0</v>
      </c>
      <c r="DR342">
        <v>3.2308775</v>
      </c>
      <c r="DS342">
        <v>-59.6731</v>
      </c>
      <c r="DT342">
        <v>483.025</v>
      </c>
      <c r="DU342">
        <v>538.64375</v>
      </c>
      <c r="DV342">
        <v>9.4601275</v>
      </c>
      <c r="DW342">
        <v>533.65525</v>
      </c>
      <c r="DX342">
        <v>9.260694999999998</v>
      </c>
      <c r="DY342">
        <v>1.6832825</v>
      </c>
      <c r="DZ342">
        <v>0.83267675</v>
      </c>
      <c r="EA342">
        <v>14.74315</v>
      </c>
      <c r="EB342">
        <v>4.2769075</v>
      </c>
      <c r="EC342">
        <v>1499.925</v>
      </c>
      <c r="ED342">
        <v>0.973008</v>
      </c>
      <c r="EE342">
        <v>0.026992125</v>
      </c>
      <c r="EF342">
        <v>0</v>
      </c>
      <c r="EG342">
        <v>896.8810000000001</v>
      </c>
      <c r="EH342">
        <v>5.00097</v>
      </c>
      <c r="EI342">
        <v>13383.15</v>
      </c>
      <c r="EJ342">
        <v>12491.025</v>
      </c>
      <c r="EK342">
        <v>38.812</v>
      </c>
      <c r="EL342">
        <v>40.062</v>
      </c>
      <c r="EM342">
        <v>39.187</v>
      </c>
      <c r="EN342">
        <v>40.0155</v>
      </c>
      <c r="EO342">
        <v>39.625</v>
      </c>
      <c r="EP342">
        <v>1454.575</v>
      </c>
      <c r="EQ342">
        <v>40.35</v>
      </c>
      <c r="ER342">
        <v>0</v>
      </c>
      <c r="ES342">
        <v>933.7999999523163</v>
      </c>
      <c r="ET342">
        <v>0</v>
      </c>
      <c r="EU342">
        <v>894.5066800000001</v>
      </c>
      <c r="EV342">
        <v>25.35992311584058</v>
      </c>
      <c r="EW342">
        <v>355.838462130374</v>
      </c>
      <c r="EX342">
        <v>13351.384</v>
      </c>
      <c r="EY342">
        <v>15</v>
      </c>
      <c r="EZ342">
        <v>1651865518.1</v>
      </c>
      <c r="FA342" t="s">
        <v>910</v>
      </c>
      <c r="FB342">
        <v>1651865507.1</v>
      </c>
      <c r="FC342">
        <v>1651865518.1</v>
      </c>
      <c r="FD342">
        <v>8</v>
      </c>
      <c r="FE342">
        <v>0.06</v>
      </c>
      <c r="FF342">
        <v>0</v>
      </c>
      <c r="FG342">
        <v>-0.927</v>
      </c>
      <c r="FH342">
        <v>-0.062</v>
      </c>
      <c r="FI342">
        <v>400</v>
      </c>
      <c r="FJ342">
        <v>11</v>
      </c>
      <c r="FK342">
        <v>0.11</v>
      </c>
      <c r="FL342">
        <v>0.01</v>
      </c>
      <c r="FM342">
        <v>-58.40427999999999</v>
      </c>
      <c r="FN342">
        <v>-9.049677298311341</v>
      </c>
      <c r="FO342">
        <v>0.8756160369134401</v>
      </c>
      <c r="FP342">
        <v>-1</v>
      </c>
      <c r="FQ342">
        <v>9.440492750000001</v>
      </c>
      <c r="FR342">
        <v>0.1290034896810243</v>
      </c>
      <c r="FS342">
        <v>0.01243374621493861</v>
      </c>
      <c r="FT342">
        <v>-1</v>
      </c>
      <c r="FU342">
        <v>0</v>
      </c>
      <c r="FV342">
        <v>0</v>
      </c>
      <c r="FW342">
        <v>0</v>
      </c>
      <c r="FX342">
        <v>-1</v>
      </c>
      <c r="FY342">
        <v>0</v>
      </c>
      <c r="FZ342">
        <v>0</v>
      </c>
      <c r="GA342" t="s">
        <v>420</v>
      </c>
      <c r="GB342">
        <v>2.98147</v>
      </c>
      <c r="GC342">
        <v>2.70629</v>
      </c>
      <c r="GD342">
        <v>0.103288</v>
      </c>
      <c r="GE342">
        <v>0.111184</v>
      </c>
      <c r="GF342">
        <v>0.08905449999999999</v>
      </c>
      <c r="GG342">
        <v>0.0522559</v>
      </c>
      <c r="GH342">
        <v>28336.1</v>
      </c>
      <c r="GI342">
        <v>28146.6</v>
      </c>
      <c r="GJ342">
        <v>29377.7</v>
      </c>
      <c r="GK342">
        <v>29291.8</v>
      </c>
      <c r="GL342">
        <v>35433.7</v>
      </c>
      <c r="GM342">
        <v>36981</v>
      </c>
      <c r="GN342">
        <v>41349.9</v>
      </c>
      <c r="GO342">
        <v>41811.2</v>
      </c>
      <c r="GP342">
        <v>1.96707</v>
      </c>
      <c r="GQ342">
        <v>1.8541</v>
      </c>
      <c r="GR342">
        <v>-0.00566244</v>
      </c>
      <c r="GS342">
        <v>0</v>
      </c>
      <c r="GT342">
        <v>25.0931</v>
      </c>
      <c r="GU342">
        <v>999.9</v>
      </c>
      <c r="GV342">
        <v>29.7</v>
      </c>
      <c r="GW342">
        <v>34.2</v>
      </c>
      <c r="GX342">
        <v>17.8477</v>
      </c>
      <c r="GY342">
        <v>62.4276</v>
      </c>
      <c r="GZ342">
        <v>35.3165</v>
      </c>
      <c r="HA342">
        <v>1</v>
      </c>
      <c r="HB342">
        <v>0.0445046</v>
      </c>
      <c r="HC342">
        <v>1.49161</v>
      </c>
      <c r="HD342">
        <v>20.3279</v>
      </c>
      <c r="HE342">
        <v>5.21759</v>
      </c>
      <c r="HF342">
        <v>12.0099</v>
      </c>
      <c r="HG342">
        <v>4.9889</v>
      </c>
      <c r="HH342">
        <v>3.2885</v>
      </c>
      <c r="HI342">
        <v>1032.6</v>
      </c>
      <c r="HJ342">
        <v>9743</v>
      </c>
      <c r="HK342">
        <v>5139.4</v>
      </c>
      <c r="HL342">
        <v>25.4</v>
      </c>
      <c r="HM342">
        <v>1.8674</v>
      </c>
      <c r="HN342">
        <v>1.86646</v>
      </c>
      <c r="HO342">
        <v>1.866</v>
      </c>
      <c r="HP342">
        <v>1.86584</v>
      </c>
      <c r="HQ342">
        <v>1.86768</v>
      </c>
      <c r="HR342">
        <v>1.87023</v>
      </c>
      <c r="HS342">
        <v>1.8689</v>
      </c>
      <c r="HT342">
        <v>1.87019</v>
      </c>
      <c r="HU342">
        <v>0</v>
      </c>
      <c r="HV342">
        <v>0</v>
      </c>
      <c r="HW342">
        <v>0</v>
      </c>
      <c r="HX342">
        <v>0</v>
      </c>
      <c r="HY342" t="s">
        <v>421</v>
      </c>
      <c r="HZ342" t="s">
        <v>422</v>
      </c>
      <c r="IA342" t="s">
        <v>423</v>
      </c>
      <c r="IB342" t="s">
        <v>423</v>
      </c>
      <c r="IC342" t="s">
        <v>423</v>
      </c>
      <c r="ID342" t="s">
        <v>423</v>
      </c>
      <c r="IE342">
        <v>0</v>
      </c>
      <c r="IF342">
        <v>100</v>
      </c>
      <c r="IG342">
        <v>100</v>
      </c>
      <c r="IH342">
        <v>-1.067</v>
      </c>
      <c r="II342">
        <v>0.026</v>
      </c>
      <c r="IJ342">
        <v>-0.1559367209035702</v>
      </c>
      <c r="IK342">
        <v>-0.002077099775823331</v>
      </c>
      <c r="IL342">
        <v>4.593143279902166E-07</v>
      </c>
      <c r="IM342">
        <v>-1.865383991892071E-10</v>
      </c>
      <c r="IN342">
        <v>-0.0607165066849496</v>
      </c>
      <c r="IO342">
        <v>-0.01129461987421345</v>
      </c>
      <c r="IP342">
        <v>0.00116580895745559</v>
      </c>
      <c r="IQ342">
        <v>-1.679085872906199E-05</v>
      </c>
      <c r="IR342">
        <v>2</v>
      </c>
      <c r="IS342">
        <v>2290</v>
      </c>
      <c r="IT342">
        <v>0</v>
      </c>
      <c r="IU342">
        <v>32</v>
      </c>
      <c r="IV342">
        <v>15.1</v>
      </c>
      <c r="IW342">
        <v>15</v>
      </c>
      <c r="IX342">
        <v>1.29517</v>
      </c>
      <c r="IY342">
        <v>2.20703</v>
      </c>
      <c r="IZ342">
        <v>1.39648</v>
      </c>
      <c r="JA342">
        <v>2.35474</v>
      </c>
      <c r="JB342">
        <v>1.49536</v>
      </c>
      <c r="JC342">
        <v>2.29858</v>
      </c>
      <c r="JD342">
        <v>38.0134</v>
      </c>
      <c r="JE342">
        <v>24.035</v>
      </c>
      <c r="JF342">
        <v>18</v>
      </c>
      <c r="JG342">
        <v>512.522</v>
      </c>
      <c r="JH342">
        <v>426.077</v>
      </c>
      <c r="JI342">
        <v>23.1496</v>
      </c>
      <c r="JJ342">
        <v>27.8971</v>
      </c>
      <c r="JK342">
        <v>29.9999</v>
      </c>
      <c r="JL342">
        <v>27.9173</v>
      </c>
      <c r="JM342">
        <v>27.8617</v>
      </c>
      <c r="JN342">
        <v>25.9602</v>
      </c>
      <c r="JO342">
        <v>45.4933</v>
      </c>
      <c r="JP342">
        <v>0</v>
      </c>
      <c r="JQ342">
        <v>23.1525</v>
      </c>
      <c r="JR342">
        <v>559.005</v>
      </c>
      <c r="JS342">
        <v>9.20359</v>
      </c>
      <c r="JT342">
        <v>100.418</v>
      </c>
      <c r="JU342">
        <v>100.347</v>
      </c>
    </row>
    <row r="343" spans="1:281">
      <c r="A343">
        <v>327</v>
      </c>
      <c r="B343">
        <v>1651866418</v>
      </c>
      <c r="C343">
        <v>2197.400000095367</v>
      </c>
      <c r="D343" t="s">
        <v>1077</v>
      </c>
      <c r="E343" t="s">
        <v>1078</v>
      </c>
      <c r="F343">
        <v>2</v>
      </c>
      <c r="G343" t="s">
        <v>908</v>
      </c>
      <c r="H343" t="s">
        <v>414</v>
      </c>
      <c r="I343">
        <v>1651866417</v>
      </c>
      <c r="J343">
        <f>(K343)/1000</f>
        <v>0</v>
      </c>
      <c r="K343">
        <f>IF(CZ343, AN343, AH343)</f>
        <v>0</v>
      </c>
      <c r="L343">
        <f>IF(CZ343, AI343, AG343)</f>
        <v>0</v>
      </c>
      <c r="M343">
        <f>DB343 - IF(AU343&gt;1, L343*CV343*100.0/(AW343*DP343), 0)</f>
        <v>0</v>
      </c>
      <c r="N343">
        <f>((T343-J343/2)*M343-L343)/(T343+J343/2)</f>
        <v>0</v>
      </c>
      <c r="O343">
        <f>N343*(DI343+DJ343)/1000.0</f>
        <v>0</v>
      </c>
      <c r="P343">
        <f>(DB343 - IF(AU343&gt;1, L343*CV343*100.0/(AW343*DP343), 0))*(DI343+DJ343)/1000.0</f>
        <v>0</v>
      </c>
      <c r="Q343">
        <f>2.0/((1/S343-1/R343)+SIGN(S343)*SQRT((1/S343-1/R343)*(1/S343-1/R343) + 4*CW343/((CW343+1)*(CW343+1))*(2*1/S343*1/R343-1/R343*1/R343)))</f>
        <v>0</v>
      </c>
      <c r="R343">
        <f>IF(LEFT(CX343,1)&lt;&gt;"0",IF(LEFT(CX343,1)="1",3.0,CY343),$D$5+$E$5*(DP343*DI343/($K$5*1000))+$F$5*(DP343*DI343/($K$5*1000))*MAX(MIN(CV343,$J$5),$I$5)*MAX(MIN(CV343,$J$5),$I$5)+$G$5*MAX(MIN(CV343,$J$5),$I$5)*(DP343*DI343/($K$5*1000))+$H$5*(DP343*DI343/($K$5*1000))*(DP343*DI343/($K$5*1000)))</f>
        <v>0</v>
      </c>
      <c r="S343">
        <f>J343*(1000-(1000*0.61365*exp(17.502*W343/(240.97+W343))/(DI343+DJ343)+DD343)/2)/(1000*0.61365*exp(17.502*W343/(240.97+W343))/(DI343+DJ343)-DD343)</f>
        <v>0</v>
      </c>
      <c r="T343">
        <f>1/((CW343+1)/(Q343/1.6)+1/(R343/1.37)) + CW343/((CW343+1)/(Q343/1.6) + CW343/(R343/1.37))</f>
        <v>0</v>
      </c>
      <c r="U343">
        <f>(CR343*CU343)</f>
        <v>0</v>
      </c>
      <c r="V343">
        <f>(DK343+(U343+2*0.95*5.67E-8*(((DK343+$B$7)+273)^4-(DK343+273)^4)-44100*J343)/(1.84*29.3*R343+8*0.95*5.67E-8*(DK343+273)^3))</f>
        <v>0</v>
      </c>
      <c r="W343">
        <f>($C$7*DL343+$D$7*DM343+$E$7*V343)</f>
        <v>0</v>
      </c>
      <c r="X343">
        <f>0.61365*exp(17.502*W343/(240.97+W343))</f>
        <v>0</v>
      </c>
      <c r="Y343">
        <f>(Z343/AA343*100)</f>
        <v>0</v>
      </c>
      <c r="Z343">
        <f>DD343*(DI343+DJ343)/1000</f>
        <v>0</v>
      </c>
      <c r="AA343">
        <f>0.61365*exp(17.502*DK343/(240.97+DK343))</f>
        <v>0</v>
      </c>
      <c r="AB343">
        <f>(X343-DD343*(DI343+DJ343)/1000)</f>
        <v>0</v>
      </c>
      <c r="AC343">
        <f>(-J343*44100)</f>
        <v>0</v>
      </c>
      <c r="AD343">
        <f>2*29.3*R343*0.92*(DK343-W343)</f>
        <v>0</v>
      </c>
      <c r="AE343">
        <f>2*0.95*5.67E-8*(((DK343+$B$7)+273)^4-(W343+273)^4)</f>
        <v>0</v>
      </c>
      <c r="AF343">
        <f>U343+AE343+AC343+AD343</f>
        <v>0</v>
      </c>
      <c r="AG343">
        <f>DH343*AU343*(DC343-DB343*(1000-AU343*DE343)/(1000-AU343*DD343))/(100*CV343)</f>
        <v>0</v>
      </c>
      <c r="AH343">
        <f>1000*DH343*AU343*(DD343-DE343)/(100*CV343*(1000-AU343*DD343))</f>
        <v>0</v>
      </c>
      <c r="AI343">
        <f>(AJ343 - AK343 - DI343*1E3/(8.314*(DK343+273.15)) * AM343/DH343 * AL343) * DH343/(100*CV343) * (1000 - DE343)/1000</f>
        <v>0</v>
      </c>
      <c r="AJ343">
        <v>540.6941338098746</v>
      </c>
      <c r="AK343">
        <v>492.467206060606</v>
      </c>
      <c r="AL343">
        <v>3.285980574763654</v>
      </c>
      <c r="AM343">
        <v>66.38195617057868</v>
      </c>
      <c r="AN343">
        <f>(AP343 - AO343 + DI343*1E3/(8.314*(DK343+273.15)) * AR343/DH343 * AQ343) * DH343/(100*CV343) * 1000/(1000 - AP343)</f>
        <v>0</v>
      </c>
      <c r="AO343">
        <v>9.260967064966684</v>
      </c>
      <c r="AP343">
        <v>18.72694970588234</v>
      </c>
      <c r="AQ343">
        <v>6.113682538646456E-05</v>
      </c>
      <c r="AR343">
        <v>80.47178418790507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MAX(0,($B$13+$C$13*DP343)/(1+$D$13*DP343)*DI343/(DK343+273)*$E$13)</f>
        <v>0</v>
      </c>
      <c r="AX343" t="s">
        <v>417</v>
      </c>
      <c r="AY343" t="s">
        <v>417</v>
      </c>
      <c r="AZ343">
        <v>0</v>
      </c>
      <c r="BA343">
        <v>0</v>
      </c>
      <c r="BB343">
        <f>1-AZ343/BA343</f>
        <v>0</v>
      </c>
      <c r="BC343">
        <v>0</v>
      </c>
      <c r="BD343" t="s">
        <v>417</v>
      </c>
      <c r="BE343" t="s">
        <v>417</v>
      </c>
      <c r="BF343">
        <v>0</v>
      </c>
      <c r="BG343">
        <v>0</v>
      </c>
      <c r="BH343">
        <f>1-BF343/BG343</f>
        <v>0</v>
      </c>
      <c r="BI343">
        <v>0.5</v>
      </c>
      <c r="BJ343">
        <f>CS343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417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BZ343">
        <v>1249</v>
      </c>
      <c r="CA343">
        <v>300</v>
      </c>
      <c r="CB343">
        <v>300</v>
      </c>
      <c r="CC343">
        <v>300</v>
      </c>
      <c r="CD343">
        <v>10442.4</v>
      </c>
      <c r="CE343">
        <v>1239.69</v>
      </c>
      <c r="CF343">
        <v>-0.00735276</v>
      </c>
      <c r="CG343">
        <v>0.07000000000000001</v>
      </c>
      <c r="CH343" t="s">
        <v>417</v>
      </c>
      <c r="CI343" t="s">
        <v>417</v>
      </c>
      <c r="CJ343" t="s">
        <v>417</v>
      </c>
      <c r="CK343" t="s">
        <v>417</v>
      </c>
      <c r="CL343" t="s">
        <v>417</v>
      </c>
      <c r="CM343" t="s">
        <v>417</v>
      </c>
      <c r="CN343" t="s">
        <v>417</v>
      </c>
      <c r="CO343" t="s">
        <v>417</v>
      </c>
      <c r="CP343" t="s">
        <v>417</v>
      </c>
      <c r="CQ343" t="s">
        <v>417</v>
      </c>
      <c r="CR343">
        <f>$B$11*DQ343+$C$11*DR343+$F$11*EC343*(1-EF343)</f>
        <v>0</v>
      </c>
      <c r="CS343">
        <f>CR343*CT343</f>
        <v>0</v>
      </c>
      <c r="CT343">
        <f>($B$11*$D$9+$C$11*$D$9+$F$11*((EP343+EH343)/MAX(EP343+EH343+EQ343, 0.1)*$I$9+EQ343/MAX(EP343+EH343+EQ343, 0.1)*$J$9))/($B$11+$C$11+$F$11)</f>
        <v>0</v>
      </c>
      <c r="CU343">
        <f>($B$11*$K$9+$C$11*$K$9+$F$11*((EP343+EH343)/MAX(EP343+EH343+EQ343, 0.1)*$P$9+EQ343/MAX(EP343+EH343+EQ343, 0.1)*$Q$9))/($B$11+$C$11+$F$11)</f>
        <v>0</v>
      </c>
      <c r="CV343">
        <v>6</v>
      </c>
      <c r="CW343">
        <v>0.5</v>
      </c>
      <c r="CX343" t="s">
        <v>418</v>
      </c>
      <c r="CY343">
        <v>2</v>
      </c>
      <c r="CZ343" t="b">
        <v>1</v>
      </c>
      <c r="DA343">
        <v>1651866417</v>
      </c>
      <c r="DB343">
        <v>481.6343333333334</v>
      </c>
      <c r="DC343">
        <v>541.631</v>
      </c>
      <c r="DD343">
        <v>18.72586666666666</v>
      </c>
      <c r="DE343">
        <v>9.25934</v>
      </c>
      <c r="DF343">
        <v>482.7066666666666</v>
      </c>
      <c r="DG343">
        <v>18.69993333333333</v>
      </c>
      <c r="DH343">
        <v>500.0256666666667</v>
      </c>
      <c r="DI343">
        <v>89.91533333333332</v>
      </c>
      <c r="DJ343">
        <v>0.1000263333333333</v>
      </c>
      <c r="DK343">
        <v>25.9417</v>
      </c>
      <c r="DL343">
        <v>25.0045</v>
      </c>
      <c r="DM343">
        <v>999.9</v>
      </c>
      <c r="DN343">
        <v>0</v>
      </c>
      <c r="DO343">
        <v>0</v>
      </c>
      <c r="DP343">
        <v>10005.83333333333</v>
      </c>
      <c r="DQ343">
        <v>0</v>
      </c>
      <c r="DR343">
        <v>3.21788</v>
      </c>
      <c r="DS343">
        <v>-59.99663333333334</v>
      </c>
      <c r="DT343">
        <v>490.8253333333333</v>
      </c>
      <c r="DU343">
        <v>546.6930000000001</v>
      </c>
      <c r="DV343">
        <v>9.46654</v>
      </c>
      <c r="DW343">
        <v>541.631</v>
      </c>
      <c r="DX343">
        <v>9.25934</v>
      </c>
      <c r="DY343">
        <v>1.68374</v>
      </c>
      <c r="DZ343">
        <v>0.8325566666666667</v>
      </c>
      <c r="EA343">
        <v>14.74733333333333</v>
      </c>
      <c r="EB343">
        <v>4.274846666666667</v>
      </c>
      <c r="EC343">
        <v>1499.973333333333</v>
      </c>
      <c r="ED343">
        <v>0.9729946666666667</v>
      </c>
      <c r="EE343">
        <v>0.02700546666666667</v>
      </c>
      <c r="EF343">
        <v>0</v>
      </c>
      <c r="EG343">
        <v>897.8033333333333</v>
      </c>
      <c r="EH343">
        <v>5.00097</v>
      </c>
      <c r="EI343">
        <v>13397.93333333333</v>
      </c>
      <c r="EJ343">
        <v>12491.3</v>
      </c>
      <c r="EK343">
        <v>38.812</v>
      </c>
      <c r="EL343">
        <v>40.04133333333333</v>
      </c>
      <c r="EM343">
        <v>39.16633333333333</v>
      </c>
      <c r="EN343">
        <v>40</v>
      </c>
      <c r="EO343">
        <v>39.625</v>
      </c>
      <c r="EP343">
        <v>1454.603333333333</v>
      </c>
      <c r="EQ343">
        <v>40.37</v>
      </c>
      <c r="ER343">
        <v>0</v>
      </c>
      <c r="ES343">
        <v>935.6000001430511</v>
      </c>
      <c r="ET343">
        <v>0</v>
      </c>
      <c r="EU343">
        <v>895.128153846154</v>
      </c>
      <c r="EV343">
        <v>25.02215384281041</v>
      </c>
      <c r="EW343">
        <v>350.8888889167308</v>
      </c>
      <c r="EX343">
        <v>13360.34230769231</v>
      </c>
      <c r="EY343">
        <v>15</v>
      </c>
      <c r="EZ343">
        <v>1651865518.1</v>
      </c>
      <c r="FA343" t="s">
        <v>910</v>
      </c>
      <c r="FB343">
        <v>1651865507.1</v>
      </c>
      <c r="FC343">
        <v>1651865518.1</v>
      </c>
      <c r="FD343">
        <v>8</v>
      </c>
      <c r="FE343">
        <v>0.06</v>
      </c>
      <c r="FF343">
        <v>0</v>
      </c>
      <c r="FG343">
        <v>-0.927</v>
      </c>
      <c r="FH343">
        <v>-0.062</v>
      </c>
      <c r="FI343">
        <v>400</v>
      </c>
      <c r="FJ343">
        <v>11</v>
      </c>
      <c r="FK343">
        <v>0.11</v>
      </c>
      <c r="FL343">
        <v>0.01</v>
      </c>
      <c r="FM343">
        <v>-58.58972682926829</v>
      </c>
      <c r="FN343">
        <v>-8.710590940766464</v>
      </c>
      <c r="FO343">
        <v>0.8634710310573896</v>
      </c>
      <c r="FP343">
        <v>-1</v>
      </c>
      <c r="FQ343">
        <v>9.443173902439025</v>
      </c>
      <c r="FR343">
        <v>0.1281102439024368</v>
      </c>
      <c r="FS343">
        <v>0.01265477040642225</v>
      </c>
      <c r="FT343">
        <v>-1</v>
      </c>
      <c r="FU343">
        <v>0</v>
      </c>
      <c r="FV343">
        <v>0</v>
      </c>
      <c r="FW343">
        <v>0</v>
      </c>
      <c r="FX343">
        <v>-1</v>
      </c>
      <c r="FY343">
        <v>0</v>
      </c>
      <c r="FZ343">
        <v>0</v>
      </c>
      <c r="GA343" t="s">
        <v>420</v>
      </c>
      <c r="GB343">
        <v>2.98138</v>
      </c>
      <c r="GC343">
        <v>2.70626</v>
      </c>
      <c r="GD343">
        <v>0.104314</v>
      </c>
      <c r="GE343">
        <v>0.11218</v>
      </c>
      <c r="GF343">
        <v>0.0890669</v>
      </c>
      <c r="GG343">
        <v>0.0522498</v>
      </c>
      <c r="GH343">
        <v>28303.6</v>
      </c>
      <c r="GI343">
        <v>28115.1</v>
      </c>
      <c r="GJ343">
        <v>29377.6</v>
      </c>
      <c r="GK343">
        <v>29291.9</v>
      </c>
      <c r="GL343">
        <v>35433.2</v>
      </c>
      <c r="GM343">
        <v>36981.5</v>
      </c>
      <c r="GN343">
        <v>41349.9</v>
      </c>
      <c r="GO343">
        <v>41811.5</v>
      </c>
      <c r="GP343">
        <v>1.96712</v>
      </c>
      <c r="GQ343">
        <v>1.8542</v>
      </c>
      <c r="GR343">
        <v>-0.00528991</v>
      </c>
      <c r="GS343">
        <v>0</v>
      </c>
      <c r="GT343">
        <v>25.0931</v>
      </c>
      <c r="GU343">
        <v>999.9</v>
      </c>
      <c r="GV343">
        <v>29.7</v>
      </c>
      <c r="GW343">
        <v>34.2</v>
      </c>
      <c r="GX343">
        <v>17.8461</v>
      </c>
      <c r="GY343">
        <v>62.4676</v>
      </c>
      <c r="GZ343">
        <v>35.5889</v>
      </c>
      <c r="HA343">
        <v>1</v>
      </c>
      <c r="HB343">
        <v>0.0444715</v>
      </c>
      <c r="HC343">
        <v>1.48524</v>
      </c>
      <c r="HD343">
        <v>20.328</v>
      </c>
      <c r="HE343">
        <v>5.21774</v>
      </c>
      <c r="HF343">
        <v>12.0099</v>
      </c>
      <c r="HG343">
        <v>4.989</v>
      </c>
      <c r="HH343">
        <v>3.2885</v>
      </c>
      <c r="HI343">
        <v>1032.6</v>
      </c>
      <c r="HJ343">
        <v>9743</v>
      </c>
      <c r="HK343">
        <v>5139.4</v>
      </c>
      <c r="HL343">
        <v>25.4</v>
      </c>
      <c r="HM343">
        <v>1.86741</v>
      </c>
      <c r="HN343">
        <v>1.86646</v>
      </c>
      <c r="HO343">
        <v>1.866</v>
      </c>
      <c r="HP343">
        <v>1.86584</v>
      </c>
      <c r="HQ343">
        <v>1.86768</v>
      </c>
      <c r="HR343">
        <v>1.87024</v>
      </c>
      <c r="HS343">
        <v>1.8689</v>
      </c>
      <c r="HT343">
        <v>1.8702</v>
      </c>
      <c r="HU343">
        <v>0</v>
      </c>
      <c r="HV343">
        <v>0</v>
      </c>
      <c r="HW343">
        <v>0</v>
      </c>
      <c r="HX343">
        <v>0</v>
      </c>
      <c r="HY343" t="s">
        <v>421</v>
      </c>
      <c r="HZ343" t="s">
        <v>422</v>
      </c>
      <c r="IA343" t="s">
        <v>423</v>
      </c>
      <c r="IB343" t="s">
        <v>423</v>
      </c>
      <c r="IC343" t="s">
        <v>423</v>
      </c>
      <c r="ID343" t="s">
        <v>423</v>
      </c>
      <c r="IE343">
        <v>0</v>
      </c>
      <c r="IF343">
        <v>100</v>
      </c>
      <c r="IG343">
        <v>100</v>
      </c>
      <c r="IH343">
        <v>-1.078</v>
      </c>
      <c r="II343">
        <v>0.026</v>
      </c>
      <c r="IJ343">
        <v>-0.1559367209035702</v>
      </c>
      <c r="IK343">
        <v>-0.002077099775823331</v>
      </c>
      <c r="IL343">
        <v>4.593143279902166E-07</v>
      </c>
      <c r="IM343">
        <v>-1.865383991892071E-10</v>
      </c>
      <c r="IN343">
        <v>-0.0607165066849496</v>
      </c>
      <c r="IO343">
        <v>-0.01129461987421345</v>
      </c>
      <c r="IP343">
        <v>0.00116580895745559</v>
      </c>
      <c r="IQ343">
        <v>-1.679085872906199E-05</v>
      </c>
      <c r="IR343">
        <v>2</v>
      </c>
      <c r="IS343">
        <v>2290</v>
      </c>
      <c r="IT343">
        <v>0</v>
      </c>
      <c r="IU343">
        <v>32</v>
      </c>
      <c r="IV343">
        <v>15.2</v>
      </c>
      <c r="IW343">
        <v>15</v>
      </c>
      <c r="IX343">
        <v>1.30737</v>
      </c>
      <c r="IY343">
        <v>2.20581</v>
      </c>
      <c r="IZ343">
        <v>1.39648</v>
      </c>
      <c r="JA343">
        <v>2.35596</v>
      </c>
      <c r="JB343">
        <v>1.49536</v>
      </c>
      <c r="JC343">
        <v>2.36084</v>
      </c>
      <c r="JD343">
        <v>38.0134</v>
      </c>
      <c r="JE343">
        <v>24.0437</v>
      </c>
      <c r="JF343">
        <v>18</v>
      </c>
      <c r="JG343">
        <v>512.545</v>
      </c>
      <c r="JH343">
        <v>426.128</v>
      </c>
      <c r="JI343">
        <v>23.1501</v>
      </c>
      <c r="JJ343">
        <v>27.8965</v>
      </c>
      <c r="JK343">
        <v>29.9999</v>
      </c>
      <c r="JL343">
        <v>27.9162</v>
      </c>
      <c r="JM343">
        <v>27.8605</v>
      </c>
      <c r="JN343">
        <v>26.2124</v>
      </c>
      <c r="JO343">
        <v>45.4933</v>
      </c>
      <c r="JP343">
        <v>0</v>
      </c>
      <c r="JQ343">
        <v>23.1525</v>
      </c>
      <c r="JR343">
        <v>565.684</v>
      </c>
      <c r="JS343">
        <v>9.196870000000001</v>
      </c>
      <c r="JT343">
        <v>100.418</v>
      </c>
      <c r="JU343">
        <v>100.348</v>
      </c>
    </row>
    <row r="344" spans="1:281">
      <c r="A344">
        <v>328</v>
      </c>
      <c r="B344">
        <v>1651866420</v>
      </c>
      <c r="C344">
        <v>2199.400000095367</v>
      </c>
      <c r="D344" t="s">
        <v>1079</v>
      </c>
      <c r="E344" t="s">
        <v>1080</v>
      </c>
      <c r="F344">
        <v>2</v>
      </c>
      <c r="G344" t="s">
        <v>908</v>
      </c>
      <c r="H344" t="s">
        <v>414</v>
      </c>
      <c r="I344">
        <v>1651866418.625</v>
      </c>
      <c r="J344">
        <f>(K344)/1000</f>
        <v>0</v>
      </c>
      <c r="K344">
        <f>IF(CZ344, AN344, AH344)</f>
        <v>0</v>
      </c>
      <c r="L344">
        <f>IF(CZ344, AI344, AG344)</f>
        <v>0</v>
      </c>
      <c r="M344">
        <f>DB344 - IF(AU344&gt;1, L344*CV344*100.0/(AW344*DP344), 0)</f>
        <v>0</v>
      </c>
      <c r="N344">
        <f>((T344-J344/2)*M344-L344)/(T344+J344/2)</f>
        <v>0</v>
      </c>
      <c r="O344">
        <f>N344*(DI344+DJ344)/1000.0</f>
        <v>0</v>
      </c>
      <c r="P344">
        <f>(DB344 - IF(AU344&gt;1, L344*CV344*100.0/(AW344*DP344), 0))*(DI344+DJ344)/1000.0</f>
        <v>0</v>
      </c>
      <c r="Q344">
        <f>2.0/((1/S344-1/R344)+SIGN(S344)*SQRT((1/S344-1/R344)*(1/S344-1/R344) + 4*CW344/((CW344+1)*(CW344+1))*(2*1/S344*1/R344-1/R344*1/R344)))</f>
        <v>0</v>
      </c>
      <c r="R344">
        <f>IF(LEFT(CX344,1)&lt;&gt;"0",IF(LEFT(CX344,1)="1",3.0,CY344),$D$5+$E$5*(DP344*DI344/($K$5*1000))+$F$5*(DP344*DI344/($K$5*1000))*MAX(MIN(CV344,$J$5),$I$5)*MAX(MIN(CV344,$J$5),$I$5)+$G$5*MAX(MIN(CV344,$J$5),$I$5)*(DP344*DI344/($K$5*1000))+$H$5*(DP344*DI344/($K$5*1000))*(DP344*DI344/($K$5*1000)))</f>
        <v>0</v>
      </c>
      <c r="S344">
        <f>J344*(1000-(1000*0.61365*exp(17.502*W344/(240.97+W344))/(DI344+DJ344)+DD344)/2)/(1000*0.61365*exp(17.502*W344/(240.97+W344))/(DI344+DJ344)-DD344)</f>
        <v>0</v>
      </c>
      <c r="T344">
        <f>1/((CW344+1)/(Q344/1.6)+1/(R344/1.37)) + CW344/((CW344+1)/(Q344/1.6) + CW344/(R344/1.37))</f>
        <v>0</v>
      </c>
      <c r="U344">
        <f>(CR344*CU344)</f>
        <v>0</v>
      </c>
      <c r="V344">
        <f>(DK344+(U344+2*0.95*5.67E-8*(((DK344+$B$7)+273)^4-(DK344+273)^4)-44100*J344)/(1.84*29.3*R344+8*0.95*5.67E-8*(DK344+273)^3))</f>
        <v>0</v>
      </c>
      <c r="W344">
        <f>($C$7*DL344+$D$7*DM344+$E$7*V344)</f>
        <v>0</v>
      </c>
      <c r="X344">
        <f>0.61365*exp(17.502*W344/(240.97+W344))</f>
        <v>0</v>
      </c>
      <c r="Y344">
        <f>(Z344/AA344*100)</f>
        <v>0</v>
      </c>
      <c r="Z344">
        <f>DD344*(DI344+DJ344)/1000</f>
        <v>0</v>
      </c>
      <c r="AA344">
        <f>0.61365*exp(17.502*DK344/(240.97+DK344))</f>
        <v>0</v>
      </c>
      <c r="AB344">
        <f>(X344-DD344*(DI344+DJ344)/1000)</f>
        <v>0</v>
      </c>
      <c r="AC344">
        <f>(-J344*44100)</f>
        <v>0</v>
      </c>
      <c r="AD344">
        <f>2*29.3*R344*0.92*(DK344-W344)</f>
        <v>0</v>
      </c>
      <c r="AE344">
        <f>2*0.95*5.67E-8*(((DK344+$B$7)+273)^4-(W344+273)^4)</f>
        <v>0</v>
      </c>
      <c r="AF344">
        <f>U344+AE344+AC344+AD344</f>
        <v>0</v>
      </c>
      <c r="AG344">
        <f>DH344*AU344*(DC344-DB344*(1000-AU344*DE344)/(1000-AU344*DD344))/(100*CV344)</f>
        <v>0</v>
      </c>
      <c r="AH344">
        <f>1000*DH344*AU344*(DD344-DE344)/(100*CV344*(1000-AU344*DD344))</f>
        <v>0</v>
      </c>
      <c r="AI344">
        <f>(AJ344 - AK344 - DI344*1E3/(8.314*(DK344+273.15)) * AM344/DH344 * AL344) * DH344/(100*CV344) * (1000 - DE344)/1000</f>
        <v>0</v>
      </c>
      <c r="AJ344">
        <v>547.4844710099518</v>
      </c>
      <c r="AK344">
        <v>499.0810242424243</v>
      </c>
      <c r="AL344">
        <v>3.297197200194674</v>
      </c>
      <c r="AM344">
        <v>66.38195617057868</v>
      </c>
      <c r="AN344">
        <f>(AP344 - AO344 + DI344*1E3/(8.314*(DK344+273.15)) * AR344/DH344 * AQ344) * DH344/(100*CV344) * 1000/(1000 - AP344)</f>
        <v>0</v>
      </c>
      <c r="AO344">
        <v>9.260262857731558</v>
      </c>
      <c r="AP344">
        <v>18.73033117647059</v>
      </c>
      <c r="AQ344">
        <v>8.521055009844847E-05</v>
      </c>
      <c r="AR344">
        <v>80.47178418790507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MAX(0,($B$13+$C$13*DP344)/(1+$D$13*DP344)*DI344/(DK344+273)*$E$13)</f>
        <v>0</v>
      </c>
      <c r="AX344" t="s">
        <v>417</v>
      </c>
      <c r="AY344" t="s">
        <v>417</v>
      </c>
      <c r="AZ344">
        <v>0</v>
      </c>
      <c r="BA344">
        <v>0</v>
      </c>
      <c r="BB344">
        <f>1-AZ344/BA344</f>
        <v>0</v>
      </c>
      <c r="BC344">
        <v>0</v>
      </c>
      <c r="BD344" t="s">
        <v>417</v>
      </c>
      <c r="BE344" t="s">
        <v>417</v>
      </c>
      <c r="BF344">
        <v>0</v>
      </c>
      <c r="BG344">
        <v>0</v>
      </c>
      <c r="BH344">
        <f>1-BF344/BG344</f>
        <v>0</v>
      </c>
      <c r="BI344">
        <v>0.5</v>
      </c>
      <c r="BJ344">
        <f>CS344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417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BZ344">
        <v>1249</v>
      </c>
      <c r="CA344">
        <v>300</v>
      </c>
      <c r="CB344">
        <v>300</v>
      </c>
      <c r="CC344">
        <v>300</v>
      </c>
      <c r="CD344">
        <v>10442.4</v>
      </c>
      <c r="CE344">
        <v>1239.69</v>
      </c>
      <c r="CF344">
        <v>-0.00735276</v>
      </c>
      <c r="CG344">
        <v>0.07000000000000001</v>
      </c>
      <c r="CH344" t="s">
        <v>417</v>
      </c>
      <c r="CI344" t="s">
        <v>417</v>
      </c>
      <c r="CJ344" t="s">
        <v>417</v>
      </c>
      <c r="CK344" t="s">
        <v>417</v>
      </c>
      <c r="CL344" t="s">
        <v>417</v>
      </c>
      <c r="CM344" t="s">
        <v>417</v>
      </c>
      <c r="CN344" t="s">
        <v>417</v>
      </c>
      <c r="CO344" t="s">
        <v>417</v>
      </c>
      <c r="CP344" t="s">
        <v>417</v>
      </c>
      <c r="CQ344" t="s">
        <v>417</v>
      </c>
      <c r="CR344">
        <f>$B$11*DQ344+$C$11*DR344+$F$11*EC344*(1-EF344)</f>
        <v>0</v>
      </c>
      <c r="CS344">
        <f>CR344*CT344</f>
        <v>0</v>
      </c>
      <c r="CT344">
        <f>($B$11*$D$9+$C$11*$D$9+$F$11*((EP344+EH344)/MAX(EP344+EH344+EQ344, 0.1)*$I$9+EQ344/MAX(EP344+EH344+EQ344, 0.1)*$J$9))/($B$11+$C$11+$F$11)</f>
        <v>0</v>
      </c>
      <c r="CU344">
        <f>($B$11*$K$9+$C$11*$K$9+$F$11*((EP344+EH344)/MAX(EP344+EH344+EQ344, 0.1)*$P$9+EQ344/MAX(EP344+EH344+EQ344, 0.1)*$Q$9))/($B$11+$C$11+$F$11)</f>
        <v>0</v>
      </c>
      <c r="CV344">
        <v>6</v>
      </c>
      <c r="CW344">
        <v>0.5</v>
      </c>
      <c r="CX344" t="s">
        <v>418</v>
      </c>
      <c r="CY344">
        <v>2</v>
      </c>
      <c r="CZ344" t="b">
        <v>1</v>
      </c>
      <c r="DA344">
        <v>1651866418.625</v>
      </c>
      <c r="DB344">
        <v>486.893</v>
      </c>
      <c r="DC344">
        <v>547.13725</v>
      </c>
      <c r="DD344">
        <v>18.728575</v>
      </c>
      <c r="DE344">
        <v>9.258495</v>
      </c>
      <c r="DF344">
        <v>487.97475</v>
      </c>
      <c r="DG344">
        <v>18.702575</v>
      </c>
      <c r="DH344">
        <v>500.02525</v>
      </c>
      <c r="DI344">
        <v>89.91595</v>
      </c>
      <c r="DJ344">
        <v>0.100041875</v>
      </c>
      <c r="DK344">
        <v>25.941975</v>
      </c>
      <c r="DL344">
        <v>25.003675</v>
      </c>
      <c r="DM344">
        <v>999.9</v>
      </c>
      <c r="DN344">
        <v>0</v>
      </c>
      <c r="DO344">
        <v>0</v>
      </c>
      <c r="DP344">
        <v>10003.425</v>
      </c>
      <c r="DQ344">
        <v>0</v>
      </c>
      <c r="DR344">
        <v>3.218935</v>
      </c>
      <c r="DS344">
        <v>-60.24420000000001</v>
      </c>
      <c r="DT344">
        <v>496.186</v>
      </c>
      <c r="DU344">
        <v>552.2502500000001</v>
      </c>
      <c r="DV344">
        <v>9.470065</v>
      </c>
      <c r="DW344">
        <v>547.13725</v>
      </c>
      <c r="DX344">
        <v>9.258495</v>
      </c>
      <c r="DY344">
        <v>1.683995</v>
      </c>
      <c r="DZ344">
        <v>0.8324865</v>
      </c>
      <c r="EA344">
        <v>14.749675</v>
      </c>
      <c r="EB344">
        <v>4.273645</v>
      </c>
      <c r="EC344">
        <v>1500.0025</v>
      </c>
      <c r="ED344">
        <v>0.972988</v>
      </c>
      <c r="EE344">
        <v>0.0270122</v>
      </c>
      <c r="EF344">
        <v>0</v>
      </c>
      <c r="EG344">
        <v>898.6005</v>
      </c>
      <c r="EH344">
        <v>5.00097</v>
      </c>
      <c r="EI344">
        <v>13407.425</v>
      </c>
      <c r="EJ344">
        <v>12491.525</v>
      </c>
      <c r="EK344">
        <v>38.79649999999999</v>
      </c>
      <c r="EL344">
        <v>40</v>
      </c>
      <c r="EM344">
        <v>39.125</v>
      </c>
      <c r="EN344">
        <v>39.95274999999999</v>
      </c>
      <c r="EO344">
        <v>39.57774999999999</v>
      </c>
      <c r="EP344">
        <v>1454.6225</v>
      </c>
      <c r="EQ344">
        <v>40.38</v>
      </c>
      <c r="ER344">
        <v>0</v>
      </c>
      <c r="ES344">
        <v>937.4000000953674</v>
      </c>
      <c r="ET344">
        <v>0</v>
      </c>
      <c r="EU344">
        <v>896.03756</v>
      </c>
      <c r="EV344">
        <v>24.93423076648007</v>
      </c>
      <c r="EW344">
        <v>346.6153846459658</v>
      </c>
      <c r="EX344">
        <v>13372.716</v>
      </c>
      <c r="EY344">
        <v>15</v>
      </c>
      <c r="EZ344">
        <v>1651865518.1</v>
      </c>
      <c r="FA344" t="s">
        <v>910</v>
      </c>
      <c r="FB344">
        <v>1651865507.1</v>
      </c>
      <c r="FC344">
        <v>1651865518.1</v>
      </c>
      <c r="FD344">
        <v>8</v>
      </c>
      <c r="FE344">
        <v>0.06</v>
      </c>
      <c r="FF344">
        <v>0</v>
      </c>
      <c r="FG344">
        <v>-0.927</v>
      </c>
      <c r="FH344">
        <v>-0.062</v>
      </c>
      <c r="FI344">
        <v>400</v>
      </c>
      <c r="FJ344">
        <v>11</v>
      </c>
      <c r="FK344">
        <v>0.11</v>
      </c>
      <c r="FL344">
        <v>0.01</v>
      </c>
      <c r="FM344">
        <v>-58.9922925</v>
      </c>
      <c r="FN344">
        <v>-8.125966604127257</v>
      </c>
      <c r="FO344">
        <v>0.7843899634070731</v>
      </c>
      <c r="FP344">
        <v>-1</v>
      </c>
      <c r="FQ344">
        <v>9.44910775</v>
      </c>
      <c r="FR344">
        <v>0.129902026266407</v>
      </c>
      <c r="FS344">
        <v>0.01252012589543329</v>
      </c>
      <c r="FT344">
        <v>-1</v>
      </c>
      <c r="FU344">
        <v>0</v>
      </c>
      <c r="FV344">
        <v>0</v>
      </c>
      <c r="FW344">
        <v>0</v>
      </c>
      <c r="FX344">
        <v>-1</v>
      </c>
      <c r="FY344">
        <v>0</v>
      </c>
      <c r="FZ344">
        <v>0</v>
      </c>
      <c r="GA344" t="s">
        <v>420</v>
      </c>
      <c r="GB344">
        <v>2.98148</v>
      </c>
      <c r="GC344">
        <v>2.7061</v>
      </c>
      <c r="GD344">
        <v>0.105339</v>
      </c>
      <c r="GE344">
        <v>0.113165</v>
      </c>
      <c r="GF344">
        <v>0.0890855</v>
      </c>
      <c r="GG344">
        <v>0.0522475</v>
      </c>
      <c r="GH344">
        <v>28271.2</v>
      </c>
      <c r="GI344">
        <v>28084.2</v>
      </c>
      <c r="GJ344">
        <v>29377.6</v>
      </c>
      <c r="GK344">
        <v>29292.2</v>
      </c>
      <c r="GL344">
        <v>35432.4</v>
      </c>
      <c r="GM344">
        <v>36982</v>
      </c>
      <c r="GN344">
        <v>41349.8</v>
      </c>
      <c r="GO344">
        <v>41811.9</v>
      </c>
      <c r="GP344">
        <v>1.96728</v>
      </c>
      <c r="GQ344">
        <v>1.85417</v>
      </c>
      <c r="GR344">
        <v>-0.00562519</v>
      </c>
      <c r="GS344">
        <v>0</v>
      </c>
      <c r="GT344">
        <v>25.0931</v>
      </c>
      <c r="GU344">
        <v>999.9</v>
      </c>
      <c r="GV344">
        <v>29.7</v>
      </c>
      <c r="GW344">
        <v>34.2</v>
      </c>
      <c r="GX344">
        <v>17.8457</v>
      </c>
      <c r="GY344">
        <v>62.2376</v>
      </c>
      <c r="GZ344">
        <v>35.3165</v>
      </c>
      <c r="HA344">
        <v>1</v>
      </c>
      <c r="HB344">
        <v>0.0444817</v>
      </c>
      <c r="HC344">
        <v>1.48288</v>
      </c>
      <c r="HD344">
        <v>20.328</v>
      </c>
      <c r="HE344">
        <v>5.21789</v>
      </c>
      <c r="HF344">
        <v>12.0099</v>
      </c>
      <c r="HG344">
        <v>4.9888</v>
      </c>
      <c r="HH344">
        <v>3.2885</v>
      </c>
      <c r="HI344">
        <v>1032.6</v>
      </c>
      <c r="HJ344">
        <v>9743</v>
      </c>
      <c r="HK344">
        <v>5139.4</v>
      </c>
      <c r="HL344">
        <v>25.4</v>
      </c>
      <c r="HM344">
        <v>1.8674</v>
      </c>
      <c r="HN344">
        <v>1.86645</v>
      </c>
      <c r="HO344">
        <v>1.866</v>
      </c>
      <c r="HP344">
        <v>1.86584</v>
      </c>
      <c r="HQ344">
        <v>1.86768</v>
      </c>
      <c r="HR344">
        <v>1.87022</v>
      </c>
      <c r="HS344">
        <v>1.86889</v>
      </c>
      <c r="HT344">
        <v>1.87018</v>
      </c>
      <c r="HU344">
        <v>0</v>
      </c>
      <c r="HV344">
        <v>0</v>
      </c>
      <c r="HW344">
        <v>0</v>
      </c>
      <c r="HX344">
        <v>0</v>
      </c>
      <c r="HY344" t="s">
        <v>421</v>
      </c>
      <c r="HZ344" t="s">
        <v>422</v>
      </c>
      <c r="IA344" t="s">
        <v>423</v>
      </c>
      <c r="IB344" t="s">
        <v>423</v>
      </c>
      <c r="IC344" t="s">
        <v>423</v>
      </c>
      <c r="ID344" t="s">
        <v>423</v>
      </c>
      <c r="IE344">
        <v>0</v>
      </c>
      <c r="IF344">
        <v>100</v>
      </c>
      <c r="IG344">
        <v>100</v>
      </c>
      <c r="IH344">
        <v>-1.089</v>
      </c>
      <c r="II344">
        <v>0.026</v>
      </c>
      <c r="IJ344">
        <v>-0.1559367209035702</v>
      </c>
      <c r="IK344">
        <v>-0.002077099775823331</v>
      </c>
      <c r="IL344">
        <v>4.593143279902166E-07</v>
      </c>
      <c r="IM344">
        <v>-1.865383991892071E-10</v>
      </c>
      <c r="IN344">
        <v>-0.0607165066849496</v>
      </c>
      <c r="IO344">
        <v>-0.01129461987421345</v>
      </c>
      <c r="IP344">
        <v>0.00116580895745559</v>
      </c>
      <c r="IQ344">
        <v>-1.679085872906199E-05</v>
      </c>
      <c r="IR344">
        <v>2</v>
      </c>
      <c r="IS344">
        <v>2290</v>
      </c>
      <c r="IT344">
        <v>0</v>
      </c>
      <c r="IU344">
        <v>32</v>
      </c>
      <c r="IV344">
        <v>15.2</v>
      </c>
      <c r="IW344">
        <v>15</v>
      </c>
      <c r="IX344">
        <v>1.31958</v>
      </c>
      <c r="IY344">
        <v>2.20703</v>
      </c>
      <c r="IZ344">
        <v>1.39648</v>
      </c>
      <c r="JA344">
        <v>2.35596</v>
      </c>
      <c r="JB344">
        <v>1.49536</v>
      </c>
      <c r="JC344">
        <v>2.34863</v>
      </c>
      <c r="JD344">
        <v>38.0134</v>
      </c>
      <c r="JE344">
        <v>24.035</v>
      </c>
      <c r="JF344">
        <v>18</v>
      </c>
      <c r="JG344">
        <v>512.633</v>
      </c>
      <c r="JH344">
        <v>426.109</v>
      </c>
      <c r="JI344">
        <v>23.1512</v>
      </c>
      <c r="JJ344">
        <v>27.896</v>
      </c>
      <c r="JK344">
        <v>29.9999</v>
      </c>
      <c r="JL344">
        <v>27.915</v>
      </c>
      <c r="JM344">
        <v>27.8599</v>
      </c>
      <c r="JN344">
        <v>26.4641</v>
      </c>
      <c r="JO344">
        <v>45.4933</v>
      </c>
      <c r="JP344">
        <v>0</v>
      </c>
      <c r="JQ344">
        <v>23.1503</v>
      </c>
      <c r="JR344">
        <v>572.362</v>
      </c>
      <c r="JS344">
        <v>9.19103</v>
      </c>
      <c r="JT344">
        <v>100.418</v>
      </c>
      <c r="JU344">
        <v>100.349</v>
      </c>
    </row>
    <row r="345" spans="1:281">
      <c r="A345">
        <v>329</v>
      </c>
      <c r="B345">
        <v>1651866422</v>
      </c>
      <c r="C345">
        <v>2201.400000095367</v>
      </c>
      <c r="D345" t="s">
        <v>1081</v>
      </c>
      <c r="E345" t="s">
        <v>1082</v>
      </c>
      <c r="F345">
        <v>2</v>
      </c>
      <c r="G345" t="s">
        <v>908</v>
      </c>
      <c r="H345" t="s">
        <v>414</v>
      </c>
      <c r="I345">
        <v>1651866421</v>
      </c>
      <c r="J345">
        <f>(K345)/1000</f>
        <v>0</v>
      </c>
      <c r="K345">
        <f>IF(CZ345, AN345, AH345)</f>
        <v>0</v>
      </c>
      <c r="L345">
        <f>IF(CZ345, AI345, AG345)</f>
        <v>0</v>
      </c>
      <c r="M345">
        <f>DB345 - IF(AU345&gt;1, L345*CV345*100.0/(AW345*DP345), 0)</f>
        <v>0</v>
      </c>
      <c r="N345">
        <f>((T345-J345/2)*M345-L345)/(T345+J345/2)</f>
        <v>0</v>
      </c>
      <c r="O345">
        <f>N345*(DI345+DJ345)/1000.0</f>
        <v>0</v>
      </c>
      <c r="P345">
        <f>(DB345 - IF(AU345&gt;1, L345*CV345*100.0/(AW345*DP345), 0))*(DI345+DJ345)/1000.0</f>
        <v>0</v>
      </c>
      <c r="Q345">
        <f>2.0/((1/S345-1/R345)+SIGN(S345)*SQRT((1/S345-1/R345)*(1/S345-1/R345) + 4*CW345/((CW345+1)*(CW345+1))*(2*1/S345*1/R345-1/R345*1/R345)))</f>
        <v>0</v>
      </c>
      <c r="R345">
        <f>IF(LEFT(CX345,1)&lt;&gt;"0",IF(LEFT(CX345,1)="1",3.0,CY345),$D$5+$E$5*(DP345*DI345/($K$5*1000))+$F$5*(DP345*DI345/($K$5*1000))*MAX(MIN(CV345,$J$5),$I$5)*MAX(MIN(CV345,$J$5),$I$5)+$G$5*MAX(MIN(CV345,$J$5),$I$5)*(DP345*DI345/($K$5*1000))+$H$5*(DP345*DI345/($K$5*1000))*(DP345*DI345/($K$5*1000)))</f>
        <v>0</v>
      </c>
      <c r="S345">
        <f>J345*(1000-(1000*0.61365*exp(17.502*W345/(240.97+W345))/(DI345+DJ345)+DD345)/2)/(1000*0.61365*exp(17.502*W345/(240.97+W345))/(DI345+DJ345)-DD345)</f>
        <v>0</v>
      </c>
      <c r="T345">
        <f>1/((CW345+1)/(Q345/1.6)+1/(R345/1.37)) + CW345/((CW345+1)/(Q345/1.6) + CW345/(R345/1.37))</f>
        <v>0</v>
      </c>
      <c r="U345">
        <f>(CR345*CU345)</f>
        <v>0</v>
      </c>
      <c r="V345">
        <f>(DK345+(U345+2*0.95*5.67E-8*(((DK345+$B$7)+273)^4-(DK345+273)^4)-44100*J345)/(1.84*29.3*R345+8*0.95*5.67E-8*(DK345+273)^3))</f>
        <v>0</v>
      </c>
      <c r="W345">
        <f>($C$7*DL345+$D$7*DM345+$E$7*V345)</f>
        <v>0</v>
      </c>
      <c r="X345">
        <f>0.61365*exp(17.502*W345/(240.97+W345))</f>
        <v>0</v>
      </c>
      <c r="Y345">
        <f>(Z345/AA345*100)</f>
        <v>0</v>
      </c>
      <c r="Z345">
        <f>DD345*(DI345+DJ345)/1000</f>
        <v>0</v>
      </c>
      <c r="AA345">
        <f>0.61365*exp(17.502*DK345/(240.97+DK345))</f>
        <v>0</v>
      </c>
      <c r="AB345">
        <f>(X345-DD345*(DI345+DJ345)/1000)</f>
        <v>0</v>
      </c>
      <c r="AC345">
        <f>(-J345*44100)</f>
        <v>0</v>
      </c>
      <c r="AD345">
        <f>2*29.3*R345*0.92*(DK345-W345)</f>
        <v>0</v>
      </c>
      <c r="AE345">
        <f>2*0.95*5.67E-8*(((DK345+$B$7)+273)^4-(W345+273)^4)</f>
        <v>0</v>
      </c>
      <c r="AF345">
        <f>U345+AE345+AC345+AD345</f>
        <v>0</v>
      </c>
      <c r="AG345">
        <f>DH345*AU345*(DC345-DB345*(1000-AU345*DE345)/(1000-AU345*DD345))/(100*CV345)</f>
        <v>0</v>
      </c>
      <c r="AH345">
        <f>1000*DH345*AU345*(DD345-DE345)/(100*CV345*(1000-AU345*DD345))</f>
        <v>0</v>
      </c>
      <c r="AI345">
        <f>(AJ345 - AK345 - DI345*1E3/(8.314*(DK345+273.15)) * AM345/DH345 * AL345) * DH345/(100*CV345) * (1000 - DE345)/1000</f>
        <v>0</v>
      </c>
      <c r="AJ345">
        <v>554.3061535573877</v>
      </c>
      <c r="AK345">
        <v>505.7371515151517</v>
      </c>
      <c r="AL345">
        <v>3.319547306984726</v>
      </c>
      <c r="AM345">
        <v>66.38195617057868</v>
      </c>
      <c r="AN345">
        <f>(AP345 - AO345 + DI345*1E3/(8.314*(DK345+273.15)) * AR345/DH345 * AQ345) * DH345/(100*CV345) * 1000/(1000 - AP345)</f>
        <v>0</v>
      </c>
      <c r="AO345">
        <v>9.259059191913165</v>
      </c>
      <c r="AP345">
        <v>18.73257529411764</v>
      </c>
      <c r="AQ345">
        <v>9.868794685418853E-05</v>
      </c>
      <c r="AR345">
        <v>80.47178418790507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MAX(0,($B$13+$C$13*DP345)/(1+$D$13*DP345)*DI345/(DK345+273)*$E$13)</f>
        <v>0</v>
      </c>
      <c r="AX345" t="s">
        <v>417</v>
      </c>
      <c r="AY345" t="s">
        <v>417</v>
      </c>
      <c r="AZ345">
        <v>0</v>
      </c>
      <c r="BA345">
        <v>0</v>
      </c>
      <c r="BB345">
        <f>1-AZ345/BA345</f>
        <v>0</v>
      </c>
      <c r="BC345">
        <v>0</v>
      </c>
      <c r="BD345" t="s">
        <v>417</v>
      </c>
      <c r="BE345" t="s">
        <v>417</v>
      </c>
      <c r="BF345">
        <v>0</v>
      </c>
      <c r="BG345">
        <v>0</v>
      </c>
      <c r="BH345">
        <f>1-BF345/BG345</f>
        <v>0</v>
      </c>
      <c r="BI345">
        <v>0.5</v>
      </c>
      <c r="BJ345">
        <f>CS345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417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BZ345">
        <v>1249</v>
      </c>
      <c r="CA345">
        <v>300</v>
      </c>
      <c r="CB345">
        <v>300</v>
      </c>
      <c r="CC345">
        <v>300</v>
      </c>
      <c r="CD345">
        <v>10442.4</v>
      </c>
      <c r="CE345">
        <v>1239.69</v>
      </c>
      <c r="CF345">
        <v>-0.00735276</v>
      </c>
      <c r="CG345">
        <v>0.07000000000000001</v>
      </c>
      <c r="CH345" t="s">
        <v>417</v>
      </c>
      <c r="CI345" t="s">
        <v>417</v>
      </c>
      <c r="CJ345" t="s">
        <v>417</v>
      </c>
      <c r="CK345" t="s">
        <v>417</v>
      </c>
      <c r="CL345" t="s">
        <v>417</v>
      </c>
      <c r="CM345" t="s">
        <v>417</v>
      </c>
      <c r="CN345" t="s">
        <v>417</v>
      </c>
      <c r="CO345" t="s">
        <v>417</v>
      </c>
      <c r="CP345" t="s">
        <v>417</v>
      </c>
      <c r="CQ345" t="s">
        <v>417</v>
      </c>
      <c r="CR345">
        <f>$B$11*DQ345+$C$11*DR345+$F$11*EC345*(1-EF345)</f>
        <v>0</v>
      </c>
      <c r="CS345">
        <f>CR345*CT345</f>
        <v>0</v>
      </c>
      <c r="CT345">
        <f>($B$11*$D$9+$C$11*$D$9+$F$11*((EP345+EH345)/MAX(EP345+EH345+EQ345, 0.1)*$I$9+EQ345/MAX(EP345+EH345+EQ345, 0.1)*$J$9))/($B$11+$C$11+$F$11)</f>
        <v>0</v>
      </c>
      <c r="CU345">
        <f>($B$11*$K$9+$C$11*$K$9+$F$11*((EP345+EH345)/MAX(EP345+EH345+EQ345, 0.1)*$P$9+EQ345/MAX(EP345+EH345+EQ345, 0.1)*$Q$9))/($B$11+$C$11+$F$11)</f>
        <v>0</v>
      </c>
      <c r="CV345">
        <v>6</v>
      </c>
      <c r="CW345">
        <v>0.5</v>
      </c>
      <c r="CX345" t="s">
        <v>418</v>
      </c>
      <c r="CY345">
        <v>2</v>
      </c>
      <c r="CZ345" t="b">
        <v>1</v>
      </c>
      <c r="DA345">
        <v>1651866421</v>
      </c>
      <c r="DB345">
        <v>494.6356666666666</v>
      </c>
      <c r="DC345">
        <v>555.062</v>
      </c>
      <c r="DD345">
        <v>18.73163333333333</v>
      </c>
      <c r="DE345">
        <v>9.257623333333333</v>
      </c>
      <c r="DF345">
        <v>495.731</v>
      </c>
      <c r="DG345">
        <v>18.70563333333333</v>
      </c>
      <c r="DH345">
        <v>500.0166666666667</v>
      </c>
      <c r="DI345">
        <v>89.916</v>
      </c>
      <c r="DJ345">
        <v>0.1001026666666667</v>
      </c>
      <c r="DK345">
        <v>25.944</v>
      </c>
      <c r="DL345">
        <v>24.99676666666667</v>
      </c>
      <c r="DM345">
        <v>999.9</v>
      </c>
      <c r="DN345">
        <v>0</v>
      </c>
      <c r="DO345">
        <v>0</v>
      </c>
      <c r="DP345">
        <v>9991.456666666667</v>
      </c>
      <c r="DQ345">
        <v>0</v>
      </c>
      <c r="DR345">
        <v>3.23193</v>
      </c>
      <c r="DS345">
        <v>-60.42643333333333</v>
      </c>
      <c r="DT345">
        <v>504.0776666666666</v>
      </c>
      <c r="DU345">
        <v>560.2483333333333</v>
      </c>
      <c r="DV345">
        <v>9.47404</v>
      </c>
      <c r="DW345">
        <v>555.062</v>
      </c>
      <c r="DX345">
        <v>9.257623333333333</v>
      </c>
      <c r="DY345">
        <v>1.68428</v>
      </c>
      <c r="DZ345">
        <v>0.8324086666666667</v>
      </c>
      <c r="EA345">
        <v>14.75226666666667</v>
      </c>
      <c r="EB345">
        <v>4.272313333333333</v>
      </c>
      <c r="EC345">
        <v>1500.016666666666</v>
      </c>
      <c r="ED345">
        <v>0.972988</v>
      </c>
      <c r="EE345">
        <v>0.0270122</v>
      </c>
      <c r="EF345">
        <v>0</v>
      </c>
      <c r="EG345">
        <v>899.2976666666667</v>
      </c>
      <c r="EH345">
        <v>5.00097</v>
      </c>
      <c r="EI345">
        <v>13422.1</v>
      </c>
      <c r="EJ345">
        <v>12491.7</v>
      </c>
      <c r="EK345">
        <v>38.75</v>
      </c>
      <c r="EL345">
        <v>40</v>
      </c>
      <c r="EM345">
        <v>39.125</v>
      </c>
      <c r="EN345">
        <v>39.91633333333333</v>
      </c>
      <c r="EO345">
        <v>39.562</v>
      </c>
      <c r="EP345">
        <v>1454.636666666667</v>
      </c>
      <c r="EQ345">
        <v>40.38</v>
      </c>
      <c r="ER345">
        <v>0</v>
      </c>
      <c r="ES345">
        <v>939.2000000476837</v>
      </c>
      <c r="ET345">
        <v>0</v>
      </c>
      <c r="EU345">
        <v>896.6272692307692</v>
      </c>
      <c r="EV345">
        <v>24.51928200860509</v>
      </c>
      <c r="EW345">
        <v>348.0957260835918</v>
      </c>
      <c r="EX345">
        <v>13381.50769230769</v>
      </c>
      <c r="EY345">
        <v>15</v>
      </c>
      <c r="EZ345">
        <v>1651865518.1</v>
      </c>
      <c r="FA345" t="s">
        <v>910</v>
      </c>
      <c r="FB345">
        <v>1651865507.1</v>
      </c>
      <c r="FC345">
        <v>1651865518.1</v>
      </c>
      <c r="FD345">
        <v>8</v>
      </c>
      <c r="FE345">
        <v>0.06</v>
      </c>
      <c r="FF345">
        <v>0</v>
      </c>
      <c r="FG345">
        <v>-0.927</v>
      </c>
      <c r="FH345">
        <v>-0.062</v>
      </c>
      <c r="FI345">
        <v>400</v>
      </c>
      <c r="FJ345">
        <v>11</v>
      </c>
      <c r="FK345">
        <v>0.11</v>
      </c>
      <c r="FL345">
        <v>0.01</v>
      </c>
      <c r="FM345">
        <v>-59.29209512195122</v>
      </c>
      <c r="FN345">
        <v>-7.720607665505193</v>
      </c>
      <c r="FO345">
        <v>0.7636705508398937</v>
      </c>
      <c r="FP345">
        <v>-1</v>
      </c>
      <c r="FQ345">
        <v>9.453965609756096</v>
      </c>
      <c r="FR345">
        <v>0.1314620905923418</v>
      </c>
      <c r="FS345">
        <v>0.0129896673850617</v>
      </c>
      <c r="FT345">
        <v>-1</v>
      </c>
      <c r="FU345">
        <v>0</v>
      </c>
      <c r="FV345">
        <v>0</v>
      </c>
      <c r="FW345">
        <v>0</v>
      </c>
      <c r="FX345">
        <v>-1</v>
      </c>
      <c r="FY345">
        <v>0</v>
      </c>
      <c r="FZ345">
        <v>0</v>
      </c>
      <c r="GA345" t="s">
        <v>420</v>
      </c>
      <c r="GB345">
        <v>2.98165</v>
      </c>
      <c r="GC345">
        <v>2.70613</v>
      </c>
      <c r="GD345">
        <v>0.106358</v>
      </c>
      <c r="GE345">
        <v>0.114141</v>
      </c>
      <c r="GF345">
        <v>0.08909060000000001</v>
      </c>
      <c r="GG345">
        <v>0.0522442</v>
      </c>
      <c r="GH345">
        <v>28238.9</v>
      </c>
      <c r="GI345">
        <v>28053.3</v>
      </c>
      <c r="GJ345">
        <v>29377.5</v>
      </c>
      <c r="GK345">
        <v>29292.2</v>
      </c>
      <c r="GL345">
        <v>35432</v>
      </c>
      <c r="GM345">
        <v>36982.1</v>
      </c>
      <c r="GN345">
        <v>41349.5</v>
      </c>
      <c r="GO345">
        <v>41811.9</v>
      </c>
      <c r="GP345">
        <v>1.96712</v>
      </c>
      <c r="GQ345">
        <v>1.85422</v>
      </c>
      <c r="GR345">
        <v>-0.00622123</v>
      </c>
      <c r="GS345">
        <v>0</v>
      </c>
      <c r="GT345">
        <v>25.0931</v>
      </c>
      <c r="GU345">
        <v>999.9</v>
      </c>
      <c r="GV345">
        <v>29.7</v>
      </c>
      <c r="GW345">
        <v>34.2</v>
      </c>
      <c r="GX345">
        <v>17.846</v>
      </c>
      <c r="GY345">
        <v>62.3676</v>
      </c>
      <c r="GZ345">
        <v>35.1683</v>
      </c>
      <c r="HA345">
        <v>1</v>
      </c>
      <c r="HB345">
        <v>0.0442708</v>
      </c>
      <c r="HC345">
        <v>1.49197</v>
      </c>
      <c r="HD345">
        <v>20.3278</v>
      </c>
      <c r="HE345">
        <v>5.21789</v>
      </c>
      <c r="HF345">
        <v>12.0099</v>
      </c>
      <c r="HG345">
        <v>4.9888</v>
      </c>
      <c r="HH345">
        <v>3.2885</v>
      </c>
      <c r="HI345">
        <v>1032.8</v>
      </c>
      <c r="HJ345">
        <v>9744.4</v>
      </c>
      <c r="HK345">
        <v>5139.4</v>
      </c>
      <c r="HL345">
        <v>25.4</v>
      </c>
      <c r="HM345">
        <v>1.86742</v>
      </c>
      <c r="HN345">
        <v>1.86646</v>
      </c>
      <c r="HO345">
        <v>1.866</v>
      </c>
      <c r="HP345">
        <v>1.86584</v>
      </c>
      <c r="HQ345">
        <v>1.86769</v>
      </c>
      <c r="HR345">
        <v>1.87022</v>
      </c>
      <c r="HS345">
        <v>1.86889</v>
      </c>
      <c r="HT345">
        <v>1.87016</v>
      </c>
      <c r="HU345">
        <v>0</v>
      </c>
      <c r="HV345">
        <v>0</v>
      </c>
      <c r="HW345">
        <v>0</v>
      </c>
      <c r="HX345">
        <v>0</v>
      </c>
      <c r="HY345" t="s">
        <v>421</v>
      </c>
      <c r="HZ345" t="s">
        <v>422</v>
      </c>
      <c r="IA345" t="s">
        <v>423</v>
      </c>
      <c r="IB345" t="s">
        <v>423</v>
      </c>
      <c r="IC345" t="s">
        <v>423</v>
      </c>
      <c r="ID345" t="s">
        <v>423</v>
      </c>
      <c r="IE345">
        <v>0</v>
      </c>
      <c r="IF345">
        <v>100</v>
      </c>
      <c r="IG345">
        <v>100</v>
      </c>
      <c r="IH345">
        <v>-1.101</v>
      </c>
      <c r="II345">
        <v>0.026</v>
      </c>
      <c r="IJ345">
        <v>-0.1559367209035702</v>
      </c>
      <c r="IK345">
        <v>-0.002077099775823331</v>
      </c>
      <c r="IL345">
        <v>4.593143279902166E-07</v>
      </c>
      <c r="IM345">
        <v>-1.865383991892071E-10</v>
      </c>
      <c r="IN345">
        <v>-0.0607165066849496</v>
      </c>
      <c r="IO345">
        <v>-0.01129461987421345</v>
      </c>
      <c r="IP345">
        <v>0.00116580895745559</v>
      </c>
      <c r="IQ345">
        <v>-1.679085872906199E-05</v>
      </c>
      <c r="IR345">
        <v>2</v>
      </c>
      <c r="IS345">
        <v>2290</v>
      </c>
      <c r="IT345">
        <v>0</v>
      </c>
      <c r="IU345">
        <v>32</v>
      </c>
      <c r="IV345">
        <v>15.2</v>
      </c>
      <c r="IW345">
        <v>15.1</v>
      </c>
      <c r="IX345">
        <v>1.33179</v>
      </c>
      <c r="IY345">
        <v>2.21191</v>
      </c>
      <c r="IZ345">
        <v>1.39648</v>
      </c>
      <c r="JA345">
        <v>2.35474</v>
      </c>
      <c r="JB345">
        <v>1.49536</v>
      </c>
      <c r="JC345">
        <v>2.2937</v>
      </c>
      <c r="JD345">
        <v>38.0134</v>
      </c>
      <c r="JE345">
        <v>24.035</v>
      </c>
      <c r="JF345">
        <v>18</v>
      </c>
      <c r="JG345">
        <v>512.53</v>
      </c>
      <c r="JH345">
        <v>426.13</v>
      </c>
      <c r="JI345">
        <v>23.1521</v>
      </c>
      <c r="JJ345">
        <v>27.8948</v>
      </c>
      <c r="JK345">
        <v>29.9999</v>
      </c>
      <c r="JL345">
        <v>27.9144</v>
      </c>
      <c r="JM345">
        <v>27.8587</v>
      </c>
      <c r="JN345">
        <v>26.7137</v>
      </c>
      <c r="JO345">
        <v>45.7731</v>
      </c>
      <c r="JP345">
        <v>0</v>
      </c>
      <c r="JQ345">
        <v>23.1503</v>
      </c>
      <c r="JR345">
        <v>579.04</v>
      </c>
      <c r="JS345">
        <v>9.180009999999999</v>
      </c>
      <c r="JT345">
        <v>100.418</v>
      </c>
      <c r="JU345">
        <v>100.349</v>
      </c>
    </row>
    <row r="346" spans="1:281">
      <c r="A346">
        <v>330</v>
      </c>
      <c r="B346">
        <v>1651866424</v>
      </c>
      <c r="C346">
        <v>2203.400000095367</v>
      </c>
      <c r="D346" t="s">
        <v>1083</v>
      </c>
      <c r="E346" t="s">
        <v>1084</v>
      </c>
      <c r="F346">
        <v>2</v>
      </c>
      <c r="G346" t="s">
        <v>908</v>
      </c>
      <c r="H346" t="s">
        <v>414</v>
      </c>
      <c r="I346">
        <v>1651866422.625</v>
      </c>
      <c r="J346">
        <f>(K346)/1000</f>
        <v>0</v>
      </c>
      <c r="K346">
        <f>IF(CZ346, AN346, AH346)</f>
        <v>0</v>
      </c>
      <c r="L346">
        <f>IF(CZ346, AI346, AG346)</f>
        <v>0</v>
      </c>
      <c r="M346">
        <f>DB346 - IF(AU346&gt;1, L346*CV346*100.0/(AW346*DP346), 0)</f>
        <v>0</v>
      </c>
      <c r="N346">
        <f>((T346-J346/2)*M346-L346)/(T346+J346/2)</f>
        <v>0</v>
      </c>
      <c r="O346">
        <f>N346*(DI346+DJ346)/1000.0</f>
        <v>0</v>
      </c>
      <c r="P346">
        <f>(DB346 - IF(AU346&gt;1, L346*CV346*100.0/(AW346*DP346), 0))*(DI346+DJ346)/1000.0</f>
        <v>0</v>
      </c>
      <c r="Q346">
        <f>2.0/((1/S346-1/R346)+SIGN(S346)*SQRT((1/S346-1/R346)*(1/S346-1/R346) + 4*CW346/((CW346+1)*(CW346+1))*(2*1/S346*1/R346-1/R346*1/R346)))</f>
        <v>0</v>
      </c>
      <c r="R346">
        <f>IF(LEFT(CX346,1)&lt;&gt;"0",IF(LEFT(CX346,1)="1",3.0,CY346),$D$5+$E$5*(DP346*DI346/($K$5*1000))+$F$5*(DP346*DI346/($K$5*1000))*MAX(MIN(CV346,$J$5),$I$5)*MAX(MIN(CV346,$J$5),$I$5)+$G$5*MAX(MIN(CV346,$J$5),$I$5)*(DP346*DI346/($K$5*1000))+$H$5*(DP346*DI346/($K$5*1000))*(DP346*DI346/($K$5*1000)))</f>
        <v>0</v>
      </c>
      <c r="S346">
        <f>J346*(1000-(1000*0.61365*exp(17.502*W346/(240.97+W346))/(DI346+DJ346)+DD346)/2)/(1000*0.61365*exp(17.502*W346/(240.97+W346))/(DI346+DJ346)-DD346)</f>
        <v>0</v>
      </c>
      <c r="T346">
        <f>1/((CW346+1)/(Q346/1.6)+1/(R346/1.37)) + CW346/((CW346+1)/(Q346/1.6) + CW346/(R346/1.37))</f>
        <v>0</v>
      </c>
      <c r="U346">
        <f>(CR346*CU346)</f>
        <v>0</v>
      </c>
      <c r="V346">
        <f>(DK346+(U346+2*0.95*5.67E-8*(((DK346+$B$7)+273)^4-(DK346+273)^4)-44100*J346)/(1.84*29.3*R346+8*0.95*5.67E-8*(DK346+273)^3))</f>
        <v>0</v>
      </c>
      <c r="W346">
        <f>($C$7*DL346+$D$7*DM346+$E$7*V346)</f>
        <v>0</v>
      </c>
      <c r="X346">
        <f>0.61365*exp(17.502*W346/(240.97+W346))</f>
        <v>0</v>
      </c>
      <c r="Y346">
        <f>(Z346/AA346*100)</f>
        <v>0</v>
      </c>
      <c r="Z346">
        <f>DD346*(DI346+DJ346)/1000</f>
        <v>0</v>
      </c>
      <c r="AA346">
        <f>0.61365*exp(17.502*DK346/(240.97+DK346))</f>
        <v>0</v>
      </c>
      <c r="AB346">
        <f>(X346-DD346*(DI346+DJ346)/1000)</f>
        <v>0</v>
      </c>
      <c r="AC346">
        <f>(-J346*44100)</f>
        <v>0</v>
      </c>
      <c r="AD346">
        <f>2*29.3*R346*0.92*(DK346-W346)</f>
        <v>0</v>
      </c>
      <c r="AE346">
        <f>2*0.95*5.67E-8*(((DK346+$B$7)+273)^4-(W346+273)^4)</f>
        <v>0</v>
      </c>
      <c r="AF346">
        <f>U346+AE346+AC346+AD346</f>
        <v>0</v>
      </c>
      <c r="AG346">
        <f>DH346*AU346*(DC346-DB346*(1000-AU346*DE346)/(1000-AU346*DD346))/(100*CV346)</f>
        <v>0</v>
      </c>
      <c r="AH346">
        <f>1000*DH346*AU346*(DD346-DE346)/(100*CV346*(1000-AU346*DD346))</f>
        <v>0</v>
      </c>
      <c r="AI346">
        <f>(AJ346 - AK346 - DI346*1E3/(8.314*(DK346+273.15)) * AM346/DH346 * AL346) * DH346/(100*CV346) * (1000 - DE346)/1000</f>
        <v>0</v>
      </c>
      <c r="AJ346">
        <v>561.0212963845148</v>
      </c>
      <c r="AK346">
        <v>512.3082424242424</v>
      </c>
      <c r="AL346">
        <v>3.300000901689375</v>
      </c>
      <c r="AM346">
        <v>66.38195617057868</v>
      </c>
      <c r="AN346">
        <f>(AP346 - AO346 + DI346*1E3/(8.314*(DK346+273.15)) * AR346/DH346 * AQ346) * DH346/(100*CV346) * 1000/(1000 - AP346)</f>
        <v>0</v>
      </c>
      <c r="AO346">
        <v>9.258189543324464</v>
      </c>
      <c r="AP346">
        <v>18.73605058823528</v>
      </c>
      <c r="AQ346">
        <v>7.327211257962058E-05</v>
      </c>
      <c r="AR346">
        <v>80.47178418790507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MAX(0,($B$13+$C$13*DP346)/(1+$D$13*DP346)*DI346/(DK346+273)*$E$13)</f>
        <v>0</v>
      </c>
      <c r="AX346" t="s">
        <v>417</v>
      </c>
      <c r="AY346" t="s">
        <v>417</v>
      </c>
      <c r="AZ346">
        <v>0</v>
      </c>
      <c r="BA346">
        <v>0</v>
      </c>
      <c r="BB346">
        <f>1-AZ346/BA346</f>
        <v>0</v>
      </c>
      <c r="BC346">
        <v>0</v>
      </c>
      <c r="BD346" t="s">
        <v>417</v>
      </c>
      <c r="BE346" t="s">
        <v>417</v>
      </c>
      <c r="BF346">
        <v>0</v>
      </c>
      <c r="BG346">
        <v>0</v>
      </c>
      <c r="BH346">
        <f>1-BF346/BG346</f>
        <v>0</v>
      </c>
      <c r="BI346">
        <v>0.5</v>
      </c>
      <c r="BJ346">
        <f>CS346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417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BZ346">
        <v>1249</v>
      </c>
      <c r="CA346">
        <v>300</v>
      </c>
      <c r="CB346">
        <v>300</v>
      </c>
      <c r="CC346">
        <v>300</v>
      </c>
      <c r="CD346">
        <v>10442.4</v>
      </c>
      <c r="CE346">
        <v>1239.69</v>
      </c>
      <c r="CF346">
        <v>-0.00735276</v>
      </c>
      <c r="CG346">
        <v>0.07000000000000001</v>
      </c>
      <c r="CH346" t="s">
        <v>417</v>
      </c>
      <c r="CI346" t="s">
        <v>417</v>
      </c>
      <c r="CJ346" t="s">
        <v>417</v>
      </c>
      <c r="CK346" t="s">
        <v>417</v>
      </c>
      <c r="CL346" t="s">
        <v>417</v>
      </c>
      <c r="CM346" t="s">
        <v>417</v>
      </c>
      <c r="CN346" t="s">
        <v>417</v>
      </c>
      <c r="CO346" t="s">
        <v>417</v>
      </c>
      <c r="CP346" t="s">
        <v>417</v>
      </c>
      <c r="CQ346" t="s">
        <v>417</v>
      </c>
      <c r="CR346">
        <f>$B$11*DQ346+$C$11*DR346+$F$11*EC346*(1-EF346)</f>
        <v>0</v>
      </c>
      <c r="CS346">
        <f>CR346*CT346</f>
        <v>0</v>
      </c>
      <c r="CT346">
        <f>($B$11*$D$9+$C$11*$D$9+$F$11*((EP346+EH346)/MAX(EP346+EH346+EQ346, 0.1)*$I$9+EQ346/MAX(EP346+EH346+EQ346, 0.1)*$J$9))/($B$11+$C$11+$F$11)</f>
        <v>0</v>
      </c>
      <c r="CU346">
        <f>($B$11*$K$9+$C$11*$K$9+$F$11*((EP346+EH346)/MAX(EP346+EH346+EQ346, 0.1)*$P$9+EQ346/MAX(EP346+EH346+EQ346, 0.1)*$Q$9))/($B$11+$C$11+$F$11)</f>
        <v>0</v>
      </c>
      <c r="CV346">
        <v>6</v>
      </c>
      <c r="CW346">
        <v>0.5</v>
      </c>
      <c r="CX346" t="s">
        <v>418</v>
      </c>
      <c r="CY346">
        <v>2</v>
      </c>
      <c r="CZ346" t="b">
        <v>1</v>
      </c>
      <c r="DA346">
        <v>1651866422.625</v>
      </c>
      <c r="DB346">
        <v>499.887</v>
      </c>
      <c r="DC346">
        <v>560.5194999999999</v>
      </c>
      <c r="DD346">
        <v>18.734725</v>
      </c>
      <c r="DE346">
        <v>9.256997500000001</v>
      </c>
      <c r="DF346">
        <v>500.9915</v>
      </c>
      <c r="DG346">
        <v>18.70865</v>
      </c>
      <c r="DH346">
        <v>500.046</v>
      </c>
      <c r="DI346">
        <v>89.91615</v>
      </c>
      <c r="DJ346">
        <v>0.10010725</v>
      </c>
      <c r="DK346">
        <v>25.9456</v>
      </c>
      <c r="DL346">
        <v>24.9923</v>
      </c>
      <c r="DM346">
        <v>999.9</v>
      </c>
      <c r="DN346">
        <v>0</v>
      </c>
      <c r="DO346">
        <v>0</v>
      </c>
      <c r="DP346">
        <v>9986.092500000001</v>
      </c>
      <c r="DQ346">
        <v>0</v>
      </c>
      <c r="DR346">
        <v>3.2308775</v>
      </c>
      <c r="DS346">
        <v>-60.632375</v>
      </c>
      <c r="DT346">
        <v>509.431</v>
      </c>
      <c r="DU346">
        <v>565.7565</v>
      </c>
      <c r="DV346">
        <v>9.477717500000001</v>
      </c>
      <c r="DW346">
        <v>560.5194999999999</v>
      </c>
      <c r="DX346">
        <v>9.256997500000001</v>
      </c>
      <c r="DY346">
        <v>1.684555</v>
      </c>
      <c r="DZ346">
        <v>0.83235375</v>
      </c>
      <c r="EA346">
        <v>14.7548</v>
      </c>
      <c r="EB346">
        <v>4.2713775</v>
      </c>
      <c r="EC346">
        <v>1500.0325</v>
      </c>
      <c r="ED346">
        <v>0.972988</v>
      </c>
      <c r="EE346">
        <v>0.0270122</v>
      </c>
      <c r="EF346">
        <v>0</v>
      </c>
      <c r="EG346">
        <v>900.1992500000001</v>
      </c>
      <c r="EH346">
        <v>5.00097</v>
      </c>
      <c r="EI346">
        <v>13431.85</v>
      </c>
      <c r="EJ346">
        <v>12491.775</v>
      </c>
      <c r="EK346">
        <v>38.75</v>
      </c>
      <c r="EL346">
        <v>39.98425</v>
      </c>
      <c r="EM346">
        <v>39.125</v>
      </c>
      <c r="EN346">
        <v>39.875</v>
      </c>
      <c r="EO346">
        <v>39.562</v>
      </c>
      <c r="EP346">
        <v>1454.6525</v>
      </c>
      <c r="EQ346">
        <v>40.38</v>
      </c>
      <c r="ER346">
        <v>0</v>
      </c>
      <c r="ES346">
        <v>941.6000001430511</v>
      </c>
      <c r="ET346">
        <v>0</v>
      </c>
      <c r="EU346">
        <v>897.6288846153847</v>
      </c>
      <c r="EV346">
        <v>25.13042733773623</v>
      </c>
      <c r="EW346">
        <v>348.9606838125686</v>
      </c>
      <c r="EX346">
        <v>13395.57307692308</v>
      </c>
      <c r="EY346">
        <v>15</v>
      </c>
      <c r="EZ346">
        <v>1651865518.1</v>
      </c>
      <c r="FA346" t="s">
        <v>910</v>
      </c>
      <c r="FB346">
        <v>1651865507.1</v>
      </c>
      <c r="FC346">
        <v>1651865518.1</v>
      </c>
      <c r="FD346">
        <v>8</v>
      </c>
      <c r="FE346">
        <v>0.06</v>
      </c>
      <c r="FF346">
        <v>0</v>
      </c>
      <c r="FG346">
        <v>-0.927</v>
      </c>
      <c r="FH346">
        <v>-0.062</v>
      </c>
      <c r="FI346">
        <v>400</v>
      </c>
      <c r="FJ346">
        <v>11</v>
      </c>
      <c r="FK346">
        <v>0.11</v>
      </c>
      <c r="FL346">
        <v>0.01</v>
      </c>
      <c r="FM346">
        <v>-59.5221675</v>
      </c>
      <c r="FN346">
        <v>-7.350915196998147</v>
      </c>
      <c r="FO346">
        <v>0.7082558186797689</v>
      </c>
      <c r="FP346">
        <v>-1</v>
      </c>
      <c r="FQ346">
        <v>9.457789999999999</v>
      </c>
      <c r="FR346">
        <v>0.130461838649147</v>
      </c>
      <c r="FS346">
        <v>0.01257812088509237</v>
      </c>
      <c r="FT346">
        <v>-1</v>
      </c>
      <c r="FU346">
        <v>0</v>
      </c>
      <c r="FV346">
        <v>0</v>
      </c>
      <c r="FW346">
        <v>0</v>
      </c>
      <c r="FX346">
        <v>-1</v>
      </c>
      <c r="FY346">
        <v>0</v>
      </c>
      <c r="FZ346">
        <v>0</v>
      </c>
      <c r="GA346" t="s">
        <v>420</v>
      </c>
      <c r="GB346">
        <v>2.98149</v>
      </c>
      <c r="GC346">
        <v>2.70607</v>
      </c>
      <c r="GD346">
        <v>0.107366</v>
      </c>
      <c r="GE346">
        <v>0.115123</v>
      </c>
      <c r="GF346">
        <v>0.08910170000000001</v>
      </c>
      <c r="GG346">
        <v>0.0522387</v>
      </c>
      <c r="GH346">
        <v>28207</v>
      </c>
      <c r="GI346">
        <v>28022</v>
      </c>
      <c r="GJ346">
        <v>29377.4</v>
      </c>
      <c r="GK346">
        <v>29291.9</v>
      </c>
      <c r="GL346">
        <v>35431.5</v>
      </c>
      <c r="GM346">
        <v>36981.9</v>
      </c>
      <c r="GN346">
        <v>41349.5</v>
      </c>
      <c r="GO346">
        <v>41811.4</v>
      </c>
      <c r="GP346">
        <v>1.96697</v>
      </c>
      <c r="GQ346">
        <v>1.85422</v>
      </c>
      <c r="GR346">
        <v>-0.00599772</v>
      </c>
      <c r="GS346">
        <v>0</v>
      </c>
      <c r="GT346">
        <v>25.0931</v>
      </c>
      <c r="GU346">
        <v>999.9</v>
      </c>
      <c r="GV346">
        <v>29.7</v>
      </c>
      <c r="GW346">
        <v>34.2</v>
      </c>
      <c r="GX346">
        <v>17.8468</v>
      </c>
      <c r="GY346">
        <v>62.4676</v>
      </c>
      <c r="GZ346">
        <v>35.4167</v>
      </c>
      <c r="HA346">
        <v>1</v>
      </c>
      <c r="HB346">
        <v>0.0440041</v>
      </c>
      <c r="HC346">
        <v>1.49798</v>
      </c>
      <c r="HD346">
        <v>20.3278</v>
      </c>
      <c r="HE346">
        <v>5.21744</v>
      </c>
      <c r="HF346">
        <v>12.0099</v>
      </c>
      <c r="HG346">
        <v>4.9888</v>
      </c>
      <c r="HH346">
        <v>3.2885</v>
      </c>
      <c r="HI346">
        <v>1032.8</v>
      </c>
      <c r="HJ346">
        <v>9744.4</v>
      </c>
      <c r="HK346">
        <v>5139.4</v>
      </c>
      <c r="HL346">
        <v>25.4</v>
      </c>
      <c r="HM346">
        <v>1.86744</v>
      </c>
      <c r="HN346">
        <v>1.86646</v>
      </c>
      <c r="HO346">
        <v>1.866</v>
      </c>
      <c r="HP346">
        <v>1.86584</v>
      </c>
      <c r="HQ346">
        <v>1.86769</v>
      </c>
      <c r="HR346">
        <v>1.87022</v>
      </c>
      <c r="HS346">
        <v>1.8689</v>
      </c>
      <c r="HT346">
        <v>1.87018</v>
      </c>
      <c r="HU346">
        <v>0</v>
      </c>
      <c r="HV346">
        <v>0</v>
      </c>
      <c r="HW346">
        <v>0</v>
      </c>
      <c r="HX346">
        <v>0</v>
      </c>
      <c r="HY346" t="s">
        <v>421</v>
      </c>
      <c r="HZ346" t="s">
        <v>422</v>
      </c>
      <c r="IA346" t="s">
        <v>423</v>
      </c>
      <c r="IB346" t="s">
        <v>423</v>
      </c>
      <c r="IC346" t="s">
        <v>423</v>
      </c>
      <c r="ID346" t="s">
        <v>423</v>
      </c>
      <c r="IE346">
        <v>0</v>
      </c>
      <c r="IF346">
        <v>100</v>
      </c>
      <c r="IG346">
        <v>100</v>
      </c>
      <c r="IH346">
        <v>-1.113</v>
      </c>
      <c r="II346">
        <v>0.0261</v>
      </c>
      <c r="IJ346">
        <v>-0.1559367209035702</v>
      </c>
      <c r="IK346">
        <v>-0.002077099775823331</v>
      </c>
      <c r="IL346">
        <v>4.593143279902166E-07</v>
      </c>
      <c r="IM346">
        <v>-1.865383991892071E-10</v>
      </c>
      <c r="IN346">
        <v>-0.0607165066849496</v>
      </c>
      <c r="IO346">
        <v>-0.01129461987421345</v>
      </c>
      <c r="IP346">
        <v>0.00116580895745559</v>
      </c>
      <c r="IQ346">
        <v>-1.679085872906199E-05</v>
      </c>
      <c r="IR346">
        <v>2</v>
      </c>
      <c r="IS346">
        <v>2290</v>
      </c>
      <c r="IT346">
        <v>0</v>
      </c>
      <c r="IU346">
        <v>32</v>
      </c>
      <c r="IV346">
        <v>15.3</v>
      </c>
      <c r="IW346">
        <v>15.1</v>
      </c>
      <c r="IX346">
        <v>1.34399</v>
      </c>
      <c r="IY346">
        <v>2.20581</v>
      </c>
      <c r="IZ346">
        <v>1.39648</v>
      </c>
      <c r="JA346">
        <v>2.35474</v>
      </c>
      <c r="JB346">
        <v>1.49536</v>
      </c>
      <c r="JC346">
        <v>2.32422</v>
      </c>
      <c r="JD346">
        <v>38.0134</v>
      </c>
      <c r="JE346">
        <v>24.035</v>
      </c>
      <c r="JF346">
        <v>18</v>
      </c>
      <c r="JG346">
        <v>512.422</v>
      </c>
      <c r="JH346">
        <v>426.124</v>
      </c>
      <c r="JI346">
        <v>23.1518</v>
      </c>
      <c r="JJ346">
        <v>27.8942</v>
      </c>
      <c r="JK346">
        <v>29.9999</v>
      </c>
      <c r="JL346">
        <v>27.9132</v>
      </c>
      <c r="JM346">
        <v>27.858</v>
      </c>
      <c r="JN346">
        <v>26.9607</v>
      </c>
      <c r="JO346">
        <v>45.7731</v>
      </c>
      <c r="JP346">
        <v>0</v>
      </c>
      <c r="JQ346">
        <v>23.1503</v>
      </c>
      <c r="JR346">
        <v>585.722</v>
      </c>
      <c r="JS346">
        <v>9.176159999999999</v>
      </c>
      <c r="JT346">
        <v>100.417</v>
      </c>
      <c r="JU346">
        <v>100.348</v>
      </c>
    </row>
    <row r="347" spans="1:281">
      <c r="A347">
        <v>331</v>
      </c>
      <c r="B347">
        <v>1651866426</v>
      </c>
      <c r="C347">
        <v>2205.400000095367</v>
      </c>
      <c r="D347" t="s">
        <v>1085</v>
      </c>
      <c r="E347" t="s">
        <v>1086</v>
      </c>
      <c r="F347">
        <v>2</v>
      </c>
      <c r="G347" t="s">
        <v>908</v>
      </c>
      <c r="H347" t="s">
        <v>414</v>
      </c>
      <c r="I347">
        <v>1651866425</v>
      </c>
      <c r="J347">
        <f>(K347)/1000</f>
        <v>0</v>
      </c>
      <c r="K347">
        <f>IF(CZ347, AN347, AH347)</f>
        <v>0</v>
      </c>
      <c r="L347">
        <f>IF(CZ347, AI347, AG347)</f>
        <v>0</v>
      </c>
      <c r="M347">
        <f>DB347 - IF(AU347&gt;1, L347*CV347*100.0/(AW347*DP347), 0)</f>
        <v>0</v>
      </c>
      <c r="N347">
        <f>((T347-J347/2)*M347-L347)/(T347+J347/2)</f>
        <v>0</v>
      </c>
      <c r="O347">
        <f>N347*(DI347+DJ347)/1000.0</f>
        <v>0</v>
      </c>
      <c r="P347">
        <f>(DB347 - IF(AU347&gt;1, L347*CV347*100.0/(AW347*DP347), 0))*(DI347+DJ347)/1000.0</f>
        <v>0</v>
      </c>
      <c r="Q347">
        <f>2.0/((1/S347-1/R347)+SIGN(S347)*SQRT((1/S347-1/R347)*(1/S347-1/R347) + 4*CW347/((CW347+1)*(CW347+1))*(2*1/S347*1/R347-1/R347*1/R347)))</f>
        <v>0</v>
      </c>
      <c r="R347">
        <f>IF(LEFT(CX347,1)&lt;&gt;"0",IF(LEFT(CX347,1)="1",3.0,CY347),$D$5+$E$5*(DP347*DI347/($K$5*1000))+$F$5*(DP347*DI347/($K$5*1000))*MAX(MIN(CV347,$J$5),$I$5)*MAX(MIN(CV347,$J$5),$I$5)+$G$5*MAX(MIN(CV347,$J$5),$I$5)*(DP347*DI347/($K$5*1000))+$H$5*(DP347*DI347/($K$5*1000))*(DP347*DI347/($K$5*1000)))</f>
        <v>0</v>
      </c>
      <c r="S347">
        <f>J347*(1000-(1000*0.61365*exp(17.502*W347/(240.97+W347))/(DI347+DJ347)+DD347)/2)/(1000*0.61365*exp(17.502*W347/(240.97+W347))/(DI347+DJ347)-DD347)</f>
        <v>0</v>
      </c>
      <c r="T347">
        <f>1/((CW347+1)/(Q347/1.6)+1/(R347/1.37)) + CW347/((CW347+1)/(Q347/1.6) + CW347/(R347/1.37))</f>
        <v>0</v>
      </c>
      <c r="U347">
        <f>(CR347*CU347)</f>
        <v>0</v>
      </c>
      <c r="V347">
        <f>(DK347+(U347+2*0.95*5.67E-8*(((DK347+$B$7)+273)^4-(DK347+273)^4)-44100*J347)/(1.84*29.3*R347+8*0.95*5.67E-8*(DK347+273)^3))</f>
        <v>0</v>
      </c>
      <c r="W347">
        <f>($C$7*DL347+$D$7*DM347+$E$7*V347)</f>
        <v>0</v>
      </c>
      <c r="X347">
        <f>0.61365*exp(17.502*W347/(240.97+W347))</f>
        <v>0</v>
      </c>
      <c r="Y347">
        <f>(Z347/AA347*100)</f>
        <v>0</v>
      </c>
      <c r="Z347">
        <f>DD347*(DI347+DJ347)/1000</f>
        <v>0</v>
      </c>
      <c r="AA347">
        <f>0.61365*exp(17.502*DK347/(240.97+DK347))</f>
        <v>0</v>
      </c>
      <c r="AB347">
        <f>(X347-DD347*(DI347+DJ347)/1000)</f>
        <v>0</v>
      </c>
      <c r="AC347">
        <f>(-J347*44100)</f>
        <v>0</v>
      </c>
      <c r="AD347">
        <f>2*29.3*R347*0.92*(DK347-W347)</f>
        <v>0</v>
      </c>
      <c r="AE347">
        <f>2*0.95*5.67E-8*(((DK347+$B$7)+273)^4-(W347+273)^4)</f>
        <v>0</v>
      </c>
      <c r="AF347">
        <f>U347+AE347+AC347+AD347</f>
        <v>0</v>
      </c>
      <c r="AG347">
        <f>DH347*AU347*(DC347-DB347*(1000-AU347*DE347)/(1000-AU347*DD347))/(100*CV347)</f>
        <v>0</v>
      </c>
      <c r="AH347">
        <f>1000*DH347*AU347*(DD347-DE347)/(100*CV347*(1000-AU347*DD347))</f>
        <v>0</v>
      </c>
      <c r="AI347">
        <f>(AJ347 - AK347 - DI347*1E3/(8.314*(DK347+273.15)) * AM347/DH347 * AL347) * DH347/(100*CV347) * (1000 - DE347)/1000</f>
        <v>0</v>
      </c>
      <c r="AJ347">
        <v>567.8136040380751</v>
      </c>
      <c r="AK347">
        <v>518.9848848484847</v>
      </c>
      <c r="AL347">
        <v>3.319617351181157</v>
      </c>
      <c r="AM347">
        <v>66.38195617057868</v>
      </c>
      <c r="AN347">
        <f>(AP347 - AO347 + DI347*1E3/(8.314*(DK347+273.15)) * AR347/DH347 * AQ347) * DH347/(100*CV347) * 1000/(1000 - AP347)</f>
        <v>0</v>
      </c>
      <c r="AO347">
        <v>9.258105327835542</v>
      </c>
      <c r="AP347">
        <v>18.73994205882353</v>
      </c>
      <c r="AQ347">
        <v>5.822844274429317E-05</v>
      </c>
      <c r="AR347">
        <v>80.47178418790507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MAX(0,($B$13+$C$13*DP347)/(1+$D$13*DP347)*DI347/(DK347+273)*$E$13)</f>
        <v>0</v>
      </c>
      <c r="AX347" t="s">
        <v>417</v>
      </c>
      <c r="AY347" t="s">
        <v>417</v>
      </c>
      <c r="AZ347">
        <v>0</v>
      </c>
      <c r="BA347">
        <v>0</v>
      </c>
      <c r="BB347">
        <f>1-AZ347/BA347</f>
        <v>0</v>
      </c>
      <c r="BC347">
        <v>0</v>
      </c>
      <c r="BD347" t="s">
        <v>417</v>
      </c>
      <c r="BE347" t="s">
        <v>417</v>
      </c>
      <c r="BF347">
        <v>0</v>
      </c>
      <c r="BG347">
        <v>0</v>
      </c>
      <c r="BH347">
        <f>1-BF347/BG347</f>
        <v>0</v>
      </c>
      <c r="BI347">
        <v>0.5</v>
      </c>
      <c r="BJ347">
        <f>CS347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417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BZ347">
        <v>1249</v>
      </c>
      <c r="CA347">
        <v>300</v>
      </c>
      <c r="CB347">
        <v>300</v>
      </c>
      <c r="CC347">
        <v>300</v>
      </c>
      <c r="CD347">
        <v>10442.4</v>
      </c>
      <c r="CE347">
        <v>1239.69</v>
      </c>
      <c r="CF347">
        <v>-0.00735276</v>
      </c>
      <c r="CG347">
        <v>0.07000000000000001</v>
      </c>
      <c r="CH347" t="s">
        <v>417</v>
      </c>
      <c r="CI347" t="s">
        <v>417</v>
      </c>
      <c r="CJ347" t="s">
        <v>417</v>
      </c>
      <c r="CK347" t="s">
        <v>417</v>
      </c>
      <c r="CL347" t="s">
        <v>417</v>
      </c>
      <c r="CM347" t="s">
        <v>417</v>
      </c>
      <c r="CN347" t="s">
        <v>417</v>
      </c>
      <c r="CO347" t="s">
        <v>417</v>
      </c>
      <c r="CP347" t="s">
        <v>417</v>
      </c>
      <c r="CQ347" t="s">
        <v>417</v>
      </c>
      <c r="CR347">
        <f>$B$11*DQ347+$C$11*DR347+$F$11*EC347*(1-EF347)</f>
        <v>0</v>
      </c>
      <c r="CS347">
        <f>CR347*CT347</f>
        <v>0</v>
      </c>
      <c r="CT347">
        <f>($B$11*$D$9+$C$11*$D$9+$F$11*((EP347+EH347)/MAX(EP347+EH347+EQ347, 0.1)*$I$9+EQ347/MAX(EP347+EH347+EQ347, 0.1)*$J$9))/($B$11+$C$11+$F$11)</f>
        <v>0</v>
      </c>
      <c r="CU347">
        <f>($B$11*$K$9+$C$11*$K$9+$F$11*((EP347+EH347)/MAX(EP347+EH347+EQ347, 0.1)*$P$9+EQ347/MAX(EP347+EH347+EQ347, 0.1)*$Q$9))/($B$11+$C$11+$F$11)</f>
        <v>0</v>
      </c>
      <c r="CV347">
        <v>6</v>
      </c>
      <c r="CW347">
        <v>0.5</v>
      </c>
      <c r="CX347" t="s">
        <v>418</v>
      </c>
      <c r="CY347">
        <v>2</v>
      </c>
      <c r="CZ347" t="b">
        <v>1</v>
      </c>
      <c r="DA347">
        <v>1651866425</v>
      </c>
      <c r="DB347">
        <v>507.6193333333333</v>
      </c>
      <c r="DC347">
        <v>568.5006666666667</v>
      </c>
      <c r="DD347">
        <v>18.73913333333333</v>
      </c>
      <c r="DE347">
        <v>9.250286666666666</v>
      </c>
      <c r="DF347">
        <v>508.7373333333333</v>
      </c>
      <c r="DG347">
        <v>18.713</v>
      </c>
      <c r="DH347">
        <v>500.0493333333333</v>
      </c>
      <c r="DI347">
        <v>89.9156</v>
      </c>
      <c r="DJ347">
        <v>0.09997346666666666</v>
      </c>
      <c r="DK347">
        <v>25.9476</v>
      </c>
      <c r="DL347">
        <v>24.99346666666667</v>
      </c>
      <c r="DM347">
        <v>999.9</v>
      </c>
      <c r="DN347">
        <v>0</v>
      </c>
      <c r="DO347">
        <v>0</v>
      </c>
      <c r="DP347">
        <v>9991.876666666665</v>
      </c>
      <c r="DQ347">
        <v>0</v>
      </c>
      <c r="DR347">
        <v>3.216476666666667</v>
      </c>
      <c r="DS347">
        <v>-60.88146666666666</v>
      </c>
      <c r="DT347">
        <v>517.3133333333334</v>
      </c>
      <c r="DU347">
        <v>573.8090000000001</v>
      </c>
      <c r="DV347">
        <v>9.488843333333334</v>
      </c>
      <c r="DW347">
        <v>568.5006666666667</v>
      </c>
      <c r="DX347">
        <v>9.250286666666666</v>
      </c>
      <c r="DY347">
        <v>1.68494</v>
      </c>
      <c r="DZ347">
        <v>0.8317443333333333</v>
      </c>
      <c r="EA347">
        <v>14.7584</v>
      </c>
      <c r="EB347">
        <v>4.260936666666667</v>
      </c>
      <c r="EC347">
        <v>1500.026666666667</v>
      </c>
      <c r="ED347">
        <v>0.973008</v>
      </c>
      <c r="EE347">
        <v>0.026992</v>
      </c>
      <c r="EF347">
        <v>0</v>
      </c>
      <c r="EG347">
        <v>901.3256666666666</v>
      </c>
      <c r="EH347">
        <v>5.00097</v>
      </c>
      <c r="EI347">
        <v>13444.26666666667</v>
      </c>
      <c r="EJ347">
        <v>12491.86666666667</v>
      </c>
      <c r="EK347">
        <v>38.729</v>
      </c>
      <c r="EL347">
        <v>39.937</v>
      </c>
      <c r="EM347">
        <v>39.125</v>
      </c>
      <c r="EN347">
        <v>39.854</v>
      </c>
      <c r="EO347">
        <v>39.562</v>
      </c>
      <c r="EP347">
        <v>1454.676666666667</v>
      </c>
      <c r="EQ347">
        <v>40.35</v>
      </c>
      <c r="ER347">
        <v>0</v>
      </c>
      <c r="ES347">
        <v>943.4000000953674</v>
      </c>
      <c r="ET347">
        <v>0</v>
      </c>
      <c r="EU347">
        <v>898.52296</v>
      </c>
      <c r="EV347">
        <v>24.96923075516975</v>
      </c>
      <c r="EW347">
        <v>349.1153846337288</v>
      </c>
      <c r="EX347">
        <v>13407.66</v>
      </c>
      <c r="EY347">
        <v>15</v>
      </c>
      <c r="EZ347">
        <v>1651865518.1</v>
      </c>
      <c r="FA347" t="s">
        <v>910</v>
      </c>
      <c r="FB347">
        <v>1651865507.1</v>
      </c>
      <c r="FC347">
        <v>1651865518.1</v>
      </c>
      <c r="FD347">
        <v>8</v>
      </c>
      <c r="FE347">
        <v>0.06</v>
      </c>
      <c r="FF347">
        <v>0</v>
      </c>
      <c r="FG347">
        <v>-0.927</v>
      </c>
      <c r="FH347">
        <v>-0.062</v>
      </c>
      <c r="FI347">
        <v>400</v>
      </c>
      <c r="FJ347">
        <v>11</v>
      </c>
      <c r="FK347">
        <v>0.11</v>
      </c>
      <c r="FL347">
        <v>0.01</v>
      </c>
      <c r="FM347">
        <v>-59.67583414634146</v>
      </c>
      <c r="FN347">
        <v>-7.224825783972169</v>
      </c>
      <c r="FO347">
        <v>0.7132600280504408</v>
      </c>
      <c r="FP347">
        <v>-1</v>
      </c>
      <c r="FQ347">
        <v>9.46056512195122</v>
      </c>
      <c r="FR347">
        <v>0.1303026480836193</v>
      </c>
      <c r="FS347">
        <v>0.01287906641858776</v>
      </c>
      <c r="FT347">
        <v>-1</v>
      </c>
      <c r="FU347">
        <v>0</v>
      </c>
      <c r="FV347">
        <v>0</v>
      </c>
      <c r="FW347">
        <v>0</v>
      </c>
      <c r="FX347">
        <v>-1</v>
      </c>
      <c r="FY347">
        <v>0</v>
      </c>
      <c r="FZ347">
        <v>0</v>
      </c>
      <c r="GA347" t="s">
        <v>420</v>
      </c>
      <c r="GB347">
        <v>2.98128</v>
      </c>
      <c r="GC347">
        <v>2.70609</v>
      </c>
      <c r="GD347">
        <v>0.108376</v>
      </c>
      <c r="GE347">
        <v>0.116099</v>
      </c>
      <c r="GF347">
        <v>0.0891132</v>
      </c>
      <c r="GG347">
        <v>0.0521818</v>
      </c>
      <c r="GH347">
        <v>28175.2</v>
      </c>
      <c r="GI347">
        <v>27990.8</v>
      </c>
      <c r="GJ347">
        <v>29377.6</v>
      </c>
      <c r="GK347">
        <v>29291.7</v>
      </c>
      <c r="GL347">
        <v>35431.2</v>
      </c>
      <c r="GM347">
        <v>36983.8</v>
      </c>
      <c r="GN347">
        <v>41349.7</v>
      </c>
      <c r="GO347">
        <v>41811.1</v>
      </c>
      <c r="GP347">
        <v>1.96695</v>
      </c>
      <c r="GQ347">
        <v>1.8544</v>
      </c>
      <c r="GR347">
        <v>-0.00588596</v>
      </c>
      <c r="GS347">
        <v>0</v>
      </c>
      <c r="GT347">
        <v>25.0936</v>
      </c>
      <c r="GU347">
        <v>999.9</v>
      </c>
      <c r="GV347">
        <v>29.7</v>
      </c>
      <c r="GW347">
        <v>34.2</v>
      </c>
      <c r="GX347">
        <v>17.8465</v>
      </c>
      <c r="GY347">
        <v>62.4176</v>
      </c>
      <c r="GZ347">
        <v>35.5729</v>
      </c>
      <c r="HA347">
        <v>1</v>
      </c>
      <c r="HB347">
        <v>0.043971</v>
      </c>
      <c r="HC347">
        <v>1.49623</v>
      </c>
      <c r="HD347">
        <v>20.3279</v>
      </c>
      <c r="HE347">
        <v>5.21729</v>
      </c>
      <c r="HF347">
        <v>12.0099</v>
      </c>
      <c r="HG347">
        <v>4.9888</v>
      </c>
      <c r="HH347">
        <v>3.2885</v>
      </c>
      <c r="HI347">
        <v>1032.8</v>
      </c>
      <c r="HJ347">
        <v>9744.4</v>
      </c>
      <c r="HK347">
        <v>5139.4</v>
      </c>
      <c r="HL347">
        <v>25.4</v>
      </c>
      <c r="HM347">
        <v>1.86743</v>
      </c>
      <c r="HN347">
        <v>1.86646</v>
      </c>
      <c r="HO347">
        <v>1.866</v>
      </c>
      <c r="HP347">
        <v>1.86584</v>
      </c>
      <c r="HQ347">
        <v>1.86768</v>
      </c>
      <c r="HR347">
        <v>1.87022</v>
      </c>
      <c r="HS347">
        <v>1.8689</v>
      </c>
      <c r="HT347">
        <v>1.87018</v>
      </c>
      <c r="HU347">
        <v>0</v>
      </c>
      <c r="HV347">
        <v>0</v>
      </c>
      <c r="HW347">
        <v>0</v>
      </c>
      <c r="HX347">
        <v>0</v>
      </c>
      <c r="HY347" t="s">
        <v>421</v>
      </c>
      <c r="HZ347" t="s">
        <v>422</v>
      </c>
      <c r="IA347" t="s">
        <v>423</v>
      </c>
      <c r="IB347" t="s">
        <v>423</v>
      </c>
      <c r="IC347" t="s">
        <v>423</v>
      </c>
      <c r="ID347" t="s">
        <v>423</v>
      </c>
      <c r="IE347">
        <v>0</v>
      </c>
      <c r="IF347">
        <v>100</v>
      </c>
      <c r="IG347">
        <v>100</v>
      </c>
      <c r="IH347">
        <v>-1.124</v>
      </c>
      <c r="II347">
        <v>0.0262</v>
      </c>
      <c r="IJ347">
        <v>-0.1559367209035702</v>
      </c>
      <c r="IK347">
        <v>-0.002077099775823331</v>
      </c>
      <c r="IL347">
        <v>4.593143279902166E-07</v>
      </c>
      <c r="IM347">
        <v>-1.865383991892071E-10</v>
      </c>
      <c r="IN347">
        <v>-0.0607165066849496</v>
      </c>
      <c r="IO347">
        <v>-0.01129461987421345</v>
      </c>
      <c r="IP347">
        <v>0.00116580895745559</v>
      </c>
      <c r="IQ347">
        <v>-1.679085872906199E-05</v>
      </c>
      <c r="IR347">
        <v>2</v>
      </c>
      <c r="IS347">
        <v>2290</v>
      </c>
      <c r="IT347">
        <v>0</v>
      </c>
      <c r="IU347">
        <v>32</v>
      </c>
      <c r="IV347">
        <v>15.3</v>
      </c>
      <c r="IW347">
        <v>15.1</v>
      </c>
      <c r="IX347">
        <v>1.35742</v>
      </c>
      <c r="IY347">
        <v>2.20337</v>
      </c>
      <c r="IZ347">
        <v>1.39648</v>
      </c>
      <c r="JA347">
        <v>2.35474</v>
      </c>
      <c r="JB347">
        <v>1.49536</v>
      </c>
      <c r="JC347">
        <v>2.3645</v>
      </c>
      <c r="JD347">
        <v>38.0134</v>
      </c>
      <c r="JE347">
        <v>24.0437</v>
      </c>
      <c r="JF347">
        <v>18</v>
      </c>
      <c r="JG347">
        <v>512.4</v>
      </c>
      <c r="JH347">
        <v>426.221</v>
      </c>
      <c r="JI347">
        <v>23.1511</v>
      </c>
      <c r="JJ347">
        <v>27.8942</v>
      </c>
      <c r="JK347">
        <v>30</v>
      </c>
      <c r="JL347">
        <v>27.9126</v>
      </c>
      <c r="JM347">
        <v>27.857</v>
      </c>
      <c r="JN347">
        <v>27.2045</v>
      </c>
      <c r="JO347">
        <v>45.7731</v>
      </c>
      <c r="JP347">
        <v>0</v>
      </c>
      <c r="JQ347">
        <v>23.1509</v>
      </c>
      <c r="JR347">
        <v>592.4</v>
      </c>
      <c r="JS347">
        <v>9.169460000000001</v>
      </c>
      <c r="JT347">
        <v>100.418</v>
      </c>
      <c r="JU347">
        <v>100.347</v>
      </c>
    </row>
    <row r="348" spans="1:281">
      <c r="A348">
        <v>332</v>
      </c>
      <c r="B348">
        <v>1651866428</v>
      </c>
      <c r="C348">
        <v>2207.400000095367</v>
      </c>
      <c r="D348" t="s">
        <v>1087</v>
      </c>
      <c r="E348" t="s">
        <v>1088</v>
      </c>
      <c r="F348">
        <v>2</v>
      </c>
      <c r="G348" t="s">
        <v>908</v>
      </c>
      <c r="H348" t="s">
        <v>414</v>
      </c>
      <c r="I348">
        <v>1651866426.625</v>
      </c>
      <c r="J348">
        <f>(K348)/1000</f>
        <v>0</v>
      </c>
      <c r="K348">
        <f>IF(CZ348, AN348, AH348)</f>
        <v>0</v>
      </c>
      <c r="L348">
        <f>IF(CZ348, AI348, AG348)</f>
        <v>0</v>
      </c>
      <c r="M348">
        <f>DB348 - IF(AU348&gt;1, L348*CV348*100.0/(AW348*DP348), 0)</f>
        <v>0</v>
      </c>
      <c r="N348">
        <f>((T348-J348/2)*M348-L348)/(T348+J348/2)</f>
        <v>0</v>
      </c>
      <c r="O348">
        <f>N348*(DI348+DJ348)/1000.0</f>
        <v>0</v>
      </c>
      <c r="P348">
        <f>(DB348 - IF(AU348&gt;1, L348*CV348*100.0/(AW348*DP348), 0))*(DI348+DJ348)/1000.0</f>
        <v>0</v>
      </c>
      <c r="Q348">
        <f>2.0/((1/S348-1/R348)+SIGN(S348)*SQRT((1/S348-1/R348)*(1/S348-1/R348) + 4*CW348/((CW348+1)*(CW348+1))*(2*1/S348*1/R348-1/R348*1/R348)))</f>
        <v>0</v>
      </c>
      <c r="R348">
        <f>IF(LEFT(CX348,1)&lt;&gt;"0",IF(LEFT(CX348,1)="1",3.0,CY348),$D$5+$E$5*(DP348*DI348/($K$5*1000))+$F$5*(DP348*DI348/($K$5*1000))*MAX(MIN(CV348,$J$5),$I$5)*MAX(MIN(CV348,$J$5),$I$5)+$G$5*MAX(MIN(CV348,$J$5),$I$5)*(DP348*DI348/($K$5*1000))+$H$5*(DP348*DI348/($K$5*1000))*(DP348*DI348/($K$5*1000)))</f>
        <v>0</v>
      </c>
      <c r="S348">
        <f>J348*(1000-(1000*0.61365*exp(17.502*W348/(240.97+W348))/(DI348+DJ348)+DD348)/2)/(1000*0.61365*exp(17.502*W348/(240.97+W348))/(DI348+DJ348)-DD348)</f>
        <v>0</v>
      </c>
      <c r="T348">
        <f>1/((CW348+1)/(Q348/1.6)+1/(R348/1.37)) + CW348/((CW348+1)/(Q348/1.6) + CW348/(R348/1.37))</f>
        <v>0</v>
      </c>
      <c r="U348">
        <f>(CR348*CU348)</f>
        <v>0</v>
      </c>
      <c r="V348">
        <f>(DK348+(U348+2*0.95*5.67E-8*(((DK348+$B$7)+273)^4-(DK348+273)^4)-44100*J348)/(1.84*29.3*R348+8*0.95*5.67E-8*(DK348+273)^3))</f>
        <v>0</v>
      </c>
      <c r="W348">
        <f>($C$7*DL348+$D$7*DM348+$E$7*V348)</f>
        <v>0</v>
      </c>
      <c r="X348">
        <f>0.61365*exp(17.502*W348/(240.97+W348))</f>
        <v>0</v>
      </c>
      <c r="Y348">
        <f>(Z348/AA348*100)</f>
        <v>0</v>
      </c>
      <c r="Z348">
        <f>DD348*(DI348+DJ348)/1000</f>
        <v>0</v>
      </c>
      <c r="AA348">
        <f>0.61365*exp(17.502*DK348/(240.97+DK348))</f>
        <v>0</v>
      </c>
      <c r="AB348">
        <f>(X348-DD348*(DI348+DJ348)/1000)</f>
        <v>0</v>
      </c>
      <c r="AC348">
        <f>(-J348*44100)</f>
        <v>0</v>
      </c>
      <c r="AD348">
        <f>2*29.3*R348*0.92*(DK348-W348)</f>
        <v>0</v>
      </c>
      <c r="AE348">
        <f>2*0.95*5.67E-8*(((DK348+$B$7)+273)^4-(W348+273)^4)</f>
        <v>0</v>
      </c>
      <c r="AF348">
        <f>U348+AE348+AC348+AD348</f>
        <v>0</v>
      </c>
      <c r="AG348">
        <f>DH348*AU348*(DC348-DB348*(1000-AU348*DE348)/(1000-AU348*DD348))/(100*CV348)</f>
        <v>0</v>
      </c>
      <c r="AH348">
        <f>1000*DH348*AU348*(DD348-DE348)/(100*CV348*(1000-AU348*DD348))</f>
        <v>0</v>
      </c>
      <c r="AI348">
        <f>(AJ348 - AK348 - DI348*1E3/(8.314*(DK348+273.15)) * AM348/DH348 * AL348) * DH348/(100*CV348) * (1000 - DE348)/1000</f>
        <v>0</v>
      </c>
      <c r="AJ348">
        <v>574.601785268258</v>
      </c>
      <c r="AK348">
        <v>525.6600969696971</v>
      </c>
      <c r="AL348">
        <v>3.336776937554241</v>
      </c>
      <c r="AM348">
        <v>66.38195617057868</v>
      </c>
      <c r="AN348">
        <f>(AP348 - AO348 + DI348*1E3/(8.314*(DK348+273.15)) * AR348/DH348 * AQ348) * DH348/(100*CV348) * 1000/(1000 - AP348)</f>
        <v>0</v>
      </c>
      <c r="AO348">
        <v>9.256586939468102</v>
      </c>
      <c r="AP348">
        <v>18.74224794117647</v>
      </c>
      <c r="AQ348">
        <v>7.675644072620532E-05</v>
      </c>
      <c r="AR348">
        <v>80.47178418790507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MAX(0,($B$13+$C$13*DP348)/(1+$D$13*DP348)*DI348/(DK348+273)*$E$13)</f>
        <v>0</v>
      </c>
      <c r="AX348" t="s">
        <v>417</v>
      </c>
      <c r="AY348" t="s">
        <v>417</v>
      </c>
      <c r="AZ348">
        <v>0</v>
      </c>
      <c r="BA348">
        <v>0</v>
      </c>
      <c r="BB348">
        <f>1-AZ348/BA348</f>
        <v>0</v>
      </c>
      <c r="BC348">
        <v>0</v>
      </c>
      <c r="BD348" t="s">
        <v>417</v>
      </c>
      <c r="BE348" t="s">
        <v>417</v>
      </c>
      <c r="BF348">
        <v>0</v>
      </c>
      <c r="BG348">
        <v>0</v>
      </c>
      <c r="BH348">
        <f>1-BF348/BG348</f>
        <v>0</v>
      </c>
      <c r="BI348">
        <v>0.5</v>
      </c>
      <c r="BJ348">
        <f>CS348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417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BZ348">
        <v>1249</v>
      </c>
      <c r="CA348">
        <v>300</v>
      </c>
      <c r="CB348">
        <v>300</v>
      </c>
      <c r="CC348">
        <v>300</v>
      </c>
      <c r="CD348">
        <v>10442.4</v>
      </c>
      <c r="CE348">
        <v>1239.69</v>
      </c>
      <c r="CF348">
        <v>-0.00735276</v>
      </c>
      <c r="CG348">
        <v>0.07000000000000001</v>
      </c>
      <c r="CH348" t="s">
        <v>417</v>
      </c>
      <c r="CI348" t="s">
        <v>417</v>
      </c>
      <c r="CJ348" t="s">
        <v>417</v>
      </c>
      <c r="CK348" t="s">
        <v>417</v>
      </c>
      <c r="CL348" t="s">
        <v>417</v>
      </c>
      <c r="CM348" t="s">
        <v>417</v>
      </c>
      <c r="CN348" t="s">
        <v>417</v>
      </c>
      <c r="CO348" t="s">
        <v>417</v>
      </c>
      <c r="CP348" t="s">
        <v>417</v>
      </c>
      <c r="CQ348" t="s">
        <v>417</v>
      </c>
      <c r="CR348">
        <f>$B$11*DQ348+$C$11*DR348+$F$11*EC348*(1-EF348)</f>
        <v>0</v>
      </c>
      <c r="CS348">
        <f>CR348*CT348</f>
        <v>0</v>
      </c>
      <c r="CT348">
        <f>($B$11*$D$9+$C$11*$D$9+$F$11*((EP348+EH348)/MAX(EP348+EH348+EQ348, 0.1)*$I$9+EQ348/MAX(EP348+EH348+EQ348, 0.1)*$J$9))/($B$11+$C$11+$F$11)</f>
        <v>0</v>
      </c>
      <c r="CU348">
        <f>($B$11*$K$9+$C$11*$K$9+$F$11*((EP348+EH348)/MAX(EP348+EH348+EQ348, 0.1)*$P$9+EQ348/MAX(EP348+EH348+EQ348, 0.1)*$Q$9))/($B$11+$C$11+$F$11)</f>
        <v>0</v>
      </c>
      <c r="CV348">
        <v>6</v>
      </c>
      <c r="CW348">
        <v>0.5</v>
      </c>
      <c r="CX348" t="s">
        <v>418</v>
      </c>
      <c r="CY348">
        <v>2</v>
      </c>
      <c r="CZ348" t="b">
        <v>1</v>
      </c>
      <c r="DA348">
        <v>1651866426.625</v>
      </c>
      <c r="DB348">
        <v>512.943</v>
      </c>
      <c r="DC348">
        <v>573.971</v>
      </c>
      <c r="DD348">
        <v>18.7411</v>
      </c>
      <c r="DE348">
        <v>9.236535</v>
      </c>
      <c r="DF348">
        <v>514.0707500000001</v>
      </c>
      <c r="DG348">
        <v>18.7149</v>
      </c>
      <c r="DH348">
        <v>500.0055</v>
      </c>
      <c r="DI348">
        <v>89.91522499999999</v>
      </c>
      <c r="DJ348">
        <v>0.0998685</v>
      </c>
      <c r="DK348">
        <v>25.947725</v>
      </c>
      <c r="DL348">
        <v>24.999025</v>
      </c>
      <c r="DM348">
        <v>999.9</v>
      </c>
      <c r="DN348">
        <v>0</v>
      </c>
      <c r="DO348">
        <v>0</v>
      </c>
      <c r="DP348">
        <v>10005.4875</v>
      </c>
      <c r="DQ348">
        <v>0</v>
      </c>
      <c r="DR348">
        <v>3.207345</v>
      </c>
      <c r="DS348">
        <v>-61.027775</v>
      </c>
      <c r="DT348">
        <v>522.73975</v>
      </c>
      <c r="DU348">
        <v>579.3217500000001</v>
      </c>
      <c r="DV348">
        <v>9.504569999999999</v>
      </c>
      <c r="DW348">
        <v>573.971</v>
      </c>
      <c r="DX348">
        <v>9.236535</v>
      </c>
      <c r="DY348">
        <v>1.68511</v>
      </c>
      <c r="DZ348">
        <v>0.830505</v>
      </c>
      <c r="EA348">
        <v>14.75995</v>
      </c>
      <c r="EB348">
        <v>4.2396675</v>
      </c>
      <c r="EC348">
        <v>1500.0375</v>
      </c>
      <c r="ED348">
        <v>0.973008</v>
      </c>
      <c r="EE348">
        <v>0.026992</v>
      </c>
      <c r="EF348">
        <v>0</v>
      </c>
      <c r="EG348">
        <v>901.6924999999999</v>
      </c>
      <c r="EH348">
        <v>5.00097</v>
      </c>
      <c r="EI348">
        <v>13453</v>
      </c>
      <c r="EJ348">
        <v>12491.95</v>
      </c>
      <c r="EK348">
        <v>38.687</v>
      </c>
      <c r="EL348">
        <v>39.937</v>
      </c>
      <c r="EM348">
        <v>39.10925</v>
      </c>
      <c r="EN348">
        <v>39.812</v>
      </c>
      <c r="EO348">
        <v>39.54649999999999</v>
      </c>
      <c r="EP348">
        <v>1454.6825</v>
      </c>
      <c r="EQ348">
        <v>40.35</v>
      </c>
      <c r="ER348">
        <v>0</v>
      </c>
      <c r="ES348">
        <v>945.2000000476837</v>
      </c>
      <c r="ET348">
        <v>0</v>
      </c>
      <c r="EU348">
        <v>899.1348076923078</v>
      </c>
      <c r="EV348">
        <v>24.23018799146038</v>
      </c>
      <c r="EW348">
        <v>349.0700850281558</v>
      </c>
      <c r="EX348">
        <v>13416.19615384615</v>
      </c>
      <c r="EY348">
        <v>15</v>
      </c>
      <c r="EZ348">
        <v>1651865518.1</v>
      </c>
      <c r="FA348" t="s">
        <v>910</v>
      </c>
      <c r="FB348">
        <v>1651865507.1</v>
      </c>
      <c r="FC348">
        <v>1651865518.1</v>
      </c>
      <c r="FD348">
        <v>8</v>
      </c>
      <c r="FE348">
        <v>0.06</v>
      </c>
      <c r="FF348">
        <v>0</v>
      </c>
      <c r="FG348">
        <v>-0.927</v>
      </c>
      <c r="FH348">
        <v>-0.062</v>
      </c>
      <c r="FI348">
        <v>400</v>
      </c>
      <c r="FJ348">
        <v>11</v>
      </c>
      <c r="FK348">
        <v>0.11</v>
      </c>
      <c r="FL348">
        <v>0.01</v>
      </c>
      <c r="FM348">
        <v>-59.997665</v>
      </c>
      <c r="FN348">
        <v>-7.044292682926781</v>
      </c>
      <c r="FO348">
        <v>0.6788791286193741</v>
      </c>
      <c r="FP348">
        <v>-1</v>
      </c>
      <c r="FQ348">
        <v>9.468078</v>
      </c>
      <c r="FR348">
        <v>0.1564781988742867</v>
      </c>
      <c r="FS348">
        <v>0.01554788959955661</v>
      </c>
      <c r="FT348">
        <v>-1</v>
      </c>
      <c r="FU348">
        <v>0</v>
      </c>
      <c r="FV348">
        <v>0</v>
      </c>
      <c r="FW348">
        <v>0</v>
      </c>
      <c r="FX348">
        <v>-1</v>
      </c>
      <c r="FY348">
        <v>0</v>
      </c>
      <c r="FZ348">
        <v>0</v>
      </c>
      <c r="GA348" t="s">
        <v>420</v>
      </c>
      <c r="GB348">
        <v>2.98146</v>
      </c>
      <c r="GC348">
        <v>2.7062</v>
      </c>
      <c r="GD348">
        <v>0.109381</v>
      </c>
      <c r="GE348">
        <v>0.117059</v>
      </c>
      <c r="GF348">
        <v>0.0891223</v>
      </c>
      <c r="GG348">
        <v>0.0520988</v>
      </c>
      <c r="GH348">
        <v>28143.6</v>
      </c>
      <c r="GI348">
        <v>27960.4</v>
      </c>
      <c r="GJ348">
        <v>29377.7</v>
      </c>
      <c r="GK348">
        <v>29291.7</v>
      </c>
      <c r="GL348">
        <v>35431.1</v>
      </c>
      <c r="GM348">
        <v>36987.1</v>
      </c>
      <c r="GN348">
        <v>41349.9</v>
      </c>
      <c r="GO348">
        <v>41811</v>
      </c>
      <c r="GP348">
        <v>1.96707</v>
      </c>
      <c r="GQ348">
        <v>1.85427</v>
      </c>
      <c r="GR348">
        <v>-0.00569969</v>
      </c>
      <c r="GS348">
        <v>0</v>
      </c>
      <c r="GT348">
        <v>25.0946</v>
      </c>
      <c r="GU348">
        <v>999.9</v>
      </c>
      <c r="GV348">
        <v>29.7</v>
      </c>
      <c r="GW348">
        <v>34.2</v>
      </c>
      <c r="GX348">
        <v>17.8486</v>
      </c>
      <c r="GY348">
        <v>62.0976</v>
      </c>
      <c r="GZ348">
        <v>35.3686</v>
      </c>
      <c r="HA348">
        <v>1</v>
      </c>
      <c r="HB348">
        <v>0.044032</v>
      </c>
      <c r="HC348">
        <v>1.49441</v>
      </c>
      <c r="HD348">
        <v>20.3279</v>
      </c>
      <c r="HE348">
        <v>5.21744</v>
      </c>
      <c r="HF348">
        <v>12.0099</v>
      </c>
      <c r="HG348">
        <v>4.9889</v>
      </c>
      <c r="HH348">
        <v>3.2885</v>
      </c>
      <c r="HI348">
        <v>1032.8</v>
      </c>
      <c r="HJ348">
        <v>9744.4</v>
      </c>
      <c r="HK348">
        <v>5139.4</v>
      </c>
      <c r="HL348">
        <v>25.4</v>
      </c>
      <c r="HM348">
        <v>1.86743</v>
      </c>
      <c r="HN348">
        <v>1.86646</v>
      </c>
      <c r="HO348">
        <v>1.866</v>
      </c>
      <c r="HP348">
        <v>1.86584</v>
      </c>
      <c r="HQ348">
        <v>1.86768</v>
      </c>
      <c r="HR348">
        <v>1.87022</v>
      </c>
      <c r="HS348">
        <v>1.8689</v>
      </c>
      <c r="HT348">
        <v>1.87016</v>
      </c>
      <c r="HU348">
        <v>0</v>
      </c>
      <c r="HV348">
        <v>0</v>
      </c>
      <c r="HW348">
        <v>0</v>
      </c>
      <c r="HX348">
        <v>0</v>
      </c>
      <c r="HY348" t="s">
        <v>421</v>
      </c>
      <c r="HZ348" t="s">
        <v>422</v>
      </c>
      <c r="IA348" t="s">
        <v>423</v>
      </c>
      <c r="IB348" t="s">
        <v>423</v>
      </c>
      <c r="IC348" t="s">
        <v>423</v>
      </c>
      <c r="ID348" t="s">
        <v>423</v>
      </c>
      <c r="IE348">
        <v>0</v>
      </c>
      <c r="IF348">
        <v>100</v>
      </c>
      <c r="IG348">
        <v>100</v>
      </c>
      <c r="IH348">
        <v>-1.136</v>
      </c>
      <c r="II348">
        <v>0.0262</v>
      </c>
      <c r="IJ348">
        <v>-0.1559367209035702</v>
      </c>
      <c r="IK348">
        <v>-0.002077099775823331</v>
      </c>
      <c r="IL348">
        <v>4.593143279902166E-07</v>
      </c>
      <c r="IM348">
        <v>-1.865383991892071E-10</v>
      </c>
      <c r="IN348">
        <v>-0.0607165066849496</v>
      </c>
      <c r="IO348">
        <v>-0.01129461987421345</v>
      </c>
      <c r="IP348">
        <v>0.00116580895745559</v>
      </c>
      <c r="IQ348">
        <v>-1.679085872906199E-05</v>
      </c>
      <c r="IR348">
        <v>2</v>
      </c>
      <c r="IS348">
        <v>2290</v>
      </c>
      <c r="IT348">
        <v>0</v>
      </c>
      <c r="IU348">
        <v>32</v>
      </c>
      <c r="IV348">
        <v>15.3</v>
      </c>
      <c r="IW348">
        <v>15.2</v>
      </c>
      <c r="IX348">
        <v>1.36963</v>
      </c>
      <c r="IY348">
        <v>2.20215</v>
      </c>
      <c r="IZ348">
        <v>1.39648</v>
      </c>
      <c r="JA348">
        <v>2.35474</v>
      </c>
      <c r="JB348">
        <v>1.49536</v>
      </c>
      <c r="JC348">
        <v>2.34741</v>
      </c>
      <c r="JD348">
        <v>38.0134</v>
      </c>
      <c r="JE348">
        <v>24.035</v>
      </c>
      <c r="JF348">
        <v>18</v>
      </c>
      <c r="JG348">
        <v>512.477</v>
      </c>
      <c r="JH348">
        <v>426.138</v>
      </c>
      <c r="JI348">
        <v>23.1508</v>
      </c>
      <c r="JJ348">
        <v>27.8936</v>
      </c>
      <c r="JK348">
        <v>30</v>
      </c>
      <c r="JL348">
        <v>27.9121</v>
      </c>
      <c r="JM348">
        <v>27.8558</v>
      </c>
      <c r="JN348">
        <v>27.455</v>
      </c>
      <c r="JO348">
        <v>45.7731</v>
      </c>
      <c r="JP348">
        <v>0</v>
      </c>
      <c r="JQ348">
        <v>23.1509</v>
      </c>
      <c r="JR348">
        <v>599.079</v>
      </c>
      <c r="JS348">
        <v>9.160399999999999</v>
      </c>
      <c r="JT348">
        <v>100.418</v>
      </c>
      <c r="JU348">
        <v>100.347</v>
      </c>
    </row>
    <row r="349" spans="1:281">
      <c r="A349">
        <v>333</v>
      </c>
      <c r="B349">
        <v>1651866430</v>
      </c>
      <c r="C349">
        <v>2209.400000095367</v>
      </c>
      <c r="D349" t="s">
        <v>1089</v>
      </c>
      <c r="E349" t="s">
        <v>1090</v>
      </c>
      <c r="F349">
        <v>2</v>
      </c>
      <c r="G349" t="s">
        <v>908</v>
      </c>
      <c r="H349" t="s">
        <v>414</v>
      </c>
      <c r="I349">
        <v>1651866429</v>
      </c>
      <c r="J349">
        <f>(K349)/1000</f>
        <v>0</v>
      </c>
      <c r="K349">
        <f>IF(CZ349, AN349, AH349)</f>
        <v>0</v>
      </c>
      <c r="L349">
        <f>IF(CZ349, AI349, AG349)</f>
        <v>0</v>
      </c>
      <c r="M349">
        <f>DB349 - IF(AU349&gt;1, L349*CV349*100.0/(AW349*DP349), 0)</f>
        <v>0</v>
      </c>
      <c r="N349">
        <f>((T349-J349/2)*M349-L349)/(T349+J349/2)</f>
        <v>0</v>
      </c>
      <c r="O349">
        <f>N349*(DI349+DJ349)/1000.0</f>
        <v>0</v>
      </c>
      <c r="P349">
        <f>(DB349 - IF(AU349&gt;1, L349*CV349*100.0/(AW349*DP349), 0))*(DI349+DJ349)/1000.0</f>
        <v>0</v>
      </c>
      <c r="Q349">
        <f>2.0/((1/S349-1/R349)+SIGN(S349)*SQRT((1/S349-1/R349)*(1/S349-1/R349) + 4*CW349/((CW349+1)*(CW349+1))*(2*1/S349*1/R349-1/R349*1/R349)))</f>
        <v>0</v>
      </c>
      <c r="R349">
        <f>IF(LEFT(CX349,1)&lt;&gt;"0",IF(LEFT(CX349,1)="1",3.0,CY349),$D$5+$E$5*(DP349*DI349/($K$5*1000))+$F$5*(DP349*DI349/($K$5*1000))*MAX(MIN(CV349,$J$5),$I$5)*MAX(MIN(CV349,$J$5),$I$5)+$G$5*MAX(MIN(CV349,$J$5),$I$5)*(DP349*DI349/($K$5*1000))+$H$5*(DP349*DI349/($K$5*1000))*(DP349*DI349/($K$5*1000)))</f>
        <v>0</v>
      </c>
      <c r="S349">
        <f>J349*(1000-(1000*0.61365*exp(17.502*W349/(240.97+W349))/(DI349+DJ349)+DD349)/2)/(1000*0.61365*exp(17.502*W349/(240.97+W349))/(DI349+DJ349)-DD349)</f>
        <v>0</v>
      </c>
      <c r="T349">
        <f>1/((CW349+1)/(Q349/1.6)+1/(R349/1.37)) + CW349/((CW349+1)/(Q349/1.6) + CW349/(R349/1.37))</f>
        <v>0</v>
      </c>
      <c r="U349">
        <f>(CR349*CU349)</f>
        <v>0</v>
      </c>
      <c r="V349">
        <f>(DK349+(U349+2*0.95*5.67E-8*(((DK349+$B$7)+273)^4-(DK349+273)^4)-44100*J349)/(1.84*29.3*R349+8*0.95*5.67E-8*(DK349+273)^3))</f>
        <v>0</v>
      </c>
      <c r="W349">
        <f>($C$7*DL349+$D$7*DM349+$E$7*V349)</f>
        <v>0</v>
      </c>
      <c r="X349">
        <f>0.61365*exp(17.502*W349/(240.97+W349))</f>
        <v>0</v>
      </c>
      <c r="Y349">
        <f>(Z349/AA349*100)</f>
        <v>0</v>
      </c>
      <c r="Z349">
        <f>DD349*(DI349+DJ349)/1000</f>
        <v>0</v>
      </c>
      <c r="AA349">
        <f>0.61365*exp(17.502*DK349/(240.97+DK349))</f>
        <v>0</v>
      </c>
      <c r="AB349">
        <f>(X349-DD349*(DI349+DJ349)/1000)</f>
        <v>0</v>
      </c>
      <c r="AC349">
        <f>(-J349*44100)</f>
        <v>0</v>
      </c>
      <c r="AD349">
        <f>2*29.3*R349*0.92*(DK349-W349)</f>
        <v>0</v>
      </c>
      <c r="AE349">
        <f>2*0.95*5.67E-8*(((DK349+$B$7)+273)^4-(W349+273)^4)</f>
        <v>0</v>
      </c>
      <c r="AF349">
        <f>U349+AE349+AC349+AD349</f>
        <v>0</v>
      </c>
      <c r="AG349">
        <f>DH349*AU349*(DC349-DB349*(1000-AU349*DE349)/(1000-AU349*DD349))/(100*CV349)</f>
        <v>0</v>
      </c>
      <c r="AH349">
        <f>1000*DH349*AU349*(DD349-DE349)/(100*CV349*(1000-AU349*DD349))</f>
        <v>0</v>
      </c>
      <c r="AI349">
        <f>(AJ349 - AK349 - DI349*1E3/(8.314*(DK349+273.15)) * AM349/DH349 * AL349) * DH349/(100*CV349) * (1000 - DE349)/1000</f>
        <v>0</v>
      </c>
      <c r="AJ349">
        <v>581.3767664922485</v>
      </c>
      <c r="AK349">
        <v>532.2877393939393</v>
      </c>
      <c r="AL349">
        <v>3.322978537080236</v>
      </c>
      <c r="AM349">
        <v>66.38195617057868</v>
      </c>
      <c r="AN349">
        <f>(AP349 - AO349 + DI349*1E3/(8.314*(DK349+273.15)) * AR349/DH349 * AQ349) * DH349/(100*CV349) * 1000/(1000 - AP349)</f>
        <v>0</v>
      </c>
      <c r="AO349">
        <v>9.245861866127084</v>
      </c>
      <c r="AP349">
        <v>18.7424105882353</v>
      </c>
      <c r="AQ349">
        <v>8.000675603710364E-05</v>
      </c>
      <c r="AR349">
        <v>80.47178418790507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MAX(0,($B$13+$C$13*DP349)/(1+$D$13*DP349)*DI349/(DK349+273)*$E$13)</f>
        <v>0</v>
      </c>
      <c r="AX349" t="s">
        <v>417</v>
      </c>
      <c r="AY349" t="s">
        <v>417</v>
      </c>
      <c r="AZ349">
        <v>0</v>
      </c>
      <c r="BA349">
        <v>0</v>
      </c>
      <c r="BB349">
        <f>1-AZ349/BA349</f>
        <v>0</v>
      </c>
      <c r="BC349">
        <v>0</v>
      </c>
      <c r="BD349" t="s">
        <v>417</v>
      </c>
      <c r="BE349" t="s">
        <v>417</v>
      </c>
      <c r="BF349">
        <v>0</v>
      </c>
      <c r="BG349">
        <v>0</v>
      </c>
      <c r="BH349">
        <f>1-BF349/BG349</f>
        <v>0</v>
      </c>
      <c r="BI349">
        <v>0.5</v>
      </c>
      <c r="BJ349">
        <f>CS349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417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BZ349">
        <v>1249</v>
      </c>
      <c r="CA349">
        <v>300</v>
      </c>
      <c r="CB349">
        <v>300</v>
      </c>
      <c r="CC349">
        <v>300</v>
      </c>
      <c r="CD349">
        <v>10442.4</v>
      </c>
      <c r="CE349">
        <v>1239.69</v>
      </c>
      <c r="CF349">
        <v>-0.00735276</v>
      </c>
      <c r="CG349">
        <v>0.07000000000000001</v>
      </c>
      <c r="CH349" t="s">
        <v>417</v>
      </c>
      <c r="CI349" t="s">
        <v>417</v>
      </c>
      <c r="CJ349" t="s">
        <v>417</v>
      </c>
      <c r="CK349" t="s">
        <v>417</v>
      </c>
      <c r="CL349" t="s">
        <v>417</v>
      </c>
      <c r="CM349" t="s">
        <v>417</v>
      </c>
      <c r="CN349" t="s">
        <v>417</v>
      </c>
      <c r="CO349" t="s">
        <v>417</v>
      </c>
      <c r="CP349" t="s">
        <v>417</v>
      </c>
      <c r="CQ349" t="s">
        <v>417</v>
      </c>
      <c r="CR349">
        <f>$B$11*DQ349+$C$11*DR349+$F$11*EC349*(1-EF349)</f>
        <v>0</v>
      </c>
      <c r="CS349">
        <f>CR349*CT349</f>
        <v>0</v>
      </c>
      <c r="CT349">
        <f>($B$11*$D$9+$C$11*$D$9+$F$11*((EP349+EH349)/MAX(EP349+EH349+EQ349, 0.1)*$I$9+EQ349/MAX(EP349+EH349+EQ349, 0.1)*$J$9))/($B$11+$C$11+$F$11)</f>
        <v>0</v>
      </c>
      <c r="CU349">
        <f>($B$11*$K$9+$C$11*$K$9+$F$11*((EP349+EH349)/MAX(EP349+EH349+EQ349, 0.1)*$P$9+EQ349/MAX(EP349+EH349+EQ349, 0.1)*$Q$9))/($B$11+$C$11+$F$11)</f>
        <v>0</v>
      </c>
      <c r="CV349">
        <v>6</v>
      </c>
      <c r="CW349">
        <v>0.5</v>
      </c>
      <c r="CX349" t="s">
        <v>418</v>
      </c>
      <c r="CY349">
        <v>2</v>
      </c>
      <c r="CZ349" t="b">
        <v>1</v>
      </c>
      <c r="DA349">
        <v>1651866429</v>
      </c>
      <c r="DB349">
        <v>520.6886666666667</v>
      </c>
      <c r="DC349">
        <v>581.9563333333334</v>
      </c>
      <c r="DD349">
        <v>18.74206666666667</v>
      </c>
      <c r="DE349">
        <v>9.219103333333333</v>
      </c>
      <c r="DF349">
        <v>521.8296666666666</v>
      </c>
      <c r="DG349">
        <v>18.7159</v>
      </c>
      <c r="DH349">
        <v>500.071</v>
      </c>
      <c r="DI349">
        <v>89.91526666666665</v>
      </c>
      <c r="DJ349">
        <v>0.100129</v>
      </c>
      <c r="DK349">
        <v>25.94896666666666</v>
      </c>
      <c r="DL349">
        <v>25.00293333333333</v>
      </c>
      <c r="DM349">
        <v>999.9</v>
      </c>
      <c r="DN349">
        <v>0</v>
      </c>
      <c r="DO349">
        <v>0</v>
      </c>
      <c r="DP349">
        <v>9984.583333333334</v>
      </c>
      <c r="DQ349">
        <v>0</v>
      </c>
      <c r="DR349">
        <v>3.21788</v>
      </c>
      <c r="DS349">
        <v>-61.26783333333333</v>
      </c>
      <c r="DT349">
        <v>530.6336666666666</v>
      </c>
      <c r="DU349">
        <v>587.3713333333333</v>
      </c>
      <c r="DV349">
        <v>9.522976666666667</v>
      </c>
      <c r="DW349">
        <v>581.9563333333334</v>
      </c>
      <c r="DX349">
        <v>9.219103333333333</v>
      </c>
      <c r="DY349">
        <v>1.6852</v>
      </c>
      <c r="DZ349">
        <v>0.828938</v>
      </c>
      <c r="EA349">
        <v>14.76076666666667</v>
      </c>
      <c r="EB349">
        <v>4.21275</v>
      </c>
      <c r="EC349">
        <v>1500.04</v>
      </c>
      <c r="ED349">
        <v>0.973008</v>
      </c>
      <c r="EE349">
        <v>0.026992</v>
      </c>
      <c r="EF349">
        <v>0</v>
      </c>
      <c r="EG349">
        <v>902.7876666666666</v>
      </c>
      <c r="EH349">
        <v>5.00097</v>
      </c>
      <c r="EI349">
        <v>13466.4</v>
      </c>
      <c r="EJ349">
        <v>12491.96666666667</v>
      </c>
      <c r="EK349">
        <v>38.687</v>
      </c>
      <c r="EL349">
        <v>39.937</v>
      </c>
      <c r="EM349">
        <v>39.062</v>
      </c>
      <c r="EN349">
        <v>39.812</v>
      </c>
      <c r="EO349">
        <v>39.5</v>
      </c>
      <c r="EP349">
        <v>1454.68</v>
      </c>
      <c r="EQ349">
        <v>40.35</v>
      </c>
      <c r="ER349">
        <v>0</v>
      </c>
      <c r="ES349">
        <v>947.6000001430511</v>
      </c>
      <c r="ET349">
        <v>0</v>
      </c>
      <c r="EU349">
        <v>900.1203461538462</v>
      </c>
      <c r="EV349">
        <v>24.91388033297582</v>
      </c>
      <c r="EW349">
        <v>343.0598290527066</v>
      </c>
      <c r="EX349">
        <v>13429.90384615385</v>
      </c>
      <c r="EY349">
        <v>15</v>
      </c>
      <c r="EZ349">
        <v>1651865518.1</v>
      </c>
      <c r="FA349" t="s">
        <v>910</v>
      </c>
      <c r="FB349">
        <v>1651865507.1</v>
      </c>
      <c r="FC349">
        <v>1651865518.1</v>
      </c>
      <c r="FD349">
        <v>8</v>
      </c>
      <c r="FE349">
        <v>0.06</v>
      </c>
      <c r="FF349">
        <v>0</v>
      </c>
      <c r="FG349">
        <v>-0.927</v>
      </c>
      <c r="FH349">
        <v>-0.062</v>
      </c>
      <c r="FI349">
        <v>400</v>
      </c>
      <c r="FJ349">
        <v>11</v>
      </c>
      <c r="FK349">
        <v>0.11</v>
      </c>
      <c r="FL349">
        <v>0.01</v>
      </c>
      <c r="FM349">
        <v>-60.13773414634147</v>
      </c>
      <c r="FN349">
        <v>-6.905874564459859</v>
      </c>
      <c r="FO349">
        <v>0.6825406174315077</v>
      </c>
      <c r="FP349">
        <v>-1</v>
      </c>
      <c r="FQ349">
        <v>9.472850487804878</v>
      </c>
      <c r="FR349">
        <v>0.1848119163763171</v>
      </c>
      <c r="FS349">
        <v>0.01930136314549421</v>
      </c>
      <c r="FT349">
        <v>-1</v>
      </c>
      <c r="FU349">
        <v>0</v>
      </c>
      <c r="FV349">
        <v>0</v>
      </c>
      <c r="FW349">
        <v>0</v>
      </c>
      <c r="FX349">
        <v>-1</v>
      </c>
      <c r="FY349">
        <v>0</v>
      </c>
      <c r="FZ349">
        <v>0</v>
      </c>
      <c r="GA349" t="s">
        <v>420</v>
      </c>
      <c r="GB349">
        <v>2.98169</v>
      </c>
      <c r="GC349">
        <v>2.70613</v>
      </c>
      <c r="GD349">
        <v>0.110372</v>
      </c>
      <c r="GE349">
        <v>0.118018</v>
      </c>
      <c r="GF349">
        <v>0.0891166</v>
      </c>
      <c r="GG349">
        <v>0.0520672</v>
      </c>
      <c r="GH349">
        <v>28112.2</v>
      </c>
      <c r="GI349">
        <v>27930.2</v>
      </c>
      <c r="GJ349">
        <v>29377.6</v>
      </c>
      <c r="GK349">
        <v>29291.9</v>
      </c>
      <c r="GL349">
        <v>35431.2</v>
      </c>
      <c r="GM349">
        <v>36988.5</v>
      </c>
      <c r="GN349">
        <v>41349.7</v>
      </c>
      <c r="GO349">
        <v>41811.2</v>
      </c>
      <c r="GP349">
        <v>1.9672</v>
      </c>
      <c r="GQ349">
        <v>1.8541</v>
      </c>
      <c r="GR349">
        <v>-0.00566244</v>
      </c>
      <c r="GS349">
        <v>0</v>
      </c>
      <c r="GT349">
        <v>25.0953</v>
      </c>
      <c r="GU349">
        <v>999.9</v>
      </c>
      <c r="GV349">
        <v>29.7</v>
      </c>
      <c r="GW349">
        <v>34.2</v>
      </c>
      <c r="GX349">
        <v>17.8459</v>
      </c>
      <c r="GY349">
        <v>62.5576</v>
      </c>
      <c r="GZ349">
        <v>35.1322</v>
      </c>
      <c r="HA349">
        <v>1</v>
      </c>
      <c r="HB349">
        <v>0.044065</v>
      </c>
      <c r="HC349">
        <v>1.49411</v>
      </c>
      <c r="HD349">
        <v>20.328</v>
      </c>
      <c r="HE349">
        <v>5.21759</v>
      </c>
      <c r="HF349">
        <v>12.0099</v>
      </c>
      <c r="HG349">
        <v>4.98885</v>
      </c>
      <c r="HH349">
        <v>3.2885</v>
      </c>
      <c r="HI349">
        <v>1032.8</v>
      </c>
      <c r="HJ349">
        <v>9744.4</v>
      </c>
      <c r="HK349">
        <v>5139.4</v>
      </c>
      <c r="HL349">
        <v>25.4</v>
      </c>
      <c r="HM349">
        <v>1.86744</v>
      </c>
      <c r="HN349">
        <v>1.86645</v>
      </c>
      <c r="HO349">
        <v>1.866</v>
      </c>
      <c r="HP349">
        <v>1.86584</v>
      </c>
      <c r="HQ349">
        <v>1.86768</v>
      </c>
      <c r="HR349">
        <v>1.8702</v>
      </c>
      <c r="HS349">
        <v>1.86889</v>
      </c>
      <c r="HT349">
        <v>1.87016</v>
      </c>
      <c r="HU349">
        <v>0</v>
      </c>
      <c r="HV349">
        <v>0</v>
      </c>
      <c r="HW349">
        <v>0</v>
      </c>
      <c r="HX349">
        <v>0</v>
      </c>
      <c r="HY349" t="s">
        <v>421</v>
      </c>
      <c r="HZ349" t="s">
        <v>422</v>
      </c>
      <c r="IA349" t="s">
        <v>423</v>
      </c>
      <c r="IB349" t="s">
        <v>423</v>
      </c>
      <c r="IC349" t="s">
        <v>423</v>
      </c>
      <c r="ID349" t="s">
        <v>423</v>
      </c>
      <c r="IE349">
        <v>0</v>
      </c>
      <c r="IF349">
        <v>100</v>
      </c>
      <c r="IG349">
        <v>100</v>
      </c>
      <c r="IH349">
        <v>-1.147</v>
      </c>
      <c r="II349">
        <v>0.0262</v>
      </c>
      <c r="IJ349">
        <v>-0.1559367209035702</v>
      </c>
      <c r="IK349">
        <v>-0.002077099775823331</v>
      </c>
      <c r="IL349">
        <v>4.593143279902166E-07</v>
      </c>
      <c r="IM349">
        <v>-1.865383991892071E-10</v>
      </c>
      <c r="IN349">
        <v>-0.0607165066849496</v>
      </c>
      <c r="IO349">
        <v>-0.01129461987421345</v>
      </c>
      <c r="IP349">
        <v>0.00116580895745559</v>
      </c>
      <c r="IQ349">
        <v>-1.679085872906199E-05</v>
      </c>
      <c r="IR349">
        <v>2</v>
      </c>
      <c r="IS349">
        <v>2290</v>
      </c>
      <c r="IT349">
        <v>0</v>
      </c>
      <c r="IU349">
        <v>32</v>
      </c>
      <c r="IV349">
        <v>15.4</v>
      </c>
      <c r="IW349">
        <v>15.2</v>
      </c>
      <c r="IX349">
        <v>1.38184</v>
      </c>
      <c r="IY349">
        <v>2.20581</v>
      </c>
      <c r="IZ349">
        <v>1.39648</v>
      </c>
      <c r="JA349">
        <v>2.35596</v>
      </c>
      <c r="JB349">
        <v>1.49536</v>
      </c>
      <c r="JC349">
        <v>2.28271</v>
      </c>
      <c r="JD349">
        <v>38.0134</v>
      </c>
      <c r="JE349">
        <v>24.035</v>
      </c>
      <c r="JF349">
        <v>18</v>
      </c>
      <c r="JG349">
        <v>512.549</v>
      </c>
      <c r="JH349">
        <v>426.03</v>
      </c>
      <c r="JI349">
        <v>23.1509</v>
      </c>
      <c r="JJ349">
        <v>27.8924</v>
      </c>
      <c r="JK349">
        <v>30</v>
      </c>
      <c r="JL349">
        <v>27.9109</v>
      </c>
      <c r="JM349">
        <v>27.8552</v>
      </c>
      <c r="JN349">
        <v>27.6994</v>
      </c>
      <c r="JO349">
        <v>45.7731</v>
      </c>
      <c r="JP349">
        <v>0</v>
      </c>
      <c r="JQ349">
        <v>23.1509</v>
      </c>
      <c r="JR349">
        <v>605.7569999999999</v>
      </c>
      <c r="JS349">
        <v>9.159610000000001</v>
      </c>
      <c r="JT349">
        <v>100.418</v>
      </c>
      <c r="JU349">
        <v>100.347</v>
      </c>
    </row>
    <row r="350" spans="1:281">
      <c r="A350">
        <v>334</v>
      </c>
      <c r="B350">
        <v>1651866432</v>
      </c>
      <c r="C350">
        <v>2211.400000095367</v>
      </c>
      <c r="D350" t="s">
        <v>1091</v>
      </c>
      <c r="E350" t="s">
        <v>1092</v>
      </c>
      <c r="F350">
        <v>2</v>
      </c>
      <c r="G350" t="s">
        <v>908</v>
      </c>
      <c r="H350" t="s">
        <v>414</v>
      </c>
      <c r="I350">
        <v>1651866430.625</v>
      </c>
      <c r="J350">
        <f>(K350)/1000</f>
        <v>0</v>
      </c>
      <c r="K350">
        <f>IF(CZ350, AN350, AH350)</f>
        <v>0</v>
      </c>
      <c r="L350">
        <f>IF(CZ350, AI350, AG350)</f>
        <v>0</v>
      </c>
      <c r="M350">
        <f>DB350 - IF(AU350&gt;1, L350*CV350*100.0/(AW350*DP350), 0)</f>
        <v>0</v>
      </c>
      <c r="N350">
        <f>((T350-J350/2)*M350-L350)/(T350+J350/2)</f>
        <v>0</v>
      </c>
      <c r="O350">
        <f>N350*(DI350+DJ350)/1000.0</f>
        <v>0</v>
      </c>
      <c r="P350">
        <f>(DB350 - IF(AU350&gt;1, L350*CV350*100.0/(AW350*DP350), 0))*(DI350+DJ350)/1000.0</f>
        <v>0</v>
      </c>
      <c r="Q350">
        <f>2.0/((1/S350-1/R350)+SIGN(S350)*SQRT((1/S350-1/R350)*(1/S350-1/R350) + 4*CW350/((CW350+1)*(CW350+1))*(2*1/S350*1/R350-1/R350*1/R350)))</f>
        <v>0</v>
      </c>
      <c r="R350">
        <f>IF(LEFT(CX350,1)&lt;&gt;"0",IF(LEFT(CX350,1)="1",3.0,CY350),$D$5+$E$5*(DP350*DI350/($K$5*1000))+$F$5*(DP350*DI350/($K$5*1000))*MAX(MIN(CV350,$J$5),$I$5)*MAX(MIN(CV350,$J$5),$I$5)+$G$5*MAX(MIN(CV350,$J$5),$I$5)*(DP350*DI350/($K$5*1000))+$H$5*(DP350*DI350/($K$5*1000))*(DP350*DI350/($K$5*1000)))</f>
        <v>0</v>
      </c>
      <c r="S350">
        <f>J350*(1000-(1000*0.61365*exp(17.502*W350/(240.97+W350))/(DI350+DJ350)+DD350)/2)/(1000*0.61365*exp(17.502*W350/(240.97+W350))/(DI350+DJ350)-DD350)</f>
        <v>0</v>
      </c>
      <c r="T350">
        <f>1/((CW350+1)/(Q350/1.6)+1/(R350/1.37)) + CW350/((CW350+1)/(Q350/1.6) + CW350/(R350/1.37))</f>
        <v>0</v>
      </c>
      <c r="U350">
        <f>(CR350*CU350)</f>
        <v>0</v>
      </c>
      <c r="V350">
        <f>(DK350+(U350+2*0.95*5.67E-8*(((DK350+$B$7)+273)^4-(DK350+273)^4)-44100*J350)/(1.84*29.3*R350+8*0.95*5.67E-8*(DK350+273)^3))</f>
        <v>0</v>
      </c>
      <c r="W350">
        <f>($C$7*DL350+$D$7*DM350+$E$7*V350)</f>
        <v>0</v>
      </c>
      <c r="X350">
        <f>0.61365*exp(17.502*W350/(240.97+W350))</f>
        <v>0</v>
      </c>
      <c r="Y350">
        <f>(Z350/AA350*100)</f>
        <v>0</v>
      </c>
      <c r="Z350">
        <f>DD350*(DI350+DJ350)/1000</f>
        <v>0</v>
      </c>
      <c r="AA350">
        <f>0.61365*exp(17.502*DK350/(240.97+DK350))</f>
        <v>0</v>
      </c>
      <c r="AB350">
        <f>(X350-DD350*(DI350+DJ350)/1000)</f>
        <v>0</v>
      </c>
      <c r="AC350">
        <f>(-J350*44100)</f>
        <v>0</v>
      </c>
      <c r="AD350">
        <f>2*29.3*R350*0.92*(DK350-W350)</f>
        <v>0</v>
      </c>
      <c r="AE350">
        <f>2*0.95*5.67E-8*(((DK350+$B$7)+273)^4-(W350+273)^4)</f>
        <v>0</v>
      </c>
      <c r="AF350">
        <f>U350+AE350+AC350+AD350</f>
        <v>0</v>
      </c>
      <c r="AG350">
        <f>DH350*AU350*(DC350-DB350*(1000-AU350*DE350)/(1000-AU350*DD350))/(100*CV350)</f>
        <v>0</v>
      </c>
      <c r="AH350">
        <f>1000*DH350*AU350*(DD350-DE350)/(100*CV350*(1000-AU350*DD350))</f>
        <v>0</v>
      </c>
      <c r="AI350">
        <f>(AJ350 - AK350 - DI350*1E3/(8.314*(DK350+273.15)) * AM350/DH350 * AL350) * DH350/(100*CV350) * (1000 - DE350)/1000</f>
        <v>0</v>
      </c>
      <c r="AJ350">
        <v>588.1566378457135</v>
      </c>
      <c r="AK350">
        <v>538.8821393939393</v>
      </c>
      <c r="AL350">
        <v>3.303313656875701</v>
      </c>
      <c r="AM350">
        <v>66.38195617057868</v>
      </c>
      <c r="AN350">
        <f>(AP350 - AO350 + DI350*1E3/(8.314*(DK350+273.15)) * AR350/DH350 * AQ350) * DH350/(100*CV350) * 1000/(1000 - AP350)</f>
        <v>0</v>
      </c>
      <c r="AO350">
        <v>9.228455122591019</v>
      </c>
      <c r="AP350">
        <v>18.73813058823527</v>
      </c>
      <c r="AQ350">
        <v>8.22548548749841E-05</v>
      </c>
      <c r="AR350">
        <v>80.47178418790507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MAX(0,($B$13+$C$13*DP350)/(1+$D$13*DP350)*DI350/(DK350+273)*$E$13)</f>
        <v>0</v>
      </c>
      <c r="AX350" t="s">
        <v>417</v>
      </c>
      <c r="AY350" t="s">
        <v>417</v>
      </c>
      <c r="AZ350">
        <v>0</v>
      </c>
      <c r="BA350">
        <v>0</v>
      </c>
      <c r="BB350">
        <f>1-AZ350/BA350</f>
        <v>0</v>
      </c>
      <c r="BC350">
        <v>0</v>
      </c>
      <c r="BD350" t="s">
        <v>417</v>
      </c>
      <c r="BE350" t="s">
        <v>417</v>
      </c>
      <c r="BF350">
        <v>0</v>
      </c>
      <c r="BG350">
        <v>0</v>
      </c>
      <c r="BH350">
        <f>1-BF350/BG350</f>
        <v>0</v>
      </c>
      <c r="BI350">
        <v>0.5</v>
      </c>
      <c r="BJ350">
        <f>CS350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417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BZ350">
        <v>1249</v>
      </c>
      <c r="CA350">
        <v>300</v>
      </c>
      <c r="CB350">
        <v>300</v>
      </c>
      <c r="CC350">
        <v>300</v>
      </c>
      <c r="CD350">
        <v>10442.4</v>
      </c>
      <c r="CE350">
        <v>1239.69</v>
      </c>
      <c r="CF350">
        <v>-0.00735276</v>
      </c>
      <c r="CG350">
        <v>0.07000000000000001</v>
      </c>
      <c r="CH350" t="s">
        <v>417</v>
      </c>
      <c r="CI350" t="s">
        <v>417</v>
      </c>
      <c r="CJ350" t="s">
        <v>417</v>
      </c>
      <c r="CK350" t="s">
        <v>417</v>
      </c>
      <c r="CL350" t="s">
        <v>417</v>
      </c>
      <c r="CM350" t="s">
        <v>417</v>
      </c>
      <c r="CN350" t="s">
        <v>417</v>
      </c>
      <c r="CO350" t="s">
        <v>417</v>
      </c>
      <c r="CP350" t="s">
        <v>417</v>
      </c>
      <c r="CQ350" t="s">
        <v>417</v>
      </c>
      <c r="CR350">
        <f>$B$11*DQ350+$C$11*DR350+$F$11*EC350*(1-EF350)</f>
        <v>0</v>
      </c>
      <c r="CS350">
        <f>CR350*CT350</f>
        <v>0</v>
      </c>
      <c r="CT350">
        <f>($B$11*$D$9+$C$11*$D$9+$F$11*((EP350+EH350)/MAX(EP350+EH350+EQ350, 0.1)*$I$9+EQ350/MAX(EP350+EH350+EQ350, 0.1)*$J$9))/($B$11+$C$11+$F$11)</f>
        <v>0</v>
      </c>
      <c r="CU350">
        <f>($B$11*$K$9+$C$11*$K$9+$F$11*((EP350+EH350)/MAX(EP350+EH350+EQ350, 0.1)*$P$9+EQ350/MAX(EP350+EH350+EQ350, 0.1)*$Q$9))/($B$11+$C$11+$F$11)</f>
        <v>0</v>
      </c>
      <c r="CV350">
        <v>6</v>
      </c>
      <c r="CW350">
        <v>0.5</v>
      </c>
      <c r="CX350" t="s">
        <v>418</v>
      </c>
      <c r="CY350">
        <v>2</v>
      </c>
      <c r="CZ350" t="b">
        <v>1</v>
      </c>
      <c r="DA350">
        <v>1651866430.625</v>
      </c>
      <c r="DB350">
        <v>525.9502500000001</v>
      </c>
      <c r="DC350">
        <v>587.4377500000001</v>
      </c>
      <c r="DD350">
        <v>18.7398</v>
      </c>
      <c r="DE350">
        <v>9.216435000000001</v>
      </c>
      <c r="DF350">
        <v>527.101</v>
      </c>
      <c r="DG350">
        <v>18.713625</v>
      </c>
      <c r="DH350">
        <v>500.0772499999999</v>
      </c>
      <c r="DI350">
        <v>89.91540000000001</v>
      </c>
      <c r="DJ350">
        <v>0.10011325</v>
      </c>
      <c r="DK350">
        <v>25.950125</v>
      </c>
      <c r="DL350">
        <v>25.003825</v>
      </c>
      <c r="DM350">
        <v>999.9</v>
      </c>
      <c r="DN350">
        <v>0</v>
      </c>
      <c r="DO350">
        <v>0</v>
      </c>
      <c r="DP350">
        <v>9976.25</v>
      </c>
      <c r="DQ350">
        <v>0</v>
      </c>
      <c r="DR350">
        <v>3.21788</v>
      </c>
      <c r="DS350">
        <v>-61.48735</v>
      </c>
      <c r="DT350">
        <v>535.9947500000001</v>
      </c>
      <c r="DU350">
        <v>592.902</v>
      </c>
      <c r="DV350">
        <v>9.523345000000001</v>
      </c>
      <c r="DW350">
        <v>587.4377500000001</v>
      </c>
      <c r="DX350">
        <v>9.216435000000001</v>
      </c>
      <c r="DY350">
        <v>1.684995</v>
      </c>
      <c r="DZ350">
        <v>0.8286994999999999</v>
      </c>
      <c r="EA350">
        <v>14.758875</v>
      </c>
      <c r="EB350">
        <v>4.2086425</v>
      </c>
      <c r="EC350">
        <v>1500.055</v>
      </c>
      <c r="ED350">
        <v>0.973008</v>
      </c>
      <c r="EE350">
        <v>0.026992</v>
      </c>
      <c r="EF350">
        <v>0</v>
      </c>
      <c r="EG350">
        <v>903.2135</v>
      </c>
      <c r="EH350">
        <v>5.00097</v>
      </c>
      <c r="EI350">
        <v>13474.725</v>
      </c>
      <c r="EJ350">
        <v>12492.075</v>
      </c>
      <c r="EK350">
        <v>38.687</v>
      </c>
      <c r="EL350">
        <v>39.92149999999999</v>
      </c>
      <c r="EM350">
        <v>39.062</v>
      </c>
      <c r="EN350">
        <v>39.7655</v>
      </c>
      <c r="EO350">
        <v>39.48425</v>
      </c>
      <c r="EP350">
        <v>1454.695</v>
      </c>
      <c r="EQ350">
        <v>40.35</v>
      </c>
      <c r="ER350">
        <v>0</v>
      </c>
      <c r="ES350">
        <v>949.4000000953674</v>
      </c>
      <c r="ET350">
        <v>0</v>
      </c>
      <c r="EU350">
        <v>900.95416</v>
      </c>
      <c r="EV350">
        <v>24.01661537659602</v>
      </c>
      <c r="EW350">
        <v>334.3923077002773</v>
      </c>
      <c r="EX350">
        <v>13441.796</v>
      </c>
      <c r="EY350">
        <v>15</v>
      </c>
      <c r="EZ350">
        <v>1651865518.1</v>
      </c>
      <c r="FA350" t="s">
        <v>910</v>
      </c>
      <c r="FB350">
        <v>1651865507.1</v>
      </c>
      <c r="FC350">
        <v>1651865518.1</v>
      </c>
      <c r="FD350">
        <v>8</v>
      </c>
      <c r="FE350">
        <v>0.06</v>
      </c>
      <c r="FF350">
        <v>0</v>
      </c>
      <c r="FG350">
        <v>-0.927</v>
      </c>
      <c r="FH350">
        <v>-0.062</v>
      </c>
      <c r="FI350">
        <v>400</v>
      </c>
      <c r="FJ350">
        <v>11</v>
      </c>
      <c r="FK350">
        <v>0.11</v>
      </c>
      <c r="FL350">
        <v>0.01</v>
      </c>
      <c r="FM350">
        <v>-60.45205499999999</v>
      </c>
      <c r="FN350">
        <v>-6.707362851782046</v>
      </c>
      <c r="FO350">
        <v>0.6468774045172705</v>
      </c>
      <c r="FP350">
        <v>-1</v>
      </c>
      <c r="FQ350">
        <v>9.48261325</v>
      </c>
      <c r="FR350">
        <v>0.2294013883677107</v>
      </c>
      <c r="FS350">
        <v>0.02317321561496156</v>
      </c>
      <c r="FT350">
        <v>-1</v>
      </c>
      <c r="FU350">
        <v>0</v>
      </c>
      <c r="FV350">
        <v>0</v>
      </c>
      <c r="FW350">
        <v>0</v>
      </c>
      <c r="FX350">
        <v>-1</v>
      </c>
      <c r="FY350">
        <v>0</v>
      </c>
      <c r="FZ350">
        <v>0</v>
      </c>
      <c r="GA350" t="s">
        <v>420</v>
      </c>
      <c r="GB350">
        <v>2.98153</v>
      </c>
      <c r="GC350">
        <v>2.70603</v>
      </c>
      <c r="GD350">
        <v>0.111361</v>
      </c>
      <c r="GE350">
        <v>0.118972</v>
      </c>
      <c r="GF350">
        <v>0.0891015</v>
      </c>
      <c r="GG350">
        <v>0.0520647</v>
      </c>
      <c r="GH350">
        <v>28080.5</v>
      </c>
      <c r="GI350">
        <v>27900</v>
      </c>
      <c r="GJ350">
        <v>29377.2</v>
      </c>
      <c r="GK350">
        <v>29291.9</v>
      </c>
      <c r="GL350">
        <v>35431.1</v>
      </c>
      <c r="GM350">
        <v>36988.7</v>
      </c>
      <c r="GN350">
        <v>41348.9</v>
      </c>
      <c r="GO350">
        <v>41811.4</v>
      </c>
      <c r="GP350">
        <v>1.96703</v>
      </c>
      <c r="GQ350">
        <v>1.85445</v>
      </c>
      <c r="GR350">
        <v>-0.0057742</v>
      </c>
      <c r="GS350">
        <v>0</v>
      </c>
      <c r="GT350">
        <v>25.0953</v>
      </c>
      <c r="GU350">
        <v>999.9</v>
      </c>
      <c r="GV350">
        <v>29.7</v>
      </c>
      <c r="GW350">
        <v>34.2</v>
      </c>
      <c r="GX350">
        <v>17.8455</v>
      </c>
      <c r="GY350">
        <v>62.3276</v>
      </c>
      <c r="GZ350">
        <v>35.3245</v>
      </c>
      <c r="HA350">
        <v>1</v>
      </c>
      <c r="HB350">
        <v>0.0440422</v>
      </c>
      <c r="HC350">
        <v>1.49485</v>
      </c>
      <c r="HD350">
        <v>20.328</v>
      </c>
      <c r="HE350">
        <v>5.21744</v>
      </c>
      <c r="HF350">
        <v>12.0099</v>
      </c>
      <c r="HG350">
        <v>4.9887</v>
      </c>
      <c r="HH350">
        <v>3.28848</v>
      </c>
      <c r="HI350">
        <v>1032.8</v>
      </c>
      <c r="HJ350">
        <v>9744.4</v>
      </c>
      <c r="HK350">
        <v>5139.4</v>
      </c>
      <c r="HL350">
        <v>25.4</v>
      </c>
      <c r="HM350">
        <v>1.86744</v>
      </c>
      <c r="HN350">
        <v>1.86645</v>
      </c>
      <c r="HO350">
        <v>1.866</v>
      </c>
      <c r="HP350">
        <v>1.86584</v>
      </c>
      <c r="HQ350">
        <v>1.86768</v>
      </c>
      <c r="HR350">
        <v>1.87021</v>
      </c>
      <c r="HS350">
        <v>1.86889</v>
      </c>
      <c r="HT350">
        <v>1.87018</v>
      </c>
      <c r="HU350">
        <v>0</v>
      </c>
      <c r="HV350">
        <v>0</v>
      </c>
      <c r="HW350">
        <v>0</v>
      </c>
      <c r="HX350">
        <v>0</v>
      </c>
      <c r="HY350" t="s">
        <v>421</v>
      </c>
      <c r="HZ350" t="s">
        <v>422</v>
      </c>
      <c r="IA350" t="s">
        <v>423</v>
      </c>
      <c r="IB350" t="s">
        <v>423</v>
      </c>
      <c r="IC350" t="s">
        <v>423</v>
      </c>
      <c r="ID350" t="s">
        <v>423</v>
      </c>
      <c r="IE350">
        <v>0</v>
      </c>
      <c r="IF350">
        <v>100</v>
      </c>
      <c r="IG350">
        <v>100</v>
      </c>
      <c r="IH350">
        <v>-1.159</v>
      </c>
      <c r="II350">
        <v>0.0261</v>
      </c>
      <c r="IJ350">
        <v>-0.1559367209035702</v>
      </c>
      <c r="IK350">
        <v>-0.002077099775823331</v>
      </c>
      <c r="IL350">
        <v>4.593143279902166E-07</v>
      </c>
      <c r="IM350">
        <v>-1.865383991892071E-10</v>
      </c>
      <c r="IN350">
        <v>-0.0607165066849496</v>
      </c>
      <c r="IO350">
        <v>-0.01129461987421345</v>
      </c>
      <c r="IP350">
        <v>0.00116580895745559</v>
      </c>
      <c r="IQ350">
        <v>-1.679085872906199E-05</v>
      </c>
      <c r="IR350">
        <v>2</v>
      </c>
      <c r="IS350">
        <v>2290</v>
      </c>
      <c r="IT350">
        <v>0</v>
      </c>
      <c r="IU350">
        <v>32</v>
      </c>
      <c r="IV350">
        <v>15.4</v>
      </c>
      <c r="IW350">
        <v>15.2</v>
      </c>
      <c r="IX350">
        <v>1.39404</v>
      </c>
      <c r="IY350">
        <v>2.20093</v>
      </c>
      <c r="IZ350">
        <v>1.39648</v>
      </c>
      <c r="JA350">
        <v>2.35596</v>
      </c>
      <c r="JB350">
        <v>1.49536</v>
      </c>
      <c r="JC350">
        <v>2.31934</v>
      </c>
      <c r="JD350">
        <v>38.0134</v>
      </c>
      <c r="JE350">
        <v>24.0437</v>
      </c>
      <c r="JF350">
        <v>18</v>
      </c>
      <c r="JG350">
        <v>512.429</v>
      </c>
      <c r="JH350">
        <v>426.229</v>
      </c>
      <c r="JI350">
        <v>23.151</v>
      </c>
      <c r="JJ350">
        <v>27.8918</v>
      </c>
      <c r="JK350">
        <v>30</v>
      </c>
      <c r="JL350">
        <v>27.9103</v>
      </c>
      <c r="JM350">
        <v>27.854</v>
      </c>
      <c r="JN350">
        <v>27.9501</v>
      </c>
      <c r="JO350">
        <v>45.7731</v>
      </c>
      <c r="JP350">
        <v>0</v>
      </c>
      <c r="JQ350">
        <v>23.1509</v>
      </c>
      <c r="JR350">
        <v>612.451</v>
      </c>
      <c r="JS350">
        <v>9.156459999999999</v>
      </c>
      <c r="JT350">
        <v>100.416</v>
      </c>
      <c r="JU350">
        <v>100.348</v>
      </c>
    </row>
    <row r="351" spans="1:281">
      <c r="A351">
        <v>335</v>
      </c>
      <c r="B351">
        <v>1651866434</v>
      </c>
      <c r="C351">
        <v>2213.400000095367</v>
      </c>
      <c r="D351" t="s">
        <v>1093</v>
      </c>
      <c r="E351" t="s">
        <v>1094</v>
      </c>
      <c r="F351">
        <v>2</v>
      </c>
      <c r="G351" t="s">
        <v>908</v>
      </c>
      <c r="H351" t="s">
        <v>414</v>
      </c>
      <c r="I351">
        <v>1651866433</v>
      </c>
      <c r="J351">
        <f>(K351)/1000</f>
        <v>0</v>
      </c>
      <c r="K351">
        <f>IF(CZ351, AN351, AH351)</f>
        <v>0</v>
      </c>
      <c r="L351">
        <f>IF(CZ351, AI351, AG351)</f>
        <v>0</v>
      </c>
      <c r="M351">
        <f>DB351 - IF(AU351&gt;1, L351*CV351*100.0/(AW351*DP351), 0)</f>
        <v>0</v>
      </c>
      <c r="N351">
        <f>((T351-J351/2)*M351-L351)/(T351+J351/2)</f>
        <v>0</v>
      </c>
      <c r="O351">
        <f>N351*(DI351+DJ351)/1000.0</f>
        <v>0</v>
      </c>
      <c r="P351">
        <f>(DB351 - IF(AU351&gt;1, L351*CV351*100.0/(AW351*DP351), 0))*(DI351+DJ351)/1000.0</f>
        <v>0</v>
      </c>
      <c r="Q351">
        <f>2.0/((1/S351-1/R351)+SIGN(S351)*SQRT((1/S351-1/R351)*(1/S351-1/R351) + 4*CW351/((CW351+1)*(CW351+1))*(2*1/S351*1/R351-1/R351*1/R351)))</f>
        <v>0</v>
      </c>
      <c r="R351">
        <f>IF(LEFT(CX351,1)&lt;&gt;"0",IF(LEFT(CX351,1)="1",3.0,CY351),$D$5+$E$5*(DP351*DI351/($K$5*1000))+$F$5*(DP351*DI351/($K$5*1000))*MAX(MIN(CV351,$J$5),$I$5)*MAX(MIN(CV351,$J$5),$I$5)+$G$5*MAX(MIN(CV351,$J$5),$I$5)*(DP351*DI351/($K$5*1000))+$H$5*(DP351*DI351/($K$5*1000))*(DP351*DI351/($K$5*1000)))</f>
        <v>0</v>
      </c>
      <c r="S351">
        <f>J351*(1000-(1000*0.61365*exp(17.502*W351/(240.97+W351))/(DI351+DJ351)+DD351)/2)/(1000*0.61365*exp(17.502*W351/(240.97+W351))/(DI351+DJ351)-DD351)</f>
        <v>0</v>
      </c>
      <c r="T351">
        <f>1/((CW351+1)/(Q351/1.6)+1/(R351/1.37)) + CW351/((CW351+1)/(Q351/1.6) + CW351/(R351/1.37))</f>
        <v>0</v>
      </c>
      <c r="U351">
        <f>(CR351*CU351)</f>
        <v>0</v>
      </c>
      <c r="V351">
        <f>(DK351+(U351+2*0.95*5.67E-8*(((DK351+$B$7)+273)^4-(DK351+273)^4)-44100*J351)/(1.84*29.3*R351+8*0.95*5.67E-8*(DK351+273)^3))</f>
        <v>0</v>
      </c>
      <c r="W351">
        <f>($C$7*DL351+$D$7*DM351+$E$7*V351)</f>
        <v>0</v>
      </c>
      <c r="X351">
        <f>0.61365*exp(17.502*W351/(240.97+W351))</f>
        <v>0</v>
      </c>
      <c r="Y351">
        <f>(Z351/AA351*100)</f>
        <v>0</v>
      </c>
      <c r="Z351">
        <f>DD351*(DI351+DJ351)/1000</f>
        <v>0</v>
      </c>
      <c r="AA351">
        <f>0.61365*exp(17.502*DK351/(240.97+DK351))</f>
        <v>0</v>
      </c>
      <c r="AB351">
        <f>(X351-DD351*(DI351+DJ351)/1000)</f>
        <v>0</v>
      </c>
      <c r="AC351">
        <f>(-J351*44100)</f>
        <v>0</v>
      </c>
      <c r="AD351">
        <f>2*29.3*R351*0.92*(DK351-W351)</f>
        <v>0</v>
      </c>
      <c r="AE351">
        <f>2*0.95*5.67E-8*(((DK351+$B$7)+273)^4-(W351+273)^4)</f>
        <v>0</v>
      </c>
      <c r="AF351">
        <f>U351+AE351+AC351+AD351</f>
        <v>0</v>
      </c>
      <c r="AG351">
        <f>DH351*AU351*(DC351-DB351*(1000-AU351*DE351)/(1000-AU351*DD351))/(100*CV351)</f>
        <v>0</v>
      </c>
      <c r="AH351">
        <f>1000*DH351*AU351*(DD351-DE351)/(100*CV351*(1000-AU351*DD351))</f>
        <v>0</v>
      </c>
      <c r="AI351">
        <f>(AJ351 - AK351 - DI351*1E3/(8.314*(DK351+273.15)) * AM351/DH351 * AL351) * DH351/(100*CV351) * (1000 - DE351)/1000</f>
        <v>0</v>
      </c>
      <c r="AJ351">
        <v>594.9314753924264</v>
      </c>
      <c r="AK351">
        <v>545.5573999999999</v>
      </c>
      <c r="AL351">
        <v>3.323937715747964</v>
      </c>
      <c r="AM351">
        <v>66.38195617057868</v>
      </c>
      <c r="AN351">
        <f>(AP351 - AO351 + DI351*1E3/(8.314*(DK351+273.15)) * AR351/DH351 * AQ351) * DH351/(100*CV351) * 1000/(1000 - AP351)</f>
        <v>0</v>
      </c>
      <c r="AO351">
        <v>9.218046113040874</v>
      </c>
      <c r="AP351">
        <v>18.73583352941177</v>
      </c>
      <c r="AQ351">
        <v>4.318716073616168E-06</v>
      </c>
      <c r="AR351">
        <v>80.47178418790507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MAX(0,($B$13+$C$13*DP351)/(1+$D$13*DP351)*DI351/(DK351+273)*$E$13)</f>
        <v>0</v>
      </c>
      <c r="AX351" t="s">
        <v>417</v>
      </c>
      <c r="AY351" t="s">
        <v>417</v>
      </c>
      <c r="AZ351">
        <v>0</v>
      </c>
      <c r="BA351">
        <v>0</v>
      </c>
      <c r="BB351">
        <f>1-AZ351/BA351</f>
        <v>0</v>
      </c>
      <c r="BC351">
        <v>0</v>
      </c>
      <c r="BD351" t="s">
        <v>417</v>
      </c>
      <c r="BE351" t="s">
        <v>417</v>
      </c>
      <c r="BF351">
        <v>0</v>
      </c>
      <c r="BG351">
        <v>0</v>
      </c>
      <c r="BH351">
        <f>1-BF351/BG351</f>
        <v>0</v>
      </c>
      <c r="BI351">
        <v>0.5</v>
      </c>
      <c r="BJ351">
        <f>CS351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417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BZ351">
        <v>1249</v>
      </c>
      <c r="CA351">
        <v>300</v>
      </c>
      <c r="CB351">
        <v>300</v>
      </c>
      <c r="CC351">
        <v>300</v>
      </c>
      <c r="CD351">
        <v>10442.4</v>
      </c>
      <c r="CE351">
        <v>1239.69</v>
      </c>
      <c r="CF351">
        <v>-0.00735276</v>
      </c>
      <c r="CG351">
        <v>0.07000000000000001</v>
      </c>
      <c r="CH351" t="s">
        <v>417</v>
      </c>
      <c r="CI351" t="s">
        <v>417</v>
      </c>
      <c r="CJ351" t="s">
        <v>417</v>
      </c>
      <c r="CK351" t="s">
        <v>417</v>
      </c>
      <c r="CL351" t="s">
        <v>417</v>
      </c>
      <c r="CM351" t="s">
        <v>417</v>
      </c>
      <c r="CN351" t="s">
        <v>417</v>
      </c>
      <c r="CO351" t="s">
        <v>417</v>
      </c>
      <c r="CP351" t="s">
        <v>417</v>
      </c>
      <c r="CQ351" t="s">
        <v>417</v>
      </c>
      <c r="CR351">
        <f>$B$11*DQ351+$C$11*DR351+$F$11*EC351*(1-EF351)</f>
        <v>0</v>
      </c>
      <c r="CS351">
        <f>CR351*CT351</f>
        <v>0</v>
      </c>
      <c r="CT351">
        <f>($B$11*$D$9+$C$11*$D$9+$F$11*((EP351+EH351)/MAX(EP351+EH351+EQ351, 0.1)*$I$9+EQ351/MAX(EP351+EH351+EQ351, 0.1)*$J$9))/($B$11+$C$11+$F$11)</f>
        <v>0</v>
      </c>
      <c r="CU351">
        <f>($B$11*$K$9+$C$11*$K$9+$F$11*((EP351+EH351)/MAX(EP351+EH351+EQ351, 0.1)*$P$9+EQ351/MAX(EP351+EH351+EQ351, 0.1)*$Q$9))/($B$11+$C$11+$F$11)</f>
        <v>0</v>
      </c>
      <c r="CV351">
        <v>6</v>
      </c>
      <c r="CW351">
        <v>0.5</v>
      </c>
      <c r="CX351" t="s">
        <v>418</v>
      </c>
      <c r="CY351">
        <v>2</v>
      </c>
      <c r="CZ351" t="b">
        <v>1</v>
      </c>
      <c r="DA351">
        <v>1651866433</v>
      </c>
      <c r="DB351">
        <v>533.6943333333334</v>
      </c>
      <c r="DC351">
        <v>595.381</v>
      </c>
      <c r="DD351">
        <v>18.73733333333333</v>
      </c>
      <c r="DE351">
        <v>9.215240000000001</v>
      </c>
      <c r="DF351">
        <v>534.8583333333332</v>
      </c>
      <c r="DG351">
        <v>18.7112</v>
      </c>
      <c r="DH351">
        <v>500.0096666666666</v>
      </c>
      <c r="DI351">
        <v>89.91626666666666</v>
      </c>
      <c r="DJ351">
        <v>0.09987476666666667</v>
      </c>
      <c r="DK351">
        <v>25.95</v>
      </c>
      <c r="DL351">
        <v>25.00076666666666</v>
      </c>
      <c r="DM351">
        <v>999.9</v>
      </c>
      <c r="DN351">
        <v>0</v>
      </c>
      <c r="DO351">
        <v>0</v>
      </c>
      <c r="DP351">
        <v>9997.916666666666</v>
      </c>
      <c r="DQ351">
        <v>0</v>
      </c>
      <c r="DR351">
        <v>3.21788</v>
      </c>
      <c r="DS351">
        <v>-61.6865</v>
      </c>
      <c r="DT351">
        <v>543.8856666666667</v>
      </c>
      <c r="DU351">
        <v>600.919</v>
      </c>
      <c r="DV351">
        <v>9.522073333333333</v>
      </c>
      <c r="DW351">
        <v>595.381</v>
      </c>
      <c r="DX351">
        <v>9.215240000000001</v>
      </c>
      <c r="DY351">
        <v>1.68479</v>
      </c>
      <c r="DZ351">
        <v>0.8286003333333333</v>
      </c>
      <c r="EA351">
        <v>14.757</v>
      </c>
      <c r="EB351">
        <v>4.20694</v>
      </c>
      <c r="EC351">
        <v>1499.97</v>
      </c>
      <c r="ED351">
        <v>0.9730063333333333</v>
      </c>
      <c r="EE351">
        <v>0.02699376666666667</v>
      </c>
      <c r="EF351">
        <v>0</v>
      </c>
      <c r="EG351">
        <v>903.9113333333333</v>
      </c>
      <c r="EH351">
        <v>5.00097</v>
      </c>
      <c r="EI351">
        <v>13485.33333333333</v>
      </c>
      <c r="EJ351">
        <v>12491.36666666667</v>
      </c>
      <c r="EK351">
        <v>38.687</v>
      </c>
      <c r="EL351">
        <v>39.875</v>
      </c>
      <c r="EM351">
        <v>39.062</v>
      </c>
      <c r="EN351">
        <v>39.75</v>
      </c>
      <c r="EO351">
        <v>39.437</v>
      </c>
      <c r="EP351">
        <v>1454.61</v>
      </c>
      <c r="EQ351">
        <v>40.35</v>
      </c>
      <c r="ER351">
        <v>0</v>
      </c>
      <c r="ES351">
        <v>951.2000000476837</v>
      </c>
      <c r="ET351">
        <v>0</v>
      </c>
      <c r="EU351">
        <v>901.5173461538462</v>
      </c>
      <c r="EV351">
        <v>22.8175384242808</v>
      </c>
      <c r="EW351">
        <v>324.3111106750425</v>
      </c>
      <c r="EX351">
        <v>13449.85769230769</v>
      </c>
      <c r="EY351">
        <v>15</v>
      </c>
      <c r="EZ351">
        <v>1651865518.1</v>
      </c>
      <c r="FA351" t="s">
        <v>910</v>
      </c>
      <c r="FB351">
        <v>1651865507.1</v>
      </c>
      <c r="FC351">
        <v>1651865518.1</v>
      </c>
      <c r="FD351">
        <v>8</v>
      </c>
      <c r="FE351">
        <v>0.06</v>
      </c>
      <c r="FF351">
        <v>0</v>
      </c>
      <c r="FG351">
        <v>-0.927</v>
      </c>
      <c r="FH351">
        <v>-0.062</v>
      </c>
      <c r="FI351">
        <v>400</v>
      </c>
      <c r="FJ351">
        <v>11</v>
      </c>
      <c r="FK351">
        <v>0.11</v>
      </c>
      <c r="FL351">
        <v>0.01</v>
      </c>
      <c r="FM351">
        <v>-60.69955121951219</v>
      </c>
      <c r="FN351">
        <v>-6.486085714285752</v>
      </c>
      <c r="FO351">
        <v>0.6411098327279535</v>
      </c>
      <c r="FP351">
        <v>-1</v>
      </c>
      <c r="FQ351">
        <v>9.490002195121951</v>
      </c>
      <c r="FR351">
        <v>0.2360891289198984</v>
      </c>
      <c r="FS351">
        <v>0.02419809098620303</v>
      </c>
      <c r="FT351">
        <v>-1</v>
      </c>
      <c r="FU351">
        <v>0</v>
      </c>
      <c r="FV351">
        <v>0</v>
      </c>
      <c r="FW351">
        <v>0</v>
      </c>
      <c r="FX351">
        <v>-1</v>
      </c>
      <c r="FY351">
        <v>0</v>
      </c>
      <c r="FZ351">
        <v>0</v>
      </c>
      <c r="GA351" t="s">
        <v>420</v>
      </c>
      <c r="GB351">
        <v>2.98137</v>
      </c>
      <c r="GC351">
        <v>2.70608</v>
      </c>
      <c r="GD351">
        <v>0.11235</v>
      </c>
      <c r="GE351">
        <v>0.119919</v>
      </c>
      <c r="GF351">
        <v>0.0891103</v>
      </c>
      <c r="GG351">
        <v>0.052063</v>
      </c>
      <c r="GH351">
        <v>28049.2</v>
      </c>
      <c r="GI351">
        <v>27869.8</v>
      </c>
      <c r="GJ351">
        <v>29377.1</v>
      </c>
      <c r="GK351">
        <v>29291.7</v>
      </c>
      <c r="GL351">
        <v>35430.7</v>
      </c>
      <c r="GM351">
        <v>36988.7</v>
      </c>
      <c r="GN351">
        <v>41348.9</v>
      </c>
      <c r="GO351">
        <v>41811.3</v>
      </c>
      <c r="GP351">
        <v>1.96707</v>
      </c>
      <c r="GQ351">
        <v>1.8544</v>
      </c>
      <c r="GR351">
        <v>-0.00569969</v>
      </c>
      <c r="GS351">
        <v>0</v>
      </c>
      <c r="GT351">
        <v>25.0962</v>
      </c>
      <c r="GU351">
        <v>999.9</v>
      </c>
      <c r="GV351">
        <v>29.6</v>
      </c>
      <c r="GW351">
        <v>34.2</v>
      </c>
      <c r="GX351">
        <v>17.7868</v>
      </c>
      <c r="GY351">
        <v>62.6076</v>
      </c>
      <c r="GZ351">
        <v>35.5529</v>
      </c>
      <c r="HA351">
        <v>1</v>
      </c>
      <c r="HB351">
        <v>0.0439914</v>
      </c>
      <c r="HC351">
        <v>1.49493</v>
      </c>
      <c r="HD351">
        <v>20.328</v>
      </c>
      <c r="HE351">
        <v>5.21699</v>
      </c>
      <c r="HF351">
        <v>12.0099</v>
      </c>
      <c r="HG351">
        <v>4.9886</v>
      </c>
      <c r="HH351">
        <v>3.28845</v>
      </c>
      <c r="HI351">
        <v>1033</v>
      </c>
      <c r="HJ351">
        <v>9745.9</v>
      </c>
      <c r="HK351">
        <v>5139.4</v>
      </c>
      <c r="HL351">
        <v>25.4</v>
      </c>
      <c r="HM351">
        <v>1.86745</v>
      </c>
      <c r="HN351">
        <v>1.86646</v>
      </c>
      <c r="HO351">
        <v>1.866</v>
      </c>
      <c r="HP351">
        <v>1.86584</v>
      </c>
      <c r="HQ351">
        <v>1.86768</v>
      </c>
      <c r="HR351">
        <v>1.87021</v>
      </c>
      <c r="HS351">
        <v>1.86889</v>
      </c>
      <c r="HT351">
        <v>1.87022</v>
      </c>
      <c r="HU351">
        <v>0</v>
      </c>
      <c r="HV351">
        <v>0</v>
      </c>
      <c r="HW351">
        <v>0</v>
      </c>
      <c r="HX351">
        <v>0</v>
      </c>
      <c r="HY351" t="s">
        <v>421</v>
      </c>
      <c r="HZ351" t="s">
        <v>422</v>
      </c>
      <c r="IA351" t="s">
        <v>423</v>
      </c>
      <c r="IB351" t="s">
        <v>423</v>
      </c>
      <c r="IC351" t="s">
        <v>423</v>
      </c>
      <c r="ID351" t="s">
        <v>423</v>
      </c>
      <c r="IE351">
        <v>0</v>
      </c>
      <c r="IF351">
        <v>100</v>
      </c>
      <c r="IG351">
        <v>100</v>
      </c>
      <c r="IH351">
        <v>-1.17</v>
      </c>
      <c r="II351">
        <v>0.0261</v>
      </c>
      <c r="IJ351">
        <v>-0.1559367209035702</v>
      </c>
      <c r="IK351">
        <v>-0.002077099775823331</v>
      </c>
      <c r="IL351">
        <v>4.593143279902166E-07</v>
      </c>
      <c r="IM351">
        <v>-1.865383991892071E-10</v>
      </c>
      <c r="IN351">
        <v>-0.0607165066849496</v>
      </c>
      <c r="IO351">
        <v>-0.01129461987421345</v>
      </c>
      <c r="IP351">
        <v>0.00116580895745559</v>
      </c>
      <c r="IQ351">
        <v>-1.679085872906199E-05</v>
      </c>
      <c r="IR351">
        <v>2</v>
      </c>
      <c r="IS351">
        <v>2290</v>
      </c>
      <c r="IT351">
        <v>0</v>
      </c>
      <c r="IU351">
        <v>32</v>
      </c>
      <c r="IV351">
        <v>15.4</v>
      </c>
      <c r="IW351">
        <v>15.3</v>
      </c>
      <c r="IX351">
        <v>1.40625</v>
      </c>
      <c r="IY351">
        <v>2.20337</v>
      </c>
      <c r="IZ351">
        <v>1.39648</v>
      </c>
      <c r="JA351">
        <v>2.35596</v>
      </c>
      <c r="JB351">
        <v>1.49536</v>
      </c>
      <c r="JC351">
        <v>2.3584</v>
      </c>
      <c r="JD351">
        <v>38.0134</v>
      </c>
      <c r="JE351">
        <v>24.0437</v>
      </c>
      <c r="JF351">
        <v>18</v>
      </c>
      <c r="JG351">
        <v>512.452</v>
      </c>
      <c r="JH351">
        <v>426.194</v>
      </c>
      <c r="JI351">
        <v>23.1509</v>
      </c>
      <c r="JJ351">
        <v>27.8912</v>
      </c>
      <c r="JK351">
        <v>30</v>
      </c>
      <c r="JL351">
        <v>27.9091</v>
      </c>
      <c r="JM351">
        <v>27.8533</v>
      </c>
      <c r="JN351">
        <v>28.1946</v>
      </c>
      <c r="JO351">
        <v>45.7731</v>
      </c>
      <c r="JP351">
        <v>0</v>
      </c>
      <c r="JQ351">
        <v>23.1509</v>
      </c>
      <c r="JR351">
        <v>619.13</v>
      </c>
      <c r="JS351">
        <v>9.14207</v>
      </c>
      <c r="JT351">
        <v>100.416</v>
      </c>
      <c r="JU351">
        <v>100.347</v>
      </c>
    </row>
    <row r="352" spans="1:281">
      <c r="A352">
        <v>336</v>
      </c>
      <c r="B352">
        <v>1651866436</v>
      </c>
      <c r="C352">
        <v>2215.400000095367</v>
      </c>
      <c r="D352" t="s">
        <v>1095</v>
      </c>
      <c r="E352" t="s">
        <v>1096</v>
      </c>
      <c r="F352">
        <v>2</v>
      </c>
      <c r="G352" t="s">
        <v>908</v>
      </c>
      <c r="H352" t="s">
        <v>414</v>
      </c>
      <c r="I352">
        <v>1651866434.625</v>
      </c>
      <c r="J352">
        <f>(K352)/1000</f>
        <v>0</v>
      </c>
      <c r="K352">
        <f>IF(CZ352, AN352, AH352)</f>
        <v>0</v>
      </c>
      <c r="L352">
        <f>IF(CZ352, AI352, AG352)</f>
        <v>0</v>
      </c>
      <c r="M352">
        <f>DB352 - IF(AU352&gt;1, L352*CV352*100.0/(AW352*DP352), 0)</f>
        <v>0</v>
      </c>
      <c r="N352">
        <f>((T352-J352/2)*M352-L352)/(T352+J352/2)</f>
        <v>0</v>
      </c>
      <c r="O352">
        <f>N352*(DI352+DJ352)/1000.0</f>
        <v>0</v>
      </c>
      <c r="P352">
        <f>(DB352 - IF(AU352&gt;1, L352*CV352*100.0/(AW352*DP352), 0))*(DI352+DJ352)/1000.0</f>
        <v>0</v>
      </c>
      <c r="Q352">
        <f>2.0/((1/S352-1/R352)+SIGN(S352)*SQRT((1/S352-1/R352)*(1/S352-1/R352) + 4*CW352/((CW352+1)*(CW352+1))*(2*1/S352*1/R352-1/R352*1/R352)))</f>
        <v>0</v>
      </c>
      <c r="R352">
        <f>IF(LEFT(CX352,1)&lt;&gt;"0",IF(LEFT(CX352,1)="1",3.0,CY352),$D$5+$E$5*(DP352*DI352/($K$5*1000))+$F$5*(DP352*DI352/($K$5*1000))*MAX(MIN(CV352,$J$5),$I$5)*MAX(MIN(CV352,$J$5),$I$5)+$G$5*MAX(MIN(CV352,$J$5),$I$5)*(DP352*DI352/($K$5*1000))+$H$5*(DP352*DI352/($K$5*1000))*(DP352*DI352/($K$5*1000)))</f>
        <v>0</v>
      </c>
      <c r="S352">
        <f>J352*(1000-(1000*0.61365*exp(17.502*W352/(240.97+W352))/(DI352+DJ352)+DD352)/2)/(1000*0.61365*exp(17.502*W352/(240.97+W352))/(DI352+DJ352)-DD352)</f>
        <v>0</v>
      </c>
      <c r="T352">
        <f>1/((CW352+1)/(Q352/1.6)+1/(R352/1.37)) + CW352/((CW352+1)/(Q352/1.6) + CW352/(R352/1.37))</f>
        <v>0</v>
      </c>
      <c r="U352">
        <f>(CR352*CU352)</f>
        <v>0</v>
      </c>
      <c r="V352">
        <f>(DK352+(U352+2*0.95*5.67E-8*(((DK352+$B$7)+273)^4-(DK352+273)^4)-44100*J352)/(1.84*29.3*R352+8*0.95*5.67E-8*(DK352+273)^3))</f>
        <v>0</v>
      </c>
      <c r="W352">
        <f>($C$7*DL352+$D$7*DM352+$E$7*V352)</f>
        <v>0</v>
      </c>
      <c r="X352">
        <f>0.61365*exp(17.502*W352/(240.97+W352))</f>
        <v>0</v>
      </c>
      <c r="Y352">
        <f>(Z352/AA352*100)</f>
        <v>0</v>
      </c>
      <c r="Z352">
        <f>DD352*(DI352+DJ352)/1000</f>
        <v>0</v>
      </c>
      <c r="AA352">
        <f>0.61365*exp(17.502*DK352/(240.97+DK352))</f>
        <v>0</v>
      </c>
      <c r="AB352">
        <f>(X352-DD352*(DI352+DJ352)/1000)</f>
        <v>0</v>
      </c>
      <c r="AC352">
        <f>(-J352*44100)</f>
        <v>0</v>
      </c>
      <c r="AD352">
        <f>2*29.3*R352*0.92*(DK352-W352)</f>
        <v>0</v>
      </c>
      <c r="AE352">
        <f>2*0.95*5.67E-8*(((DK352+$B$7)+273)^4-(W352+273)^4)</f>
        <v>0</v>
      </c>
      <c r="AF352">
        <f>U352+AE352+AC352+AD352</f>
        <v>0</v>
      </c>
      <c r="AG352">
        <f>DH352*AU352*(DC352-DB352*(1000-AU352*DE352)/(1000-AU352*DD352))/(100*CV352)</f>
        <v>0</v>
      </c>
      <c r="AH352">
        <f>1000*DH352*AU352*(DD352-DE352)/(100*CV352*(1000-AU352*DD352))</f>
        <v>0</v>
      </c>
      <c r="AI352">
        <f>(AJ352 - AK352 - DI352*1E3/(8.314*(DK352+273.15)) * AM352/DH352 * AL352) * DH352/(100*CV352) * (1000 - DE352)/1000</f>
        <v>0</v>
      </c>
      <c r="AJ352">
        <v>601.682844160838</v>
      </c>
      <c r="AK352">
        <v>552.2588545454541</v>
      </c>
      <c r="AL352">
        <v>3.344638682991802</v>
      </c>
      <c r="AM352">
        <v>66.38195617057868</v>
      </c>
      <c r="AN352">
        <f>(AP352 - AO352 + DI352*1E3/(8.314*(DK352+273.15)) * AR352/DH352 * AQ352) * DH352/(100*CV352) * 1000/(1000 - AP352)</f>
        <v>0</v>
      </c>
      <c r="AO352">
        <v>9.215845983448034</v>
      </c>
      <c r="AP352">
        <v>18.74108735294116</v>
      </c>
      <c r="AQ352">
        <v>-9.097490985315274E-05</v>
      </c>
      <c r="AR352">
        <v>80.47178418790507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MAX(0,($B$13+$C$13*DP352)/(1+$D$13*DP352)*DI352/(DK352+273)*$E$13)</f>
        <v>0</v>
      </c>
      <c r="AX352" t="s">
        <v>417</v>
      </c>
      <c r="AY352" t="s">
        <v>417</v>
      </c>
      <c r="AZ352">
        <v>0</v>
      </c>
      <c r="BA352">
        <v>0</v>
      </c>
      <c r="BB352">
        <f>1-AZ352/BA352</f>
        <v>0</v>
      </c>
      <c r="BC352">
        <v>0</v>
      </c>
      <c r="BD352" t="s">
        <v>417</v>
      </c>
      <c r="BE352" t="s">
        <v>417</v>
      </c>
      <c r="BF352">
        <v>0</v>
      </c>
      <c r="BG352">
        <v>0</v>
      </c>
      <c r="BH352">
        <f>1-BF352/BG352</f>
        <v>0</v>
      </c>
      <c r="BI352">
        <v>0.5</v>
      </c>
      <c r="BJ352">
        <f>CS352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417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BZ352">
        <v>1249</v>
      </c>
      <c r="CA352">
        <v>300</v>
      </c>
      <c r="CB352">
        <v>300</v>
      </c>
      <c r="CC352">
        <v>300</v>
      </c>
      <c r="CD352">
        <v>10442.4</v>
      </c>
      <c r="CE352">
        <v>1239.69</v>
      </c>
      <c r="CF352">
        <v>-0.00735276</v>
      </c>
      <c r="CG352">
        <v>0.07000000000000001</v>
      </c>
      <c r="CH352" t="s">
        <v>417</v>
      </c>
      <c r="CI352" t="s">
        <v>417</v>
      </c>
      <c r="CJ352" t="s">
        <v>417</v>
      </c>
      <c r="CK352" t="s">
        <v>417</v>
      </c>
      <c r="CL352" t="s">
        <v>417</v>
      </c>
      <c r="CM352" t="s">
        <v>417</v>
      </c>
      <c r="CN352" t="s">
        <v>417</v>
      </c>
      <c r="CO352" t="s">
        <v>417</v>
      </c>
      <c r="CP352" t="s">
        <v>417</v>
      </c>
      <c r="CQ352" t="s">
        <v>417</v>
      </c>
      <c r="CR352">
        <f>$B$11*DQ352+$C$11*DR352+$F$11*EC352*(1-EF352)</f>
        <v>0</v>
      </c>
      <c r="CS352">
        <f>CR352*CT352</f>
        <v>0</v>
      </c>
      <c r="CT352">
        <f>($B$11*$D$9+$C$11*$D$9+$F$11*((EP352+EH352)/MAX(EP352+EH352+EQ352, 0.1)*$I$9+EQ352/MAX(EP352+EH352+EQ352, 0.1)*$J$9))/($B$11+$C$11+$F$11)</f>
        <v>0</v>
      </c>
      <c r="CU352">
        <f>($B$11*$K$9+$C$11*$K$9+$F$11*((EP352+EH352)/MAX(EP352+EH352+EQ352, 0.1)*$P$9+EQ352/MAX(EP352+EH352+EQ352, 0.1)*$Q$9))/($B$11+$C$11+$F$11)</f>
        <v>0</v>
      </c>
      <c r="CV352">
        <v>6</v>
      </c>
      <c r="CW352">
        <v>0.5</v>
      </c>
      <c r="CX352" t="s">
        <v>418</v>
      </c>
      <c r="CY352">
        <v>2</v>
      </c>
      <c r="CZ352" t="b">
        <v>1</v>
      </c>
      <c r="DA352">
        <v>1651866434.625</v>
      </c>
      <c r="DB352">
        <v>539.0319999999999</v>
      </c>
      <c r="DC352">
        <v>600.7655000000001</v>
      </c>
      <c r="DD352">
        <v>18.739625</v>
      </c>
      <c r="DE352">
        <v>9.214845</v>
      </c>
      <c r="DF352">
        <v>540.2057500000001</v>
      </c>
      <c r="DG352">
        <v>18.713425</v>
      </c>
      <c r="DH352">
        <v>500.0325</v>
      </c>
      <c r="DI352">
        <v>89.91637499999999</v>
      </c>
      <c r="DJ352">
        <v>0.100080025</v>
      </c>
      <c r="DK352">
        <v>25.95055</v>
      </c>
      <c r="DL352">
        <v>24.998075</v>
      </c>
      <c r="DM352">
        <v>999.9</v>
      </c>
      <c r="DN352">
        <v>0</v>
      </c>
      <c r="DO352">
        <v>0</v>
      </c>
      <c r="DP352">
        <v>9985.782499999999</v>
      </c>
      <c r="DQ352">
        <v>0</v>
      </c>
      <c r="DR352">
        <v>3.2168275</v>
      </c>
      <c r="DS352">
        <v>-61.733375</v>
      </c>
      <c r="DT352">
        <v>549.3262500000001</v>
      </c>
      <c r="DU352">
        <v>606.35325</v>
      </c>
      <c r="DV352">
        <v>9.524754999999999</v>
      </c>
      <c r="DW352">
        <v>600.7655000000001</v>
      </c>
      <c r="DX352">
        <v>9.214845</v>
      </c>
      <c r="DY352">
        <v>1.6849975</v>
      </c>
      <c r="DZ352">
        <v>0.8285657500000001</v>
      </c>
      <c r="EA352">
        <v>14.758925</v>
      </c>
      <c r="EB352">
        <v>4.20635</v>
      </c>
      <c r="EC352">
        <v>1499.9425</v>
      </c>
      <c r="ED352">
        <v>0.9730055</v>
      </c>
      <c r="EE352">
        <v>0.02699465</v>
      </c>
      <c r="EF352">
        <v>0</v>
      </c>
      <c r="EG352">
        <v>904.501</v>
      </c>
      <c r="EH352">
        <v>5.00097</v>
      </c>
      <c r="EI352">
        <v>13492.375</v>
      </c>
      <c r="EJ352">
        <v>12491.125</v>
      </c>
      <c r="EK352">
        <v>38.67149999999999</v>
      </c>
      <c r="EL352">
        <v>39.85925</v>
      </c>
      <c r="EM352">
        <v>39.04649999999999</v>
      </c>
      <c r="EN352">
        <v>39.7185</v>
      </c>
      <c r="EO352">
        <v>39.437</v>
      </c>
      <c r="EP352">
        <v>1454.5825</v>
      </c>
      <c r="EQ352">
        <v>40.3575</v>
      </c>
      <c r="ER352">
        <v>0</v>
      </c>
      <c r="ES352">
        <v>953.6000001430511</v>
      </c>
      <c r="ET352">
        <v>0</v>
      </c>
      <c r="EU352">
        <v>902.3676923076923</v>
      </c>
      <c r="EV352">
        <v>21.70119657143991</v>
      </c>
      <c r="EW352">
        <v>306.1025640873287</v>
      </c>
      <c r="EX352">
        <v>13462.40384615385</v>
      </c>
      <c r="EY352">
        <v>15</v>
      </c>
      <c r="EZ352">
        <v>1651865518.1</v>
      </c>
      <c r="FA352" t="s">
        <v>910</v>
      </c>
      <c r="FB352">
        <v>1651865507.1</v>
      </c>
      <c r="FC352">
        <v>1651865518.1</v>
      </c>
      <c r="FD352">
        <v>8</v>
      </c>
      <c r="FE352">
        <v>0.06</v>
      </c>
      <c r="FF352">
        <v>0</v>
      </c>
      <c r="FG352">
        <v>-0.927</v>
      </c>
      <c r="FH352">
        <v>-0.062</v>
      </c>
      <c r="FI352">
        <v>400</v>
      </c>
      <c r="FJ352">
        <v>11</v>
      </c>
      <c r="FK352">
        <v>0.11</v>
      </c>
      <c r="FL352">
        <v>0.01</v>
      </c>
      <c r="FM352">
        <v>-60.8821</v>
      </c>
      <c r="FN352">
        <v>-6.1223909943714</v>
      </c>
      <c r="FO352">
        <v>0.5914860328021277</v>
      </c>
      <c r="FP352">
        <v>-1</v>
      </c>
      <c r="FQ352">
        <v>9.495627500000001</v>
      </c>
      <c r="FR352">
        <v>0.2369070168855437</v>
      </c>
      <c r="FS352">
        <v>0.02376512484187701</v>
      </c>
      <c r="FT352">
        <v>-1</v>
      </c>
      <c r="FU352">
        <v>0</v>
      </c>
      <c r="FV352">
        <v>0</v>
      </c>
      <c r="FW352">
        <v>0</v>
      </c>
      <c r="FX352">
        <v>-1</v>
      </c>
      <c r="FY352">
        <v>0</v>
      </c>
      <c r="FZ352">
        <v>0</v>
      </c>
      <c r="GA352" t="s">
        <v>420</v>
      </c>
      <c r="GB352">
        <v>2.98148</v>
      </c>
      <c r="GC352">
        <v>2.70608</v>
      </c>
      <c r="GD352">
        <v>0.113329</v>
      </c>
      <c r="GE352">
        <v>0.120857</v>
      </c>
      <c r="GF352">
        <v>0.0891246</v>
      </c>
      <c r="GG352">
        <v>0.0520588</v>
      </c>
      <c r="GH352">
        <v>28018.5</v>
      </c>
      <c r="GI352">
        <v>27840.1</v>
      </c>
      <c r="GJ352">
        <v>29377.4</v>
      </c>
      <c r="GK352">
        <v>29291.7</v>
      </c>
      <c r="GL352">
        <v>35430.6</v>
      </c>
      <c r="GM352">
        <v>36988.9</v>
      </c>
      <c r="GN352">
        <v>41349.3</v>
      </c>
      <c r="GO352">
        <v>41811.2</v>
      </c>
      <c r="GP352">
        <v>1.9672</v>
      </c>
      <c r="GQ352">
        <v>1.85427</v>
      </c>
      <c r="GR352">
        <v>-0.00607222</v>
      </c>
      <c r="GS352">
        <v>0</v>
      </c>
      <c r="GT352">
        <v>25.0973</v>
      </c>
      <c r="GU352">
        <v>999.9</v>
      </c>
      <c r="GV352">
        <v>29.6</v>
      </c>
      <c r="GW352">
        <v>34.2</v>
      </c>
      <c r="GX352">
        <v>17.7872</v>
      </c>
      <c r="GY352">
        <v>62.5576</v>
      </c>
      <c r="GZ352">
        <v>35.2604</v>
      </c>
      <c r="HA352">
        <v>1</v>
      </c>
      <c r="HB352">
        <v>0.0439482</v>
      </c>
      <c r="HC352">
        <v>1.49593</v>
      </c>
      <c r="HD352">
        <v>20.3281</v>
      </c>
      <c r="HE352">
        <v>5.21684</v>
      </c>
      <c r="HF352">
        <v>12.0099</v>
      </c>
      <c r="HG352">
        <v>4.98865</v>
      </c>
      <c r="HH352">
        <v>3.28848</v>
      </c>
      <c r="HI352">
        <v>1033</v>
      </c>
      <c r="HJ352">
        <v>9745.9</v>
      </c>
      <c r="HK352">
        <v>5139.4</v>
      </c>
      <c r="HL352">
        <v>25.4</v>
      </c>
      <c r="HM352">
        <v>1.86744</v>
      </c>
      <c r="HN352">
        <v>1.86646</v>
      </c>
      <c r="HO352">
        <v>1.866</v>
      </c>
      <c r="HP352">
        <v>1.86584</v>
      </c>
      <c r="HQ352">
        <v>1.86768</v>
      </c>
      <c r="HR352">
        <v>1.87021</v>
      </c>
      <c r="HS352">
        <v>1.8689</v>
      </c>
      <c r="HT352">
        <v>1.8702</v>
      </c>
      <c r="HU352">
        <v>0</v>
      </c>
      <c r="HV352">
        <v>0</v>
      </c>
      <c r="HW352">
        <v>0</v>
      </c>
      <c r="HX352">
        <v>0</v>
      </c>
      <c r="HY352" t="s">
        <v>421</v>
      </c>
      <c r="HZ352" t="s">
        <v>422</v>
      </c>
      <c r="IA352" t="s">
        <v>423</v>
      </c>
      <c r="IB352" t="s">
        <v>423</v>
      </c>
      <c r="IC352" t="s">
        <v>423</v>
      </c>
      <c r="ID352" t="s">
        <v>423</v>
      </c>
      <c r="IE352">
        <v>0</v>
      </c>
      <c r="IF352">
        <v>100</v>
      </c>
      <c r="IG352">
        <v>100</v>
      </c>
      <c r="IH352">
        <v>-1.181</v>
      </c>
      <c r="II352">
        <v>0.0262</v>
      </c>
      <c r="IJ352">
        <v>-0.1559367209035702</v>
      </c>
      <c r="IK352">
        <v>-0.002077099775823331</v>
      </c>
      <c r="IL352">
        <v>4.593143279902166E-07</v>
      </c>
      <c r="IM352">
        <v>-1.865383991892071E-10</v>
      </c>
      <c r="IN352">
        <v>-0.0607165066849496</v>
      </c>
      <c r="IO352">
        <v>-0.01129461987421345</v>
      </c>
      <c r="IP352">
        <v>0.00116580895745559</v>
      </c>
      <c r="IQ352">
        <v>-1.679085872906199E-05</v>
      </c>
      <c r="IR352">
        <v>2</v>
      </c>
      <c r="IS352">
        <v>2290</v>
      </c>
      <c r="IT352">
        <v>0</v>
      </c>
      <c r="IU352">
        <v>32</v>
      </c>
      <c r="IV352">
        <v>15.5</v>
      </c>
      <c r="IW352">
        <v>15.3</v>
      </c>
      <c r="IX352">
        <v>1.41846</v>
      </c>
      <c r="IY352">
        <v>2.20459</v>
      </c>
      <c r="IZ352">
        <v>1.39648</v>
      </c>
      <c r="JA352">
        <v>2.35474</v>
      </c>
      <c r="JB352">
        <v>1.49536</v>
      </c>
      <c r="JC352">
        <v>2.32544</v>
      </c>
      <c r="JD352">
        <v>38.0134</v>
      </c>
      <c r="JE352">
        <v>24.035</v>
      </c>
      <c r="JF352">
        <v>18</v>
      </c>
      <c r="JG352">
        <v>512.523</v>
      </c>
      <c r="JH352">
        <v>426.112</v>
      </c>
      <c r="JI352">
        <v>23.1509</v>
      </c>
      <c r="JJ352">
        <v>27.8901</v>
      </c>
      <c r="JK352">
        <v>30</v>
      </c>
      <c r="JL352">
        <v>27.9079</v>
      </c>
      <c r="JM352">
        <v>27.8523</v>
      </c>
      <c r="JN352">
        <v>28.4405</v>
      </c>
      <c r="JO352">
        <v>45.7731</v>
      </c>
      <c r="JP352">
        <v>0</v>
      </c>
      <c r="JQ352">
        <v>23.1497</v>
      </c>
      <c r="JR352">
        <v>625.808</v>
      </c>
      <c r="JS352">
        <v>9.13575</v>
      </c>
      <c r="JT352">
        <v>100.417</v>
      </c>
      <c r="JU352">
        <v>100.347</v>
      </c>
    </row>
    <row r="353" spans="1:281">
      <c r="A353">
        <v>337</v>
      </c>
      <c r="B353">
        <v>1651866438</v>
      </c>
      <c r="C353">
        <v>2217.400000095367</v>
      </c>
      <c r="D353" t="s">
        <v>1097</v>
      </c>
      <c r="E353" t="s">
        <v>1098</v>
      </c>
      <c r="F353">
        <v>2</v>
      </c>
      <c r="G353" t="s">
        <v>908</v>
      </c>
      <c r="H353" t="s">
        <v>414</v>
      </c>
      <c r="I353">
        <v>1651866437</v>
      </c>
      <c r="J353">
        <f>(K353)/1000</f>
        <v>0</v>
      </c>
      <c r="K353">
        <f>IF(CZ353, AN353, AH353)</f>
        <v>0</v>
      </c>
      <c r="L353">
        <f>IF(CZ353, AI353, AG353)</f>
        <v>0</v>
      </c>
      <c r="M353">
        <f>DB353 - IF(AU353&gt;1, L353*CV353*100.0/(AW353*DP353), 0)</f>
        <v>0</v>
      </c>
      <c r="N353">
        <f>((T353-J353/2)*M353-L353)/(T353+J353/2)</f>
        <v>0</v>
      </c>
      <c r="O353">
        <f>N353*(DI353+DJ353)/1000.0</f>
        <v>0</v>
      </c>
      <c r="P353">
        <f>(DB353 - IF(AU353&gt;1, L353*CV353*100.0/(AW353*DP353), 0))*(DI353+DJ353)/1000.0</f>
        <v>0</v>
      </c>
      <c r="Q353">
        <f>2.0/((1/S353-1/R353)+SIGN(S353)*SQRT((1/S353-1/R353)*(1/S353-1/R353) + 4*CW353/((CW353+1)*(CW353+1))*(2*1/S353*1/R353-1/R353*1/R353)))</f>
        <v>0</v>
      </c>
      <c r="R353">
        <f>IF(LEFT(CX353,1)&lt;&gt;"0",IF(LEFT(CX353,1)="1",3.0,CY353),$D$5+$E$5*(DP353*DI353/($K$5*1000))+$F$5*(DP353*DI353/($K$5*1000))*MAX(MIN(CV353,$J$5),$I$5)*MAX(MIN(CV353,$J$5),$I$5)+$G$5*MAX(MIN(CV353,$J$5),$I$5)*(DP353*DI353/($K$5*1000))+$H$5*(DP353*DI353/($K$5*1000))*(DP353*DI353/($K$5*1000)))</f>
        <v>0</v>
      </c>
      <c r="S353">
        <f>J353*(1000-(1000*0.61365*exp(17.502*W353/(240.97+W353))/(DI353+DJ353)+DD353)/2)/(1000*0.61365*exp(17.502*W353/(240.97+W353))/(DI353+DJ353)-DD353)</f>
        <v>0</v>
      </c>
      <c r="T353">
        <f>1/((CW353+1)/(Q353/1.6)+1/(R353/1.37)) + CW353/((CW353+1)/(Q353/1.6) + CW353/(R353/1.37))</f>
        <v>0</v>
      </c>
      <c r="U353">
        <f>(CR353*CU353)</f>
        <v>0</v>
      </c>
      <c r="V353">
        <f>(DK353+(U353+2*0.95*5.67E-8*(((DK353+$B$7)+273)^4-(DK353+273)^4)-44100*J353)/(1.84*29.3*R353+8*0.95*5.67E-8*(DK353+273)^3))</f>
        <v>0</v>
      </c>
      <c r="W353">
        <f>($C$7*DL353+$D$7*DM353+$E$7*V353)</f>
        <v>0</v>
      </c>
      <c r="X353">
        <f>0.61365*exp(17.502*W353/(240.97+W353))</f>
        <v>0</v>
      </c>
      <c r="Y353">
        <f>(Z353/AA353*100)</f>
        <v>0</v>
      </c>
      <c r="Z353">
        <f>DD353*(DI353+DJ353)/1000</f>
        <v>0</v>
      </c>
      <c r="AA353">
        <f>0.61365*exp(17.502*DK353/(240.97+DK353))</f>
        <v>0</v>
      </c>
      <c r="AB353">
        <f>(X353-DD353*(DI353+DJ353)/1000)</f>
        <v>0</v>
      </c>
      <c r="AC353">
        <f>(-J353*44100)</f>
        <v>0</v>
      </c>
      <c r="AD353">
        <f>2*29.3*R353*0.92*(DK353-W353)</f>
        <v>0</v>
      </c>
      <c r="AE353">
        <f>2*0.95*5.67E-8*(((DK353+$B$7)+273)^4-(W353+273)^4)</f>
        <v>0</v>
      </c>
      <c r="AF353">
        <f>U353+AE353+AC353+AD353</f>
        <v>0</v>
      </c>
      <c r="AG353">
        <f>DH353*AU353*(DC353-DB353*(1000-AU353*DE353)/(1000-AU353*DD353))/(100*CV353)</f>
        <v>0</v>
      </c>
      <c r="AH353">
        <f>1000*DH353*AU353*(DD353-DE353)/(100*CV353*(1000-AU353*DD353))</f>
        <v>0</v>
      </c>
      <c r="AI353">
        <f>(AJ353 - AK353 - DI353*1E3/(8.314*(DK353+273.15)) * AM353/DH353 * AL353) * DH353/(100*CV353) * (1000 - DE353)/1000</f>
        <v>0</v>
      </c>
      <c r="AJ353">
        <v>608.3960179294152</v>
      </c>
      <c r="AK353">
        <v>558.8756484848485</v>
      </c>
      <c r="AL353">
        <v>3.323984602761568</v>
      </c>
      <c r="AM353">
        <v>66.38195617057868</v>
      </c>
      <c r="AN353">
        <f>(AP353 - AO353 + DI353*1E3/(8.314*(DK353+273.15)) * AR353/DH353 * AQ353) * DH353/(100*CV353) * 1000/(1000 - AP353)</f>
        <v>0</v>
      </c>
      <c r="AO353">
        <v>9.215181315688097</v>
      </c>
      <c r="AP353">
        <v>18.74547176470589</v>
      </c>
      <c r="AQ353">
        <v>-3.156137678434836E-05</v>
      </c>
      <c r="AR353">
        <v>80.47178418790507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MAX(0,($B$13+$C$13*DP353)/(1+$D$13*DP353)*DI353/(DK353+273)*$E$13)</f>
        <v>0</v>
      </c>
      <c r="AX353" t="s">
        <v>417</v>
      </c>
      <c r="AY353" t="s">
        <v>417</v>
      </c>
      <c r="AZ353">
        <v>0</v>
      </c>
      <c r="BA353">
        <v>0</v>
      </c>
      <c r="BB353">
        <f>1-AZ353/BA353</f>
        <v>0</v>
      </c>
      <c r="BC353">
        <v>0</v>
      </c>
      <c r="BD353" t="s">
        <v>417</v>
      </c>
      <c r="BE353" t="s">
        <v>417</v>
      </c>
      <c r="BF353">
        <v>0</v>
      </c>
      <c r="BG353">
        <v>0</v>
      </c>
      <c r="BH353">
        <f>1-BF353/BG353</f>
        <v>0</v>
      </c>
      <c r="BI353">
        <v>0.5</v>
      </c>
      <c r="BJ353">
        <f>CS353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417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BZ353">
        <v>1249</v>
      </c>
      <c r="CA353">
        <v>300</v>
      </c>
      <c r="CB353">
        <v>300</v>
      </c>
      <c r="CC353">
        <v>300</v>
      </c>
      <c r="CD353">
        <v>10442.4</v>
      </c>
      <c r="CE353">
        <v>1239.69</v>
      </c>
      <c r="CF353">
        <v>-0.00735276</v>
      </c>
      <c r="CG353">
        <v>0.07000000000000001</v>
      </c>
      <c r="CH353" t="s">
        <v>417</v>
      </c>
      <c r="CI353" t="s">
        <v>417</v>
      </c>
      <c r="CJ353" t="s">
        <v>417</v>
      </c>
      <c r="CK353" t="s">
        <v>417</v>
      </c>
      <c r="CL353" t="s">
        <v>417</v>
      </c>
      <c r="CM353" t="s">
        <v>417</v>
      </c>
      <c r="CN353" t="s">
        <v>417</v>
      </c>
      <c r="CO353" t="s">
        <v>417</v>
      </c>
      <c r="CP353" t="s">
        <v>417</v>
      </c>
      <c r="CQ353" t="s">
        <v>417</v>
      </c>
      <c r="CR353">
        <f>$B$11*DQ353+$C$11*DR353+$F$11*EC353*(1-EF353)</f>
        <v>0</v>
      </c>
      <c r="CS353">
        <f>CR353*CT353</f>
        <v>0</v>
      </c>
      <c r="CT353">
        <f>($B$11*$D$9+$C$11*$D$9+$F$11*((EP353+EH353)/MAX(EP353+EH353+EQ353, 0.1)*$I$9+EQ353/MAX(EP353+EH353+EQ353, 0.1)*$J$9))/($B$11+$C$11+$F$11)</f>
        <v>0</v>
      </c>
      <c r="CU353">
        <f>($B$11*$K$9+$C$11*$K$9+$F$11*((EP353+EH353)/MAX(EP353+EH353+EQ353, 0.1)*$P$9+EQ353/MAX(EP353+EH353+EQ353, 0.1)*$Q$9))/($B$11+$C$11+$F$11)</f>
        <v>0</v>
      </c>
      <c r="CV353">
        <v>6</v>
      </c>
      <c r="CW353">
        <v>0.5</v>
      </c>
      <c r="CX353" t="s">
        <v>418</v>
      </c>
      <c r="CY353">
        <v>2</v>
      </c>
      <c r="CZ353" t="b">
        <v>1</v>
      </c>
      <c r="DA353">
        <v>1651866437</v>
      </c>
      <c r="DB353">
        <v>546.7750000000001</v>
      </c>
      <c r="DC353">
        <v>608.7446666666666</v>
      </c>
      <c r="DD353">
        <v>18.7436</v>
      </c>
      <c r="DE353">
        <v>9.213616666666667</v>
      </c>
      <c r="DF353">
        <v>547.9616666666667</v>
      </c>
      <c r="DG353">
        <v>18.7174</v>
      </c>
      <c r="DH353">
        <v>500.0596666666667</v>
      </c>
      <c r="DI353">
        <v>89.91606666666667</v>
      </c>
      <c r="DJ353">
        <v>0.09999136666666668</v>
      </c>
      <c r="DK353">
        <v>25.9527</v>
      </c>
      <c r="DL353">
        <v>24.9998</v>
      </c>
      <c r="DM353">
        <v>999.9</v>
      </c>
      <c r="DN353">
        <v>0</v>
      </c>
      <c r="DO353">
        <v>0</v>
      </c>
      <c r="DP353">
        <v>9996.233333333334</v>
      </c>
      <c r="DQ353">
        <v>0</v>
      </c>
      <c r="DR353">
        <v>3.205236666666667</v>
      </c>
      <c r="DS353">
        <v>-61.9698</v>
      </c>
      <c r="DT353">
        <v>557.2190000000001</v>
      </c>
      <c r="DU353">
        <v>614.4053333333333</v>
      </c>
      <c r="DV353">
        <v>9.529996666666667</v>
      </c>
      <c r="DW353">
        <v>608.7446666666666</v>
      </c>
      <c r="DX353">
        <v>9.213616666666667</v>
      </c>
      <c r="DY353">
        <v>1.685353333333333</v>
      </c>
      <c r="DZ353">
        <v>0.828452</v>
      </c>
      <c r="EA353">
        <v>14.76213333333333</v>
      </c>
      <c r="EB353">
        <v>4.20439</v>
      </c>
      <c r="EC353">
        <v>1500.013333333333</v>
      </c>
      <c r="ED353">
        <v>0.9730063333333333</v>
      </c>
      <c r="EE353">
        <v>0.02699376666666667</v>
      </c>
      <c r="EF353">
        <v>0</v>
      </c>
      <c r="EG353">
        <v>905.5356666666667</v>
      </c>
      <c r="EH353">
        <v>5.00097</v>
      </c>
      <c r="EI353">
        <v>13502.83333333333</v>
      </c>
      <c r="EJ353">
        <v>12491.73333333333</v>
      </c>
      <c r="EK353">
        <v>38.625</v>
      </c>
      <c r="EL353">
        <v>39.812</v>
      </c>
      <c r="EM353">
        <v>39</v>
      </c>
      <c r="EN353">
        <v>39.687</v>
      </c>
      <c r="EO353">
        <v>39.437</v>
      </c>
      <c r="EP353">
        <v>1454.653333333333</v>
      </c>
      <c r="EQ353">
        <v>40.36</v>
      </c>
      <c r="ER353">
        <v>0</v>
      </c>
      <c r="ES353">
        <v>955.4000000953674</v>
      </c>
      <c r="ET353">
        <v>0</v>
      </c>
      <c r="EU353">
        <v>903.1815199999999</v>
      </c>
      <c r="EV353">
        <v>20.22707691669612</v>
      </c>
      <c r="EW353">
        <v>292.623076924927</v>
      </c>
      <c r="EX353">
        <v>13472.956</v>
      </c>
      <c r="EY353">
        <v>15</v>
      </c>
      <c r="EZ353">
        <v>1651865518.1</v>
      </c>
      <c r="FA353" t="s">
        <v>910</v>
      </c>
      <c r="FB353">
        <v>1651865507.1</v>
      </c>
      <c r="FC353">
        <v>1651865518.1</v>
      </c>
      <c r="FD353">
        <v>8</v>
      </c>
      <c r="FE353">
        <v>0.06</v>
      </c>
      <c r="FF353">
        <v>0</v>
      </c>
      <c r="FG353">
        <v>-0.927</v>
      </c>
      <c r="FH353">
        <v>-0.062</v>
      </c>
      <c r="FI353">
        <v>400</v>
      </c>
      <c r="FJ353">
        <v>11</v>
      </c>
      <c r="FK353">
        <v>0.11</v>
      </c>
      <c r="FL353">
        <v>0.01</v>
      </c>
      <c r="FM353">
        <v>-61.00682195121951</v>
      </c>
      <c r="FN353">
        <v>-5.931556097560946</v>
      </c>
      <c r="FO353">
        <v>0.587307459892153</v>
      </c>
      <c r="FP353">
        <v>-1</v>
      </c>
      <c r="FQ353">
        <v>9.499655609756097</v>
      </c>
      <c r="FR353">
        <v>0.2292836236933943</v>
      </c>
      <c r="FS353">
        <v>0.02366237293512384</v>
      </c>
      <c r="FT353">
        <v>-1</v>
      </c>
      <c r="FU353">
        <v>0</v>
      </c>
      <c r="FV353">
        <v>0</v>
      </c>
      <c r="FW353">
        <v>0</v>
      </c>
      <c r="FX353">
        <v>-1</v>
      </c>
      <c r="FY353">
        <v>0</v>
      </c>
      <c r="FZ353">
        <v>0</v>
      </c>
      <c r="GA353" t="s">
        <v>420</v>
      </c>
      <c r="GB353">
        <v>2.98159</v>
      </c>
      <c r="GC353">
        <v>2.70608</v>
      </c>
      <c r="GD353">
        <v>0.114302</v>
      </c>
      <c r="GE353">
        <v>0.121798</v>
      </c>
      <c r="GF353">
        <v>0.0891242</v>
      </c>
      <c r="GG353">
        <v>0.0520527</v>
      </c>
      <c r="GH353">
        <v>27988</v>
      </c>
      <c r="GI353">
        <v>27810.6</v>
      </c>
      <c r="GJ353">
        <v>29377.6</v>
      </c>
      <c r="GK353">
        <v>29292</v>
      </c>
      <c r="GL353">
        <v>35431</v>
      </c>
      <c r="GM353">
        <v>36989.2</v>
      </c>
      <c r="GN353">
        <v>41349.8</v>
      </c>
      <c r="GO353">
        <v>41811.3</v>
      </c>
      <c r="GP353">
        <v>1.96705</v>
      </c>
      <c r="GQ353">
        <v>1.8544</v>
      </c>
      <c r="GR353">
        <v>-0.0057742</v>
      </c>
      <c r="GS353">
        <v>0</v>
      </c>
      <c r="GT353">
        <v>25.0974</v>
      </c>
      <c r="GU353">
        <v>999.9</v>
      </c>
      <c r="GV353">
        <v>29.6</v>
      </c>
      <c r="GW353">
        <v>34.2</v>
      </c>
      <c r="GX353">
        <v>17.7865</v>
      </c>
      <c r="GY353">
        <v>62.5976</v>
      </c>
      <c r="GZ353">
        <v>35.1442</v>
      </c>
      <c r="HA353">
        <v>1</v>
      </c>
      <c r="HB353">
        <v>0.0439304</v>
      </c>
      <c r="HC353">
        <v>1.49834</v>
      </c>
      <c r="HD353">
        <v>20.3281</v>
      </c>
      <c r="HE353">
        <v>5.21789</v>
      </c>
      <c r="HF353">
        <v>12.0099</v>
      </c>
      <c r="HG353">
        <v>4.98885</v>
      </c>
      <c r="HH353">
        <v>3.28858</v>
      </c>
      <c r="HI353">
        <v>1033</v>
      </c>
      <c r="HJ353">
        <v>9745.9</v>
      </c>
      <c r="HK353">
        <v>5139.4</v>
      </c>
      <c r="HL353">
        <v>25.4</v>
      </c>
      <c r="HM353">
        <v>1.86745</v>
      </c>
      <c r="HN353">
        <v>1.86646</v>
      </c>
      <c r="HO353">
        <v>1.866</v>
      </c>
      <c r="HP353">
        <v>1.86584</v>
      </c>
      <c r="HQ353">
        <v>1.86768</v>
      </c>
      <c r="HR353">
        <v>1.8702</v>
      </c>
      <c r="HS353">
        <v>1.8689</v>
      </c>
      <c r="HT353">
        <v>1.87021</v>
      </c>
      <c r="HU353">
        <v>0</v>
      </c>
      <c r="HV353">
        <v>0</v>
      </c>
      <c r="HW353">
        <v>0</v>
      </c>
      <c r="HX353">
        <v>0</v>
      </c>
      <c r="HY353" t="s">
        <v>421</v>
      </c>
      <c r="HZ353" t="s">
        <v>422</v>
      </c>
      <c r="IA353" t="s">
        <v>423</v>
      </c>
      <c r="IB353" t="s">
        <v>423</v>
      </c>
      <c r="IC353" t="s">
        <v>423</v>
      </c>
      <c r="ID353" t="s">
        <v>423</v>
      </c>
      <c r="IE353">
        <v>0</v>
      </c>
      <c r="IF353">
        <v>100</v>
      </c>
      <c r="IG353">
        <v>100</v>
      </c>
      <c r="IH353">
        <v>-1.192</v>
      </c>
      <c r="II353">
        <v>0.0262</v>
      </c>
      <c r="IJ353">
        <v>-0.1559367209035702</v>
      </c>
      <c r="IK353">
        <v>-0.002077099775823331</v>
      </c>
      <c r="IL353">
        <v>4.593143279902166E-07</v>
      </c>
      <c r="IM353">
        <v>-1.865383991892071E-10</v>
      </c>
      <c r="IN353">
        <v>-0.0607165066849496</v>
      </c>
      <c r="IO353">
        <v>-0.01129461987421345</v>
      </c>
      <c r="IP353">
        <v>0.00116580895745559</v>
      </c>
      <c r="IQ353">
        <v>-1.679085872906199E-05</v>
      </c>
      <c r="IR353">
        <v>2</v>
      </c>
      <c r="IS353">
        <v>2290</v>
      </c>
      <c r="IT353">
        <v>0</v>
      </c>
      <c r="IU353">
        <v>32</v>
      </c>
      <c r="IV353">
        <v>15.5</v>
      </c>
      <c r="IW353">
        <v>15.3</v>
      </c>
      <c r="IX353">
        <v>1.43066</v>
      </c>
      <c r="IY353">
        <v>2.20581</v>
      </c>
      <c r="IZ353">
        <v>1.39648</v>
      </c>
      <c r="JA353">
        <v>2.35474</v>
      </c>
      <c r="JB353">
        <v>1.49536</v>
      </c>
      <c r="JC353">
        <v>2.28149</v>
      </c>
      <c r="JD353">
        <v>38.0134</v>
      </c>
      <c r="JE353">
        <v>24.035</v>
      </c>
      <c r="JF353">
        <v>18</v>
      </c>
      <c r="JG353">
        <v>512.425</v>
      </c>
      <c r="JH353">
        <v>426.178</v>
      </c>
      <c r="JI353">
        <v>23.1506</v>
      </c>
      <c r="JJ353">
        <v>27.8895</v>
      </c>
      <c r="JK353">
        <v>29.9999</v>
      </c>
      <c r="JL353">
        <v>27.9079</v>
      </c>
      <c r="JM353">
        <v>27.8511</v>
      </c>
      <c r="JN353">
        <v>28.6812</v>
      </c>
      <c r="JO353">
        <v>46.0558</v>
      </c>
      <c r="JP353">
        <v>0</v>
      </c>
      <c r="JQ353">
        <v>23.1497</v>
      </c>
      <c r="JR353">
        <v>632.491</v>
      </c>
      <c r="JS353">
        <v>9.13251</v>
      </c>
      <c r="JT353">
        <v>100.418</v>
      </c>
      <c r="JU353">
        <v>100.348</v>
      </c>
    </row>
    <row r="354" spans="1:281">
      <c r="A354">
        <v>338</v>
      </c>
      <c r="B354">
        <v>1651866440</v>
      </c>
      <c r="C354">
        <v>2219.400000095367</v>
      </c>
      <c r="D354" t="s">
        <v>1099</v>
      </c>
      <c r="E354" t="s">
        <v>1100</v>
      </c>
      <c r="F354">
        <v>2</v>
      </c>
      <c r="G354" t="s">
        <v>908</v>
      </c>
      <c r="H354" t="s">
        <v>414</v>
      </c>
      <c r="I354">
        <v>1651866438.625</v>
      </c>
      <c r="J354">
        <f>(K354)/1000</f>
        <v>0</v>
      </c>
      <c r="K354">
        <f>IF(CZ354, AN354, AH354)</f>
        <v>0</v>
      </c>
      <c r="L354">
        <f>IF(CZ354, AI354, AG354)</f>
        <v>0</v>
      </c>
      <c r="M354">
        <f>DB354 - IF(AU354&gt;1, L354*CV354*100.0/(AW354*DP354), 0)</f>
        <v>0</v>
      </c>
      <c r="N354">
        <f>((T354-J354/2)*M354-L354)/(T354+J354/2)</f>
        <v>0</v>
      </c>
      <c r="O354">
        <f>N354*(DI354+DJ354)/1000.0</f>
        <v>0</v>
      </c>
      <c r="P354">
        <f>(DB354 - IF(AU354&gt;1, L354*CV354*100.0/(AW354*DP354), 0))*(DI354+DJ354)/1000.0</f>
        <v>0</v>
      </c>
      <c r="Q354">
        <f>2.0/((1/S354-1/R354)+SIGN(S354)*SQRT((1/S354-1/R354)*(1/S354-1/R354) + 4*CW354/((CW354+1)*(CW354+1))*(2*1/S354*1/R354-1/R354*1/R354)))</f>
        <v>0</v>
      </c>
      <c r="R354">
        <f>IF(LEFT(CX354,1)&lt;&gt;"0",IF(LEFT(CX354,1)="1",3.0,CY354),$D$5+$E$5*(DP354*DI354/($K$5*1000))+$F$5*(DP354*DI354/($K$5*1000))*MAX(MIN(CV354,$J$5),$I$5)*MAX(MIN(CV354,$J$5),$I$5)+$G$5*MAX(MIN(CV354,$J$5),$I$5)*(DP354*DI354/($K$5*1000))+$H$5*(DP354*DI354/($K$5*1000))*(DP354*DI354/($K$5*1000)))</f>
        <v>0</v>
      </c>
      <c r="S354">
        <f>J354*(1000-(1000*0.61365*exp(17.502*W354/(240.97+W354))/(DI354+DJ354)+DD354)/2)/(1000*0.61365*exp(17.502*W354/(240.97+W354))/(DI354+DJ354)-DD354)</f>
        <v>0</v>
      </c>
      <c r="T354">
        <f>1/((CW354+1)/(Q354/1.6)+1/(R354/1.37)) + CW354/((CW354+1)/(Q354/1.6) + CW354/(R354/1.37))</f>
        <v>0</v>
      </c>
      <c r="U354">
        <f>(CR354*CU354)</f>
        <v>0</v>
      </c>
      <c r="V354">
        <f>(DK354+(U354+2*0.95*5.67E-8*(((DK354+$B$7)+273)^4-(DK354+273)^4)-44100*J354)/(1.84*29.3*R354+8*0.95*5.67E-8*(DK354+273)^3))</f>
        <v>0</v>
      </c>
      <c r="W354">
        <f>($C$7*DL354+$D$7*DM354+$E$7*V354)</f>
        <v>0</v>
      </c>
      <c r="X354">
        <f>0.61365*exp(17.502*W354/(240.97+W354))</f>
        <v>0</v>
      </c>
      <c r="Y354">
        <f>(Z354/AA354*100)</f>
        <v>0</v>
      </c>
      <c r="Z354">
        <f>DD354*(DI354+DJ354)/1000</f>
        <v>0</v>
      </c>
      <c r="AA354">
        <f>0.61365*exp(17.502*DK354/(240.97+DK354))</f>
        <v>0</v>
      </c>
      <c r="AB354">
        <f>(X354-DD354*(DI354+DJ354)/1000)</f>
        <v>0</v>
      </c>
      <c r="AC354">
        <f>(-J354*44100)</f>
        <v>0</v>
      </c>
      <c r="AD354">
        <f>2*29.3*R354*0.92*(DK354-W354)</f>
        <v>0</v>
      </c>
      <c r="AE354">
        <f>2*0.95*5.67E-8*(((DK354+$B$7)+273)^4-(W354+273)^4)</f>
        <v>0</v>
      </c>
      <c r="AF354">
        <f>U354+AE354+AC354+AD354</f>
        <v>0</v>
      </c>
      <c r="AG354">
        <f>DH354*AU354*(DC354-DB354*(1000-AU354*DE354)/(1000-AU354*DD354))/(100*CV354)</f>
        <v>0</v>
      </c>
      <c r="AH354">
        <f>1000*DH354*AU354*(DD354-DE354)/(100*CV354*(1000-AU354*DD354))</f>
        <v>0</v>
      </c>
      <c r="AI354">
        <f>(AJ354 - AK354 - DI354*1E3/(8.314*(DK354+273.15)) * AM354/DH354 * AL354) * DH354/(100*CV354) * (1000 - DE354)/1000</f>
        <v>0</v>
      </c>
      <c r="AJ354">
        <v>615.2049701383594</v>
      </c>
      <c r="AK354">
        <v>565.5645515151515</v>
      </c>
      <c r="AL354">
        <v>3.33408203599156</v>
      </c>
      <c r="AM354">
        <v>66.38195617057868</v>
      </c>
      <c r="AN354">
        <f>(AP354 - AO354 + DI354*1E3/(8.314*(DK354+273.15)) * AR354/DH354 * AQ354) * DH354/(100*CV354) * 1000/(1000 - AP354)</f>
        <v>0</v>
      </c>
      <c r="AO354">
        <v>9.214465089781529</v>
      </c>
      <c r="AP354">
        <v>18.74243294117647</v>
      </c>
      <c r="AQ354">
        <v>7.975094409416628E-05</v>
      </c>
      <c r="AR354">
        <v>80.47178418790507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MAX(0,($B$13+$C$13*DP354)/(1+$D$13*DP354)*DI354/(DK354+273)*$E$13)</f>
        <v>0</v>
      </c>
      <c r="AX354" t="s">
        <v>417</v>
      </c>
      <c r="AY354" t="s">
        <v>417</v>
      </c>
      <c r="AZ354">
        <v>0</v>
      </c>
      <c r="BA354">
        <v>0</v>
      </c>
      <c r="BB354">
        <f>1-AZ354/BA354</f>
        <v>0</v>
      </c>
      <c r="BC354">
        <v>0</v>
      </c>
      <c r="BD354" t="s">
        <v>417</v>
      </c>
      <c r="BE354" t="s">
        <v>417</v>
      </c>
      <c r="BF354">
        <v>0</v>
      </c>
      <c r="BG354">
        <v>0</v>
      </c>
      <c r="BH354">
        <f>1-BF354/BG354</f>
        <v>0</v>
      </c>
      <c r="BI354">
        <v>0.5</v>
      </c>
      <c r="BJ354">
        <f>CS354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417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BZ354">
        <v>1249</v>
      </c>
      <c r="CA354">
        <v>300</v>
      </c>
      <c r="CB354">
        <v>300</v>
      </c>
      <c r="CC354">
        <v>300</v>
      </c>
      <c r="CD354">
        <v>10442.4</v>
      </c>
      <c r="CE354">
        <v>1239.69</v>
      </c>
      <c r="CF354">
        <v>-0.00735276</v>
      </c>
      <c r="CG354">
        <v>0.07000000000000001</v>
      </c>
      <c r="CH354" t="s">
        <v>417</v>
      </c>
      <c r="CI354" t="s">
        <v>417</v>
      </c>
      <c r="CJ354" t="s">
        <v>417</v>
      </c>
      <c r="CK354" t="s">
        <v>417</v>
      </c>
      <c r="CL354" t="s">
        <v>417</v>
      </c>
      <c r="CM354" t="s">
        <v>417</v>
      </c>
      <c r="CN354" t="s">
        <v>417</v>
      </c>
      <c r="CO354" t="s">
        <v>417</v>
      </c>
      <c r="CP354" t="s">
        <v>417</v>
      </c>
      <c r="CQ354" t="s">
        <v>417</v>
      </c>
      <c r="CR354">
        <f>$B$11*DQ354+$C$11*DR354+$F$11*EC354*(1-EF354)</f>
        <v>0</v>
      </c>
      <c r="CS354">
        <f>CR354*CT354</f>
        <v>0</v>
      </c>
      <c r="CT354">
        <f>($B$11*$D$9+$C$11*$D$9+$F$11*((EP354+EH354)/MAX(EP354+EH354+EQ354, 0.1)*$I$9+EQ354/MAX(EP354+EH354+EQ354, 0.1)*$J$9))/($B$11+$C$11+$F$11)</f>
        <v>0</v>
      </c>
      <c r="CU354">
        <f>($B$11*$K$9+$C$11*$K$9+$F$11*((EP354+EH354)/MAX(EP354+EH354+EQ354, 0.1)*$P$9+EQ354/MAX(EP354+EH354+EQ354, 0.1)*$Q$9))/($B$11+$C$11+$F$11)</f>
        <v>0</v>
      </c>
      <c r="CV354">
        <v>6</v>
      </c>
      <c r="CW354">
        <v>0.5</v>
      </c>
      <c r="CX354" t="s">
        <v>418</v>
      </c>
      <c r="CY354">
        <v>2</v>
      </c>
      <c r="CZ354" t="b">
        <v>1</v>
      </c>
      <c r="DA354">
        <v>1651866438.625</v>
      </c>
      <c r="DB354">
        <v>552.0945</v>
      </c>
      <c r="DC354">
        <v>614.23</v>
      </c>
      <c r="DD354">
        <v>18.742775</v>
      </c>
      <c r="DE354">
        <v>9.212530000000001</v>
      </c>
      <c r="DF354">
        <v>553.2905000000001</v>
      </c>
      <c r="DG354">
        <v>18.7166</v>
      </c>
      <c r="DH354">
        <v>500.04875</v>
      </c>
      <c r="DI354">
        <v>89.91589999999999</v>
      </c>
      <c r="DJ354">
        <v>0.09992524999999999</v>
      </c>
      <c r="DK354">
        <v>25.95345</v>
      </c>
      <c r="DL354">
        <v>25.004925</v>
      </c>
      <c r="DM354">
        <v>999.9</v>
      </c>
      <c r="DN354">
        <v>0</v>
      </c>
      <c r="DO354">
        <v>0</v>
      </c>
      <c r="DP354">
        <v>10003.9</v>
      </c>
      <c r="DQ354">
        <v>0</v>
      </c>
      <c r="DR354">
        <v>3.2164775</v>
      </c>
      <c r="DS354">
        <v>-62.135625</v>
      </c>
      <c r="DT354">
        <v>562.64</v>
      </c>
      <c r="DU354">
        <v>619.94125</v>
      </c>
      <c r="DV354">
        <v>9.530257499999999</v>
      </c>
      <c r="DW354">
        <v>614.23</v>
      </c>
      <c r="DX354">
        <v>9.212530000000001</v>
      </c>
      <c r="DY354">
        <v>1.6852725</v>
      </c>
      <c r="DZ354">
        <v>0.82835275</v>
      </c>
      <c r="EA354">
        <v>14.76145</v>
      </c>
      <c r="EB354">
        <v>4.20268</v>
      </c>
      <c r="EC354">
        <v>1499.9825</v>
      </c>
      <c r="ED354">
        <v>0.9730055</v>
      </c>
      <c r="EE354">
        <v>0.02699465</v>
      </c>
      <c r="EF354">
        <v>0</v>
      </c>
      <c r="EG354">
        <v>905.6922499999999</v>
      </c>
      <c r="EH354">
        <v>5.00097</v>
      </c>
      <c r="EI354">
        <v>13509.225</v>
      </c>
      <c r="EJ354">
        <v>12491.45</v>
      </c>
      <c r="EK354">
        <v>38.625</v>
      </c>
      <c r="EL354">
        <v>39.812</v>
      </c>
      <c r="EM354">
        <v>39</v>
      </c>
      <c r="EN354">
        <v>39.67149999999999</v>
      </c>
      <c r="EO354">
        <v>39.437</v>
      </c>
      <c r="EP354">
        <v>1454.6225</v>
      </c>
      <c r="EQ354">
        <v>40.36</v>
      </c>
      <c r="ER354">
        <v>0</v>
      </c>
      <c r="ES354">
        <v>957.7999999523163</v>
      </c>
      <c r="ET354">
        <v>0</v>
      </c>
      <c r="EU354">
        <v>903.9465599999999</v>
      </c>
      <c r="EV354">
        <v>19.59453847977115</v>
      </c>
      <c r="EW354">
        <v>274.0615388835237</v>
      </c>
      <c r="EX354">
        <v>13484.292</v>
      </c>
      <c r="EY354">
        <v>15</v>
      </c>
      <c r="EZ354">
        <v>1651865518.1</v>
      </c>
      <c r="FA354" t="s">
        <v>910</v>
      </c>
      <c r="FB354">
        <v>1651865507.1</v>
      </c>
      <c r="FC354">
        <v>1651865518.1</v>
      </c>
      <c r="FD354">
        <v>8</v>
      </c>
      <c r="FE354">
        <v>0.06</v>
      </c>
      <c r="FF354">
        <v>0</v>
      </c>
      <c r="FG354">
        <v>-0.927</v>
      </c>
      <c r="FH354">
        <v>-0.062</v>
      </c>
      <c r="FI354">
        <v>400</v>
      </c>
      <c r="FJ354">
        <v>11</v>
      </c>
      <c r="FK354">
        <v>0.11</v>
      </c>
      <c r="FL354">
        <v>0.01</v>
      </c>
      <c r="FM354">
        <v>-61.27507499999999</v>
      </c>
      <c r="FN354">
        <v>-5.724542589117928</v>
      </c>
      <c r="FO354">
        <v>0.5530646240494865</v>
      </c>
      <c r="FP354">
        <v>-1</v>
      </c>
      <c r="FQ354">
        <v>9.5082395</v>
      </c>
      <c r="FR354">
        <v>0.2077807879924882</v>
      </c>
      <c r="FS354">
        <v>0.02154787807998744</v>
      </c>
      <c r="FT354">
        <v>-1</v>
      </c>
      <c r="FU354">
        <v>0</v>
      </c>
      <c r="FV354">
        <v>0</v>
      </c>
      <c r="FW354">
        <v>0</v>
      </c>
      <c r="FX354">
        <v>-1</v>
      </c>
      <c r="FY354">
        <v>0</v>
      </c>
      <c r="FZ354">
        <v>0</v>
      </c>
      <c r="GA354" t="s">
        <v>420</v>
      </c>
      <c r="GB354">
        <v>2.98144</v>
      </c>
      <c r="GC354">
        <v>2.70615</v>
      </c>
      <c r="GD354">
        <v>0.115276</v>
      </c>
      <c r="GE354">
        <v>0.122725</v>
      </c>
      <c r="GF354">
        <v>0.0891199</v>
      </c>
      <c r="GG354">
        <v>0.0520416</v>
      </c>
      <c r="GH354">
        <v>27957.1</v>
      </c>
      <c r="GI354">
        <v>27781.3</v>
      </c>
      <c r="GJ354">
        <v>29377.5</v>
      </c>
      <c r="GK354">
        <v>29292</v>
      </c>
      <c r="GL354">
        <v>35431.2</v>
      </c>
      <c r="GM354">
        <v>36989.7</v>
      </c>
      <c r="GN354">
        <v>41349.7</v>
      </c>
      <c r="GO354">
        <v>41811.4</v>
      </c>
      <c r="GP354">
        <v>1.9672</v>
      </c>
      <c r="GQ354">
        <v>1.85417</v>
      </c>
      <c r="GR354">
        <v>-0.00551343</v>
      </c>
      <c r="GS354">
        <v>0</v>
      </c>
      <c r="GT354">
        <v>25.0983</v>
      </c>
      <c r="GU354">
        <v>999.9</v>
      </c>
      <c r="GV354">
        <v>29.6</v>
      </c>
      <c r="GW354">
        <v>34.2</v>
      </c>
      <c r="GX354">
        <v>17.7863</v>
      </c>
      <c r="GY354">
        <v>62.3076</v>
      </c>
      <c r="GZ354">
        <v>35.4487</v>
      </c>
      <c r="HA354">
        <v>1</v>
      </c>
      <c r="HB354">
        <v>0.043938</v>
      </c>
      <c r="HC354">
        <v>1.49937</v>
      </c>
      <c r="HD354">
        <v>20.328</v>
      </c>
      <c r="HE354">
        <v>5.21819</v>
      </c>
      <c r="HF354">
        <v>12.0099</v>
      </c>
      <c r="HG354">
        <v>4.9891</v>
      </c>
      <c r="HH354">
        <v>3.28865</v>
      </c>
      <c r="HI354">
        <v>1033</v>
      </c>
      <c r="HJ354">
        <v>9745.9</v>
      </c>
      <c r="HK354">
        <v>5139.4</v>
      </c>
      <c r="HL354">
        <v>25.4</v>
      </c>
      <c r="HM354">
        <v>1.86745</v>
      </c>
      <c r="HN354">
        <v>1.86646</v>
      </c>
      <c r="HO354">
        <v>1.866</v>
      </c>
      <c r="HP354">
        <v>1.86584</v>
      </c>
      <c r="HQ354">
        <v>1.86768</v>
      </c>
      <c r="HR354">
        <v>1.87022</v>
      </c>
      <c r="HS354">
        <v>1.8689</v>
      </c>
      <c r="HT354">
        <v>1.87024</v>
      </c>
      <c r="HU354">
        <v>0</v>
      </c>
      <c r="HV354">
        <v>0</v>
      </c>
      <c r="HW354">
        <v>0</v>
      </c>
      <c r="HX354">
        <v>0</v>
      </c>
      <c r="HY354" t="s">
        <v>421</v>
      </c>
      <c r="HZ354" t="s">
        <v>422</v>
      </c>
      <c r="IA354" t="s">
        <v>423</v>
      </c>
      <c r="IB354" t="s">
        <v>423</v>
      </c>
      <c r="IC354" t="s">
        <v>423</v>
      </c>
      <c r="ID354" t="s">
        <v>423</v>
      </c>
      <c r="IE354">
        <v>0</v>
      </c>
      <c r="IF354">
        <v>100</v>
      </c>
      <c r="IG354">
        <v>100</v>
      </c>
      <c r="IH354">
        <v>-1.204</v>
      </c>
      <c r="II354">
        <v>0.0262</v>
      </c>
      <c r="IJ354">
        <v>-0.1559367209035702</v>
      </c>
      <c r="IK354">
        <v>-0.002077099775823331</v>
      </c>
      <c r="IL354">
        <v>4.593143279902166E-07</v>
      </c>
      <c r="IM354">
        <v>-1.865383991892071E-10</v>
      </c>
      <c r="IN354">
        <v>-0.0607165066849496</v>
      </c>
      <c r="IO354">
        <v>-0.01129461987421345</v>
      </c>
      <c r="IP354">
        <v>0.00116580895745559</v>
      </c>
      <c r="IQ354">
        <v>-1.679085872906199E-05</v>
      </c>
      <c r="IR354">
        <v>2</v>
      </c>
      <c r="IS354">
        <v>2290</v>
      </c>
      <c r="IT354">
        <v>0</v>
      </c>
      <c r="IU354">
        <v>32</v>
      </c>
      <c r="IV354">
        <v>15.5</v>
      </c>
      <c r="IW354">
        <v>15.4</v>
      </c>
      <c r="IX354">
        <v>1.44287</v>
      </c>
      <c r="IY354">
        <v>2.20215</v>
      </c>
      <c r="IZ354">
        <v>1.39648</v>
      </c>
      <c r="JA354">
        <v>2.35474</v>
      </c>
      <c r="JB354">
        <v>1.49536</v>
      </c>
      <c r="JC354">
        <v>2.33887</v>
      </c>
      <c r="JD354">
        <v>38.0134</v>
      </c>
      <c r="JE354">
        <v>24.0437</v>
      </c>
      <c r="JF354">
        <v>18</v>
      </c>
      <c r="JG354">
        <v>512.513</v>
      </c>
      <c r="JH354">
        <v>426.043</v>
      </c>
      <c r="JI354">
        <v>23.1501</v>
      </c>
      <c r="JJ354">
        <v>27.8895</v>
      </c>
      <c r="JK354">
        <v>30</v>
      </c>
      <c r="JL354">
        <v>27.9067</v>
      </c>
      <c r="JM354">
        <v>27.851</v>
      </c>
      <c r="JN354">
        <v>28.9318</v>
      </c>
      <c r="JO354">
        <v>46.0558</v>
      </c>
      <c r="JP354">
        <v>0</v>
      </c>
      <c r="JQ354">
        <v>23.1474</v>
      </c>
      <c r="JR354">
        <v>639.169</v>
      </c>
      <c r="JS354">
        <v>9.12617</v>
      </c>
      <c r="JT354">
        <v>100.418</v>
      </c>
      <c r="JU354">
        <v>100.348</v>
      </c>
    </row>
    <row r="355" spans="1:281">
      <c r="A355">
        <v>339</v>
      </c>
      <c r="B355">
        <v>1651866442</v>
      </c>
      <c r="C355">
        <v>2221.400000095367</v>
      </c>
      <c r="D355" t="s">
        <v>1101</v>
      </c>
      <c r="E355" t="s">
        <v>1102</v>
      </c>
      <c r="F355">
        <v>2</v>
      </c>
      <c r="G355" t="s">
        <v>908</v>
      </c>
      <c r="H355" t="s">
        <v>414</v>
      </c>
      <c r="I355">
        <v>1651866441</v>
      </c>
      <c r="J355">
        <f>(K355)/1000</f>
        <v>0</v>
      </c>
      <c r="K355">
        <f>IF(CZ355, AN355, AH355)</f>
        <v>0</v>
      </c>
      <c r="L355">
        <f>IF(CZ355, AI355, AG355)</f>
        <v>0</v>
      </c>
      <c r="M355">
        <f>DB355 - IF(AU355&gt;1, L355*CV355*100.0/(AW355*DP355), 0)</f>
        <v>0</v>
      </c>
      <c r="N355">
        <f>((T355-J355/2)*M355-L355)/(T355+J355/2)</f>
        <v>0</v>
      </c>
      <c r="O355">
        <f>N355*(DI355+DJ355)/1000.0</f>
        <v>0</v>
      </c>
      <c r="P355">
        <f>(DB355 - IF(AU355&gt;1, L355*CV355*100.0/(AW355*DP355), 0))*(DI355+DJ355)/1000.0</f>
        <v>0</v>
      </c>
      <c r="Q355">
        <f>2.0/((1/S355-1/R355)+SIGN(S355)*SQRT((1/S355-1/R355)*(1/S355-1/R355) + 4*CW355/((CW355+1)*(CW355+1))*(2*1/S355*1/R355-1/R355*1/R355)))</f>
        <v>0</v>
      </c>
      <c r="R355">
        <f>IF(LEFT(CX355,1)&lt;&gt;"0",IF(LEFT(CX355,1)="1",3.0,CY355),$D$5+$E$5*(DP355*DI355/($K$5*1000))+$F$5*(DP355*DI355/($K$5*1000))*MAX(MIN(CV355,$J$5),$I$5)*MAX(MIN(CV355,$J$5),$I$5)+$G$5*MAX(MIN(CV355,$J$5),$I$5)*(DP355*DI355/($K$5*1000))+$H$5*(DP355*DI355/($K$5*1000))*(DP355*DI355/($K$5*1000)))</f>
        <v>0</v>
      </c>
      <c r="S355">
        <f>J355*(1000-(1000*0.61365*exp(17.502*W355/(240.97+W355))/(DI355+DJ355)+DD355)/2)/(1000*0.61365*exp(17.502*W355/(240.97+W355))/(DI355+DJ355)-DD355)</f>
        <v>0</v>
      </c>
      <c r="T355">
        <f>1/((CW355+1)/(Q355/1.6)+1/(R355/1.37)) + CW355/((CW355+1)/(Q355/1.6) + CW355/(R355/1.37))</f>
        <v>0</v>
      </c>
      <c r="U355">
        <f>(CR355*CU355)</f>
        <v>0</v>
      </c>
      <c r="V355">
        <f>(DK355+(U355+2*0.95*5.67E-8*(((DK355+$B$7)+273)^4-(DK355+273)^4)-44100*J355)/(1.84*29.3*R355+8*0.95*5.67E-8*(DK355+273)^3))</f>
        <v>0</v>
      </c>
      <c r="W355">
        <f>($C$7*DL355+$D$7*DM355+$E$7*V355)</f>
        <v>0</v>
      </c>
      <c r="X355">
        <f>0.61365*exp(17.502*W355/(240.97+W355))</f>
        <v>0</v>
      </c>
      <c r="Y355">
        <f>(Z355/AA355*100)</f>
        <v>0</v>
      </c>
      <c r="Z355">
        <f>DD355*(DI355+DJ355)/1000</f>
        <v>0</v>
      </c>
      <c r="AA355">
        <f>0.61365*exp(17.502*DK355/(240.97+DK355))</f>
        <v>0</v>
      </c>
      <c r="AB355">
        <f>(X355-DD355*(DI355+DJ355)/1000)</f>
        <v>0</v>
      </c>
      <c r="AC355">
        <f>(-J355*44100)</f>
        <v>0</v>
      </c>
      <c r="AD355">
        <f>2*29.3*R355*0.92*(DK355-W355)</f>
        <v>0</v>
      </c>
      <c r="AE355">
        <f>2*0.95*5.67E-8*(((DK355+$B$7)+273)^4-(W355+273)^4)</f>
        <v>0</v>
      </c>
      <c r="AF355">
        <f>U355+AE355+AC355+AD355</f>
        <v>0</v>
      </c>
      <c r="AG355">
        <f>DH355*AU355*(DC355-DB355*(1000-AU355*DE355)/(1000-AU355*DD355))/(100*CV355)</f>
        <v>0</v>
      </c>
      <c r="AH355">
        <f>1000*DH355*AU355*(DD355-DE355)/(100*CV355*(1000-AU355*DD355))</f>
        <v>0</v>
      </c>
      <c r="AI355">
        <f>(AJ355 - AK355 - DI355*1E3/(8.314*(DK355+273.15)) * AM355/DH355 * AL355) * DH355/(100*CV355) * (1000 - DE355)/1000</f>
        <v>0</v>
      </c>
      <c r="AJ355">
        <v>621.9921084875008</v>
      </c>
      <c r="AK355">
        <v>572.2578969696966</v>
      </c>
      <c r="AL355">
        <v>3.345242543508955</v>
      </c>
      <c r="AM355">
        <v>66.38195617057868</v>
      </c>
      <c r="AN355">
        <f>(AP355 - AO355 + DI355*1E3/(8.314*(DK355+273.15)) * AR355/DH355 * AQ355) * DH355/(100*CV355) * 1000/(1000 - AP355)</f>
        <v>0</v>
      </c>
      <c r="AO355">
        <v>9.214584128869729</v>
      </c>
      <c r="AP355">
        <v>18.74111558823529</v>
      </c>
      <c r="AQ355">
        <v>4.632214304947155E-05</v>
      </c>
      <c r="AR355">
        <v>80.47178418790507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MAX(0,($B$13+$C$13*DP355)/(1+$D$13*DP355)*DI355/(DK355+273)*$E$13)</f>
        <v>0</v>
      </c>
      <c r="AX355" t="s">
        <v>417</v>
      </c>
      <c r="AY355" t="s">
        <v>417</v>
      </c>
      <c r="AZ355">
        <v>0</v>
      </c>
      <c r="BA355">
        <v>0</v>
      </c>
      <c r="BB355">
        <f>1-AZ355/BA355</f>
        <v>0</v>
      </c>
      <c r="BC355">
        <v>0</v>
      </c>
      <c r="BD355" t="s">
        <v>417</v>
      </c>
      <c r="BE355" t="s">
        <v>417</v>
      </c>
      <c r="BF355">
        <v>0</v>
      </c>
      <c r="BG355">
        <v>0</v>
      </c>
      <c r="BH355">
        <f>1-BF355/BG355</f>
        <v>0</v>
      </c>
      <c r="BI355">
        <v>0.5</v>
      </c>
      <c r="BJ355">
        <f>CS355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417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BZ355">
        <v>1249</v>
      </c>
      <c r="CA355">
        <v>300</v>
      </c>
      <c r="CB355">
        <v>300</v>
      </c>
      <c r="CC355">
        <v>300</v>
      </c>
      <c r="CD355">
        <v>10442.4</v>
      </c>
      <c r="CE355">
        <v>1239.69</v>
      </c>
      <c r="CF355">
        <v>-0.00735276</v>
      </c>
      <c r="CG355">
        <v>0.07000000000000001</v>
      </c>
      <c r="CH355" t="s">
        <v>417</v>
      </c>
      <c r="CI355" t="s">
        <v>417</v>
      </c>
      <c r="CJ355" t="s">
        <v>417</v>
      </c>
      <c r="CK355" t="s">
        <v>417</v>
      </c>
      <c r="CL355" t="s">
        <v>417</v>
      </c>
      <c r="CM355" t="s">
        <v>417</v>
      </c>
      <c r="CN355" t="s">
        <v>417</v>
      </c>
      <c r="CO355" t="s">
        <v>417</v>
      </c>
      <c r="CP355" t="s">
        <v>417</v>
      </c>
      <c r="CQ355" t="s">
        <v>417</v>
      </c>
      <c r="CR355">
        <f>$B$11*DQ355+$C$11*DR355+$F$11*EC355*(1-EF355)</f>
        <v>0</v>
      </c>
      <c r="CS355">
        <f>CR355*CT355</f>
        <v>0</v>
      </c>
      <c r="CT355">
        <f>($B$11*$D$9+$C$11*$D$9+$F$11*((EP355+EH355)/MAX(EP355+EH355+EQ355, 0.1)*$I$9+EQ355/MAX(EP355+EH355+EQ355, 0.1)*$J$9))/($B$11+$C$11+$F$11)</f>
        <v>0</v>
      </c>
      <c r="CU355">
        <f>($B$11*$K$9+$C$11*$K$9+$F$11*((EP355+EH355)/MAX(EP355+EH355+EQ355, 0.1)*$P$9+EQ355/MAX(EP355+EH355+EQ355, 0.1)*$Q$9))/($B$11+$C$11+$F$11)</f>
        <v>0</v>
      </c>
      <c r="CV355">
        <v>6</v>
      </c>
      <c r="CW355">
        <v>0.5</v>
      </c>
      <c r="CX355" t="s">
        <v>418</v>
      </c>
      <c r="CY355">
        <v>2</v>
      </c>
      <c r="CZ355" t="b">
        <v>1</v>
      </c>
      <c r="DA355">
        <v>1651866441</v>
      </c>
      <c r="DB355">
        <v>559.8923333333333</v>
      </c>
      <c r="DC355">
        <v>622.1523333333333</v>
      </c>
      <c r="DD355">
        <v>18.74206666666667</v>
      </c>
      <c r="DE355">
        <v>9.199703333333334</v>
      </c>
      <c r="DF355">
        <v>561.102</v>
      </c>
      <c r="DG355">
        <v>18.7159</v>
      </c>
      <c r="DH355">
        <v>500.0276666666667</v>
      </c>
      <c r="DI355">
        <v>89.91540000000002</v>
      </c>
      <c r="DJ355">
        <v>0.1000480666666667</v>
      </c>
      <c r="DK355">
        <v>25.9527</v>
      </c>
      <c r="DL355">
        <v>25.00476666666667</v>
      </c>
      <c r="DM355">
        <v>999.9</v>
      </c>
      <c r="DN355">
        <v>0</v>
      </c>
      <c r="DO355">
        <v>0</v>
      </c>
      <c r="DP355">
        <v>9984.793333333333</v>
      </c>
      <c r="DQ355">
        <v>0</v>
      </c>
      <c r="DR355">
        <v>3.230526666666667</v>
      </c>
      <c r="DS355">
        <v>-62.26033333333334</v>
      </c>
      <c r="DT355">
        <v>570.5863333333333</v>
      </c>
      <c r="DU355">
        <v>627.9290000000001</v>
      </c>
      <c r="DV355">
        <v>9.54237</v>
      </c>
      <c r="DW355">
        <v>622.1523333333333</v>
      </c>
      <c r="DX355">
        <v>9.199703333333334</v>
      </c>
      <c r="DY355">
        <v>1.6852</v>
      </c>
      <c r="DZ355">
        <v>0.827195</v>
      </c>
      <c r="EA355">
        <v>14.7608</v>
      </c>
      <c r="EB355">
        <v>4.182746666666667</v>
      </c>
      <c r="EC355">
        <v>1500.04</v>
      </c>
      <c r="ED355">
        <v>0.9730063333333333</v>
      </c>
      <c r="EE355">
        <v>0.02699376666666667</v>
      </c>
      <c r="EF355">
        <v>0</v>
      </c>
      <c r="EG355">
        <v>906.21</v>
      </c>
      <c r="EH355">
        <v>5.00097</v>
      </c>
      <c r="EI355">
        <v>13519.93333333333</v>
      </c>
      <c r="EJ355">
        <v>12491.96666666667</v>
      </c>
      <c r="EK355">
        <v>38.625</v>
      </c>
      <c r="EL355">
        <v>39.812</v>
      </c>
      <c r="EM355">
        <v>39</v>
      </c>
      <c r="EN355">
        <v>39.625</v>
      </c>
      <c r="EO355">
        <v>39.437</v>
      </c>
      <c r="EP355">
        <v>1454.68</v>
      </c>
      <c r="EQ355">
        <v>40.36</v>
      </c>
      <c r="ER355">
        <v>0</v>
      </c>
      <c r="ES355">
        <v>959.6000001430511</v>
      </c>
      <c r="ET355">
        <v>0</v>
      </c>
      <c r="EU355">
        <v>904.402153846154</v>
      </c>
      <c r="EV355">
        <v>17.87815383048781</v>
      </c>
      <c r="EW355">
        <v>267.0393162066864</v>
      </c>
      <c r="EX355">
        <v>13491.15769230769</v>
      </c>
      <c r="EY355">
        <v>15</v>
      </c>
      <c r="EZ355">
        <v>1651865518.1</v>
      </c>
      <c r="FA355" t="s">
        <v>910</v>
      </c>
      <c r="FB355">
        <v>1651865507.1</v>
      </c>
      <c r="FC355">
        <v>1651865518.1</v>
      </c>
      <c r="FD355">
        <v>8</v>
      </c>
      <c r="FE355">
        <v>0.06</v>
      </c>
      <c r="FF355">
        <v>0</v>
      </c>
      <c r="FG355">
        <v>-0.927</v>
      </c>
      <c r="FH355">
        <v>-0.062</v>
      </c>
      <c r="FI355">
        <v>400</v>
      </c>
      <c r="FJ355">
        <v>11</v>
      </c>
      <c r="FK355">
        <v>0.11</v>
      </c>
      <c r="FL355">
        <v>0.01</v>
      </c>
      <c r="FM355">
        <v>-61.38701219512196</v>
      </c>
      <c r="FN355">
        <v>-5.590369337979123</v>
      </c>
      <c r="FO355">
        <v>0.5540654853412194</v>
      </c>
      <c r="FP355">
        <v>-1</v>
      </c>
      <c r="FQ355">
        <v>9.511721219512195</v>
      </c>
      <c r="FR355">
        <v>0.1908244599303342</v>
      </c>
      <c r="FS355">
        <v>0.02063276818323312</v>
      </c>
      <c r="FT355">
        <v>-1</v>
      </c>
      <c r="FU355">
        <v>0</v>
      </c>
      <c r="FV355">
        <v>0</v>
      </c>
      <c r="FW355">
        <v>0</v>
      </c>
      <c r="FX355">
        <v>-1</v>
      </c>
      <c r="FY355">
        <v>0</v>
      </c>
      <c r="FZ355">
        <v>0</v>
      </c>
      <c r="GA355" t="s">
        <v>420</v>
      </c>
      <c r="GB355">
        <v>2.98128</v>
      </c>
      <c r="GC355">
        <v>2.70614</v>
      </c>
      <c r="GD355">
        <v>0.116242</v>
      </c>
      <c r="GE355">
        <v>0.123648</v>
      </c>
      <c r="GF355">
        <v>0.0891232</v>
      </c>
      <c r="GG355">
        <v>0.051932</v>
      </c>
      <c r="GH355">
        <v>27926.3</v>
      </c>
      <c r="GI355">
        <v>27752</v>
      </c>
      <c r="GJ355">
        <v>29377.2</v>
      </c>
      <c r="GK355">
        <v>29291.9</v>
      </c>
      <c r="GL355">
        <v>35430.5</v>
      </c>
      <c r="GM355">
        <v>36994.1</v>
      </c>
      <c r="GN355">
        <v>41349.1</v>
      </c>
      <c r="GO355">
        <v>41811.4</v>
      </c>
      <c r="GP355">
        <v>1.96732</v>
      </c>
      <c r="GQ355">
        <v>1.85413</v>
      </c>
      <c r="GR355">
        <v>-0.00596046</v>
      </c>
      <c r="GS355">
        <v>0</v>
      </c>
      <c r="GT355">
        <v>25.0994</v>
      </c>
      <c r="GU355">
        <v>999.9</v>
      </c>
      <c r="GV355">
        <v>29.6</v>
      </c>
      <c r="GW355">
        <v>34.2</v>
      </c>
      <c r="GX355">
        <v>17.7854</v>
      </c>
      <c r="GY355">
        <v>62.4376</v>
      </c>
      <c r="GZ355">
        <v>35.597</v>
      </c>
      <c r="HA355">
        <v>1</v>
      </c>
      <c r="HB355">
        <v>0.0439355</v>
      </c>
      <c r="HC355">
        <v>1.50335</v>
      </c>
      <c r="HD355">
        <v>20.328</v>
      </c>
      <c r="HE355">
        <v>5.21819</v>
      </c>
      <c r="HF355">
        <v>12.0099</v>
      </c>
      <c r="HG355">
        <v>4.989</v>
      </c>
      <c r="HH355">
        <v>3.28865</v>
      </c>
      <c r="HI355">
        <v>1033</v>
      </c>
      <c r="HJ355">
        <v>9745.9</v>
      </c>
      <c r="HK355">
        <v>5139.4</v>
      </c>
      <c r="HL355">
        <v>25.4</v>
      </c>
      <c r="HM355">
        <v>1.86743</v>
      </c>
      <c r="HN355">
        <v>1.86645</v>
      </c>
      <c r="HO355">
        <v>1.86599</v>
      </c>
      <c r="HP355">
        <v>1.86584</v>
      </c>
      <c r="HQ355">
        <v>1.86768</v>
      </c>
      <c r="HR355">
        <v>1.87022</v>
      </c>
      <c r="HS355">
        <v>1.8689</v>
      </c>
      <c r="HT355">
        <v>1.87024</v>
      </c>
      <c r="HU355">
        <v>0</v>
      </c>
      <c r="HV355">
        <v>0</v>
      </c>
      <c r="HW355">
        <v>0</v>
      </c>
      <c r="HX355">
        <v>0</v>
      </c>
      <c r="HY355" t="s">
        <v>421</v>
      </c>
      <c r="HZ355" t="s">
        <v>422</v>
      </c>
      <c r="IA355" t="s">
        <v>423</v>
      </c>
      <c r="IB355" t="s">
        <v>423</v>
      </c>
      <c r="IC355" t="s">
        <v>423</v>
      </c>
      <c r="ID355" t="s">
        <v>423</v>
      </c>
      <c r="IE355">
        <v>0</v>
      </c>
      <c r="IF355">
        <v>100</v>
      </c>
      <c r="IG355">
        <v>100</v>
      </c>
      <c r="IH355">
        <v>-1.216</v>
      </c>
      <c r="II355">
        <v>0.0262</v>
      </c>
      <c r="IJ355">
        <v>-0.1559367209035702</v>
      </c>
      <c r="IK355">
        <v>-0.002077099775823331</v>
      </c>
      <c r="IL355">
        <v>4.593143279902166E-07</v>
      </c>
      <c r="IM355">
        <v>-1.865383991892071E-10</v>
      </c>
      <c r="IN355">
        <v>-0.0607165066849496</v>
      </c>
      <c r="IO355">
        <v>-0.01129461987421345</v>
      </c>
      <c r="IP355">
        <v>0.00116580895745559</v>
      </c>
      <c r="IQ355">
        <v>-1.679085872906199E-05</v>
      </c>
      <c r="IR355">
        <v>2</v>
      </c>
      <c r="IS355">
        <v>2290</v>
      </c>
      <c r="IT355">
        <v>0</v>
      </c>
      <c r="IU355">
        <v>32</v>
      </c>
      <c r="IV355">
        <v>15.6</v>
      </c>
      <c r="IW355">
        <v>15.4</v>
      </c>
      <c r="IX355">
        <v>1.45508</v>
      </c>
      <c r="IY355">
        <v>2.20093</v>
      </c>
      <c r="IZ355">
        <v>1.39648</v>
      </c>
      <c r="JA355">
        <v>2.35474</v>
      </c>
      <c r="JB355">
        <v>1.49536</v>
      </c>
      <c r="JC355">
        <v>2.36206</v>
      </c>
      <c r="JD355">
        <v>38.0134</v>
      </c>
      <c r="JE355">
        <v>24.0437</v>
      </c>
      <c r="JF355">
        <v>18</v>
      </c>
      <c r="JG355">
        <v>512.5839999999999</v>
      </c>
      <c r="JH355">
        <v>426.006</v>
      </c>
      <c r="JI355">
        <v>23.1495</v>
      </c>
      <c r="JJ355">
        <v>27.8883</v>
      </c>
      <c r="JK355">
        <v>30</v>
      </c>
      <c r="JL355">
        <v>27.9056</v>
      </c>
      <c r="JM355">
        <v>27.8499</v>
      </c>
      <c r="JN355">
        <v>29.1729</v>
      </c>
      <c r="JO355">
        <v>46.0558</v>
      </c>
      <c r="JP355">
        <v>0</v>
      </c>
      <c r="JQ355">
        <v>23.1474</v>
      </c>
      <c r="JR355">
        <v>645.847</v>
      </c>
      <c r="JS355">
        <v>9.11877</v>
      </c>
      <c r="JT355">
        <v>100.416</v>
      </c>
      <c r="JU355">
        <v>100.348</v>
      </c>
    </row>
    <row r="356" spans="1:281">
      <c r="A356">
        <v>340</v>
      </c>
      <c r="B356">
        <v>1651866444</v>
      </c>
      <c r="C356">
        <v>2223.400000095367</v>
      </c>
      <c r="D356" t="s">
        <v>1103</v>
      </c>
      <c r="E356" t="s">
        <v>1104</v>
      </c>
      <c r="F356">
        <v>2</v>
      </c>
      <c r="G356" t="s">
        <v>908</v>
      </c>
      <c r="H356" t="s">
        <v>414</v>
      </c>
      <c r="I356">
        <v>1651866442.625</v>
      </c>
      <c r="J356">
        <f>(K356)/1000</f>
        <v>0</v>
      </c>
      <c r="K356">
        <f>IF(CZ356, AN356, AH356)</f>
        <v>0</v>
      </c>
      <c r="L356">
        <f>IF(CZ356, AI356, AG356)</f>
        <v>0</v>
      </c>
      <c r="M356">
        <f>DB356 - IF(AU356&gt;1, L356*CV356*100.0/(AW356*DP356), 0)</f>
        <v>0</v>
      </c>
      <c r="N356">
        <f>((T356-J356/2)*M356-L356)/(T356+J356/2)</f>
        <v>0</v>
      </c>
      <c r="O356">
        <f>N356*(DI356+DJ356)/1000.0</f>
        <v>0</v>
      </c>
      <c r="P356">
        <f>(DB356 - IF(AU356&gt;1, L356*CV356*100.0/(AW356*DP356), 0))*(DI356+DJ356)/1000.0</f>
        <v>0</v>
      </c>
      <c r="Q356">
        <f>2.0/((1/S356-1/R356)+SIGN(S356)*SQRT((1/S356-1/R356)*(1/S356-1/R356) + 4*CW356/((CW356+1)*(CW356+1))*(2*1/S356*1/R356-1/R356*1/R356)))</f>
        <v>0</v>
      </c>
      <c r="R356">
        <f>IF(LEFT(CX356,1)&lt;&gt;"0",IF(LEFT(CX356,1)="1",3.0,CY356),$D$5+$E$5*(DP356*DI356/($K$5*1000))+$F$5*(DP356*DI356/($K$5*1000))*MAX(MIN(CV356,$J$5),$I$5)*MAX(MIN(CV356,$J$5),$I$5)+$G$5*MAX(MIN(CV356,$J$5),$I$5)*(DP356*DI356/($K$5*1000))+$H$5*(DP356*DI356/($K$5*1000))*(DP356*DI356/($K$5*1000)))</f>
        <v>0</v>
      </c>
      <c r="S356">
        <f>J356*(1000-(1000*0.61365*exp(17.502*W356/(240.97+W356))/(DI356+DJ356)+DD356)/2)/(1000*0.61365*exp(17.502*W356/(240.97+W356))/(DI356+DJ356)-DD356)</f>
        <v>0</v>
      </c>
      <c r="T356">
        <f>1/((CW356+1)/(Q356/1.6)+1/(R356/1.37)) + CW356/((CW356+1)/(Q356/1.6) + CW356/(R356/1.37))</f>
        <v>0</v>
      </c>
      <c r="U356">
        <f>(CR356*CU356)</f>
        <v>0</v>
      </c>
      <c r="V356">
        <f>(DK356+(U356+2*0.95*5.67E-8*(((DK356+$B$7)+273)^4-(DK356+273)^4)-44100*J356)/(1.84*29.3*R356+8*0.95*5.67E-8*(DK356+273)^3))</f>
        <v>0</v>
      </c>
      <c r="W356">
        <f>($C$7*DL356+$D$7*DM356+$E$7*V356)</f>
        <v>0</v>
      </c>
      <c r="X356">
        <f>0.61365*exp(17.502*W356/(240.97+W356))</f>
        <v>0</v>
      </c>
      <c r="Y356">
        <f>(Z356/AA356*100)</f>
        <v>0</v>
      </c>
      <c r="Z356">
        <f>DD356*(DI356+DJ356)/1000</f>
        <v>0</v>
      </c>
      <c r="AA356">
        <f>0.61365*exp(17.502*DK356/(240.97+DK356))</f>
        <v>0</v>
      </c>
      <c r="AB356">
        <f>(X356-DD356*(DI356+DJ356)/1000)</f>
        <v>0</v>
      </c>
      <c r="AC356">
        <f>(-J356*44100)</f>
        <v>0</v>
      </c>
      <c r="AD356">
        <f>2*29.3*R356*0.92*(DK356-W356)</f>
        <v>0</v>
      </c>
      <c r="AE356">
        <f>2*0.95*5.67E-8*(((DK356+$B$7)+273)^4-(W356+273)^4)</f>
        <v>0</v>
      </c>
      <c r="AF356">
        <f>U356+AE356+AC356+AD356</f>
        <v>0</v>
      </c>
      <c r="AG356">
        <f>DH356*AU356*(DC356-DB356*(1000-AU356*DE356)/(1000-AU356*DD356))/(100*CV356)</f>
        <v>0</v>
      </c>
      <c r="AH356">
        <f>1000*DH356*AU356*(DD356-DE356)/(100*CV356*(1000-AU356*DD356))</f>
        <v>0</v>
      </c>
      <c r="AI356">
        <f>(AJ356 - AK356 - DI356*1E3/(8.314*(DK356+273.15)) * AM356/DH356 * AL356) * DH356/(100*CV356) * (1000 - DE356)/1000</f>
        <v>0</v>
      </c>
      <c r="AJ356">
        <v>628.6944443678628</v>
      </c>
      <c r="AK356">
        <v>578.9014121212123</v>
      </c>
      <c r="AL356">
        <v>3.330360647084816</v>
      </c>
      <c r="AM356">
        <v>66.38195617057868</v>
      </c>
      <c r="AN356">
        <f>(AP356 - AO356 + DI356*1E3/(8.314*(DK356+273.15)) * AR356/DH356 * AQ356) * DH356/(100*CV356) * 1000/(1000 - AP356)</f>
        <v>0</v>
      </c>
      <c r="AO356">
        <v>9.211463666739004</v>
      </c>
      <c r="AP356">
        <v>18.74222882352941</v>
      </c>
      <c r="AQ356">
        <v>-1.54238907606563E-05</v>
      </c>
      <c r="AR356">
        <v>80.47178418790507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MAX(0,($B$13+$C$13*DP356)/(1+$D$13*DP356)*DI356/(DK356+273)*$E$13)</f>
        <v>0</v>
      </c>
      <c r="AX356" t="s">
        <v>417</v>
      </c>
      <c r="AY356" t="s">
        <v>417</v>
      </c>
      <c r="AZ356">
        <v>0</v>
      </c>
      <c r="BA356">
        <v>0</v>
      </c>
      <c r="BB356">
        <f>1-AZ356/BA356</f>
        <v>0</v>
      </c>
      <c r="BC356">
        <v>0</v>
      </c>
      <c r="BD356" t="s">
        <v>417</v>
      </c>
      <c r="BE356" t="s">
        <v>417</v>
      </c>
      <c r="BF356">
        <v>0</v>
      </c>
      <c r="BG356">
        <v>0</v>
      </c>
      <c r="BH356">
        <f>1-BF356/BG356</f>
        <v>0</v>
      </c>
      <c r="BI356">
        <v>0.5</v>
      </c>
      <c r="BJ356">
        <f>CS356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417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BZ356">
        <v>1249</v>
      </c>
      <c r="CA356">
        <v>300</v>
      </c>
      <c r="CB356">
        <v>300</v>
      </c>
      <c r="CC356">
        <v>300</v>
      </c>
      <c r="CD356">
        <v>10442.4</v>
      </c>
      <c r="CE356">
        <v>1239.69</v>
      </c>
      <c r="CF356">
        <v>-0.00735276</v>
      </c>
      <c r="CG356">
        <v>0.07000000000000001</v>
      </c>
      <c r="CH356" t="s">
        <v>417</v>
      </c>
      <c r="CI356" t="s">
        <v>417</v>
      </c>
      <c r="CJ356" t="s">
        <v>417</v>
      </c>
      <c r="CK356" t="s">
        <v>417</v>
      </c>
      <c r="CL356" t="s">
        <v>417</v>
      </c>
      <c r="CM356" t="s">
        <v>417</v>
      </c>
      <c r="CN356" t="s">
        <v>417</v>
      </c>
      <c r="CO356" t="s">
        <v>417</v>
      </c>
      <c r="CP356" t="s">
        <v>417</v>
      </c>
      <c r="CQ356" t="s">
        <v>417</v>
      </c>
      <c r="CR356">
        <f>$B$11*DQ356+$C$11*DR356+$F$11*EC356*(1-EF356)</f>
        <v>0</v>
      </c>
      <c r="CS356">
        <f>CR356*CT356</f>
        <v>0</v>
      </c>
      <c r="CT356">
        <f>($B$11*$D$9+$C$11*$D$9+$F$11*((EP356+EH356)/MAX(EP356+EH356+EQ356, 0.1)*$I$9+EQ356/MAX(EP356+EH356+EQ356, 0.1)*$J$9))/($B$11+$C$11+$F$11)</f>
        <v>0</v>
      </c>
      <c r="CU356">
        <f>($B$11*$K$9+$C$11*$K$9+$F$11*((EP356+EH356)/MAX(EP356+EH356+EQ356, 0.1)*$P$9+EQ356/MAX(EP356+EH356+EQ356, 0.1)*$Q$9))/($B$11+$C$11+$F$11)</f>
        <v>0</v>
      </c>
      <c r="CV356">
        <v>6</v>
      </c>
      <c r="CW356">
        <v>0.5</v>
      </c>
      <c r="CX356" t="s">
        <v>418</v>
      </c>
      <c r="CY356">
        <v>2</v>
      </c>
      <c r="CZ356" t="b">
        <v>1</v>
      </c>
      <c r="DA356">
        <v>1651866442.625</v>
      </c>
      <c r="DB356">
        <v>565.1982499999999</v>
      </c>
      <c r="DC356">
        <v>627.6195</v>
      </c>
      <c r="DD356">
        <v>18.742325</v>
      </c>
      <c r="DE356">
        <v>9.174854999999999</v>
      </c>
      <c r="DF356">
        <v>566.4175</v>
      </c>
      <c r="DG356">
        <v>18.716125</v>
      </c>
      <c r="DH356">
        <v>500.026</v>
      </c>
      <c r="DI356">
        <v>89.91582499999998</v>
      </c>
      <c r="DJ356">
        <v>0.100014725</v>
      </c>
      <c r="DK356">
        <v>25.951875</v>
      </c>
      <c r="DL356">
        <v>25.000575</v>
      </c>
      <c r="DM356">
        <v>999.9</v>
      </c>
      <c r="DN356">
        <v>0</v>
      </c>
      <c r="DO356">
        <v>0</v>
      </c>
      <c r="DP356">
        <v>9995.782499999999</v>
      </c>
      <c r="DQ356">
        <v>0</v>
      </c>
      <c r="DR356">
        <v>3.22034</v>
      </c>
      <c r="DS356">
        <v>-62.4211</v>
      </c>
      <c r="DT356">
        <v>575.99375</v>
      </c>
      <c r="DU356">
        <v>633.431</v>
      </c>
      <c r="DV356">
        <v>9.5674475</v>
      </c>
      <c r="DW356">
        <v>627.6195</v>
      </c>
      <c r="DX356">
        <v>9.174854999999999</v>
      </c>
      <c r="DY356">
        <v>1.6852275</v>
      </c>
      <c r="DZ356">
        <v>0.8249645</v>
      </c>
      <c r="EA356">
        <v>14.76105</v>
      </c>
      <c r="EB356">
        <v>4.144267500000001</v>
      </c>
      <c r="EC356">
        <v>1500</v>
      </c>
      <c r="ED356">
        <v>0.9730055</v>
      </c>
      <c r="EE356">
        <v>0.02699465</v>
      </c>
      <c r="EF356">
        <v>0</v>
      </c>
      <c r="EG356">
        <v>906.90825</v>
      </c>
      <c r="EH356">
        <v>5.00097</v>
      </c>
      <c r="EI356">
        <v>13525.525</v>
      </c>
      <c r="EJ356">
        <v>12491.65</v>
      </c>
      <c r="EK356">
        <v>38.60925</v>
      </c>
      <c r="EL356">
        <v>39.812</v>
      </c>
      <c r="EM356">
        <v>39</v>
      </c>
      <c r="EN356">
        <v>39.625</v>
      </c>
      <c r="EO356">
        <v>39.42149999999999</v>
      </c>
      <c r="EP356">
        <v>1454.64</v>
      </c>
      <c r="EQ356">
        <v>40.36</v>
      </c>
      <c r="ER356">
        <v>0</v>
      </c>
      <c r="ES356">
        <v>961.4000000953674</v>
      </c>
      <c r="ET356">
        <v>0</v>
      </c>
      <c r="EU356">
        <v>905.06096</v>
      </c>
      <c r="EV356">
        <v>17.76369229197306</v>
      </c>
      <c r="EW356">
        <v>254.0230769286133</v>
      </c>
      <c r="EX356">
        <v>13500.416</v>
      </c>
      <c r="EY356">
        <v>15</v>
      </c>
      <c r="EZ356">
        <v>1651865518.1</v>
      </c>
      <c r="FA356" t="s">
        <v>910</v>
      </c>
      <c r="FB356">
        <v>1651865507.1</v>
      </c>
      <c r="FC356">
        <v>1651865518.1</v>
      </c>
      <c r="FD356">
        <v>8</v>
      </c>
      <c r="FE356">
        <v>0.06</v>
      </c>
      <c r="FF356">
        <v>0</v>
      </c>
      <c r="FG356">
        <v>-0.927</v>
      </c>
      <c r="FH356">
        <v>-0.062</v>
      </c>
      <c r="FI356">
        <v>400</v>
      </c>
      <c r="FJ356">
        <v>11</v>
      </c>
      <c r="FK356">
        <v>0.11</v>
      </c>
      <c r="FL356">
        <v>0.01</v>
      </c>
      <c r="FM356">
        <v>-61.637565</v>
      </c>
      <c r="FN356">
        <v>-5.197339587241741</v>
      </c>
      <c r="FO356">
        <v>0.5026565390751421</v>
      </c>
      <c r="FP356">
        <v>-1</v>
      </c>
      <c r="FQ356">
        <v>9.522869250000001</v>
      </c>
      <c r="FR356">
        <v>0.1862052157598271</v>
      </c>
      <c r="FS356">
        <v>0.02001177920469596</v>
      </c>
      <c r="FT356">
        <v>-1</v>
      </c>
      <c r="FU356">
        <v>0</v>
      </c>
      <c r="FV356">
        <v>0</v>
      </c>
      <c r="FW356">
        <v>0</v>
      </c>
      <c r="FX356">
        <v>-1</v>
      </c>
      <c r="FY356">
        <v>0</v>
      </c>
      <c r="FZ356">
        <v>0</v>
      </c>
      <c r="GA356" t="s">
        <v>420</v>
      </c>
      <c r="GB356">
        <v>2.98157</v>
      </c>
      <c r="GC356">
        <v>2.70614</v>
      </c>
      <c r="GD356">
        <v>0.1172</v>
      </c>
      <c r="GE356">
        <v>0.124583</v>
      </c>
      <c r="GF356">
        <v>0.0891093</v>
      </c>
      <c r="GG356">
        <v>0.0517955</v>
      </c>
      <c r="GH356">
        <v>27895.9</v>
      </c>
      <c r="GI356">
        <v>27722.4</v>
      </c>
      <c r="GJ356">
        <v>29377</v>
      </c>
      <c r="GK356">
        <v>29291.9</v>
      </c>
      <c r="GL356">
        <v>35430.8</v>
      </c>
      <c r="GM356">
        <v>36999.4</v>
      </c>
      <c r="GN356">
        <v>41348.8</v>
      </c>
      <c r="GO356">
        <v>41811.4</v>
      </c>
      <c r="GP356">
        <v>1.96718</v>
      </c>
      <c r="GQ356">
        <v>1.85435</v>
      </c>
      <c r="GR356">
        <v>-0.00625849</v>
      </c>
      <c r="GS356">
        <v>0</v>
      </c>
      <c r="GT356">
        <v>25.0995</v>
      </c>
      <c r="GU356">
        <v>999.9</v>
      </c>
      <c r="GV356">
        <v>29.6</v>
      </c>
      <c r="GW356">
        <v>34.2</v>
      </c>
      <c r="GX356">
        <v>17.7851</v>
      </c>
      <c r="GY356">
        <v>62.2976</v>
      </c>
      <c r="GZ356">
        <v>35.2204</v>
      </c>
      <c r="HA356">
        <v>1</v>
      </c>
      <c r="HB356">
        <v>0.0437729</v>
      </c>
      <c r="HC356">
        <v>1.50589</v>
      </c>
      <c r="HD356">
        <v>20.328</v>
      </c>
      <c r="HE356">
        <v>5.21834</v>
      </c>
      <c r="HF356">
        <v>12.0099</v>
      </c>
      <c r="HG356">
        <v>4.9888</v>
      </c>
      <c r="HH356">
        <v>3.28865</v>
      </c>
      <c r="HI356">
        <v>1033.2</v>
      </c>
      <c r="HJ356">
        <v>9747.299999999999</v>
      </c>
      <c r="HK356">
        <v>5139.4</v>
      </c>
      <c r="HL356">
        <v>25.4</v>
      </c>
      <c r="HM356">
        <v>1.86745</v>
      </c>
      <c r="HN356">
        <v>1.86646</v>
      </c>
      <c r="HO356">
        <v>1.86599</v>
      </c>
      <c r="HP356">
        <v>1.86584</v>
      </c>
      <c r="HQ356">
        <v>1.86768</v>
      </c>
      <c r="HR356">
        <v>1.8702</v>
      </c>
      <c r="HS356">
        <v>1.8689</v>
      </c>
      <c r="HT356">
        <v>1.87024</v>
      </c>
      <c r="HU356">
        <v>0</v>
      </c>
      <c r="HV356">
        <v>0</v>
      </c>
      <c r="HW356">
        <v>0</v>
      </c>
      <c r="HX356">
        <v>0</v>
      </c>
      <c r="HY356" t="s">
        <v>421</v>
      </c>
      <c r="HZ356" t="s">
        <v>422</v>
      </c>
      <c r="IA356" t="s">
        <v>423</v>
      </c>
      <c r="IB356" t="s">
        <v>423</v>
      </c>
      <c r="IC356" t="s">
        <v>423</v>
      </c>
      <c r="ID356" t="s">
        <v>423</v>
      </c>
      <c r="IE356">
        <v>0</v>
      </c>
      <c r="IF356">
        <v>100</v>
      </c>
      <c r="IG356">
        <v>100</v>
      </c>
      <c r="IH356">
        <v>-1.226</v>
      </c>
      <c r="II356">
        <v>0.0261</v>
      </c>
      <c r="IJ356">
        <v>-0.1559367209035702</v>
      </c>
      <c r="IK356">
        <v>-0.002077099775823331</v>
      </c>
      <c r="IL356">
        <v>4.593143279902166E-07</v>
      </c>
      <c r="IM356">
        <v>-1.865383991892071E-10</v>
      </c>
      <c r="IN356">
        <v>-0.0607165066849496</v>
      </c>
      <c r="IO356">
        <v>-0.01129461987421345</v>
      </c>
      <c r="IP356">
        <v>0.00116580895745559</v>
      </c>
      <c r="IQ356">
        <v>-1.679085872906199E-05</v>
      </c>
      <c r="IR356">
        <v>2</v>
      </c>
      <c r="IS356">
        <v>2290</v>
      </c>
      <c r="IT356">
        <v>0</v>
      </c>
      <c r="IU356">
        <v>32</v>
      </c>
      <c r="IV356">
        <v>15.6</v>
      </c>
      <c r="IW356">
        <v>15.4</v>
      </c>
      <c r="IX356">
        <v>1.46729</v>
      </c>
      <c r="IY356">
        <v>2.20093</v>
      </c>
      <c r="IZ356">
        <v>1.39648</v>
      </c>
      <c r="JA356">
        <v>2.35474</v>
      </c>
      <c r="JB356">
        <v>1.49536</v>
      </c>
      <c r="JC356">
        <v>2.33643</v>
      </c>
      <c r="JD356">
        <v>38.0134</v>
      </c>
      <c r="JE356">
        <v>24.035</v>
      </c>
      <c r="JF356">
        <v>18</v>
      </c>
      <c r="JG356">
        <v>512.482</v>
      </c>
      <c r="JH356">
        <v>426.131</v>
      </c>
      <c r="JI356">
        <v>23.1485</v>
      </c>
      <c r="JJ356">
        <v>27.8871</v>
      </c>
      <c r="JK356">
        <v>29.9999</v>
      </c>
      <c r="JL356">
        <v>27.905</v>
      </c>
      <c r="JM356">
        <v>27.8488</v>
      </c>
      <c r="JN356">
        <v>29.4171</v>
      </c>
      <c r="JO356">
        <v>46.0558</v>
      </c>
      <c r="JP356">
        <v>0</v>
      </c>
      <c r="JQ356">
        <v>23.1474</v>
      </c>
      <c r="JR356">
        <v>652.525</v>
      </c>
      <c r="JS356">
        <v>9.12724</v>
      </c>
      <c r="JT356">
        <v>100.416</v>
      </c>
      <c r="JU356">
        <v>100.348</v>
      </c>
    </row>
    <row r="357" spans="1:281">
      <c r="A357">
        <v>341</v>
      </c>
      <c r="B357">
        <v>1651866445.5</v>
      </c>
      <c r="C357">
        <v>2224.900000095367</v>
      </c>
      <c r="D357" t="s">
        <v>1105</v>
      </c>
      <c r="E357" t="s">
        <v>1106</v>
      </c>
      <c r="F357">
        <v>2</v>
      </c>
      <c r="G357" t="s">
        <v>908</v>
      </c>
      <c r="H357" t="s">
        <v>414</v>
      </c>
      <c r="I357">
        <v>1651866444</v>
      </c>
      <c r="J357">
        <f>(K357)/1000</f>
        <v>0</v>
      </c>
      <c r="K357">
        <f>IF(CZ357, AN357, AH357)</f>
        <v>0</v>
      </c>
      <c r="L357">
        <f>IF(CZ357, AI357, AG357)</f>
        <v>0</v>
      </c>
      <c r="M357">
        <f>DB357 - IF(AU357&gt;1, L357*CV357*100.0/(AW357*DP357), 0)</f>
        <v>0</v>
      </c>
      <c r="N357">
        <f>((T357-J357/2)*M357-L357)/(T357+J357/2)</f>
        <v>0</v>
      </c>
      <c r="O357">
        <f>N357*(DI357+DJ357)/1000.0</f>
        <v>0</v>
      </c>
      <c r="P357">
        <f>(DB357 - IF(AU357&gt;1, L357*CV357*100.0/(AW357*DP357), 0))*(DI357+DJ357)/1000.0</f>
        <v>0</v>
      </c>
      <c r="Q357">
        <f>2.0/((1/S357-1/R357)+SIGN(S357)*SQRT((1/S357-1/R357)*(1/S357-1/R357) + 4*CW357/((CW357+1)*(CW357+1))*(2*1/S357*1/R357-1/R357*1/R357)))</f>
        <v>0</v>
      </c>
      <c r="R357">
        <f>IF(LEFT(CX357,1)&lt;&gt;"0",IF(LEFT(CX357,1)="1",3.0,CY357),$D$5+$E$5*(DP357*DI357/($K$5*1000))+$F$5*(DP357*DI357/($K$5*1000))*MAX(MIN(CV357,$J$5),$I$5)*MAX(MIN(CV357,$J$5),$I$5)+$G$5*MAX(MIN(CV357,$J$5),$I$5)*(DP357*DI357/($K$5*1000))+$H$5*(DP357*DI357/($K$5*1000))*(DP357*DI357/($K$5*1000)))</f>
        <v>0</v>
      </c>
      <c r="S357">
        <f>J357*(1000-(1000*0.61365*exp(17.502*W357/(240.97+W357))/(DI357+DJ357)+DD357)/2)/(1000*0.61365*exp(17.502*W357/(240.97+W357))/(DI357+DJ357)-DD357)</f>
        <v>0</v>
      </c>
      <c r="T357">
        <f>1/((CW357+1)/(Q357/1.6)+1/(R357/1.37)) + CW357/((CW357+1)/(Q357/1.6) + CW357/(R357/1.37))</f>
        <v>0</v>
      </c>
      <c r="U357">
        <f>(CR357*CU357)</f>
        <v>0</v>
      </c>
      <c r="V357">
        <f>(DK357+(U357+2*0.95*5.67E-8*(((DK357+$B$7)+273)^4-(DK357+273)^4)-44100*J357)/(1.84*29.3*R357+8*0.95*5.67E-8*(DK357+273)^3))</f>
        <v>0</v>
      </c>
      <c r="W357">
        <f>($C$7*DL357+$D$7*DM357+$E$7*V357)</f>
        <v>0</v>
      </c>
      <c r="X357">
        <f>0.61365*exp(17.502*W357/(240.97+W357))</f>
        <v>0</v>
      </c>
      <c r="Y357">
        <f>(Z357/AA357*100)</f>
        <v>0</v>
      </c>
      <c r="Z357">
        <f>DD357*(DI357+DJ357)/1000</f>
        <v>0</v>
      </c>
      <c r="AA357">
        <f>0.61365*exp(17.502*DK357/(240.97+DK357))</f>
        <v>0</v>
      </c>
      <c r="AB357">
        <f>(X357-DD357*(DI357+DJ357)/1000)</f>
        <v>0</v>
      </c>
      <c r="AC357">
        <f>(-J357*44100)</f>
        <v>0</v>
      </c>
      <c r="AD357">
        <f>2*29.3*R357*0.92*(DK357-W357)</f>
        <v>0</v>
      </c>
      <c r="AE357">
        <f>2*0.95*5.67E-8*(((DK357+$B$7)+273)^4-(W357+273)^4)</f>
        <v>0</v>
      </c>
      <c r="AF357">
        <f>U357+AE357+AC357+AD357</f>
        <v>0</v>
      </c>
      <c r="AG357">
        <f>DH357*AU357*(DC357-DB357*(1000-AU357*DE357)/(1000-AU357*DD357))/(100*CV357)</f>
        <v>0</v>
      </c>
      <c r="AH357">
        <f>1000*DH357*AU357*(DD357-DE357)/(100*CV357*(1000-AU357*DD357))</f>
        <v>0</v>
      </c>
      <c r="AI357">
        <f>(AJ357 - AK357 - DI357*1E3/(8.314*(DK357+273.15)) * AM357/DH357 * AL357) * DH357/(100*CV357) * (1000 - DE357)/1000</f>
        <v>0</v>
      </c>
      <c r="AJ357">
        <v>633.7755413341102</v>
      </c>
      <c r="AK357">
        <v>583.9207212121208</v>
      </c>
      <c r="AL357">
        <v>3.334571318488448</v>
      </c>
      <c r="AM357">
        <v>66.38195617057868</v>
      </c>
      <c r="AN357">
        <f>(AP357 - AO357 + DI357*1E3/(8.314*(DK357+273.15)) * AR357/DH357 * AQ357) * DH357/(100*CV357) * 1000/(1000 - AP357)</f>
        <v>0</v>
      </c>
      <c r="AO357">
        <v>9.198402741179972</v>
      </c>
      <c r="AP357">
        <v>18.73523147058823</v>
      </c>
      <c r="AQ357">
        <v>3.572011996227357E-05</v>
      </c>
      <c r="AR357">
        <v>80.47178418790507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MAX(0,($B$13+$C$13*DP357)/(1+$D$13*DP357)*DI357/(DK357+273)*$E$13)</f>
        <v>0</v>
      </c>
      <c r="AX357" t="s">
        <v>417</v>
      </c>
      <c r="AY357" t="s">
        <v>417</v>
      </c>
      <c r="AZ357">
        <v>0</v>
      </c>
      <c r="BA357">
        <v>0</v>
      </c>
      <c r="BB357">
        <f>1-AZ357/BA357</f>
        <v>0</v>
      </c>
      <c r="BC357">
        <v>0</v>
      </c>
      <c r="BD357" t="s">
        <v>417</v>
      </c>
      <c r="BE357" t="s">
        <v>417</v>
      </c>
      <c r="BF357">
        <v>0</v>
      </c>
      <c r="BG357">
        <v>0</v>
      </c>
      <c r="BH357">
        <f>1-BF357/BG357</f>
        <v>0</v>
      </c>
      <c r="BI357">
        <v>0.5</v>
      </c>
      <c r="BJ357">
        <f>CS357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417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BZ357">
        <v>1249</v>
      </c>
      <c r="CA357">
        <v>300</v>
      </c>
      <c r="CB357">
        <v>300</v>
      </c>
      <c r="CC357">
        <v>300</v>
      </c>
      <c r="CD357">
        <v>10442.4</v>
      </c>
      <c r="CE357">
        <v>1239.69</v>
      </c>
      <c r="CF357">
        <v>-0.00735276</v>
      </c>
      <c r="CG357">
        <v>0.07000000000000001</v>
      </c>
      <c r="CH357" t="s">
        <v>417</v>
      </c>
      <c r="CI357" t="s">
        <v>417</v>
      </c>
      <c r="CJ357" t="s">
        <v>417</v>
      </c>
      <c r="CK357" t="s">
        <v>417</v>
      </c>
      <c r="CL357" t="s">
        <v>417</v>
      </c>
      <c r="CM357" t="s">
        <v>417</v>
      </c>
      <c r="CN357" t="s">
        <v>417</v>
      </c>
      <c r="CO357" t="s">
        <v>417</v>
      </c>
      <c r="CP357" t="s">
        <v>417</v>
      </c>
      <c r="CQ357" t="s">
        <v>417</v>
      </c>
      <c r="CR357">
        <f>$B$11*DQ357+$C$11*DR357+$F$11*EC357*(1-EF357)</f>
        <v>0</v>
      </c>
      <c r="CS357">
        <f>CR357*CT357</f>
        <v>0</v>
      </c>
      <c r="CT357">
        <f>($B$11*$D$9+$C$11*$D$9+$F$11*((EP357+EH357)/MAX(EP357+EH357+EQ357, 0.1)*$I$9+EQ357/MAX(EP357+EH357+EQ357, 0.1)*$J$9))/($B$11+$C$11+$F$11)</f>
        <v>0</v>
      </c>
      <c r="CU357">
        <f>($B$11*$K$9+$C$11*$K$9+$F$11*((EP357+EH357)/MAX(EP357+EH357+EQ357, 0.1)*$P$9+EQ357/MAX(EP357+EH357+EQ357, 0.1)*$Q$9))/($B$11+$C$11+$F$11)</f>
        <v>0</v>
      </c>
      <c r="CV357">
        <v>6</v>
      </c>
      <c r="CW357">
        <v>0.5</v>
      </c>
      <c r="CX357" t="s">
        <v>418</v>
      </c>
      <c r="CY357">
        <v>2</v>
      </c>
      <c r="CZ357" t="b">
        <v>1</v>
      </c>
      <c r="DA357">
        <v>1651866444</v>
      </c>
      <c r="DB357">
        <v>569.69975</v>
      </c>
      <c r="DC357">
        <v>632.3115</v>
      </c>
      <c r="DD357">
        <v>18.738325</v>
      </c>
      <c r="DE357">
        <v>9.15649</v>
      </c>
      <c r="DF357">
        <v>570.9267500000001</v>
      </c>
      <c r="DG357">
        <v>18.7122</v>
      </c>
      <c r="DH357">
        <v>500.049</v>
      </c>
      <c r="DI357">
        <v>89.91614999999999</v>
      </c>
      <c r="DJ357">
        <v>0.09991660000000001</v>
      </c>
      <c r="DK357">
        <v>25.952025</v>
      </c>
      <c r="DL357">
        <v>24.997975</v>
      </c>
      <c r="DM357">
        <v>999.9</v>
      </c>
      <c r="DN357">
        <v>0</v>
      </c>
      <c r="DO357">
        <v>0</v>
      </c>
      <c r="DP357">
        <v>10011.72</v>
      </c>
      <c r="DQ357">
        <v>0</v>
      </c>
      <c r="DR357">
        <v>3.21788</v>
      </c>
      <c r="DS357">
        <v>-62.6117</v>
      </c>
      <c r="DT357">
        <v>580.57875</v>
      </c>
      <c r="DU357">
        <v>638.1547499999999</v>
      </c>
      <c r="DV357">
        <v>9.581827499999999</v>
      </c>
      <c r="DW357">
        <v>632.3115</v>
      </c>
      <c r="DX357">
        <v>9.15649</v>
      </c>
      <c r="DY357">
        <v>1.684875</v>
      </c>
      <c r="DZ357">
        <v>0.82331625</v>
      </c>
      <c r="EA357">
        <v>14.7578</v>
      </c>
      <c r="EB357">
        <v>4.1157825</v>
      </c>
      <c r="EC357">
        <v>1499.9375</v>
      </c>
      <c r="ED357">
        <v>0.9730042499999999</v>
      </c>
      <c r="EE357">
        <v>0.026995975</v>
      </c>
      <c r="EF357">
        <v>0</v>
      </c>
      <c r="EG357">
        <v>907.2642499999999</v>
      </c>
      <c r="EH357">
        <v>5.00097</v>
      </c>
      <c r="EI357">
        <v>13529.85</v>
      </c>
      <c r="EJ357">
        <v>12491.125</v>
      </c>
      <c r="EK357">
        <v>38.57774999999999</v>
      </c>
      <c r="EL357">
        <v>39.812</v>
      </c>
      <c r="EM357">
        <v>39</v>
      </c>
      <c r="EN357">
        <v>39.625</v>
      </c>
      <c r="EO357">
        <v>39.3905</v>
      </c>
      <c r="EP357">
        <v>1454.5775</v>
      </c>
      <c r="EQ357">
        <v>40.36</v>
      </c>
      <c r="ER357">
        <v>0</v>
      </c>
      <c r="ES357">
        <v>963.2000000476837</v>
      </c>
      <c r="ET357">
        <v>0</v>
      </c>
      <c r="EU357">
        <v>905.4775769230769</v>
      </c>
      <c r="EV357">
        <v>17.5876580796506</v>
      </c>
      <c r="EW357">
        <v>249.3777774165212</v>
      </c>
      <c r="EX357">
        <v>13506.76538461539</v>
      </c>
      <c r="EY357">
        <v>15</v>
      </c>
      <c r="EZ357">
        <v>1651865518.1</v>
      </c>
      <c r="FA357" t="s">
        <v>910</v>
      </c>
      <c r="FB357">
        <v>1651865507.1</v>
      </c>
      <c r="FC357">
        <v>1651865518.1</v>
      </c>
      <c r="FD357">
        <v>8</v>
      </c>
      <c r="FE357">
        <v>0.06</v>
      </c>
      <c r="FF357">
        <v>0</v>
      </c>
      <c r="FG357">
        <v>-0.927</v>
      </c>
      <c r="FH357">
        <v>-0.062</v>
      </c>
      <c r="FI357">
        <v>400</v>
      </c>
      <c r="FJ357">
        <v>11</v>
      </c>
      <c r="FK357">
        <v>0.11</v>
      </c>
      <c r="FL357">
        <v>0.01</v>
      </c>
      <c r="FM357">
        <v>-61.75088536585366</v>
      </c>
      <c r="FN357">
        <v>-5.188432055749096</v>
      </c>
      <c r="FO357">
        <v>0.5141109752843184</v>
      </c>
      <c r="FP357">
        <v>-1</v>
      </c>
      <c r="FQ357">
        <v>9.529428536585366</v>
      </c>
      <c r="FR357">
        <v>0.2073282229965414</v>
      </c>
      <c r="FS357">
        <v>0.02306191418038181</v>
      </c>
      <c r="FT357">
        <v>-1</v>
      </c>
      <c r="FU357">
        <v>0</v>
      </c>
      <c r="FV357">
        <v>0</v>
      </c>
      <c r="FW357">
        <v>0</v>
      </c>
      <c r="FX357">
        <v>-1</v>
      </c>
      <c r="FY357">
        <v>0</v>
      </c>
      <c r="FZ357">
        <v>0</v>
      </c>
      <c r="GA357" t="s">
        <v>420</v>
      </c>
      <c r="GB357">
        <v>2.98149</v>
      </c>
      <c r="GC357">
        <v>2.70634</v>
      </c>
      <c r="GD357">
        <v>0.117919</v>
      </c>
      <c r="GE357">
        <v>0.125287</v>
      </c>
      <c r="GF357">
        <v>0.089086</v>
      </c>
      <c r="GG357">
        <v>0.0517597</v>
      </c>
      <c r="GH357">
        <v>27873.3</v>
      </c>
      <c r="GI357">
        <v>27700.1</v>
      </c>
      <c r="GJ357">
        <v>29377.1</v>
      </c>
      <c r="GK357">
        <v>29291.9</v>
      </c>
      <c r="GL357">
        <v>35431.9</v>
      </c>
      <c r="GM357">
        <v>37000.8</v>
      </c>
      <c r="GN357">
        <v>41349</v>
      </c>
      <c r="GO357">
        <v>41811.4</v>
      </c>
      <c r="GP357">
        <v>1.9671</v>
      </c>
      <c r="GQ357">
        <v>1.85443</v>
      </c>
      <c r="GR357">
        <v>-0.00625849</v>
      </c>
      <c r="GS357">
        <v>0</v>
      </c>
      <c r="GT357">
        <v>25.0995</v>
      </c>
      <c r="GU357">
        <v>999.9</v>
      </c>
      <c r="GV357">
        <v>29.6</v>
      </c>
      <c r="GW357">
        <v>34.2</v>
      </c>
      <c r="GX357">
        <v>17.7852</v>
      </c>
      <c r="GY357">
        <v>62.4376</v>
      </c>
      <c r="GZ357">
        <v>35.1002</v>
      </c>
      <c r="HA357">
        <v>1</v>
      </c>
      <c r="HB357">
        <v>0.0435747</v>
      </c>
      <c r="HC357">
        <v>1.50332</v>
      </c>
      <c r="HD357">
        <v>20.328</v>
      </c>
      <c r="HE357">
        <v>5.21804</v>
      </c>
      <c r="HF357">
        <v>12.0099</v>
      </c>
      <c r="HG357">
        <v>4.98895</v>
      </c>
      <c r="HH357">
        <v>3.28865</v>
      </c>
      <c r="HI357">
        <v>1033.2</v>
      </c>
      <c r="HJ357">
        <v>9747.299999999999</v>
      </c>
      <c r="HK357">
        <v>5139.4</v>
      </c>
      <c r="HL357">
        <v>25.4</v>
      </c>
      <c r="HM357">
        <v>1.86747</v>
      </c>
      <c r="HN357">
        <v>1.86646</v>
      </c>
      <c r="HO357">
        <v>1.86598</v>
      </c>
      <c r="HP357">
        <v>1.86584</v>
      </c>
      <c r="HQ357">
        <v>1.86768</v>
      </c>
      <c r="HR357">
        <v>1.87018</v>
      </c>
      <c r="HS357">
        <v>1.8689</v>
      </c>
      <c r="HT357">
        <v>1.87025</v>
      </c>
      <c r="HU357">
        <v>0</v>
      </c>
      <c r="HV357">
        <v>0</v>
      </c>
      <c r="HW357">
        <v>0</v>
      </c>
      <c r="HX357">
        <v>0</v>
      </c>
      <c r="HY357" t="s">
        <v>421</v>
      </c>
      <c r="HZ357" t="s">
        <v>422</v>
      </c>
      <c r="IA357" t="s">
        <v>423</v>
      </c>
      <c r="IB357" t="s">
        <v>423</v>
      </c>
      <c r="IC357" t="s">
        <v>423</v>
      </c>
      <c r="ID357" t="s">
        <v>423</v>
      </c>
      <c r="IE357">
        <v>0</v>
      </c>
      <c r="IF357">
        <v>100</v>
      </c>
      <c r="IG357">
        <v>100</v>
      </c>
      <c r="IH357">
        <v>-1.235</v>
      </c>
      <c r="II357">
        <v>0.026</v>
      </c>
      <c r="IJ357">
        <v>-0.1559367209035702</v>
      </c>
      <c r="IK357">
        <v>-0.002077099775823331</v>
      </c>
      <c r="IL357">
        <v>4.593143279902166E-07</v>
      </c>
      <c r="IM357">
        <v>-1.865383991892071E-10</v>
      </c>
      <c r="IN357">
        <v>-0.0607165066849496</v>
      </c>
      <c r="IO357">
        <v>-0.01129461987421345</v>
      </c>
      <c r="IP357">
        <v>0.00116580895745559</v>
      </c>
      <c r="IQ357">
        <v>-1.679085872906199E-05</v>
      </c>
      <c r="IR357">
        <v>2</v>
      </c>
      <c r="IS357">
        <v>2290</v>
      </c>
      <c r="IT357">
        <v>0</v>
      </c>
      <c r="IU357">
        <v>32</v>
      </c>
      <c r="IV357">
        <v>15.6</v>
      </c>
      <c r="IW357">
        <v>15.5</v>
      </c>
      <c r="IX357">
        <v>1.47095</v>
      </c>
      <c r="IY357">
        <v>2.20581</v>
      </c>
      <c r="IZ357">
        <v>1.39648</v>
      </c>
      <c r="JA357">
        <v>2.35474</v>
      </c>
      <c r="JB357">
        <v>1.49536</v>
      </c>
      <c r="JC357">
        <v>2.30469</v>
      </c>
      <c r="JD357">
        <v>38.0134</v>
      </c>
      <c r="JE357">
        <v>24.0437</v>
      </c>
      <c r="JF357">
        <v>18</v>
      </c>
      <c r="JG357">
        <v>512.425</v>
      </c>
      <c r="JH357">
        <v>426.169</v>
      </c>
      <c r="JI357">
        <v>23.1477</v>
      </c>
      <c r="JJ357">
        <v>27.8871</v>
      </c>
      <c r="JK357">
        <v>29.9999</v>
      </c>
      <c r="JL357">
        <v>27.9041</v>
      </c>
      <c r="JM357">
        <v>27.8479</v>
      </c>
      <c r="JN357">
        <v>29.6158</v>
      </c>
      <c r="JO357">
        <v>46.0558</v>
      </c>
      <c r="JP357">
        <v>0</v>
      </c>
      <c r="JQ357">
        <v>23.1468</v>
      </c>
      <c r="JR357">
        <v>659.204</v>
      </c>
      <c r="JS357">
        <v>9.123239999999999</v>
      </c>
      <c r="JT357">
        <v>100.416</v>
      </c>
      <c r="JU357">
        <v>100.348</v>
      </c>
    </row>
    <row r="358" spans="1:281">
      <c r="A358">
        <v>342</v>
      </c>
      <c r="B358">
        <v>1651866448</v>
      </c>
      <c r="C358">
        <v>2227.400000095367</v>
      </c>
      <c r="D358" t="s">
        <v>1107</v>
      </c>
      <c r="E358" t="s">
        <v>1108</v>
      </c>
      <c r="F358">
        <v>2</v>
      </c>
      <c r="G358" t="s">
        <v>908</v>
      </c>
      <c r="H358" t="s">
        <v>414</v>
      </c>
      <c r="I358">
        <v>1651866446.75</v>
      </c>
      <c r="J358">
        <f>(K358)/1000</f>
        <v>0</v>
      </c>
      <c r="K358">
        <f>IF(CZ358, AN358, AH358)</f>
        <v>0</v>
      </c>
      <c r="L358">
        <f>IF(CZ358, AI358, AG358)</f>
        <v>0</v>
      </c>
      <c r="M358">
        <f>DB358 - IF(AU358&gt;1, L358*CV358*100.0/(AW358*DP358), 0)</f>
        <v>0</v>
      </c>
      <c r="N358">
        <f>((T358-J358/2)*M358-L358)/(T358+J358/2)</f>
        <v>0</v>
      </c>
      <c r="O358">
        <f>N358*(DI358+DJ358)/1000.0</f>
        <v>0</v>
      </c>
      <c r="P358">
        <f>(DB358 - IF(AU358&gt;1, L358*CV358*100.0/(AW358*DP358), 0))*(DI358+DJ358)/1000.0</f>
        <v>0</v>
      </c>
      <c r="Q358">
        <f>2.0/((1/S358-1/R358)+SIGN(S358)*SQRT((1/S358-1/R358)*(1/S358-1/R358) + 4*CW358/((CW358+1)*(CW358+1))*(2*1/S358*1/R358-1/R358*1/R358)))</f>
        <v>0</v>
      </c>
      <c r="R358">
        <f>IF(LEFT(CX358,1)&lt;&gt;"0",IF(LEFT(CX358,1)="1",3.0,CY358),$D$5+$E$5*(DP358*DI358/($K$5*1000))+$F$5*(DP358*DI358/($K$5*1000))*MAX(MIN(CV358,$J$5),$I$5)*MAX(MIN(CV358,$J$5),$I$5)+$G$5*MAX(MIN(CV358,$J$5),$I$5)*(DP358*DI358/($K$5*1000))+$H$5*(DP358*DI358/($K$5*1000))*(DP358*DI358/($K$5*1000)))</f>
        <v>0</v>
      </c>
      <c r="S358">
        <f>J358*(1000-(1000*0.61365*exp(17.502*W358/(240.97+W358))/(DI358+DJ358)+DD358)/2)/(1000*0.61365*exp(17.502*W358/(240.97+W358))/(DI358+DJ358)-DD358)</f>
        <v>0</v>
      </c>
      <c r="T358">
        <f>1/((CW358+1)/(Q358/1.6)+1/(R358/1.37)) + CW358/((CW358+1)/(Q358/1.6) + CW358/(R358/1.37))</f>
        <v>0</v>
      </c>
      <c r="U358">
        <f>(CR358*CU358)</f>
        <v>0</v>
      </c>
      <c r="V358">
        <f>(DK358+(U358+2*0.95*5.67E-8*(((DK358+$B$7)+273)^4-(DK358+273)^4)-44100*J358)/(1.84*29.3*R358+8*0.95*5.67E-8*(DK358+273)^3))</f>
        <v>0</v>
      </c>
      <c r="W358">
        <f>($C$7*DL358+$D$7*DM358+$E$7*V358)</f>
        <v>0</v>
      </c>
      <c r="X358">
        <f>0.61365*exp(17.502*W358/(240.97+W358))</f>
        <v>0</v>
      </c>
      <c r="Y358">
        <f>(Z358/AA358*100)</f>
        <v>0</v>
      </c>
      <c r="Z358">
        <f>DD358*(DI358+DJ358)/1000</f>
        <v>0</v>
      </c>
      <c r="AA358">
        <f>0.61365*exp(17.502*DK358/(240.97+DK358))</f>
        <v>0</v>
      </c>
      <c r="AB358">
        <f>(X358-DD358*(DI358+DJ358)/1000)</f>
        <v>0</v>
      </c>
      <c r="AC358">
        <f>(-J358*44100)</f>
        <v>0</v>
      </c>
      <c r="AD358">
        <f>2*29.3*R358*0.92*(DK358-W358)</f>
        <v>0</v>
      </c>
      <c r="AE358">
        <f>2*0.95*5.67E-8*(((DK358+$B$7)+273)^4-(W358+273)^4)</f>
        <v>0</v>
      </c>
      <c r="AF358">
        <f>U358+AE358+AC358+AD358</f>
        <v>0</v>
      </c>
      <c r="AG358">
        <f>DH358*AU358*(DC358-DB358*(1000-AU358*DE358)/(1000-AU358*DD358))/(100*CV358)</f>
        <v>0</v>
      </c>
      <c r="AH358">
        <f>1000*DH358*AU358*(DD358-DE358)/(100*CV358*(1000-AU358*DD358))</f>
        <v>0</v>
      </c>
      <c r="AI358">
        <f>(AJ358 - AK358 - DI358*1E3/(8.314*(DK358+273.15)) * AM358/DH358 * AL358) * DH358/(100*CV358) * (1000 - DE358)/1000</f>
        <v>0</v>
      </c>
      <c r="AJ358">
        <v>642.3779103369905</v>
      </c>
      <c r="AK358">
        <v>592.352212121212</v>
      </c>
      <c r="AL358">
        <v>3.365167402144343</v>
      </c>
      <c r="AM358">
        <v>66.38195617057868</v>
      </c>
      <c r="AN358">
        <f>(AP358 - AO358 + DI358*1E3/(8.314*(DK358+273.15)) * AR358/DH358 * AQ358) * DH358/(100*CV358) * 1000/(1000 - AP358)</f>
        <v>0</v>
      </c>
      <c r="AO358">
        <v>9.161548154078847</v>
      </c>
      <c r="AP358">
        <v>18.72019147058823</v>
      </c>
      <c r="AQ358">
        <v>3.391875870392366E-06</v>
      </c>
      <c r="AR358">
        <v>80.47178418790507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MAX(0,($B$13+$C$13*DP358)/(1+$D$13*DP358)*DI358/(DK358+273)*$E$13)</f>
        <v>0</v>
      </c>
      <c r="AX358" t="s">
        <v>417</v>
      </c>
      <c r="AY358" t="s">
        <v>417</v>
      </c>
      <c r="AZ358">
        <v>0</v>
      </c>
      <c r="BA358">
        <v>0</v>
      </c>
      <c r="BB358">
        <f>1-AZ358/BA358</f>
        <v>0</v>
      </c>
      <c r="BC358">
        <v>0</v>
      </c>
      <c r="BD358" t="s">
        <v>417</v>
      </c>
      <c r="BE358" t="s">
        <v>417</v>
      </c>
      <c r="BF358">
        <v>0</v>
      </c>
      <c r="BG358">
        <v>0</v>
      </c>
      <c r="BH358">
        <f>1-BF358/BG358</f>
        <v>0</v>
      </c>
      <c r="BI358">
        <v>0.5</v>
      </c>
      <c r="BJ358">
        <f>CS358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417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BZ358">
        <v>1249</v>
      </c>
      <c r="CA358">
        <v>300</v>
      </c>
      <c r="CB358">
        <v>300</v>
      </c>
      <c r="CC358">
        <v>300</v>
      </c>
      <c r="CD358">
        <v>10442.4</v>
      </c>
      <c r="CE358">
        <v>1239.69</v>
      </c>
      <c r="CF358">
        <v>-0.00735276</v>
      </c>
      <c r="CG358">
        <v>0.07000000000000001</v>
      </c>
      <c r="CH358" t="s">
        <v>417</v>
      </c>
      <c r="CI358" t="s">
        <v>417</v>
      </c>
      <c r="CJ358" t="s">
        <v>417</v>
      </c>
      <c r="CK358" t="s">
        <v>417</v>
      </c>
      <c r="CL358" t="s">
        <v>417</v>
      </c>
      <c r="CM358" t="s">
        <v>417</v>
      </c>
      <c r="CN358" t="s">
        <v>417</v>
      </c>
      <c r="CO358" t="s">
        <v>417</v>
      </c>
      <c r="CP358" t="s">
        <v>417</v>
      </c>
      <c r="CQ358" t="s">
        <v>417</v>
      </c>
      <c r="CR358">
        <f>$B$11*DQ358+$C$11*DR358+$F$11*EC358*(1-EF358)</f>
        <v>0</v>
      </c>
      <c r="CS358">
        <f>CR358*CT358</f>
        <v>0</v>
      </c>
      <c r="CT358">
        <f>($B$11*$D$9+$C$11*$D$9+$F$11*((EP358+EH358)/MAX(EP358+EH358+EQ358, 0.1)*$I$9+EQ358/MAX(EP358+EH358+EQ358, 0.1)*$J$9))/($B$11+$C$11+$F$11)</f>
        <v>0</v>
      </c>
      <c r="CU358">
        <f>($B$11*$K$9+$C$11*$K$9+$F$11*((EP358+EH358)/MAX(EP358+EH358+EQ358, 0.1)*$P$9+EQ358/MAX(EP358+EH358+EQ358, 0.1)*$Q$9))/($B$11+$C$11+$F$11)</f>
        <v>0</v>
      </c>
      <c r="CV358">
        <v>6</v>
      </c>
      <c r="CW358">
        <v>0.5</v>
      </c>
      <c r="CX358" t="s">
        <v>418</v>
      </c>
      <c r="CY358">
        <v>2</v>
      </c>
      <c r="CZ358" t="b">
        <v>1</v>
      </c>
      <c r="DA358">
        <v>1651866446.75</v>
      </c>
      <c r="DB358">
        <v>578.7755</v>
      </c>
      <c r="DC358">
        <v>641.5475</v>
      </c>
      <c r="DD358">
        <v>18.724825</v>
      </c>
      <c r="DE358">
        <v>9.1432375</v>
      </c>
      <c r="DF358">
        <v>580.01825</v>
      </c>
      <c r="DG358">
        <v>18.6989</v>
      </c>
      <c r="DH358">
        <v>500.059</v>
      </c>
      <c r="DI358">
        <v>89.916275</v>
      </c>
      <c r="DJ358">
        <v>0.10001435</v>
      </c>
      <c r="DK358">
        <v>25.953025</v>
      </c>
      <c r="DL358">
        <v>24.9962</v>
      </c>
      <c r="DM358">
        <v>999.9</v>
      </c>
      <c r="DN358">
        <v>0</v>
      </c>
      <c r="DO358">
        <v>0</v>
      </c>
      <c r="DP358">
        <v>10010.625</v>
      </c>
      <c r="DQ358">
        <v>0</v>
      </c>
      <c r="DR358">
        <v>3.230175</v>
      </c>
      <c r="DS358">
        <v>-62.772</v>
      </c>
      <c r="DT358">
        <v>589.81975</v>
      </c>
      <c r="DU358">
        <v>647.4677499999999</v>
      </c>
      <c r="DV358">
        <v>9.581570000000001</v>
      </c>
      <c r="DW358">
        <v>641.5475</v>
      </c>
      <c r="DX358">
        <v>9.1432375</v>
      </c>
      <c r="DY358">
        <v>1.683665</v>
      </c>
      <c r="DZ358">
        <v>0.8221254999999998</v>
      </c>
      <c r="EA358">
        <v>14.746625</v>
      </c>
      <c r="EB358">
        <v>4.09518</v>
      </c>
      <c r="EC358">
        <v>1500.1075</v>
      </c>
      <c r="ED358">
        <v>0.9730055</v>
      </c>
      <c r="EE358">
        <v>0.02699465</v>
      </c>
      <c r="EF358">
        <v>0</v>
      </c>
      <c r="EG358">
        <v>907.8629999999999</v>
      </c>
      <c r="EH358">
        <v>5.00097</v>
      </c>
      <c r="EI358">
        <v>13540.85</v>
      </c>
      <c r="EJ358">
        <v>12492.5</v>
      </c>
      <c r="EK358">
        <v>38.562</v>
      </c>
      <c r="EL358">
        <v>39.75</v>
      </c>
      <c r="EM358">
        <v>38.95274999999999</v>
      </c>
      <c r="EN358">
        <v>39.562</v>
      </c>
      <c r="EO358">
        <v>39.375</v>
      </c>
      <c r="EP358">
        <v>1454.745</v>
      </c>
      <c r="EQ358">
        <v>40.3625</v>
      </c>
      <c r="ER358">
        <v>0</v>
      </c>
      <c r="ES358">
        <v>965.6000001430511</v>
      </c>
      <c r="ET358">
        <v>0</v>
      </c>
      <c r="EU358">
        <v>906.1705384615385</v>
      </c>
      <c r="EV358">
        <v>17.01613673284638</v>
      </c>
      <c r="EW358">
        <v>242.533333252742</v>
      </c>
      <c r="EX358">
        <v>13516.46538461539</v>
      </c>
      <c r="EY358">
        <v>15</v>
      </c>
      <c r="EZ358">
        <v>1651865518.1</v>
      </c>
      <c r="FA358" t="s">
        <v>910</v>
      </c>
      <c r="FB358">
        <v>1651865507.1</v>
      </c>
      <c r="FC358">
        <v>1651865518.1</v>
      </c>
      <c r="FD358">
        <v>8</v>
      </c>
      <c r="FE358">
        <v>0.06</v>
      </c>
      <c r="FF358">
        <v>0</v>
      </c>
      <c r="FG358">
        <v>-0.927</v>
      </c>
      <c r="FH358">
        <v>-0.062</v>
      </c>
      <c r="FI358">
        <v>400</v>
      </c>
      <c r="FJ358">
        <v>11</v>
      </c>
      <c r="FK358">
        <v>0.11</v>
      </c>
      <c r="FL358">
        <v>0.01</v>
      </c>
      <c r="FM358">
        <v>-61.997495</v>
      </c>
      <c r="FN358">
        <v>-5.129531707317082</v>
      </c>
      <c r="FO358">
        <v>0.4964818974293023</v>
      </c>
      <c r="FP358">
        <v>-1</v>
      </c>
      <c r="FQ358">
        <v>9.541251750000001</v>
      </c>
      <c r="FR358">
        <v>0.2232989493433278</v>
      </c>
      <c r="FS358">
        <v>0.02436862161546069</v>
      </c>
      <c r="FT358">
        <v>-1</v>
      </c>
      <c r="FU358">
        <v>0</v>
      </c>
      <c r="FV358">
        <v>0</v>
      </c>
      <c r="FW358">
        <v>0</v>
      </c>
      <c r="FX358">
        <v>-1</v>
      </c>
      <c r="FY358">
        <v>0</v>
      </c>
      <c r="FZ358">
        <v>0</v>
      </c>
      <c r="GA358" t="s">
        <v>420</v>
      </c>
      <c r="GB358">
        <v>2.98141</v>
      </c>
      <c r="GC358">
        <v>2.70631</v>
      </c>
      <c r="GD358">
        <v>0.119116</v>
      </c>
      <c r="GE358">
        <v>0.126411</v>
      </c>
      <c r="GF358">
        <v>0.08905589999999999</v>
      </c>
      <c r="GG358">
        <v>0.051744</v>
      </c>
      <c r="GH358">
        <v>27835.4</v>
      </c>
      <c r="GI358">
        <v>27664.2</v>
      </c>
      <c r="GJ358">
        <v>29377.1</v>
      </c>
      <c r="GK358">
        <v>29291.6</v>
      </c>
      <c r="GL358">
        <v>35433</v>
      </c>
      <c r="GM358">
        <v>37001.1</v>
      </c>
      <c r="GN358">
        <v>41348.9</v>
      </c>
      <c r="GO358">
        <v>41811</v>
      </c>
      <c r="GP358">
        <v>1.96728</v>
      </c>
      <c r="GQ358">
        <v>1.8545</v>
      </c>
      <c r="GR358">
        <v>-0.0064075</v>
      </c>
      <c r="GS358">
        <v>0</v>
      </c>
      <c r="GT358">
        <v>25.0995</v>
      </c>
      <c r="GU358">
        <v>999.9</v>
      </c>
      <c r="GV358">
        <v>29.6</v>
      </c>
      <c r="GW358">
        <v>34.2</v>
      </c>
      <c r="GX358">
        <v>17.7865</v>
      </c>
      <c r="GY358">
        <v>62.0776</v>
      </c>
      <c r="GZ358">
        <v>35.3886</v>
      </c>
      <c r="HA358">
        <v>1</v>
      </c>
      <c r="HB358">
        <v>0.0434756</v>
      </c>
      <c r="HC358">
        <v>1.50261</v>
      </c>
      <c r="HD358">
        <v>20.328</v>
      </c>
      <c r="HE358">
        <v>5.21804</v>
      </c>
      <c r="HF358">
        <v>12.0099</v>
      </c>
      <c r="HG358">
        <v>4.989</v>
      </c>
      <c r="HH358">
        <v>3.28865</v>
      </c>
      <c r="HI358">
        <v>1033.2</v>
      </c>
      <c r="HJ358">
        <v>9747.299999999999</v>
      </c>
      <c r="HK358">
        <v>5139.4</v>
      </c>
      <c r="HL358">
        <v>25.4</v>
      </c>
      <c r="HM358">
        <v>1.86746</v>
      </c>
      <c r="HN358">
        <v>1.86646</v>
      </c>
      <c r="HO358">
        <v>1.86599</v>
      </c>
      <c r="HP358">
        <v>1.86584</v>
      </c>
      <c r="HQ358">
        <v>1.86768</v>
      </c>
      <c r="HR358">
        <v>1.8702</v>
      </c>
      <c r="HS358">
        <v>1.8689</v>
      </c>
      <c r="HT358">
        <v>1.87025</v>
      </c>
      <c r="HU358">
        <v>0</v>
      </c>
      <c r="HV358">
        <v>0</v>
      </c>
      <c r="HW358">
        <v>0</v>
      </c>
      <c r="HX358">
        <v>0</v>
      </c>
      <c r="HY358" t="s">
        <v>421</v>
      </c>
      <c r="HZ358" t="s">
        <v>422</v>
      </c>
      <c r="IA358" t="s">
        <v>423</v>
      </c>
      <c r="IB358" t="s">
        <v>423</v>
      </c>
      <c r="IC358" t="s">
        <v>423</v>
      </c>
      <c r="ID358" t="s">
        <v>423</v>
      </c>
      <c r="IE358">
        <v>0</v>
      </c>
      <c r="IF358">
        <v>100</v>
      </c>
      <c r="IG358">
        <v>100</v>
      </c>
      <c r="IH358">
        <v>-1.249</v>
      </c>
      <c r="II358">
        <v>0.0259</v>
      </c>
      <c r="IJ358">
        <v>-0.1559367209035702</v>
      </c>
      <c r="IK358">
        <v>-0.002077099775823331</v>
      </c>
      <c r="IL358">
        <v>4.593143279902166E-07</v>
      </c>
      <c r="IM358">
        <v>-1.865383991892071E-10</v>
      </c>
      <c r="IN358">
        <v>-0.0607165066849496</v>
      </c>
      <c r="IO358">
        <v>-0.01129461987421345</v>
      </c>
      <c r="IP358">
        <v>0.00116580895745559</v>
      </c>
      <c r="IQ358">
        <v>-1.679085872906199E-05</v>
      </c>
      <c r="IR358">
        <v>2</v>
      </c>
      <c r="IS358">
        <v>2290</v>
      </c>
      <c r="IT358">
        <v>0</v>
      </c>
      <c r="IU358">
        <v>32</v>
      </c>
      <c r="IV358">
        <v>15.7</v>
      </c>
      <c r="IW358">
        <v>15.5</v>
      </c>
      <c r="IX358">
        <v>1.49048</v>
      </c>
      <c r="IY358">
        <v>2.19849</v>
      </c>
      <c r="IZ358">
        <v>1.39648</v>
      </c>
      <c r="JA358">
        <v>2.35474</v>
      </c>
      <c r="JB358">
        <v>1.49536</v>
      </c>
      <c r="JC358">
        <v>2.32788</v>
      </c>
      <c r="JD358">
        <v>38.0134</v>
      </c>
      <c r="JE358">
        <v>24.0437</v>
      </c>
      <c r="JF358">
        <v>18</v>
      </c>
      <c r="JG358">
        <v>512.5309999999999</v>
      </c>
      <c r="JH358">
        <v>426.203</v>
      </c>
      <c r="JI358">
        <v>23.1471</v>
      </c>
      <c r="JJ358">
        <v>27.8859</v>
      </c>
      <c r="JK358">
        <v>30.0001</v>
      </c>
      <c r="JL358">
        <v>27.9032</v>
      </c>
      <c r="JM358">
        <v>27.8464</v>
      </c>
      <c r="JN358">
        <v>29.8755</v>
      </c>
      <c r="JO358">
        <v>46.0558</v>
      </c>
      <c r="JP358">
        <v>0</v>
      </c>
      <c r="JQ358">
        <v>23.1468</v>
      </c>
      <c r="JR358">
        <v>665.8819999999999</v>
      </c>
      <c r="JS358">
        <v>9.12255</v>
      </c>
      <c r="JT358">
        <v>100.416</v>
      </c>
      <c r="JU358">
        <v>100.347</v>
      </c>
    </row>
    <row r="359" spans="1:281">
      <c r="A359">
        <v>343</v>
      </c>
      <c r="B359">
        <v>1651866450</v>
      </c>
      <c r="C359">
        <v>2229.400000095367</v>
      </c>
      <c r="D359" t="s">
        <v>1109</v>
      </c>
      <c r="E359" t="s">
        <v>1110</v>
      </c>
      <c r="F359">
        <v>2</v>
      </c>
      <c r="G359" t="s">
        <v>908</v>
      </c>
      <c r="H359" t="s">
        <v>414</v>
      </c>
      <c r="I359">
        <v>1651866449</v>
      </c>
      <c r="J359">
        <f>(K359)/1000</f>
        <v>0</v>
      </c>
      <c r="K359">
        <f>IF(CZ359, AN359, AH359)</f>
        <v>0</v>
      </c>
      <c r="L359">
        <f>IF(CZ359, AI359, AG359)</f>
        <v>0</v>
      </c>
      <c r="M359">
        <f>DB359 - IF(AU359&gt;1, L359*CV359*100.0/(AW359*DP359), 0)</f>
        <v>0</v>
      </c>
      <c r="N359">
        <f>((T359-J359/2)*M359-L359)/(T359+J359/2)</f>
        <v>0</v>
      </c>
      <c r="O359">
        <f>N359*(DI359+DJ359)/1000.0</f>
        <v>0</v>
      </c>
      <c r="P359">
        <f>(DB359 - IF(AU359&gt;1, L359*CV359*100.0/(AW359*DP359), 0))*(DI359+DJ359)/1000.0</f>
        <v>0</v>
      </c>
      <c r="Q359">
        <f>2.0/((1/S359-1/R359)+SIGN(S359)*SQRT((1/S359-1/R359)*(1/S359-1/R359) + 4*CW359/((CW359+1)*(CW359+1))*(2*1/S359*1/R359-1/R359*1/R359)))</f>
        <v>0</v>
      </c>
      <c r="R359">
        <f>IF(LEFT(CX359,1)&lt;&gt;"0",IF(LEFT(CX359,1)="1",3.0,CY359),$D$5+$E$5*(DP359*DI359/($K$5*1000))+$F$5*(DP359*DI359/($K$5*1000))*MAX(MIN(CV359,$J$5),$I$5)*MAX(MIN(CV359,$J$5),$I$5)+$G$5*MAX(MIN(CV359,$J$5),$I$5)*(DP359*DI359/($K$5*1000))+$H$5*(DP359*DI359/($K$5*1000))*(DP359*DI359/($K$5*1000)))</f>
        <v>0</v>
      </c>
      <c r="S359">
        <f>J359*(1000-(1000*0.61365*exp(17.502*W359/(240.97+W359))/(DI359+DJ359)+DD359)/2)/(1000*0.61365*exp(17.502*W359/(240.97+W359))/(DI359+DJ359)-DD359)</f>
        <v>0</v>
      </c>
      <c r="T359">
        <f>1/((CW359+1)/(Q359/1.6)+1/(R359/1.37)) + CW359/((CW359+1)/(Q359/1.6) + CW359/(R359/1.37))</f>
        <v>0</v>
      </c>
      <c r="U359">
        <f>(CR359*CU359)</f>
        <v>0</v>
      </c>
      <c r="V359">
        <f>(DK359+(U359+2*0.95*5.67E-8*(((DK359+$B$7)+273)^4-(DK359+273)^4)-44100*J359)/(1.84*29.3*R359+8*0.95*5.67E-8*(DK359+273)^3))</f>
        <v>0</v>
      </c>
      <c r="W359">
        <f>($C$7*DL359+$D$7*DM359+$E$7*V359)</f>
        <v>0</v>
      </c>
      <c r="X359">
        <f>0.61365*exp(17.502*W359/(240.97+W359))</f>
        <v>0</v>
      </c>
      <c r="Y359">
        <f>(Z359/AA359*100)</f>
        <v>0</v>
      </c>
      <c r="Z359">
        <f>DD359*(DI359+DJ359)/1000</f>
        <v>0</v>
      </c>
      <c r="AA359">
        <f>0.61365*exp(17.502*DK359/(240.97+DK359))</f>
        <v>0</v>
      </c>
      <c r="AB359">
        <f>(X359-DD359*(DI359+DJ359)/1000)</f>
        <v>0</v>
      </c>
      <c r="AC359">
        <f>(-J359*44100)</f>
        <v>0</v>
      </c>
      <c r="AD359">
        <f>2*29.3*R359*0.92*(DK359-W359)</f>
        <v>0</v>
      </c>
      <c r="AE359">
        <f>2*0.95*5.67E-8*(((DK359+$B$7)+273)^4-(W359+273)^4)</f>
        <v>0</v>
      </c>
      <c r="AF359">
        <f>U359+AE359+AC359+AD359</f>
        <v>0</v>
      </c>
      <c r="AG359">
        <f>DH359*AU359*(DC359-DB359*(1000-AU359*DE359)/(1000-AU359*DD359))/(100*CV359)</f>
        <v>0</v>
      </c>
      <c r="AH359">
        <f>1000*DH359*AU359*(DD359-DE359)/(100*CV359*(1000-AU359*DD359))</f>
        <v>0</v>
      </c>
      <c r="AI359">
        <f>(AJ359 - AK359 - DI359*1E3/(8.314*(DK359+273.15)) * AM359/DH359 * AL359) * DH359/(100*CV359) * (1000 - DE359)/1000</f>
        <v>0</v>
      </c>
      <c r="AJ359">
        <v>649.0865858723275</v>
      </c>
      <c r="AK359">
        <v>599.0758121212119</v>
      </c>
      <c r="AL359">
        <v>3.367362433546758</v>
      </c>
      <c r="AM359">
        <v>66.38195617057868</v>
      </c>
      <c r="AN359">
        <f>(AP359 - AO359 + DI359*1E3/(8.314*(DK359+273.15)) * AR359/DH359 * AQ359) * DH359/(100*CV359) * 1000/(1000 - AP359)</f>
        <v>0</v>
      </c>
      <c r="AO359">
        <v>9.145909170036697</v>
      </c>
      <c r="AP359">
        <v>18.72155911764704</v>
      </c>
      <c r="AQ359">
        <v>-0.006002197115616573</v>
      </c>
      <c r="AR359">
        <v>80.47178418790507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MAX(0,($B$13+$C$13*DP359)/(1+$D$13*DP359)*DI359/(DK359+273)*$E$13)</f>
        <v>0</v>
      </c>
      <c r="AX359" t="s">
        <v>417</v>
      </c>
      <c r="AY359" t="s">
        <v>417</v>
      </c>
      <c r="AZ359">
        <v>0</v>
      </c>
      <c r="BA359">
        <v>0</v>
      </c>
      <c r="BB359">
        <f>1-AZ359/BA359</f>
        <v>0</v>
      </c>
      <c r="BC359">
        <v>0</v>
      </c>
      <c r="BD359" t="s">
        <v>417</v>
      </c>
      <c r="BE359" t="s">
        <v>417</v>
      </c>
      <c r="BF359">
        <v>0</v>
      </c>
      <c r="BG359">
        <v>0</v>
      </c>
      <c r="BH359">
        <f>1-BF359/BG359</f>
        <v>0</v>
      </c>
      <c r="BI359">
        <v>0.5</v>
      </c>
      <c r="BJ359">
        <f>CS359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417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BZ359">
        <v>1249</v>
      </c>
      <c r="CA359">
        <v>300</v>
      </c>
      <c r="CB359">
        <v>300</v>
      </c>
      <c r="CC359">
        <v>300</v>
      </c>
      <c r="CD359">
        <v>10442.4</v>
      </c>
      <c r="CE359">
        <v>1239.69</v>
      </c>
      <c r="CF359">
        <v>-0.00735276</v>
      </c>
      <c r="CG359">
        <v>0.07000000000000001</v>
      </c>
      <c r="CH359" t="s">
        <v>417</v>
      </c>
      <c r="CI359" t="s">
        <v>417</v>
      </c>
      <c r="CJ359" t="s">
        <v>417</v>
      </c>
      <c r="CK359" t="s">
        <v>417</v>
      </c>
      <c r="CL359" t="s">
        <v>417</v>
      </c>
      <c r="CM359" t="s">
        <v>417</v>
      </c>
      <c r="CN359" t="s">
        <v>417</v>
      </c>
      <c r="CO359" t="s">
        <v>417</v>
      </c>
      <c r="CP359" t="s">
        <v>417</v>
      </c>
      <c r="CQ359" t="s">
        <v>417</v>
      </c>
      <c r="CR359">
        <f>$B$11*DQ359+$C$11*DR359+$F$11*EC359*(1-EF359)</f>
        <v>0</v>
      </c>
      <c r="CS359">
        <f>CR359*CT359</f>
        <v>0</v>
      </c>
      <c r="CT359">
        <f>($B$11*$D$9+$C$11*$D$9+$F$11*((EP359+EH359)/MAX(EP359+EH359+EQ359, 0.1)*$I$9+EQ359/MAX(EP359+EH359+EQ359, 0.1)*$J$9))/($B$11+$C$11+$F$11)</f>
        <v>0</v>
      </c>
      <c r="CU359">
        <f>($B$11*$K$9+$C$11*$K$9+$F$11*((EP359+EH359)/MAX(EP359+EH359+EQ359, 0.1)*$P$9+EQ359/MAX(EP359+EH359+EQ359, 0.1)*$Q$9))/($B$11+$C$11+$F$11)</f>
        <v>0</v>
      </c>
      <c r="CV359">
        <v>6</v>
      </c>
      <c r="CW359">
        <v>0.5</v>
      </c>
      <c r="CX359" t="s">
        <v>418</v>
      </c>
      <c r="CY359">
        <v>2</v>
      </c>
      <c r="CZ359" t="b">
        <v>1</v>
      </c>
      <c r="DA359">
        <v>1651866449</v>
      </c>
      <c r="DB359">
        <v>586.2116666666667</v>
      </c>
      <c r="DC359">
        <v>648.933</v>
      </c>
      <c r="DD359">
        <v>18.72263333333333</v>
      </c>
      <c r="DE359">
        <v>9.140690000000001</v>
      </c>
      <c r="DF359">
        <v>587.467</v>
      </c>
      <c r="DG359">
        <v>18.69676666666667</v>
      </c>
      <c r="DH359">
        <v>500.0173333333333</v>
      </c>
      <c r="DI359">
        <v>89.9153</v>
      </c>
      <c r="DJ359">
        <v>0.1001029</v>
      </c>
      <c r="DK359">
        <v>25.95016666666666</v>
      </c>
      <c r="DL359">
        <v>24.99696666666667</v>
      </c>
      <c r="DM359">
        <v>999.9</v>
      </c>
      <c r="DN359">
        <v>0</v>
      </c>
      <c r="DO359">
        <v>0</v>
      </c>
      <c r="DP359">
        <v>9997.5</v>
      </c>
      <c r="DQ359">
        <v>0</v>
      </c>
      <c r="DR359">
        <v>3.216476666666667</v>
      </c>
      <c r="DS359">
        <v>-62.72156666666666</v>
      </c>
      <c r="DT359">
        <v>597.3963333333332</v>
      </c>
      <c r="DU359">
        <v>654.9196666666667</v>
      </c>
      <c r="DV359">
        <v>9.581940000000001</v>
      </c>
      <c r="DW359">
        <v>648.933</v>
      </c>
      <c r="DX359">
        <v>9.140690000000001</v>
      </c>
      <c r="DY359">
        <v>1.68345</v>
      </c>
      <c r="DZ359">
        <v>0.8218876666666667</v>
      </c>
      <c r="EA359">
        <v>14.74466666666667</v>
      </c>
      <c r="EB359">
        <v>4.091056666666667</v>
      </c>
      <c r="EC359">
        <v>1499.99</v>
      </c>
      <c r="ED359">
        <v>0.9730046666666666</v>
      </c>
      <c r="EE359">
        <v>0.02699553333333333</v>
      </c>
      <c r="EF359">
        <v>0</v>
      </c>
      <c r="EG359">
        <v>908.5023333333334</v>
      </c>
      <c r="EH359">
        <v>5.00097</v>
      </c>
      <c r="EI359">
        <v>13547.33333333333</v>
      </c>
      <c r="EJ359">
        <v>12491.56666666667</v>
      </c>
      <c r="EK359">
        <v>38.562</v>
      </c>
      <c r="EL359">
        <v>39.75</v>
      </c>
      <c r="EM359">
        <v>38.937</v>
      </c>
      <c r="EN359">
        <v>39.54133333333333</v>
      </c>
      <c r="EO359">
        <v>39.375</v>
      </c>
      <c r="EP359">
        <v>1454.63</v>
      </c>
      <c r="EQ359">
        <v>40.36</v>
      </c>
      <c r="ER359">
        <v>0</v>
      </c>
      <c r="ES359">
        <v>967.4000000953674</v>
      </c>
      <c r="ET359">
        <v>0</v>
      </c>
      <c r="EU359">
        <v>906.7747999999998</v>
      </c>
      <c r="EV359">
        <v>16.34484612850033</v>
      </c>
      <c r="EW359">
        <v>230.2076921554907</v>
      </c>
      <c r="EX359">
        <v>13524.772</v>
      </c>
      <c r="EY359">
        <v>15</v>
      </c>
      <c r="EZ359">
        <v>1651865518.1</v>
      </c>
      <c r="FA359" t="s">
        <v>910</v>
      </c>
      <c r="FB359">
        <v>1651865507.1</v>
      </c>
      <c r="FC359">
        <v>1651865518.1</v>
      </c>
      <c r="FD359">
        <v>8</v>
      </c>
      <c r="FE359">
        <v>0.06</v>
      </c>
      <c r="FF359">
        <v>0</v>
      </c>
      <c r="FG359">
        <v>-0.927</v>
      </c>
      <c r="FH359">
        <v>-0.062</v>
      </c>
      <c r="FI359">
        <v>400</v>
      </c>
      <c r="FJ359">
        <v>11</v>
      </c>
      <c r="FK359">
        <v>0.11</v>
      </c>
      <c r="FL359">
        <v>0.01</v>
      </c>
      <c r="FM359">
        <v>-62.1687463414634</v>
      </c>
      <c r="FN359">
        <v>-4.63062439024401</v>
      </c>
      <c r="FO359">
        <v>0.4638585597595728</v>
      </c>
      <c r="FP359">
        <v>-1</v>
      </c>
      <c r="FQ359">
        <v>9.548280731707317</v>
      </c>
      <c r="FR359">
        <v>0.2420349825783909</v>
      </c>
      <c r="FS359">
        <v>0.02608735637965712</v>
      </c>
      <c r="FT359">
        <v>-1</v>
      </c>
      <c r="FU359">
        <v>0</v>
      </c>
      <c r="FV359">
        <v>0</v>
      </c>
      <c r="FW359">
        <v>0</v>
      </c>
      <c r="FX359">
        <v>-1</v>
      </c>
      <c r="FY359">
        <v>0</v>
      </c>
      <c r="FZ359">
        <v>0</v>
      </c>
      <c r="GA359" t="s">
        <v>420</v>
      </c>
      <c r="GB359">
        <v>2.98145</v>
      </c>
      <c r="GC359">
        <v>2.70616</v>
      </c>
      <c r="GD359">
        <v>0.120066</v>
      </c>
      <c r="GE359">
        <v>0.127282</v>
      </c>
      <c r="GF359">
        <v>0.0890556</v>
      </c>
      <c r="GG359">
        <v>0.0517338</v>
      </c>
      <c r="GH359">
        <v>27805.3</v>
      </c>
      <c r="GI359">
        <v>27636.7</v>
      </c>
      <c r="GJ359">
        <v>29377</v>
      </c>
      <c r="GK359">
        <v>29291.7</v>
      </c>
      <c r="GL359">
        <v>35432.6</v>
      </c>
      <c r="GM359">
        <v>37001.5</v>
      </c>
      <c r="GN359">
        <v>41348.3</v>
      </c>
      <c r="GO359">
        <v>41810.9</v>
      </c>
      <c r="GP359">
        <v>1.9673</v>
      </c>
      <c r="GQ359">
        <v>1.85467</v>
      </c>
      <c r="GR359">
        <v>-0.00622123</v>
      </c>
      <c r="GS359">
        <v>0</v>
      </c>
      <c r="GT359">
        <v>25.0995</v>
      </c>
      <c r="GU359">
        <v>999.9</v>
      </c>
      <c r="GV359">
        <v>29.6</v>
      </c>
      <c r="GW359">
        <v>34.2</v>
      </c>
      <c r="GX359">
        <v>17.7862</v>
      </c>
      <c r="GY359">
        <v>62.5076</v>
      </c>
      <c r="GZ359">
        <v>35.5689</v>
      </c>
      <c r="HA359">
        <v>1</v>
      </c>
      <c r="HB359">
        <v>0.0435366</v>
      </c>
      <c r="HC359">
        <v>1.50115</v>
      </c>
      <c r="HD359">
        <v>20.328</v>
      </c>
      <c r="HE359">
        <v>5.21774</v>
      </c>
      <c r="HF359">
        <v>12.0099</v>
      </c>
      <c r="HG359">
        <v>4.98855</v>
      </c>
      <c r="HH359">
        <v>3.28858</v>
      </c>
      <c r="HI359">
        <v>1033.2</v>
      </c>
      <c r="HJ359">
        <v>9747.299999999999</v>
      </c>
      <c r="HK359">
        <v>5139.4</v>
      </c>
      <c r="HL359">
        <v>25.4</v>
      </c>
      <c r="HM359">
        <v>1.86744</v>
      </c>
      <c r="HN359">
        <v>1.86646</v>
      </c>
      <c r="HO359">
        <v>1.866</v>
      </c>
      <c r="HP359">
        <v>1.86584</v>
      </c>
      <c r="HQ359">
        <v>1.86768</v>
      </c>
      <c r="HR359">
        <v>1.87022</v>
      </c>
      <c r="HS359">
        <v>1.8689</v>
      </c>
      <c r="HT359">
        <v>1.87022</v>
      </c>
      <c r="HU359">
        <v>0</v>
      </c>
      <c r="HV359">
        <v>0</v>
      </c>
      <c r="HW359">
        <v>0</v>
      </c>
      <c r="HX359">
        <v>0</v>
      </c>
      <c r="HY359" t="s">
        <v>421</v>
      </c>
      <c r="HZ359" t="s">
        <v>422</v>
      </c>
      <c r="IA359" t="s">
        <v>423</v>
      </c>
      <c r="IB359" t="s">
        <v>423</v>
      </c>
      <c r="IC359" t="s">
        <v>423</v>
      </c>
      <c r="ID359" t="s">
        <v>423</v>
      </c>
      <c r="IE359">
        <v>0</v>
      </c>
      <c r="IF359">
        <v>100</v>
      </c>
      <c r="IG359">
        <v>100</v>
      </c>
      <c r="IH359">
        <v>-1.262</v>
      </c>
      <c r="II359">
        <v>0.0259</v>
      </c>
      <c r="IJ359">
        <v>-0.1559367209035702</v>
      </c>
      <c r="IK359">
        <v>-0.002077099775823331</v>
      </c>
      <c r="IL359">
        <v>4.593143279902166E-07</v>
      </c>
      <c r="IM359">
        <v>-1.865383991892071E-10</v>
      </c>
      <c r="IN359">
        <v>-0.0607165066849496</v>
      </c>
      <c r="IO359">
        <v>-0.01129461987421345</v>
      </c>
      <c r="IP359">
        <v>0.00116580895745559</v>
      </c>
      <c r="IQ359">
        <v>-1.679085872906199E-05</v>
      </c>
      <c r="IR359">
        <v>2</v>
      </c>
      <c r="IS359">
        <v>2290</v>
      </c>
      <c r="IT359">
        <v>0</v>
      </c>
      <c r="IU359">
        <v>32</v>
      </c>
      <c r="IV359">
        <v>15.7</v>
      </c>
      <c r="IW359">
        <v>15.5</v>
      </c>
      <c r="IX359">
        <v>1.50146</v>
      </c>
      <c r="IY359">
        <v>2.19849</v>
      </c>
      <c r="IZ359">
        <v>1.39648</v>
      </c>
      <c r="JA359">
        <v>2.35474</v>
      </c>
      <c r="JB359">
        <v>1.49536</v>
      </c>
      <c r="JC359">
        <v>2.36816</v>
      </c>
      <c r="JD359">
        <v>38.0134</v>
      </c>
      <c r="JE359">
        <v>24.0437</v>
      </c>
      <c r="JF359">
        <v>18</v>
      </c>
      <c r="JG359">
        <v>512.537</v>
      </c>
      <c r="JH359">
        <v>426.303</v>
      </c>
      <c r="JI359">
        <v>23.1466</v>
      </c>
      <c r="JJ359">
        <v>27.8847</v>
      </c>
      <c r="JK359">
        <v>30.0001</v>
      </c>
      <c r="JL359">
        <v>27.902</v>
      </c>
      <c r="JM359">
        <v>27.8458</v>
      </c>
      <c r="JN359">
        <v>30.1015</v>
      </c>
      <c r="JO359">
        <v>46.0558</v>
      </c>
      <c r="JP359">
        <v>0</v>
      </c>
      <c r="JQ359">
        <v>23.1487</v>
      </c>
      <c r="JR359">
        <v>672.5599999999999</v>
      </c>
      <c r="JS359">
        <v>9.122019999999999</v>
      </c>
      <c r="JT359">
        <v>100.415</v>
      </c>
      <c r="JU359">
        <v>100.347</v>
      </c>
    </row>
    <row r="360" spans="1:281">
      <c r="A360">
        <v>344</v>
      </c>
      <c r="B360">
        <v>1651866451.5</v>
      </c>
      <c r="C360">
        <v>2230.900000095367</v>
      </c>
      <c r="D360" t="s">
        <v>1111</v>
      </c>
      <c r="E360" t="s">
        <v>1112</v>
      </c>
      <c r="F360">
        <v>2</v>
      </c>
      <c r="G360" t="s">
        <v>908</v>
      </c>
      <c r="H360" t="s">
        <v>414</v>
      </c>
      <c r="I360">
        <v>1651866450.333333</v>
      </c>
      <c r="J360">
        <f>(K360)/1000</f>
        <v>0</v>
      </c>
      <c r="K360">
        <f>IF(CZ360, AN360, AH360)</f>
        <v>0</v>
      </c>
      <c r="L360">
        <f>IF(CZ360, AI360, AG360)</f>
        <v>0</v>
      </c>
      <c r="M360">
        <f>DB360 - IF(AU360&gt;1, L360*CV360*100.0/(AW360*DP360), 0)</f>
        <v>0</v>
      </c>
      <c r="N360">
        <f>((T360-J360/2)*M360-L360)/(T360+J360/2)</f>
        <v>0</v>
      </c>
      <c r="O360">
        <f>N360*(DI360+DJ360)/1000.0</f>
        <v>0</v>
      </c>
      <c r="P360">
        <f>(DB360 - IF(AU360&gt;1, L360*CV360*100.0/(AW360*DP360), 0))*(DI360+DJ360)/1000.0</f>
        <v>0</v>
      </c>
      <c r="Q360">
        <f>2.0/((1/S360-1/R360)+SIGN(S360)*SQRT((1/S360-1/R360)*(1/S360-1/R360) + 4*CW360/((CW360+1)*(CW360+1))*(2*1/S360*1/R360-1/R360*1/R360)))</f>
        <v>0</v>
      </c>
      <c r="R360">
        <f>IF(LEFT(CX360,1)&lt;&gt;"0",IF(LEFT(CX360,1)="1",3.0,CY360),$D$5+$E$5*(DP360*DI360/($K$5*1000))+$F$5*(DP360*DI360/($K$5*1000))*MAX(MIN(CV360,$J$5),$I$5)*MAX(MIN(CV360,$J$5),$I$5)+$G$5*MAX(MIN(CV360,$J$5),$I$5)*(DP360*DI360/($K$5*1000))+$H$5*(DP360*DI360/($K$5*1000))*(DP360*DI360/($K$5*1000)))</f>
        <v>0</v>
      </c>
      <c r="S360">
        <f>J360*(1000-(1000*0.61365*exp(17.502*W360/(240.97+W360))/(DI360+DJ360)+DD360)/2)/(1000*0.61365*exp(17.502*W360/(240.97+W360))/(DI360+DJ360)-DD360)</f>
        <v>0</v>
      </c>
      <c r="T360">
        <f>1/((CW360+1)/(Q360/1.6)+1/(R360/1.37)) + CW360/((CW360+1)/(Q360/1.6) + CW360/(R360/1.37))</f>
        <v>0</v>
      </c>
      <c r="U360">
        <f>(CR360*CU360)</f>
        <v>0</v>
      </c>
      <c r="V360">
        <f>(DK360+(U360+2*0.95*5.67E-8*(((DK360+$B$7)+273)^4-(DK360+273)^4)-44100*J360)/(1.84*29.3*R360+8*0.95*5.67E-8*(DK360+273)^3))</f>
        <v>0</v>
      </c>
      <c r="W360">
        <f>($C$7*DL360+$D$7*DM360+$E$7*V360)</f>
        <v>0</v>
      </c>
      <c r="X360">
        <f>0.61365*exp(17.502*W360/(240.97+W360))</f>
        <v>0</v>
      </c>
      <c r="Y360">
        <f>(Z360/AA360*100)</f>
        <v>0</v>
      </c>
      <c r="Z360">
        <f>DD360*(DI360+DJ360)/1000</f>
        <v>0</v>
      </c>
      <c r="AA360">
        <f>0.61365*exp(17.502*DK360/(240.97+DK360))</f>
        <v>0</v>
      </c>
      <c r="AB360">
        <f>(X360-DD360*(DI360+DJ360)/1000)</f>
        <v>0</v>
      </c>
      <c r="AC360">
        <f>(-J360*44100)</f>
        <v>0</v>
      </c>
      <c r="AD360">
        <f>2*29.3*R360*0.92*(DK360-W360)</f>
        <v>0</v>
      </c>
      <c r="AE360">
        <f>2*0.95*5.67E-8*(((DK360+$B$7)+273)^4-(W360+273)^4)</f>
        <v>0</v>
      </c>
      <c r="AF360">
        <f>U360+AE360+AC360+AD360</f>
        <v>0</v>
      </c>
      <c r="AG360">
        <f>DH360*AU360*(DC360-DB360*(1000-AU360*DE360)/(1000-AU360*DD360))/(100*CV360)</f>
        <v>0</v>
      </c>
      <c r="AH360">
        <f>1000*DH360*AU360*(DD360-DE360)/(100*CV360*(1000-AU360*DD360))</f>
        <v>0</v>
      </c>
      <c r="AI360">
        <f>(AJ360 - AK360 - DI360*1E3/(8.314*(DK360+273.15)) * AM360/DH360 * AL360) * DH360/(100*CV360) * (1000 - DE360)/1000</f>
        <v>0</v>
      </c>
      <c r="AJ360">
        <v>654.0338180078377</v>
      </c>
      <c r="AK360">
        <v>604.1035696969697</v>
      </c>
      <c r="AL360">
        <v>3.358223481147732</v>
      </c>
      <c r="AM360">
        <v>66.38195617057868</v>
      </c>
      <c r="AN360">
        <f>(AP360 - AO360 + DI360*1E3/(8.314*(DK360+273.15)) * AR360/DH360 * AQ360) * DH360/(100*CV360) * 1000/(1000 - AP360)</f>
        <v>0</v>
      </c>
      <c r="AO360">
        <v>9.142931004467542</v>
      </c>
      <c r="AP360">
        <v>18.72354</v>
      </c>
      <c r="AQ360">
        <v>-0.005836496473219116</v>
      </c>
      <c r="AR360">
        <v>80.47178418790507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MAX(0,($B$13+$C$13*DP360)/(1+$D$13*DP360)*DI360/(DK360+273)*$E$13)</f>
        <v>0</v>
      </c>
      <c r="AX360" t="s">
        <v>417</v>
      </c>
      <c r="AY360" t="s">
        <v>417</v>
      </c>
      <c r="AZ360">
        <v>0</v>
      </c>
      <c r="BA360">
        <v>0</v>
      </c>
      <c r="BB360">
        <f>1-AZ360/BA360</f>
        <v>0</v>
      </c>
      <c r="BC360">
        <v>0</v>
      </c>
      <c r="BD360" t="s">
        <v>417</v>
      </c>
      <c r="BE360" t="s">
        <v>417</v>
      </c>
      <c r="BF360">
        <v>0</v>
      </c>
      <c r="BG360">
        <v>0</v>
      </c>
      <c r="BH360">
        <f>1-BF360/BG360</f>
        <v>0</v>
      </c>
      <c r="BI360">
        <v>0.5</v>
      </c>
      <c r="BJ360">
        <f>CS360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417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BZ360">
        <v>1249</v>
      </c>
      <c r="CA360">
        <v>300</v>
      </c>
      <c r="CB360">
        <v>300</v>
      </c>
      <c r="CC360">
        <v>300</v>
      </c>
      <c r="CD360">
        <v>10442.4</v>
      </c>
      <c r="CE360">
        <v>1239.69</v>
      </c>
      <c r="CF360">
        <v>-0.00735276</v>
      </c>
      <c r="CG360">
        <v>0.07000000000000001</v>
      </c>
      <c r="CH360" t="s">
        <v>417</v>
      </c>
      <c r="CI360" t="s">
        <v>417</v>
      </c>
      <c r="CJ360" t="s">
        <v>417</v>
      </c>
      <c r="CK360" t="s">
        <v>417</v>
      </c>
      <c r="CL360" t="s">
        <v>417</v>
      </c>
      <c r="CM360" t="s">
        <v>417</v>
      </c>
      <c r="CN360" t="s">
        <v>417</v>
      </c>
      <c r="CO360" t="s">
        <v>417</v>
      </c>
      <c r="CP360" t="s">
        <v>417</v>
      </c>
      <c r="CQ360" t="s">
        <v>417</v>
      </c>
      <c r="CR360">
        <f>$B$11*DQ360+$C$11*DR360+$F$11*EC360*(1-EF360)</f>
        <v>0</v>
      </c>
      <c r="CS360">
        <f>CR360*CT360</f>
        <v>0</v>
      </c>
      <c r="CT360">
        <f>($B$11*$D$9+$C$11*$D$9+$F$11*((EP360+EH360)/MAX(EP360+EH360+EQ360, 0.1)*$I$9+EQ360/MAX(EP360+EH360+EQ360, 0.1)*$J$9))/($B$11+$C$11+$F$11)</f>
        <v>0</v>
      </c>
      <c r="CU360">
        <f>($B$11*$K$9+$C$11*$K$9+$F$11*((EP360+EH360)/MAX(EP360+EH360+EQ360, 0.1)*$P$9+EQ360/MAX(EP360+EH360+EQ360, 0.1)*$Q$9))/($B$11+$C$11+$F$11)</f>
        <v>0</v>
      </c>
      <c r="CV360">
        <v>6</v>
      </c>
      <c r="CW360">
        <v>0.5</v>
      </c>
      <c r="CX360" t="s">
        <v>418</v>
      </c>
      <c r="CY360">
        <v>2</v>
      </c>
      <c r="CZ360" t="b">
        <v>1</v>
      </c>
      <c r="DA360">
        <v>1651866450.333333</v>
      </c>
      <c r="DB360">
        <v>590.5983333333332</v>
      </c>
      <c r="DC360">
        <v>653.24</v>
      </c>
      <c r="DD360">
        <v>18.72243333333333</v>
      </c>
      <c r="DE360">
        <v>9.139479999999999</v>
      </c>
      <c r="DF360">
        <v>591.8613333333333</v>
      </c>
      <c r="DG360">
        <v>18.69656666666667</v>
      </c>
      <c r="DH360">
        <v>499.9856666666666</v>
      </c>
      <c r="DI360">
        <v>89.91426666666666</v>
      </c>
      <c r="DJ360">
        <v>0.0998381</v>
      </c>
      <c r="DK360">
        <v>25.9497</v>
      </c>
      <c r="DL360">
        <v>25.00053333333333</v>
      </c>
      <c r="DM360">
        <v>999.9</v>
      </c>
      <c r="DN360">
        <v>0</v>
      </c>
      <c r="DO360">
        <v>0</v>
      </c>
      <c r="DP360">
        <v>10011.23333333333</v>
      </c>
      <c r="DQ360">
        <v>0</v>
      </c>
      <c r="DR360">
        <v>3.20711</v>
      </c>
      <c r="DS360">
        <v>-62.64153333333334</v>
      </c>
      <c r="DT360">
        <v>601.8666666666667</v>
      </c>
      <c r="DU360">
        <v>659.2653333333333</v>
      </c>
      <c r="DV360">
        <v>9.582966666666668</v>
      </c>
      <c r="DW360">
        <v>653.24</v>
      </c>
      <c r="DX360">
        <v>9.139479999999999</v>
      </c>
      <c r="DY360">
        <v>1.683413333333333</v>
      </c>
      <c r="DZ360">
        <v>0.8217693333333335</v>
      </c>
      <c r="EA360">
        <v>14.7443</v>
      </c>
      <c r="EB360">
        <v>4.089006666666667</v>
      </c>
      <c r="EC360">
        <v>1500.003333333333</v>
      </c>
      <c r="ED360">
        <v>0.9730046666666666</v>
      </c>
      <c r="EE360">
        <v>0.02699553333333333</v>
      </c>
      <c r="EF360">
        <v>0</v>
      </c>
      <c r="EG360">
        <v>908.6080000000001</v>
      </c>
      <c r="EH360">
        <v>5.00097</v>
      </c>
      <c r="EI360">
        <v>13552.3</v>
      </c>
      <c r="EJ360">
        <v>12491.66666666667</v>
      </c>
      <c r="EK360">
        <v>38.562</v>
      </c>
      <c r="EL360">
        <v>39.75</v>
      </c>
      <c r="EM360">
        <v>38.937</v>
      </c>
      <c r="EN360">
        <v>39.5</v>
      </c>
      <c r="EO360">
        <v>39.375</v>
      </c>
      <c r="EP360">
        <v>1454.643333333333</v>
      </c>
      <c r="EQ360">
        <v>40.36</v>
      </c>
      <c r="ER360">
        <v>0</v>
      </c>
      <c r="ES360">
        <v>969.2000000476837</v>
      </c>
      <c r="ET360">
        <v>0</v>
      </c>
      <c r="EU360">
        <v>907.1622307692307</v>
      </c>
      <c r="EV360">
        <v>15.36164098943361</v>
      </c>
      <c r="EW360">
        <v>224.6222218010473</v>
      </c>
      <c r="EX360">
        <v>13530.39230769231</v>
      </c>
      <c r="EY360">
        <v>15</v>
      </c>
      <c r="EZ360">
        <v>1651865518.1</v>
      </c>
      <c r="FA360" t="s">
        <v>910</v>
      </c>
      <c r="FB360">
        <v>1651865507.1</v>
      </c>
      <c r="FC360">
        <v>1651865518.1</v>
      </c>
      <c r="FD360">
        <v>8</v>
      </c>
      <c r="FE360">
        <v>0.06</v>
      </c>
      <c r="FF360">
        <v>0</v>
      </c>
      <c r="FG360">
        <v>-0.927</v>
      </c>
      <c r="FH360">
        <v>-0.062</v>
      </c>
      <c r="FI360">
        <v>400</v>
      </c>
      <c r="FJ360">
        <v>11</v>
      </c>
      <c r="FK360">
        <v>0.11</v>
      </c>
      <c r="FL360">
        <v>0.01</v>
      </c>
      <c r="FM360">
        <v>-62.276215</v>
      </c>
      <c r="FN360">
        <v>-4.127529455909926</v>
      </c>
      <c r="FO360">
        <v>0.4150989825029692</v>
      </c>
      <c r="FP360">
        <v>-1</v>
      </c>
      <c r="FQ360">
        <v>9.553318000000001</v>
      </c>
      <c r="FR360">
        <v>0.2565539212007464</v>
      </c>
      <c r="FS360">
        <v>0.02656299269660699</v>
      </c>
      <c r="FT360">
        <v>-1</v>
      </c>
      <c r="FU360">
        <v>0</v>
      </c>
      <c r="FV360">
        <v>0</v>
      </c>
      <c r="FW360">
        <v>0</v>
      </c>
      <c r="FX360">
        <v>-1</v>
      </c>
      <c r="FY360">
        <v>0</v>
      </c>
      <c r="FZ360">
        <v>0</v>
      </c>
      <c r="GA360" t="s">
        <v>420</v>
      </c>
      <c r="GB360">
        <v>2.98149</v>
      </c>
      <c r="GC360">
        <v>2.70609</v>
      </c>
      <c r="GD360">
        <v>0.120776</v>
      </c>
      <c r="GE360">
        <v>0.127932</v>
      </c>
      <c r="GF360">
        <v>0.0890432</v>
      </c>
      <c r="GG360">
        <v>0.0517304</v>
      </c>
      <c r="GH360">
        <v>27783.1</v>
      </c>
      <c r="GI360">
        <v>27616.3</v>
      </c>
      <c r="GJ360">
        <v>29377.3</v>
      </c>
      <c r="GK360">
        <v>29291.8</v>
      </c>
      <c r="GL360">
        <v>35433.2</v>
      </c>
      <c r="GM360">
        <v>37001.9</v>
      </c>
      <c r="GN360">
        <v>41348.5</v>
      </c>
      <c r="GO360">
        <v>41811.3</v>
      </c>
      <c r="GP360">
        <v>1.96723</v>
      </c>
      <c r="GQ360">
        <v>1.85475</v>
      </c>
      <c r="GR360">
        <v>-0.00564381</v>
      </c>
      <c r="GS360">
        <v>0</v>
      </c>
      <c r="GT360">
        <v>25.0995</v>
      </c>
      <c r="GU360">
        <v>999.9</v>
      </c>
      <c r="GV360">
        <v>29.6</v>
      </c>
      <c r="GW360">
        <v>34.2</v>
      </c>
      <c r="GX360">
        <v>17.7874</v>
      </c>
      <c r="GY360">
        <v>62.3176</v>
      </c>
      <c r="GZ360">
        <v>35.3205</v>
      </c>
      <c r="HA360">
        <v>1</v>
      </c>
      <c r="HB360">
        <v>0.0435061</v>
      </c>
      <c r="HC360">
        <v>1.49542</v>
      </c>
      <c r="HD360">
        <v>20.3279</v>
      </c>
      <c r="HE360">
        <v>5.21729</v>
      </c>
      <c r="HF360">
        <v>12.0099</v>
      </c>
      <c r="HG360">
        <v>4.98845</v>
      </c>
      <c r="HH360">
        <v>3.2885</v>
      </c>
      <c r="HI360">
        <v>1033.2</v>
      </c>
      <c r="HJ360">
        <v>9747.299999999999</v>
      </c>
      <c r="HK360">
        <v>5139.4</v>
      </c>
      <c r="HL360">
        <v>25.4</v>
      </c>
      <c r="HM360">
        <v>1.86744</v>
      </c>
      <c r="HN360">
        <v>1.86646</v>
      </c>
      <c r="HO360">
        <v>1.866</v>
      </c>
      <c r="HP360">
        <v>1.86584</v>
      </c>
      <c r="HQ360">
        <v>1.86768</v>
      </c>
      <c r="HR360">
        <v>1.87022</v>
      </c>
      <c r="HS360">
        <v>1.8689</v>
      </c>
      <c r="HT360">
        <v>1.87021</v>
      </c>
      <c r="HU360">
        <v>0</v>
      </c>
      <c r="HV360">
        <v>0</v>
      </c>
      <c r="HW360">
        <v>0</v>
      </c>
      <c r="HX360">
        <v>0</v>
      </c>
      <c r="HY360" t="s">
        <v>421</v>
      </c>
      <c r="HZ360" t="s">
        <v>422</v>
      </c>
      <c r="IA360" t="s">
        <v>423</v>
      </c>
      <c r="IB360" t="s">
        <v>423</v>
      </c>
      <c r="IC360" t="s">
        <v>423</v>
      </c>
      <c r="ID360" t="s">
        <v>423</v>
      </c>
      <c r="IE360">
        <v>0</v>
      </c>
      <c r="IF360">
        <v>100</v>
      </c>
      <c r="IG360">
        <v>100</v>
      </c>
      <c r="IH360">
        <v>-1.27</v>
      </c>
      <c r="II360">
        <v>0.0259</v>
      </c>
      <c r="IJ360">
        <v>-0.1559367209035702</v>
      </c>
      <c r="IK360">
        <v>-0.002077099775823331</v>
      </c>
      <c r="IL360">
        <v>4.593143279902166E-07</v>
      </c>
      <c r="IM360">
        <v>-1.865383991892071E-10</v>
      </c>
      <c r="IN360">
        <v>-0.0607165066849496</v>
      </c>
      <c r="IO360">
        <v>-0.01129461987421345</v>
      </c>
      <c r="IP360">
        <v>0.00116580895745559</v>
      </c>
      <c r="IQ360">
        <v>-1.679085872906199E-05</v>
      </c>
      <c r="IR360">
        <v>2</v>
      </c>
      <c r="IS360">
        <v>2290</v>
      </c>
      <c r="IT360">
        <v>0</v>
      </c>
      <c r="IU360">
        <v>32</v>
      </c>
      <c r="IV360">
        <v>15.7</v>
      </c>
      <c r="IW360">
        <v>15.6</v>
      </c>
      <c r="IX360">
        <v>1.50513</v>
      </c>
      <c r="IY360">
        <v>2.20337</v>
      </c>
      <c r="IZ360">
        <v>1.39648</v>
      </c>
      <c r="JA360">
        <v>2.35474</v>
      </c>
      <c r="JB360">
        <v>1.49536</v>
      </c>
      <c r="JC360">
        <v>2.34741</v>
      </c>
      <c r="JD360">
        <v>38.0134</v>
      </c>
      <c r="JE360">
        <v>24.035</v>
      </c>
      <c r="JF360">
        <v>18</v>
      </c>
      <c r="JG360">
        <v>512.481</v>
      </c>
      <c r="JH360">
        <v>426.341</v>
      </c>
      <c r="JI360">
        <v>23.1463</v>
      </c>
      <c r="JJ360">
        <v>27.8847</v>
      </c>
      <c r="JK360">
        <v>30.0001</v>
      </c>
      <c r="JL360">
        <v>27.9011</v>
      </c>
      <c r="JM360">
        <v>27.8449</v>
      </c>
      <c r="JN360">
        <v>30.2887</v>
      </c>
      <c r="JO360">
        <v>46.0558</v>
      </c>
      <c r="JP360">
        <v>0</v>
      </c>
      <c r="JQ360">
        <v>23.1487</v>
      </c>
      <c r="JR360">
        <v>679.2380000000001</v>
      </c>
      <c r="JS360">
        <v>9.12928</v>
      </c>
      <c r="JT360">
        <v>100.416</v>
      </c>
      <c r="JU360">
        <v>100.347</v>
      </c>
    </row>
    <row r="361" spans="1:281">
      <c r="A361">
        <v>345</v>
      </c>
      <c r="B361">
        <v>1651866453.5</v>
      </c>
      <c r="C361">
        <v>2232.900000095367</v>
      </c>
      <c r="D361" t="s">
        <v>1113</v>
      </c>
      <c r="E361" t="s">
        <v>1114</v>
      </c>
      <c r="F361">
        <v>2</v>
      </c>
      <c r="G361" t="s">
        <v>908</v>
      </c>
      <c r="H361" t="s">
        <v>414</v>
      </c>
      <c r="I361">
        <v>1651866452.5</v>
      </c>
      <c r="J361">
        <f>(K361)/1000</f>
        <v>0</v>
      </c>
      <c r="K361">
        <f>IF(CZ361, AN361, AH361)</f>
        <v>0</v>
      </c>
      <c r="L361">
        <f>IF(CZ361, AI361, AG361)</f>
        <v>0</v>
      </c>
      <c r="M361">
        <f>DB361 - IF(AU361&gt;1, L361*CV361*100.0/(AW361*DP361), 0)</f>
        <v>0</v>
      </c>
      <c r="N361">
        <f>((T361-J361/2)*M361-L361)/(T361+J361/2)</f>
        <v>0</v>
      </c>
      <c r="O361">
        <f>N361*(DI361+DJ361)/1000.0</f>
        <v>0</v>
      </c>
      <c r="P361">
        <f>(DB361 - IF(AU361&gt;1, L361*CV361*100.0/(AW361*DP361), 0))*(DI361+DJ361)/1000.0</f>
        <v>0</v>
      </c>
      <c r="Q361">
        <f>2.0/((1/S361-1/R361)+SIGN(S361)*SQRT((1/S361-1/R361)*(1/S361-1/R361) + 4*CW361/((CW361+1)*(CW361+1))*(2*1/S361*1/R361-1/R361*1/R361)))</f>
        <v>0</v>
      </c>
      <c r="R361">
        <f>IF(LEFT(CX361,1)&lt;&gt;"0",IF(LEFT(CX361,1)="1",3.0,CY361),$D$5+$E$5*(DP361*DI361/($K$5*1000))+$F$5*(DP361*DI361/($K$5*1000))*MAX(MIN(CV361,$J$5),$I$5)*MAX(MIN(CV361,$J$5),$I$5)+$G$5*MAX(MIN(CV361,$J$5),$I$5)*(DP361*DI361/($K$5*1000))+$H$5*(DP361*DI361/($K$5*1000))*(DP361*DI361/($K$5*1000)))</f>
        <v>0</v>
      </c>
      <c r="S361">
        <f>J361*(1000-(1000*0.61365*exp(17.502*W361/(240.97+W361))/(DI361+DJ361)+DD361)/2)/(1000*0.61365*exp(17.502*W361/(240.97+W361))/(DI361+DJ361)-DD361)</f>
        <v>0</v>
      </c>
      <c r="T361">
        <f>1/((CW361+1)/(Q361/1.6)+1/(R361/1.37)) + CW361/((CW361+1)/(Q361/1.6) + CW361/(R361/1.37))</f>
        <v>0</v>
      </c>
      <c r="U361">
        <f>(CR361*CU361)</f>
        <v>0</v>
      </c>
      <c r="V361">
        <f>(DK361+(U361+2*0.95*5.67E-8*(((DK361+$B$7)+273)^4-(DK361+273)^4)-44100*J361)/(1.84*29.3*R361+8*0.95*5.67E-8*(DK361+273)^3))</f>
        <v>0</v>
      </c>
      <c r="W361">
        <f>($C$7*DL361+$D$7*DM361+$E$7*V361)</f>
        <v>0</v>
      </c>
      <c r="X361">
        <f>0.61365*exp(17.502*W361/(240.97+W361))</f>
        <v>0</v>
      </c>
      <c r="Y361">
        <f>(Z361/AA361*100)</f>
        <v>0</v>
      </c>
      <c r="Z361">
        <f>DD361*(DI361+DJ361)/1000</f>
        <v>0</v>
      </c>
      <c r="AA361">
        <f>0.61365*exp(17.502*DK361/(240.97+DK361))</f>
        <v>0</v>
      </c>
      <c r="AB361">
        <f>(X361-DD361*(DI361+DJ361)/1000)</f>
        <v>0</v>
      </c>
      <c r="AC361">
        <f>(-J361*44100)</f>
        <v>0</v>
      </c>
      <c r="AD361">
        <f>2*29.3*R361*0.92*(DK361-W361)</f>
        <v>0</v>
      </c>
      <c r="AE361">
        <f>2*0.95*5.67E-8*(((DK361+$B$7)+273)^4-(W361+273)^4)</f>
        <v>0</v>
      </c>
      <c r="AF361">
        <f>U361+AE361+AC361+AD361</f>
        <v>0</v>
      </c>
      <c r="AG361">
        <f>DH361*AU361*(DC361-DB361*(1000-AU361*DE361)/(1000-AU361*DD361))/(100*CV361)</f>
        <v>0</v>
      </c>
      <c r="AH361">
        <f>1000*DH361*AU361*(DD361-DE361)/(100*CV361*(1000-AU361*DD361))</f>
        <v>0</v>
      </c>
      <c r="AI361">
        <f>(AJ361 - AK361 - DI361*1E3/(8.314*(DK361+273.15)) * AM361/DH361 * AL361) * DH361/(100*CV361) * (1000 - DE361)/1000</f>
        <v>0</v>
      </c>
      <c r="AJ361">
        <v>660.5570986909219</v>
      </c>
      <c r="AK361">
        <v>610.7444181818182</v>
      </c>
      <c r="AL361">
        <v>3.331004901773912</v>
      </c>
      <c r="AM361">
        <v>66.38195617057868</v>
      </c>
      <c r="AN361">
        <f>(AP361 - AO361 + DI361*1E3/(8.314*(DK361+273.15)) * AR361/DH361 * AQ361) * DH361/(100*CV361) * 1000/(1000 - AP361)</f>
        <v>0</v>
      </c>
      <c r="AO361">
        <v>9.140689064161386</v>
      </c>
      <c r="AP361">
        <v>18.71751029411765</v>
      </c>
      <c r="AQ361">
        <v>-0.0003764522379683918</v>
      </c>
      <c r="AR361">
        <v>80.47178418790507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MAX(0,($B$13+$C$13*DP361)/(1+$D$13*DP361)*DI361/(DK361+273)*$E$13)</f>
        <v>0</v>
      </c>
      <c r="AX361" t="s">
        <v>417</v>
      </c>
      <c r="AY361" t="s">
        <v>417</v>
      </c>
      <c r="AZ361">
        <v>0</v>
      </c>
      <c r="BA361">
        <v>0</v>
      </c>
      <c r="BB361">
        <f>1-AZ361/BA361</f>
        <v>0</v>
      </c>
      <c r="BC361">
        <v>0</v>
      </c>
      <c r="BD361" t="s">
        <v>417</v>
      </c>
      <c r="BE361" t="s">
        <v>417</v>
      </c>
      <c r="BF361">
        <v>0</v>
      </c>
      <c r="BG361">
        <v>0</v>
      </c>
      <c r="BH361">
        <f>1-BF361/BG361</f>
        <v>0</v>
      </c>
      <c r="BI361">
        <v>0.5</v>
      </c>
      <c r="BJ361">
        <f>CS361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417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BZ361">
        <v>1249</v>
      </c>
      <c r="CA361">
        <v>300</v>
      </c>
      <c r="CB361">
        <v>300</v>
      </c>
      <c r="CC361">
        <v>300</v>
      </c>
      <c r="CD361">
        <v>10442.4</v>
      </c>
      <c r="CE361">
        <v>1239.69</v>
      </c>
      <c r="CF361">
        <v>-0.00735276</v>
      </c>
      <c r="CG361">
        <v>0.07000000000000001</v>
      </c>
      <c r="CH361" t="s">
        <v>417</v>
      </c>
      <c r="CI361" t="s">
        <v>417</v>
      </c>
      <c r="CJ361" t="s">
        <v>417</v>
      </c>
      <c r="CK361" t="s">
        <v>417</v>
      </c>
      <c r="CL361" t="s">
        <v>417</v>
      </c>
      <c r="CM361" t="s">
        <v>417</v>
      </c>
      <c r="CN361" t="s">
        <v>417</v>
      </c>
      <c r="CO361" t="s">
        <v>417</v>
      </c>
      <c r="CP361" t="s">
        <v>417</v>
      </c>
      <c r="CQ361" t="s">
        <v>417</v>
      </c>
      <c r="CR361">
        <f>$B$11*DQ361+$C$11*DR361+$F$11*EC361*(1-EF361)</f>
        <v>0</v>
      </c>
      <c r="CS361">
        <f>CR361*CT361</f>
        <v>0</v>
      </c>
      <c r="CT361">
        <f>($B$11*$D$9+$C$11*$D$9+$F$11*((EP361+EH361)/MAX(EP361+EH361+EQ361, 0.1)*$I$9+EQ361/MAX(EP361+EH361+EQ361, 0.1)*$J$9))/($B$11+$C$11+$F$11)</f>
        <v>0</v>
      </c>
      <c r="CU361">
        <f>($B$11*$K$9+$C$11*$K$9+$F$11*((EP361+EH361)/MAX(EP361+EH361+EQ361, 0.1)*$P$9+EQ361/MAX(EP361+EH361+EQ361, 0.1)*$Q$9))/($B$11+$C$11+$F$11)</f>
        <v>0</v>
      </c>
      <c r="CV361">
        <v>6</v>
      </c>
      <c r="CW361">
        <v>0.5</v>
      </c>
      <c r="CX361" t="s">
        <v>418</v>
      </c>
      <c r="CY361">
        <v>2</v>
      </c>
      <c r="CZ361" t="b">
        <v>1</v>
      </c>
      <c r="DA361">
        <v>1651866452.5</v>
      </c>
      <c r="DB361">
        <v>597.6976666666668</v>
      </c>
      <c r="DC361">
        <v>660.0246666666667</v>
      </c>
      <c r="DD361">
        <v>18.71773333333333</v>
      </c>
      <c r="DE361">
        <v>9.138083333333332</v>
      </c>
      <c r="DF361">
        <v>598.9726666666667</v>
      </c>
      <c r="DG361">
        <v>18.69186666666667</v>
      </c>
      <c r="DH361">
        <v>500.027</v>
      </c>
      <c r="DI361">
        <v>89.91366666666666</v>
      </c>
      <c r="DJ361">
        <v>0.09995496666666666</v>
      </c>
      <c r="DK361">
        <v>25.9505</v>
      </c>
      <c r="DL361">
        <v>25.00783333333334</v>
      </c>
      <c r="DM361">
        <v>999.9</v>
      </c>
      <c r="DN361">
        <v>0</v>
      </c>
      <c r="DO361">
        <v>0</v>
      </c>
      <c r="DP361">
        <v>10003.76666666667</v>
      </c>
      <c r="DQ361">
        <v>0</v>
      </c>
      <c r="DR361">
        <v>3.20383</v>
      </c>
      <c r="DS361">
        <v>-62.32726666666667</v>
      </c>
      <c r="DT361">
        <v>609.0983333333332</v>
      </c>
      <c r="DU361">
        <v>666.1116666666667</v>
      </c>
      <c r="DV361">
        <v>9.57963</v>
      </c>
      <c r="DW361">
        <v>660.0246666666667</v>
      </c>
      <c r="DX361">
        <v>9.138083333333332</v>
      </c>
      <c r="DY361">
        <v>1.68298</v>
      </c>
      <c r="DZ361">
        <v>0.8216380000000001</v>
      </c>
      <c r="EA361">
        <v>14.74033333333333</v>
      </c>
      <c r="EB361">
        <v>4.086733333333334</v>
      </c>
      <c r="EC361">
        <v>1500.02</v>
      </c>
      <c r="ED361">
        <v>0.9730046666666666</v>
      </c>
      <c r="EE361">
        <v>0.02699553333333333</v>
      </c>
      <c r="EF361">
        <v>0</v>
      </c>
      <c r="EG361">
        <v>909.5636666666666</v>
      </c>
      <c r="EH361">
        <v>5.00097</v>
      </c>
      <c r="EI361">
        <v>13559.13333333333</v>
      </c>
      <c r="EJ361">
        <v>12491.8</v>
      </c>
      <c r="EK361">
        <v>38.562</v>
      </c>
      <c r="EL361">
        <v>39.75</v>
      </c>
      <c r="EM361">
        <v>38.937</v>
      </c>
      <c r="EN361">
        <v>39.5</v>
      </c>
      <c r="EO361">
        <v>39.333</v>
      </c>
      <c r="EP361">
        <v>1454.66</v>
      </c>
      <c r="EQ361">
        <v>40.36</v>
      </c>
      <c r="ER361">
        <v>0</v>
      </c>
      <c r="ES361">
        <v>971</v>
      </c>
      <c r="ET361">
        <v>0</v>
      </c>
      <c r="EU361">
        <v>907.73704</v>
      </c>
      <c r="EV361">
        <v>16.44969231148665</v>
      </c>
      <c r="EW361">
        <v>212.2769232746166</v>
      </c>
      <c r="EX361">
        <v>13538.072</v>
      </c>
      <c r="EY361">
        <v>15</v>
      </c>
      <c r="EZ361">
        <v>1651865518.1</v>
      </c>
      <c r="FA361" t="s">
        <v>910</v>
      </c>
      <c r="FB361">
        <v>1651865507.1</v>
      </c>
      <c r="FC361">
        <v>1651865518.1</v>
      </c>
      <c r="FD361">
        <v>8</v>
      </c>
      <c r="FE361">
        <v>0.06</v>
      </c>
      <c r="FF361">
        <v>0</v>
      </c>
      <c r="FG361">
        <v>-0.927</v>
      </c>
      <c r="FH361">
        <v>-0.062</v>
      </c>
      <c r="FI361">
        <v>400</v>
      </c>
      <c r="FJ361">
        <v>11</v>
      </c>
      <c r="FK361">
        <v>0.11</v>
      </c>
      <c r="FL361">
        <v>0.01</v>
      </c>
      <c r="FM361">
        <v>-62.32029512195121</v>
      </c>
      <c r="FN361">
        <v>-3.349996515679256</v>
      </c>
      <c r="FO361">
        <v>0.3788414488817703</v>
      </c>
      <c r="FP361">
        <v>-1</v>
      </c>
      <c r="FQ361">
        <v>9.556836341463416</v>
      </c>
      <c r="FR361">
        <v>0.2411354006968653</v>
      </c>
      <c r="FS361">
        <v>0.02603397993018643</v>
      </c>
      <c r="FT361">
        <v>-1</v>
      </c>
      <c r="FU361">
        <v>0</v>
      </c>
      <c r="FV361">
        <v>0</v>
      </c>
      <c r="FW361">
        <v>0</v>
      </c>
      <c r="FX361">
        <v>-1</v>
      </c>
      <c r="FY361">
        <v>0</v>
      </c>
      <c r="FZ361">
        <v>0</v>
      </c>
      <c r="GA361" t="s">
        <v>420</v>
      </c>
      <c r="GB361">
        <v>2.98154</v>
      </c>
      <c r="GC361">
        <v>2.70628</v>
      </c>
      <c r="GD361">
        <v>0.121696</v>
      </c>
      <c r="GE361">
        <v>0.128755</v>
      </c>
      <c r="GF361">
        <v>0.08903750000000001</v>
      </c>
      <c r="GG361">
        <v>0.0517251</v>
      </c>
      <c r="GH361">
        <v>27754</v>
      </c>
      <c r="GI361">
        <v>27590.2</v>
      </c>
      <c r="GJ361">
        <v>29377.2</v>
      </c>
      <c r="GK361">
        <v>29291.8</v>
      </c>
      <c r="GL361">
        <v>35433.6</v>
      </c>
      <c r="GM361">
        <v>37002.2</v>
      </c>
      <c r="GN361">
        <v>41348.6</v>
      </c>
      <c r="GO361">
        <v>41811.4</v>
      </c>
      <c r="GP361">
        <v>1.96715</v>
      </c>
      <c r="GQ361">
        <v>1.85457</v>
      </c>
      <c r="GR361">
        <v>-0.00566244</v>
      </c>
      <c r="GS361">
        <v>0</v>
      </c>
      <c r="GT361">
        <v>25.0995</v>
      </c>
      <c r="GU361">
        <v>999.9</v>
      </c>
      <c r="GV361">
        <v>29.6</v>
      </c>
      <c r="GW361">
        <v>34.2</v>
      </c>
      <c r="GX361">
        <v>17.7883</v>
      </c>
      <c r="GY361">
        <v>62.5076</v>
      </c>
      <c r="GZ361">
        <v>35.1162</v>
      </c>
      <c r="HA361">
        <v>1</v>
      </c>
      <c r="HB361">
        <v>0.0434451</v>
      </c>
      <c r="HC361">
        <v>1.49035</v>
      </c>
      <c r="HD361">
        <v>20.3279</v>
      </c>
      <c r="HE361">
        <v>5.21714</v>
      </c>
      <c r="HF361">
        <v>12.0099</v>
      </c>
      <c r="HG361">
        <v>4.98875</v>
      </c>
      <c r="HH361">
        <v>3.2885</v>
      </c>
      <c r="HI361">
        <v>1033.4</v>
      </c>
      <c r="HJ361">
        <v>9748.700000000001</v>
      </c>
      <c r="HK361">
        <v>5139.4</v>
      </c>
      <c r="HL361">
        <v>25.4</v>
      </c>
      <c r="HM361">
        <v>1.86746</v>
      </c>
      <c r="HN361">
        <v>1.86646</v>
      </c>
      <c r="HO361">
        <v>1.866</v>
      </c>
      <c r="HP361">
        <v>1.86584</v>
      </c>
      <c r="HQ361">
        <v>1.86768</v>
      </c>
      <c r="HR361">
        <v>1.87022</v>
      </c>
      <c r="HS361">
        <v>1.8689</v>
      </c>
      <c r="HT361">
        <v>1.87022</v>
      </c>
      <c r="HU361">
        <v>0</v>
      </c>
      <c r="HV361">
        <v>0</v>
      </c>
      <c r="HW361">
        <v>0</v>
      </c>
      <c r="HX361">
        <v>0</v>
      </c>
      <c r="HY361" t="s">
        <v>421</v>
      </c>
      <c r="HZ361" t="s">
        <v>422</v>
      </c>
      <c r="IA361" t="s">
        <v>423</v>
      </c>
      <c r="IB361" t="s">
        <v>423</v>
      </c>
      <c r="IC361" t="s">
        <v>423</v>
      </c>
      <c r="ID361" t="s">
        <v>423</v>
      </c>
      <c r="IE361">
        <v>0</v>
      </c>
      <c r="IF361">
        <v>100</v>
      </c>
      <c r="IG361">
        <v>100</v>
      </c>
      <c r="IH361">
        <v>-1.281</v>
      </c>
      <c r="II361">
        <v>0.0259</v>
      </c>
      <c r="IJ361">
        <v>-0.1559367209035702</v>
      </c>
      <c r="IK361">
        <v>-0.002077099775823331</v>
      </c>
      <c r="IL361">
        <v>4.593143279902166E-07</v>
      </c>
      <c r="IM361">
        <v>-1.865383991892071E-10</v>
      </c>
      <c r="IN361">
        <v>-0.0607165066849496</v>
      </c>
      <c r="IO361">
        <v>-0.01129461987421345</v>
      </c>
      <c r="IP361">
        <v>0.00116580895745559</v>
      </c>
      <c r="IQ361">
        <v>-1.679085872906199E-05</v>
      </c>
      <c r="IR361">
        <v>2</v>
      </c>
      <c r="IS361">
        <v>2290</v>
      </c>
      <c r="IT361">
        <v>0</v>
      </c>
      <c r="IU361">
        <v>32</v>
      </c>
      <c r="IV361">
        <v>15.8</v>
      </c>
      <c r="IW361">
        <v>15.6</v>
      </c>
      <c r="IX361">
        <v>1.51733</v>
      </c>
      <c r="IY361">
        <v>2.20581</v>
      </c>
      <c r="IZ361">
        <v>1.39648</v>
      </c>
      <c r="JA361">
        <v>2.35474</v>
      </c>
      <c r="JB361">
        <v>1.49536</v>
      </c>
      <c r="JC361">
        <v>2.29248</v>
      </c>
      <c r="JD361">
        <v>38.0134</v>
      </c>
      <c r="JE361">
        <v>24.035</v>
      </c>
      <c r="JF361">
        <v>18</v>
      </c>
      <c r="JG361">
        <v>512.429</v>
      </c>
      <c r="JH361">
        <v>426.229</v>
      </c>
      <c r="JI361">
        <v>23.1468</v>
      </c>
      <c r="JJ361">
        <v>27.8844</v>
      </c>
      <c r="JK361">
        <v>30</v>
      </c>
      <c r="JL361">
        <v>27.9008</v>
      </c>
      <c r="JM361">
        <v>27.8439</v>
      </c>
      <c r="JN361">
        <v>30.5311</v>
      </c>
      <c r="JO361">
        <v>46.0558</v>
      </c>
      <c r="JP361">
        <v>0</v>
      </c>
      <c r="JQ361">
        <v>23.1487</v>
      </c>
      <c r="JR361">
        <v>685.917</v>
      </c>
      <c r="JS361">
        <v>9.111459999999999</v>
      </c>
      <c r="JT361">
        <v>100.416</v>
      </c>
      <c r="JU361">
        <v>100.347</v>
      </c>
    </row>
    <row r="362" spans="1:281">
      <c r="A362">
        <v>346</v>
      </c>
      <c r="B362">
        <v>1651866455.5</v>
      </c>
      <c r="C362">
        <v>2234.900000095367</v>
      </c>
      <c r="D362" t="s">
        <v>1115</v>
      </c>
      <c r="E362" t="s">
        <v>1116</v>
      </c>
      <c r="F362">
        <v>2</v>
      </c>
      <c r="G362" t="s">
        <v>908</v>
      </c>
      <c r="H362" t="s">
        <v>414</v>
      </c>
      <c r="I362">
        <v>1651866454.125</v>
      </c>
      <c r="J362">
        <f>(K362)/1000</f>
        <v>0</v>
      </c>
      <c r="K362">
        <f>IF(CZ362, AN362, AH362)</f>
        <v>0</v>
      </c>
      <c r="L362">
        <f>IF(CZ362, AI362, AG362)</f>
        <v>0</v>
      </c>
      <c r="M362">
        <f>DB362 - IF(AU362&gt;1, L362*CV362*100.0/(AW362*DP362), 0)</f>
        <v>0</v>
      </c>
      <c r="N362">
        <f>((T362-J362/2)*M362-L362)/(T362+J362/2)</f>
        <v>0</v>
      </c>
      <c r="O362">
        <f>N362*(DI362+DJ362)/1000.0</f>
        <v>0</v>
      </c>
      <c r="P362">
        <f>(DB362 - IF(AU362&gt;1, L362*CV362*100.0/(AW362*DP362), 0))*(DI362+DJ362)/1000.0</f>
        <v>0</v>
      </c>
      <c r="Q362">
        <f>2.0/((1/S362-1/R362)+SIGN(S362)*SQRT((1/S362-1/R362)*(1/S362-1/R362) + 4*CW362/((CW362+1)*(CW362+1))*(2*1/S362*1/R362-1/R362*1/R362)))</f>
        <v>0</v>
      </c>
      <c r="R362">
        <f>IF(LEFT(CX362,1)&lt;&gt;"0",IF(LEFT(CX362,1)="1",3.0,CY362),$D$5+$E$5*(DP362*DI362/($K$5*1000))+$F$5*(DP362*DI362/($K$5*1000))*MAX(MIN(CV362,$J$5),$I$5)*MAX(MIN(CV362,$J$5),$I$5)+$G$5*MAX(MIN(CV362,$J$5),$I$5)*(DP362*DI362/($K$5*1000))+$H$5*(DP362*DI362/($K$5*1000))*(DP362*DI362/($K$5*1000)))</f>
        <v>0</v>
      </c>
      <c r="S362">
        <f>J362*(1000-(1000*0.61365*exp(17.502*W362/(240.97+W362))/(DI362+DJ362)+DD362)/2)/(1000*0.61365*exp(17.502*W362/(240.97+W362))/(DI362+DJ362)-DD362)</f>
        <v>0</v>
      </c>
      <c r="T362">
        <f>1/((CW362+1)/(Q362/1.6)+1/(R362/1.37)) + CW362/((CW362+1)/(Q362/1.6) + CW362/(R362/1.37))</f>
        <v>0</v>
      </c>
      <c r="U362">
        <f>(CR362*CU362)</f>
        <v>0</v>
      </c>
      <c r="V362">
        <f>(DK362+(U362+2*0.95*5.67E-8*(((DK362+$B$7)+273)^4-(DK362+273)^4)-44100*J362)/(1.84*29.3*R362+8*0.95*5.67E-8*(DK362+273)^3))</f>
        <v>0</v>
      </c>
      <c r="W362">
        <f>($C$7*DL362+$D$7*DM362+$E$7*V362)</f>
        <v>0</v>
      </c>
      <c r="X362">
        <f>0.61365*exp(17.502*W362/(240.97+W362))</f>
        <v>0</v>
      </c>
      <c r="Y362">
        <f>(Z362/AA362*100)</f>
        <v>0</v>
      </c>
      <c r="Z362">
        <f>DD362*(DI362+DJ362)/1000</f>
        <v>0</v>
      </c>
      <c r="AA362">
        <f>0.61365*exp(17.502*DK362/(240.97+DK362))</f>
        <v>0</v>
      </c>
      <c r="AB362">
        <f>(X362-DD362*(DI362+DJ362)/1000)</f>
        <v>0</v>
      </c>
      <c r="AC362">
        <f>(-J362*44100)</f>
        <v>0</v>
      </c>
      <c r="AD362">
        <f>2*29.3*R362*0.92*(DK362-W362)</f>
        <v>0</v>
      </c>
      <c r="AE362">
        <f>2*0.95*5.67E-8*(((DK362+$B$7)+273)^4-(W362+273)^4)</f>
        <v>0</v>
      </c>
      <c r="AF362">
        <f>U362+AE362+AC362+AD362</f>
        <v>0</v>
      </c>
      <c r="AG362">
        <f>DH362*AU362*(DC362-DB362*(1000-AU362*DE362)/(1000-AU362*DD362))/(100*CV362)</f>
        <v>0</v>
      </c>
      <c r="AH362">
        <f>1000*DH362*AU362*(DD362-DE362)/(100*CV362*(1000-AU362*DD362))</f>
        <v>0</v>
      </c>
      <c r="AI362">
        <f>(AJ362 - AK362 - DI362*1E3/(8.314*(DK362+273.15)) * AM362/DH362 * AL362) * DH362/(100*CV362) * (1000 - DE362)/1000</f>
        <v>0</v>
      </c>
      <c r="AJ362">
        <v>666.8217990664132</v>
      </c>
      <c r="AK362">
        <v>617.2235636363638</v>
      </c>
      <c r="AL362">
        <v>3.263232075958104</v>
      </c>
      <c r="AM362">
        <v>66.38195617057868</v>
      </c>
      <c r="AN362">
        <f>(AP362 - AO362 + DI362*1E3/(8.314*(DK362+273.15)) * AR362/DH362 * AQ362) * DH362/(100*CV362) * 1000/(1000 - AP362)</f>
        <v>0</v>
      </c>
      <c r="AO362">
        <v>9.13900705897955</v>
      </c>
      <c r="AP362">
        <v>18.71749999999999</v>
      </c>
      <c r="AQ362">
        <v>-0.0004395421332292636</v>
      </c>
      <c r="AR362">
        <v>80.47178418790507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MAX(0,($B$13+$C$13*DP362)/(1+$D$13*DP362)*DI362/(DK362+273)*$E$13)</f>
        <v>0</v>
      </c>
      <c r="AX362" t="s">
        <v>417</v>
      </c>
      <c r="AY362" t="s">
        <v>417</v>
      </c>
      <c r="AZ362">
        <v>0</v>
      </c>
      <c r="BA362">
        <v>0</v>
      </c>
      <c r="BB362">
        <f>1-AZ362/BA362</f>
        <v>0</v>
      </c>
      <c r="BC362">
        <v>0</v>
      </c>
      <c r="BD362" t="s">
        <v>417</v>
      </c>
      <c r="BE362" t="s">
        <v>417</v>
      </c>
      <c r="BF362">
        <v>0</v>
      </c>
      <c r="BG362">
        <v>0</v>
      </c>
      <c r="BH362">
        <f>1-BF362/BG362</f>
        <v>0</v>
      </c>
      <c r="BI362">
        <v>0.5</v>
      </c>
      <c r="BJ362">
        <f>CS362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417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BZ362">
        <v>1249</v>
      </c>
      <c r="CA362">
        <v>300</v>
      </c>
      <c r="CB362">
        <v>300</v>
      </c>
      <c r="CC362">
        <v>300</v>
      </c>
      <c r="CD362">
        <v>10442.4</v>
      </c>
      <c r="CE362">
        <v>1239.69</v>
      </c>
      <c r="CF362">
        <v>-0.00735276</v>
      </c>
      <c r="CG362">
        <v>0.07000000000000001</v>
      </c>
      <c r="CH362" t="s">
        <v>417</v>
      </c>
      <c r="CI362" t="s">
        <v>417</v>
      </c>
      <c r="CJ362" t="s">
        <v>417</v>
      </c>
      <c r="CK362" t="s">
        <v>417</v>
      </c>
      <c r="CL362" t="s">
        <v>417</v>
      </c>
      <c r="CM362" t="s">
        <v>417</v>
      </c>
      <c r="CN362" t="s">
        <v>417</v>
      </c>
      <c r="CO362" t="s">
        <v>417</v>
      </c>
      <c r="CP362" t="s">
        <v>417</v>
      </c>
      <c r="CQ362" t="s">
        <v>417</v>
      </c>
      <c r="CR362">
        <f>$B$11*DQ362+$C$11*DR362+$F$11*EC362*(1-EF362)</f>
        <v>0</v>
      </c>
      <c r="CS362">
        <f>CR362*CT362</f>
        <v>0</v>
      </c>
      <c r="CT362">
        <f>($B$11*$D$9+$C$11*$D$9+$F$11*((EP362+EH362)/MAX(EP362+EH362+EQ362, 0.1)*$I$9+EQ362/MAX(EP362+EH362+EQ362, 0.1)*$J$9))/($B$11+$C$11+$F$11)</f>
        <v>0</v>
      </c>
      <c r="CU362">
        <f>($B$11*$K$9+$C$11*$K$9+$F$11*((EP362+EH362)/MAX(EP362+EH362+EQ362, 0.1)*$P$9+EQ362/MAX(EP362+EH362+EQ362, 0.1)*$Q$9))/($B$11+$C$11+$F$11)</f>
        <v>0</v>
      </c>
      <c r="CV362">
        <v>6</v>
      </c>
      <c r="CW362">
        <v>0.5</v>
      </c>
      <c r="CX362" t="s">
        <v>418</v>
      </c>
      <c r="CY362">
        <v>2</v>
      </c>
      <c r="CZ362" t="b">
        <v>1</v>
      </c>
      <c r="DA362">
        <v>1651866454.125</v>
      </c>
      <c r="DB362">
        <v>602.8925</v>
      </c>
      <c r="DC362">
        <v>665.038</v>
      </c>
      <c r="DD362">
        <v>18.71805</v>
      </c>
      <c r="DE362">
        <v>9.137214999999999</v>
      </c>
      <c r="DF362">
        <v>604.1764999999999</v>
      </c>
      <c r="DG362">
        <v>18.6922</v>
      </c>
      <c r="DH362">
        <v>500.06775</v>
      </c>
      <c r="DI362">
        <v>89.91459999999999</v>
      </c>
      <c r="DJ362">
        <v>0.10014605</v>
      </c>
      <c r="DK362">
        <v>25.95155</v>
      </c>
      <c r="DL362">
        <v>25.0047</v>
      </c>
      <c r="DM362">
        <v>999.9</v>
      </c>
      <c r="DN362">
        <v>0</v>
      </c>
      <c r="DO362">
        <v>0</v>
      </c>
      <c r="DP362">
        <v>9996.5625</v>
      </c>
      <c r="DQ362">
        <v>0</v>
      </c>
      <c r="DR362">
        <v>3.20383</v>
      </c>
      <c r="DS362">
        <v>-62.145875</v>
      </c>
      <c r="DT362">
        <v>614.3924999999999</v>
      </c>
      <c r="DU362">
        <v>671.1704999999999</v>
      </c>
      <c r="DV362">
        <v>9.5808175</v>
      </c>
      <c r="DW362">
        <v>665.038</v>
      </c>
      <c r="DX362">
        <v>9.137214999999999</v>
      </c>
      <c r="DY362">
        <v>1.683025</v>
      </c>
      <c r="DZ362">
        <v>0.821569</v>
      </c>
      <c r="EA362">
        <v>14.740725</v>
      </c>
      <c r="EB362">
        <v>4.0855375</v>
      </c>
      <c r="EC362">
        <v>1499.9375</v>
      </c>
      <c r="ED362">
        <v>0.973003</v>
      </c>
      <c r="EE362">
        <v>0.0269973</v>
      </c>
      <c r="EF362">
        <v>0</v>
      </c>
      <c r="EG362">
        <v>909.7307500000002</v>
      </c>
      <c r="EH362">
        <v>5.00097</v>
      </c>
      <c r="EI362">
        <v>13564.025</v>
      </c>
      <c r="EJ362">
        <v>12491.075</v>
      </c>
      <c r="EK362">
        <v>38.5155</v>
      </c>
      <c r="EL362">
        <v>39.70274999999999</v>
      </c>
      <c r="EM362">
        <v>38.937</v>
      </c>
      <c r="EN362">
        <v>39.5</v>
      </c>
      <c r="EO362">
        <v>39.312</v>
      </c>
      <c r="EP362">
        <v>1454.5775</v>
      </c>
      <c r="EQ362">
        <v>40.36</v>
      </c>
      <c r="ER362">
        <v>0</v>
      </c>
      <c r="ES362">
        <v>972.7999999523163</v>
      </c>
      <c r="ET362">
        <v>0</v>
      </c>
      <c r="EU362">
        <v>908.1421153846154</v>
      </c>
      <c r="EV362">
        <v>16.16858117646296</v>
      </c>
      <c r="EW362">
        <v>208.0683759605097</v>
      </c>
      <c r="EX362">
        <v>13543.37692307692</v>
      </c>
      <c r="EY362">
        <v>15</v>
      </c>
      <c r="EZ362">
        <v>1651865518.1</v>
      </c>
      <c r="FA362" t="s">
        <v>910</v>
      </c>
      <c r="FB362">
        <v>1651865507.1</v>
      </c>
      <c r="FC362">
        <v>1651865518.1</v>
      </c>
      <c r="FD362">
        <v>8</v>
      </c>
      <c r="FE362">
        <v>0.06</v>
      </c>
      <c r="FF362">
        <v>0</v>
      </c>
      <c r="FG362">
        <v>-0.927</v>
      </c>
      <c r="FH362">
        <v>-0.062</v>
      </c>
      <c r="FI362">
        <v>400</v>
      </c>
      <c r="FJ362">
        <v>11</v>
      </c>
      <c r="FK362">
        <v>0.11</v>
      </c>
      <c r="FL362">
        <v>0.01</v>
      </c>
      <c r="FM362">
        <v>-62.39323</v>
      </c>
      <c r="FN362">
        <v>-1.335926454033876</v>
      </c>
      <c r="FO362">
        <v>0.295561956449067</v>
      </c>
      <c r="FP362">
        <v>-1</v>
      </c>
      <c r="FQ362">
        <v>9.564852500000001</v>
      </c>
      <c r="FR362">
        <v>0.2021720825515725</v>
      </c>
      <c r="FS362">
        <v>0.02306997894992528</v>
      </c>
      <c r="FT362">
        <v>-1</v>
      </c>
      <c r="FU362">
        <v>0</v>
      </c>
      <c r="FV362">
        <v>0</v>
      </c>
      <c r="FW362">
        <v>0</v>
      </c>
      <c r="FX362">
        <v>-1</v>
      </c>
      <c r="FY362">
        <v>0</v>
      </c>
      <c r="FZ362">
        <v>0</v>
      </c>
      <c r="GA362" t="s">
        <v>420</v>
      </c>
      <c r="GB362">
        <v>2.98154</v>
      </c>
      <c r="GC362">
        <v>2.70629</v>
      </c>
      <c r="GD362">
        <v>0.122595</v>
      </c>
      <c r="GE362">
        <v>0.129593</v>
      </c>
      <c r="GF362">
        <v>0.0890497</v>
      </c>
      <c r="GG362">
        <v>0.0517217</v>
      </c>
      <c r="GH362">
        <v>27725.3</v>
      </c>
      <c r="GI362">
        <v>27563.7</v>
      </c>
      <c r="GJ362">
        <v>29376.9</v>
      </c>
      <c r="GK362">
        <v>29291.9</v>
      </c>
      <c r="GL362">
        <v>35432.9</v>
      </c>
      <c r="GM362">
        <v>37002.5</v>
      </c>
      <c r="GN362">
        <v>41348.4</v>
      </c>
      <c r="GO362">
        <v>41811.5</v>
      </c>
      <c r="GP362">
        <v>1.96735</v>
      </c>
      <c r="GQ362">
        <v>1.85443</v>
      </c>
      <c r="GR362">
        <v>-0.0061281</v>
      </c>
      <c r="GS362">
        <v>0</v>
      </c>
      <c r="GT362">
        <v>25.0995</v>
      </c>
      <c r="GU362">
        <v>999.9</v>
      </c>
      <c r="GV362">
        <v>29.6</v>
      </c>
      <c r="GW362">
        <v>34.2</v>
      </c>
      <c r="GX362">
        <v>17.7868</v>
      </c>
      <c r="GY362">
        <v>62.6076</v>
      </c>
      <c r="GZ362">
        <v>35.3365</v>
      </c>
      <c r="HA362">
        <v>1</v>
      </c>
      <c r="HB362">
        <v>0.0434299</v>
      </c>
      <c r="HC362">
        <v>1.4917</v>
      </c>
      <c r="HD362">
        <v>20.3279</v>
      </c>
      <c r="HE362">
        <v>5.21729</v>
      </c>
      <c r="HF362">
        <v>12.0099</v>
      </c>
      <c r="HG362">
        <v>4.9886</v>
      </c>
      <c r="HH362">
        <v>3.2885</v>
      </c>
      <c r="HI362">
        <v>1033.4</v>
      </c>
      <c r="HJ362">
        <v>9748.700000000001</v>
      </c>
      <c r="HK362">
        <v>5139.4</v>
      </c>
      <c r="HL362">
        <v>25.4</v>
      </c>
      <c r="HM362">
        <v>1.86746</v>
      </c>
      <c r="HN362">
        <v>1.86646</v>
      </c>
      <c r="HO362">
        <v>1.866</v>
      </c>
      <c r="HP362">
        <v>1.86584</v>
      </c>
      <c r="HQ362">
        <v>1.86768</v>
      </c>
      <c r="HR362">
        <v>1.8702</v>
      </c>
      <c r="HS362">
        <v>1.8689</v>
      </c>
      <c r="HT362">
        <v>1.87024</v>
      </c>
      <c r="HU362">
        <v>0</v>
      </c>
      <c r="HV362">
        <v>0</v>
      </c>
      <c r="HW362">
        <v>0</v>
      </c>
      <c r="HX362">
        <v>0</v>
      </c>
      <c r="HY362" t="s">
        <v>421</v>
      </c>
      <c r="HZ362" t="s">
        <v>422</v>
      </c>
      <c r="IA362" t="s">
        <v>423</v>
      </c>
      <c r="IB362" t="s">
        <v>423</v>
      </c>
      <c r="IC362" t="s">
        <v>423</v>
      </c>
      <c r="ID362" t="s">
        <v>423</v>
      </c>
      <c r="IE362">
        <v>0</v>
      </c>
      <c r="IF362">
        <v>100</v>
      </c>
      <c r="IG362">
        <v>100</v>
      </c>
      <c r="IH362">
        <v>-1.292</v>
      </c>
      <c r="II362">
        <v>0.0259</v>
      </c>
      <c r="IJ362">
        <v>-0.1559367209035702</v>
      </c>
      <c r="IK362">
        <v>-0.002077099775823331</v>
      </c>
      <c r="IL362">
        <v>4.593143279902166E-07</v>
      </c>
      <c r="IM362">
        <v>-1.865383991892071E-10</v>
      </c>
      <c r="IN362">
        <v>-0.0607165066849496</v>
      </c>
      <c r="IO362">
        <v>-0.01129461987421345</v>
      </c>
      <c r="IP362">
        <v>0.00116580895745559</v>
      </c>
      <c r="IQ362">
        <v>-1.679085872906199E-05</v>
      </c>
      <c r="IR362">
        <v>2</v>
      </c>
      <c r="IS362">
        <v>2290</v>
      </c>
      <c r="IT362">
        <v>0</v>
      </c>
      <c r="IU362">
        <v>32</v>
      </c>
      <c r="IV362">
        <v>15.8</v>
      </c>
      <c r="IW362">
        <v>15.6</v>
      </c>
      <c r="IX362">
        <v>1.52954</v>
      </c>
      <c r="IY362">
        <v>2.19727</v>
      </c>
      <c r="IZ362">
        <v>1.39648</v>
      </c>
      <c r="JA362">
        <v>2.35474</v>
      </c>
      <c r="JB362">
        <v>1.49536</v>
      </c>
      <c r="JC362">
        <v>2.3291</v>
      </c>
      <c r="JD362">
        <v>38.0134</v>
      </c>
      <c r="JE362">
        <v>24.0437</v>
      </c>
      <c r="JF362">
        <v>18</v>
      </c>
      <c r="JG362">
        <v>512.552</v>
      </c>
      <c r="JH362">
        <v>426.139</v>
      </c>
      <c r="JI362">
        <v>23.1478</v>
      </c>
      <c r="JJ362">
        <v>27.8832</v>
      </c>
      <c r="JK362">
        <v>30</v>
      </c>
      <c r="JL362">
        <v>27.8999</v>
      </c>
      <c r="JM362">
        <v>27.8438</v>
      </c>
      <c r="JN362">
        <v>30.7698</v>
      </c>
      <c r="JO362">
        <v>46.0558</v>
      </c>
      <c r="JP362">
        <v>0</v>
      </c>
      <c r="JQ362">
        <v>23.1482</v>
      </c>
      <c r="JR362">
        <v>692.595</v>
      </c>
      <c r="JS362">
        <v>9.114050000000001</v>
      </c>
      <c r="JT362">
        <v>100.415</v>
      </c>
      <c r="JU362">
        <v>100.348</v>
      </c>
    </row>
    <row r="363" spans="1:281">
      <c r="A363">
        <v>347</v>
      </c>
      <c r="B363">
        <v>1651866457.5</v>
      </c>
      <c r="C363">
        <v>2236.900000095367</v>
      </c>
      <c r="D363" t="s">
        <v>1117</v>
      </c>
      <c r="E363" t="s">
        <v>1118</v>
      </c>
      <c r="F363">
        <v>2</v>
      </c>
      <c r="G363" t="s">
        <v>908</v>
      </c>
      <c r="H363" t="s">
        <v>414</v>
      </c>
      <c r="I363">
        <v>1651866456.5</v>
      </c>
      <c r="J363">
        <f>(K363)/1000</f>
        <v>0</v>
      </c>
      <c r="K363">
        <f>IF(CZ363, AN363, AH363)</f>
        <v>0</v>
      </c>
      <c r="L363">
        <f>IF(CZ363, AI363, AG363)</f>
        <v>0</v>
      </c>
      <c r="M363">
        <f>DB363 - IF(AU363&gt;1, L363*CV363*100.0/(AW363*DP363), 0)</f>
        <v>0</v>
      </c>
      <c r="N363">
        <f>((T363-J363/2)*M363-L363)/(T363+J363/2)</f>
        <v>0</v>
      </c>
      <c r="O363">
        <f>N363*(DI363+DJ363)/1000.0</f>
        <v>0</v>
      </c>
      <c r="P363">
        <f>(DB363 - IF(AU363&gt;1, L363*CV363*100.0/(AW363*DP363), 0))*(DI363+DJ363)/1000.0</f>
        <v>0</v>
      </c>
      <c r="Q363">
        <f>2.0/((1/S363-1/R363)+SIGN(S363)*SQRT((1/S363-1/R363)*(1/S363-1/R363) + 4*CW363/((CW363+1)*(CW363+1))*(2*1/S363*1/R363-1/R363*1/R363)))</f>
        <v>0</v>
      </c>
      <c r="R363">
        <f>IF(LEFT(CX363,1)&lt;&gt;"0",IF(LEFT(CX363,1)="1",3.0,CY363),$D$5+$E$5*(DP363*DI363/($K$5*1000))+$F$5*(DP363*DI363/($K$5*1000))*MAX(MIN(CV363,$J$5),$I$5)*MAX(MIN(CV363,$J$5),$I$5)+$G$5*MAX(MIN(CV363,$J$5),$I$5)*(DP363*DI363/($K$5*1000))+$H$5*(DP363*DI363/($K$5*1000))*(DP363*DI363/($K$5*1000)))</f>
        <v>0</v>
      </c>
      <c r="S363">
        <f>J363*(1000-(1000*0.61365*exp(17.502*W363/(240.97+W363))/(DI363+DJ363)+DD363)/2)/(1000*0.61365*exp(17.502*W363/(240.97+W363))/(DI363+DJ363)-DD363)</f>
        <v>0</v>
      </c>
      <c r="T363">
        <f>1/((CW363+1)/(Q363/1.6)+1/(R363/1.37)) + CW363/((CW363+1)/(Q363/1.6) + CW363/(R363/1.37))</f>
        <v>0</v>
      </c>
      <c r="U363">
        <f>(CR363*CU363)</f>
        <v>0</v>
      </c>
      <c r="V363">
        <f>(DK363+(U363+2*0.95*5.67E-8*(((DK363+$B$7)+273)^4-(DK363+273)^4)-44100*J363)/(1.84*29.3*R363+8*0.95*5.67E-8*(DK363+273)^3))</f>
        <v>0</v>
      </c>
      <c r="W363">
        <f>($C$7*DL363+$D$7*DM363+$E$7*V363)</f>
        <v>0</v>
      </c>
      <c r="X363">
        <f>0.61365*exp(17.502*W363/(240.97+W363))</f>
        <v>0</v>
      </c>
      <c r="Y363">
        <f>(Z363/AA363*100)</f>
        <v>0</v>
      </c>
      <c r="Z363">
        <f>DD363*(DI363+DJ363)/1000</f>
        <v>0</v>
      </c>
      <c r="AA363">
        <f>0.61365*exp(17.502*DK363/(240.97+DK363))</f>
        <v>0</v>
      </c>
      <c r="AB363">
        <f>(X363-DD363*(DI363+DJ363)/1000)</f>
        <v>0</v>
      </c>
      <c r="AC363">
        <f>(-J363*44100)</f>
        <v>0</v>
      </c>
      <c r="AD363">
        <f>2*29.3*R363*0.92*(DK363-W363)</f>
        <v>0</v>
      </c>
      <c r="AE363">
        <f>2*0.95*5.67E-8*(((DK363+$B$7)+273)^4-(W363+273)^4)</f>
        <v>0</v>
      </c>
      <c r="AF363">
        <f>U363+AE363+AC363+AD363</f>
        <v>0</v>
      </c>
      <c r="AG363">
        <f>DH363*AU363*(DC363-DB363*(1000-AU363*DE363)/(1000-AU363*DD363))/(100*CV363)</f>
        <v>0</v>
      </c>
      <c r="AH363">
        <f>1000*DH363*AU363*(DD363-DE363)/(100*CV363*(1000-AU363*DD363))</f>
        <v>0</v>
      </c>
      <c r="AI363">
        <f>(AJ363 - AK363 - DI363*1E3/(8.314*(DK363+273.15)) * AM363/DH363 * AL363) * DH363/(100*CV363) * (1000 - DE363)/1000</f>
        <v>0</v>
      </c>
      <c r="AJ363">
        <v>673.0684296348609</v>
      </c>
      <c r="AK363">
        <v>623.6449272727273</v>
      </c>
      <c r="AL363">
        <v>3.221614428725343</v>
      </c>
      <c r="AM363">
        <v>66.38195617057868</v>
      </c>
      <c r="AN363">
        <f>(AP363 - AO363 + DI363*1E3/(8.314*(DK363+273.15)) * AR363/DH363 * AQ363) * DH363/(100*CV363) * 1000/(1000 - AP363)</f>
        <v>0</v>
      </c>
      <c r="AO363">
        <v>9.137807700153505</v>
      </c>
      <c r="AP363">
        <v>18.72237647058823</v>
      </c>
      <c r="AQ363">
        <v>-0.0006420717718932511</v>
      </c>
      <c r="AR363">
        <v>80.47178418790507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MAX(0,($B$13+$C$13*DP363)/(1+$D$13*DP363)*DI363/(DK363+273)*$E$13)</f>
        <v>0</v>
      </c>
      <c r="AX363" t="s">
        <v>417</v>
      </c>
      <c r="AY363" t="s">
        <v>417</v>
      </c>
      <c r="AZ363">
        <v>0</v>
      </c>
      <c r="BA363">
        <v>0</v>
      </c>
      <c r="BB363">
        <f>1-AZ363/BA363</f>
        <v>0</v>
      </c>
      <c r="BC363">
        <v>0</v>
      </c>
      <c r="BD363" t="s">
        <v>417</v>
      </c>
      <c r="BE363" t="s">
        <v>417</v>
      </c>
      <c r="BF363">
        <v>0</v>
      </c>
      <c r="BG363">
        <v>0</v>
      </c>
      <c r="BH363">
        <f>1-BF363/BG363</f>
        <v>0</v>
      </c>
      <c r="BI363">
        <v>0.5</v>
      </c>
      <c r="BJ363">
        <f>CS363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417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BZ363">
        <v>1249</v>
      </c>
      <c r="CA363">
        <v>300</v>
      </c>
      <c r="CB363">
        <v>300</v>
      </c>
      <c r="CC363">
        <v>300</v>
      </c>
      <c r="CD363">
        <v>10442.4</v>
      </c>
      <c r="CE363">
        <v>1239.69</v>
      </c>
      <c r="CF363">
        <v>-0.00735276</v>
      </c>
      <c r="CG363">
        <v>0.07000000000000001</v>
      </c>
      <c r="CH363" t="s">
        <v>417</v>
      </c>
      <c r="CI363" t="s">
        <v>417</v>
      </c>
      <c r="CJ363" t="s">
        <v>417</v>
      </c>
      <c r="CK363" t="s">
        <v>417</v>
      </c>
      <c r="CL363" t="s">
        <v>417</v>
      </c>
      <c r="CM363" t="s">
        <v>417</v>
      </c>
      <c r="CN363" t="s">
        <v>417</v>
      </c>
      <c r="CO363" t="s">
        <v>417</v>
      </c>
      <c r="CP363" t="s">
        <v>417</v>
      </c>
      <c r="CQ363" t="s">
        <v>417</v>
      </c>
      <c r="CR363">
        <f>$B$11*DQ363+$C$11*DR363+$F$11*EC363*(1-EF363)</f>
        <v>0</v>
      </c>
      <c r="CS363">
        <f>CR363*CT363</f>
        <v>0</v>
      </c>
      <c r="CT363">
        <f>($B$11*$D$9+$C$11*$D$9+$F$11*((EP363+EH363)/MAX(EP363+EH363+EQ363, 0.1)*$I$9+EQ363/MAX(EP363+EH363+EQ363, 0.1)*$J$9))/($B$11+$C$11+$F$11)</f>
        <v>0</v>
      </c>
      <c r="CU363">
        <f>($B$11*$K$9+$C$11*$K$9+$F$11*((EP363+EH363)/MAX(EP363+EH363+EQ363, 0.1)*$P$9+EQ363/MAX(EP363+EH363+EQ363, 0.1)*$Q$9))/($B$11+$C$11+$F$11)</f>
        <v>0</v>
      </c>
      <c r="CV363">
        <v>6</v>
      </c>
      <c r="CW363">
        <v>0.5</v>
      </c>
      <c r="CX363" t="s">
        <v>418</v>
      </c>
      <c r="CY363">
        <v>2</v>
      </c>
      <c r="CZ363" t="b">
        <v>1</v>
      </c>
      <c r="DA363">
        <v>1651866456.5</v>
      </c>
      <c r="DB363">
        <v>610.3933333333333</v>
      </c>
      <c r="DC363">
        <v>672.5916666666667</v>
      </c>
      <c r="DD363">
        <v>18.72103333333333</v>
      </c>
      <c r="DE363">
        <v>9.13617</v>
      </c>
      <c r="DF363">
        <v>611.6906666666666</v>
      </c>
      <c r="DG363">
        <v>18.69513333333333</v>
      </c>
      <c r="DH363">
        <v>500.0323333333333</v>
      </c>
      <c r="DI363">
        <v>89.91516666666666</v>
      </c>
      <c r="DJ363">
        <v>0.1001016666666667</v>
      </c>
      <c r="DK363">
        <v>25.95273333333333</v>
      </c>
      <c r="DL363">
        <v>24.99896666666667</v>
      </c>
      <c r="DM363">
        <v>999.9</v>
      </c>
      <c r="DN363">
        <v>0</v>
      </c>
      <c r="DO363">
        <v>0</v>
      </c>
      <c r="DP363">
        <v>9981.879999999999</v>
      </c>
      <c r="DQ363">
        <v>0</v>
      </c>
      <c r="DR363">
        <v>3.20383</v>
      </c>
      <c r="DS363">
        <v>-62.19833333333333</v>
      </c>
      <c r="DT363">
        <v>622.0390000000001</v>
      </c>
      <c r="DU363">
        <v>678.7936666666667</v>
      </c>
      <c r="DV363">
        <v>9.584863333333333</v>
      </c>
      <c r="DW363">
        <v>672.5916666666667</v>
      </c>
      <c r="DX363">
        <v>9.13617</v>
      </c>
      <c r="DY363">
        <v>1.683303333333334</v>
      </c>
      <c r="DZ363">
        <v>0.8214803333333333</v>
      </c>
      <c r="EA363">
        <v>14.74333333333333</v>
      </c>
      <c r="EB363">
        <v>4.083993333333333</v>
      </c>
      <c r="EC363">
        <v>1500.07</v>
      </c>
      <c r="ED363">
        <v>0.9730046666666666</v>
      </c>
      <c r="EE363">
        <v>0.02699553333333333</v>
      </c>
      <c r="EF363">
        <v>0</v>
      </c>
      <c r="EG363">
        <v>910.2656666666667</v>
      </c>
      <c r="EH363">
        <v>5.00097</v>
      </c>
      <c r="EI363">
        <v>13572.73333333333</v>
      </c>
      <c r="EJ363">
        <v>12492.16666666667</v>
      </c>
      <c r="EK363">
        <v>38.5</v>
      </c>
      <c r="EL363">
        <v>39.687</v>
      </c>
      <c r="EM363">
        <v>38.875</v>
      </c>
      <c r="EN363">
        <v>39.437</v>
      </c>
      <c r="EO363">
        <v>39.312</v>
      </c>
      <c r="EP363">
        <v>1454.71</v>
      </c>
      <c r="EQ363">
        <v>40.36</v>
      </c>
      <c r="ER363">
        <v>0</v>
      </c>
      <c r="ES363">
        <v>975.2000000476837</v>
      </c>
      <c r="ET363">
        <v>0</v>
      </c>
      <c r="EU363">
        <v>908.7688461538462</v>
      </c>
      <c r="EV363">
        <v>15.09264953487823</v>
      </c>
      <c r="EW363">
        <v>200.6905979072742</v>
      </c>
      <c r="EX363">
        <v>13551.64615384615</v>
      </c>
      <c r="EY363">
        <v>15</v>
      </c>
      <c r="EZ363">
        <v>1651865518.1</v>
      </c>
      <c r="FA363" t="s">
        <v>910</v>
      </c>
      <c r="FB363">
        <v>1651865507.1</v>
      </c>
      <c r="FC363">
        <v>1651865518.1</v>
      </c>
      <c r="FD363">
        <v>8</v>
      </c>
      <c r="FE363">
        <v>0.06</v>
      </c>
      <c r="FF363">
        <v>0</v>
      </c>
      <c r="FG363">
        <v>-0.927</v>
      </c>
      <c r="FH363">
        <v>-0.062</v>
      </c>
      <c r="FI363">
        <v>400</v>
      </c>
      <c r="FJ363">
        <v>11</v>
      </c>
      <c r="FK363">
        <v>0.11</v>
      </c>
      <c r="FL363">
        <v>0.01</v>
      </c>
      <c r="FM363">
        <v>-62.40349024390243</v>
      </c>
      <c r="FN363">
        <v>-0.4746878048777746</v>
      </c>
      <c r="FO363">
        <v>0.2720365486607595</v>
      </c>
      <c r="FP363">
        <v>-1</v>
      </c>
      <c r="FQ363">
        <v>9.56809512195122</v>
      </c>
      <c r="FR363">
        <v>0.1782213240418073</v>
      </c>
      <c r="FS363">
        <v>0.02170853772945055</v>
      </c>
      <c r="FT363">
        <v>-1</v>
      </c>
      <c r="FU363">
        <v>0</v>
      </c>
      <c r="FV363">
        <v>0</v>
      </c>
      <c r="FW363">
        <v>0</v>
      </c>
      <c r="FX363">
        <v>-1</v>
      </c>
      <c r="FY363">
        <v>0</v>
      </c>
      <c r="FZ363">
        <v>0</v>
      </c>
      <c r="GA363" t="s">
        <v>420</v>
      </c>
      <c r="GB363">
        <v>2.9815</v>
      </c>
      <c r="GC363">
        <v>2.70597</v>
      </c>
      <c r="GD363">
        <v>0.123494</v>
      </c>
      <c r="GE363">
        <v>0.130463</v>
      </c>
      <c r="GF363">
        <v>0.0890461</v>
      </c>
      <c r="GG363">
        <v>0.0517193</v>
      </c>
      <c r="GH363">
        <v>27697.1</v>
      </c>
      <c r="GI363">
        <v>27536.4</v>
      </c>
      <c r="GJ363">
        <v>29377.2</v>
      </c>
      <c r="GK363">
        <v>29292.1</v>
      </c>
      <c r="GL363">
        <v>35433.6</v>
      </c>
      <c r="GM363">
        <v>37002.9</v>
      </c>
      <c r="GN363">
        <v>41349</v>
      </c>
      <c r="GO363">
        <v>41811.9</v>
      </c>
      <c r="GP363">
        <v>1.96735</v>
      </c>
      <c r="GQ363">
        <v>1.85455</v>
      </c>
      <c r="GR363">
        <v>-0.0061281</v>
      </c>
      <c r="GS363">
        <v>0</v>
      </c>
      <c r="GT363">
        <v>25.0995</v>
      </c>
      <c r="GU363">
        <v>999.9</v>
      </c>
      <c r="GV363">
        <v>29.6</v>
      </c>
      <c r="GW363">
        <v>34.2</v>
      </c>
      <c r="GX363">
        <v>17.7866</v>
      </c>
      <c r="GY363">
        <v>62.5576</v>
      </c>
      <c r="GZ363">
        <v>35.5008</v>
      </c>
      <c r="HA363">
        <v>1</v>
      </c>
      <c r="HB363">
        <v>0.0433918</v>
      </c>
      <c r="HC363">
        <v>1.49442</v>
      </c>
      <c r="HD363">
        <v>20.328</v>
      </c>
      <c r="HE363">
        <v>5.21714</v>
      </c>
      <c r="HF363">
        <v>12.0099</v>
      </c>
      <c r="HG363">
        <v>4.9885</v>
      </c>
      <c r="HH363">
        <v>3.2885</v>
      </c>
      <c r="HI363">
        <v>1033.4</v>
      </c>
      <c r="HJ363">
        <v>9748.700000000001</v>
      </c>
      <c r="HK363">
        <v>5139.4</v>
      </c>
      <c r="HL363">
        <v>25.4</v>
      </c>
      <c r="HM363">
        <v>1.86745</v>
      </c>
      <c r="HN363">
        <v>1.86646</v>
      </c>
      <c r="HO363">
        <v>1.866</v>
      </c>
      <c r="HP363">
        <v>1.86584</v>
      </c>
      <c r="HQ363">
        <v>1.86768</v>
      </c>
      <c r="HR363">
        <v>1.87019</v>
      </c>
      <c r="HS363">
        <v>1.8689</v>
      </c>
      <c r="HT363">
        <v>1.87024</v>
      </c>
      <c r="HU363">
        <v>0</v>
      </c>
      <c r="HV363">
        <v>0</v>
      </c>
      <c r="HW363">
        <v>0</v>
      </c>
      <c r="HX363">
        <v>0</v>
      </c>
      <c r="HY363" t="s">
        <v>421</v>
      </c>
      <c r="HZ363" t="s">
        <v>422</v>
      </c>
      <c r="IA363" t="s">
        <v>423</v>
      </c>
      <c r="IB363" t="s">
        <v>423</v>
      </c>
      <c r="IC363" t="s">
        <v>423</v>
      </c>
      <c r="ID363" t="s">
        <v>423</v>
      </c>
      <c r="IE363">
        <v>0</v>
      </c>
      <c r="IF363">
        <v>100</v>
      </c>
      <c r="IG363">
        <v>100</v>
      </c>
      <c r="IH363">
        <v>-1.303</v>
      </c>
      <c r="II363">
        <v>0.0259</v>
      </c>
      <c r="IJ363">
        <v>-0.1559367209035702</v>
      </c>
      <c r="IK363">
        <v>-0.002077099775823331</v>
      </c>
      <c r="IL363">
        <v>4.593143279902166E-07</v>
      </c>
      <c r="IM363">
        <v>-1.865383991892071E-10</v>
      </c>
      <c r="IN363">
        <v>-0.0607165066849496</v>
      </c>
      <c r="IO363">
        <v>-0.01129461987421345</v>
      </c>
      <c r="IP363">
        <v>0.00116580895745559</v>
      </c>
      <c r="IQ363">
        <v>-1.679085872906199E-05</v>
      </c>
      <c r="IR363">
        <v>2</v>
      </c>
      <c r="IS363">
        <v>2290</v>
      </c>
      <c r="IT363">
        <v>0</v>
      </c>
      <c r="IU363">
        <v>32</v>
      </c>
      <c r="IV363">
        <v>15.8</v>
      </c>
      <c r="IW363">
        <v>15.7</v>
      </c>
      <c r="IX363">
        <v>1.54175</v>
      </c>
      <c r="IY363">
        <v>2.19849</v>
      </c>
      <c r="IZ363">
        <v>1.39648</v>
      </c>
      <c r="JA363">
        <v>2.35596</v>
      </c>
      <c r="JB363">
        <v>1.49536</v>
      </c>
      <c r="JC363">
        <v>2.37427</v>
      </c>
      <c r="JD363">
        <v>38.0134</v>
      </c>
      <c r="JE363">
        <v>24.0437</v>
      </c>
      <c r="JF363">
        <v>18</v>
      </c>
      <c r="JG363">
        <v>512.542</v>
      </c>
      <c r="JH363">
        <v>426.205</v>
      </c>
      <c r="JI363">
        <v>23.1483</v>
      </c>
      <c r="JJ363">
        <v>27.8823</v>
      </c>
      <c r="JK363">
        <v>30</v>
      </c>
      <c r="JL363">
        <v>27.8988</v>
      </c>
      <c r="JM363">
        <v>27.8426</v>
      </c>
      <c r="JN363">
        <v>31.0109</v>
      </c>
      <c r="JO363">
        <v>46.0558</v>
      </c>
      <c r="JP363">
        <v>0</v>
      </c>
      <c r="JQ363">
        <v>23.1482</v>
      </c>
      <c r="JR363">
        <v>699.273</v>
      </c>
      <c r="JS363">
        <v>9.112869999999999</v>
      </c>
      <c r="JT363">
        <v>100.416</v>
      </c>
      <c r="JU363">
        <v>100.349</v>
      </c>
    </row>
    <row r="364" spans="1:281">
      <c r="A364">
        <v>348</v>
      </c>
      <c r="B364">
        <v>1651866459.5</v>
      </c>
      <c r="C364">
        <v>2238.900000095367</v>
      </c>
      <c r="D364" t="s">
        <v>1119</v>
      </c>
      <c r="E364" t="s">
        <v>1120</v>
      </c>
      <c r="F364">
        <v>2</v>
      </c>
      <c r="G364" t="s">
        <v>908</v>
      </c>
      <c r="H364" t="s">
        <v>414</v>
      </c>
      <c r="I364">
        <v>1651866458.125</v>
      </c>
      <c r="J364">
        <f>(K364)/1000</f>
        <v>0</v>
      </c>
      <c r="K364">
        <f>IF(CZ364, AN364, AH364)</f>
        <v>0</v>
      </c>
      <c r="L364">
        <f>IF(CZ364, AI364, AG364)</f>
        <v>0</v>
      </c>
      <c r="M364">
        <f>DB364 - IF(AU364&gt;1, L364*CV364*100.0/(AW364*DP364), 0)</f>
        <v>0</v>
      </c>
      <c r="N364">
        <f>((T364-J364/2)*M364-L364)/(T364+J364/2)</f>
        <v>0</v>
      </c>
      <c r="O364">
        <f>N364*(DI364+DJ364)/1000.0</f>
        <v>0</v>
      </c>
      <c r="P364">
        <f>(DB364 - IF(AU364&gt;1, L364*CV364*100.0/(AW364*DP364), 0))*(DI364+DJ364)/1000.0</f>
        <v>0</v>
      </c>
      <c r="Q364">
        <f>2.0/((1/S364-1/R364)+SIGN(S364)*SQRT((1/S364-1/R364)*(1/S364-1/R364) + 4*CW364/((CW364+1)*(CW364+1))*(2*1/S364*1/R364-1/R364*1/R364)))</f>
        <v>0</v>
      </c>
      <c r="R364">
        <f>IF(LEFT(CX364,1)&lt;&gt;"0",IF(LEFT(CX364,1)="1",3.0,CY364),$D$5+$E$5*(DP364*DI364/($K$5*1000))+$F$5*(DP364*DI364/($K$5*1000))*MAX(MIN(CV364,$J$5),$I$5)*MAX(MIN(CV364,$J$5),$I$5)+$G$5*MAX(MIN(CV364,$J$5),$I$5)*(DP364*DI364/($K$5*1000))+$H$5*(DP364*DI364/($K$5*1000))*(DP364*DI364/($K$5*1000)))</f>
        <v>0</v>
      </c>
      <c r="S364">
        <f>J364*(1000-(1000*0.61365*exp(17.502*W364/(240.97+W364))/(DI364+DJ364)+DD364)/2)/(1000*0.61365*exp(17.502*W364/(240.97+W364))/(DI364+DJ364)-DD364)</f>
        <v>0</v>
      </c>
      <c r="T364">
        <f>1/((CW364+1)/(Q364/1.6)+1/(R364/1.37)) + CW364/((CW364+1)/(Q364/1.6) + CW364/(R364/1.37))</f>
        <v>0</v>
      </c>
      <c r="U364">
        <f>(CR364*CU364)</f>
        <v>0</v>
      </c>
      <c r="V364">
        <f>(DK364+(U364+2*0.95*5.67E-8*(((DK364+$B$7)+273)^4-(DK364+273)^4)-44100*J364)/(1.84*29.3*R364+8*0.95*5.67E-8*(DK364+273)^3))</f>
        <v>0</v>
      </c>
      <c r="W364">
        <f>($C$7*DL364+$D$7*DM364+$E$7*V364)</f>
        <v>0</v>
      </c>
      <c r="X364">
        <f>0.61365*exp(17.502*W364/(240.97+W364))</f>
        <v>0</v>
      </c>
      <c r="Y364">
        <f>(Z364/AA364*100)</f>
        <v>0</v>
      </c>
      <c r="Z364">
        <f>DD364*(DI364+DJ364)/1000</f>
        <v>0</v>
      </c>
      <c r="AA364">
        <f>0.61365*exp(17.502*DK364/(240.97+DK364))</f>
        <v>0</v>
      </c>
      <c r="AB364">
        <f>(X364-DD364*(DI364+DJ364)/1000)</f>
        <v>0</v>
      </c>
      <c r="AC364">
        <f>(-J364*44100)</f>
        <v>0</v>
      </c>
      <c r="AD364">
        <f>2*29.3*R364*0.92*(DK364-W364)</f>
        <v>0</v>
      </c>
      <c r="AE364">
        <f>2*0.95*5.67E-8*(((DK364+$B$7)+273)^4-(W364+273)^4)</f>
        <v>0</v>
      </c>
      <c r="AF364">
        <f>U364+AE364+AC364+AD364</f>
        <v>0</v>
      </c>
      <c r="AG364">
        <f>DH364*AU364*(DC364-DB364*(1000-AU364*DE364)/(1000-AU364*DD364))/(100*CV364)</f>
        <v>0</v>
      </c>
      <c r="AH364">
        <f>1000*DH364*AU364*(DD364-DE364)/(100*CV364*(1000-AU364*DD364))</f>
        <v>0</v>
      </c>
      <c r="AI364">
        <f>(AJ364 - AK364 - DI364*1E3/(8.314*(DK364+273.15)) * AM364/DH364 * AL364) * DH364/(100*CV364) * (1000 - DE364)/1000</f>
        <v>0</v>
      </c>
      <c r="AJ364">
        <v>679.5664847481868</v>
      </c>
      <c r="AK364">
        <v>630.1667696969698</v>
      </c>
      <c r="AL364">
        <v>3.243894251094462</v>
      </c>
      <c r="AM364">
        <v>66.38195617057868</v>
      </c>
      <c r="AN364">
        <f>(AP364 - AO364 + DI364*1E3/(8.314*(DK364+273.15)) * AR364/DH364 * AQ364) * DH364/(100*CV364) * 1000/(1000 - AP364)</f>
        <v>0</v>
      </c>
      <c r="AO364">
        <v>9.136789672557876</v>
      </c>
      <c r="AP364">
        <v>18.72079558823529</v>
      </c>
      <c r="AQ364">
        <v>0.0001646097952464954</v>
      </c>
      <c r="AR364">
        <v>80.47178418790507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MAX(0,($B$13+$C$13*DP364)/(1+$D$13*DP364)*DI364/(DK364+273)*$E$13)</f>
        <v>0</v>
      </c>
      <c r="AX364" t="s">
        <v>417</v>
      </c>
      <c r="AY364" t="s">
        <v>417</v>
      </c>
      <c r="AZ364">
        <v>0</v>
      </c>
      <c r="BA364">
        <v>0</v>
      </c>
      <c r="BB364">
        <f>1-AZ364/BA364</f>
        <v>0</v>
      </c>
      <c r="BC364">
        <v>0</v>
      </c>
      <c r="BD364" t="s">
        <v>417</v>
      </c>
      <c r="BE364" t="s">
        <v>417</v>
      </c>
      <c r="BF364">
        <v>0</v>
      </c>
      <c r="BG364">
        <v>0</v>
      </c>
      <c r="BH364">
        <f>1-BF364/BG364</f>
        <v>0</v>
      </c>
      <c r="BI364">
        <v>0.5</v>
      </c>
      <c r="BJ364">
        <f>CS364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417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BZ364">
        <v>1249</v>
      </c>
      <c r="CA364">
        <v>300</v>
      </c>
      <c r="CB364">
        <v>300</v>
      </c>
      <c r="CC364">
        <v>300</v>
      </c>
      <c r="CD364">
        <v>10442.4</v>
      </c>
      <c r="CE364">
        <v>1239.69</v>
      </c>
      <c r="CF364">
        <v>-0.00735276</v>
      </c>
      <c r="CG364">
        <v>0.07000000000000001</v>
      </c>
      <c r="CH364" t="s">
        <v>417</v>
      </c>
      <c r="CI364" t="s">
        <v>417</v>
      </c>
      <c r="CJ364" t="s">
        <v>417</v>
      </c>
      <c r="CK364" t="s">
        <v>417</v>
      </c>
      <c r="CL364" t="s">
        <v>417</v>
      </c>
      <c r="CM364" t="s">
        <v>417</v>
      </c>
      <c r="CN364" t="s">
        <v>417</v>
      </c>
      <c r="CO364" t="s">
        <v>417</v>
      </c>
      <c r="CP364" t="s">
        <v>417</v>
      </c>
      <c r="CQ364" t="s">
        <v>417</v>
      </c>
      <c r="CR364">
        <f>$B$11*DQ364+$C$11*DR364+$F$11*EC364*(1-EF364)</f>
        <v>0</v>
      </c>
      <c r="CS364">
        <f>CR364*CT364</f>
        <v>0</v>
      </c>
      <c r="CT364">
        <f>($B$11*$D$9+$C$11*$D$9+$F$11*((EP364+EH364)/MAX(EP364+EH364+EQ364, 0.1)*$I$9+EQ364/MAX(EP364+EH364+EQ364, 0.1)*$J$9))/($B$11+$C$11+$F$11)</f>
        <v>0</v>
      </c>
      <c r="CU364">
        <f>($B$11*$K$9+$C$11*$K$9+$F$11*((EP364+EH364)/MAX(EP364+EH364+EQ364, 0.1)*$P$9+EQ364/MAX(EP364+EH364+EQ364, 0.1)*$Q$9))/($B$11+$C$11+$F$11)</f>
        <v>0</v>
      </c>
      <c r="CV364">
        <v>6</v>
      </c>
      <c r="CW364">
        <v>0.5</v>
      </c>
      <c r="CX364" t="s">
        <v>418</v>
      </c>
      <c r="CY364">
        <v>2</v>
      </c>
      <c r="CZ364" t="b">
        <v>1</v>
      </c>
      <c r="DA364">
        <v>1651866458.125</v>
      </c>
      <c r="DB364">
        <v>615.5767499999999</v>
      </c>
      <c r="DC364">
        <v>677.9815</v>
      </c>
      <c r="DD364">
        <v>18.7205</v>
      </c>
      <c r="DE364">
        <v>9.1357</v>
      </c>
      <c r="DF364">
        <v>616.883</v>
      </c>
      <c r="DG364">
        <v>18.694625</v>
      </c>
      <c r="DH364">
        <v>500.0052499999999</v>
      </c>
      <c r="DI364">
        <v>89.9151</v>
      </c>
      <c r="DJ364">
        <v>0.099823675</v>
      </c>
      <c r="DK364">
        <v>25.95055</v>
      </c>
      <c r="DL364">
        <v>24.998375</v>
      </c>
      <c r="DM364">
        <v>999.9</v>
      </c>
      <c r="DN364">
        <v>0</v>
      </c>
      <c r="DO364">
        <v>0</v>
      </c>
      <c r="DP364">
        <v>9996.875</v>
      </c>
      <c r="DQ364">
        <v>0</v>
      </c>
      <c r="DR364">
        <v>3.20383</v>
      </c>
      <c r="DS364">
        <v>-62.40465</v>
      </c>
      <c r="DT364">
        <v>627.3205</v>
      </c>
      <c r="DU364">
        <v>684.2325</v>
      </c>
      <c r="DV364">
        <v>9.584797500000001</v>
      </c>
      <c r="DW364">
        <v>677.9815</v>
      </c>
      <c r="DX364">
        <v>9.1357</v>
      </c>
      <c r="DY364">
        <v>1.6832575</v>
      </c>
      <c r="DZ364">
        <v>0.8214375</v>
      </c>
      <c r="EA364">
        <v>14.742875</v>
      </c>
      <c r="EB364">
        <v>4.083255</v>
      </c>
      <c r="EC364">
        <v>1499.975</v>
      </c>
      <c r="ED364">
        <v>0.973003</v>
      </c>
      <c r="EE364">
        <v>0.0269973</v>
      </c>
      <c r="EF364">
        <v>0</v>
      </c>
      <c r="EG364">
        <v>910.6112499999999</v>
      </c>
      <c r="EH364">
        <v>5.00097</v>
      </c>
      <c r="EI364">
        <v>13576.2</v>
      </c>
      <c r="EJ364">
        <v>12491.4</v>
      </c>
      <c r="EK364">
        <v>38.5</v>
      </c>
      <c r="EL364">
        <v>39.687</v>
      </c>
      <c r="EM364">
        <v>38.875</v>
      </c>
      <c r="EN364">
        <v>39.437</v>
      </c>
      <c r="EO364">
        <v>39.312</v>
      </c>
      <c r="EP364">
        <v>1454.615</v>
      </c>
      <c r="EQ364">
        <v>40.36</v>
      </c>
      <c r="ER364">
        <v>0</v>
      </c>
      <c r="ES364">
        <v>977</v>
      </c>
      <c r="ET364">
        <v>0</v>
      </c>
      <c r="EU364">
        <v>909.28512</v>
      </c>
      <c r="EV364">
        <v>14.82323077730979</v>
      </c>
      <c r="EW364">
        <v>193.884615552999</v>
      </c>
      <c r="EX364">
        <v>13558.548</v>
      </c>
      <c r="EY364">
        <v>15</v>
      </c>
      <c r="EZ364">
        <v>1651865518.1</v>
      </c>
      <c r="FA364" t="s">
        <v>910</v>
      </c>
      <c r="FB364">
        <v>1651865507.1</v>
      </c>
      <c r="FC364">
        <v>1651865518.1</v>
      </c>
      <c r="FD364">
        <v>8</v>
      </c>
      <c r="FE364">
        <v>0.06</v>
      </c>
      <c r="FF364">
        <v>0</v>
      </c>
      <c r="FG364">
        <v>-0.927</v>
      </c>
      <c r="FH364">
        <v>-0.062</v>
      </c>
      <c r="FI364">
        <v>400</v>
      </c>
      <c r="FJ364">
        <v>11</v>
      </c>
      <c r="FK364">
        <v>0.11</v>
      </c>
      <c r="FL364">
        <v>0.01</v>
      </c>
      <c r="FM364">
        <v>-62.452465</v>
      </c>
      <c r="FN364">
        <v>0.5833215759851016</v>
      </c>
      <c r="FO364">
        <v>0.2364574766739262</v>
      </c>
      <c r="FP364">
        <v>-1</v>
      </c>
      <c r="FQ364">
        <v>9.575861750000001</v>
      </c>
      <c r="FR364">
        <v>0.1061368480299893</v>
      </c>
      <c r="FS364">
        <v>0.01547025741342076</v>
      </c>
      <c r="FT364">
        <v>-1</v>
      </c>
      <c r="FU364">
        <v>0</v>
      </c>
      <c r="FV364">
        <v>0</v>
      </c>
      <c r="FW364">
        <v>0</v>
      </c>
      <c r="FX364">
        <v>-1</v>
      </c>
      <c r="FY364">
        <v>0</v>
      </c>
      <c r="FZ364">
        <v>0</v>
      </c>
      <c r="GA364" t="s">
        <v>420</v>
      </c>
      <c r="GB364">
        <v>2.9813</v>
      </c>
      <c r="GC364">
        <v>2.70598</v>
      </c>
      <c r="GD364">
        <v>0.124392</v>
      </c>
      <c r="GE364">
        <v>0.131345</v>
      </c>
      <c r="GF364">
        <v>0.0890518</v>
      </c>
      <c r="GG364">
        <v>0.0517173</v>
      </c>
      <c r="GH364">
        <v>27669.3</v>
      </c>
      <c r="GI364">
        <v>27508.6</v>
      </c>
      <c r="GJ364">
        <v>29377.7</v>
      </c>
      <c r="GK364">
        <v>29292.4</v>
      </c>
      <c r="GL364">
        <v>35434.1</v>
      </c>
      <c r="GM364">
        <v>37003.3</v>
      </c>
      <c r="GN364">
        <v>41349.8</v>
      </c>
      <c r="GO364">
        <v>41812.2</v>
      </c>
      <c r="GP364">
        <v>1.96707</v>
      </c>
      <c r="GQ364">
        <v>1.85487</v>
      </c>
      <c r="GR364">
        <v>-0.00618398</v>
      </c>
      <c r="GS364">
        <v>0</v>
      </c>
      <c r="GT364">
        <v>25.0995</v>
      </c>
      <c r="GU364">
        <v>999.9</v>
      </c>
      <c r="GV364">
        <v>29.6</v>
      </c>
      <c r="GW364">
        <v>34.2</v>
      </c>
      <c r="GX364">
        <v>17.7864</v>
      </c>
      <c r="GY364">
        <v>62.3876</v>
      </c>
      <c r="GZ364">
        <v>35.3926</v>
      </c>
      <c r="HA364">
        <v>1</v>
      </c>
      <c r="HB364">
        <v>0.0433918</v>
      </c>
      <c r="HC364">
        <v>1.49524</v>
      </c>
      <c r="HD364">
        <v>20.328</v>
      </c>
      <c r="HE364">
        <v>5.21699</v>
      </c>
      <c r="HF364">
        <v>12.0099</v>
      </c>
      <c r="HG364">
        <v>4.9886</v>
      </c>
      <c r="HH364">
        <v>3.2885</v>
      </c>
      <c r="HI364">
        <v>1033.4</v>
      </c>
      <c r="HJ364">
        <v>9748.700000000001</v>
      </c>
      <c r="HK364">
        <v>5139.4</v>
      </c>
      <c r="HL364">
        <v>25.4</v>
      </c>
      <c r="HM364">
        <v>1.86745</v>
      </c>
      <c r="HN364">
        <v>1.86646</v>
      </c>
      <c r="HO364">
        <v>1.866</v>
      </c>
      <c r="HP364">
        <v>1.86584</v>
      </c>
      <c r="HQ364">
        <v>1.86768</v>
      </c>
      <c r="HR364">
        <v>1.8702</v>
      </c>
      <c r="HS364">
        <v>1.8689</v>
      </c>
      <c r="HT364">
        <v>1.87023</v>
      </c>
      <c r="HU364">
        <v>0</v>
      </c>
      <c r="HV364">
        <v>0</v>
      </c>
      <c r="HW364">
        <v>0</v>
      </c>
      <c r="HX364">
        <v>0</v>
      </c>
      <c r="HY364" t="s">
        <v>421</v>
      </c>
      <c r="HZ364" t="s">
        <v>422</v>
      </c>
      <c r="IA364" t="s">
        <v>423</v>
      </c>
      <c r="IB364" t="s">
        <v>423</v>
      </c>
      <c r="IC364" t="s">
        <v>423</v>
      </c>
      <c r="ID364" t="s">
        <v>423</v>
      </c>
      <c r="IE364">
        <v>0</v>
      </c>
      <c r="IF364">
        <v>100</v>
      </c>
      <c r="IG364">
        <v>100</v>
      </c>
      <c r="IH364">
        <v>-1.314</v>
      </c>
      <c r="II364">
        <v>0.0258</v>
      </c>
      <c r="IJ364">
        <v>-0.1559367209035702</v>
      </c>
      <c r="IK364">
        <v>-0.002077099775823331</v>
      </c>
      <c r="IL364">
        <v>4.593143279902166E-07</v>
      </c>
      <c r="IM364">
        <v>-1.865383991892071E-10</v>
      </c>
      <c r="IN364">
        <v>-0.0607165066849496</v>
      </c>
      <c r="IO364">
        <v>-0.01129461987421345</v>
      </c>
      <c r="IP364">
        <v>0.00116580895745559</v>
      </c>
      <c r="IQ364">
        <v>-1.679085872906199E-05</v>
      </c>
      <c r="IR364">
        <v>2</v>
      </c>
      <c r="IS364">
        <v>2290</v>
      </c>
      <c r="IT364">
        <v>0</v>
      </c>
      <c r="IU364">
        <v>32</v>
      </c>
      <c r="IV364">
        <v>15.9</v>
      </c>
      <c r="IW364">
        <v>15.7</v>
      </c>
      <c r="IX364">
        <v>1.55396</v>
      </c>
      <c r="IY364">
        <v>2.19727</v>
      </c>
      <c r="IZ364">
        <v>1.39648</v>
      </c>
      <c r="JA364">
        <v>2.35474</v>
      </c>
      <c r="JB364">
        <v>1.49536</v>
      </c>
      <c r="JC364">
        <v>2.37183</v>
      </c>
      <c r="JD364">
        <v>38.0134</v>
      </c>
      <c r="JE364">
        <v>24.035</v>
      </c>
      <c r="JF364">
        <v>18</v>
      </c>
      <c r="JG364">
        <v>512.3579999999999</v>
      </c>
      <c r="JH364">
        <v>426.391</v>
      </c>
      <c r="JI364">
        <v>23.1483</v>
      </c>
      <c r="JJ364">
        <v>27.882</v>
      </c>
      <c r="JK364">
        <v>30</v>
      </c>
      <c r="JL364">
        <v>27.8982</v>
      </c>
      <c r="JM364">
        <v>27.8416</v>
      </c>
      <c r="JN364">
        <v>31.2491</v>
      </c>
      <c r="JO364">
        <v>46.0558</v>
      </c>
      <c r="JP364">
        <v>0</v>
      </c>
      <c r="JQ364">
        <v>23.1482</v>
      </c>
      <c r="JR364">
        <v>705.952</v>
      </c>
      <c r="JS364">
        <v>9.10778</v>
      </c>
      <c r="JT364">
        <v>100.418</v>
      </c>
      <c r="JU364">
        <v>100.349</v>
      </c>
    </row>
    <row r="365" spans="1:281">
      <c r="A365">
        <v>349</v>
      </c>
      <c r="B365">
        <v>1651866461.5</v>
      </c>
      <c r="C365">
        <v>2240.900000095367</v>
      </c>
      <c r="D365" t="s">
        <v>1121</v>
      </c>
      <c r="E365" t="s">
        <v>1122</v>
      </c>
      <c r="F365">
        <v>2</v>
      </c>
      <c r="G365" t="s">
        <v>908</v>
      </c>
      <c r="H365" t="s">
        <v>414</v>
      </c>
      <c r="I365">
        <v>1651866460.5</v>
      </c>
      <c r="J365">
        <f>(K365)/1000</f>
        <v>0</v>
      </c>
      <c r="K365">
        <f>IF(CZ365, AN365, AH365)</f>
        <v>0</v>
      </c>
      <c r="L365">
        <f>IF(CZ365, AI365, AG365)</f>
        <v>0</v>
      </c>
      <c r="M365">
        <f>DB365 - IF(AU365&gt;1, L365*CV365*100.0/(AW365*DP365), 0)</f>
        <v>0</v>
      </c>
      <c r="N365">
        <f>((T365-J365/2)*M365-L365)/(T365+J365/2)</f>
        <v>0</v>
      </c>
      <c r="O365">
        <f>N365*(DI365+DJ365)/1000.0</f>
        <v>0</v>
      </c>
      <c r="P365">
        <f>(DB365 - IF(AU365&gt;1, L365*CV365*100.0/(AW365*DP365), 0))*(DI365+DJ365)/1000.0</f>
        <v>0</v>
      </c>
      <c r="Q365">
        <f>2.0/((1/S365-1/R365)+SIGN(S365)*SQRT((1/S365-1/R365)*(1/S365-1/R365) + 4*CW365/((CW365+1)*(CW365+1))*(2*1/S365*1/R365-1/R365*1/R365)))</f>
        <v>0</v>
      </c>
      <c r="R365">
        <f>IF(LEFT(CX365,1)&lt;&gt;"0",IF(LEFT(CX365,1)="1",3.0,CY365),$D$5+$E$5*(DP365*DI365/($K$5*1000))+$F$5*(DP365*DI365/($K$5*1000))*MAX(MIN(CV365,$J$5),$I$5)*MAX(MIN(CV365,$J$5),$I$5)+$G$5*MAX(MIN(CV365,$J$5),$I$5)*(DP365*DI365/($K$5*1000))+$H$5*(DP365*DI365/($K$5*1000))*(DP365*DI365/($K$5*1000)))</f>
        <v>0</v>
      </c>
      <c r="S365">
        <f>J365*(1000-(1000*0.61365*exp(17.502*W365/(240.97+W365))/(DI365+DJ365)+DD365)/2)/(1000*0.61365*exp(17.502*W365/(240.97+W365))/(DI365+DJ365)-DD365)</f>
        <v>0</v>
      </c>
      <c r="T365">
        <f>1/((CW365+1)/(Q365/1.6)+1/(R365/1.37)) + CW365/((CW365+1)/(Q365/1.6) + CW365/(R365/1.37))</f>
        <v>0</v>
      </c>
      <c r="U365">
        <f>(CR365*CU365)</f>
        <v>0</v>
      </c>
      <c r="V365">
        <f>(DK365+(U365+2*0.95*5.67E-8*(((DK365+$B$7)+273)^4-(DK365+273)^4)-44100*J365)/(1.84*29.3*R365+8*0.95*5.67E-8*(DK365+273)^3))</f>
        <v>0</v>
      </c>
      <c r="W365">
        <f>($C$7*DL365+$D$7*DM365+$E$7*V365)</f>
        <v>0</v>
      </c>
      <c r="X365">
        <f>0.61365*exp(17.502*W365/(240.97+W365))</f>
        <v>0</v>
      </c>
      <c r="Y365">
        <f>(Z365/AA365*100)</f>
        <v>0</v>
      </c>
      <c r="Z365">
        <f>DD365*(DI365+DJ365)/1000</f>
        <v>0</v>
      </c>
      <c r="AA365">
        <f>0.61365*exp(17.502*DK365/(240.97+DK365))</f>
        <v>0</v>
      </c>
      <c r="AB365">
        <f>(X365-DD365*(DI365+DJ365)/1000)</f>
        <v>0</v>
      </c>
      <c r="AC365">
        <f>(-J365*44100)</f>
        <v>0</v>
      </c>
      <c r="AD365">
        <f>2*29.3*R365*0.92*(DK365-W365)</f>
        <v>0</v>
      </c>
      <c r="AE365">
        <f>2*0.95*5.67E-8*(((DK365+$B$7)+273)^4-(W365+273)^4)</f>
        <v>0</v>
      </c>
      <c r="AF365">
        <f>U365+AE365+AC365+AD365</f>
        <v>0</v>
      </c>
      <c r="AG365">
        <f>DH365*AU365*(DC365-DB365*(1000-AU365*DE365)/(1000-AU365*DD365))/(100*CV365)</f>
        <v>0</v>
      </c>
      <c r="AH365">
        <f>1000*DH365*AU365*(DD365-DE365)/(100*CV365*(1000-AU365*DD365))</f>
        <v>0</v>
      </c>
      <c r="AI365">
        <f>(AJ365 - AK365 - DI365*1E3/(8.314*(DK365+273.15)) * AM365/DH365 * AL365) * DH365/(100*CV365) * (1000 - DE365)/1000</f>
        <v>0</v>
      </c>
      <c r="AJ365">
        <v>686.2696767532469</v>
      </c>
      <c r="AK365">
        <v>636.7642363636364</v>
      </c>
      <c r="AL365">
        <v>3.281164713992967</v>
      </c>
      <c r="AM365">
        <v>66.38195617057868</v>
      </c>
      <c r="AN365">
        <f>(AP365 - AO365 + DI365*1E3/(8.314*(DK365+273.15)) * AR365/DH365 * AQ365) * DH365/(100*CV365) * 1000/(1000 - AP365)</f>
        <v>0</v>
      </c>
      <c r="AO365">
        <v>9.136014345031038</v>
      </c>
      <c r="AP365">
        <v>18.72214735294117</v>
      </c>
      <c r="AQ365">
        <v>0.0001065509993247385</v>
      </c>
      <c r="AR365">
        <v>80.47178418790507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MAX(0,($B$13+$C$13*DP365)/(1+$D$13*DP365)*DI365/(DK365+273)*$E$13)</f>
        <v>0</v>
      </c>
      <c r="AX365" t="s">
        <v>417</v>
      </c>
      <c r="AY365" t="s">
        <v>417</v>
      </c>
      <c r="AZ365">
        <v>0</v>
      </c>
      <c r="BA365">
        <v>0</v>
      </c>
      <c r="BB365">
        <f>1-AZ365/BA365</f>
        <v>0</v>
      </c>
      <c r="BC365">
        <v>0</v>
      </c>
      <c r="BD365" t="s">
        <v>417</v>
      </c>
      <c r="BE365" t="s">
        <v>417</v>
      </c>
      <c r="BF365">
        <v>0</v>
      </c>
      <c r="BG365">
        <v>0</v>
      </c>
      <c r="BH365">
        <f>1-BF365/BG365</f>
        <v>0</v>
      </c>
      <c r="BI365">
        <v>0.5</v>
      </c>
      <c r="BJ365">
        <f>CS365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417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BZ365">
        <v>1249</v>
      </c>
      <c r="CA365">
        <v>300</v>
      </c>
      <c r="CB365">
        <v>300</v>
      </c>
      <c r="CC365">
        <v>300</v>
      </c>
      <c r="CD365">
        <v>10442.4</v>
      </c>
      <c r="CE365">
        <v>1239.69</v>
      </c>
      <c r="CF365">
        <v>-0.00735276</v>
      </c>
      <c r="CG365">
        <v>0.07000000000000001</v>
      </c>
      <c r="CH365" t="s">
        <v>417</v>
      </c>
      <c r="CI365" t="s">
        <v>417</v>
      </c>
      <c r="CJ365" t="s">
        <v>417</v>
      </c>
      <c r="CK365" t="s">
        <v>417</v>
      </c>
      <c r="CL365" t="s">
        <v>417</v>
      </c>
      <c r="CM365" t="s">
        <v>417</v>
      </c>
      <c r="CN365" t="s">
        <v>417</v>
      </c>
      <c r="CO365" t="s">
        <v>417</v>
      </c>
      <c r="CP365" t="s">
        <v>417</v>
      </c>
      <c r="CQ365" t="s">
        <v>417</v>
      </c>
      <c r="CR365">
        <f>$B$11*DQ365+$C$11*DR365+$F$11*EC365*(1-EF365)</f>
        <v>0</v>
      </c>
      <c r="CS365">
        <f>CR365*CT365</f>
        <v>0</v>
      </c>
      <c r="CT365">
        <f>($B$11*$D$9+$C$11*$D$9+$F$11*((EP365+EH365)/MAX(EP365+EH365+EQ365, 0.1)*$I$9+EQ365/MAX(EP365+EH365+EQ365, 0.1)*$J$9))/($B$11+$C$11+$F$11)</f>
        <v>0</v>
      </c>
      <c r="CU365">
        <f>($B$11*$K$9+$C$11*$K$9+$F$11*((EP365+EH365)/MAX(EP365+EH365+EQ365, 0.1)*$P$9+EQ365/MAX(EP365+EH365+EQ365, 0.1)*$Q$9))/($B$11+$C$11+$F$11)</f>
        <v>0</v>
      </c>
      <c r="CV365">
        <v>6</v>
      </c>
      <c r="CW365">
        <v>0.5</v>
      </c>
      <c r="CX365" t="s">
        <v>418</v>
      </c>
      <c r="CY365">
        <v>2</v>
      </c>
      <c r="CZ365" t="b">
        <v>1</v>
      </c>
      <c r="DA365">
        <v>1651866460.5</v>
      </c>
      <c r="DB365">
        <v>623.2189999999999</v>
      </c>
      <c r="DC365">
        <v>686</v>
      </c>
      <c r="DD365">
        <v>18.72223333333333</v>
      </c>
      <c r="DE365">
        <v>9.135656666666668</v>
      </c>
      <c r="DF365">
        <v>624.5386666666667</v>
      </c>
      <c r="DG365">
        <v>18.69633333333333</v>
      </c>
      <c r="DH365">
        <v>500.0436666666667</v>
      </c>
      <c r="DI365">
        <v>89.91640000000001</v>
      </c>
      <c r="DJ365">
        <v>0.09979933333333334</v>
      </c>
      <c r="DK365">
        <v>25.95053333333334</v>
      </c>
      <c r="DL365">
        <v>24.9985</v>
      </c>
      <c r="DM365">
        <v>999.9</v>
      </c>
      <c r="DN365">
        <v>0</v>
      </c>
      <c r="DO365">
        <v>0</v>
      </c>
      <c r="DP365">
        <v>10026.26666666667</v>
      </c>
      <c r="DQ365">
        <v>0</v>
      </c>
      <c r="DR365">
        <v>3.20383</v>
      </c>
      <c r="DS365">
        <v>-62.78103333333333</v>
      </c>
      <c r="DT365">
        <v>635.1096666666667</v>
      </c>
      <c r="DU365">
        <v>692.3253333333333</v>
      </c>
      <c r="DV365">
        <v>9.586586666666667</v>
      </c>
      <c r="DW365">
        <v>686</v>
      </c>
      <c r="DX365">
        <v>9.135656666666668</v>
      </c>
      <c r="DY365">
        <v>1.683436666666666</v>
      </c>
      <c r="DZ365">
        <v>0.8214453333333332</v>
      </c>
      <c r="EA365">
        <v>14.74456666666667</v>
      </c>
      <c r="EB365">
        <v>4.083393333333333</v>
      </c>
      <c r="EC365">
        <v>1499.986666666667</v>
      </c>
      <c r="ED365">
        <v>0.973003</v>
      </c>
      <c r="EE365">
        <v>0.0269973</v>
      </c>
      <c r="EF365">
        <v>0</v>
      </c>
      <c r="EG365">
        <v>911.2813333333334</v>
      </c>
      <c r="EH365">
        <v>5.00097</v>
      </c>
      <c r="EI365">
        <v>13583.86666666667</v>
      </c>
      <c r="EJ365">
        <v>12491.5</v>
      </c>
      <c r="EK365">
        <v>38.5</v>
      </c>
      <c r="EL365">
        <v>39.687</v>
      </c>
      <c r="EM365">
        <v>38.875</v>
      </c>
      <c r="EN365">
        <v>39.437</v>
      </c>
      <c r="EO365">
        <v>39.312</v>
      </c>
      <c r="EP365">
        <v>1454.626666666667</v>
      </c>
      <c r="EQ365">
        <v>40.36</v>
      </c>
      <c r="ER365">
        <v>0</v>
      </c>
      <c r="ES365">
        <v>978.7999999523163</v>
      </c>
      <c r="ET365">
        <v>0</v>
      </c>
      <c r="EU365">
        <v>909.6516538461536</v>
      </c>
      <c r="EV365">
        <v>14.72789742519707</v>
      </c>
      <c r="EW365">
        <v>189.4974358149273</v>
      </c>
      <c r="EX365">
        <v>13563.3076923077</v>
      </c>
      <c r="EY365">
        <v>15</v>
      </c>
      <c r="EZ365">
        <v>1651865518.1</v>
      </c>
      <c r="FA365" t="s">
        <v>910</v>
      </c>
      <c r="FB365">
        <v>1651865507.1</v>
      </c>
      <c r="FC365">
        <v>1651865518.1</v>
      </c>
      <c r="FD365">
        <v>8</v>
      </c>
      <c r="FE365">
        <v>0.06</v>
      </c>
      <c r="FF365">
        <v>0</v>
      </c>
      <c r="FG365">
        <v>-0.927</v>
      </c>
      <c r="FH365">
        <v>-0.062</v>
      </c>
      <c r="FI365">
        <v>400</v>
      </c>
      <c r="FJ365">
        <v>11</v>
      </c>
      <c r="FK365">
        <v>0.11</v>
      </c>
      <c r="FL365">
        <v>0.01</v>
      </c>
      <c r="FM365">
        <v>-62.48338292682926</v>
      </c>
      <c r="FN365">
        <v>0.481114285714263</v>
      </c>
      <c r="FO365">
        <v>0.2349950522597357</v>
      </c>
      <c r="FP365">
        <v>-1</v>
      </c>
      <c r="FQ365">
        <v>9.578794634146341</v>
      </c>
      <c r="FR365">
        <v>0.07037414634145472</v>
      </c>
      <c r="FS365">
        <v>0.01159046266833863</v>
      </c>
      <c r="FT365">
        <v>-1</v>
      </c>
      <c r="FU365">
        <v>0</v>
      </c>
      <c r="FV365">
        <v>0</v>
      </c>
      <c r="FW365">
        <v>0</v>
      </c>
      <c r="FX365">
        <v>-1</v>
      </c>
      <c r="FY365">
        <v>0</v>
      </c>
      <c r="FZ365">
        <v>0</v>
      </c>
      <c r="GA365" t="s">
        <v>420</v>
      </c>
      <c r="GB365">
        <v>2.98148</v>
      </c>
      <c r="GC365">
        <v>2.70639</v>
      </c>
      <c r="GD365">
        <v>0.125299</v>
      </c>
      <c r="GE365">
        <v>0.132236</v>
      </c>
      <c r="GF365">
        <v>0.0890638</v>
      </c>
      <c r="GG365">
        <v>0.0517195</v>
      </c>
      <c r="GH365">
        <v>27641.1</v>
      </c>
      <c r="GI365">
        <v>27480.5</v>
      </c>
      <c r="GJ365">
        <v>29378.3</v>
      </c>
      <c r="GK365">
        <v>29292.4</v>
      </c>
      <c r="GL365">
        <v>35434</v>
      </c>
      <c r="GM365">
        <v>37003.3</v>
      </c>
      <c r="GN365">
        <v>41350.3</v>
      </c>
      <c r="GO365">
        <v>41812.2</v>
      </c>
      <c r="GP365">
        <v>1.96703</v>
      </c>
      <c r="GQ365">
        <v>1.85487</v>
      </c>
      <c r="GR365">
        <v>-0.00603497</v>
      </c>
      <c r="GS365">
        <v>0</v>
      </c>
      <c r="GT365">
        <v>25.0988</v>
      </c>
      <c r="GU365">
        <v>999.9</v>
      </c>
      <c r="GV365">
        <v>29.6</v>
      </c>
      <c r="GW365">
        <v>34.2</v>
      </c>
      <c r="GX365">
        <v>17.7867</v>
      </c>
      <c r="GY365">
        <v>62.4276</v>
      </c>
      <c r="GZ365">
        <v>35.1162</v>
      </c>
      <c r="HA365">
        <v>1</v>
      </c>
      <c r="HB365">
        <v>0.0433765</v>
      </c>
      <c r="HC365">
        <v>1.49525</v>
      </c>
      <c r="HD365">
        <v>20.328</v>
      </c>
      <c r="HE365">
        <v>5.21714</v>
      </c>
      <c r="HF365">
        <v>12.0099</v>
      </c>
      <c r="HG365">
        <v>4.9888</v>
      </c>
      <c r="HH365">
        <v>3.28848</v>
      </c>
      <c r="HI365">
        <v>1033.4</v>
      </c>
      <c r="HJ365">
        <v>9748.700000000001</v>
      </c>
      <c r="HK365">
        <v>5139.4</v>
      </c>
      <c r="HL365">
        <v>25.4</v>
      </c>
      <c r="HM365">
        <v>1.86746</v>
      </c>
      <c r="HN365">
        <v>1.86646</v>
      </c>
      <c r="HO365">
        <v>1.866</v>
      </c>
      <c r="HP365">
        <v>1.86584</v>
      </c>
      <c r="HQ365">
        <v>1.86768</v>
      </c>
      <c r="HR365">
        <v>1.87017</v>
      </c>
      <c r="HS365">
        <v>1.8689</v>
      </c>
      <c r="HT365">
        <v>1.8702</v>
      </c>
      <c r="HU365">
        <v>0</v>
      </c>
      <c r="HV365">
        <v>0</v>
      </c>
      <c r="HW365">
        <v>0</v>
      </c>
      <c r="HX365">
        <v>0</v>
      </c>
      <c r="HY365" t="s">
        <v>421</v>
      </c>
      <c r="HZ365" t="s">
        <v>422</v>
      </c>
      <c r="IA365" t="s">
        <v>423</v>
      </c>
      <c r="IB365" t="s">
        <v>423</v>
      </c>
      <c r="IC365" t="s">
        <v>423</v>
      </c>
      <c r="ID365" t="s">
        <v>423</v>
      </c>
      <c r="IE365">
        <v>0</v>
      </c>
      <c r="IF365">
        <v>100</v>
      </c>
      <c r="IG365">
        <v>100</v>
      </c>
      <c r="IH365">
        <v>-1.325</v>
      </c>
      <c r="II365">
        <v>0.0259</v>
      </c>
      <c r="IJ365">
        <v>-0.1559367209035702</v>
      </c>
      <c r="IK365">
        <v>-0.002077099775823331</v>
      </c>
      <c r="IL365">
        <v>4.593143279902166E-07</v>
      </c>
      <c r="IM365">
        <v>-1.865383991892071E-10</v>
      </c>
      <c r="IN365">
        <v>-0.0607165066849496</v>
      </c>
      <c r="IO365">
        <v>-0.01129461987421345</v>
      </c>
      <c r="IP365">
        <v>0.00116580895745559</v>
      </c>
      <c r="IQ365">
        <v>-1.679085872906199E-05</v>
      </c>
      <c r="IR365">
        <v>2</v>
      </c>
      <c r="IS365">
        <v>2290</v>
      </c>
      <c r="IT365">
        <v>0</v>
      </c>
      <c r="IU365">
        <v>32</v>
      </c>
      <c r="IV365">
        <v>15.9</v>
      </c>
      <c r="IW365">
        <v>15.7</v>
      </c>
      <c r="IX365">
        <v>1.56494</v>
      </c>
      <c r="IY365">
        <v>2.20215</v>
      </c>
      <c r="IZ365">
        <v>1.39648</v>
      </c>
      <c r="JA365">
        <v>2.35474</v>
      </c>
      <c r="JB365">
        <v>1.49536</v>
      </c>
      <c r="JC365">
        <v>2.28516</v>
      </c>
      <c r="JD365">
        <v>38.0134</v>
      </c>
      <c r="JE365">
        <v>24.035</v>
      </c>
      <c r="JF365">
        <v>18</v>
      </c>
      <c r="JG365">
        <v>512.3150000000001</v>
      </c>
      <c r="JH365">
        <v>426.385</v>
      </c>
      <c r="JI365">
        <v>23.1482</v>
      </c>
      <c r="JJ365">
        <v>27.8808</v>
      </c>
      <c r="JK365">
        <v>30</v>
      </c>
      <c r="JL365">
        <v>27.897</v>
      </c>
      <c r="JM365">
        <v>27.8408</v>
      </c>
      <c r="JN365">
        <v>31.4908</v>
      </c>
      <c r="JO365">
        <v>46.0558</v>
      </c>
      <c r="JP365">
        <v>0</v>
      </c>
      <c r="JQ365">
        <v>23.1482</v>
      </c>
      <c r="JR365">
        <v>712.631</v>
      </c>
      <c r="JS365">
        <v>9.09834</v>
      </c>
      <c r="JT365">
        <v>100.42</v>
      </c>
      <c r="JU365">
        <v>100.349</v>
      </c>
    </row>
    <row r="366" spans="1:281">
      <c r="A366">
        <v>350</v>
      </c>
      <c r="B366">
        <v>1651866463.5</v>
      </c>
      <c r="C366">
        <v>2242.900000095367</v>
      </c>
      <c r="D366" t="s">
        <v>1123</v>
      </c>
      <c r="E366" t="s">
        <v>1124</v>
      </c>
      <c r="F366">
        <v>2</v>
      </c>
      <c r="G366" t="s">
        <v>908</v>
      </c>
      <c r="H366" t="s">
        <v>414</v>
      </c>
      <c r="I366">
        <v>1651866462.125</v>
      </c>
      <c r="J366">
        <f>(K366)/1000</f>
        <v>0</v>
      </c>
      <c r="K366">
        <f>IF(CZ366, AN366, AH366)</f>
        <v>0</v>
      </c>
      <c r="L366">
        <f>IF(CZ366, AI366, AG366)</f>
        <v>0</v>
      </c>
      <c r="M366">
        <f>DB366 - IF(AU366&gt;1, L366*CV366*100.0/(AW366*DP366), 0)</f>
        <v>0</v>
      </c>
      <c r="N366">
        <f>((T366-J366/2)*M366-L366)/(T366+J366/2)</f>
        <v>0</v>
      </c>
      <c r="O366">
        <f>N366*(DI366+DJ366)/1000.0</f>
        <v>0</v>
      </c>
      <c r="P366">
        <f>(DB366 - IF(AU366&gt;1, L366*CV366*100.0/(AW366*DP366), 0))*(DI366+DJ366)/1000.0</f>
        <v>0</v>
      </c>
      <c r="Q366">
        <f>2.0/((1/S366-1/R366)+SIGN(S366)*SQRT((1/S366-1/R366)*(1/S366-1/R366) + 4*CW366/((CW366+1)*(CW366+1))*(2*1/S366*1/R366-1/R366*1/R366)))</f>
        <v>0</v>
      </c>
      <c r="R366">
        <f>IF(LEFT(CX366,1)&lt;&gt;"0",IF(LEFT(CX366,1)="1",3.0,CY366),$D$5+$E$5*(DP366*DI366/($K$5*1000))+$F$5*(DP366*DI366/($K$5*1000))*MAX(MIN(CV366,$J$5),$I$5)*MAX(MIN(CV366,$J$5),$I$5)+$G$5*MAX(MIN(CV366,$J$5),$I$5)*(DP366*DI366/($K$5*1000))+$H$5*(DP366*DI366/($K$5*1000))*(DP366*DI366/($K$5*1000)))</f>
        <v>0</v>
      </c>
      <c r="S366">
        <f>J366*(1000-(1000*0.61365*exp(17.502*W366/(240.97+W366))/(DI366+DJ366)+DD366)/2)/(1000*0.61365*exp(17.502*W366/(240.97+W366))/(DI366+DJ366)-DD366)</f>
        <v>0</v>
      </c>
      <c r="T366">
        <f>1/((CW366+1)/(Q366/1.6)+1/(R366/1.37)) + CW366/((CW366+1)/(Q366/1.6) + CW366/(R366/1.37))</f>
        <v>0</v>
      </c>
      <c r="U366">
        <f>(CR366*CU366)</f>
        <v>0</v>
      </c>
      <c r="V366">
        <f>(DK366+(U366+2*0.95*5.67E-8*(((DK366+$B$7)+273)^4-(DK366+273)^4)-44100*J366)/(1.84*29.3*R366+8*0.95*5.67E-8*(DK366+273)^3))</f>
        <v>0</v>
      </c>
      <c r="W366">
        <f>($C$7*DL366+$D$7*DM366+$E$7*V366)</f>
        <v>0</v>
      </c>
      <c r="X366">
        <f>0.61365*exp(17.502*W366/(240.97+W366))</f>
        <v>0</v>
      </c>
      <c r="Y366">
        <f>(Z366/AA366*100)</f>
        <v>0</v>
      </c>
      <c r="Z366">
        <f>DD366*(DI366+DJ366)/1000</f>
        <v>0</v>
      </c>
      <c r="AA366">
        <f>0.61365*exp(17.502*DK366/(240.97+DK366))</f>
        <v>0</v>
      </c>
      <c r="AB366">
        <f>(X366-DD366*(DI366+DJ366)/1000)</f>
        <v>0</v>
      </c>
      <c r="AC366">
        <f>(-J366*44100)</f>
        <v>0</v>
      </c>
      <c r="AD366">
        <f>2*29.3*R366*0.92*(DK366-W366)</f>
        <v>0</v>
      </c>
      <c r="AE366">
        <f>2*0.95*5.67E-8*(((DK366+$B$7)+273)^4-(W366+273)^4)</f>
        <v>0</v>
      </c>
      <c r="AF366">
        <f>U366+AE366+AC366+AD366</f>
        <v>0</v>
      </c>
      <c r="AG366">
        <f>DH366*AU366*(DC366-DB366*(1000-AU366*DE366)/(1000-AU366*DD366))/(100*CV366)</f>
        <v>0</v>
      </c>
      <c r="AH366">
        <f>1000*DH366*AU366*(DD366-DE366)/(100*CV366*(1000-AU366*DD366))</f>
        <v>0</v>
      </c>
      <c r="AI366">
        <f>(AJ366 - AK366 - DI366*1E3/(8.314*(DK366+273.15)) * AM366/DH366 * AL366) * DH366/(100*CV366) * (1000 - DE366)/1000</f>
        <v>0</v>
      </c>
      <c r="AJ366">
        <v>693.1013203142476</v>
      </c>
      <c r="AK366">
        <v>643.4313393939392</v>
      </c>
      <c r="AL366">
        <v>3.323186408678688</v>
      </c>
      <c r="AM366">
        <v>66.38195617057868</v>
      </c>
      <c r="AN366">
        <f>(AP366 - AO366 + DI366*1E3/(8.314*(DK366+273.15)) * AR366/DH366 * AQ366) * DH366/(100*CV366) * 1000/(1000 - AP366)</f>
        <v>0</v>
      </c>
      <c r="AO366">
        <v>9.135694898862083</v>
      </c>
      <c r="AP366">
        <v>18.725855</v>
      </c>
      <c r="AQ366">
        <v>-4.343079968501407E-05</v>
      </c>
      <c r="AR366">
        <v>80.47178418790507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MAX(0,($B$13+$C$13*DP366)/(1+$D$13*DP366)*DI366/(DK366+273)*$E$13)</f>
        <v>0</v>
      </c>
      <c r="AX366" t="s">
        <v>417</v>
      </c>
      <c r="AY366" t="s">
        <v>417</v>
      </c>
      <c r="AZ366">
        <v>0</v>
      </c>
      <c r="BA366">
        <v>0</v>
      </c>
      <c r="BB366">
        <f>1-AZ366/BA366</f>
        <v>0</v>
      </c>
      <c r="BC366">
        <v>0</v>
      </c>
      <c r="BD366" t="s">
        <v>417</v>
      </c>
      <c r="BE366" t="s">
        <v>417</v>
      </c>
      <c r="BF366">
        <v>0</v>
      </c>
      <c r="BG366">
        <v>0</v>
      </c>
      <c r="BH366">
        <f>1-BF366/BG366</f>
        <v>0</v>
      </c>
      <c r="BI366">
        <v>0.5</v>
      </c>
      <c r="BJ366">
        <f>CS366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417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BZ366">
        <v>1249</v>
      </c>
      <c r="CA366">
        <v>300</v>
      </c>
      <c r="CB366">
        <v>300</v>
      </c>
      <c r="CC366">
        <v>300</v>
      </c>
      <c r="CD366">
        <v>10442.4</v>
      </c>
      <c r="CE366">
        <v>1239.69</v>
      </c>
      <c r="CF366">
        <v>-0.00735276</v>
      </c>
      <c r="CG366">
        <v>0.07000000000000001</v>
      </c>
      <c r="CH366" t="s">
        <v>417</v>
      </c>
      <c r="CI366" t="s">
        <v>417</v>
      </c>
      <c r="CJ366" t="s">
        <v>417</v>
      </c>
      <c r="CK366" t="s">
        <v>417</v>
      </c>
      <c r="CL366" t="s">
        <v>417</v>
      </c>
      <c r="CM366" t="s">
        <v>417</v>
      </c>
      <c r="CN366" t="s">
        <v>417</v>
      </c>
      <c r="CO366" t="s">
        <v>417</v>
      </c>
      <c r="CP366" t="s">
        <v>417</v>
      </c>
      <c r="CQ366" t="s">
        <v>417</v>
      </c>
      <c r="CR366">
        <f>$B$11*DQ366+$C$11*DR366+$F$11*EC366*(1-EF366)</f>
        <v>0</v>
      </c>
      <c r="CS366">
        <f>CR366*CT366</f>
        <v>0</v>
      </c>
      <c r="CT366">
        <f>($B$11*$D$9+$C$11*$D$9+$F$11*((EP366+EH366)/MAX(EP366+EH366+EQ366, 0.1)*$I$9+EQ366/MAX(EP366+EH366+EQ366, 0.1)*$J$9))/($B$11+$C$11+$F$11)</f>
        <v>0</v>
      </c>
      <c r="CU366">
        <f>($B$11*$K$9+$C$11*$K$9+$F$11*((EP366+EH366)/MAX(EP366+EH366+EQ366, 0.1)*$P$9+EQ366/MAX(EP366+EH366+EQ366, 0.1)*$Q$9))/($B$11+$C$11+$F$11)</f>
        <v>0</v>
      </c>
      <c r="CV366">
        <v>6</v>
      </c>
      <c r="CW366">
        <v>0.5</v>
      </c>
      <c r="CX366" t="s">
        <v>418</v>
      </c>
      <c r="CY366">
        <v>2</v>
      </c>
      <c r="CZ366" t="b">
        <v>1</v>
      </c>
      <c r="DA366">
        <v>1651866462.125</v>
      </c>
      <c r="DB366">
        <v>628.52075</v>
      </c>
      <c r="DC366">
        <v>691.36925</v>
      </c>
      <c r="DD366">
        <v>18.724325</v>
      </c>
      <c r="DE366">
        <v>9.1351575</v>
      </c>
      <c r="DF366">
        <v>629.84925</v>
      </c>
      <c r="DG366">
        <v>18.698375</v>
      </c>
      <c r="DH366">
        <v>500.07975</v>
      </c>
      <c r="DI366">
        <v>89.917275</v>
      </c>
      <c r="DJ366">
        <v>0.09997787500000001</v>
      </c>
      <c r="DK366">
        <v>25.951275</v>
      </c>
      <c r="DL366">
        <v>25.0008</v>
      </c>
      <c r="DM366">
        <v>999.9</v>
      </c>
      <c r="DN366">
        <v>0</v>
      </c>
      <c r="DO366">
        <v>0</v>
      </c>
      <c r="DP366">
        <v>10027.475</v>
      </c>
      <c r="DQ366">
        <v>0</v>
      </c>
      <c r="DR366">
        <v>3.20383</v>
      </c>
      <c r="DS366">
        <v>-62.84845</v>
      </c>
      <c r="DT366">
        <v>640.5137500000001</v>
      </c>
      <c r="DU366">
        <v>697.74325</v>
      </c>
      <c r="DV366">
        <v>9.58916</v>
      </c>
      <c r="DW366">
        <v>691.36925</v>
      </c>
      <c r="DX366">
        <v>9.1351575</v>
      </c>
      <c r="DY366">
        <v>1.68364</v>
      </c>
      <c r="DZ366">
        <v>0.82140825</v>
      </c>
      <c r="EA366">
        <v>14.746425</v>
      </c>
      <c r="EB366">
        <v>4.0827525</v>
      </c>
      <c r="EC366">
        <v>1499.99</v>
      </c>
      <c r="ED366">
        <v>0.973003</v>
      </c>
      <c r="EE366">
        <v>0.0269973</v>
      </c>
      <c r="EF366">
        <v>0</v>
      </c>
      <c r="EG366">
        <v>911.7887500000001</v>
      </c>
      <c r="EH366">
        <v>5.00097</v>
      </c>
      <c r="EI366">
        <v>13588.575</v>
      </c>
      <c r="EJ366">
        <v>12491.525</v>
      </c>
      <c r="EK366">
        <v>38.45274999999999</v>
      </c>
      <c r="EL366">
        <v>39.656</v>
      </c>
      <c r="EM366">
        <v>38.875</v>
      </c>
      <c r="EN366">
        <v>39.3905</v>
      </c>
      <c r="EO366">
        <v>39.2655</v>
      </c>
      <c r="EP366">
        <v>1454.63</v>
      </c>
      <c r="EQ366">
        <v>40.36</v>
      </c>
      <c r="ER366">
        <v>0</v>
      </c>
      <c r="ES366">
        <v>981.2000000476837</v>
      </c>
      <c r="ET366">
        <v>0</v>
      </c>
      <c r="EU366">
        <v>910.2635384615385</v>
      </c>
      <c r="EV366">
        <v>14.91391450677488</v>
      </c>
      <c r="EW366">
        <v>186.3282048306595</v>
      </c>
      <c r="EX366">
        <v>13570.79615384615</v>
      </c>
      <c r="EY366">
        <v>15</v>
      </c>
      <c r="EZ366">
        <v>1651865518.1</v>
      </c>
      <c r="FA366" t="s">
        <v>910</v>
      </c>
      <c r="FB366">
        <v>1651865507.1</v>
      </c>
      <c r="FC366">
        <v>1651865518.1</v>
      </c>
      <c r="FD366">
        <v>8</v>
      </c>
      <c r="FE366">
        <v>0.06</v>
      </c>
      <c r="FF366">
        <v>0</v>
      </c>
      <c r="FG366">
        <v>-0.927</v>
      </c>
      <c r="FH366">
        <v>-0.062</v>
      </c>
      <c r="FI366">
        <v>400</v>
      </c>
      <c r="FJ366">
        <v>11</v>
      </c>
      <c r="FK366">
        <v>0.11</v>
      </c>
      <c r="FL366">
        <v>0.01</v>
      </c>
      <c r="FM366">
        <v>-62.55329500000001</v>
      </c>
      <c r="FN366">
        <v>0.3021455909944244</v>
      </c>
      <c r="FO366">
        <v>0.2529573441807935</v>
      </c>
      <c r="FP366">
        <v>-1</v>
      </c>
      <c r="FQ366">
        <v>9.58376775</v>
      </c>
      <c r="FR366">
        <v>0.01653534709193808</v>
      </c>
      <c r="FS366">
        <v>0.002949210476975126</v>
      </c>
      <c r="FT366">
        <v>-1</v>
      </c>
      <c r="FU366">
        <v>0</v>
      </c>
      <c r="FV366">
        <v>0</v>
      </c>
      <c r="FW366">
        <v>0</v>
      </c>
      <c r="FX366">
        <v>-1</v>
      </c>
      <c r="FY366">
        <v>0</v>
      </c>
      <c r="FZ366">
        <v>0</v>
      </c>
      <c r="GA366" t="s">
        <v>420</v>
      </c>
      <c r="GB366">
        <v>2.98169</v>
      </c>
      <c r="GC366">
        <v>2.70642</v>
      </c>
      <c r="GD366">
        <v>0.126209</v>
      </c>
      <c r="GE366">
        <v>0.133095</v>
      </c>
      <c r="GF366">
        <v>0.089069</v>
      </c>
      <c r="GG366">
        <v>0.0517133</v>
      </c>
      <c r="GH366">
        <v>27612.3</v>
      </c>
      <c r="GI366">
        <v>27453.3</v>
      </c>
      <c r="GJ366">
        <v>29378.2</v>
      </c>
      <c r="GK366">
        <v>29292.4</v>
      </c>
      <c r="GL366">
        <v>35433.7</v>
      </c>
      <c r="GM366">
        <v>37003.4</v>
      </c>
      <c r="GN366">
        <v>41350.1</v>
      </c>
      <c r="GO366">
        <v>41812.1</v>
      </c>
      <c r="GP366">
        <v>1.96712</v>
      </c>
      <c r="GQ366">
        <v>1.8547</v>
      </c>
      <c r="GR366">
        <v>-0.00588596</v>
      </c>
      <c r="GS366">
        <v>0</v>
      </c>
      <c r="GT366">
        <v>25.0978</v>
      </c>
      <c r="GU366">
        <v>999.9</v>
      </c>
      <c r="GV366">
        <v>29.6</v>
      </c>
      <c r="GW366">
        <v>34.2</v>
      </c>
      <c r="GX366">
        <v>17.7838</v>
      </c>
      <c r="GY366">
        <v>62.4376</v>
      </c>
      <c r="GZ366">
        <v>35.2404</v>
      </c>
      <c r="HA366">
        <v>1</v>
      </c>
      <c r="HB366">
        <v>0.0433206</v>
      </c>
      <c r="HC366">
        <v>1.4953</v>
      </c>
      <c r="HD366">
        <v>20.3281</v>
      </c>
      <c r="HE366">
        <v>5.21714</v>
      </c>
      <c r="HF366">
        <v>12.0099</v>
      </c>
      <c r="HG366">
        <v>4.9887</v>
      </c>
      <c r="HH366">
        <v>3.28848</v>
      </c>
      <c r="HI366">
        <v>1033.4</v>
      </c>
      <c r="HJ366">
        <v>9748.700000000001</v>
      </c>
      <c r="HK366">
        <v>5139.4</v>
      </c>
      <c r="HL366">
        <v>25.4</v>
      </c>
      <c r="HM366">
        <v>1.86746</v>
      </c>
      <c r="HN366">
        <v>1.86645</v>
      </c>
      <c r="HO366">
        <v>1.86599</v>
      </c>
      <c r="HP366">
        <v>1.86584</v>
      </c>
      <c r="HQ366">
        <v>1.86768</v>
      </c>
      <c r="HR366">
        <v>1.87015</v>
      </c>
      <c r="HS366">
        <v>1.8689</v>
      </c>
      <c r="HT366">
        <v>1.87018</v>
      </c>
      <c r="HU366">
        <v>0</v>
      </c>
      <c r="HV366">
        <v>0</v>
      </c>
      <c r="HW366">
        <v>0</v>
      </c>
      <c r="HX366">
        <v>0</v>
      </c>
      <c r="HY366" t="s">
        <v>421</v>
      </c>
      <c r="HZ366" t="s">
        <v>422</v>
      </c>
      <c r="IA366" t="s">
        <v>423</v>
      </c>
      <c r="IB366" t="s">
        <v>423</v>
      </c>
      <c r="IC366" t="s">
        <v>423</v>
      </c>
      <c r="ID366" t="s">
        <v>423</v>
      </c>
      <c r="IE366">
        <v>0</v>
      </c>
      <c r="IF366">
        <v>100</v>
      </c>
      <c r="IG366">
        <v>100</v>
      </c>
      <c r="IH366">
        <v>-1.336</v>
      </c>
      <c r="II366">
        <v>0.026</v>
      </c>
      <c r="IJ366">
        <v>-0.1559367209035702</v>
      </c>
      <c r="IK366">
        <v>-0.002077099775823331</v>
      </c>
      <c r="IL366">
        <v>4.593143279902166E-07</v>
      </c>
      <c r="IM366">
        <v>-1.865383991892071E-10</v>
      </c>
      <c r="IN366">
        <v>-0.0607165066849496</v>
      </c>
      <c r="IO366">
        <v>-0.01129461987421345</v>
      </c>
      <c r="IP366">
        <v>0.00116580895745559</v>
      </c>
      <c r="IQ366">
        <v>-1.679085872906199E-05</v>
      </c>
      <c r="IR366">
        <v>2</v>
      </c>
      <c r="IS366">
        <v>2290</v>
      </c>
      <c r="IT366">
        <v>0</v>
      </c>
      <c r="IU366">
        <v>32</v>
      </c>
      <c r="IV366">
        <v>15.9</v>
      </c>
      <c r="IW366">
        <v>15.8</v>
      </c>
      <c r="IX366">
        <v>1.57837</v>
      </c>
      <c r="IY366">
        <v>2.19604</v>
      </c>
      <c r="IZ366">
        <v>1.39648</v>
      </c>
      <c r="JA366">
        <v>2.35474</v>
      </c>
      <c r="JB366">
        <v>1.49536</v>
      </c>
      <c r="JC366">
        <v>2.30347</v>
      </c>
      <c r="JD366">
        <v>38.0134</v>
      </c>
      <c r="JE366">
        <v>24.0437</v>
      </c>
      <c r="JF366">
        <v>18</v>
      </c>
      <c r="JG366">
        <v>512.372</v>
      </c>
      <c r="JH366">
        <v>426.273</v>
      </c>
      <c r="JI366">
        <v>23.1481</v>
      </c>
      <c r="JJ366">
        <v>27.8799</v>
      </c>
      <c r="JK366">
        <v>29.9999</v>
      </c>
      <c r="JL366">
        <v>27.8961</v>
      </c>
      <c r="JM366">
        <v>27.8397</v>
      </c>
      <c r="JN366">
        <v>31.7339</v>
      </c>
      <c r="JO366">
        <v>46.0558</v>
      </c>
      <c r="JP366">
        <v>0</v>
      </c>
      <c r="JQ366">
        <v>23.1482</v>
      </c>
      <c r="JR366">
        <v>719.341</v>
      </c>
      <c r="JS366">
        <v>9.09628</v>
      </c>
      <c r="JT366">
        <v>100.419</v>
      </c>
      <c r="JU366">
        <v>100.349</v>
      </c>
    </row>
    <row r="367" spans="1:281">
      <c r="A367">
        <v>351</v>
      </c>
      <c r="B367">
        <v>1651866465.5</v>
      </c>
      <c r="C367">
        <v>2244.900000095367</v>
      </c>
      <c r="D367" t="s">
        <v>1125</v>
      </c>
      <c r="E367" t="s">
        <v>1126</v>
      </c>
      <c r="F367">
        <v>2</v>
      </c>
      <c r="G367" t="s">
        <v>908</v>
      </c>
      <c r="H367" t="s">
        <v>414</v>
      </c>
      <c r="I367">
        <v>1651866464.5</v>
      </c>
      <c r="J367">
        <f>(K367)/1000</f>
        <v>0</v>
      </c>
      <c r="K367">
        <f>IF(CZ367, AN367, AH367)</f>
        <v>0</v>
      </c>
      <c r="L367">
        <f>IF(CZ367, AI367, AG367)</f>
        <v>0</v>
      </c>
      <c r="M367">
        <f>DB367 - IF(AU367&gt;1, L367*CV367*100.0/(AW367*DP367), 0)</f>
        <v>0</v>
      </c>
      <c r="N367">
        <f>((T367-J367/2)*M367-L367)/(T367+J367/2)</f>
        <v>0</v>
      </c>
      <c r="O367">
        <f>N367*(DI367+DJ367)/1000.0</f>
        <v>0</v>
      </c>
      <c r="P367">
        <f>(DB367 - IF(AU367&gt;1, L367*CV367*100.0/(AW367*DP367), 0))*(DI367+DJ367)/1000.0</f>
        <v>0</v>
      </c>
      <c r="Q367">
        <f>2.0/((1/S367-1/R367)+SIGN(S367)*SQRT((1/S367-1/R367)*(1/S367-1/R367) + 4*CW367/((CW367+1)*(CW367+1))*(2*1/S367*1/R367-1/R367*1/R367)))</f>
        <v>0</v>
      </c>
      <c r="R367">
        <f>IF(LEFT(CX367,1)&lt;&gt;"0",IF(LEFT(CX367,1)="1",3.0,CY367),$D$5+$E$5*(DP367*DI367/($K$5*1000))+$F$5*(DP367*DI367/($K$5*1000))*MAX(MIN(CV367,$J$5),$I$5)*MAX(MIN(CV367,$J$5),$I$5)+$G$5*MAX(MIN(CV367,$J$5),$I$5)*(DP367*DI367/($K$5*1000))+$H$5*(DP367*DI367/($K$5*1000))*(DP367*DI367/($K$5*1000)))</f>
        <v>0</v>
      </c>
      <c r="S367">
        <f>J367*(1000-(1000*0.61365*exp(17.502*W367/(240.97+W367))/(DI367+DJ367)+DD367)/2)/(1000*0.61365*exp(17.502*W367/(240.97+W367))/(DI367+DJ367)-DD367)</f>
        <v>0</v>
      </c>
      <c r="T367">
        <f>1/((CW367+1)/(Q367/1.6)+1/(R367/1.37)) + CW367/((CW367+1)/(Q367/1.6) + CW367/(R367/1.37))</f>
        <v>0</v>
      </c>
      <c r="U367">
        <f>(CR367*CU367)</f>
        <v>0</v>
      </c>
      <c r="V367">
        <f>(DK367+(U367+2*0.95*5.67E-8*(((DK367+$B$7)+273)^4-(DK367+273)^4)-44100*J367)/(1.84*29.3*R367+8*0.95*5.67E-8*(DK367+273)^3))</f>
        <v>0</v>
      </c>
      <c r="W367">
        <f>($C$7*DL367+$D$7*DM367+$E$7*V367)</f>
        <v>0</v>
      </c>
      <c r="X367">
        <f>0.61365*exp(17.502*W367/(240.97+W367))</f>
        <v>0</v>
      </c>
      <c r="Y367">
        <f>(Z367/AA367*100)</f>
        <v>0</v>
      </c>
      <c r="Z367">
        <f>DD367*(DI367+DJ367)/1000</f>
        <v>0</v>
      </c>
      <c r="AA367">
        <f>0.61365*exp(17.502*DK367/(240.97+DK367))</f>
        <v>0</v>
      </c>
      <c r="AB367">
        <f>(X367-DD367*(DI367+DJ367)/1000)</f>
        <v>0</v>
      </c>
      <c r="AC367">
        <f>(-J367*44100)</f>
        <v>0</v>
      </c>
      <c r="AD367">
        <f>2*29.3*R367*0.92*(DK367-W367)</f>
        <v>0</v>
      </c>
      <c r="AE367">
        <f>2*0.95*5.67E-8*(((DK367+$B$7)+273)^4-(W367+273)^4)</f>
        <v>0</v>
      </c>
      <c r="AF367">
        <f>U367+AE367+AC367+AD367</f>
        <v>0</v>
      </c>
      <c r="AG367">
        <f>DH367*AU367*(DC367-DB367*(1000-AU367*DE367)/(1000-AU367*DD367))/(100*CV367)</f>
        <v>0</v>
      </c>
      <c r="AH367">
        <f>1000*DH367*AU367*(DD367-DE367)/(100*CV367*(1000-AU367*DD367))</f>
        <v>0</v>
      </c>
      <c r="AI367">
        <f>(AJ367 - AK367 - DI367*1E3/(8.314*(DK367+273.15)) * AM367/DH367 * AL367) * DH367/(100*CV367) * (1000 - DE367)/1000</f>
        <v>0</v>
      </c>
      <c r="AJ367">
        <v>699.7344204533682</v>
      </c>
      <c r="AK367">
        <v>650.0466060606057</v>
      </c>
      <c r="AL367">
        <v>3.318246320285732</v>
      </c>
      <c r="AM367">
        <v>66.38195617057868</v>
      </c>
      <c r="AN367">
        <f>(AP367 - AO367 + DI367*1E3/(8.314*(DK367+273.15)) * AR367/DH367 * AQ367) * DH367/(100*CV367) * 1000/(1000 - AP367)</f>
        <v>0</v>
      </c>
      <c r="AO367">
        <v>9.135598169280199</v>
      </c>
      <c r="AP367">
        <v>18.72856235294117</v>
      </c>
      <c r="AQ367">
        <v>0.000112130744105972</v>
      </c>
      <c r="AR367">
        <v>80.47178418790507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MAX(0,($B$13+$C$13*DP367)/(1+$D$13*DP367)*DI367/(DK367+273)*$E$13)</f>
        <v>0</v>
      </c>
      <c r="AX367" t="s">
        <v>417</v>
      </c>
      <c r="AY367" t="s">
        <v>417</v>
      </c>
      <c r="AZ367">
        <v>0</v>
      </c>
      <c r="BA367">
        <v>0</v>
      </c>
      <c r="BB367">
        <f>1-AZ367/BA367</f>
        <v>0</v>
      </c>
      <c r="BC367">
        <v>0</v>
      </c>
      <c r="BD367" t="s">
        <v>417</v>
      </c>
      <c r="BE367" t="s">
        <v>417</v>
      </c>
      <c r="BF367">
        <v>0</v>
      </c>
      <c r="BG367">
        <v>0</v>
      </c>
      <c r="BH367">
        <f>1-BF367/BG367</f>
        <v>0</v>
      </c>
      <c r="BI367">
        <v>0.5</v>
      </c>
      <c r="BJ367">
        <f>CS367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417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BZ367">
        <v>1249</v>
      </c>
      <c r="CA367">
        <v>300</v>
      </c>
      <c r="CB367">
        <v>300</v>
      </c>
      <c r="CC367">
        <v>300</v>
      </c>
      <c r="CD367">
        <v>10442.4</v>
      </c>
      <c r="CE367">
        <v>1239.69</v>
      </c>
      <c r="CF367">
        <v>-0.00735276</v>
      </c>
      <c r="CG367">
        <v>0.07000000000000001</v>
      </c>
      <c r="CH367" t="s">
        <v>417</v>
      </c>
      <c r="CI367" t="s">
        <v>417</v>
      </c>
      <c r="CJ367" t="s">
        <v>417</v>
      </c>
      <c r="CK367" t="s">
        <v>417</v>
      </c>
      <c r="CL367" t="s">
        <v>417</v>
      </c>
      <c r="CM367" t="s">
        <v>417</v>
      </c>
      <c r="CN367" t="s">
        <v>417</v>
      </c>
      <c r="CO367" t="s">
        <v>417</v>
      </c>
      <c r="CP367" t="s">
        <v>417</v>
      </c>
      <c r="CQ367" t="s">
        <v>417</v>
      </c>
      <c r="CR367">
        <f>$B$11*DQ367+$C$11*DR367+$F$11*EC367*(1-EF367)</f>
        <v>0</v>
      </c>
      <c r="CS367">
        <f>CR367*CT367</f>
        <v>0</v>
      </c>
      <c r="CT367">
        <f>($B$11*$D$9+$C$11*$D$9+$F$11*((EP367+EH367)/MAX(EP367+EH367+EQ367, 0.1)*$I$9+EQ367/MAX(EP367+EH367+EQ367, 0.1)*$J$9))/($B$11+$C$11+$F$11)</f>
        <v>0</v>
      </c>
      <c r="CU367">
        <f>($B$11*$K$9+$C$11*$K$9+$F$11*((EP367+EH367)/MAX(EP367+EH367+EQ367, 0.1)*$P$9+EQ367/MAX(EP367+EH367+EQ367, 0.1)*$Q$9))/($B$11+$C$11+$F$11)</f>
        <v>0</v>
      </c>
      <c r="CV367">
        <v>6</v>
      </c>
      <c r="CW367">
        <v>0.5</v>
      </c>
      <c r="CX367" t="s">
        <v>418</v>
      </c>
      <c r="CY367">
        <v>2</v>
      </c>
      <c r="CZ367" t="b">
        <v>1</v>
      </c>
      <c r="DA367">
        <v>1651866464.5</v>
      </c>
      <c r="DB367">
        <v>636.2456666666667</v>
      </c>
      <c r="DC367">
        <v>699.2556666666668</v>
      </c>
      <c r="DD367">
        <v>18.72786666666667</v>
      </c>
      <c r="DE367">
        <v>9.13368</v>
      </c>
      <c r="DF367">
        <v>637.5876666666667</v>
      </c>
      <c r="DG367">
        <v>18.7019</v>
      </c>
      <c r="DH367">
        <v>500.0463333333333</v>
      </c>
      <c r="DI367">
        <v>89.91843333333334</v>
      </c>
      <c r="DJ367">
        <v>0.1002296666666667</v>
      </c>
      <c r="DK367">
        <v>25.9519</v>
      </c>
      <c r="DL367">
        <v>24.99933333333334</v>
      </c>
      <c r="DM367">
        <v>999.9</v>
      </c>
      <c r="DN367">
        <v>0</v>
      </c>
      <c r="DO367">
        <v>0</v>
      </c>
      <c r="DP367">
        <v>9996.25</v>
      </c>
      <c r="DQ367">
        <v>0</v>
      </c>
      <c r="DR367">
        <v>3.20383</v>
      </c>
      <c r="DS367">
        <v>-63.00980000000001</v>
      </c>
      <c r="DT367">
        <v>648.3886666666666</v>
      </c>
      <c r="DU367">
        <v>705.701</v>
      </c>
      <c r="DV367">
        <v>9.594196666666667</v>
      </c>
      <c r="DW367">
        <v>699.2556666666668</v>
      </c>
      <c r="DX367">
        <v>9.13368</v>
      </c>
      <c r="DY367">
        <v>1.683983333333333</v>
      </c>
      <c r="DZ367">
        <v>0.8212866666666666</v>
      </c>
      <c r="EA367">
        <v>14.74956666666667</v>
      </c>
      <c r="EB367">
        <v>4.080636666666667</v>
      </c>
      <c r="EC367">
        <v>1499.996666666667</v>
      </c>
      <c r="ED367">
        <v>0.973003</v>
      </c>
      <c r="EE367">
        <v>0.0269973</v>
      </c>
      <c r="EF367">
        <v>0</v>
      </c>
      <c r="EG367">
        <v>912.0603333333333</v>
      </c>
      <c r="EH367">
        <v>5.00097</v>
      </c>
      <c r="EI367">
        <v>13595.46666666667</v>
      </c>
      <c r="EJ367">
        <v>12491.56666666667</v>
      </c>
      <c r="EK367">
        <v>38.437</v>
      </c>
      <c r="EL367">
        <v>39.625</v>
      </c>
      <c r="EM367">
        <v>38.875</v>
      </c>
      <c r="EN367">
        <v>39.375</v>
      </c>
      <c r="EO367">
        <v>39.25</v>
      </c>
      <c r="EP367">
        <v>1454.636666666667</v>
      </c>
      <c r="EQ367">
        <v>40.36</v>
      </c>
      <c r="ER367">
        <v>0</v>
      </c>
      <c r="ES367">
        <v>983</v>
      </c>
      <c r="ET367">
        <v>0</v>
      </c>
      <c r="EU367">
        <v>910.7743200000001</v>
      </c>
      <c r="EV367">
        <v>13.47615386505844</v>
      </c>
      <c r="EW367">
        <v>181.1230771661329</v>
      </c>
      <c r="EX367">
        <v>13577.352</v>
      </c>
      <c r="EY367">
        <v>15</v>
      </c>
      <c r="EZ367">
        <v>1651865518.1</v>
      </c>
      <c r="FA367" t="s">
        <v>910</v>
      </c>
      <c r="FB367">
        <v>1651865507.1</v>
      </c>
      <c r="FC367">
        <v>1651865518.1</v>
      </c>
      <c r="FD367">
        <v>8</v>
      </c>
      <c r="FE367">
        <v>0.06</v>
      </c>
      <c r="FF367">
        <v>0</v>
      </c>
      <c r="FG367">
        <v>-0.927</v>
      </c>
      <c r="FH367">
        <v>-0.062</v>
      </c>
      <c r="FI367">
        <v>400</v>
      </c>
      <c r="FJ367">
        <v>11</v>
      </c>
      <c r="FK367">
        <v>0.11</v>
      </c>
      <c r="FL367">
        <v>0.01</v>
      </c>
      <c r="FM367">
        <v>-62.58106097560975</v>
      </c>
      <c r="FN367">
        <v>-0.1889749128920301</v>
      </c>
      <c r="FO367">
        <v>0.269557240292615</v>
      </c>
      <c r="FP367">
        <v>-1</v>
      </c>
      <c r="FQ367">
        <v>9.584490975609757</v>
      </c>
      <c r="FR367">
        <v>0.02504759581883353</v>
      </c>
      <c r="FS367">
        <v>0.003702013825643889</v>
      </c>
      <c r="FT367">
        <v>-1</v>
      </c>
      <c r="FU367">
        <v>0</v>
      </c>
      <c r="FV367">
        <v>0</v>
      </c>
      <c r="FW367">
        <v>0</v>
      </c>
      <c r="FX367">
        <v>-1</v>
      </c>
      <c r="FY367">
        <v>0</v>
      </c>
      <c r="FZ367">
        <v>0</v>
      </c>
      <c r="GA367" t="s">
        <v>420</v>
      </c>
      <c r="GB367">
        <v>2.98149</v>
      </c>
      <c r="GC367">
        <v>2.70623</v>
      </c>
      <c r="GD367">
        <v>0.127112</v>
      </c>
      <c r="GE367">
        <v>0.133978</v>
      </c>
      <c r="GF367">
        <v>0.08908050000000001</v>
      </c>
      <c r="GG367">
        <v>0.0517081</v>
      </c>
      <c r="GH367">
        <v>27583.5</v>
      </c>
      <c r="GI367">
        <v>27425.4</v>
      </c>
      <c r="GJ367">
        <v>29377.9</v>
      </c>
      <c r="GK367">
        <v>29292.5</v>
      </c>
      <c r="GL367">
        <v>35432.8</v>
      </c>
      <c r="GM367">
        <v>37003.8</v>
      </c>
      <c r="GN367">
        <v>41349.6</v>
      </c>
      <c r="GO367">
        <v>41812.3</v>
      </c>
      <c r="GP367">
        <v>1.96717</v>
      </c>
      <c r="GQ367">
        <v>1.85475</v>
      </c>
      <c r="GR367">
        <v>-0.00603497</v>
      </c>
      <c r="GS367">
        <v>0</v>
      </c>
      <c r="GT367">
        <v>25.0975</v>
      </c>
      <c r="GU367">
        <v>999.9</v>
      </c>
      <c r="GV367">
        <v>29.6</v>
      </c>
      <c r="GW367">
        <v>34.2</v>
      </c>
      <c r="GX367">
        <v>17.7857</v>
      </c>
      <c r="GY367">
        <v>62.4776</v>
      </c>
      <c r="GZ367">
        <v>35.5008</v>
      </c>
      <c r="HA367">
        <v>1</v>
      </c>
      <c r="HB367">
        <v>0.0432901</v>
      </c>
      <c r="HC367">
        <v>1.49482</v>
      </c>
      <c r="HD367">
        <v>20.3281</v>
      </c>
      <c r="HE367">
        <v>5.21759</v>
      </c>
      <c r="HF367">
        <v>12.0099</v>
      </c>
      <c r="HG367">
        <v>4.98865</v>
      </c>
      <c r="HH367">
        <v>3.28858</v>
      </c>
      <c r="HI367">
        <v>1033.6</v>
      </c>
      <c r="HJ367">
        <v>9750.200000000001</v>
      </c>
      <c r="HK367">
        <v>5139.4</v>
      </c>
      <c r="HL367">
        <v>25.4</v>
      </c>
      <c r="HM367">
        <v>1.86748</v>
      </c>
      <c r="HN367">
        <v>1.86645</v>
      </c>
      <c r="HO367">
        <v>1.86599</v>
      </c>
      <c r="HP367">
        <v>1.86584</v>
      </c>
      <c r="HQ367">
        <v>1.86768</v>
      </c>
      <c r="HR367">
        <v>1.87015</v>
      </c>
      <c r="HS367">
        <v>1.8689</v>
      </c>
      <c r="HT367">
        <v>1.87018</v>
      </c>
      <c r="HU367">
        <v>0</v>
      </c>
      <c r="HV367">
        <v>0</v>
      </c>
      <c r="HW367">
        <v>0</v>
      </c>
      <c r="HX367">
        <v>0</v>
      </c>
      <c r="HY367" t="s">
        <v>421</v>
      </c>
      <c r="HZ367" t="s">
        <v>422</v>
      </c>
      <c r="IA367" t="s">
        <v>423</v>
      </c>
      <c r="IB367" t="s">
        <v>423</v>
      </c>
      <c r="IC367" t="s">
        <v>423</v>
      </c>
      <c r="ID367" t="s">
        <v>423</v>
      </c>
      <c r="IE367">
        <v>0</v>
      </c>
      <c r="IF367">
        <v>100</v>
      </c>
      <c r="IG367">
        <v>100</v>
      </c>
      <c r="IH367">
        <v>-1.348</v>
      </c>
      <c r="II367">
        <v>0.026</v>
      </c>
      <c r="IJ367">
        <v>-0.1559367209035702</v>
      </c>
      <c r="IK367">
        <v>-0.002077099775823331</v>
      </c>
      <c r="IL367">
        <v>4.593143279902166E-07</v>
      </c>
      <c r="IM367">
        <v>-1.865383991892071E-10</v>
      </c>
      <c r="IN367">
        <v>-0.0607165066849496</v>
      </c>
      <c r="IO367">
        <v>-0.01129461987421345</v>
      </c>
      <c r="IP367">
        <v>0.00116580895745559</v>
      </c>
      <c r="IQ367">
        <v>-1.679085872906199E-05</v>
      </c>
      <c r="IR367">
        <v>2</v>
      </c>
      <c r="IS367">
        <v>2290</v>
      </c>
      <c r="IT367">
        <v>0</v>
      </c>
      <c r="IU367">
        <v>32</v>
      </c>
      <c r="IV367">
        <v>16</v>
      </c>
      <c r="IW367">
        <v>15.8</v>
      </c>
      <c r="IX367">
        <v>1.5918</v>
      </c>
      <c r="IY367">
        <v>2.19604</v>
      </c>
      <c r="IZ367">
        <v>1.39648</v>
      </c>
      <c r="JA367">
        <v>2.35474</v>
      </c>
      <c r="JB367">
        <v>1.49536</v>
      </c>
      <c r="JC367">
        <v>2.34863</v>
      </c>
      <c r="JD367">
        <v>38.0134</v>
      </c>
      <c r="JE367">
        <v>24.0437</v>
      </c>
      <c r="JF367">
        <v>18</v>
      </c>
      <c r="JG367">
        <v>512.403</v>
      </c>
      <c r="JH367">
        <v>426.298</v>
      </c>
      <c r="JI367">
        <v>23.1481</v>
      </c>
      <c r="JJ367">
        <v>27.8799</v>
      </c>
      <c r="JK367">
        <v>29.9999</v>
      </c>
      <c r="JL367">
        <v>27.8958</v>
      </c>
      <c r="JM367">
        <v>27.8391</v>
      </c>
      <c r="JN367">
        <v>31.9722</v>
      </c>
      <c r="JO367">
        <v>46.0558</v>
      </c>
      <c r="JP367">
        <v>0</v>
      </c>
      <c r="JQ367">
        <v>23.1482</v>
      </c>
      <c r="JR367">
        <v>726.056</v>
      </c>
      <c r="JS367">
        <v>9.09164</v>
      </c>
      <c r="JT367">
        <v>100.418</v>
      </c>
      <c r="JU367">
        <v>100.35</v>
      </c>
    </row>
    <row r="368" spans="1:281">
      <c r="A368">
        <v>352</v>
      </c>
      <c r="B368">
        <v>1651866467.5</v>
      </c>
      <c r="C368">
        <v>2246.900000095367</v>
      </c>
      <c r="D368" t="s">
        <v>1127</v>
      </c>
      <c r="E368" t="s">
        <v>1128</v>
      </c>
      <c r="F368">
        <v>2</v>
      </c>
      <c r="G368" t="s">
        <v>908</v>
      </c>
      <c r="H368" t="s">
        <v>414</v>
      </c>
      <c r="I368">
        <v>1651866466.125</v>
      </c>
      <c r="J368">
        <f>(K368)/1000</f>
        <v>0</v>
      </c>
      <c r="K368">
        <f>IF(CZ368, AN368, AH368)</f>
        <v>0</v>
      </c>
      <c r="L368">
        <f>IF(CZ368, AI368, AG368)</f>
        <v>0</v>
      </c>
      <c r="M368">
        <f>DB368 - IF(AU368&gt;1, L368*CV368*100.0/(AW368*DP368), 0)</f>
        <v>0</v>
      </c>
      <c r="N368">
        <f>((T368-J368/2)*M368-L368)/(T368+J368/2)</f>
        <v>0</v>
      </c>
      <c r="O368">
        <f>N368*(DI368+DJ368)/1000.0</f>
        <v>0</v>
      </c>
      <c r="P368">
        <f>(DB368 - IF(AU368&gt;1, L368*CV368*100.0/(AW368*DP368), 0))*(DI368+DJ368)/1000.0</f>
        <v>0</v>
      </c>
      <c r="Q368">
        <f>2.0/((1/S368-1/R368)+SIGN(S368)*SQRT((1/S368-1/R368)*(1/S368-1/R368) + 4*CW368/((CW368+1)*(CW368+1))*(2*1/S368*1/R368-1/R368*1/R368)))</f>
        <v>0</v>
      </c>
      <c r="R368">
        <f>IF(LEFT(CX368,1)&lt;&gt;"0",IF(LEFT(CX368,1)="1",3.0,CY368),$D$5+$E$5*(DP368*DI368/($K$5*1000))+$F$5*(DP368*DI368/($K$5*1000))*MAX(MIN(CV368,$J$5),$I$5)*MAX(MIN(CV368,$J$5),$I$5)+$G$5*MAX(MIN(CV368,$J$5),$I$5)*(DP368*DI368/($K$5*1000))+$H$5*(DP368*DI368/($K$5*1000))*(DP368*DI368/($K$5*1000)))</f>
        <v>0</v>
      </c>
      <c r="S368">
        <f>J368*(1000-(1000*0.61365*exp(17.502*W368/(240.97+W368))/(DI368+DJ368)+DD368)/2)/(1000*0.61365*exp(17.502*W368/(240.97+W368))/(DI368+DJ368)-DD368)</f>
        <v>0</v>
      </c>
      <c r="T368">
        <f>1/((CW368+1)/(Q368/1.6)+1/(R368/1.37)) + CW368/((CW368+1)/(Q368/1.6) + CW368/(R368/1.37))</f>
        <v>0</v>
      </c>
      <c r="U368">
        <f>(CR368*CU368)</f>
        <v>0</v>
      </c>
      <c r="V368">
        <f>(DK368+(U368+2*0.95*5.67E-8*(((DK368+$B$7)+273)^4-(DK368+273)^4)-44100*J368)/(1.84*29.3*R368+8*0.95*5.67E-8*(DK368+273)^3))</f>
        <v>0</v>
      </c>
      <c r="W368">
        <f>($C$7*DL368+$D$7*DM368+$E$7*V368)</f>
        <v>0</v>
      </c>
      <c r="X368">
        <f>0.61365*exp(17.502*W368/(240.97+W368))</f>
        <v>0</v>
      </c>
      <c r="Y368">
        <f>(Z368/AA368*100)</f>
        <v>0</v>
      </c>
      <c r="Z368">
        <f>DD368*(DI368+DJ368)/1000</f>
        <v>0</v>
      </c>
      <c r="AA368">
        <f>0.61365*exp(17.502*DK368/(240.97+DK368))</f>
        <v>0</v>
      </c>
      <c r="AB368">
        <f>(X368-DD368*(DI368+DJ368)/1000)</f>
        <v>0</v>
      </c>
      <c r="AC368">
        <f>(-J368*44100)</f>
        <v>0</v>
      </c>
      <c r="AD368">
        <f>2*29.3*R368*0.92*(DK368-W368)</f>
        <v>0</v>
      </c>
      <c r="AE368">
        <f>2*0.95*5.67E-8*(((DK368+$B$7)+273)^4-(W368+273)^4)</f>
        <v>0</v>
      </c>
      <c r="AF368">
        <f>U368+AE368+AC368+AD368</f>
        <v>0</v>
      </c>
      <c r="AG368">
        <f>DH368*AU368*(DC368-DB368*(1000-AU368*DE368)/(1000-AU368*DD368))/(100*CV368)</f>
        <v>0</v>
      </c>
      <c r="AH368">
        <f>1000*DH368*AU368*(DD368-DE368)/(100*CV368*(1000-AU368*DD368))</f>
        <v>0</v>
      </c>
      <c r="AI368">
        <f>(AJ368 - AK368 - DI368*1E3/(8.314*(DK368+273.15)) * AM368/DH368 * AL368) * DH368/(100*CV368) * (1000 - DE368)/1000</f>
        <v>0</v>
      </c>
      <c r="AJ368">
        <v>706.4749380448576</v>
      </c>
      <c r="AK368">
        <v>656.7411575757573</v>
      </c>
      <c r="AL368">
        <v>3.334198958743156</v>
      </c>
      <c r="AM368">
        <v>66.38195617057868</v>
      </c>
      <c r="AN368">
        <f>(AP368 - AO368 + DI368*1E3/(8.314*(DK368+273.15)) * AR368/DH368 * AQ368) * DH368/(100*CV368) * 1000/(1000 - AP368)</f>
        <v>0</v>
      </c>
      <c r="AO368">
        <v>9.134629809216134</v>
      </c>
      <c r="AP368">
        <v>18.72952823529412</v>
      </c>
      <c r="AQ368">
        <v>0.0001805487861638814</v>
      </c>
      <c r="AR368">
        <v>80.47178418790507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MAX(0,($B$13+$C$13*DP368)/(1+$D$13*DP368)*DI368/(DK368+273)*$E$13)</f>
        <v>0</v>
      </c>
      <c r="AX368" t="s">
        <v>417</v>
      </c>
      <c r="AY368" t="s">
        <v>417</v>
      </c>
      <c r="AZ368">
        <v>0</v>
      </c>
      <c r="BA368">
        <v>0</v>
      </c>
      <c r="BB368">
        <f>1-AZ368/BA368</f>
        <v>0</v>
      </c>
      <c r="BC368">
        <v>0</v>
      </c>
      <c r="BD368" t="s">
        <v>417</v>
      </c>
      <c r="BE368" t="s">
        <v>417</v>
      </c>
      <c r="BF368">
        <v>0</v>
      </c>
      <c r="BG368">
        <v>0</v>
      </c>
      <c r="BH368">
        <f>1-BF368/BG368</f>
        <v>0</v>
      </c>
      <c r="BI368">
        <v>0.5</v>
      </c>
      <c r="BJ368">
        <f>CS368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417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BZ368">
        <v>1249</v>
      </c>
      <c r="CA368">
        <v>300</v>
      </c>
      <c r="CB368">
        <v>300</v>
      </c>
      <c r="CC368">
        <v>300</v>
      </c>
      <c r="CD368">
        <v>10442.4</v>
      </c>
      <c r="CE368">
        <v>1239.69</v>
      </c>
      <c r="CF368">
        <v>-0.00735276</v>
      </c>
      <c r="CG368">
        <v>0.07000000000000001</v>
      </c>
      <c r="CH368" t="s">
        <v>417</v>
      </c>
      <c r="CI368" t="s">
        <v>417</v>
      </c>
      <c r="CJ368" t="s">
        <v>417</v>
      </c>
      <c r="CK368" t="s">
        <v>417</v>
      </c>
      <c r="CL368" t="s">
        <v>417</v>
      </c>
      <c r="CM368" t="s">
        <v>417</v>
      </c>
      <c r="CN368" t="s">
        <v>417</v>
      </c>
      <c r="CO368" t="s">
        <v>417</v>
      </c>
      <c r="CP368" t="s">
        <v>417</v>
      </c>
      <c r="CQ368" t="s">
        <v>417</v>
      </c>
      <c r="CR368">
        <f>$B$11*DQ368+$C$11*DR368+$F$11*EC368*(1-EF368)</f>
        <v>0</v>
      </c>
      <c r="CS368">
        <f>CR368*CT368</f>
        <v>0</v>
      </c>
      <c r="CT368">
        <f>($B$11*$D$9+$C$11*$D$9+$F$11*((EP368+EH368)/MAX(EP368+EH368+EQ368, 0.1)*$I$9+EQ368/MAX(EP368+EH368+EQ368, 0.1)*$J$9))/($B$11+$C$11+$F$11)</f>
        <v>0</v>
      </c>
      <c r="CU368">
        <f>($B$11*$K$9+$C$11*$K$9+$F$11*((EP368+EH368)/MAX(EP368+EH368+EQ368, 0.1)*$P$9+EQ368/MAX(EP368+EH368+EQ368, 0.1)*$Q$9))/($B$11+$C$11+$F$11)</f>
        <v>0</v>
      </c>
      <c r="CV368">
        <v>6</v>
      </c>
      <c r="CW368">
        <v>0.5</v>
      </c>
      <c r="CX368" t="s">
        <v>418</v>
      </c>
      <c r="CY368">
        <v>2</v>
      </c>
      <c r="CZ368" t="b">
        <v>1</v>
      </c>
      <c r="DA368">
        <v>1651866466.125</v>
      </c>
      <c r="DB368">
        <v>641.56375</v>
      </c>
      <c r="DC368">
        <v>704.806</v>
      </c>
      <c r="DD368">
        <v>18.7291</v>
      </c>
      <c r="DE368">
        <v>9.132825</v>
      </c>
      <c r="DF368">
        <v>642.91475</v>
      </c>
      <c r="DG368">
        <v>18.7031</v>
      </c>
      <c r="DH368">
        <v>500.0315000000001</v>
      </c>
      <c r="DI368">
        <v>89.9191</v>
      </c>
      <c r="DJ368">
        <v>0.100182</v>
      </c>
      <c r="DK368">
        <v>25.95355</v>
      </c>
      <c r="DL368">
        <v>24.99785</v>
      </c>
      <c r="DM368">
        <v>999.9</v>
      </c>
      <c r="DN368">
        <v>0</v>
      </c>
      <c r="DO368">
        <v>0</v>
      </c>
      <c r="DP368">
        <v>9984.847499999998</v>
      </c>
      <c r="DQ368">
        <v>0</v>
      </c>
      <c r="DR368">
        <v>3.20383</v>
      </c>
      <c r="DS368">
        <v>-63.2422</v>
      </c>
      <c r="DT368">
        <v>653.80875</v>
      </c>
      <c r="DU368">
        <v>711.302</v>
      </c>
      <c r="DV368">
        <v>9.596282500000001</v>
      </c>
      <c r="DW368">
        <v>704.806</v>
      </c>
      <c r="DX368">
        <v>9.132825</v>
      </c>
      <c r="DY368">
        <v>1.684105</v>
      </c>
      <c r="DZ368">
        <v>0.82121575</v>
      </c>
      <c r="EA368">
        <v>14.750675</v>
      </c>
      <c r="EB368">
        <v>4.0794075</v>
      </c>
      <c r="EC368">
        <v>1500.01</v>
      </c>
      <c r="ED368">
        <v>0.973003</v>
      </c>
      <c r="EE368">
        <v>0.0269973</v>
      </c>
      <c r="EF368">
        <v>0</v>
      </c>
      <c r="EG368">
        <v>912.4395000000001</v>
      </c>
      <c r="EH368">
        <v>5.00097</v>
      </c>
      <c r="EI368">
        <v>13600.65</v>
      </c>
      <c r="EJ368">
        <v>12491.675</v>
      </c>
      <c r="EK368">
        <v>38.437</v>
      </c>
      <c r="EL368">
        <v>39.625</v>
      </c>
      <c r="EM368">
        <v>38.82774999999999</v>
      </c>
      <c r="EN368">
        <v>39.375</v>
      </c>
      <c r="EO368">
        <v>39.25</v>
      </c>
      <c r="EP368">
        <v>1454.65</v>
      </c>
      <c r="EQ368">
        <v>40.36</v>
      </c>
      <c r="ER368">
        <v>0</v>
      </c>
      <c r="ES368">
        <v>984.7999999523163</v>
      </c>
      <c r="ET368">
        <v>0</v>
      </c>
      <c r="EU368">
        <v>911.1094999999999</v>
      </c>
      <c r="EV368">
        <v>12.93234187837952</v>
      </c>
      <c r="EW368">
        <v>179.5452991427137</v>
      </c>
      <c r="EX368">
        <v>13581.76538461539</v>
      </c>
      <c r="EY368">
        <v>15</v>
      </c>
      <c r="EZ368">
        <v>1651865518.1</v>
      </c>
      <c r="FA368" t="s">
        <v>910</v>
      </c>
      <c r="FB368">
        <v>1651865507.1</v>
      </c>
      <c r="FC368">
        <v>1651865518.1</v>
      </c>
      <c r="FD368">
        <v>8</v>
      </c>
      <c r="FE368">
        <v>0.06</v>
      </c>
      <c r="FF368">
        <v>0</v>
      </c>
      <c r="FG368">
        <v>-0.927</v>
      </c>
      <c r="FH368">
        <v>-0.062</v>
      </c>
      <c r="FI368">
        <v>400</v>
      </c>
      <c r="FJ368">
        <v>11</v>
      </c>
      <c r="FK368">
        <v>0.11</v>
      </c>
      <c r="FL368">
        <v>0.01</v>
      </c>
      <c r="FM368">
        <v>-62.63388999999999</v>
      </c>
      <c r="FN368">
        <v>-2.022925328330214</v>
      </c>
      <c r="FO368">
        <v>0.3446947372676302</v>
      </c>
      <c r="FP368">
        <v>-1</v>
      </c>
      <c r="FQ368">
        <v>9.5860015</v>
      </c>
      <c r="FR368">
        <v>0.04962799249530503</v>
      </c>
      <c r="FS368">
        <v>0.005286694406715756</v>
      </c>
      <c r="FT368">
        <v>-1</v>
      </c>
      <c r="FU368">
        <v>0</v>
      </c>
      <c r="FV368">
        <v>0</v>
      </c>
      <c r="FW368">
        <v>0</v>
      </c>
      <c r="FX368">
        <v>-1</v>
      </c>
      <c r="FY368">
        <v>0</v>
      </c>
      <c r="FZ368">
        <v>0</v>
      </c>
      <c r="GA368" t="s">
        <v>420</v>
      </c>
      <c r="GB368">
        <v>2.98155</v>
      </c>
      <c r="GC368">
        <v>2.70618</v>
      </c>
      <c r="GD368">
        <v>0.128019</v>
      </c>
      <c r="GE368">
        <v>0.134875</v>
      </c>
      <c r="GF368">
        <v>0.0890783</v>
      </c>
      <c r="GG368">
        <v>0.0517056</v>
      </c>
      <c r="GH368">
        <v>27554.8</v>
      </c>
      <c r="GI368">
        <v>27397</v>
      </c>
      <c r="GJ368">
        <v>29377.9</v>
      </c>
      <c r="GK368">
        <v>29292.5</v>
      </c>
      <c r="GL368">
        <v>35432.9</v>
      </c>
      <c r="GM368">
        <v>37004</v>
      </c>
      <c r="GN368">
        <v>41349.6</v>
      </c>
      <c r="GO368">
        <v>41812.3</v>
      </c>
      <c r="GP368">
        <v>1.96738</v>
      </c>
      <c r="GQ368">
        <v>1.8549</v>
      </c>
      <c r="GR368">
        <v>-0.00618398</v>
      </c>
      <c r="GS368">
        <v>0</v>
      </c>
      <c r="GT368">
        <v>25.0979</v>
      </c>
      <c r="GU368">
        <v>999.9</v>
      </c>
      <c r="GV368">
        <v>29.6</v>
      </c>
      <c r="GW368">
        <v>34.2</v>
      </c>
      <c r="GX368">
        <v>17.7861</v>
      </c>
      <c r="GY368">
        <v>62.5176</v>
      </c>
      <c r="GZ368">
        <v>35.4127</v>
      </c>
      <c r="HA368">
        <v>1</v>
      </c>
      <c r="HB368">
        <v>0.0432774</v>
      </c>
      <c r="HC368">
        <v>1.49514</v>
      </c>
      <c r="HD368">
        <v>20.3281</v>
      </c>
      <c r="HE368">
        <v>5.21759</v>
      </c>
      <c r="HF368">
        <v>12.0099</v>
      </c>
      <c r="HG368">
        <v>4.9887</v>
      </c>
      <c r="HH368">
        <v>3.28863</v>
      </c>
      <c r="HI368">
        <v>1033.6</v>
      </c>
      <c r="HJ368">
        <v>9750.200000000001</v>
      </c>
      <c r="HK368">
        <v>5139.4</v>
      </c>
      <c r="HL368">
        <v>25.4</v>
      </c>
      <c r="HM368">
        <v>1.86748</v>
      </c>
      <c r="HN368">
        <v>1.86644</v>
      </c>
      <c r="HO368">
        <v>1.86599</v>
      </c>
      <c r="HP368">
        <v>1.86584</v>
      </c>
      <c r="HQ368">
        <v>1.86768</v>
      </c>
      <c r="HR368">
        <v>1.87016</v>
      </c>
      <c r="HS368">
        <v>1.8689</v>
      </c>
      <c r="HT368">
        <v>1.87019</v>
      </c>
      <c r="HU368">
        <v>0</v>
      </c>
      <c r="HV368">
        <v>0</v>
      </c>
      <c r="HW368">
        <v>0</v>
      </c>
      <c r="HX368">
        <v>0</v>
      </c>
      <c r="HY368" t="s">
        <v>421</v>
      </c>
      <c r="HZ368" t="s">
        <v>422</v>
      </c>
      <c r="IA368" t="s">
        <v>423</v>
      </c>
      <c r="IB368" t="s">
        <v>423</v>
      </c>
      <c r="IC368" t="s">
        <v>423</v>
      </c>
      <c r="ID368" t="s">
        <v>423</v>
      </c>
      <c r="IE368">
        <v>0</v>
      </c>
      <c r="IF368">
        <v>100</v>
      </c>
      <c r="IG368">
        <v>100</v>
      </c>
      <c r="IH368">
        <v>-1.359</v>
      </c>
      <c r="II368">
        <v>0.0259</v>
      </c>
      <c r="IJ368">
        <v>-0.1559367209035702</v>
      </c>
      <c r="IK368">
        <v>-0.002077099775823331</v>
      </c>
      <c r="IL368">
        <v>4.593143279902166E-07</v>
      </c>
      <c r="IM368">
        <v>-1.865383991892071E-10</v>
      </c>
      <c r="IN368">
        <v>-0.0607165066849496</v>
      </c>
      <c r="IO368">
        <v>-0.01129461987421345</v>
      </c>
      <c r="IP368">
        <v>0.00116580895745559</v>
      </c>
      <c r="IQ368">
        <v>-1.679085872906199E-05</v>
      </c>
      <c r="IR368">
        <v>2</v>
      </c>
      <c r="IS368">
        <v>2290</v>
      </c>
      <c r="IT368">
        <v>0</v>
      </c>
      <c r="IU368">
        <v>32</v>
      </c>
      <c r="IV368">
        <v>16</v>
      </c>
      <c r="IW368">
        <v>15.8</v>
      </c>
      <c r="IX368">
        <v>1.604</v>
      </c>
      <c r="IY368">
        <v>2.19849</v>
      </c>
      <c r="IZ368">
        <v>1.39648</v>
      </c>
      <c r="JA368">
        <v>2.35474</v>
      </c>
      <c r="JB368">
        <v>1.49536</v>
      </c>
      <c r="JC368">
        <v>2.35229</v>
      </c>
      <c r="JD368">
        <v>38.0134</v>
      </c>
      <c r="JE368">
        <v>24.0437</v>
      </c>
      <c r="JF368">
        <v>18</v>
      </c>
      <c r="JG368">
        <v>512.523</v>
      </c>
      <c r="JH368">
        <v>426.379</v>
      </c>
      <c r="JI368">
        <v>23.1482</v>
      </c>
      <c r="JJ368">
        <v>27.879</v>
      </c>
      <c r="JK368">
        <v>29.9999</v>
      </c>
      <c r="JL368">
        <v>27.8946</v>
      </c>
      <c r="JM368">
        <v>27.8379</v>
      </c>
      <c r="JN368">
        <v>32.2064</v>
      </c>
      <c r="JO368">
        <v>46.0558</v>
      </c>
      <c r="JP368">
        <v>0</v>
      </c>
      <c r="JQ368">
        <v>23.1482</v>
      </c>
      <c r="JR368">
        <v>732.774</v>
      </c>
      <c r="JS368">
        <v>9.092610000000001</v>
      </c>
      <c r="JT368">
        <v>100.418</v>
      </c>
      <c r="JU368">
        <v>100.35</v>
      </c>
    </row>
    <row r="369" spans="1:281">
      <c r="A369">
        <v>353</v>
      </c>
      <c r="B369">
        <v>1651866469.5</v>
      </c>
      <c r="C369">
        <v>2248.900000095367</v>
      </c>
      <c r="D369" t="s">
        <v>1129</v>
      </c>
      <c r="E369" t="s">
        <v>1130</v>
      </c>
      <c r="F369">
        <v>2</v>
      </c>
      <c r="G369" t="s">
        <v>908</v>
      </c>
      <c r="H369" t="s">
        <v>414</v>
      </c>
      <c r="I369">
        <v>1651866468.5</v>
      </c>
      <c r="J369">
        <f>(K369)/1000</f>
        <v>0</v>
      </c>
      <c r="K369">
        <f>IF(CZ369, AN369, AH369)</f>
        <v>0</v>
      </c>
      <c r="L369">
        <f>IF(CZ369, AI369, AG369)</f>
        <v>0</v>
      </c>
      <c r="M369">
        <f>DB369 - IF(AU369&gt;1, L369*CV369*100.0/(AW369*DP369), 0)</f>
        <v>0</v>
      </c>
      <c r="N369">
        <f>((T369-J369/2)*M369-L369)/(T369+J369/2)</f>
        <v>0</v>
      </c>
      <c r="O369">
        <f>N369*(DI369+DJ369)/1000.0</f>
        <v>0</v>
      </c>
      <c r="P369">
        <f>(DB369 - IF(AU369&gt;1, L369*CV369*100.0/(AW369*DP369), 0))*(DI369+DJ369)/1000.0</f>
        <v>0</v>
      </c>
      <c r="Q369">
        <f>2.0/((1/S369-1/R369)+SIGN(S369)*SQRT((1/S369-1/R369)*(1/S369-1/R369) + 4*CW369/((CW369+1)*(CW369+1))*(2*1/S369*1/R369-1/R369*1/R369)))</f>
        <v>0</v>
      </c>
      <c r="R369">
        <f>IF(LEFT(CX369,1)&lt;&gt;"0",IF(LEFT(CX369,1)="1",3.0,CY369),$D$5+$E$5*(DP369*DI369/($K$5*1000))+$F$5*(DP369*DI369/($K$5*1000))*MAX(MIN(CV369,$J$5),$I$5)*MAX(MIN(CV369,$J$5),$I$5)+$G$5*MAX(MIN(CV369,$J$5),$I$5)*(DP369*DI369/($K$5*1000))+$H$5*(DP369*DI369/($K$5*1000))*(DP369*DI369/($K$5*1000)))</f>
        <v>0</v>
      </c>
      <c r="S369">
        <f>J369*(1000-(1000*0.61365*exp(17.502*W369/(240.97+W369))/(DI369+DJ369)+DD369)/2)/(1000*0.61365*exp(17.502*W369/(240.97+W369))/(DI369+DJ369)-DD369)</f>
        <v>0</v>
      </c>
      <c r="T369">
        <f>1/((CW369+1)/(Q369/1.6)+1/(R369/1.37)) + CW369/((CW369+1)/(Q369/1.6) + CW369/(R369/1.37))</f>
        <v>0</v>
      </c>
      <c r="U369">
        <f>(CR369*CU369)</f>
        <v>0</v>
      </c>
      <c r="V369">
        <f>(DK369+(U369+2*0.95*5.67E-8*(((DK369+$B$7)+273)^4-(DK369+273)^4)-44100*J369)/(1.84*29.3*R369+8*0.95*5.67E-8*(DK369+273)^3))</f>
        <v>0</v>
      </c>
      <c r="W369">
        <f>($C$7*DL369+$D$7*DM369+$E$7*V369)</f>
        <v>0</v>
      </c>
      <c r="X369">
        <f>0.61365*exp(17.502*W369/(240.97+W369))</f>
        <v>0</v>
      </c>
      <c r="Y369">
        <f>(Z369/AA369*100)</f>
        <v>0</v>
      </c>
      <c r="Z369">
        <f>DD369*(DI369+DJ369)/1000</f>
        <v>0</v>
      </c>
      <c r="AA369">
        <f>0.61365*exp(17.502*DK369/(240.97+DK369))</f>
        <v>0</v>
      </c>
      <c r="AB369">
        <f>(X369-DD369*(DI369+DJ369)/1000)</f>
        <v>0</v>
      </c>
      <c r="AC369">
        <f>(-J369*44100)</f>
        <v>0</v>
      </c>
      <c r="AD369">
        <f>2*29.3*R369*0.92*(DK369-W369)</f>
        <v>0</v>
      </c>
      <c r="AE369">
        <f>2*0.95*5.67E-8*(((DK369+$B$7)+273)^4-(W369+273)^4)</f>
        <v>0</v>
      </c>
      <c r="AF369">
        <f>U369+AE369+AC369+AD369</f>
        <v>0</v>
      </c>
      <c r="AG369">
        <f>DH369*AU369*(DC369-DB369*(1000-AU369*DE369)/(1000-AU369*DD369))/(100*CV369)</f>
        <v>0</v>
      </c>
      <c r="AH369">
        <f>1000*DH369*AU369*(DD369-DE369)/(100*CV369*(1000-AU369*DD369))</f>
        <v>0</v>
      </c>
      <c r="AI369">
        <f>(AJ369 - AK369 - DI369*1E3/(8.314*(DK369+273.15)) * AM369/DH369 * AL369) * DH369/(100*CV369) * (1000 - DE369)/1000</f>
        <v>0</v>
      </c>
      <c r="AJ369">
        <v>713.4048090339437</v>
      </c>
      <c r="AK369">
        <v>663.4843818181818</v>
      </c>
      <c r="AL369">
        <v>3.362724802808354</v>
      </c>
      <c r="AM369">
        <v>66.38195617057868</v>
      </c>
      <c r="AN369">
        <f>(AP369 - AO369 + DI369*1E3/(8.314*(DK369+273.15)) * AR369/DH369 * AQ369) * DH369/(100*CV369) * 1000/(1000 - AP369)</f>
        <v>0</v>
      </c>
      <c r="AO369">
        <v>9.13339230965223</v>
      </c>
      <c r="AP369">
        <v>18.72756647058823</v>
      </c>
      <c r="AQ369">
        <v>0.000189579499028118</v>
      </c>
      <c r="AR369">
        <v>80.47178418790507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MAX(0,($B$13+$C$13*DP369)/(1+$D$13*DP369)*DI369/(DK369+273)*$E$13)</f>
        <v>0</v>
      </c>
      <c r="AX369" t="s">
        <v>417</v>
      </c>
      <c r="AY369" t="s">
        <v>417</v>
      </c>
      <c r="AZ369">
        <v>0</v>
      </c>
      <c r="BA369">
        <v>0</v>
      </c>
      <c r="BB369">
        <f>1-AZ369/BA369</f>
        <v>0</v>
      </c>
      <c r="BC369">
        <v>0</v>
      </c>
      <c r="BD369" t="s">
        <v>417</v>
      </c>
      <c r="BE369" t="s">
        <v>417</v>
      </c>
      <c r="BF369">
        <v>0</v>
      </c>
      <c r="BG369">
        <v>0</v>
      </c>
      <c r="BH369">
        <f>1-BF369/BG369</f>
        <v>0</v>
      </c>
      <c r="BI369">
        <v>0.5</v>
      </c>
      <c r="BJ369">
        <f>CS369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417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BZ369">
        <v>1249</v>
      </c>
      <c r="CA369">
        <v>300</v>
      </c>
      <c r="CB369">
        <v>300</v>
      </c>
      <c r="CC369">
        <v>300</v>
      </c>
      <c r="CD369">
        <v>10442.4</v>
      </c>
      <c r="CE369">
        <v>1239.69</v>
      </c>
      <c r="CF369">
        <v>-0.00735276</v>
      </c>
      <c r="CG369">
        <v>0.07000000000000001</v>
      </c>
      <c r="CH369" t="s">
        <v>417</v>
      </c>
      <c r="CI369" t="s">
        <v>417</v>
      </c>
      <c r="CJ369" t="s">
        <v>417</v>
      </c>
      <c r="CK369" t="s">
        <v>417</v>
      </c>
      <c r="CL369" t="s">
        <v>417</v>
      </c>
      <c r="CM369" t="s">
        <v>417</v>
      </c>
      <c r="CN369" t="s">
        <v>417</v>
      </c>
      <c r="CO369" t="s">
        <v>417</v>
      </c>
      <c r="CP369" t="s">
        <v>417</v>
      </c>
      <c r="CQ369" t="s">
        <v>417</v>
      </c>
      <c r="CR369">
        <f>$B$11*DQ369+$C$11*DR369+$F$11*EC369*(1-EF369)</f>
        <v>0</v>
      </c>
      <c r="CS369">
        <f>CR369*CT369</f>
        <v>0</v>
      </c>
      <c r="CT369">
        <f>($B$11*$D$9+$C$11*$D$9+$F$11*((EP369+EH369)/MAX(EP369+EH369+EQ369, 0.1)*$I$9+EQ369/MAX(EP369+EH369+EQ369, 0.1)*$J$9))/($B$11+$C$11+$F$11)</f>
        <v>0</v>
      </c>
      <c r="CU369">
        <f>($B$11*$K$9+$C$11*$K$9+$F$11*((EP369+EH369)/MAX(EP369+EH369+EQ369, 0.1)*$P$9+EQ369/MAX(EP369+EH369+EQ369, 0.1)*$Q$9))/($B$11+$C$11+$F$11)</f>
        <v>0</v>
      </c>
      <c r="CV369">
        <v>6</v>
      </c>
      <c r="CW369">
        <v>0.5</v>
      </c>
      <c r="CX369" t="s">
        <v>418</v>
      </c>
      <c r="CY369">
        <v>2</v>
      </c>
      <c r="CZ369" t="b">
        <v>1</v>
      </c>
      <c r="DA369">
        <v>1651866468.5</v>
      </c>
      <c r="DB369">
        <v>649.4016666666666</v>
      </c>
      <c r="DC369">
        <v>712.8626666666668</v>
      </c>
      <c r="DD369">
        <v>18.728</v>
      </c>
      <c r="DE369">
        <v>9.131459999999999</v>
      </c>
      <c r="DF369">
        <v>650.7663333333334</v>
      </c>
      <c r="DG369">
        <v>18.70203333333333</v>
      </c>
      <c r="DH369">
        <v>500.067</v>
      </c>
      <c r="DI369">
        <v>89.91813333333334</v>
      </c>
      <c r="DJ369">
        <v>0.09985533333333334</v>
      </c>
      <c r="DK369">
        <v>25.95106666666667</v>
      </c>
      <c r="DL369">
        <v>24.9962</v>
      </c>
      <c r="DM369">
        <v>999.9</v>
      </c>
      <c r="DN369">
        <v>0</v>
      </c>
      <c r="DO369">
        <v>0</v>
      </c>
      <c r="DP369">
        <v>10010.6</v>
      </c>
      <c r="DQ369">
        <v>0</v>
      </c>
      <c r="DR369">
        <v>3.20383</v>
      </c>
      <c r="DS369">
        <v>-63.46093333333334</v>
      </c>
      <c r="DT369">
        <v>661.7959999999999</v>
      </c>
      <c r="DU369">
        <v>719.4323333333333</v>
      </c>
      <c r="DV369">
        <v>9.596539999999999</v>
      </c>
      <c r="DW369">
        <v>712.8626666666668</v>
      </c>
      <c r="DX369">
        <v>9.131459999999999</v>
      </c>
      <c r="DY369">
        <v>1.683986666666667</v>
      </c>
      <c r="DZ369">
        <v>0.8210836666666667</v>
      </c>
      <c r="EA369">
        <v>14.7496</v>
      </c>
      <c r="EB369">
        <v>4.077123333333334</v>
      </c>
      <c r="EC369">
        <v>1500.02</v>
      </c>
      <c r="ED369">
        <v>0.973003</v>
      </c>
      <c r="EE369">
        <v>0.0269973</v>
      </c>
      <c r="EF369">
        <v>0</v>
      </c>
      <c r="EG369">
        <v>912.9053333333333</v>
      </c>
      <c r="EH369">
        <v>5.00097</v>
      </c>
      <c r="EI369">
        <v>13606.83333333333</v>
      </c>
      <c r="EJ369">
        <v>12491.73333333333</v>
      </c>
      <c r="EK369">
        <v>38.437</v>
      </c>
      <c r="EL369">
        <v>39.625</v>
      </c>
      <c r="EM369">
        <v>38.812</v>
      </c>
      <c r="EN369">
        <v>39.333</v>
      </c>
      <c r="EO369">
        <v>39.25</v>
      </c>
      <c r="EP369">
        <v>1454.66</v>
      </c>
      <c r="EQ369">
        <v>40.36</v>
      </c>
      <c r="ER369">
        <v>0</v>
      </c>
      <c r="ES369">
        <v>987.2000000476837</v>
      </c>
      <c r="ET369">
        <v>0</v>
      </c>
      <c r="EU369">
        <v>911.6089230769229</v>
      </c>
      <c r="EV369">
        <v>13.03172647976121</v>
      </c>
      <c r="EW369">
        <v>172.112820269124</v>
      </c>
      <c r="EX369">
        <v>13588.92692307692</v>
      </c>
      <c r="EY369">
        <v>15</v>
      </c>
      <c r="EZ369">
        <v>1651865518.1</v>
      </c>
      <c r="FA369" t="s">
        <v>910</v>
      </c>
      <c r="FB369">
        <v>1651865507.1</v>
      </c>
      <c r="FC369">
        <v>1651865518.1</v>
      </c>
      <c r="FD369">
        <v>8</v>
      </c>
      <c r="FE369">
        <v>0.06</v>
      </c>
      <c r="FF369">
        <v>0</v>
      </c>
      <c r="FG369">
        <v>-0.927</v>
      </c>
      <c r="FH369">
        <v>-0.062</v>
      </c>
      <c r="FI369">
        <v>400</v>
      </c>
      <c r="FJ369">
        <v>11</v>
      </c>
      <c r="FK369">
        <v>0.11</v>
      </c>
      <c r="FL369">
        <v>0.01</v>
      </c>
      <c r="FM369">
        <v>-62.68619024390245</v>
      </c>
      <c r="FN369">
        <v>-2.995128919860618</v>
      </c>
      <c r="FO369">
        <v>0.4013345923624955</v>
      </c>
      <c r="FP369">
        <v>-1</v>
      </c>
      <c r="FQ369">
        <v>9.58698487804878</v>
      </c>
      <c r="FR369">
        <v>0.05344620209062201</v>
      </c>
      <c r="FS369">
        <v>0.005691128792809677</v>
      </c>
      <c r="FT369">
        <v>-1</v>
      </c>
      <c r="FU369">
        <v>0</v>
      </c>
      <c r="FV369">
        <v>0</v>
      </c>
      <c r="FW369">
        <v>0</v>
      </c>
      <c r="FX369">
        <v>-1</v>
      </c>
      <c r="FY369">
        <v>0</v>
      </c>
      <c r="FZ369">
        <v>0</v>
      </c>
      <c r="GA369" t="s">
        <v>420</v>
      </c>
      <c r="GB369">
        <v>2.98152</v>
      </c>
      <c r="GC369">
        <v>2.70608</v>
      </c>
      <c r="GD369">
        <v>0.128918</v>
      </c>
      <c r="GE369">
        <v>0.135737</v>
      </c>
      <c r="GF369">
        <v>0.0890798</v>
      </c>
      <c r="GG369">
        <v>0.0516982</v>
      </c>
      <c r="GH369">
        <v>27526.3</v>
      </c>
      <c r="GI369">
        <v>27369.6</v>
      </c>
      <c r="GJ369">
        <v>29377.7</v>
      </c>
      <c r="GK369">
        <v>29292.4</v>
      </c>
      <c r="GL369">
        <v>35432.8</v>
      </c>
      <c r="GM369">
        <v>37004</v>
      </c>
      <c r="GN369">
        <v>41349.6</v>
      </c>
      <c r="GO369">
        <v>41812</v>
      </c>
      <c r="GP369">
        <v>1.96753</v>
      </c>
      <c r="GQ369">
        <v>1.85508</v>
      </c>
      <c r="GR369">
        <v>-0.00627711</v>
      </c>
      <c r="GS369">
        <v>0</v>
      </c>
      <c r="GT369">
        <v>25.0978</v>
      </c>
      <c r="GU369">
        <v>999.9</v>
      </c>
      <c r="GV369">
        <v>29.6</v>
      </c>
      <c r="GW369">
        <v>34.2</v>
      </c>
      <c r="GX369">
        <v>17.785</v>
      </c>
      <c r="GY369">
        <v>62.2876</v>
      </c>
      <c r="GZ369">
        <v>35.4327</v>
      </c>
      <c r="HA369">
        <v>1</v>
      </c>
      <c r="HB369">
        <v>0.0430945</v>
      </c>
      <c r="HC369">
        <v>1.49569</v>
      </c>
      <c r="HD369">
        <v>20.3281</v>
      </c>
      <c r="HE369">
        <v>5.21744</v>
      </c>
      <c r="HF369">
        <v>12.0099</v>
      </c>
      <c r="HG369">
        <v>4.9888</v>
      </c>
      <c r="HH369">
        <v>3.28863</v>
      </c>
      <c r="HI369">
        <v>1033.6</v>
      </c>
      <c r="HJ369">
        <v>9750.200000000001</v>
      </c>
      <c r="HK369">
        <v>5139.4</v>
      </c>
      <c r="HL369">
        <v>25.4</v>
      </c>
      <c r="HM369">
        <v>1.86745</v>
      </c>
      <c r="HN369">
        <v>1.86644</v>
      </c>
      <c r="HO369">
        <v>1.86599</v>
      </c>
      <c r="HP369">
        <v>1.86584</v>
      </c>
      <c r="HQ369">
        <v>1.86768</v>
      </c>
      <c r="HR369">
        <v>1.87017</v>
      </c>
      <c r="HS369">
        <v>1.8689</v>
      </c>
      <c r="HT369">
        <v>1.8702</v>
      </c>
      <c r="HU369">
        <v>0</v>
      </c>
      <c r="HV369">
        <v>0</v>
      </c>
      <c r="HW369">
        <v>0</v>
      </c>
      <c r="HX369">
        <v>0</v>
      </c>
      <c r="HY369" t="s">
        <v>421</v>
      </c>
      <c r="HZ369" t="s">
        <v>422</v>
      </c>
      <c r="IA369" t="s">
        <v>423</v>
      </c>
      <c r="IB369" t="s">
        <v>423</v>
      </c>
      <c r="IC369" t="s">
        <v>423</v>
      </c>
      <c r="ID369" t="s">
        <v>423</v>
      </c>
      <c r="IE369">
        <v>0</v>
      </c>
      <c r="IF369">
        <v>100</v>
      </c>
      <c r="IG369">
        <v>100</v>
      </c>
      <c r="IH369">
        <v>-1.37</v>
      </c>
      <c r="II369">
        <v>0.026</v>
      </c>
      <c r="IJ369">
        <v>-0.1559367209035702</v>
      </c>
      <c r="IK369">
        <v>-0.002077099775823331</v>
      </c>
      <c r="IL369">
        <v>4.593143279902166E-07</v>
      </c>
      <c r="IM369">
        <v>-1.865383991892071E-10</v>
      </c>
      <c r="IN369">
        <v>-0.0607165066849496</v>
      </c>
      <c r="IO369">
        <v>-0.01129461987421345</v>
      </c>
      <c r="IP369">
        <v>0.00116580895745559</v>
      </c>
      <c r="IQ369">
        <v>-1.679085872906199E-05</v>
      </c>
      <c r="IR369">
        <v>2</v>
      </c>
      <c r="IS369">
        <v>2290</v>
      </c>
      <c r="IT369">
        <v>0</v>
      </c>
      <c r="IU369">
        <v>32</v>
      </c>
      <c r="IV369">
        <v>16</v>
      </c>
      <c r="IW369">
        <v>15.9</v>
      </c>
      <c r="IX369">
        <v>1.61499</v>
      </c>
      <c r="IY369">
        <v>2.19971</v>
      </c>
      <c r="IZ369">
        <v>1.39648</v>
      </c>
      <c r="JA369">
        <v>2.35474</v>
      </c>
      <c r="JB369">
        <v>1.49536</v>
      </c>
      <c r="JC369">
        <v>2.323</v>
      </c>
      <c r="JD369">
        <v>38.0134</v>
      </c>
      <c r="JE369">
        <v>24.035</v>
      </c>
      <c r="JF369">
        <v>18</v>
      </c>
      <c r="JG369">
        <v>512.6130000000001</v>
      </c>
      <c r="JH369">
        <v>426.475</v>
      </c>
      <c r="JI369">
        <v>23.1482</v>
      </c>
      <c r="JJ369">
        <v>27.8779</v>
      </c>
      <c r="JK369">
        <v>29.9999</v>
      </c>
      <c r="JL369">
        <v>27.8937</v>
      </c>
      <c r="JM369">
        <v>27.8369</v>
      </c>
      <c r="JN369">
        <v>32.4497</v>
      </c>
      <c r="JO369">
        <v>46.0558</v>
      </c>
      <c r="JP369">
        <v>0</v>
      </c>
      <c r="JQ369">
        <v>23.1482</v>
      </c>
      <c r="JR369">
        <v>739.849</v>
      </c>
      <c r="JS369">
        <v>9.08112</v>
      </c>
      <c r="JT369">
        <v>100.418</v>
      </c>
      <c r="JU369">
        <v>100.349</v>
      </c>
    </row>
    <row r="370" spans="1:281">
      <c r="A370">
        <v>354</v>
      </c>
      <c r="B370">
        <v>1651866471.5</v>
      </c>
      <c r="C370">
        <v>2250.900000095367</v>
      </c>
      <c r="D370" t="s">
        <v>1131</v>
      </c>
      <c r="E370" t="s">
        <v>1132</v>
      </c>
      <c r="F370">
        <v>2</v>
      </c>
      <c r="G370" t="s">
        <v>908</v>
      </c>
      <c r="H370" t="s">
        <v>414</v>
      </c>
      <c r="I370">
        <v>1651866470.125</v>
      </c>
      <c r="J370">
        <f>(K370)/1000</f>
        <v>0</v>
      </c>
      <c r="K370">
        <f>IF(CZ370, AN370, AH370)</f>
        <v>0</v>
      </c>
      <c r="L370">
        <f>IF(CZ370, AI370, AG370)</f>
        <v>0</v>
      </c>
      <c r="M370">
        <f>DB370 - IF(AU370&gt;1, L370*CV370*100.0/(AW370*DP370), 0)</f>
        <v>0</v>
      </c>
      <c r="N370">
        <f>((T370-J370/2)*M370-L370)/(T370+J370/2)</f>
        <v>0</v>
      </c>
      <c r="O370">
        <f>N370*(DI370+DJ370)/1000.0</f>
        <v>0</v>
      </c>
      <c r="P370">
        <f>(DB370 - IF(AU370&gt;1, L370*CV370*100.0/(AW370*DP370), 0))*(DI370+DJ370)/1000.0</f>
        <v>0</v>
      </c>
      <c r="Q370">
        <f>2.0/((1/S370-1/R370)+SIGN(S370)*SQRT((1/S370-1/R370)*(1/S370-1/R370) + 4*CW370/((CW370+1)*(CW370+1))*(2*1/S370*1/R370-1/R370*1/R370)))</f>
        <v>0</v>
      </c>
      <c r="R370">
        <f>IF(LEFT(CX370,1)&lt;&gt;"0",IF(LEFT(CX370,1)="1",3.0,CY370),$D$5+$E$5*(DP370*DI370/($K$5*1000))+$F$5*(DP370*DI370/($K$5*1000))*MAX(MIN(CV370,$J$5),$I$5)*MAX(MIN(CV370,$J$5),$I$5)+$G$5*MAX(MIN(CV370,$J$5),$I$5)*(DP370*DI370/($K$5*1000))+$H$5*(DP370*DI370/($K$5*1000))*(DP370*DI370/($K$5*1000)))</f>
        <v>0</v>
      </c>
      <c r="S370">
        <f>J370*(1000-(1000*0.61365*exp(17.502*W370/(240.97+W370))/(DI370+DJ370)+DD370)/2)/(1000*0.61365*exp(17.502*W370/(240.97+W370))/(DI370+DJ370)-DD370)</f>
        <v>0</v>
      </c>
      <c r="T370">
        <f>1/((CW370+1)/(Q370/1.6)+1/(R370/1.37)) + CW370/((CW370+1)/(Q370/1.6) + CW370/(R370/1.37))</f>
        <v>0</v>
      </c>
      <c r="U370">
        <f>(CR370*CU370)</f>
        <v>0</v>
      </c>
      <c r="V370">
        <f>(DK370+(U370+2*0.95*5.67E-8*(((DK370+$B$7)+273)^4-(DK370+273)^4)-44100*J370)/(1.84*29.3*R370+8*0.95*5.67E-8*(DK370+273)^3))</f>
        <v>0</v>
      </c>
      <c r="W370">
        <f>($C$7*DL370+$D$7*DM370+$E$7*V370)</f>
        <v>0</v>
      </c>
      <c r="X370">
        <f>0.61365*exp(17.502*W370/(240.97+W370))</f>
        <v>0</v>
      </c>
      <c r="Y370">
        <f>(Z370/AA370*100)</f>
        <v>0</v>
      </c>
      <c r="Z370">
        <f>DD370*(DI370+DJ370)/1000</f>
        <v>0</v>
      </c>
      <c r="AA370">
        <f>0.61365*exp(17.502*DK370/(240.97+DK370))</f>
        <v>0</v>
      </c>
      <c r="AB370">
        <f>(X370-DD370*(DI370+DJ370)/1000)</f>
        <v>0</v>
      </c>
      <c r="AC370">
        <f>(-J370*44100)</f>
        <v>0</v>
      </c>
      <c r="AD370">
        <f>2*29.3*R370*0.92*(DK370-W370)</f>
        <v>0</v>
      </c>
      <c r="AE370">
        <f>2*0.95*5.67E-8*(((DK370+$B$7)+273)^4-(W370+273)^4)</f>
        <v>0</v>
      </c>
      <c r="AF370">
        <f>U370+AE370+AC370+AD370</f>
        <v>0</v>
      </c>
      <c r="AG370">
        <f>DH370*AU370*(DC370-DB370*(1000-AU370*DE370)/(1000-AU370*DD370))/(100*CV370)</f>
        <v>0</v>
      </c>
      <c r="AH370">
        <f>1000*DH370*AU370*(DD370-DE370)/(100*CV370*(1000-AU370*DD370))</f>
        <v>0</v>
      </c>
      <c r="AI370">
        <f>(AJ370 - AK370 - DI370*1E3/(8.314*(DK370+273.15)) * AM370/DH370 * AL370) * DH370/(100*CV370) * (1000 - DE370)/1000</f>
        <v>0</v>
      </c>
      <c r="AJ370">
        <v>720.2139090045491</v>
      </c>
      <c r="AK370">
        <v>670.1633212121213</v>
      </c>
      <c r="AL370">
        <v>3.351034216836815</v>
      </c>
      <c r="AM370">
        <v>66.38195617057868</v>
      </c>
      <c r="AN370">
        <f>(AP370 - AO370 + DI370*1E3/(8.314*(DK370+273.15)) * AR370/DH370 * AQ370) * DH370/(100*CV370) * 1000/(1000 - AP370)</f>
        <v>0</v>
      </c>
      <c r="AO370">
        <v>9.132317528667794</v>
      </c>
      <c r="AP370">
        <v>18.73060294117647</v>
      </c>
      <c r="AQ370">
        <v>-2.559139322940106E-05</v>
      </c>
      <c r="AR370">
        <v>80.47178418790507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MAX(0,($B$13+$C$13*DP370)/(1+$D$13*DP370)*DI370/(DK370+273)*$E$13)</f>
        <v>0</v>
      </c>
      <c r="AX370" t="s">
        <v>417</v>
      </c>
      <c r="AY370" t="s">
        <v>417</v>
      </c>
      <c r="AZ370">
        <v>0</v>
      </c>
      <c r="BA370">
        <v>0</v>
      </c>
      <c r="BB370">
        <f>1-AZ370/BA370</f>
        <v>0</v>
      </c>
      <c r="BC370">
        <v>0</v>
      </c>
      <c r="BD370" t="s">
        <v>417</v>
      </c>
      <c r="BE370" t="s">
        <v>417</v>
      </c>
      <c r="BF370">
        <v>0</v>
      </c>
      <c r="BG370">
        <v>0</v>
      </c>
      <c r="BH370">
        <f>1-BF370/BG370</f>
        <v>0</v>
      </c>
      <c r="BI370">
        <v>0.5</v>
      </c>
      <c r="BJ370">
        <f>CS370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417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BZ370">
        <v>1249</v>
      </c>
      <c r="CA370">
        <v>300</v>
      </c>
      <c r="CB370">
        <v>300</v>
      </c>
      <c r="CC370">
        <v>300</v>
      </c>
      <c r="CD370">
        <v>10442.4</v>
      </c>
      <c r="CE370">
        <v>1239.69</v>
      </c>
      <c r="CF370">
        <v>-0.00735276</v>
      </c>
      <c r="CG370">
        <v>0.07000000000000001</v>
      </c>
      <c r="CH370" t="s">
        <v>417</v>
      </c>
      <c r="CI370" t="s">
        <v>417</v>
      </c>
      <c r="CJ370" t="s">
        <v>417</v>
      </c>
      <c r="CK370" t="s">
        <v>417</v>
      </c>
      <c r="CL370" t="s">
        <v>417</v>
      </c>
      <c r="CM370" t="s">
        <v>417</v>
      </c>
      <c r="CN370" t="s">
        <v>417</v>
      </c>
      <c r="CO370" t="s">
        <v>417</v>
      </c>
      <c r="CP370" t="s">
        <v>417</v>
      </c>
      <c r="CQ370" t="s">
        <v>417</v>
      </c>
      <c r="CR370">
        <f>$B$11*DQ370+$C$11*DR370+$F$11*EC370*(1-EF370)</f>
        <v>0</v>
      </c>
      <c r="CS370">
        <f>CR370*CT370</f>
        <v>0</v>
      </c>
      <c r="CT370">
        <f>($B$11*$D$9+$C$11*$D$9+$F$11*((EP370+EH370)/MAX(EP370+EH370+EQ370, 0.1)*$I$9+EQ370/MAX(EP370+EH370+EQ370, 0.1)*$J$9))/($B$11+$C$11+$F$11)</f>
        <v>0</v>
      </c>
      <c r="CU370">
        <f>($B$11*$K$9+$C$11*$K$9+$F$11*((EP370+EH370)/MAX(EP370+EH370+EQ370, 0.1)*$P$9+EQ370/MAX(EP370+EH370+EQ370, 0.1)*$Q$9))/($B$11+$C$11+$F$11)</f>
        <v>0</v>
      </c>
      <c r="CV370">
        <v>6</v>
      </c>
      <c r="CW370">
        <v>0.5</v>
      </c>
      <c r="CX370" t="s">
        <v>418</v>
      </c>
      <c r="CY370">
        <v>2</v>
      </c>
      <c r="CZ370" t="b">
        <v>1</v>
      </c>
      <c r="DA370">
        <v>1651866470.125</v>
      </c>
      <c r="DB370">
        <v>654.74125</v>
      </c>
      <c r="DC370">
        <v>718.332</v>
      </c>
      <c r="DD370">
        <v>18.72985</v>
      </c>
      <c r="DE370">
        <v>9.1304075</v>
      </c>
      <c r="DF370">
        <v>656.1152500000001</v>
      </c>
      <c r="DG370">
        <v>18.70385</v>
      </c>
      <c r="DH370">
        <v>500.05275</v>
      </c>
      <c r="DI370">
        <v>89.91665</v>
      </c>
      <c r="DJ370">
        <v>0.099795625</v>
      </c>
      <c r="DK370">
        <v>25.947775</v>
      </c>
      <c r="DL370">
        <v>24.99435</v>
      </c>
      <c r="DM370">
        <v>999.9</v>
      </c>
      <c r="DN370">
        <v>0</v>
      </c>
      <c r="DO370">
        <v>0</v>
      </c>
      <c r="DP370">
        <v>10008.9</v>
      </c>
      <c r="DQ370">
        <v>0</v>
      </c>
      <c r="DR370">
        <v>3.20383</v>
      </c>
      <c r="DS370">
        <v>-63.59055</v>
      </c>
      <c r="DT370">
        <v>667.2384999999999</v>
      </c>
      <c r="DU370">
        <v>724.95125</v>
      </c>
      <c r="DV370">
        <v>9.599444999999999</v>
      </c>
      <c r="DW370">
        <v>718.332</v>
      </c>
      <c r="DX370">
        <v>9.1304075</v>
      </c>
      <c r="DY370">
        <v>1.684125</v>
      </c>
      <c r="DZ370">
        <v>0.8209755</v>
      </c>
      <c r="EA370">
        <v>14.750875</v>
      </c>
      <c r="EB370">
        <v>4.0752475</v>
      </c>
      <c r="EC370">
        <v>1500.035</v>
      </c>
      <c r="ED370">
        <v>0.973003</v>
      </c>
      <c r="EE370">
        <v>0.0269973</v>
      </c>
      <c r="EF370">
        <v>0</v>
      </c>
      <c r="EG370">
        <v>913.12225</v>
      </c>
      <c r="EH370">
        <v>5.00097</v>
      </c>
      <c r="EI370">
        <v>13610.825</v>
      </c>
      <c r="EJ370">
        <v>12491.875</v>
      </c>
      <c r="EK370">
        <v>38.437</v>
      </c>
      <c r="EL370">
        <v>39.625</v>
      </c>
      <c r="EM370">
        <v>38.812</v>
      </c>
      <c r="EN370">
        <v>39.312</v>
      </c>
      <c r="EO370">
        <v>39.25</v>
      </c>
      <c r="EP370">
        <v>1454.675</v>
      </c>
      <c r="EQ370">
        <v>40.36</v>
      </c>
      <c r="ER370">
        <v>0</v>
      </c>
      <c r="ES370">
        <v>989</v>
      </c>
      <c r="ET370">
        <v>0</v>
      </c>
      <c r="EU370">
        <v>912.04472</v>
      </c>
      <c r="EV370">
        <v>12.89761540356522</v>
      </c>
      <c r="EW370">
        <v>171.8615387209545</v>
      </c>
      <c r="EX370">
        <v>13594.812</v>
      </c>
      <c r="EY370">
        <v>15</v>
      </c>
      <c r="EZ370">
        <v>1651865518.1</v>
      </c>
      <c r="FA370" t="s">
        <v>910</v>
      </c>
      <c r="FB370">
        <v>1651865507.1</v>
      </c>
      <c r="FC370">
        <v>1651865518.1</v>
      </c>
      <c r="FD370">
        <v>8</v>
      </c>
      <c r="FE370">
        <v>0.06</v>
      </c>
      <c r="FF370">
        <v>0</v>
      </c>
      <c r="FG370">
        <v>-0.927</v>
      </c>
      <c r="FH370">
        <v>-0.062</v>
      </c>
      <c r="FI370">
        <v>400</v>
      </c>
      <c r="FJ370">
        <v>11</v>
      </c>
      <c r="FK370">
        <v>0.11</v>
      </c>
      <c r="FL370">
        <v>0.01</v>
      </c>
      <c r="FM370">
        <v>-62.79935</v>
      </c>
      <c r="FN370">
        <v>-4.992252157598452</v>
      </c>
      <c r="FO370">
        <v>0.5029534496352532</v>
      </c>
      <c r="FP370">
        <v>-1</v>
      </c>
      <c r="FQ370">
        <v>9.58916325</v>
      </c>
      <c r="FR370">
        <v>0.0680137711069317</v>
      </c>
      <c r="FS370">
        <v>0.006661761173856415</v>
      </c>
      <c r="FT370">
        <v>-1</v>
      </c>
      <c r="FU370">
        <v>0</v>
      </c>
      <c r="FV370">
        <v>0</v>
      </c>
      <c r="FW370">
        <v>0</v>
      </c>
      <c r="FX370">
        <v>-1</v>
      </c>
      <c r="FY370">
        <v>0</v>
      </c>
      <c r="FZ370">
        <v>0</v>
      </c>
      <c r="GA370" t="s">
        <v>420</v>
      </c>
      <c r="GB370">
        <v>2.98152</v>
      </c>
      <c r="GC370">
        <v>2.70614</v>
      </c>
      <c r="GD370">
        <v>0.129811</v>
      </c>
      <c r="GE370">
        <v>0.136607</v>
      </c>
      <c r="GF370">
        <v>0.08909830000000001</v>
      </c>
      <c r="GG370">
        <v>0.0516959</v>
      </c>
      <c r="GH370">
        <v>27497.7</v>
      </c>
      <c r="GI370">
        <v>27342.1</v>
      </c>
      <c r="GJ370">
        <v>29377.3</v>
      </c>
      <c r="GK370">
        <v>29292.4</v>
      </c>
      <c r="GL370">
        <v>35431.7</v>
      </c>
      <c r="GM370">
        <v>37004.2</v>
      </c>
      <c r="GN370">
        <v>41349.1</v>
      </c>
      <c r="GO370">
        <v>41812.1</v>
      </c>
      <c r="GP370">
        <v>1.9673</v>
      </c>
      <c r="GQ370">
        <v>1.85515</v>
      </c>
      <c r="GR370">
        <v>-0.00626594</v>
      </c>
      <c r="GS370">
        <v>0</v>
      </c>
      <c r="GT370">
        <v>25.0974</v>
      </c>
      <c r="GU370">
        <v>999.9</v>
      </c>
      <c r="GV370">
        <v>29.6</v>
      </c>
      <c r="GW370">
        <v>34.2</v>
      </c>
      <c r="GX370">
        <v>17.7861</v>
      </c>
      <c r="GY370">
        <v>62.3876</v>
      </c>
      <c r="GZ370">
        <v>35.1202</v>
      </c>
      <c r="HA370">
        <v>1</v>
      </c>
      <c r="HB370">
        <v>0.0428557</v>
      </c>
      <c r="HC370">
        <v>1.49564</v>
      </c>
      <c r="HD370">
        <v>20.3281</v>
      </c>
      <c r="HE370">
        <v>5.21729</v>
      </c>
      <c r="HF370">
        <v>12.0099</v>
      </c>
      <c r="HG370">
        <v>4.9886</v>
      </c>
      <c r="HH370">
        <v>3.28855</v>
      </c>
      <c r="HI370">
        <v>1033.6</v>
      </c>
      <c r="HJ370">
        <v>9750.200000000001</v>
      </c>
      <c r="HK370">
        <v>5139.4</v>
      </c>
      <c r="HL370">
        <v>25.4</v>
      </c>
      <c r="HM370">
        <v>1.86744</v>
      </c>
      <c r="HN370">
        <v>1.86644</v>
      </c>
      <c r="HO370">
        <v>1.866</v>
      </c>
      <c r="HP370">
        <v>1.86584</v>
      </c>
      <c r="HQ370">
        <v>1.86768</v>
      </c>
      <c r="HR370">
        <v>1.87019</v>
      </c>
      <c r="HS370">
        <v>1.8689</v>
      </c>
      <c r="HT370">
        <v>1.87022</v>
      </c>
      <c r="HU370">
        <v>0</v>
      </c>
      <c r="HV370">
        <v>0</v>
      </c>
      <c r="HW370">
        <v>0</v>
      </c>
      <c r="HX370">
        <v>0</v>
      </c>
      <c r="HY370" t="s">
        <v>421</v>
      </c>
      <c r="HZ370" t="s">
        <v>422</v>
      </c>
      <c r="IA370" t="s">
        <v>423</v>
      </c>
      <c r="IB370" t="s">
        <v>423</v>
      </c>
      <c r="IC370" t="s">
        <v>423</v>
      </c>
      <c r="ID370" t="s">
        <v>423</v>
      </c>
      <c r="IE370">
        <v>0</v>
      </c>
      <c r="IF370">
        <v>100</v>
      </c>
      <c r="IG370">
        <v>100</v>
      </c>
      <c r="IH370">
        <v>-1.381</v>
      </c>
      <c r="II370">
        <v>0.0261</v>
      </c>
      <c r="IJ370">
        <v>-0.1559367209035702</v>
      </c>
      <c r="IK370">
        <v>-0.002077099775823331</v>
      </c>
      <c r="IL370">
        <v>4.593143279902166E-07</v>
      </c>
      <c r="IM370">
        <v>-1.865383991892071E-10</v>
      </c>
      <c r="IN370">
        <v>-0.0607165066849496</v>
      </c>
      <c r="IO370">
        <v>-0.01129461987421345</v>
      </c>
      <c r="IP370">
        <v>0.00116580895745559</v>
      </c>
      <c r="IQ370">
        <v>-1.679085872906199E-05</v>
      </c>
      <c r="IR370">
        <v>2</v>
      </c>
      <c r="IS370">
        <v>2290</v>
      </c>
      <c r="IT370">
        <v>0</v>
      </c>
      <c r="IU370">
        <v>32</v>
      </c>
      <c r="IV370">
        <v>16.1</v>
      </c>
      <c r="IW370">
        <v>15.9</v>
      </c>
      <c r="IX370">
        <v>1.6272</v>
      </c>
      <c r="IY370">
        <v>2.19849</v>
      </c>
      <c r="IZ370">
        <v>1.39648</v>
      </c>
      <c r="JA370">
        <v>2.35596</v>
      </c>
      <c r="JB370">
        <v>1.49536</v>
      </c>
      <c r="JC370">
        <v>2.29858</v>
      </c>
      <c r="JD370">
        <v>38.0134</v>
      </c>
      <c r="JE370">
        <v>24.035</v>
      </c>
      <c r="JF370">
        <v>18</v>
      </c>
      <c r="JG370">
        <v>512.46</v>
      </c>
      <c r="JH370">
        <v>426.516</v>
      </c>
      <c r="JI370">
        <v>23.1482</v>
      </c>
      <c r="JJ370">
        <v>27.8776</v>
      </c>
      <c r="JK370">
        <v>30</v>
      </c>
      <c r="JL370">
        <v>27.893</v>
      </c>
      <c r="JM370">
        <v>27.8363</v>
      </c>
      <c r="JN370">
        <v>32.6881</v>
      </c>
      <c r="JO370">
        <v>46.0558</v>
      </c>
      <c r="JP370">
        <v>0</v>
      </c>
      <c r="JQ370">
        <v>23.1482</v>
      </c>
      <c r="JR370">
        <v>746.5940000000001</v>
      </c>
      <c r="JS370">
        <v>9.071619999999999</v>
      </c>
      <c r="JT370">
        <v>100.417</v>
      </c>
      <c r="JU370">
        <v>100.349</v>
      </c>
    </row>
    <row r="371" spans="1:281">
      <c r="A371">
        <v>355</v>
      </c>
      <c r="B371">
        <v>1651866473.5</v>
      </c>
      <c r="C371">
        <v>2252.900000095367</v>
      </c>
      <c r="D371" t="s">
        <v>1133</v>
      </c>
      <c r="E371" t="s">
        <v>1134</v>
      </c>
      <c r="F371">
        <v>2</v>
      </c>
      <c r="G371" t="s">
        <v>908</v>
      </c>
      <c r="H371" t="s">
        <v>414</v>
      </c>
      <c r="I371">
        <v>1651866472.5</v>
      </c>
      <c r="J371">
        <f>(K371)/1000</f>
        <v>0</v>
      </c>
      <c r="K371">
        <f>IF(CZ371, AN371, AH371)</f>
        <v>0</v>
      </c>
      <c r="L371">
        <f>IF(CZ371, AI371, AG371)</f>
        <v>0</v>
      </c>
      <c r="M371">
        <f>DB371 - IF(AU371&gt;1, L371*CV371*100.0/(AW371*DP371), 0)</f>
        <v>0</v>
      </c>
      <c r="N371">
        <f>((T371-J371/2)*M371-L371)/(T371+J371/2)</f>
        <v>0</v>
      </c>
      <c r="O371">
        <f>N371*(DI371+DJ371)/1000.0</f>
        <v>0</v>
      </c>
      <c r="P371">
        <f>(DB371 - IF(AU371&gt;1, L371*CV371*100.0/(AW371*DP371), 0))*(DI371+DJ371)/1000.0</f>
        <v>0</v>
      </c>
      <c r="Q371">
        <f>2.0/((1/S371-1/R371)+SIGN(S371)*SQRT((1/S371-1/R371)*(1/S371-1/R371) + 4*CW371/((CW371+1)*(CW371+1))*(2*1/S371*1/R371-1/R371*1/R371)))</f>
        <v>0</v>
      </c>
      <c r="R371">
        <f>IF(LEFT(CX371,1)&lt;&gt;"0",IF(LEFT(CX371,1)="1",3.0,CY371),$D$5+$E$5*(DP371*DI371/($K$5*1000))+$F$5*(DP371*DI371/($K$5*1000))*MAX(MIN(CV371,$J$5),$I$5)*MAX(MIN(CV371,$J$5),$I$5)+$G$5*MAX(MIN(CV371,$J$5),$I$5)*(DP371*DI371/($K$5*1000))+$H$5*(DP371*DI371/($K$5*1000))*(DP371*DI371/($K$5*1000)))</f>
        <v>0</v>
      </c>
      <c r="S371">
        <f>J371*(1000-(1000*0.61365*exp(17.502*W371/(240.97+W371))/(DI371+DJ371)+DD371)/2)/(1000*0.61365*exp(17.502*W371/(240.97+W371))/(DI371+DJ371)-DD371)</f>
        <v>0</v>
      </c>
      <c r="T371">
        <f>1/((CW371+1)/(Q371/1.6)+1/(R371/1.37)) + CW371/((CW371+1)/(Q371/1.6) + CW371/(R371/1.37))</f>
        <v>0</v>
      </c>
      <c r="U371">
        <f>(CR371*CU371)</f>
        <v>0</v>
      </c>
      <c r="V371">
        <f>(DK371+(U371+2*0.95*5.67E-8*(((DK371+$B$7)+273)^4-(DK371+273)^4)-44100*J371)/(1.84*29.3*R371+8*0.95*5.67E-8*(DK371+273)^3))</f>
        <v>0</v>
      </c>
      <c r="W371">
        <f>($C$7*DL371+$D$7*DM371+$E$7*V371)</f>
        <v>0</v>
      </c>
      <c r="X371">
        <f>0.61365*exp(17.502*W371/(240.97+W371))</f>
        <v>0</v>
      </c>
      <c r="Y371">
        <f>(Z371/AA371*100)</f>
        <v>0</v>
      </c>
      <c r="Z371">
        <f>DD371*(DI371+DJ371)/1000</f>
        <v>0</v>
      </c>
      <c r="AA371">
        <f>0.61365*exp(17.502*DK371/(240.97+DK371))</f>
        <v>0</v>
      </c>
      <c r="AB371">
        <f>(X371-DD371*(DI371+DJ371)/1000)</f>
        <v>0</v>
      </c>
      <c r="AC371">
        <f>(-J371*44100)</f>
        <v>0</v>
      </c>
      <c r="AD371">
        <f>2*29.3*R371*0.92*(DK371-W371)</f>
        <v>0</v>
      </c>
      <c r="AE371">
        <f>2*0.95*5.67E-8*(((DK371+$B$7)+273)^4-(W371+273)^4)</f>
        <v>0</v>
      </c>
      <c r="AF371">
        <f>U371+AE371+AC371+AD371</f>
        <v>0</v>
      </c>
      <c r="AG371">
        <f>DH371*AU371*(DC371-DB371*(1000-AU371*DE371)/(1000-AU371*DD371))/(100*CV371)</f>
        <v>0</v>
      </c>
      <c r="AH371">
        <f>1000*DH371*AU371*(DD371-DE371)/(100*CV371*(1000-AU371*DD371))</f>
        <v>0</v>
      </c>
      <c r="AI371">
        <f>(AJ371 - AK371 - DI371*1E3/(8.314*(DK371+273.15)) * AM371/DH371 * AL371) * DH371/(100*CV371) * (1000 - DE371)/1000</f>
        <v>0</v>
      </c>
      <c r="AJ371">
        <v>727.0273773644801</v>
      </c>
      <c r="AK371">
        <v>676.9627999999999</v>
      </c>
      <c r="AL371">
        <v>3.380274649918879</v>
      </c>
      <c r="AM371">
        <v>66.38195617057868</v>
      </c>
      <c r="AN371">
        <f>(AP371 - AO371 + DI371*1E3/(8.314*(DK371+273.15)) * AR371/DH371 * AQ371) * DH371/(100*CV371) * 1000/(1000 - AP371)</f>
        <v>0</v>
      </c>
      <c r="AO371">
        <v>9.131012292572274</v>
      </c>
      <c r="AP371">
        <v>18.73929088235294</v>
      </c>
      <c r="AQ371">
        <v>-0.0001168168303431349</v>
      </c>
      <c r="AR371">
        <v>80.47178418790507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MAX(0,($B$13+$C$13*DP371)/(1+$D$13*DP371)*DI371/(DK371+273)*$E$13)</f>
        <v>0</v>
      </c>
      <c r="AX371" t="s">
        <v>417</v>
      </c>
      <c r="AY371" t="s">
        <v>417</v>
      </c>
      <c r="AZ371">
        <v>0</v>
      </c>
      <c r="BA371">
        <v>0</v>
      </c>
      <c r="BB371">
        <f>1-AZ371/BA371</f>
        <v>0</v>
      </c>
      <c r="BC371">
        <v>0</v>
      </c>
      <c r="BD371" t="s">
        <v>417</v>
      </c>
      <c r="BE371" t="s">
        <v>417</v>
      </c>
      <c r="BF371">
        <v>0</v>
      </c>
      <c r="BG371">
        <v>0</v>
      </c>
      <c r="BH371">
        <f>1-BF371/BG371</f>
        <v>0</v>
      </c>
      <c r="BI371">
        <v>0.5</v>
      </c>
      <c r="BJ371">
        <f>CS371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417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BZ371">
        <v>1249</v>
      </c>
      <c r="CA371">
        <v>300</v>
      </c>
      <c r="CB371">
        <v>300</v>
      </c>
      <c r="CC371">
        <v>300</v>
      </c>
      <c r="CD371">
        <v>10442.4</v>
      </c>
      <c r="CE371">
        <v>1239.69</v>
      </c>
      <c r="CF371">
        <v>-0.00735276</v>
      </c>
      <c r="CG371">
        <v>0.07000000000000001</v>
      </c>
      <c r="CH371" t="s">
        <v>417</v>
      </c>
      <c r="CI371" t="s">
        <v>417</v>
      </c>
      <c r="CJ371" t="s">
        <v>417</v>
      </c>
      <c r="CK371" t="s">
        <v>417</v>
      </c>
      <c r="CL371" t="s">
        <v>417</v>
      </c>
      <c r="CM371" t="s">
        <v>417</v>
      </c>
      <c r="CN371" t="s">
        <v>417</v>
      </c>
      <c r="CO371" t="s">
        <v>417</v>
      </c>
      <c r="CP371" t="s">
        <v>417</v>
      </c>
      <c r="CQ371" t="s">
        <v>417</v>
      </c>
      <c r="CR371">
        <f>$B$11*DQ371+$C$11*DR371+$F$11*EC371*(1-EF371)</f>
        <v>0</v>
      </c>
      <c r="CS371">
        <f>CR371*CT371</f>
        <v>0</v>
      </c>
      <c r="CT371">
        <f>($B$11*$D$9+$C$11*$D$9+$F$11*((EP371+EH371)/MAX(EP371+EH371+EQ371, 0.1)*$I$9+EQ371/MAX(EP371+EH371+EQ371, 0.1)*$J$9))/($B$11+$C$11+$F$11)</f>
        <v>0</v>
      </c>
      <c r="CU371">
        <f>($B$11*$K$9+$C$11*$K$9+$F$11*((EP371+EH371)/MAX(EP371+EH371+EQ371, 0.1)*$P$9+EQ371/MAX(EP371+EH371+EQ371, 0.1)*$Q$9))/($B$11+$C$11+$F$11)</f>
        <v>0</v>
      </c>
      <c r="CV371">
        <v>6</v>
      </c>
      <c r="CW371">
        <v>0.5</v>
      </c>
      <c r="CX371" t="s">
        <v>418</v>
      </c>
      <c r="CY371">
        <v>2</v>
      </c>
      <c r="CZ371" t="b">
        <v>1</v>
      </c>
      <c r="DA371">
        <v>1651866472.5</v>
      </c>
      <c r="DB371">
        <v>662.6053333333333</v>
      </c>
      <c r="DC371">
        <v>726.3786666666666</v>
      </c>
      <c r="DD371">
        <v>18.73713333333333</v>
      </c>
      <c r="DE371">
        <v>9.130296666666666</v>
      </c>
      <c r="DF371">
        <v>663.9923333333332</v>
      </c>
      <c r="DG371">
        <v>18.71103333333333</v>
      </c>
      <c r="DH371">
        <v>500.0123333333333</v>
      </c>
      <c r="DI371">
        <v>89.91656666666665</v>
      </c>
      <c r="DJ371">
        <v>0.1000020333333333</v>
      </c>
      <c r="DK371">
        <v>25.95026666666666</v>
      </c>
      <c r="DL371">
        <v>24.99806666666667</v>
      </c>
      <c r="DM371">
        <v>999.9</v>
      </c>
      <c r="DN371">
        <v>0</v>
      </c>
      <c r="DO371">
        <v>0</v>
      </c>
      <c r="DP371">
        <v>9992.483333333334</v>
      </c>
      <c r="DQ371">
        <v>0</v>
      </c>
      <c r="DR371">
        <v>3.20383</v>
      </c>
      <c r="DS371">
        <v>-63.77359999999999</v>
      </c>
      <c r="DT371">
        <v>675.2576666666666</v>
      </c>
      <c r="DU371">
        <v>733.072</v>
      </c>
      <c r="DV371">
        <v>9.606823333333333</v>
      </c>
      <c r="DW371">
        <v>726.3786666666666</v>
      </c>
      <c r="DX371">
        <v>9.130296666666666</v>
      </c>
      <c r="DY371">
        <v>1.684776666666667</v>
      </c>
      <c r="DZ371">
        <v>0.8209646666666667</v>
      </c>
      <c r="EA371">
        <v>14.75686666666667</v>
      </c>
      <c r="EB371">
        <v>4.075053333333334</v>
      </c>
      <c r="EC371">
        <v>1500.04</v>
      </c>
      <c r="ED371">
        <v>0.973003</v>
      </c>
      <c r="EE371">
        <v>0.0269973</v>
      </c>
      <c r="EF371">
        <v>0</v>
      </c>
      <c r="EG371">
        <v>913.8180000000001</v>
      </c>
      <c r="EH371">
        <v>5.00097</v>
      </c>
      <c r="EI371">
        <v>13617.9</v>
      </c>
      <c r="EJ371">
        <v>12492</v>
      </c>
      <c r="EK371">
        <v>38.375</v>
      </c>
      <c r="EL371">
        <v>39.562</v>
      </c>
      <c r="EM371">
        <v>38.812</v>
      </c>
      <c r="EN371">
        <v>39.312</v>
      </c>
      <c r="EO371">
        <v>39.187</v>
      </c>
      <c r="EP371">
        <v>1454.68</v>
      </c>
      <c r="EQ371">
        <v>40.36</v>
      </c>
      <c r="ER371">
        <v>0</v>
      </c>
      <c r="ES371">
        <v>990.7999999523163</v>
      </c>
      <c r="ET371">
        <v>0</v>
      </c>
      <c r="EU371">
        <v>912.3869230769232</v>
      </c>
      <c r="EV371">
        <v>12.39070086616987</v>
      </c>
      <c r="EW371">
        <v>169.497435896611</v>
      </c>
      <c r="EX371">
        <v>13599.07692307692</v>
      </c>
      <c r="EY371">
        <v>15</v>
      </c>
      <c r="EZ371">
        <v>1651865518.1</v>
      </c>
      <c r="FA371" t="s">
        <v>910</v>
      </c>
      <c r="FB371">
        <v>1651865507.1</v>
      </c>
      <c r="FC371">
        <v>1651865518.1</v>
      </c>
      <c r="FD371">
        <v>8</v>
      </c>
      <c r="FE371">
        <v>0.06</v>
      </c>
      <c r="FF371">
        <v>0</v>
      </c>
      <c r="FG371">
        <v>-0.927</v>
      </c>
      <c r="FH371">
        <v>-0.062</v>
      </c>
      <c r="FI371">
        <v>400</v>
      </c>
      <c r="FJ371">
        <v>11</v>
      </c>
      <c r="FK371">
        <v>0.11</v>
      </c>
      <c r="FL371">
        <v>0.01</v>
      </c>
      <c r="FM371">
        <v>-62.88694634146341</v>
      </c>
      <c r="FN371">
        <v>-5.470154006968752</v>
      </c>
      <c r="FO371">
        <v>0.5484887717451641</v>
      </c>
      <c r="FP371">
        <v>-1</v>
      </c>
      <c r="FQ371">
        <v>9.590800487804879</v>
      </c>
      <c r="FR371">
        <v>0.07481351916378264</v>
      </c>
      <c r="FS371">
        <v>0.007524799633089515</v>
      </c>
      <c r="FT371">
        <v>-1</v>
      </c>
      <c r="FU371">
        <v>0</v>
      </c>
      <c r="FV371">
        <v>0</v>
      </c>
      <c r="FW371">
        <v>0</v>
      </c>
      <c r="FX371">
        <v>-1</v>
      </c>
      <c r="FY371">
        <v>0</v>
      </c>
      <c r="FZ371">
        <v>0</v>
      </c>
      <c r="GA371" t="s">
        <v>420</v>
      </c>
      <c r="GB371">
        <v>2.98146</v>
      </c>
      <c r="GC371">
        <v>2.70616</v>
      </c>
      <c r="GD371">
        <v>0.130721</v>
      </c>
      <c r="GE371">
        <v>0.13747</v>
      </c>
      <c r="GF371">
        <v>0.0891136</v>
      </c>
      <c r="GG371">
        <v>0.051697</v>
      </c>
      <c r="GH371">
        <v>27468.9</v>
      </c>
      <c r="GI371">
        <v>27314.9</v>
      </c>
      <c r="GJ371">
        <v>29377.3</v>
      </c>
      <c r="GK371">
        <v>29292.6</v>
      </c>
      <c r="GL371">
        <v>35430.9</v>
      </c>
      <c r="GM371">
        <v>37004.4</v>
      </c>
      <c r="GN371">
        <v>41348.8</v>
      </c>
      <c r="GO371">
        <v>41812.3</v>
      </c>
      <c r="GP371">
        <v>1.96747</v>
      </c>
      <c r="GQ371">
        <v>1.85497</v>
      </c>
      <c r="GR371">
        <v>-0.00595301</v>
      </c>
      <c r="GS371">
        <v>0</v>
      </c>
      <c r="GT371">
        <v>25.0974</v>
      </c>
      <c r="GU371">
        <v>999.9</v>
      </c>
      <c r="GV371">
        <v>29.6</v>
      </c>
      <c r="GW371">
        <v>34.2</v>
      </c>
      <c r="GX371">
        <v>17.7857</v>
      </c>
      <c r="GY371">
        <v>62.5476</v>
      </c>
      <c r="GZ371">
        <v>35.1162</v>
      </c>
      <c r="HA371">
        <v>1</v>
      </c>
      <c r="HB371">
        <v>0.0428354</v>
      </c>
      <c r="HC371">
        <v>1.49529</v>
      </c>
      <c r="HD371">
        <v>20.328</v>
      </c>
      <c r="HE371">
        <v>5.21789</v>
      </c>
      <c r="HF371">
        <v>12.0099</v>
      </c>
      <c r="HG371">
        <v>4.9888</v>
      </c>
      <c r="HH371">
        <v>3.28865</v>
      </c>
      <c r="HI371">
        <v>1033.6</v>
      </c>
      <c r="HJ371">
        <v>9750.200000000001</v>
      </c>
      <c r="HK371">
        <v>5139.4</v>
      </c>
      <c r="HL371">
        <v>25.4</v>
      </c>
      <c r="HM371">
        <v>1.86744</v>
      </c>
      <c r="HN371">
        <v>1.86645</v>
      </c>
      <c r="HO371">
        <v>1.866</v>
      </c>
      <c r="HP371">
        <v>1.86584</v>
      </c>
      <c r="HQ371">
        <v>1.86768</v>
      </c>
      <c r="HR371">
        <v>1.8702</v>
      </c>
      <c r="HS371">
        <v>1.8689</v>
      </c>
      <c r="HT371">
        <v>1.87022</v>
      </c>
      <c r="HU371">
        <v>0</v>
      </c>
      <c r="HV371">
        <v>0</v>
      </c>
      <c r="HW371">
        <v>0</v>
      </c>
      <c r="HX371">
        <v>0</v>
      </c>
      <c r="HY371" t="s">
        <v>421</v>
      </c>
      <c r="HZ371" t="s">
        <v>422</v>
      </c>
      <c r="IA371" t="s">
        <v>423</v>
      </c>
      <c r="IB371" t="s">
        <v>423</v>
      </c>
      <c r="IC371" t="s">
        <v>423</v>
      </c>
      <c r="ID371" t="s">
        <v>423</v>
      </c>
      <c r="IE371">
        <v>0</v>
      </c>
      <c r="IF371">
        <v>100</v>
      </c>
      <c r="IG371">
        <v>100</v>
      </c>
      <c r="IH371">
        <v>-1.393</v>
      </c>
      <c r="II371">
        <v>0.0261</v>
      </c>
      <c r="IJ371">
        <v>-0.1559367209035702</v>
      </c>
      <c r="IK371">
        <v>-0.002077099775823331</v>
      </c>
      <c r="IL371">
        <v>4.593143279902166E-07</v>
      </c>
      <c r="IM371">
        <v>-1.865383991892071E-10</v>
      </c>
      <c r="IN371">
        <v>-0.0607165066849496</v>
      </c>
      <c r="IO371">
        <v>-0.01129461987421345</v>
      </c>
      <c r="IP371">
        <v>0.00116580895745559</v>
      </c>
      <c r="IQ371">
        <v>-1.679085872906199E-05</v>
      </c>
      <c r="IR371">
        <v>2</v>
      </c>
      <c r="IS371">
        <v>2290</v>
      </c>
      <c r="IT371">
        <v>0</v>
      </c>
      <c r="IU371">
        <v>32</v>
      </c>
      <c r="IV371">
        <v>16.1</v>
      </c>
      <c r="IW371">
        <v>15.9</v>
      </c>
      <c r="IX371">
        <v>1.6394</v>
      </c>
      <c r="IY371">
        <v>2.20215</v>
      </c>
      <c r="IZ371">
        <v>1.39648</v>
      </c>
      <c r="JA371">
        <v>2.35474</v>
      </c>
      <c r="JB371">
        <v>1.49536</v>
      </c>
      <c r="JC371">
        <v>2.34741</v>
      </c>
      <c r="JD371">
        <v>38.0134</v>
      </c>
      <c r="JE371">
        <v>24.0437</v>
      </c>
      <c r="JF371">
        <v>18</v>
      </c>
      <c r="JG371">
        <v>512.564</v>
      </c>
      <c r="JH371">
        <v>426.403</v>
      </c>
      <c r="JI371">
        <v>23.1481</v>
      </c>
      <c r="JJ371">
        <v>27.8769</v>
      </c>
      <c r="JK371">
        <v>30</v>
      </c>
      <c r="JL371">
        <v>27.8919</v>
      </c>
      <c r="JM371">
        <v>27.8351</v>
      </c>
      <c r="JN371">
        <v>32.9346</v>
      </c>
      <c r="JO371">
        <v>46.0558</v>
      </c>
      <c r="JP371">
        <v>0</v>
      </c>
      <c r="JQ371">
        <v>23.1482</v>
      </c>
      <c r="JR371">
        <v>753.303</v>
      </c>
      <c r="JS371">
        <v>9.06711</v>
      </c>
      <c r="JT371">
        <v>100.416</v>
      </c>
      <c r="JU371">
        <v>100.35</v>
      </c>
    </row>
    <row r="372" spans="1:281">
      <c r="A372">
        <v>356</v>
      </c>
      <c r="B372">
        <v>1651866475.5</v>
      </c>
      <c r="C372">
        <v>2254.900000095367</v>
      </c>
      <c r="D372" t="s">
        <v>1135</v>
      </c>
      <c r="E372" t="s">
        <v>1136</v>
      </c>
      <c r="F372">
        <v>2</v>
      </c>
      <c r="G372" t="s">
        <v>908</v>
      </c>
      <c r="H372" t="s">
        <v>414</v>
      </c>
      <c r="I372">
        <v>1651866474.125</v>
      </c>
      <c r="J372">
        <f>(K372)/1000</f>
        <v>0</v>
      </c>
      <c r="K372">
        <f>IF(CZ372, AN372, AH372)</f>
        <v>0</v>
      </c>
      <c r="L372">
        <f>IF(CZ372, AI372, AG372)</f>
        <v>0</v>
      </c>
      <c r="M372">
        <f>DB372 - IF(AU372&gt;1, L372*CV372*100.0/(AW372*DP372), 0)</f>
        <v>0</v>
      </c>
      <c r="N372">
        <f>((T372-J372/2)*M372-L372)/(T372+J372/2)</f>
        <v>0</v>
      </c>
      <c r="O372">
        <f>N372*(DI372+DJ372)/1000.0</f>
        <v>0</v>
      </c>
      <c r="P372">
        <f>(DB372 - IF(AU372&gt;1, L372*CV372*100.0/(AW372*DP372), 0))*(DI372+DJ372)/1000.0</f>
        <v>0</v>
      </c>
      <c r="Q372">
        <f>2.0/((1/S372-1/R372)+SIGN(S372)*SQRT((1/S372-1/R372)*(1/S372-1/R372) + 4*CW372/((CW372+1)*(CW372+1))*(2*1/S372*1/R372-1/R372*1/R372)))</f>
        <v>0</v>
      </c>
      <c r="R372">
        <f>IF(LEFT(CX372,1)&lt;&gt;"0",IF(LEFT(CX372,1)="1",3.0,CY372),$D$5+$E$5*(DP372*DI372/($K$5*1000))+$F$5*(DP372*DI372/($K$5*1000))*MAX(MIN(CV372,$J$5),$I$5)*MAX(MIN(CV372,$J$5),$I$5)+$G$5*MAX(MIN(CV372,$J$5),$I$5)*(DP372*DI372/($K$5*1000))+$H$5*(DP372*DI372/($K$5*1000))*(DP372*DI372/($K$5*1000)))</f>
        <v>0</v>
      </c>
      <c r="S372">
        <f>J372*(1000-(1000*0.61365*exp(17.502*W372/(240.97+W372))/(DI372+DJ372)+DD372)/2)/(1000*0.61365*exp(17.502*W372/(240.97+W372))/(DI372+DJ372)-DD372)</f>
        <v>0</v>
      </c>
      <c r="T372">
        <f>1/((CW372+1)/(Q372/1.6)+1/(R372/1.37)) + CW372/((CW372+1)/(Q372/1.6) + CW372/(R372/1.37))</f>
        <v>0</v>
      </c>
      <c r="U372">
        <f>(CR372*CU372)</f>
        <v>0</v>
      </c>
      <c r="V372">
        <f>(DK372+(U372+2*0.95*5.67E-8*(((DK372+$B$7)+273)^4-(DK372+273)^4)-44100*J372)/(1.84*29.3*R372+8*0.95*5.67E-8*(DK372+273)^3))</f>
        <v>0</v>
      </c>
      <c r="W372">
        <f>($C$7*DL372+$D$7*DM372+$E$7*V372)</f>
        <v>0</v>
      </c>
      <c r="X372">
        <f>0.61365*exp(17.502*W372/(240.97+W372))</f>
        <v>0</v>
      </c>
      <c r="Y372">
        <f>(Z372/AA372*100)</f>
        <v>0</v>
      </c>
      <c r="Z372">
        <f>DD372*(DI372+DJ372)/1000</f>
        <v>0</v>
      </c>
      <c r="AA372">
        <f>0.61365*exp(17.502*DK372/(240.97+DK372))</f>
        <v>0</v>
      </c>
      <c r="AB372">
        <f>(X372-DD372*(DI372+DJ372)/1000)</f>
        <v>0</v>
      </c>
      <c r="AC372">
        <f>(-J372*44100)</f>
        <v>0</v>
      </c>
      <c r="AD372">
        <f>2*29.3*R372*0.92*(DK372-W372)</f>
        <v>0</v>
      </c>
      <c r="AE372">
        <f>2*0.95*5.67E-8*(((DK372+$B$7)+273)^4-(W372+273)^4)</f>
        <v>0</v>
      </c>
      <c r="AF372">
        <f>U372+AE372+AC372+AD372</f>
        <v>0</v>
      </c>
      <c r="AG372">
        <f>DH372*AU372*(DC372-DB372*(1000-AU372*DE372)/(1000-AU372*DD372))/(100*CV372)</f>
        <v>0</v>
      </c>
      <c r="AH372">
        <f>1000*DH372*AU372*(DD372-DE372)/(100*CV372*(1000-AU372*DD372))</f>
        <v>0</v>
      </c>
      <c r="AI372">
        <f>(AJ372 - AK372 - DI372*1E3/(8.314*(DK372+273.15)) * AM372/DH372 * AL372) * DH372/(100*CV372) * (1000 - DE372)/1000</f>
        <v>0</v>
      </c>
      <c r="AJ372">
        <v>733.8631273232943</v>
      </c>
      <c r="AK372">
        <v>683.818490909091</v>
      </c>
      <c r="AL372">
        <v>3.420130840576108</v>
      </c>
      <c r="AM372">
        <v>66.38195617057868</v>
      </c>
      <c r="AN372">
        <f>(AP372 - AO372 + DI372*1E3/(8.314*(DK372+273.15)) * AR372/DH372 * AQ372) * DH372/(100*CV372) * 1000/(1000 - AP372)</f>
        <v>0</v>
      </c>
      <c r="AO372">
        <v>9.130263403431472</v>
      </c>
      <c r="AP372">
        <v>18.73966823529412</v>
      </c>
      <c r="AQ372">
        <v>0.0001940528998326377</v>
      </c>
      <c r="AR372">
        <v>80.47178418790507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MAX(0,($B$13+$C$13*DP372)/(1+$D$13*DP372)*DI372/(DK372+273)*$E$13)</f>
        <v>0</v>
      </c>
      <c r="AX372" t="s">
        <v>417</v>
      </c>
      <c r="AY372" t="s">
        <v>417</v>
      </c>
      <c r="AZ372">
        <v>0</v>
      </c>
      <c r="BA372">
        <v>0</v>
      </c>
      <c r="BB372">
        <f>1-AZ372/BA372</f>
        <v>0</v>
      </c>
      <c r="BC372">
        <v>0</v>
      </c>
      <c r="BD372" t="s">
        <v>417</v>
      </c>
      <c r="BE372" t="s">
        <v>417</v>
      </c>
      <c r="BF372">
        <v>0</v>
      </c>
      <c r="BG372">
        <v>0</v>
      </c>
      <c r="BH372">
        <f>1-BF372/BG372</f>
        <v>0</v>
      </c>
      <c r="BI372">
        <v>0.5</v>
      </c>
      <c r="BJ372">
        <f>CS372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417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BZ372">
        <v>1249</v>
      </c>
      <c r="CA372">
        <v>300</v>
      </c>
      <c r="CB372">
        <v>300</v>
      </c>
      <c r="CC372">
        <v>300</v>
      </c>
      <c r="CD372">
        <v>10442.4</v>
      </c>
      <c r="CE372">
        <v>1239.69</v>
      </c>
      <c r="CF372">
        <v>-0.00735276</v>
      </c>
      <c r="CG372">
        <v>0.07000000000000001</v>
      </c>
      <c r="CH372" t="s">
        <v>417</v>
      </c>
      <c r="CI372" t="s">
        <v>417</v>
      </c>
      <c r="CJ372" t="s">
        <v>417</v>
      </c>
      <c r="CK372" t="s">
        <v>417</v>
      </c>
      <c r="CL372" t="s">
        <v>417</v>
      </c>
      <c r="CM372" t="s">
        <v>417</v>
      </c>
      <c r="CN372" t="s">
        <v>417</v>
      </c>
      <c r="CO372" t="s">
        <v>417</v>
      </c>
      <c r="CP372" t="s">
        <v>417</v>
      </c>
      <c r="CQ372" t="s">
        <v>417</v>
      </c>
      <c r="CR372">
        <f>$B$11*DQ372+$C$11*DR372+$F$11*EC372*(1-EF372)</f>
        <v>0</v>
      </c>
      <c r="CS372">
        <f>CR372*CT372</f>
        <v>0</v>
      </c>
      <c r="CT372">
        <f>($B$11*$D$9+$C$11*$D$9+$F$11*((EP372+EH372)/MAX(EP372+EH372+EQ372, 0.1)*$I$9+EQ372/MAX(EP372+EH372+EQ372, 0.1)*$J$9))/($B$11+$C$11+$F$11)</f>
        <v>0</v>
      </c>
      <c r="CU372">
        <f>($B$11*$K$9+$C$11*$K$9+$F$11*((EP372+EH372)/MAX(EP372+EH372+EQ372, 0.1)*$P$9+EQ372/MAX(EP372+EH372+EQ372, 0.1)*$Q$9))/($B$11+$C$11+$F$11)</f>
        <v>0</v>
      </c>
      <c r="CV372">
        <v>6</v>
      </c>
      <c r="CW372">
        <v>0.5</v>
      </c>
      <c r="CX372" t="s">
        <v>418</v>
      </c>
      <c r="CY372">
        <v>2</v>
      </c>
      <c r="CZ372" t="b">
        <v>1</v>
      </c>
      <c r="DA372">
        <v>1651866474.125</v>
      </c>
      <c r="DB372">
        <v>668.0595000000001</v>
      </c>
      <c r="DC372">
        <v>731.86925</v>
      </c>
      <c r="DD372">
        <v>18.73835</v>
      </c>
      <c r="DE372">
        <v>9.130287499999998</v>
      </c>
      <c r="DF372">
        <v>669.456</v>
      </c>
      <c r="DG372">
        <v>18.71225</v>
      </c>
      <c r="DH372">
        <v>500.008</v>
      </c>
      <c r="DI372">
        <v>89.916775</v>
      </c>
      <c r="DJ372">
        <v>0.100077</v>
      </c>
      <c r="DK372">
        <v>25.952425</v>
      </c>
      <c r="DL372">
        <v>24.999375</v>
      </c>
      <c r="DM372">
        <v>999.9</v>
      </c>
      <c r="DN372">
        <v>0</v>
      </c>
      <c r="DO372">
        <v>0</v>
      </c>
      <c r="DP372">
        <v>9995.625</v>
      </c>
      <c r="DQ372">
        <v>0</v>
      </c>
      <c r="DR372">
        <v>3.207695</v>
      </c>
      <c r="DS372">
        <v>-63.81</v>
      </c>
      <c r="DT372">
        <v>680.81675</v>
      </c>
      <c r="DU372">
        <v>738.6135</v>
      </c>
      <c r="DV372">
        <v>9.608084999999999</v>
      </c>
      <c r="DW372">
        <v>731.86925</v>
      </c>
      <c r="DX372">
        <v>9.130287499999998</v>
      </c>
      <c r="DY372">
        <v>1.68489</v>
      </c>
      <c r="DZ372">
        <v>0.8209660000000001</v>
      </c>
      <c r="EA372">
        <v>14.75795</v>
      </c>
      <c r="EB372">
        <v>4.0750775</v>
      </c>
      <c r="EC372">
        <v>1500.055</v>
      </c>
      <c r="ED372">
        <v>0.973003</v>
      </c>
      <c r="EE372">
        <v>0.0269973</v>
      </c>
      <c r="EF372">
        <v>0</v>
      </c>
      <c r="EG372">
        <v>914.0047500000001</v>
      </c>
      <c r="EH372">
        <v>5.00097</v>
      </c>
      <c r="EI372">
        <v>13621.625</v>
      </c>
      <c r="EJ372">
        <v>12492.075</v>
      </c>
      <c r="EK372">
        <v>38.375</v>
      </c>
      <c r="EL372">
        <v>39.562</v>
      </c>
      <c r="EM372">
        <v>38.79649999999999</v>
      </c>
      <c r="EN372">
        <v>39.312</v>
      </c>
      <c r="EO372">
        <v>39.187</v>
      </c>
      <c r="EP372">
        <v>1454.695</v>
      </c>
      <c r="EQ372">
        <v>40.36</v>
      </c>
      <c r="ER372">
        <v>0</v>
      </c>
      <c r="ES372">
        <v>993.2000000476837</v>
      </c>
      <c r="ET372">
        <v>0</v>
      </c>
      <c r="EU372">
        <v>912.8707307692307</v>
      </c>
      <c r="EV372">
        <v>11.60365810858263</v>
      </c>
      <c r="EW372">
        <v>164.2461536162255</v>
      </c>
      <c r="EX372">
        <v>13605.76153846154</v>
      </c>
      <c r="EY372">
        <v>15</v>
      </c>
      <c r="EZ372">
        <v>1651865518.1</v>
      </c>
      <c r="FA372" t="s">
        <v>910</v>
      </c>
      <c r="FB372">
        <v>1651865507.1</v>
      </c>
      <c r="FC372">
        <v>1651865518.1</v>
      </c>
      <c r="FD372">
        <v>8</v>
      </c>
      <c r="FE372">
        <v>0.06</v>
      </c>
      <c r="FF372">
        <v>0</v>
      </c>
      <c r="FG372">
        <v>-0.927</v>
      </c>
      <c r="FH372">
        <v>-0.062</v>
      </c>
      <c r="FI372">
        <v>400</v>
      </c>
      <c r="FJ372">
        <v>11</v>
      </c>
      <c r="FK372">
        <v>0.11</v>
      </c>
      <c r="FL372">
        <v>0.01</v>
      </c>
      <c r="FM372">
        <v>-63.1073525</v>
      </c>
      <c r="FN372">
        <v>-5.54282814258899</v>
      </c>
      <c r="FO372">
        <v>0.5390188498501243</v>
      </c>
      <c r="FP372">
        <v>-1</v>
      </c>
      <c r="FQ372">
        <v>9.5945155</v>
      </c>
      <c r="FR372">
        <v>0.08237358348965844</v>
      </c>
      <c r="FS372">
        <v>0.008098559424366663</v>
      </c>
      <c r="FT372">
        <v>-1</v>
      </c>
      <c r="FU372">
        <v>0</v>
      </c>
      <c r="FV372">
        <v>0</v>
      </c>
      <c r="FW372">
        <v>0</v>
      </c>
      <c r="FX372">
        <v>-1</v>
      </c>
      <c r="FY372">
        <v>0</v>
      </c>
      <c r="FZ372">
        <v>0</v>
      </c>
      <c r="GA372" t="s">
        <v>420</v>
      </c>
      <c r="GB372">
        <v>2.98144</v>
      </c>
      <c r="GC372">
        <v>2.70617</v>
      </c>
      <c r="GD372">
        <v>0.131627</v>
      </c>
      <c r="GE372">
        <v>0.138322</v>
      </c>
      <c r="GF372">
        <v>0.0891111</v>
      </c>
      <c r="GG372">
        <v>0.0516936</v>
      </c>
      <c r="GH372">
        <v>27440.5</v>
      </c>
      <c r="GI372">
        <v>27287.9</v>
      </c>
      <c r="GJ372">
        <v>29377.6</v>
      </c>
      <c r="GK372">
        <v>29292.6</v>
      </c>
      <c r="GL372">
        <v>35431.4</v>
      </c>
      <c r="GM372">
        <v>37004.4</v>
      </c>
      <c r="GN372">
        <v>41349.3</v>
      </c>
      <c r="GO372">
        <v>41812.2</v>
      </c>
      <c r="GP372">
        <v>1.96765</v>
      </c>
      <c r="GQ372">
        <v>1.85497</v>
      </c>
      <c r="GR372">
        <v>-0.00602752</v>
      </c>
      <c r="GS372">
        <v>0</v>
      </c>
      <c r="GT372">
        <v>25.0974</v>
      </c>
      <c r="GU372">
        <v>999.9</v>
      </c>
      <c r="GV372">
        <v>29.6</v>
      </c>
      <c r="GW372">
        <v>34.2</v>
      </c>
      <c r="GX372">
        <v>17.7862</v>
      </c>
      <c r="GY372">
        <v>62.4676</v>
      </c>
      <c r="GZ372">
        <v>35.3846</v>
      </c>
      <c r="HA372">
        <v>1</v>
      </c>
      <c r="HB372">
        <v>0.0428887</v>
      </c>
      <c r="HC372">
        <v>1.49455</v>
      </c>
      <c r="HD372">
        <v>20.3279</v>
      </c>
      <c r="HE372">
        <v>5.21774</v>
      </c>
      <c r="HF372">
        <v>12.0099</v>
      </c>
      <c r="HG372">
        <v>4.9888</v>
      </c>
      <c r="HH372">
        <v>3.28863</v>
      </c>
      <c r="HI372">
        <v>1033.9</v>
      </c>
      <c r="HJ372">
        <v>9751.6</v>
      </c>
      <c r="HK372">
        <v>5139.4</v>
      </c>
      <c r="HL372">
        <v>25.4</v>
      </c>
      <c r="HM372">
        <v>1.86746</v>
      </c>
      <c r="HN372">
        <v>1.86646</v>
      </c>
      <c r="HO372">
        <v>1.866</v>
      </c>
      <c r="HP372">
        <v>1.86584</v>
      </c>
      <c r="HQ372">
        <v>1.86768</v>
      </c>
      <c r="HR372">
        <v>1.87021</v>
      </c>
      <c r="HS372">
        <v>1.8689</v>
      </c>
      <c r="HT372">
        <v>1.87022</v>
      </c>
      <c r="HU372">
        <v>0</v>
      </c>
      <c r="HV372">
        <v>0</v>
      </c>
      <c r="HW372">
        <v>0</v>
      </c>
      <c r="HX372">
        <v>0</v>
      </c>
      <c r="HY372" t="s">
        <v>421</v>
      </c>
      <c r="HZ372" t="s">
        <v>422</v>
      </c>
      <c r="IA372" t="s">
        <v>423</v>
      </c>
      <c r="IB372" t="s">
        <v>423</v>
      </c>
      <c r="IC372" t="s">
        <v>423</v>
      </c>
      <c r="ID372" t="s">
        <v>423</v>
      </c>
      <c r="IE372">
        <v>0</v>
      </c>
      <c r="IF372">
        <v>100</v>
      </c>
      <c r="IG372">
        <v>100</v>
      </c>
      <c r="IH372">
        <v>-1.405</v>
      </c>
      <c r="II372">
        <v>0.0261</v>
      </c>
      <c r="IJ372">
        <v>-0.1559367209035702</v>
      </c>
      <c r="IK372">
        <v>-0.002077099775823331</v>
      </c>
      <c r="IL372">
        <v>4.593143279902166E-07</v>
      </c>
      <c r="IM372">
        <v>-1.865383991892071E-10</v>
      </c>
      <c r="IN372">
        <v>-0.0607165066849496</v>
      </c>
      <c r="IO372">
        <v>-0.01129461987421345</v>
      </c>
      <c r="IP372">
        <v>0.00116580895745559</v>
      </c>
      <c r="IQ372">
        <v>-1.679085872906199E-05</v>
      </c>
      <c r="IR372">
        <v>2</v>
      </c>
      <c r="IS372">
        <v>2290</v>
      </c>
      <c r="IT372">
        <v>0</v>
      </c>
      <c r="IU372">
        <v>32</v>
      </c>
      <c r="IV372">
        <v>16.1</v>
      </c>
      <c r="IW372">
        <v>16</v>
      </c>
      <c r="IX372">
        <v>1.65161</v>
      </c>
      <c r="IY372">
        <v>2.19971</v>
      </c>
      <c r="IZ372">
        <v>1.39648</v>
      </c>
      <c r="JA372">
        <v>2.35474</v>
      </c>
      <c r="JB372">
        <v>1.49536</v>
      </c>
      <c r="JC372">
        <v>2.37305</v>
      </c>
      <c r="JD372">
        <v>38.0134</v>
      </c>
      <c r="JE372">
        <v>24.0437</v>
      </c>
      <c r="JF372">
        <v>18</v>
      </c>
      <c r="JG372">
        <v>512.673</v>
      </c>
      <c r="JH372">
        <v>426.398</v>
      </c>
      <c r="JI372">
        <v>23.1481</v>
      </c>
      <c r="JJ372">
        <v>27.8757</v>
      </c>
      <c r="JK372">
        <v>30.0001</v>
      </c>
      <c r="JL372">
        <v>27.8913</v>
      </c>
      <c r="JM372">
        <v>27.8346</v>
      </c>
      <c r="JN372">
        <v>33.175</v>
      </c>
      <c r="JO372">
        <v>46.0558</v>
      </c>
      <c r="JP372">
        <v>0</v>
      </c>
      <c r="JQ372">
        <v>23.15</v>
      </c>
      <c r="JR372">
        <v>760.005</v>
      </c>
      <c r="JS372">
        <v>9.05836</v>
      </c>
      <c r="JT372">
        <v>100.417</v>
      </c>
      <c r="JU372">
        <v>100.35</v>
      </c>
    </row>
    <row r="373" spans="1:281">
      <c r="A373">
        <v>357</v>
      </c>
      <c r="B373">
        <v>1651866477.5</v>
      </c>
      <c r="C373">
        <v>2256.900000095367</v>
      </c>
      <c r="D373" t="s">
        <v>1137</v>
      </c>
      <c r="E373" t="s">
        <v>1138</v>
      </c>
      <c r="F373">
        <v>2</v>
      </c>
      <c r="G373" t="s">
        <v>908</v>
      </c>
      <c r="H373" t="s">
        <v>414</v>
      </c>
      <c r="I373">
        <v>1651866476.5</v>
      </c>
      <c r="J373">
        <f>(K373)/1000</f>
        <v>0</v>
      </c>
      <c r="K373">
        <f>IF(CZ373, AN373, AH373)</f>
        <v>0</v>
      </c>
      <c r="L373">
        <f>IF(CZ373, AI373, AG373)</f>
        <v>0</v>
      </c>
      <c r="M373">
        <f>DB373 - IF(AU373&gt;1, L373*CV373*100.0/(AW373*DP373), 0)</f>
        <v>0</v>
      </c>
      <c r="N373">
        <f>((T373-J373/2)*M373-L373)/(T373+J373/2)</f>
        <v>0</v>
      </c>
      <c r="O373">
        <f>N373*(DI373+DJ373)/1000.0</f>
        <v>0</v>
      </c>
      <c r="P373">
        <f>(DB373 - IF(AU373&gt;1, L373*CV373*100.0/(AW373*DP373), 0))*(DI373+DJ373)/1000.0</f>
        <v>0</v>
      </c>
      <c r="Q373">
        <f>2.0/((1/S373-1/R373)+SIGN(S373)*SQRT((1/S373-1/R373)*(1/S373-1/R373) + 4*CW373/((CW373+1)*(CW373+1))*(2*1/S373*1/R373-1/R373*1/R373)))</f>
        <v>0</v>
      </c>
      <c r="R373">
        <f>IF(LEFT(CX373,1)&lt;&gt;"0",IF(LEFT(CX373,1)="1",3.0,CY373),$D$5+$E$5*(DP373*DI373/($K$5*1000))+$F$5*(DP373*DI373/($K$5*1000))*MAX(MIN(CV373,$J$5),$I$5)*MAX(MIN(CV373,$J$5),$I$5)+$G$5*MAX(MIN(CV373,$J$5),$I$5)*(DP373*DI373/($K$5*1000))+$H$5*(DP373*DI373/($K$5*1000))*(DP373*DI373/($K$5*1000)))</f>
        <v>0</v>
      </c>
      <c r="S373">
        <f>J373*(1000-(1000*0.61365*exp(17.502*W373/(240.97+W373))/(DI373+DJ373)+DD373)/2)/(1000*0.61365*exp(17.502*W373/(240.97+W373))/(DI373+DJ373)-DD373)</f>
        <v>0</v>
      </c>
      <c r="T373">
        <f>1/((CW373+1)/(Q373/1.6)+1/(R373/1.37)) + CW373/((CW373+1)/(Q373/1.6) + CW373/(R373/1.37))</f>
        <v>0</v>
      </c>
      <c r="U373">
        <f>(CR373*CU373)</f>
        <v>0</v>
      </c>
      <c r="V373">
        <f>(DK373+(U373+2*0.95*5.67E-8*(((DK373+$B$7)+273)^4-(DK373+273)^4)-44100*J373)/(1.84*29.3*R373+8*0.95*5.67E-8*(DK373+273)^3))</f>
        <v>0</v>
      </c>
      <c r="W373">
        <f>($C$7*DL373+$D$7*DM373+$E$7*V373)</f>
        <v>0</v>
      </c>
      <c r="X373">
        <f>0.61365*exp(17.502*W373/(240.97+W373))</f>
        <v>0</v>
      </c>
      <c r="Y373">
        <f>(Z373/AA373*100)</f>
        <v>0</v>
      </c>
      <c r="Z373">
        <f>DD373*(DI373+DJ373)/1000</f>
        <v>0</v>
      </c>
      <c r="AA373">
        <f>0.61365*exp(17.502*DK373/(240.97+DK373))</f>
        <v>0</v>
      </c>
      <c r="AB373">
        <f>(X373-DD373*(DI373+DJ373)/1000)</f>
        <v>0</v>
      </c>
      <c r="AC373">
        <f>(-J373*44100)</f>
        <v>0</v>
      </c>
      <c r="AD373">
        <f>2*29.3*R373*0.92*(DK373-W373)</f>
        <v>0</v>
      </c>
      <c r="AE373">
        <f>2*0.95*5.67E-8*(((DK373+$B$7)+273)^4-(W373+273)^4)</f>
        <v>0</v>
      </c>
      <c r="AF373">
        <f>U373+AE373+AC373+AD373</f>
        <v>0</v>
      </c>
      <c r="AG373">
        <f>DH373*AU373*(DC373-DB373*(1000-AU373*DE373)/(1000-AU373*DD373))/(100*CV373)</f>
        <v>0</v>
      </c>
      <c r="AH373">
        <f>1000*DH373*AU373*(DD373-DE373)/(100*CV373*(1000-AU373*DD373))</f>
        <v>0</v>
      </c>
      <c r="AI373">
        <f>(AJ373 - AK373 - DI373*1E3/(8.314*(DK373+273.15)) * AM373/DH373 * AL373) * DH373/(100*CV373) * (1000 - DE373)/1000</f>
        <v>0</v>
      </c>
      <c r="AJ373">
        <v>740.6506111631745</v>
      </c>
      <c r="AK373">
        <v>690.6610181818182</v>
      </c>
      <c r="AL373">
        <v>3.424411684746884</v>
      </c>
      <c r="AM373">
        <v>66.38195617057868</v>
      </c>
      <c r="AN373">
        <f>(AP373 - AO373 + DI373*1E3/(8.314*(DK373+273.15)) * AR373/DH373 * AQ373) * DH373/(100*CV373) * 1000/(1000 - AP373)</f>
        <v>0</v>
      </c>
      <c r="AO373">
        <v>9.130378516760668</v>
      </c>
      <c r="AP373">
        <v>18.73587147058823</v>
      </c>
      <c r="AQ373">
        <v>0.0002874582548589555</v>
      </c>
      <c r="AR373">
        <v>80.47178418790507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MAX(0,($B$13+$C$13*DP373)/(1+$D$13*DP373)*DI373/(DK373+273)*$E$13)</f>
        <v>0</v>
      </c>
      <c r="AX373" t="s">
        <v>417</v>
      </c>
      <c r="AY373" t="s">
        <v>417</v>
      </c>
      <c r="AZ373">
        <v>0</v>
      </c>
      <c r="BA373">
        <v>0</v>
      </c>
      <c r="BB373">
        <f>1-AZ373/BA373</f>
        <v>0</v>
      </c>
      <c r="BC373">
        <v>0</v>
      </c>
      <c r="BD373" t="s">
        <v>417</v>
      </c>
      <c r="BE373" t="s">
        <v>417</v>
      </c>
      <c r="BF373">
        <v>0</v>
      </c>
      <c r="BG373">
        <v>0</v>
      </c>
      <c r="BH373">
        <f>1-BF373/BG373</f>
        <v>0</v>
      </c>
      <c r="BI373">
        <v>0.5</v>
      </c>
      <c r="BJ373">
        <f>CS373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417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BZ373">
        <v>1249</v>
      </c>
      <c r="CA373">
        <v>300</v>
      </c>
      <c r="CB373">
        <v>300</v>
      </c>
      <c r="CC373">
        <v>300</v>
      </c>
      <c r="CD373">
        <v>10442.4</v>
      </c>
      <c r="CE373">
        <v>1239.69</v>
      </c>
      <c r="CF373">
        <v>-0.00735276</v>
      </c>
      <c r="CG373">
        <v>0.07000000000000001</v>
      </c>
      <c r="CH373" t="s">
        <v>417</v>
      </c>
      <c r="CI373" t="s">
        <v>417</v>
      </c>
      <c r="CJ373" t="s">
        <v>417</v>
      </c>
      <c r="CK373" t="s">
        <v>417</v>
      </c>
      <c r="CL373" t="s">
        <v>417</v>
      </c>
      <c r="CM373" t="s">
        <v>417</v>
      </c>
      <c r="CN373" t="s">
        <v>417</v>
      </c>
      <c r="CO373" t="s">
        <v>417</v>
      </c>
      <c r="CP373" t="s">
        <v>417</v>
      </c>
      <c r="CQ373" t="s">
        <v>417</v>
      </c>
      <c r="CR373">
        <f>$B$11*DQ373+$C$11*DR373+$F$11*EC373*(1-EF373)</f>
        <v>0</v>
      </c>
      <c r="CS373">
        <f>CR373*CT373</f>
        <v>0</v>
      </c>
      <c r="CT373">
        <f>($B$11*$D$9+$C$11*$D$9+$F$11*((EP373+EH373)/MAX(EP373+EH373+EQ373, 0.1)*$I$9+EQ373/MAX(EP373+EH373+EQ373, 0.1)*$J$9))/($B$11+$C$11+$F$11)</f>
        <v>0</v>
      </c>
      <c r="CU373">
        <f>($B$11*$K$9+$C$11*$K$9+$F$11*((EP373+EH373)/MAX(EP373+EH373+EQ373, 0.1)*$P$9+EQ373/MAX(EP373+EH373+EQ373, 0.1)*$Q$9))/($B$11+$C$11+$F$11)</f>
        <v>0</v>
      </c>
      <c r="CV373">
        <v>6</v>
      </c>
      <c r="CW373">
        <v>0.5</v>
      </c>
      <c r="CX373" t="s">
        <v>418</v>
      </c>
      <c r="CY373">
        <v>2</v>
      </c>
      <c r="CZ373" t="b">
        <v>1</v>
      </c>
      <c r="DA373">
        <v>1651866476.5</v>
      </c>
      <c r="DB373">
        <v>676.039</v>
      </c>
      <c r="DC373">
        <v>739.8576666666668</v>
      </c>
      <c r="DD373">
        <v>18.73706666666667</v>
      </c>
      <c r="DE373">
        <v>9.129543333333332</v>
      </c>
      <c r="DF373">
        <v>677.4496666666666</v>
      </c>
      <c r="DG373">
        <v>18.71093333333333</v>
      </c>
      <c r="DH373">
        <v>500.0283333333334</v>
      </c>
      <c r="DI373">
        <v>89.91453333333334</v>
      </c>
      <c r="DJ373">
        <v>0.09999000000000001</v>
      </c>
      <c r="DK373">
        <v>25.94943333333333</v>
      </c>
      <c r="DL373">
        <v>24.999</v>
      </c>
      <c r="DM373">
        <v>999.9</v>
      </c>
      <c r="DN373">
        <v>0</v>
      </c>
      <c r="DO373">
        <v>0</v>
      </c>
      <c r="DP373">
        <v>10002.51666666667</v>
      </c>
      <c r="DQ373">
        <v>0</v>
      </c>
      <c r="DR373">
        <v>3.21788</v>
      </c>
      <c r="DS373">
        <v>-63.81893333333333</v>
      </c>
      <c r="DT373">
        <v>688.948</v>
      </c>
      <c r="DU373">
        <v>746.6750000000001</v>
      </c>
      <c r="DV373">
        <v>9.607516666666667</v>
      </c>
      <c r="DW373">
        <v>739.8576666666668</v>
      </c>
      <c r="DX373">
        <v>9.129543333333332</v>
      </c>
      <c r="DY373">
        <v>1.684733333333333</v>
      </c>
      <c r="DZ373">
        <v>0.8208786666666666</v>
      </c>
      <c r="EA373">
        <v>14.75646666666667</v>
      </c>
      <c r="EB373">
        <v>4.073563333333333</v>
      </c>
      <c r="EC373">
        <v>1500.063333333333</v>
      </c>
      <c r="ED373">
        <v>0.973003</v>
      </c>
      <c r="EE373">
        <v>0.0269973</v>
      </c>
      <c r="EF373">
        <v>0</v>
      </c>
      <c r="EG373">
        <v>914.3846666666667</v>
      </c>
      <c r="EH373">
        <v>5.00097</v>
      </c>
      <c r="EI373">
        <v>13627.33333333333</v>
      </c>
      <c r="EJ373">
        <v>12492.13333333333</v>
      </c>
      <c r="EK373">
        <v>38.375</v>
      </c>
      <c r="EL373">
        <v>39.562</v>
      </c>
      <c r="EM373">
        <v>38.77066666666666</v>
      </c>
      <c r="EN373">
        <v>39.25</v>
      </c>
      <c r="EO373">
        <v>39.187</v>
      </c>
      <c r="EP373">
        <v>1454.703333333334</v>
      </c>
      <c r="EQ373">
        <v>40.36</v>
      </c>
      <c r="ER373">
        <v>0</v>
      </c>
      <c r="ES373">
        <v>995</v>
      </c>
      <c r="ET373">
        <v>0</v>
      </c>
      <c r="EU373">
        <v>913.29696</v>
      </c>
      <c r="EV373">
        <v>11.41915386237627</v>
      </c>
      <c r="EW373">
        <v>159.3923079233609</v>
      </c>
      <c r="EX373">
        <v>13611.464</v>
      </c>
      <c r="EY373">
        <v>15</v>
      </c>
      <c r="EZ373">
        <v>1651865518.1</v>
      </c>
      <c r="FA373" t="s">
        <v>910</v>
      </c>
      <c r="FB373">
        <v>1651865507.1</v>
      </c>
      <c r="FC373">
        <v>1651865518.1</v>
      </c>
      <c r="FD373">
        <v>8</v>
      </c>
      <c r="FE373">
        <v>0.06</v>
      </c>
      <c r="FF373">
        <v>0</v>
      </c>
      <c r="FG373">
        <v>-0.927</v>
      </c>
      <c r="FH373">
        <v>-0.062</v>
      </c>
      <c r="FI373">
        <v>400</v>
      </c>
      <c r="FJ373">
        <v>11</v>
      </c>
      <c r="FK373">
        <v>0.11</v>
      </c>
      <c r="FL373">
        <v>0.01</v>
      </c>
      <c r="FM373">
        <v>-63.20351463414634</v>
      </c>
      <c r="FN373">
        <v>-5.109225783972151</v>
      </c>
      <c r="FO373">
        <v>0.5143167414323101</v>
      </c>
      <c r="FP373">
        <v>-1</v>
      </c>
      <c r="FQ373">
        <v>9.595995609756097</v>
      </c>
      <c r="FR373">
        <v>0.08335379790940506</v>
      </c>
      <c r="FS373">
        <v>0.008366040835564994</v>
      </c>
      <c r="FT373">
        <v>-1</v>
      </c>
      <c r="FU373">
        <v>0</v>
      </c>
      <c r="FV373">
        <v>0</v>
      </c>
      <c r="FW373">
        <v>0</v>
      </c>
      <c r="FX373">
        <v>-1</v>
      </c>
      <c r="FY373">
        <v>0</v>
      </c>
      <c r="FZ373">
        <v>0</v>
      </c>
      <c r="GA373" t="s">
        <v>420</v>
      </c>
      <c r="GB373">
        <v>2.98145</v>
      </c>
      <c r="GC373">
        <v>2.70616</v>
      </c>
      <c r="GD373">
        <v>0.132523</v>
      </c>
      <c r="GE373">
        <v>0.139188</v>
      </c>
      <c r="GF373">
        <v>0.08910510000000001</v>
      </c>
      <c r="GG373">
        <v>0.0516898</v>
      </c>
      <c r="GH373">
        <v>27412.8</v>
      </c>
      <c r="GI373">
        <v>27260.5</v>
      </c>
      <c r="GJ373">
        <v>29378.2</v>
      </c>
      <c r="GK373">
        <v>29292.6</v>
      </c>
      <c r="GL373">
        <v>35432.5</v>
      </c>
      <c r="GM373">
        <v>37004.6</v>
      </c>
      <c r="GN373">
        <v>41350.3</v>
      </c>
      <c r="GO373">
        <v>41812.2</v>
      </c>
      <c r="GP373">
        <v>1.96755</v>
      </c>
      <c r="GQ373">
        <v>1.85522</v>
      </c>
      <c r="GR373">
        <v>-0.00593066</v>
      </c>
      <c r="GS373">
        <v>0</v>
      </c>
      <c r="GT373">
        <v>25.0974</v>
      </c>
      <c r="GU373">
        <v>999.9</v>
      </c>
      <c r="GV373">
        <v>29.6</v>
      </c>
      <c r="GW373">
        <v>34.2</v>
      </c>
      <c r="GX373">
        <v>17.7866</v>
      </c>
      <c r="GY373">
        <v>62.5076</v>
      </c>
      <c r="GZ373">
        <v>35.3606</v>
      </c>
      <c r="HA373">
        <v>1</v>
      </c>
      <c r="HB373">
        <v>0.0428049</v>
      </c>
      <c r="HC373">
        <v>1.48961</v>
      </c>
      <c r="HD373">
        <v>20.3278</v>
      </c>
      <c r="HE373">
        <v>5.21714</v>
      </c>
      <c r="HF373">
        <v>12.0099</v>
      </c>
      <c r="HG373">
        <v>4.98885</v>
      </c>
      <c r="HH373">
        <v>3.28855</v>
      </c>
      <c r="HI373">
        <v>1033.9</v>
      </c>
      <c r="HJ373">
        <v>9751.6</v>
      </c>
      <c r="HK373">
        <v>5139.4</v>
      </c>
      <c r="HL373">
        <v>25.4</v>
      </c>
      <c r="HM373">
        <v>1.86747</v>
      </c>
      <c r="HN373">
        <v>1.86646</v>
      </c>
      <c r="HO373">
        <v>1.866</v>
      </c>
      <c r="HP373">
        <v>1.86584</v>
      </c>
      <c r="HQ373">
        <v>1.86768</v>
      </c>
      <c r="HR373">
        <v>1.87022</v>
      </c>
      <c r="HS373">
        <v>1.8689</v>
      </c>
      <c r="HT373">
        <v>1.87024</v>
      </c>
      <c r="HU373">
        <v>0</v>
      </c>
      <c r="HV373">
        <v>0</v>
      </c>
      <c r="HW373">
        <v>0</v>
      </c>
      <c r="HX373">
        <v>0</v>
      </c>
      <c r="HY373" t="s">
        <v>421</v>
      </c>
      <c r="HZ373" t="s">
        <v>422</v>
      </c>
      <c r="IA373" t="s">
        <v>423</v>
      </c>
      <c r="IB373" t="s">
        <v>423</v>
      </c>
      <c r="IC373" t="s">
        <v>423</v>
      </c>
      <c r="ID373" t="s">
        <v>423</v>
      </c>
      <c r="IE373">
        <v>0</v>
      </c>
      <c r="IF373">
        <v>100</v>
      </c>
      <c r="IG373">
        <v>100</v>
      </c>
      <c r="IH373">
        <v>-1.416</v>
      </c>
      <c r="II373">
        <v>0.0261</v>
      </c>
      <c r="IJ373">
        <v>-0.1559367209035702</v>
      </c>
      <c r="IK373">
        <v>-0.002077099775823331</v>
      </c>
      <c r="IL373">
        <v>4.593143279902166E-07</v>
      </c>
      <c r="IM373">
        <v>-1.865383991892071E-10</v>
      </c>
      <c r="IN373">
        <v>-0.0607165066849496</v>
      </c>
      <c r="IO373">
        <v>-0.01129461987421345</v>
      </c>
      <c r="IP373">
        <v>0.00116580895745559</v>
      </c>
      <c r="IQ373">
        <v>-1.679085872906199E-05</v>
      </c>
      <c r="IR373">
        <v>2</v>
      </c>
      <c r="IS373">
        <v>2290</v>
      </c>
      <c r="IT373">
        <v>0</v>
      </c>
      <c r="IU373">
        <v>32</v>
      </c>
      <c r="IV373">
        <v>16.2</v>
      </c>
      <c r="IW373">
        <v>16</v>
      </c>
      <c r="IX373">
        <v>1.66382</v>
      </c>
      <c r="IY373">
        <v>2.19849</v>
      </c>
      <c r="IZ373">
        <v>1.39648</v>
      </c>
      <c r="JA373">
        <v>2.35474</v>
      </c>
      <c r="JB373">
        <v>1.49536</v>
      </c>
      <c r="JC373">
        <v>2.32056</v>
      </c>
      <c r="JD373">
        <v>38.0134</v>
      </c>
      <c r="JE373">
        <v>24.035</v>
      </c>
      <c r="JF373">
        <v>18</v>
      </c>
      <c r="JG373">
        <v>512.598</v>
      </c>
      <c r="JH373">
        <v>426.539</v>
      </c>
      <c r="JI373">
        <v>23.1483</v>
      </c>
      <c r="JJ373">
        <v>27.8752</v>
      </c>
      <c r="JK373">
        <v>30</v>
      </c>
      <c r="JL373">
        <v>27.89</v>
      </c>
      <c r="JM373">
        <v>27.8333</v>
      </c>
      <c r="JN373">
        <v>33.4109</v>
      </c>
      <c r="JO373">
        <v>46.0558</v>
      </c>
      <c r="JP373">
        <v>0</v>
      </c>
      <c r="JQ373">
        <v>23.15</v>
      </c>
      <c r="JR373">
        <v>766.701</v>
      </c>
      <c r="JS373">
        <v>9.05322</v>
      </c>
      <c r="JT373">
        <v>100.42</v>
      </c>
      <c r="JU373">
        <v>100.35</v>
      </c>
    </row>
    <row r="374" spans="1:281">
      <c r="A374">
        <v>358</v>
      </c>
      <c r="B374">
        <v>1651866479.5</v>
      </c>
      <c r="C374">
        <v>2258.900000095367</v>
      </c>
      <c r="D374" t="s">
        <v>1139</v>
      </c>
      <c r="E374" t="s">
        <v>1140</v>
      </c>
      <c r="F374">
        <v>2</v>
      </c>
      <c r="G374" t="s">
        <v>908</v>
      </c>
      <c r="H374" t="s">
        <v>414</v>
      </c>
      <c r="I374">
        <v>1651866478.125</v>
      </c>
      <c r="J374">
        <f>(K374)/1000</f>
        <v>0</v>
      </c>
      <c r="K374">
        <f>IF(CZ374, AN374, AH374)</f>
        <v>0</v>
      </c>
      <c r="L374">
        <f>IF(CZ374, AI374, AG374)</f>
        <v>0</v>
      </c>
      <c r="M374">
        <f>DB374 - IF(AU374&gt;1, L374*CV374*100.0/(AW374*DP374), 0)</f>
        <v>0</v>
      </c>
      <c r="N374">
        <f>((T374-J374/2)*M374-L374)/(T374+J374/2)</f>
        <v>0</v>
      </c>
      <c r="O374">
        <f>N374*(DI374+DJ374)/1000.0</f>
        <v>0</v>
      </c>
      <c r="P374">
        <f>(DB374 - IF(AU374&gt;1, L374*CV374*100.0/(AW374*DP374), 0))*(DI374+DJ374)/1000.0</f>
        <v>0</v>
      </c>
      <c r="Q374">
        <f>2.0/((1/S374-1/R374)+SIGN(S374)*SQRT((1/S374-1/R374)*(1/S374-1/R374) + 4*CW374/((CW374+1)*(CW374+1))*(2*1/S374*1/R374-1/R374*1/R374)))</f>
        <v>0</v>
      </c>
      <c r="R374">
        <f>IF(LEFT(CX374,1)&lt;&gt;"0",IF(LEFT(CX374,1)="1",3.0,CY374),$D$5+$E$5*(DP374*DI374/($K$5*1000))+$F$5*(DP374*DI374/($K$5*1000))*MAX(MIN(CV374,$J$5),$I$5)*MAX(MIN(CV374,$J$5),$I$5)+$G$5*MAX(MIN(CV374,$J$5),$I$5)*(DP374*DI374/($K$5*1000))+$H$5*(DP374*DI374/($K$5*1000))*(DP374*DI374/($K$5*1000)))</f>
        <v>0</v>
      </c>
      <c r="S374">
        <f>J374*(1000-(1000*0.61365*exp(17.502*W374/(240.97+W374))/(DI374+DJ374)+DD374)/2)/(1000*0.61365*exp(17.502*W374/(240.97+W374))/(DI374+DJ374)-DD374)</f>
        <v>0</v>
      </c>
      <c r="T374">
        <f>1/((CW374+1)/(Q374/1.6)+1/(R374/1.37)) + CW374/((CW374+1)/(Q374/1.6) + CW374/(R374/1.37))</f>
        <v>0</v>
      </c>
      <c r="U374">
        <f>(CR374*CU374)</f>
        <v>0</v>
      </c>
      <c r="V374">
        <f>(DK374+(U374+2*0.95*5.67E-8*(((DK374+$B$7)+273)^4-(DK374+273)^4)-44100*J374)/(1.84*29.3*R374+8*0.95*5.67E-8*(DK374+273)^3))</f>
        <v>0</v>
      </c>
      <c r="W374">
        <f>($C$7*DL374+$D$7*DM374+$E$7*V374)</f>
        <v>0</v>
      </c>
      <c r="X374">
        <f>0.61365*exp(17.502*W374/(240.97+W374))</f>
        <v>0</v>
      </c>
      <c r="Y374">
        <f>(Z374/AA374*100)</f>
        <v>0</v>
      </c>
      <c r="Z374">
        <f>DD374*(DI374+DJ374)/1000</f>
        <v>0</v>
      </c>
      <c r="AA374">
        <f>0.61365*exp(17.502*DK374/(240.97+DK374))</f>
        <v>0</v>
      </c>
      <c r="AB374">
        <f>(X374-DD374*(DI374+DJ374)/1000)</f>
        <v>0</v>
      </c>
      <c r="AC374">
        <f>(-J374*44100)</f>
        <v>0</v>
      </c>
      <c r="AD374">
        <f>2*29.3*R374*0.92*(DK374-W374)</f>
        <v>0</v>
      </c>
      <c r="AE374">
        <f>2*0.95*5.67E-8*(((DK374+$B$7)+273)^4-(W374+273)^4)</f>
        <v>0</v>
      </c>
      <c r="AF374">
        <f>U374+AE374+AC374+AD374</f>
        <v>0</v>
      </c>
      <c r="AG374">
        <f>DH374*AU374*(DC374-DB374*(1000-AU374*DE374)/(1000-AU374*DD374))/(100*CV374)</f>
        <v>0</v>
      </c>
      <c r="AH374">
        <f>1000*DH374*AU374*(DD374-DE374)/(100*CV374*(1000-AU374*DD374))</f>
        <v>0</v>
      </c>
      <c r="AI374">
        <f>(AJ374 - AK374 - DI374*1E3/(8.314*(DK374+273.15)) * AM374/DH374 * AL374) * DH374/(100*CV374) * (1000 - DE374)/1000</f>
        <v>0</v>
      </c>
      <c r="AJ374">
        <v>747.4796540877988</v>
      </c>
      <c r="AK374">
        <v>697.5236181818181</v>
      </c>
      <c r="AL374">
        <v>3.427948144388755</v>
      </c>
      <c r="AM374">
        <v>66.38195617057868</v>
      </c>
      <c r="AN374">
        <f>(AP374 - AO374 + DI374*1E3/(8.314*(DK374+273.15)) * AR374/DH374 * AQ374) * DH374/(100*CV374) * 1000/(1000 - AP374)</f>
        <v>0</v>
      </c>
      <c r="AO374">
        <v>9.130097386682719</v>
      </c>
      <c r="AP374">
        <v>18.73734735294117</v>
      </c>
      <c r="AQ374">
        <v>1.74749700486895E-05</v>
      </c>
      <c r="AR374">
        <v>80.47178418790507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MAX(0,($B$13+$C$13*DP374)/(1+$D$13*DP374)*DI374/(DK374+273)*$E$13)</f>
        <v>0</v>
      </c>
      <c r="AX374" t="s">
        <v>417</v>
      </c>
      <c r="AY374" t="s">
        <v>417</v>
      </c>
      <c r="AZ374">
        <v>0</v>
      </c>
      <c r="BA374">
        <v>0</v>
      </c>
      <c r="BB374">
        <f>1-AZ374/BA374</f>
        <v>0</v>
      </c>
      <c r="BC374">
        <v>0</v>
      </c>
      <c r="BD374" t="s">
        <v>417</v>
      </c>
      <c r="BE374" t="s">
        <v>417</v>
      </c>
      <c r="BF374">
        <v>0</v>
      </c>
      <c r="BG374">
        <v>0</v>
      </c>
      <c r="BH374">
        <f>1-BF374/BG374</f>
        <v>0</v>
      </c>
      <c r="BI374">
        <v>0.5</v>
      </c>
      <c r="BJ374">
        <f>CS374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417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BZ374">
        <v>1249</v>
      </c>
      <c r="CA374">
        <v>300</v>
      </c>
      <c r="CB374">
        <v>300</v>
      </c>
      <c r="CC374">
        <v>300</v>
      </c>
      <c r="CD374">
        <v>10442.4</v>
      </c>
      <c r="CE374">
        <v>1239.69</v>
      </c>
      <c r="CF374">
        <v>-0.00735276</v>
      </c>
      <c r="CG374">
        <v>0.07000000000000001</v>
      </c>
      <c r="CH374" t="s">
        <v>417</v>
      </c>
      <c r="CI374" t="s">
        <v>417</v>
      </c>
      <c r="CJ374" t="s">
        <v>417</v>
      </c>
      <c r="CK374" t="s">
        <v>417</v>
      </c>
      <c r="CL374" t="s">
        <v>417</v>
      </c>
      <c r="CM374" t="s">
        <v>417</v>
      </c>
      <c r="CN374" t="s">
        <v>417</v>
      </c>
      <c r="CO374" t="s">
        <v>417</v>
      </c>
      <c r="CP374" t="s">
        <v>417</v>
      </c>
      <c r="CQ374" t="s">
        <v>417</v>
      </c>
      <c r="CR374">
        <f>$B$11*DQ374+$C$11*DR374+$F$11*EC374*(1-EF374)</f>
        <v>0</v>
      </c>
      <c r="CS374">
        <f>CR374*CT374</f>
        <v>0</v>
      </c>
      <c r="CT374">
        <f>($B$11*$D$9+$C$11*$D$9+$F$11*((EP374+EH374)/MAX(EP374+EH374+EQ374, 0.1)*$I$9+EQ374/MAX(EP374+EH374+EQ374, 0.1)*$J$9))/($B$11+$C$11+$F$11)</f>
        <v>0</v>
      </c>
      <c r="CU374">
        <f>($B$11*$K$9+$C$11*$K$9+$F$11*((EP374+EH374)/MAX(EP374+EH374+EQ374, 0.1)*$P$9+EQ374/MAX(EP374+EH374+EQ374, 0.1)*$Q$9))/($B$11+$C$11+$F$11)</f>
        <v>0</v>
      </c>
      <c r="CV374">
        <v>6</v>
      </c>
      <c r="CW374">
        <v>0.5</v>
      </c>
      <c r="CX374" t="s">
        <v>418</v>
      </c>
      <c r="CY374">
        <v>2</v>
      </c>
      <c r="CZ374" t="b">
        <v>1</v>
      </c>
      <c r="DA374">
        <v>1651866478.125</v>
      </c>
      <c r="DB374">
        <v>681.504</v>
      </c>
      <c r="DC374">
        <v>745.42975</v>
      </c>
      <c r="DD374">
        <v>18.737525</v>
      </c>
      <c r="DE374">
        <v>9.128924999999999</v>
      </c>
      <c r="DF374">
        <v>682.9237499999999</v>
      </c>
      <c r="DG374">
        <v>18.711425</v>
      </c>
      <c r="DH374">
        <v>500.039</v>
      </c>
      <c r="DI374">
        <v>89.913425</v>
      </c>
      <c r="DJ374">
        <v>0.09989562499999999</v>
      </c>
      <c r="DK374">
        <v>25.9482</v>
      </c>
      <c r="DL374">
        <v>25.004725</v>
      </c>
      <c r="DM374">
        <v>999.9</v>
      </c>
      <c r="DN374">
        <v>0</v>
      </c>
      <c r="DO374">
        <v>0</v>
      </c>
      <c r="DP374">
        <v>10011.575</v>
      </c>
      <c r="DQ374">
        <v>0</v>
      </c>
      <c r="DR374">
        <v>3.2140175</v>
      </c>
      <c r="DS374">
        <v>-63.92552500000001</v>
      </c>
      <c r="DT374">
        <v>694.51775</v>
      </c>
      <c r="DU374">
        <v>752.29725</v>
      </c>
      <c r="DV374">
        <v>9.608622499999999</v>
      </c>
      <c r="DW374">
        <v>745.42975</v>
      </c>
      <c r="DX374">
        <v>9.128924999999999</v>
      </c>
      <c r="DY374">
        <v>1.6847575</v>
      </c>
      <c r="DZ374">
        <v>0.82081275</v>
      </c>
      <c r="EA374">
        <v>14.7567</v>
      </c>
      <c r="EB374">
        <v>4.0724225</v>
      </c>
      <c r="EC374">
        <v>1500</v>
      </c>
      <c r="ED374">
        <v>0.9730015</v>
      </c>
      <c r="EE374">
        <v>0.02699865</v>
      </c>
      <c r="EF374">
        <v>0</v>
      </c>
      <c r="EG374">
        <v>914.61875</v>
      </c>
      <c r="EH374">
        <v>5.00097</v>
      </c>
      <c r="EI374">
        <v>13630.75</v>
      </c>
      <c r="EJ374">
        <v>12491.6</v>
      </c>
      <c r="EK374">
        <v>38.375</v>
      </c>
      <c r="EL374">
        <v>39.562</v>
      </c>
      <c r="EM374">
        <v>38.75</v>
      </c>
      <c r="EN374">
        <v>39.25</v>
      </c>
      <c r="EO374">
        <v>39.187</v>
      </c>
      <c r="EP374">
        <v>1454.64</v>
      </c>
      <c r="EQ374">
        <v>40.36</v>
      </c>
      <c r="ER374">
        <v>0</v>
      </c>
      <c r="ES374">
        <v>996.7999999523163</v>
      </c>
      <c r="ET374">
        <v>0</v>
      </c>
      <c r="EU374">
        <v>913.5362307692308</v>
      </c>
      <c r="EV374">
        <v>11.45299144407228</v>
      </c>
      <c r="EW374">
        <v>153.3299144980736</v>
      </c>
      <c r="EX374">
        <v>13615.21923076923</v>
      </c>
      <c r="EY374">
        <v>15</v>
      </c>
      <c r="EZ374">
        <v>1651865518.1</v>
      </c>
      <c r="FA374" t="s">
        <v>910</v>
      </c>
      <c r="FB374">
        <v>1651865507.1</v>
      </c>
      <c r="FC374">
        <v>1651865518.1</v>
      </c>
      <c r="FD374">
        <v>8</v>
      </c>
      <c r="FE374">
        <v>0.06</v>
      </c>
      <c r="FF374">
        <v>0</v>
      </c>
      <c r="FG374">
        <v>-0.927</v>
      </c>
      <c r="FH374">
        <v>-0.062</v>
      </c>
      <c r="FI374">
        <v>400</v>
      </c>
      <c r="FJ374">
        <v>11</v>
      </c>
      <c r="FK374">
        <v>0.11</v>
      </c>
      <c r="FL374">
        <v>0.01</v>
      </c>
      <c r="FM374">
        <v>-63.4213575</v>
      </c>
      <c r="FN374">
        <v>-4.257731707317022</v>
      </c>
      <c r="FO374">
        <v>0.4221234487016211</v>
      </c>
      <c r="FP374">
        <v>-1</v>
      </c>
      <c r="FQ374">
        <v>9.599257249999999</v>
      </c>
      <c r="FR374">
        <v>0.07927103189492807</v>
      </c>
      <c r="FS374">
        <v>0.00783262056641958</v>
      </c>
      <c r="FT374">
        <v>-1</v>
      </c>
      <c r="FU374">
        <v>0</v>
      </c>
      <c r="FV374">
        <v>0</v>
      </c>
      <c r="FW374">
        <v>0</v>
      </c>
      <c r="FX374">
        <v>-1</v>
      </c>
      <c r="FY374">
        <v>0</v>
      </c>
      <c r="FZ374">
        <v>0</v>
      </c>
      <c r="GA374" t="s">
        <v>420</v>
      </c>
      <c r="GB374">
        <v>2.98131</v>
      </c>
      <c r="GC374">
        <v>2.70624</v>
      </c>
      <c r="GD374">
        <v>0.133425</v>
      </c>
      <c r="GE374">
        <v>0.140048</v>
      </c>
      <c r="GF374">
        <v>0.0891127</v>
      </c>
      <c r="GG374">
        <v>0.0516861</v>
      </c>
      <c r="GH374">
        <v>27384.6</v>
      </c>
      <c r="GI374">
        <v>27233.2</v>
      </c>
      <c r="GJ374">
        <v>29378.5</v>
      </c>
      <c r="GK374">
        <v>29292.5</v>
      </c>
      <c r="GL374">
        <v>35432.5</v>
      </c>
      <c r="GM374">
        <v>37004.7</v>
      </c>
      <c r="GN374">
        <v>41350.6</v>
      </c>
      <c r="GO374">
        <v>41812.2</v>
      </c>
      <c r="GP374">
        <v>1.96717</v>
      </c>
      <c r="GQ374">
        <v>1.8552</v>
      </c>
      <c r="GR374">
        <v>-0.00528991</v>
      </c>
      <c r="GS374">
        <v>0</v>
      </c>
      <c r="GT374">
        <v>25.0974</v>
      </c>
      <c r="GU374">
        <v>999.9</v>
      </c>
      <c r="GV374">
        <v>29.6</v>
      </c>
      <c r="GW374">
        <v>34.2</v>
      </c>
      <c r="GX374">
        <v>17.7857</v>
      </c>
      <c r="GY374">
        <v>62.6076</v>
      </c>
      <c r="GZ374">
        <v>35.4808</v>
      </c>
      <c r="HA374">
        <v>1</v>
      </c>
      <c r="HB374">
        <v>0.0428049</v>
      </c>
      <c r="HC374">
        <v>1.48775</v>
      </c>
      <c r="HD374">
        <v>20.3279</v>
      </c>
      <c r="HE374">
        <v>5.21684</v>
      </c>
      <c r="HF374">
        <v>12.0099</v>
      </c>
      <c r="HG374">
        <v>4.9889</v>
      </c>
      <c r="HH374">
        <v>3.2885</v>
      </c>
      <c r="HI374">
        <v>1033.9</v>
      </c>
      <c r="HJ374">
        <v>9751.6</v>
      </c>
      <c r="HK374">
        <v>5139.4</v>
      </c>
      <c r="HL374">
        <v>25.4</v>
      </c>
      <c r="HM374">
        <v>1.86746</v>
      </c>
      <c r="HN374">
        <v>1.86646</v>
      </c>
      <c r="HO374">
        <v>1.86599</v>
      </c>
      <c r="HP374">
        <v>1.86584</v>
      </c>
      <c r="HQ374">
        <v>1.86768</v>
      </c>
      <c r="HR374">
        <v>1.87023</v>
      </c>
      <c r="HS374">
        <v>1.8689</v>
      </c>
      <c r="HT374">
        <v>1.87023</v>
      </c>
      <c r="HU374">
        <v>0</v>
      </c>
      <c r="HV374">
        <v>0</v>
      </c>
      <c r="HW374">
        <v>0</v>
      </c>
      <c r="HX374">
        <v>0</v>
      </c>
      <c r="HY374" t="s">
        <v>421</v>
      </c>
      <c r="HZ374" t="s">
        <v>422</v>
      </c>
      <c r="IA374" t="s">
        <v>423</v>
      </c>
      <c r="IB374" t="s">
        <v>423</v>
      </c>
      <c r="IC374" t="s">
        <v>423</v>
      </c>
      <c r="ID374" t="s">
        <v>423</v>
      </c>
      <c r="IE374">
        <v>0</v>
      </c>
      <c r="IF374">
        <v>100</v>
      </c>
      <c r="IG374">
        <v>100</v>
      </c>
      <c r="IH374">
        <v>-1.427</v>
      </c>
      <c r="II374">
        <v>0.0261</v>
      </c>
      <c r="IJ374">
        <v>-0.1559367209035702</v>
      </c>
      <c r="IK374">
        <v>-0.002077099775823331</v>
      </c>
      <c r="IL374">
        <v>4.593143279902166E-07</v>
      </c>
      <c r="IM374">
        <v>-1.865383991892071E-10</v>
      </c>
      <c r="IN374">
        <v>-0.0607165066849496</v>
      </c>
      <c r="IO374">
        <v>-0.01129461987421345</v>
      </c>
      <c r="IP374">
        <v>0.00116580895745559</v>
      </c>
      <c r="IQ374">
        <v>-1.679085872906199E-05</v>
      </c>
      <c r="IR374">
        <v>2</v>
      </c>
      <c r="IS374">
        <v>2290</v>
      </c>
      <c r="IT374">
        <v>0</v>
      </c>
      <c r="IU374">
        <v>32</v>
      </c>
      <c r="IV374">
        <v>16.2</v>
      </c>
      <c r="IW374">
        <v>16</v>
      </c>
      <c r="IX374">
        <v>1.6748</v>
      </c>
      <c r="IY374">
        <v>2.19849</v>
      </c>
      <c r="IZ374">
        <v>1.39648</v>
      </c>
      <c r="JA374">
        <v>2.35474</v>
      </c>
      <c r="JB374">
        <v>1.49536</v>
      </c>
      <c r="JC374">
        <v>2.29248</v>
      </c>
      <c r="JD374">
        <v>38.0134</v>
      </c>
      <c r="JE374">
        <v>24.035</v>
      </c>
      <c r="JF374">
        <v>18</v>
      </c>
      <c r="JG374">
        <v>512.3440000000001</v>
      </c>
      <c r="JH374">
        <v>426.515</v>
      </c>
      <c r="JI374">
        <v>23.149</v>
      </c>
      <c r="JJ374">
        <v>27.8744</v>
      </c>
      <c r="JK374">
        <v>30</v>
      </c>
      <c r="JL374">
        <v>27.889</v>
      </c>
      <c r="JM374">
        <v>27.8322</v>
      </c>
      <c r="JN374">
        <v>33.6494</v>
      </c>
      <c r="JO374">
        <v>46.0558</v>
      </c>
      <c r="JP374">
        <v>0</v>
      </c>
      <c r="JQ374">
        <v>23.15</v>
      </c>
      <c r="JR374">
        <v>773.397</v>
      </c>
      <c r="JS374">
        <v>9.04424</v>
      </c>
      <c r="JT374">
        <v>100.42</v>
      </c>
      <c r="JU374">
        <v>100.35</v>
      </c>
    </row>
    <row r="375" spans="1:281">
      <c r="A375">
        <v>359</v>
      </c>
      <c r="B375">
        <v>1651866481.5</v>
      </c>
      <c r="C375">
        <v>2260.900000095367</v>
      </c>
      <c r="D375" t="s">
        <v>1141</v>
      </c>
      <c r="E375" t="s">
        <v>1142</v>
      </c>
      <c r="F375">
        <v>2</v>
      </c>
      <c r="G375" t="s">
        <v>908</v>
      </c>
      <c r="H375" t="s">
        <v>414</v>
      </c>
      <c r="I375">
        <v>1651866480.5</v>
      </c>
      <c r="J375">
        <f>(K375)/1000</f>
        <v>0</v>
      </c>
      <c r="K375">
        <f>IF(CZ375, AN375, AH375)</f>
        <v>0</v>
      </c>
      <c r="L375">
        <f>IF(CZ375, AI375, AG375)</f>
        <v>0</v>
      </c>
      <c r="M375">
        <f>DB375 - IF(AU375&gt;1, L375*CV375*100.0/(AW375*DP375), 0)</f>
        <v>0</v>
      </c>
      <c r="N375">
        <f>((T375-J375/2)*M375-L375)/(T375+J375/2)</f>
        <v>0</v>
      </c>
      <c r="O375">
        <f>N375*(DI375+DJ375)/1000.0</f>
        <v>0</v>
      </c>
      <c r="P375">
        <f>(DB375 - IF(AU375&gt;1, L375*CV375*100.0/(AW375*DP375), 0))*(DI375+DJ375)/1000.0</f>
        <v>0</v>
      </c>
      <c r="Q375">
        <f>2.0/((1/S375-1/R375)+SIGN(S375)*SQRT((1/S375-1/R375)*(1/S375-1/R375) + 4*CW375/((CW375+1)*(CW375+1))*(2*1/S375*1/R375-1/R375*1/R375)))</f>
        <v>0</v>
      </c>
      <c r="R375">
        <f>IF(LEFT(CX375,1)&lt;&gt;"0",IF(LEFT(CX375,1)="1",3.0,CY375),$D$5+$E$5*(DP375*DI375/($K$5*1000))+$F$5*(DP375*DI375/($K$5*1000))*MAX(MIN(CV375,$J$5),$I$5)*MAX(MIN(CV375,$J$5),$I$5)+$G$5*MAX(MIN(CV375,$J$5),$I$5)*(DP375*DI375/($K$5*1000))+$H$5*(DP375*DI375/($K$5*1000))*(DP375*DI375/($K$5*1000)))</f>
        <v>0</v>
      </c>
      <c r="S375">
        <f>J375*(1000-(1000*0.61365*exp(17.502*W375/(240.97+W375))/(DI375+DJ375)+DD375)/2)/(1000*0.61365*exp(17.502*W375/(240.97+W375))/(DI375+DJ375)-DD375)</f>
        <v>0</v>
      </c>
      <c r="T375">
        <f>1/((CW375+1)/(Q375/1.6)+1/(R375/1.37)) + CW375/((CW375+1)/(Q375/1.6) + CW375/(R375/1.37))</f>
        <v>0</v>
      </c>
      <c r="U375">
        <f>(CR375*CU375)</f>
        <v>0</v>
      </c>
      <c r="V375">
        <f>(DK375+(U375+2*0.95*5.67E-8*(((DK375+$B$7)+273)^4-(DK375+273)^4)-44100*J375)/(1.84*29.3*R375+8*0.95*5.67E-8*(DK375+273)^3))</f>
        <v>0</v>
      </c>
      <c r="W375">
        <f>($C$7*DL375+$D$7*DM375+$E$7*V375)</f>
        <v>0</v>
      </c>
      <c r="X375">
        <f>0.61365*exp(17.502*W375/(240.97+W375))</f>
        <v>0</v>
      </c>
      <c r="Y375">
        <f>(Z375/AA375*100)</f>
        <v>0</v>
      </c>
      <c r="Z375">
        <f>DD375*(DI375+DJ375)/1000</f>
        <v>0</v>
      </c>
      <c r="AA375">
        <f>0.61365*exp(17.502*DK375/(240.97+DK375))</f>
        <v>0</v>
      </c>
      <c r="AB375">
        <f>(X375-DD375*(DI375+DJ375)/1000)</f>
        <v>0</v>
      </c>
      <c r="AC375">
        <f>(-J375*44100)</f>
        <v>0</v>
      </c>
      <c r="AD375">
        <f>2*29.3*R375*0.92*(DK375-W375)</f>
        <v>0</v>
      </c>
      <c r="AE375">
        <f>2*0.95*5.67E-8*(((DK375+$B$7)+273)^4-(W375+273)^4)</f>
        <v>0</v>
      </c>
      <c r="AF375">
        <f>U375+AE375+AC375+AD375</f>
        <v>0</v>
      </c>
      <c r="AG375">
        <f>DH375*AU375*(DC375-DB375*(1000-AU375*DE375)/(1000-AU375*DD375))/(100*CV375)</f>
        <v>0</v>
      </c>
      <c r="AH375">
        <f>1000*DH375*AU375*(DD375-DE375)/(100*CV375*(1000-AU375*DD375))</f>
        <v>0</v>
      </c>
      <c r="AI375">
        <f>(AJ375 - AK375 - DI375*1E3/(8.314*(DK375+273.15)) * AM375/DH375 * AL375) * DH375/(100*CV375) * (1000 - DE375)/1000</f>
        <v>0</v>
      </c>
      <c r="AJ375">
        <v>754.3906215840331</v>
      </c>
      <c r="AK375">
        <v>704.4316363636364</v>
      </c>
      <c r="AL375">
        <v>3.447360387405078</v>
      </c>
      <c r="AM375">
        <v>66.38195617057868</v>
      </c>
      <c r="AN375">
        <f>(AP375 - AO375 + DI375*1E3/(8.314*(DK375+273.15)) * AR375/DH375 * AQ375) * DH375/(100*CV375) * 1000/(1000 - AP375)</f>
        <v>0</v>
      </c>
      <c r="AO375">
        <v>9.12938743642593</v>
      </c>
      <c r="AP375">
        <v>18.74151970588235</v>
      </c>
      <c r="AQ375">
        <v>-7.326238891280302E-05</v>
      </c>
      <c r="AR375">
        <v>80.47178418790507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MAX(0,($B$13+$C$13*DP375)/(1+$D$13*DP375)*DI375/(DK375+273)*$E$13)</f>
        <v>0</v>
      </c>
      <c r="AX375" t="s">
        <v>417</v>
      </c>
      <c r="AY375" t="s">
        <v>417</v>
      </c>
      <c r="AZ375">
        <v>0</v>
      </c>
      <c r="BA375">
        <v>0</v>
      </c>
      <c r="BB375">
        <f>1-AZ375/BA375</f>
        <v>0</v>
      </c>
      <c r="BC375">
        <v>0</v>
      </c>
      <c r="BD375" t="s">
        <v>417</v>
      </c>
      <c r="BE375" t="s">
        <v>417</v>
      </c>
      <c r="BF375">
        <v>0</v>
      </c>
      <c r="BG375">
        <v>0</v>
      </c>
      <c r="BH375">
        <f>1-BF375/BG375</f>
        <v>0</v>
      </c>
      <c r="BI375">
        <v>0.5</v>
      </c>
      <c r="BJ375">
        <f>CS375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417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BZ375">
        <v>1249</v>
      </c>
      <c r="CA375">
        <v>300</v>
      </c>
      <c r="CB375">
        <v>300</v>
      </c>
      <c r="CC375">
        <v>300</v>
      </c>
      <c r="CD375">
        <v>10442.4</v>
      </c>
      <c r="CE375">
        <v>1239.69</v>
      </c>
      <c r="CF375">
        <v>-0.00735276</v>
      </c>
      <c r="CG375">
        <v>0.07000000000000001</v>
      </c>
      <c r="CH375" t="s">
        <v>417</v>
      </c>
      <c r="CI375" t="s">
        <v>417</v>
      </c>
      <c r="CJ375" t="s">
        <v>417</v>
      </c>
      <c r="CK375" t="s">
        <v>417</v>
      </c>
      <c r="CL375" t="s">
        <v>417</v>
      </c>
      <c r="CM375" t="s">
        <v>417</v>
      </c>
      <c r="CN375" t="s">
        <v>417</v>
      </c>
      <c r="CO375" t="s">
        <v>417</v>
      </c>
      <c r="CP375" t="s">
        <v>417</v>
      </c>
      <c r="CQ375" t="s">
        <v>417</v>
      </c>
      <c r="CR375">
        <f>$B$11*DQ375+$C$11*DR375+$F$11*EC375*(1-EF375)</f>
        <v>0</v>
      </c>
      <c r="CS375">
        <f>CR375*CT375</f>
        <v>0</v>
      </c>
      <c r="CT375">
        <f>($B$11*$D$9+$C$11*$D$9+$F$11*((EP375+EH375)/MAX(EP375+EH375+EQ375, 0.1)*$I$9+EQ375/MAX(EP375+EH375+EQ375, 0.1)*$J$9))/($B$11+$C$11+$F$11)</f>
        <v>0</v>
      </c>
      <c r="CU375">
        <f>($B$11*$K$9+$C$11*$K$9+$F$11*((EP375+EH375)/MAX(EP375+EH375+EQ375, 0.1)*$P$9+EQ375/MAX(EP375+EH375+EQ375, 0.1)*$Q$9))/($B$11+$C$11+$F$11)</f>
        <v>0</v>
      </c>
      <c r="CV375">
        <v>6</v>
      </c>
      <c r="CW375">
        <v>0.5</v>
      </c>
      <c r="CX375" t="s">
        <v>418</v>
      </c>
      <c r="CY375">
        <v>2</v>
      </c>
      <c r="CZ375" t="b">
        <v>1</v>
      </c>
      <c r="DA375">
        <v>1651866480.5</v>
      </c>
      <c r="DB375">
        <v>689.5340000000001</v>
      </c>
      <c r="DC375">
        <v>753.5433333333334</v>
      </c>
      <c r="DD375">
        <v>18.74056666666667</v>
      </c>
      <c r="DE375">
        <v>9.127573333333334</v>
      </c>
      <c r="DF375">
        <v>690.968</v>
      </c>
      <c r="DG375">
        <v>18.7144</v>
      </c>
      <c r="DH375">
        <v>500.0316666666667</v>
      </c>
      <c r="DI375">
        <v>89.9144</v>
      </c>
      <c r="DJ375">
        <v>0.0999927</v>
      </c>
      <c r="DK375">
        <v>25.9505</v>
      </c>
      <c r="DL375">
        <v>25.01</v>
      </c>
      <c r="DM375">
        <v>999.9</v>
      </c>
      <c r="DN375">
        <v>0</v>
      </c>
      <c r="DO375">
        <v>0</v>
      </c>
      <c r="DP375">
        <v>10011.26666666667</v>
      </c>
      <c r="DQ375">
        <v>0</v>
      </c>
      <c r="DR375">
        <v>3.20383</v>
      </c>
      <c r="DS375">
        <v>-64.00916666666667</v>
      </c>
      <c r="DT375">
        <v>702.7033333333334</v>
      </c>
      <c r="DU375">
        <v>760.485</v>
      </c>
      <c r="DV375">
        <v>9.612983333333334</v>
      </c>
      <c r="DW375">
        <v>753.5433333333334</v>
      </c>
      <c r="DX375">
        <v>9.127573333333334</v>
      </c>
      <c r="DY375">
        <v>1.685046666666667</v>
      </c>
      <c r="DZ375">
        <v>0.8207</v>
      </c>
      <c r="EA375">
        <v>14.75936666666667</v>
      </c>
      <c r="EB375">
        <v>4.070466666666666</v>
      </c>
      <c r="EC375">
        <v>1499.98</v>
      </c>
      <c r="ED375">
        <v>0.973001</v>
      </c>
      <c r="EE375">
        <v>0.0269991</v>
      </c>
      <c r="EF375">
        <v>0</v>
      </c>
      <c r="EG375">
        <v>915.0516666666667</v>
      </c>
      <c r="EH375">
        <v>5.00097</v>
      </c>
      <c r="EI375">
        <v>13635.63333333333</v>
      </c>
      <c r="EJ375">
        <v>12491.43333333333</v>
      </c>
      <c r="EK375">
        <v>38.375</v>
      </c>
      <c r="EL375">
        <v>39.562</v>
      </c>
      <c r="EM375">
        <v>38.75</v>
      </c>
      <c r="EN375">
        <v>39.25</v>
      </c>
      <c r="EO375">
        <v>39.187</v>
      </c>
      <c r="EP375">
        <v>1454.62</v>
      </c>
      <c r="EQ375">
        <v>40.36</v>
      </c>
      <c r="ER375">
        <v>0</v>
      </c>
      <c r="ES375">
        <v>999.2000000476837</v>
      </c>
      <c r="ET375">
        <v>0</v>
      </c>
      <c r="EU375">
        <v>913.9994230769231</v>
      </c>
      <c r="EV375">
        <v>10.85015382190842</v>
      </c>
      <c r="EW375">
        <v>146.3658117002219</v>
      </c>
      <c r="EX375">
        <v>13621.14615384615</v>
      </c>
      <c r="EY375">
        <v>15</v>
      </c>
      <c r="EZ375">
        <v>1651865518.1</v>
      </c>
      <c r="FA375" t="s">
        <v>910</v>
      </c>
      <c r="FB375">
        <v>1651865507.1</v>
      </c>
      <c r="FC375">
        <v>1651865518.1</v>
      </c>
      <c r="FD375">
        <v>8</v>
      </c>
      <c r="FE375">
        <v>0.06</v>
      </c>
      <c r="FF375">
        <v>0</v>
      </c>
      <c r="FG375">
        <v>-0.927</v>
      </c>
      <c r="FH375">
        <v>-0.062</v>
      </c>
      <c r="FI375">
        <v>400</v>
      </c>
      <c r="FJ375">
        <v>11</v>
      </c>
      <c r="FK375">
        <v>0.11</v>
      </c>
      <c r="FL375">
        <v>0.01</v>
      </c>
      <c r="FM375">
        <v>-63.50162682926829</v>
      </c>
      <c r="FN375">
        <v>-3.941456445992952</v>
      </c>
      <c r="FO375">
        <v>0.402632970930338</v>
      </c>
      <c r="FP375">
        <v>-1</v>
      </c>
      <c r="FQ375">
        <v>9.600840487804877</v>
      </c>
      <c r="FR375">
        <v>0.07668648083623711</v>
      </c>
      <c r="FS375">
        <v>0.007769426934079337</v>
      </c>
      <c r="FT375">
        <v>-1</v>
      </c>
      <c r="FU375">
        <v>0</v>
      </c>
      <c r="FV375">
        <v>0</v>
      </c>
      <c r="FW375">
        <v>0</v>
      </c>
      <c r="FX375">
        <v>-1</v>
      </c>
      <c r="FY375">
        <v>0</v>
      </c>
      <c r="FZ375">
        <v>0</v>
      </c>
      <c r="GA375" t="s">
        <v>420</v>
      </c>
      <c r="GB375">
        <v>2.98152</v>
      </c>
      <c r="GC375">
        <v>2.70615</v>
      </c>
      <c r="GD375">
        <v>0.134329</v>
      </c>
      <c r="GE375">
        <v>0.140905</v>
      </c>
      <c r="GF375">
        <v>0.089125</v>
      </c>
      <c r="GG375">
        <v>0.0516845</v>
      </c>
      <c r="GH375">
        <v>27355.7</v>
      </c>
      <c r="GI375">
        <v>27206</v>
      </c>
      <c r="GJ375">
        <v>29378.1</v>
      </c>
      <c r="GK375">
        <v>29292.5</v>
      </c>
      <c r="GL375">
        <v>35431.5</v>
      </c>
      <c r="GM375">
        <v>37004.8</v>
      </c>
      <c r="GN375">
        <v>41350</v>
      </c>
      <c r="GO375">
        <v>41812.2</v>
      </c>
      <c r="GP375">
        <v>1.96723</v>
      </c>
      <c r="GQ375">
        <v>1.855</v>
      </c>
      <c r="GR375">
        <v>-0.00533089</v>
      </c>
      <c r="GS375">
        <v>0</v>
      </c>
      <c r="GT375">
        <v>25.0974</v>
      </c>
      <c r="GU375">
        <v>999.9</v>
      </c>
      <c r="GV375">
        <v>29.6</v>
      </c>
      <c r="GW375">
        <v>34.2</v>
      </c>
      <c r="GX375">
        <v>17.7863</v>
      </c>
      <c r="GY375">
        <v>62.6776</v>
      </c>
      <c r="GZ375">
        <v>35.2644</v>
      </c>
      <c r="HA375">
        <v>1</v>
      </c>
      <c r="HB375">
        <v>0.042815</v>
      </c>
      <c r="HC375">
        <v>1.49211</v>
      </c>
      <c r="HD375">
        <v>20.3279</v>
      </c>
      <c r="HE375">
        <v>5.21714</v>
      </c>
      <c r="HF375">
        <v>12.0099</v>
      </c>
      <c r="HG375">
        <v>4.9888</v>
      </c>
      <c r="HH375">
        <v>3.2885</v>
      </c>
      <c r="HI375">
        <v>1033.9</v>
      </c>
      <c r="HJ375">
        <v>9751.6</v>
      </c>
      <c r="HK375">
        <v>5139.4</v>
      </c>
      <c r="HL375">
        <v>25.4</v>
      </c>
      <c r="HM375">
        <v>1.86745</v>
      </c>
      <c r="HN375">
        <v>1.86646</v>
      </c>
      <c r="HO375">
        <v>1.86599</v>
      </c>
      <c r="HP375">
        <v>1.86584</v>
      </c>
      <c r="HQ375">
        <v>1.86768</v>
      </c>
      <c r="HR375">
        <v>1.87022</v>
      </c>
      <c r="HS375">
        <v>1.8689</v>
      </c>
      <c r="HT375">
        <v>1.87021</v>
      </c>
      <c r="HU375">
        <v>0</v>
      </c>
      <c r="HV375">
        <v>0</v>
      </c>
      <c r="HW375">
        <v>0</v>
      </c>
      <c r="HX375">
        <v>0</v>
      </c>
      <c r="HY375" t="s">
        <v>421</v>
      </c>
      <c r="HZ375" t="s">
        <v>422</v>
      </c>
      <c r="IA375" t="s">
        <v>423</v>
      </c>
      <c r="IB375" t="s">
        <v>423</v>
      </c>
      <c r="IC375" t="s">
        <v>423</v>
      </c>
      <c r="ID375" t="s">
        <v>423</v>
      </c>
      <c r="IE375">
        <v>0</v>
      </c>
      <c r="IF375">
        <v>100</v>
      </c>
      <c r="IG375">
        <v>100</v>
      </c>
      <c r="IH375">
        <v>-1.439</v>
      </c>
      <c r="II375">
        <v>0.0262</v>
      </c>
      <c r="IJ375">
        <v>-0.1559367209035702</v>
      </c>
      <c r="IK375">
        <v>-0.002077099775823331</v>
      </c>
      <c r="IL375">
        <v>4.593143279902166E-07</v>
      </c>
      <c r="IM375">
        <v>-1.865383991892071E-10</v>
      </c>
      <c r="IN375">
        <v>-0.0607165066849496</v>
      </c>
      <c r="IO375">
        <v>-0.01129461987421345</v>
      </c>
      <c r="IP375">
        <v>0.00116580895745559</v>
      </c>
      <c r="IQ375">
        <v>-1.679085872906199E-05</v>
      </c>
      <c r="IR375">
        <v>2</v>
      </c>
      <c r="IS375">
        <v>2290</v>
      </c>
      <c r="IT375">
        <v>0</v>
      </c>
      <c r="IU375">
        <v>32</v>
      </c>
      <c r="IV375">
        <v>16.2</v>
      </c>
      <c r="IW375">
        <v>16.1</v>
      </c>
      <c r="IX375">
        <v>1.68701</v>
      </c>
      <c r="IY375">
        <v>2.19482</v>
      </c>
      <c r="IZ375">
        <v>1.39648</v>
      </c>
      <c r="JA375">
        <v>2.35474</v>
      </c>
      <c r="JB375">
        <v>1.49536</v>
      </c>
      <c r="JC375">
        <v>2.33521</v>
      </c>
      <c r="JD375">
        <v>38.0134</v>
      </c>
      <c r="JE375">
        <v>24.0437</v>
      </c>
      <c r="JF375">
        <v>18</v>
      </c>
      <c r="JG375">
        <v>512.375</v>
      </c>
      <c r="JH375">
        <v>426.396</v>
      </c>
      <c r="JI375">
        <v>23.1497</v>
      </c>
      <c r="JJ375">
        <v>27.8732</v>
      </c>
      <c r="JK375">
        <v>30</v>
      </c>
      <c r="JL375">
        <v>27.8888</v>
      </c>
      <c r="JM375">
        <v>27.8322</v>
      </c>
      <c r="JN375">
        <v>33.8828</v>
      </c>
      <c r="JO375">
        <v>46.3514</v>
      </c>
      <c r="JP375">
        <v>0</v>
      </c>
      <c r="JQ375">
        <v>23.1487</v>
      </c>
      <c r="JR375">
        <v>780.109</v>
      </c>
      <c r="JS375">
        <v>9.035130000000001</v>
      </c>
      <c r="JT375">
        <v>100.419</v>
      </c>
      <c r="JU375">
        <v>100.35</v>
      </c>
    </row>
    <row r="376" spans="1:281">
      <c r="A376">
        <v>360</v>
      </c>
      <c r="B376">
        <v>1651866483.5</v>
      </c>
      <c r="C376">
        <v>2262.900000095367</v>
      </c>
      <c r="D376" t="s">
        <v>1143</v>
      </c>
      <c r="E376" t="s">
        <v>1144</v>
      </c>
      <c r="F376">
        <v>2</v>
      </c>
      <c r="G376" t="s">
        <v>908</v>
      </c>
      <c r="H376" t="s">
        <v>414</v>
      </c>
      <c r="I376">
        <v>1651866482.125</v>
      </c>
      <c r="J376">
        <f>(K376)/1000</f>
        <v>0</v>
      </c>
      <c r="K376">
        <f>IF(CZ376, AN376, AH376)</f>
        <v>0</v>
      </c>
      <c r="L376">
        <f>IF(CZ376, AI376, AG376)</f>
        <v>0</v>
      </c>
      <c r="M376">
        <f>DB376 - IF(AU376&gt;1, L376*CV376*100.0/(AW376*DP376), 0)</f>
        <v>0</v>
      </c>
      <c r="N376">
        <f>((T376-J376/2)*M376-L376)/(T376+J376/2)</f>
        <v>0</v>
      </c>
      <c r="O376">
        <f>N376*(DI376+DJ376)/1000.0</f>
        <v>0</v>
      </c>
      <c r="P376">
        <f>(DB376 - IF(AU376&gt;1, L376*CV376*100.0/(AW376*DP376), 0))*(DI376+DJ376)/1000.0</f>
        <v>0</v>
      </c>
      <c r="Q376">
        <f>2.0/((1/S376-1/R376)+SIGN(S376)*SQRT((1/S376-1/R376)*(1/S376-1/R376) + 4*CW376/((CW376+1)*(CW376+1))*(2*1/S376*1/R376-1/R376*1/R376)))</f>
        <v>0</v>
      </c>
      <c r="R376">
        <f>IF(LEFT(CX376,1)&lt;&gt;"0",IF(LEFT(CX376,1)="1",3.0,CY376),$D$5+$E$5*(DP376*DI376/($K$5*1000))+$F$5*(DP376*DI376/($K$5*1000))*MAX(MIN(CV376,$J$5),$I$5)*MAX(MIN(CV376,$J$5),$I$5)+$G$5*MAX(MIN(CV376,$J$5),$I$5)*(DP376*DI376/($K$5*1000))+$H$5*(DP376*DI376/($K$5*1000))*(DP376*DI376/($K$5*1000)))</f>
        <v>0</v>
      </c>
      <c r="S376">
        <f>J376*(1000-(1000*0.61365*exp(17.502*W376/(240.97+W376))/(DI376+DJ376)+DD376)/2)/(1000*0.61365*exp(17.502*W376/(240.97+W376))/(DI376+DJ376)-DD376)</f>
        <v>0</v>
      </c>
      <c r="T376">
        <f>1/((CW376+1)/(Q376/1.6)+1/(R376/1.37)) + CW376/((CW376+1)/(Q376/1.6) + CW376/(R376/1.37))</f>
        <v>0</v>
      </c>
      <c r="U376">
        <f>(CR376*CU376)</f>
        <v>0</v>
      </c>
      <c r="V376">
        <f>(DK376+(U376+2*0.95*5.67E-8*(((DK376+$B$7)+273)^4-(DK376+273)^4)-44100*J376)/(1.84*29.3*R376+8*0.95*5.67E-8*(DK376+273)^3))</f>
        <v>0</v>
      </c>
      <c r="W376">
        <f>($C$7*DL376+$D$7*DM376+$E$7*V376)</f>
        <v>0</v>
      </c>
      <c r="X376">
        <f>0.61365*exp(17.502*W376/(240.97+W376))</f>
        <v>0</v>
      </c>
      <c r="Y376">
        <f>(Z376/AA376*100)</f>
        <v>0</v>
      </c>
      <c r="Z376">
        <f>DD376*(DI376+DJ376)/1000</f>
        <v>0</v>
      </c>
      <c r="AA376">
        <f>0.61365*exp(17.502*DK376/(240.97+DK376))</f>
        <v>0</v>
      </c>
      <c r="AB376">
        <f>(X376-DD376*(DI376+DJ376)/1000)</f>
        <v>0</v>
      </c>
      <c r="AC376">
        <f>(-J376*44100)</f>
        <v>0</v>
      </c>
      <c r="AD376">
        <f>2*29.3*R376*0.92*(DK376-W376)</f>
        <v>0</v>
      </c>
      <c r="AE376">
        <f>2*0.95*5.67E-8*(((DK376+$B$7)+273)^4-(W376+273)^4)</f>
        <v>0</v>
      </c>
      <c r="AF376">
        <f>U376+AE376+AC376+AD376</f>
        <v>0</v>
      </c>
      <c r="AG376">
        <f>DH376*AU376*(DC376-DB376*(1000-AU376*DE376)/(1000-AU376*DD376))/(100*CV376)</f>
        <v>0</v>
      </c>
      <c r="AH376">
        <f>1000*DH376*AU376*(DD376-DE376)/(100*CV376*(1000-AU376*DD376))</f>
        <v>0</v>
      </c>
      <c r="AI376">
        <f>(AJ376 - AK376 - DI376*1E3/(8.314*(DK376+273.15)) * AM376/DH376 * AL376) * DH376/(100*CV376) * (1000 - DE376)/1000</f>
        <v>0</v>
      </c>
      <c r="AJ376">
        <v>761.2743596532141</v>
      </c>
      <c r="AK376">
        <v>711.3527151515153</v>
      </c>
      <c r="AL376">
        <v>3.458454842352296</v>
      </c>
      <c r="AM376">
        <v>66.38195617057868</v>
      </c>
      <c r="AN376">
        <f>(AP376 - AO376 + DI376*1E3/(8.314*(DK376+273.15)) * AR376/DH376 * AQ376) * DH376/(100*CV376) * 1000/(1000 - AP376)</f>
        <v>0</v>
      </c>
      <c r="AO376">
        <v>9.128805913358734</v>
      </c>
      <c r="AP376">
        <v>18.74541852941175</v>
      </c>
      <c r="AQ376">
        <v>7.441844618413285E-06</v>
      </c>
      <c r="AR376">
        <v>80.47178418790507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MAX(0,($B$13+$C$13*DP376)/(1+$D$13*DP376)*DI376/(DK376+273)*$E$13)</f>
        <v>0</v>
      </c>
      <c r="AX376" t="s">
        <v>417</v>
      </c>
      <c r="AY376" t="s">
        <v>417</v>
      </c>
      <c r="AZ376">
        <v>0</v>
      </c>
      <c r="BA376">
        <v>0</v>
      </c>
      <c r="BB376">
        <f>1-AZ376/BA376</f>
        <v>0</v>
      </c>
      <c r="BC376">
        <v>0</v>
      </c>
      <c r="BD376" t="s">
        <v>417</v>
      </c>
      <c r="BE376" t="s">
        <v>417</v>
      </c>
      <c r="BF376">
        <v>0</v>
      </c>
      <c r="BG376">
        <v>0</v>
      </c>
      <c r="BH376">
        <f>1-BF376/BG376</f>
        <v>0</v>
      </c>
      <c r="BI376">
        <v>0.5</v>
      </c>
      <c r="BJ376">
        <f>CS376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417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BZ376">
        <v>1249</v>
      </c>
      <c r="CA376">
        <v>300</v>
      </c>
      <c r="CB376">
        <v>300</v>
      </c>
      <c r="CC376">
        <v>300</v>
      </c>
      <c r="CD376">
        <v>10442.4</v>
      </c>
      <c r="CE376">
        <v>1239.69</v>
      </c>
      <c r="CF376">
        <v>-0.00735276</v>
      </c>
      <c r="CG376">
        <v>0.07000000000000001</v>
      </c>
      <c r="CH376" t="s">
        <v>417</v>
      </c>
      <c r="CI376" t="s">
        <v>417</v>
      </c>
      <c r="CJ376" t="s">
        <v>417</v>
      </c>
      <c r="CK376" t="s">
        <v>417</v>
      </c>
      <c r="CL376" t="s">
        <v>417</v>
      </c>
      <c r="CM376" t="s">
        <v>417</v>
      </c>
      <c r="CN376" t="s">
        <v>417</v>
      </c>
      <c r="CO376" t="s">
        <v>417</v>
      </c>
      <c r="CP376" t="s">
        <v>417</v>
      </c>
      <c r="CQ376" t="s">
        <v>417</v>
      </c>
      <c r="CR376">
        <f>$B$11*DQ376+$C$11*DR376+$F$11*EC376*(1-EF376)</f>
        <v>0</v>
      </c>
      <c r="CS376">
        <f>CR376*CT376</f>
        <v>0</v>
      </c>
      <c r="CT376">
        <f>($B$11*$D$9+$C$11*$D$9+$F$11*((EP376+EH376)/MAX(EP376+EH376+EQ376, 0.1)*$I$9+EQ376/MAX(EP376+EH376+EQ376, 0.1)*$J$9))/($B$11+$C$11+$F$11)</f>
        <v>0</v>
      </c>
      <c r="CU376">
        <f>($B$11*$K$9+$C$11*$K$9+$F$11*((EP376+EH376)/MAX(EP376+EH376+EQ376, 0.1)*$P$9+EQ376/MAX(EP376+EH376+EQ376, 0.1)*$Q$9))/($B$11+$C$11+$F$11)</f>
        <v>0</v>
      </c>
      <c r="CV376">
        <v>6</v>
      </c>
      <c r="CW376">
        <v>0.5</v>
      </c>
      <c r="CX376" t="s">
        <v>418</v>
      </c>
      <c r="CY376">
        <v>2</v>
      </c>
      <c r="CZ376" t="b">
        <v>1</v>
      </c>
      <c r="DA376">
        <v>1651866482.125</v>
      </c>
      <c r="DB376">
        <v>695.0474999999999</v>
      </c>
      <c r="DC376">
        <v>759.029</v>
      </c>
      <c r="DD376">
        <v>18.743425</v>
      </c>
      <c r="DE376">
        <v>9.12514</v>
      </c>
      <c r="DF376">
        <v>696.49075</v>
      </c>
      <c r="DG376">
        <v>18.717225</v>
      </c>
      <c r="DH376">
        <v>500.00725</v>
      </c>
      <c r="DI376">
        <v>89.91477500000001</v>
      </c>
      <c r="DJ376">
        <v>0.1000463</v>
      </c>
      <c r="DK376">
        <v>25.952875</v>
      </c>
      <c r="DL376">
        <v>25.0103</v>
      </c>
      <c r="DM376">
        <v>999.9</v>
      </c>
      <c r="DN376">
        <v>0</v>
      </c>
      <c r="DO376">
        <v>0</v>
      </c>
      <c r="DP376">
        <v>10004.075</v>
      </c>
      <c r="DQ376">
        <v>0</v>
      </c>
      <c r="DR376">
        <v>3.207695</v>
      </c>
      <c r="DS376">
        <v>-63.98105</v>
      </c>
      <c r="DT376">
        <v>708.324</v>
      </c>
      <c r="DU376">
        <v>766.0187500000001</v>
      </c>
      <c r="DV376">
        <v>9.618275000000001</v>
      </c>
      <c r="DW376">
        <v>759.029</v>
      </c>
      <c r="DX376">
        <v>9.12514</v>
      </c>
      <c r="DY376">
        <v>1.68531</v>
      </c>
      <c r="DZ376">
        <v>0.820485</v>
      </c>
      <c r="EA376">
        <v>14.7618</v>
      </c>
      <c r="EB376">
        <v>4.06673</v>
      </c>
      <c r="EC376">
        <v>1500.0125</v>
      </c>
      <c r="ED376">
        <v>0.973</v>
      </c>
      <c r="EE376">
        <v>0.027</v>
      </c>
      <c r="EF376">
        <v>0</v>
      </c>
      <c r="EG376">
        <v>915.54275</v>
      </c>
      <c r="EH376">
        <v>5.00097</v>
      </c>
      <c r="EI376">
        <v>13639.025</v>
      </c>
      <c r="EJ376">
        <v>12491.675</v>
      </c>
      <c r="EK376">
        <v>38.3435</v>
      </c>
      <c r="EL376">
        <v>39.531</v>
      </c>
      <c r="EM376">
        <v>38.75</v>
      </c>
      <c r="EN376">
        <v>39.2185</v>
      </c>
      <c r="EO376">
        <v>39.156</v>
      </c>
      <c r="EP376">
        <v>1454.65</v>
      </c>
      <c r="EQ376">
        <v>40.3625</v>
      </c>
      <c r="ER376">
        <v>0</v>
      </c>
      <c r="ES376">
        <v>1001</v>
      </c>
      <c r="ET376">
        <v>0</v>
      </c>
      <c r="EU376">
        <v>914.39216</v>
      </c>
      <c r="EV376">
        <v>10.63561539426773</v>
      </c>
      <c r="EW376">
        <v>138.0538462896986</v>
      </c>
      <c r="EX376">
        <v>13626.188</v>
      </c>
      <c r="EY376">
        <v>15</v>
      </c>
      <c r="EZ376">
        <v>1651865518.1</v>
      </c>
      <c r="FA376" t="s">
        <v>910</v>
      </c>
      <c r="FB376">
        <v>1651865507.1</v>
      </c>
      <c r="FC376">
        <v>1651865518.1</v>
      </c>
      <c r="FD376">
        <v>8</v>
      </c>
      <c r="FE376">
        <v>0.06</v>
      </c>
      <c r="FF376">
        <v>0</v>
      </c>
      <c r="FG376">
        <v>-0.927</v>
      </c>
      <c r="FH376">
        <v>-0.062</v>
      </c>
      <c r="FI376">
        <v>400</v>
      </c>
      <c r="FJ376">
        <v>11</v>
      </c>
      <c r="FK376">
        <v>0.11</v>
      </c>
      <c r="FL376">
        <v>0.01</v>
      </c>
      <c r="FM376">
        <v>-63.66041250000001</v>
      </c>
      <c r="FN376">
        <v>-3.151881050656522</v>
      </c>
      <c r="FO376">
        <v>0.3248868104336491</v>
      </c>
      <c r="FP376">
        <v>-1</v>
      </c>
      <c r="FQ376">
        <v>9.604767749999999</v>
      </c>
      <c r="FR376">
        <v>0.07776934333955432</v>
      </c>
      <c r="FS376">
        <v>0.007762659495140732</v>
      </c>
      <c r="FT376">
        <v>-1</v>
      </c>
      <c r="FU376">
        <v>0</v>
      </c>
      <c r="FV376">
        <v>0</v>
      </c>
      <c r="FW376">
        <v>0</v>
      </c>
      <c r="FX376">
        <v>-1</v>
      </c>
      <c r="FY376">
        <v>0</v>
      </c>
      <c r="FZ376">
        <v>0</v>
      </c>
      <c r="GA376" t="s">
        <v>420</v>
      </c>
      <c r="GB376">
        <v>2.9814</v>
      </c>
      <c r="GC376">
        <v>2.70618</v>
      </c>
      <c r="GD376">
        <v>0.135224</v>
      </c>
      <c r="GE376">
        <v>0.141744</v>
      </c>
      <c r="GF376">
        <v>0.0891353</v>
      </c>
      <c r="GG376">
        <v>0.0516409</v>
      </c>
      <c r="GH376">
        <v>27326.9</v>
      </c>
      <c r="GI376">
        <v>27179.7</v>
      </c>
      <c r="GJ376">
        <v>29377.7</v>
      </c>
      <c r="GK376">
        <v>29292.7</v>
      </c>
      <c r="GL376">
        <v>35430.6</v>
      </c>
      <c r="GM376">
        <v>37006.9</v>
      </c>
      <c r="GN376">
        <v>41349.4</v>
      </c>
      <c r="GO376">
        <v>41812.6</v>
      </c>
      <c r="GP376">
        <v>1.96738</v>
      </c>
      <c r="GQ376">
        <v>1.85515</v>
      </c>
      <c r="GR376">
        <v>-0.00532717</v>
      </c>
      <c r="GS376">
        <v>0</v>
      </c>
      <c r="GT376">
        <v>25.0974</v>
      </c>
      <c r="GU376">
        <v>999.9</v>
      </c>
      <c r="GV376">
        <v>29.6</v>
      </c>
      <c r="GW376">
        <v>34.2</v>
      </c>
      <c r="GX376">
        <v>17.7882</v>
      </c>
      <c r="GY376">
        <v>62.4776</v>
      </c>
      <c r="GZ376">
        <v>35.4968</v>
      </c>
      <c r="HA376">
        <v>1</v>
      </c>
      <c r="HB376">
        <v>0.0427693</v>
      </c>
      <c r="HC376">
        <v>1.49629</v>
      </c>
      <c r="HD376">
        <v>20.3277</v>
      </c>
      <c r="HE376">
        <v>5.21714</v>
      </c>
      <c r="HF376">
        <v>12.0099</v>
      </c>
      <c r="HG376">
        <v>4.98865</v>
      </c>
      <c r="HH376">
        <v>3.28848</v>
      </c>
      <c r="HI376">
        <v>1033.9</v>
      </c>
      <c r="HJ376">
        <v>9751.6</v>
      </c>
      <c r="HK376">
        <v>5139.4</v>
      </c>
      <c r="HL376">
        <v>25.4</v>
      </c>
      <c r="HM376">
        <v>1.86744</v>
      </c>
      <c r="HN376">
        <v>1.86646</v>
      </c>
      <c r="HO376">
        <v>1.866</v>
      </c>
      <c r="HP376">
        <v>1.86584</v>
      </c>
      <c r="HQ376">
        <v>1.86768</v>
      </c>
      <c r="HR376">
        <v>1.8702</v>
      </c>
      <c r="HS376">
        <v>1.8689</v>
      </c>
      <c r="HT376">
        <v>1.87022</v>
      </c>
      <c r="HU376">
        <v>0</v>
      </c>
      <c r="HV376">
        <v>0</v>
      </c>
      <c r="HW376">
        <v>0</v>
      </c>
      <c r="HX376">
        <v>0</v>
      </c>
      <c r="HY376" t="s">
        <v>421</v>
      </c>
      <c r="HZ376" t="s">
        <v>422</v>
      </c>
      <c r="IA376" t="s">
        <v>423</v>
      </c>
      <c r="IB376" t="s">
        <v>423</v>
      </c>
      <c r="IC376" t="s">
        <v>423</v>
      </c>
      <c r="ID376" t="s">
        <v>423</v>
      </c>
      <c r="IE376">
        <v>0</v>
      </c>
      <c r="IF376">
        <v>100</v>
      </c>
      <c r="IG376">
        <v>100</v>
      </c>
      <c r="IH376">
        <v>-1.451</v>
      </c>
      <c r="II376">
        <v>0.0262</v>
      </c>
      <c r="IJ376">
        <v>-0.1559367209035702</v>
      </c>
      <c r="IK376">
        <v>-0.002077099775823331</v>
      </c>
      <c r="IL376">
        <v>4.593143279902166E-07</v>
      </c>
      <c r="IM376">
        <v>-1.865383991892071E-10</v>
      </c>
      <c r="IN376">
        <v>-0.0607165066849496</v>
      </c>
      <c r="IO376">
        <v>-0.01129461987421345</v>
      </c>
      <c r="IP376">
        <v>0.00116580895745559</v>
      </c>
      <c r="IQ376">
        <v>-1.679085872906199E-05</v>
      </c>
      <c r="IR376">
        <v>2</v>
      </c>
      <c r="IS376">
        <v>2290</v>
      </c>
      <c r="IT376">
        <v>0</v>
      </c>
      <c r="IU376">
        <v>32</v>
      </c>
      <c r="IV376">
        <v>16.3</v>
      </c>
      <c r="IW376">
        <v>16.1</v>
      </c>
      <c r="IX376">
        <v>1.69922</v>
      </c>
      <c r="IY376">
        <v>2.19238</v>
      </c>
      <c r="IZ376">
        <v>1.39648</v>
      </c>
      <c r="JA376">
        <v>2.35474</v>
      </c>
      <c r="JB376">
        <v>1.49536</v>
      </c>
      <c r="JC376">
        <v>2.35962</v>
      </c>
      <c r="JD376">
        <v>38.0134</v>
      </c>
      <c r="JE376">
        <v>24.0437</v>
      </c>
      <c r="JF376">
        <v>18</v>
      </c>
      <c r="JG376">
        <v>512.463</v>
      </c>
      <c r="JH376">
        <v>426.477</v>
      </c>
      <c r="JI376">
        <v>23.1497</v>
      </c>
      <c r="JJ376">
        <v>27.8728</v>
      </c>
      <c r="JK376">
        <v>30</v>
      </c>
      <c r="JL376">
        <v>27.8876</v>
      </c>
      <c r="JM376">
        <v>27.831</v>
      </c>
      <c r="JN376">
        <v>34.1207</v>
      </c>
      <c r="JO376">
        <v>46.3514</v>
      </c>
      <c r="JP376">
        <v>0</v>
      </c>
      <c r="JQ376">
        <v>23.1487</v>
      </c>
      <c r="JR376">
        <v>786.804</v>
      </c>
      <c r="JS376">
        <v>9.02774</v>
      </c>
      <c r="JT376">
        <v>100.418</v>
      </c>
      <c r="JU376">
        <v>100.351</v>
      </c>
    </row>
    <row r="377" spans="1:281">
      <c r="A377">
        <v>361</v>
      </c>
      <c r="B377">
        <v>1651866485.5</v>
      </c>
      <c r="C377">
        <v>2264.900000095367</v>
      </c>
      <c r="D377" t="s">
        <v>1145</v>
      </c>
      <c r="E377" t="s">
        <v>1146</v>
      </c>
      <c r="F377">
        <v>2</v>
      </c>
      <c r="G377" t="s">
        <v>908</v>
      </c>
      <c r="H377" t="s">
        <v>414</v>
      </c>
      <c r="I377">
        <v>1651866484.5</v>
      </c>
      <c r="J377">
        <f>(K377)/1000</f>
        <v>0</v>
      </c>
      <c r="K377">
        <f>IF(CZ377, AN377, AH377)</f>
        <v>0</v>
      </c>
      <c r="L377">
        <f>IF(CZ377, AI377, AG377)</f>
        <v>0</v>
      </c>
      <c r="M377">
        <f>DB377 - IF(AU377&gt;1, L377*CV377*100.0/(AW377*DP377), 0)</f>
        <v>0</v>
      </c>
      <c r="N377">
        <f>((T377-J377/2)*M377-L377)/(T377+J377/2)</f>
        <v>0</v>
      </c>
      <c r="O377">
        <f>N377*(DI377+DJ377)/1000.0</f>
        <v>0</v>
      </c>
      <c r="P377">
        <f>(DB377 - IF(AU377&gt;1, L377*CV377*100.0/(AW377*DP377), 0))*(DI377+DJ377)/1000.0</f>
        <v>0</v>
      </c>
      <c r="Q377">
        <f>2.0/((1/S377-1/R377)+SIGN(S377)*SQRT((1/S377-1/R377)*(1/S377-1/R377) + 4*CW377/((CW377+1)*(CW377+1))*(2*1/S377*1/R377-1/R377*1/R377)))</f>
        <v>0</v>
      </c>
      <c r="R377">
        <f>IF(LEFT(CX377,1)&lt;&gt;"0",IF(LEFT(CX377,1)="1",3.0,CY377),$D$5+$E$5*(DP377*DI377/($K$5*1000))+$F$5*(DP377*DI377/($K$5*1000))*MAX(MIN(CV377,$J$5),$I$5)*MAX(MIN(CV377,$J$5),$I$5)+$G$5*MAX(MIN(CV377,$J$5),$I$5)*(DP377*DI377/($K$5*1000))+$H$5*(DP377*DI377/($K$5*1000))*(DP377*DI377/($K$5*1000)))</f>
        <v>0</v>
      </c>
      <c r="S377">
        <f>J377*(1000-(1000*0.61365*exp(17.502*W377/(240.97+W377))/(DI377+DJ377)+DD377)/2)/(1000*0.61365*exp(17.502*W377/(240.97+W377))/(DI377+DJ377)-DD377)</f>
        <v>0</v>
      </c>
      <c r="T377">
        <f>1/((CW377+1)/(Q377/1.6)+1/(R377/1.37)) + CW377/((CW377+1)/(Q377/1.6) + CW377/(R377/1.37))</f>
        <v>0</v>
      </c>
      <c r="U377">
        <f>(CR377*CU377)</f>
        <v>0</v>
      </c>
      <c r="V377">
        <f>(DK377+(U377+2*0.95*5.67E-8*(((DK377+$B$7)+273)^4-(DK377+273)^4)-44100*J377)/(1.84*29.3*R377+8*0.95*5.67E-8*(DK377+273)^3))</f>
        <v>0</v>
      </c>
      <c r="W377">
        <f>($C$7*DL377+$D$7*DM377+$E$7*V377)</f>
        <v>0</v>
      </c>
      <c r="X377">
        <f>0.61365*exp(17.502*W377/(240.97+W377))</f>
        <v>0</v>
      </c>
      <c r="Y377">
        <f>(Z377/AA377*100)</f>
        <v>0</v>
      </c>
      <c r="Z377">
        <f>DD377*(DI377+DJ377)/1000</f>
        <v>0</v>
      </c>
      <c r="AA377">
        <f>0.61365*exp(17.502*DK377/(240.97+DK377))</f>
        <v>0</v>
      </c>
      <c r="AB377">
        <f>(X377-DD377*(DI377+DJ377)/1000)</f>
        <v>0</v>
      </c>
      <c r="AC377">
        <f>(-J377*44100)</f>
        <v>0</v>
      </c>
      <c r="AD377">
        <f>2*29.3*R377*0.92*(DK377-W377)</f>
        <v>0</v>
      </c>
      <c r="AE377">
        <f>2*0.95*5.67E-8*(((DK377+$B$7)+273)^4-(W377+273)^4)</f>
        <v>0</v>
      </c>
      <c r="AF377">
        <f>U377+AE377+AC377+AD377</f>
        <v>0</v>
      </c>
      <c r="AG377">
        <f>DH377*AU377*(DC377-DB377*(1000-AU377*DE377)/(1000-AU377*DD377))/(100*CV377)</f>
        <v>0</v>
      </c>
      <c r="AH377">
        <f>1000*DH377*AU377*(DD377-DE377)/(100*CV377*(1000-AU377*DD377))</f>
        <v>0</v>
      </c>
      <c r="AI377">
        <f>(AJ377 - AK377 - DI377*1E3/(8.314*(DK377+273.15)) * AM377/DH377 * AL377) * DH377/(100*CV377) * (1000 - DE377)/1000</f>
        <v>0</v>
      </c>
      <c r="AJ377">
        <v>768.0770613245197</v>
      </c>
      <c r="AK377">
        <v>718.2212666666665</v>
      </c>
      <c r="AL377">
        <v>3.442795254710122</v>
      </c>
      <c r="AM377">
        <v>66.38195617057868</v>
      </c>
      <c r="AN377">
        <f>(AP377 - AO377 + DI377*1E3/(8.314*(DK377+273.15)) * AR377/DH377 * AQ377) * DH377/(100*CV377) * 1000/(1000 - AP377)</f>
        <v>0</v>
      </c>
      <c r="AO377">
        <v>9.128138959859546</v>
      </c>
      <c r="AP377">
        <v>18.74868117647058</v>
      </c>
      <c r="AQ377">
        <v>7.490218821467344E-05</v>
      </c>
      <c r="AR377">
        <v>80.47178418790507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MAX(0,($B$13+$C$13*DP377)/(1+$D$13*DP377)*DI377/(DK377+273)*$E$13)</f>
        <v>0</v>
      </c>
      <c r="AX377" t="s">
        <v>417</v>
      </c>
      <c r="AY377" t="s">
        <v>417</v>
      </c>
      <c r="AZ377">
        <v>0</v>
      </c>
      <c r="BA377">
        <v>0</v>
      </c>
      <c r="BB377">
        <f>1-AZ377/BA377</f>
        <v>0</v>
      </c>
      <c r="BC377">
        <v>0</v>
      </c>
      <c r="BD377" t="s">
        <v>417</v>
      </c>
      <c r="BE377" t="s">
        <v>417</v>
      </c>
      <c r="BF377">
        <v>0</v>
      </c>
      <c r="BG377">
        <v>0</v>
      </c>
      <c r="BH377">
        <f>1-BF377/BG377</f>
        <v>0</v>
      </c>
      <c r="BI377">
        <v>0.5</v>
      </c>
      <c r="BJ377">
        <f>CS377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417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BZ377">
        <v>1249</v>
      </c>
      <c r="CA377">
        <v>300</v>
      </c>
      <c r="CB377">
        <v>300</v>
      </c>
      <c r="CC377">
        <v>300</v>
      </c>
      <c r="CD377">
        <v>10442.4</v>
      </c>
      <c r="CE377">
        <v>1239.69</v>
      </c>
      <c r="CF377">
        <v>-0.00735276</v>
      </c>
      <c r="CG377">
        <v>0.07000000000000001</v>
      </c>
      <c r="CH377" t="s">
        <v>417</v>
      </c>
      <c r="CI377" t="s">
        <v>417</v>
      </c>
      <c r="CJ377" t="s">
        <v>417</v>
      </c>
      <c r="CK377" t="s">
        <v>417</v>
      </c>
      <c r="CL377" t="s">
        <v>417</v>
      </c>
      <c r="CM377" t="s">
        <v>417</v>
      </c>
      <c r="CN377" t="s">
        <v>417</v>
      </c>
      <c r="CO377" t="s">
        <v>417</v>
      </c>
      <c r="CP377" t="s">
        <v>417</v>
      </c>
      <c r="CQ377" t="s">
        <v>417</v>
      </c>
      <c r="CR377">
        <f>$B$11*DQ377+$C$11*DR377+$F$11*EC377*(1-EF377)</f>
        <v>0</v>
      </c>
      <c r="CS377">
        <f>CR377*CT377</f>
        <v>0</v>
      </c>
      <c r="CT377">
        <f>($B$11*$D$9+$C$11*$D$9+$F$11*((EP377+EH377)/MAX(EP377+EH377+EQ377, 0.1)*$I$9+EQ377/MAX(EP377+EH377+EQ377, 0.1)*$J$9))/($B$11+$C$11+$F$11)</f>
        <v>0</v>
      </c>
      <c r="CU377">
        <f>($B$11*$K$9+$C$11*$K$9+$F$11*((EP377+EH377)/MAX(EP377+EH377+EQ377, 0.1)*$P$9+EQ377/MAX(EP377+EH377+EQ377, 0.1)*$Q$9))/($B$11+$C$11+$F$11)</f>
        <v>0</v>
      </c>
      <c r="CV377">
        <v>6</v>
      </c>
      <c r="CW377">
        <v>0.5</v>
      </c>
      <c r="CX377" t="s">
        <v>418</v>
      </c>
      <c r="CY377">
        <v>2</v>
      </c>
      <c r="CZ377" t="b">
        <v>1</v>
      </c>
      <c r="DA377">
        <v>1651866484.5</v>
      </c>
      <c r="DB377">
        <v>703.076</v>
      </c>
      <c r="DC377">
        <v>766.965</v>
      </c>
      <c r="DD377">
        <v>18.7476</v>
      </c>
      <c r="DE377">
        <v>9.109016666666667</v>
      </c>
      <c r="DF377">
        <v>704.5323333333332</v>
      </c>
      <c r="DG377">
        <v>18.72133333333333</v>
      </c>
      <c r="DH377">
        <v>500.03</v>
      </c>
      <c r="DI377">
        <v>89.914</v>
      </c>
      <c r="DJ377">
        <v>0.0999337</v>
      </c>
      <c r="DK377">
        <v>25.95353333333334</v>
      </c>
      <c r="DL377">
        <v>25.0115</v>
      </c>
      <c r="DM377">
        <v>999.9</v>
      </c>
      <c r="DN377">
        <v>0</v>
      </c>
      <c r="DO377">
        <v>0</v>
      </c>
      <c r="DP377">
        <v>10003.73333333333</v>
      </c>
      <c r="DQ377">
        <v>0</v>
      </c>
      <c r="DR377">
        <v>3.223033333333333</v>
      </c>
      <c r="DS377">
        <v>-63.88953333333333</v>
      </c>
      <c r="DT377">
        <v>716.509</v>
      </c>
      <c r="DU377">
        <v>774.016</v>
      </c>
      <c r="DV377">
        <v>9.638589999999999</v>
      </c>
      <c r="DW377">
        <v>766.965</v>
      </c>
      <c r="DX377">
        <v>9.109016666666667</v>
      </c>
      <c r="DY377">
        <v>1.685673333333333</v>
      </c>
      <c r="DZ377">
        <v>0.819028</v>
      </c>
      <c r="EA377">
        <v>14.7651</v>
      </c>
      <c r="EB377">
        <v>4.041436666666667</v>
      </c>
      <c r="EC377">
        <v>1500.113333333333</v>
      </c>
      <c r="ED377">
        <v>0.973001</v>
      </c>
      <c r="EE377">
        <v>0.0269991</v>
      </c>
      <c r="EF377">
        <v>0</v>
      </c>
      <c r="EG377">
        <v>915.7363333333333</v>
      </c>
      <c r="EH377">
        <v>5.00097</v>
      </c>
      <c r="EI377">
        <v>13645.53333333333</v>
      </c>
      <c r="EJ377">
        <v>12492.56666666667</v>
      </c>
      <c r="EK377">
        <v>38.333</v>
      </c>
      <c r="EL377">
        <v>39.5</v>
      </c>
      <c r="EM377">
        <v>38.75</v>
      </c>
      <c r="EN377">
        <v>39.187</v>
      </c>
      <c r="EO377">
        <v>39.125</v>
      </c>
      <c r="EP377">
        <v>1454.75</v>
      </c>
      <c r="EQ377">
        <v>40.36333333333333</v>
      </c>
      <c r="ER377">
        <v>0</v>
      </c>
      <c r="ES377">
        <v>1002.799999952316</v>
      </c>
      <c r="ET377">
        <v>0</v>
      </c>
      <c r="EU377">
        <v>914.6498076923077</v>
      </c>
      <c r="EV377">
        <v>10.34211964997976</v>
      </c>
      <c r="EW377">
        <v>136.9128204613029</v>
      </c>
      <c r="EX377">
        <v>13629.76538461538</v>
      </c>
      <c r="EY377">
        <v>15</v>
      </c>
      <c r="EZ377">
        <v>1651865518.1</v>
      </c>
      <c r="FA377" t="s">
        <v>910</v>
      </c>
      <c r="FB377">
        <v>1651865507.1</v>
      </c>
      <c r="FC377">
        <v>1651865518.1</v>
      </c>
      <c r="FD377">
        <v>8</v>
      </c>
      <c r="FE377">
        <v>0.06</v>
      </c>
      <c r="FF377">
        <v>0</v>
      </c>
      <c r="FG377">
        <v>-0.927</v>
      </c>
      <c r="FH377">
        <v>-0.062</v>
      </c>
      <c r="FI377">
        <v>400</v>
      </c>
      <c r="FJ377">
        <v>11</v>
      </c>
      <c r="FK377">
        <v>0.11</v>
      </c>
      <c r="FL377">
        <v>0.01</v>
      </c>
      <c r="FM377">
        <v>-63.71509268292683</v>
      </c>
      <c r="FN377">
        <v>-2.550227874564512</v>
      </c>
      <c r="FO377">
        <v>0.2780131540932897</v>
      </c>
      <c r="FP377">
        <v>-1</v>
      </c>
      <c r="FQ377">
        <v>9.607475365853658</v>
      </c>
      <c r="FR377">
        <v>0.09499797909408191</v>
      </c>
      <c r="FS377">
        <v>0.01022242897429193</v>
      </c>
      <c r="FT377">
        <v>-1</v>
      </c>
      <c r="FU377">
        <v>0</v>
      </c>
      <c r="FV377">
        <v>0</v>
      </c>
      <c r="FW377">
        <v>0</v>
      </c>
      <c r="FX377">
        <v>-1</v>
      </c>
      <c r="FY377">
        <v>0</v>
      </c>
      <c r="FZ377">
        <v>0</v>
      </c>
      <c r="GA377" t="s">
        <v>420</v>
      </c>
      <c r="GB377">
        <v>2.98154</v>
      </c>
      <c r="GC377">
        <v>2.70621</v>
      </c>
      <c r="GD377">
        <v>0.13611</v>
      </c>
      <c r="GE377">
        <v>0.14257</v>
      </c>
      <c r="GF377">
        <v>0.08914370000000001</v>
      </c>
      <c r="GG377">
        <v>0.0515603</v>
      </c>
      <c r="GH377">
        <v>27299.1</v>
      </c>
      <c r="GI377">
        <v>27153.5</v>
      </c>
      <c r="GJ377">
        <v>29377.8</v>
      </c>
      <c r="GK377">
        <v>29292.8</v>
      </c>
      <c r="GL377">
        <v>35430.7</v>
      </c>
      <c r="GM377">
        <v>37010.1</v>
      </c>
      <c r="GN377">
        <v>41349.9</v>
      </c>
      <c r="GO377">
        <v>41812.6</v>
      </c>
      <c r="GP377">
        <v>1.96728</v>
      </c>
      <c r="GQ377">
        <v>1.85522</v>
      </c>
      <c r="GR377">
        <v>-0.00519678</v>
      </c>
      <c r="GS377">
        <v>0</v>
      </c>
      <c r="GT377">
        <v>25.0974</v>
      </c>
      <c r="GU377">
        <v>999.9</v>
      </c>
      <c r="GV377">
        <v>29.6</v>
      </c>
      <c r="GW377">
        <v>34.2</v>
      </c>
      <c r="GX377">
        <v>17.7854</v>
      </c>
      <c r="GY377">
        <v>62.5476</v>
      </c>
      <c r="GZ377">
        <v>35.1963</v>
      </c>
      <c r="HA377">
        <v>1</v>
      </c>
      <c r="HB377">
        <v>0.0427515</v>
      </c>
      <c r="HC377">
        <v>1.49961</v>
      </c>
      <c r="HD377">
        <v>20.3277</v>
      </c>
      <c r="HE377">
        <v>5.21744</v>
      </c>
      <c r="HF377">
        <v>12.0099</v>
      </c>
      <c r="HG377">
        <v>4.98875</v>
      </c>
      <c r="HH377">
        <v>3.28845</v>
      </c>
      <c r="HI377">
        <v>1034.1</v>
      </c>
      <c r="HJ377">
        <v>9753</v>
      </c>
      <c r="HK377">
        <v>5139.4</v>
      </c>
      <c r="HL377">
        <v>25.4</v>
      </c>
      <c r="HM377">
        <v>1.86743</v>
      </c>
      <c r="HN377">
        <v>1.86646</v>
      </c>
      <c r="HO377">
        <v>1.866</v>
      </c>
      <c r="HP377">
        <v>1.86584</v>
      </c>
      <c r="HQ377">
        <v>1.86768</v>
      </c>
      <c r="HR377">
        <v>1.87021</v>
      </c>
      <c r="HS377">
        <v>1.86889</v>
      </c>
      <c r="HT377">
        <v>1.87023</v>
      </c>
      <c r="HU377">
        <v>0</v>
      </c>
      <c r="HV377">
        <v>0</v>
      </c>
      <c r="HW377">
        <v>0</v>
      </c>
      <c r="HX377">
        <v>0</v>
      </c>
      <c r="HY377" t="s">
        <v>421</v>
      </c>
      <c r="HZ377" t="s">
        <v>422</v>
      </c>
      <c r="IA377" t="s">
        <v>423</v>
      </c>
      <c r="IB377" t="s">
        <v>423</v>
      </c>
      <c r="IC377" t="s">
        <v>423</v>
      </c>
      <c r="ID377" t="s">
        <v>423</v>
      </c>
      <c r="IE377">
        <v>0</v>
      </c>
      <c r="IF377">
        <v>100</v>
      </c>
      <c r="IG377">
        <v>100</v>
      </c>
      <c r="IH377">
        <v>-1.462</v>
      </c>
      <c r="II377">
        <v>0.0262</v>
      </c>
      <c r="IJ377">
        <v>-0.1559367209035702</v>
      </c>
      <c r="IK377">
        <v>-0.002077099775823331</v>
      </c>
      <c r="IL377">
        <v>4.593143279902166E-07</v>
      </c>
      <c r="IM377">
        <v>-1.865383991892071E-10</v>
      </c>
      <c r="IN377">
        <v>-0.0607165066849496</v>
      </c>
      <c r="IO377">
        <v>-0.01129461987421345</v>
      </c>
      <c r="IP377">
        <v>0.00116580895745559</v>
      </c>
      <c r="IQ377">
        <v>-1.679085872906199E-05</v>
      </c>
      <c r="IR377">
        <v>2</v>
      </c>
      <c r="IS377">
        <v>2290</v>
      </c>
      <c r="IT377">
        <v>0</v>
      </c>
      <c r="IU377">
        <v>32</v>
      </c>
      <c r="IV377">
        <v>16.3</v>
      </c>
      <c r="IW377">
        <v>16.1</v>
      </c>
      <c r="IX377">
        <v>1.71143</v>
      </c>
      <c r="IY377">
        <v>2.19849</v>
      </c>
      <c r="IZ377">
        <v>1.39648</v>
      </c>
      <c r="JA377">
        <v>2.35474</v>
      </c>
      <c r="JB377">
        <v>1.49536</v>
      </c>
      <c r="JC377">
        <v>2.33643</v>
      </c>
      <c r="JD377">
        <v>38.0134</v>
      </c>
      <c r="JE377">
        <v>24.035</v>
      </c>
      <c r="JF377">
        <v>18</v>
      </c>
      <c r="JG377">
        <v>512.389</v>
      </c>
      <c r="JH377">
        <v>426.513</v>
      </c>
      <c r="JI377">
        <v>23.1492</v>
      </c>
      <c r="JJ377">
        <v>27.8727</v>
      </c>
      <c r="JK377">
        <v>30</v>
      </c>
      <c r="JL377">
        <v>27.8866</v>
      </c>
      <c r="JM377">
        <v>27.8299</v>
      </c>
      <c r="JN377">
        <v>34.3587</v>
      </c>
      <c r="JO377">
        <v>46.3514</v>
      </c>
      <c r="JP377">
        <v>0</v>
      </c>
      <c r="JQ377">
        <v>23.1382</v>
      </c>
      <c r="JR377">
        <v>793.5</v>
      </c>
      <c r="JS377">
        <v>9.0228</v>
      </c>
      <c r="JT377">
        <v>100.418</v>
      </c>
      <c r="JU377">
        <v>100.351</v>
      </c>
    </row>
    <row r="378" spans="1:281">
      <c r="A378">
        <v>362</v>
      </c>
      <c r="B378">
        <v>1651866487.5</v>
      </c>
      <c r="C378">
        <v>2266.900000095367</v>
      </c>
      <c r="D378" t="s">
        <v>1147</v>
      </c>
      <c r="E378" t="s">
        <v>1148</v>
      </c>
      <c r="F378">
        <v>2</v>
      </c>
      <c r="G378" t="s">
        <v>908</v>
      </c>
      <c r="H378" t="s">
        <v>414</v>
      </c>
      <c r="I378">
        <v>1651866486.125</v>
      </c>
      <c r="J378">
        <f>(K378)/1000</f>
        <v>0</v>
      </c>
      <c r="K378">
        <f>IF(CZ378, AN378, AH378)</f>
        <v>0</v>
      </c>
      <c r="L378">
        <f>IF(CZ378, AI378, AG378)</f>
        <v>0</v>
      </c>
      <c r="M378">
        <f>DB378 - IF(AU378&gt;1, L378*CV378*100.0/(AW378*DP378), 0)</f>
        <v>0</v>
      </c>
      <c r="N378">
        <f>((T378-J378/2)*M378-L378)/(T378+J378/2)</f>
        <v>0</v>
      </c>
      <c r="O378">
        <f>N378*(DI378+DJ378)/1000.0</f>
        <v>0</v>
      </c>
      <c r="P378">
        <f>(DB378 - IF(AU378&gt;1, L378*CV378*100.0/(AW378*DP378), 0))*(DI378+DJ378)/1000.0</f>
        <v>0</v>
      </c>
      <c r="Q378">
        <f>2.0/((1/S378-1/R378)+SIGN(S378)*SQRT((1/S378-1/R378)*(1/S378-1/R378) + 4*CW378/((CW378+1)*(CW378+1))*(2*1/S378*1/R378-1/R378*1/R378)))</f>
        <v>0</v>
      </c>
      <c r="R378">
        <f>IF(LEFT(CX378,1)&lt;&gt;"0",IF(LEFT(CX378,1)="1",3.0,CY378),$D$5+$E$5*(DP378*DI378/($K$5*1000))+$F$5*(DP378*DI378/($K$5*1000))*MAX(MIN(CV378,$J$5),$I$5)*MAX(MIN(CV378,$J$5),$I$5)+$G$5*MAX(MIN(CV378,$J$5),$I$5)*(DP378*DI378/($K$5*1000))+$H$5*(DP378*DI378/($K$5*1000))*(DP378*DI378/($K$5*1000)))</f>
        <v>0</v>
      </c>
      <c r="S378">
        <f>J378*(1000-(1000*0.61365*exp(17.502*W378/(240.97+W378))/(DI378+DJ378)+DD378)/2)/(1000*0.61365*exp(17.502*W378/(240.97+W378))/(DI378+DJ378)-DD378)</f>
        <v>0</v>
      </c>
      <c r="T378">
        <f>1/((CW378+1)/(Q378/1.6)+1/(R378/1.37)) + CW378/((CW378+1)/(Q378/1.6) + CW378/(R378/1.37))</f>
        <v>0</v>
      </c>
      <c r="U378">
        <f>(CR378*CU378)</f>
        <v>0</v>
      </c>
      <c r="V378">
        <f>(DK378+(U378+2*0.95*5.67E-8*(((DK378+$B$7)+273)^4-(DK378+273)^4)-44100*J378)/(1.84*29.3*R378+8*0.95*5.67E-8*(DK378+273)^3))</f>
        <v>0</v>
      </c>
      <c r="W378">
        <f>($C$7*DL378+$D$7*DM378+$E$7*V378)</f>
        <v>0</v>
      </c>
      <c r="X378">
        <f>0.61365*exp(17.502*W378/(240.97+W378))</f>
        <v>0</v>
      </c>
      <c r="Y378">
        <f>(Z378/AA378*100)</f>
        <v>0</v>
      </c>
      <c r="Z378">
        <f>DD378*(DI378+DJ378)/1000</f>
        <v>0</v>
      </c>
      <c r="AA378">
        <f>0.61365*exp(17.502*DK378/(240.97+DK378))</f>
        <v>0</v>
      </c>
      <c r="AB378">
        <f>(X378-DD378*(DI378+DJ378)/1000)</f>
        <v>0</v>
      </c>
      <c r="AC378">
        <f>(-J378*44100)</f>
        <v>0</v>
      </c>
      <c r="AD378">
        <f>2*29.3*R378*0.92*(DK378-W378)</f>
        <v>0</v>
      </c>
      <c r="AE378">
        <f>2*0.95*5.67E-8*(((DK378+$B$7)+273)^4-(W378+273)^4)</f>
        <v>0</v>
      </c>
      <c r="AF378">
        <f>U378+AE378+AC378+AD378</f>
        <v>0</v>
      </c>
      <c r="AG378">
        <f>DH378*AU378*(DC378-DB378*(1000-AU378*DE378)/(1000-AU378*DD378))/(100*CV378)</f>
        <v>0</v>
      </c>
      <c r="AH378">
        <f>1000*DH378*AU378*(DD378-DE378)/(100*CV378*(1000-AU378*DD378))</f>
        <v>0</v>
      </c>
      <c r="AI378">
        <f>(AJ378 - AK378 - DI378*1E3/(8.314*(DK378+273.15)) * AM378/DH378 * AL378) * DH378/(100*CV378) * (1000 - DE378)/1000</f>
        <v>0</v>
      </c>
      <c r="AJ378">
        <v>774.7792599579087</v>
      </c>
      <c r="AK378">
        <v>725.0886545454542</v>
      </c>
      <c r="AL378">
        <v>3.431102614138418</v>
      </c>
      <c r="AM378">
        <v>66.38195617057868</v>
      </c>
      <c r="AN378">
        <f>(AP378 - AO378 + DI378*1E3/(8.314*(DK378+273.15)) * AR378/DH378 * AQ378) * DH378/(100*CV378) * 1000/(1000 - AP378)</f>
        <v>0</v>
      </c>
      <c r="AO378">
        <v>9.120699884711339</v>
      </c>
      <c r="AP378">
        <v>18.74879588235293</v>
      </c>
      <c r="AQ378">
        <v>0.0001230028884834958</v>
      </c>
      <c r="AR378">
        <v>80.47178418790507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MAX(0,($B$13+$C$13*DP378)/(1+$D$13*DP378)*DI378/(DK378+273)*$E$13)</f>
        <v>0</v>
      </c>
      <c r="AX378" t="s">
        <v>417</v>
      </c>
      <c r="AY378" t="s">
        <v>417</v>
      </c>
      <c r="AZ378">
        <v>0</v>
      </c>
      <c r="BA378">
        <v>0</v>
      </c>
      <c r="BB378">
        <f>1-AZ378/BA378</f>
        <v>0</v>
      </c>
      <c r="BC378">
        <v>0</v>
      </c>
      <c r="BD378" t="s">
        <v>417</v>
      </c>
      <c r="BE378" t="s">
        <v>417</v>
      </c>
      <c r="BF378">
        <v>0</v>
      </c>
      <c r="BG378">
        <v>0</v>
      </c>
      <c r="BH378">
        <f>1-BF378/BG378</f>
        <v>0</v>
      </c>
      <c r="BI378">
        <v>0.5</v>
      </c>
      <c r="BJ378">
        <f>CS378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417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BZ378">
        <v>1249</v>
      </c>
      <c r="CA378">
        <v>300</v>
      </c>
      <c r="CB378">
        <v>300</v>
      </c>
      <c r="CC378">
        <v>300</v>
      </c>
      <c r="CD378">
        <v>10442.4</v>
      </c>
      <c r="CE378">
        <v>1239.69</v>
      </c>
      <c r="CF378">
        <v>-0.00735276</v>
      </c>
      <c r="CG378">
        <v>0.07000000000000001</v>
      </c>
      <c r="CH378" t="s">
        <v>417</v>
      </c>
      <c r="CI378" t="s">
        <v>417</v>
      </c>
      <c r="CJ378" t="s">
        <v>417</v>
      </c>
      <c r="CK378" t="s">
        <v>417</v>
      </c>
      <c r="CL378" t="s">
        <v>417</v>
      </c>
      <c r="CM378" t="s">
        <v>417</v>
      </c>
      <c r="CN378" t="s">
        <v>417</v>
      </c>
      <c r="CO378" t="s">
        <v>417</v>
      </c>
      <c r="CP378" t="s">
        <v>417</v>
      </c>
      <c r="CQ378" t="s">
        <v>417</v>
      </c>
      <c r="CR378">
        <f>$B$11*DQ378+$C$11*DR378+$F$11*EC378*(1-EF378)</f>
        <v>0</v>
      </c>
      <c r="CS378">
        <f>CR378*CT378</f>
        <v>0</v>
      </c>
      <c r="CT378">
        <f>($B$11*$D$9+$C$11*$D$9+$F$11*((EP378+EH378)/MAX(EP378+EH378+EQ378, 0.1)*$I$9+EQ378/MAX(EP378+EH378+EQ378, 0.1)*$J$9))/($B$11+$C$11+$F$11)</f>
        <v>0</v>
      </c>
      <c r="CU378">
        <f>($B$11*$K$9+$C$11*$K$9+$F$11*((EP378+EH378)/MAX(EP378+EH378+EQ378, 0.1)*$P$9+EQ378/MAX(EP378+EH378+EQ378, 0.1)*$Q$9))/($B$11+$C$11+$F$11)</f>
        <v>0</v>
      </c>
      <c r="CV378">
        <v>6</v>
      </c>
      <c r="CW378">
        <v>0.5</v>
      </c>
      <c r="CX378" t="s">
        <v>418</v>
      </c>
      <c r="CY378">
        <v>2</v>
      </c>
      <c r="CZ378" t="b">
        <v>1</v>
      </c>
      <c r="DA378">
        <v>1651866486.125</v>
      </c>
      <c r="DB378">
        <v>708.5475000000001</v>
      </c>
      <c r="DC378">
        <v>772.4517500000001</v>
      </c>
      <c r="DD378">
        <v>18.74845</v>
      </c>
      <c r="DE378">
        <v>9.096075000000001</v>
      </c>
      <c r="DF378">
        <v>710.0135</v>
      </c>
      <c r="DG378">
        <v>18.722175</v>
      </c>
      <c r="DH378">
        <v>500.08075</v>
      </c>
      <c r="DI378">
        <v>89.91375000000001</v>
      </c>
      <c r="DJ378">
        <v>0.09986344999999999</v>
      </c>
      <c r="DK378">
        <v>25.95225</v>
      </c>
      <c r="DL378">
        <v>25.011025</v>
      </c>
      <c r="DM378">
        <v>999.9</v>
      </c>
      <c r="DN378">
        <v>0</v>
      </c>
      <c r="DO378">
        <v>0</v>
      </c>
      <c r="DP378">
        <v>10008.75</v>
      </c>
      <c r="DQ378">
        <v>0</v>
      </c>
      <c r="DR378">
        <v>3.2312275</v>
      </c>
      <c r="DS378">
        <v>-63.9042</v>
      </c>
      <c r="DT378">
        <v>722.0854999999999</v>
      </c>
      <c r="DU378">
        <v>779.5425</v>
      </c>
      <c r="DV378">
        <v>9.652374999999999</v>
      </c>
      <c r="DW378">
        <v>772.4517500000001</v>
      </c>
      <c r="DX378">
        <v>9.096075000000001</v>
      </c>
      <c r="DY378">
        <v>1.685745</v>
      </c>
      <c r="DZ378">
        <v>0.81786275</v>
      </c>
      <c r="EA378">
        <v>14.76575</v>
      </c>
      <c r="EB378">
        <v>4.021165</v>
      </c>
      <c r="EC378">
        <v>1500.045</v>
      </c>
      <c r="ED378">
        <v>0.973</v>
      </c>
      <c r="EE378">
        <v>0.027</v>
      </c>
      <c r="EF378">
        <v>0</v>
      </c>
      <c r="EG378">
        <v>916.1704999999999</v>
      </c>
      <c r="EH378">
        <v>5.00097</v>
      </c>
      <c r="EI378">
        <v>13647.8</v>
      </c>
      <c r="EJ378">
        <v>12491.975</v>
      </c>
      <c r="EK378">
        <v>38.312</v>
      </c>
      <c r="EL378">
        <v>39.5</v>
      </c>
      <c r="EM378">
        <v>38.7185</v>
      </c>
      <c r="EN378">
        <v>39.187</v>
      </c>
      <c r="EO378">
        <v>39.125</v>
      </c>
      <c r="EP378">
        <v>1454.68</v>
      </c>
      <c r="EQ378">
        <v>40.3625</v>
      </c>
      <c r="ER378">
        <v>0</v>
      </c>
      <c r="ES378">
        <v>1005.200000047684</v>
      </c>
      <c r="ET378">
        <v>0</v>
      </c>
      <c r="EU378">
        <v>915.0513461538461</v>
      </c>
      <c r="EV378">
        <v>10.43237604420683</v>
      </c>
      <c r="EW378">
        <v>128.560683526084</v>
      </c>
      <c r="EX378">
        <v>13635.1</v>
      </c>
      <c r="EY378">
        <v>15</v>
      </c>
      <c r="EZ378">
        <v>1651865518.1</v>
      </c>
      <c r="FA378" t="s">
        <v>910</v>
      </c>
      <c r="FB378">
        <v>1651865507.1</v>
      </c>
      <c r="FC378">
        <v>1651865518.1</v>
      </c>
      <c r="FD378">
        <v>8</v>
      </c>
      <c r="FE378">
        <v>0.06</v>
      </c>
      <c r="FF378">
        <v>0</v>
      </c>
      <c r="FG378">
        <v>-0.927</v>
      </c>
      <c r="FH378">
        <v>-0.062</v>
      </c>
      <c r="FI378">
        <v>400</v>
      </c>
      <c r="FJ378">
        <v>11</v>
      </c>
      <c r="FK378">
        <v>0.11</v>
      </c>
      <c r="FL378">
        <v>0.01</v>
      </c>
      <c r="FM378">
        <v>-63.81753999999999</v>
      </c>
      <c r="FN378">
        <v>-1.4048870544089</v>
      </c>
      <c r="FO378">
        <v>0.1650094691222291</v>
      </c>
      <c r="FP378">
        <v>-1</v>
      </c>
      <c r="FQ378">
        <v>9.614740749999999</v>
      </c>
      <c r="FR378">
        <v>0.1539799249530678</v>
      </c>
      <c r="FS378">
        <v>0.01677011216234105</v>
      </c>
      <c r="FT378">
        <v>-1</v>
      </c>
      <c r="FU378">
        <v>0</v>
      </c>
      <c r="FV378">
        <v>0</v>
      </c>
      <c r="FW378">
        <v>0</v>
      </c>
      <c r="FX378">
        <v>-1</v>
      </c>
      <c r="FY378">
        <v>0</v>
      </c>
      <c r="FZ378">
        <v>0</v>
      </c>
      <c r="GA378" t="s">
        <v>420</v>
      </c>
      <c r="GB378">
        <v>2.98141</v>
      </c>
      <c r="GC378">
        <v>2.70611</v>
      </c>
      <c r="GD378">
        <v>0.136991</v>
      </c>
      <c r="GE378">
        <v>0.143414</v>
      </c>
      <c r="GF378">
        <v>0.0891415</v>
      </c>
      <c r="GG378">
        <v>0.0515214</v>
      </c>
      <c r="GH378">
        <v>27271.4</v>
      </c>
      <c r="GI378">
        <v>27126.7</v>
      </c>
      <c r="GJ378">
        <v>29377.9</v>
      </c>
      <c r="GK378">
        <v>29292.6</v>
      </c>
      <c r="GL378">
        <v>35431</v>
      </c>
      <c r="GM378">
        <v>37011.4</v>
      </c>
      <c r="GN378">
        <v>41350.1</v>
      </c>
      <c r="GO378">
        <v>41812.4</v>
      </c>
      <c r="GP378">
        <v>1.96723</v>
      </c>
      <c r="GQ378">
        <v>1.8551</v>
      </c>
      <c r="GR378">
        <v>-0.00534207</v>
      </c>
      <c r="GS378">
        <v>0</v>
      </c>
      <c r="GT378">
        <v>25.0985</v>
      </c>
      <c r="GU378">
        <v>999.9</v>
      </c>
      <c r="GV378">
        <v>29.6</v>
      </c>
      <c r="GW378">
        <v>34.2</v>
      </c>
      <c r="GX378">
        <v>17.7868</v>
      </c>
      <c r="GY378">
        <v>62.3476</v>
      </c>
      <c r="GZ378">
        <v>35.4848</v>
      </c>
      <c r="HA378">
        <v>1</v>
      </c>
      <c r="HB378">
        <v>0.0427261</v>
      </c>
      <c r="HC378">
        <v>1.52494</v>
      </c>
      <c r="HD378">
        <v>20.3276</v>
      </c>
      <c r="HE378">
        <v>5.21804</v>
      </c>
      <c r="HF378">
        <v>12.0099</v>
      </c>
      <c r="HG378">
        <v>4.98885</v>
      </c>
      <c r="HH378">
        <v>3.28855</v>
      </c>
      <c r="HI378">
        <v>1034.1</v>
      </c>
      <c r="HJ378">
        <v>9753</v>
      </c>
      <c r="HK378">
        <v>5139.4</v>
      </c>
      <c r="HL378">
        <v>25.4</v>
      </c>
      <c r="HM378">
        <v>1.86743</v>
      </c>
      <c r="HN378">
        <v>1.86646</v>
      </c>
      <c r="HO378">
        <v>1.866</v>
      </c>
      <c r="HP378">
        <v>1.86584</v>
      </c>
      <c r="HQ378">
        <v>1.86768</v>
      </c>
      <c r="HR378">
        <v>1.8702</v>
      </c>
      <c r="HS378">
        <v>1.86889</v>
      </c>
      <c r="HT378">
        <v>1.87024</v>
      </c>
      <c r="HU378">
        <v>0</v>
      </c>
      <c r="HV378">
        <v>0</v>
      </c>
      <c r="HW378">
        <v>0</v>
      </c>
      <c r="HX378">
        <v>0</v>
      </c>
      <c r="HY378" t="s">
        <v>421</v>
      </c>
      <c r="HZ378" t="s">
        <v>422</v>
      </c>
      <c r="IA378" t="s">
        <v>423</v>
      </c>
      <c r="IB378" t="s">
        <v>423</v>
      </c>
      <c r="IC378" t="s">
        <v>423</v>
      </c>
      <c r="ID378" t="s">
        <v>423</v>
      </c>
      <c r="IE378">
        <v>0</v>
      </c>
      <c r="IF378">
        <v>100</v>
      </c>
      <c r="IG378">
        <v>100</v>
      </c>
      <c r="IH378">
        <v>-1.474</v>
      </c>
      <c r="II378">
        <v>0.0262</v>
      </c>
      <c r="IJ378">
        <v>-0.1559367209035702</v>
      </c>
      <c r="IK378">
        <v>-0.002077099775823331</v>
      </c>
      <c r="IL378">
        <v>4.593143279902166E-07</v>
      </c>
      <c r="IM378">
        <v>-1.865383991892071E-10</v>
      </c>
      <c r="IN378">
        <v>-0.0607165066849496</v>
      </c>
      <c r="IO378">
        <v>-0.01129461987421345</v>
      </c>
      <c r="IP378">
        <v>0.00116580895745559</v>
      </c>
      <c r="IQ378">
        <v>-1.679085872906199E-05</v>
      </c>
      <c r="IR378">
        <v>2</v>
      </c>
      <c r="IS378">
        <v>2290</v>
      </c>
      <c r="IT378">
        <v>0</v>
      </c>
      <c r="IU378">
        <v>32</v>
      </c>
      <c r="IV378">
        <v>16.3</v>
      </c>
      <c r="IW378">
        <v>16.2</v>
      </c>
      <c r="IX378">
        <v>1.72241</v>
      </c>
      <c r="IY378">
        <v>2.19482</v>
      </c>
      <c r="IZ378">
        <v>1.39648</v>
      </c>
      <c r="JA378">
        <v>2.35474</v>
      </c>
      <c r="JB378">
        <v>1.49536</v>
      </c>
      <c r="JC378">
        <v>2.29492</v>
      </c>
      <c r="JD378">
        <v>38.0134</v>
      </c>
      <c r="JE378">
        <v>24.035</v>
      </c>
      <c r="JF378">
        <v>18</v>
      </c>
      <c r="JG378">
        <v>512.355</v>
      </c>
      <c r="JH378">
        <v>426.434</v>
      </c>
      <c r="JI378">
        <v>23.1479</v>
      </c>
      <c r="JJ378">
        <v>27.8715</v>
      </c>
      <c r="JK378">
        <v>29.9999</v>
      </c>
      <c r="JL378">
        <v>27.8865</v>
      </c>
      <c r="JM378">
        <v>27.8292</v>
      </c>
      <c r="JN378">
        <v>34.5933</v>
      </c>
      <c r="JO378">
        <v>46.3514</v>
      </c>
      <c r="JP378">
        <v>0</v>
      </c>
      <c r="JQ378">
        <v>23.1382</v>
      </c>
      <c r="JR378">
        <v>800.196</v>
      </c>
      <c r="JS378">
        <v>9.018700000000001</v>
      </c>
      <c r="JT378">
        <v>100.419</v>
      </c>
      <c r="JU378">
        <v>100.35</v>
      </c>
    </row>
    <row r="379" spans="1:281">
      <c r="A379">
        <v>363</v>
      </c>
      <c r="B379">
        <v>1651866489.5</v>
      </c>
      <c r="C379">
        <v>2268.900000095367</v>
      </c>
      <c r="D379" t="s">
        <v>1149</v>
      </c>
      <c r="E379" t="s">
        <v>1150</v>
      </c>
      <c r="F379">
        <v>2</v>
      </c>
      <c r="G379" t="s">
        <v>908</v>
      </c>
      <c r="H379" t="s">
        <v>414</v>
      </c>
      <c r="I379">
        <v>1651866488.5</v>
      </c>
      <c r="J379">
        <f>(K379)/1000</f>
        <v>0</v>
      </c>
      <c r="K379">
        <f>IF(CZ379, AN379, AH379)</f>
        <v>0</v>
      </c>
      <c r="L379">
        <f>IF(CZ379, AI379, AG379)</f>
        <v>0</v>
      </c>
      <c r="M379">
        <f>DB379 - IF(AU379&gt;1, L379*CV379*100.0/(AW379*DP379), 0)</f>
        <v>0</v>
      </c>
      <c r="N379">
        <f>((T379-J379/2)*M379-L379)/(T379+J379/2)</f>
        <v>0</v>
      </c>
      <c r="O379">
        <f>N379*(DI379+DJ379)/1000.0</f>
        <v>0</v>
      </c>
      <c r="P379">
        <f>(DB379 - IF(AU379&gt;1, L379*CV379*100.0/(AW379*DP379), 0))*(DI379+DJ379)/1000.0</f>
        <v>0</v>
      </c>
      <c r="Q379">
        <f>2.0/((1/S379-1/R379)+SIGN(S379)*SQRT((1/S379-1/R379)*(1/S379-1/R379) + 4*CW379/((CW379+1)*(CW379+1))*(2*1/S379*1/R379-1/R379*1/R379)))</f>
        <v>0</v>
      </c>
      <c r="R379">
        <f>IF(LEFT(CX379,1)&lt;&gt;"0",IF(LEFT(CX379,1)="1",3.0,CY379),$D$5+$E$5*(DP379*DI379/($K$5*1000))+$F$5*(DP379*DI379/($K$5*1000))*MAX(MIN(CV379,$J$5),$I$5)*MAX(MIN(CV379,$J$5),$I$5)+$G$5*MAX(MIN(CV379,$J$5),$I$5)*(DP379*DI379/($K$5*1000))+$H$5*(DP379*DI379/($K$5*1000))*(DP379*DI379/($K$5*1000)))</f>
        <v>0</v>
      </c>
      <c r="S379">
        <f>J379*(1000-(1000*0.61365*exp(17.502*W379/(240.97+W379))/(DI379+DJ379)+DD379)/2)/(1000*0.61365*exp(17.502*W379/(240.97+W379))/(DI379+DJ379)-DD379)</f>
        <v>0</v>
      </c>
      <c r="T379">
        <f>1/((CW379+1)/(Q379/1.6)+1/(R379/1.37)) + CW379/((CW379+1)/(Q379/1.6) + CW379/(R379/1.37))</f>
        <v>0</v>
      </c>
      <c r="U379">
        <f>(CR379*CU379)</f>
        <v>0</v>
      </c>
      <c r="V379">
        <f>(DK379+(U379+2*0.95*5.67E-8*(((DK379+$B$7)+273)^4-(DK379+273)^4)-44100*J379)/(1.84*29.3*R379+8*0.95*5.67E-8*(DK379+273)^3))</f>
        <v>0</v>
      </c>
      <c r="W379">
        <f>($C$7*DL379+$D$7*DM379+$E$7*V379)</f>
        <v>0</v>
      </c>
      <c r="X379">
        <f>0.61365*exp(17.502*W379/(240.97+W379))</f>
        <v>0</v>
      </c>
      <c r="Y379">
        <f>(Z379/AA379*100)</f>
        <v>0</v>
      </c>
      <c r="Z379">
        <f>DD379*(DI379+DJ379)/1000</f>
        <v>0</v>
      </c>
      <c r="AA379">
        <f>0.61365*exp(17.502*DK379/(240.97+DK379))</f>
        <v>0</v>
      </c>
      <c r="AB379">
        <f>(X379-DD379*(DI379+DJ379)/1000)</f>
        <v>0</v>
      </c>
      <c r="AC379">
        <f>(-J379*44100)</f>
        <v>0</v>
      </c>
      <c r="AD379">
        <f>2*29.3*R379*0.92*(DK379-W379)</f>
        <v>0</v>
      </c>
      <c r="AE379">
        <f>2*0.95*5.67E-8*(((DK379+$B$7)+273)^4-(W379+273)^4)</f>
        <v>0</v>
      </c>
      <c r="AF379">
        <f>U379+AE379+AC379+AD379</f>
        <v>0</v>
      </c>
      <c r="AG379">
        <f>DH379*AU379*(DC379-DB379*(1000-AU379*DE379)/(1000-AU379*DD379))/(100*CV379)</f>
        <v>0</v>
      </c>
      <c r="AH379">
        <f>1000*DH379*AU379*(DD379-DE379)/(100*CV379*(1000-AU379*DD379))</f>
        <v>0</v>
      </c>
      <c r="AI379">
        <f>(AJ379 - AK379 - DI379*1E3/(8.314*(DK379+273.15)) * AM379/DH379 * AL379) * DH379/(100*CV379) * (1000 - DE379)/1000</f>
        <v>0</v>
      </c>
      <c r="AJ379">
        <v>781.6101005744749</v>
      </c>
      <c r="AK379">
        <v>732.0480181818184</v>
      </c>
      <c r="AL379">
        <v>3.46261952843179</v>
      </c>
      <c r="AM379">
        <v>66.38195617057868</v>
      </c>
      <c r="AN379">
        <f>(AP379 - AO379 + DI379*1E3/(8.314*(DK379+273.15)) * AR379/DH379 * AQ379) * DH379/(100*CV379) * 1000/(1000 - AP379)</f>
        <v>0</v>
      </c>
      <c r="AO379">
        <v>9.10393882824941</v>
      </c>
      <c r="AP379">
        <v>18.74357823529411</v>
      </c>
      <c r="AQ379">
        <v>0.0001397420794992076</v>
      </c>
      <c r="AR379">
        <v>80.47178418790507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MAX(0,($B$13+$C$13*DP379)/(1+$D$13*DP379)*DI379/(DK379+273)*$E$13)</f>
        <v>0</v>
      </c>
      <c r="AX379" t="s">
        <v>417</v>
      </c>
      <c r="AY379" t="s">
        <v>417</v>
      </c>
      <c r="AZ379">
        <v>0</v>
      </c>
      <c r="BA379">
        <v>0</v>
      </c>
      <c r="BB379">
        <f>1-AZ379/BA379</f>
        <v>0</v>
      </c>
      <c r="BC379">
        <v>0</v>
      </c>
      <c r="BD379" t="s">
        <v>417</v>
      </c>
      <c r="BE379" t="s">
        <v>417</v>
      </c>
      <c r="BF379">
        <v>0</v>
      </c>
      <c r="BG379">
        <v>0</v>
      </c>
      <c r="BH379">
        <f>1-BF379/BG379</f>
        <v>0</v>
      </c>
      <c r="BI379">
        <v>0.5</v>
      </c>
      <c r="BJ379">
        <f>CS379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417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BZ379">
        <v>1249</v>
      </c>
      <c r="CA379">
        <v>300</v>
      </c>
      <c r="CB379">
        <v>300</v>
      </c>
      <c r="CC379">
        <v>300</v>
      </c>
      <c r="CD379">
        <v>10442.4</v>
      </c>
      <c r="CE379">
        <v>1239.69</v>
      </c>
      <c r="CF379">
        <v>-0.00735276</v>
      </c>
      <c r="CG379">
        <v>0.07000000000000001</v>
      </c>
      <c r="CH379" t="s">
        <v>417</v>
      </c>
      <c r="CI379" t="s">
        <v>417</v>
      </c>
      <c r="CJ379" t="s">
        <v>417</v>
      </c>
      <c r="CK379" t="s">
        <v>417</v>
      </c>
      <c r="CL379" t="s">
        <v>417</v>
      </c>
      <c r="CM379" t="s">
        <v>417</v>
      </c>
      <c r="CN379" t="s">
        <v>417</v>
      </c>
      <c r="CO379" t="s">
        <v>417</v>
      </c>
      <c r="CP379" t="s">
        <v>417</v>
      </c>
      <c r="CQ379" t="s">
        <v>417</v>
      </c>
      <c r="CR379">
        <f>$B$11*DQ379+$C$11*DR379+$F$11*EC379*(1-EF379)</f>
        <v>0</v>
      </c>
      <c r="CS379">
        <f>CR379*CT379</f>
        <v>0</v>
      </c>
      <c r="CT379">
        <f>($B$11*$D$9+$C$11*$D$9+$F$11*((EP379+EH379)/MAX(EP379+EH379+EQ379, 0.1)*$I$9+EQ379/MAX(EP379+EH379+EQ379, 0.1)*$J$9))/($B$11+$C$11+$F$11)</f>
        <v>0</v>
      </c>
      <c r="CU379">
        <f>($B$11*$K$9+$C$11*$K$9+$F$11*((EP379+EH379)/MAX(EP379+EH379+EQ379, 0.1)*$P$9+EQ379/MAX(EP379+EH379+EQ379, 0.1)*$Q$9))/($B$11+$C$11+$F$11)</f>
        <v>0</v>
      </c>
      <c r="CV379">
        <v>6</v>
      </c>
      <c r="CW379">
        <v>0.5</v>
      </c>
      <c r="CX379" t="s">
        <v>418</v>
      </c>
      <c r="CY379">
        <v>2</v>
      </c>
      <c r="CZ379" t="b">
        <v>1</v>
      </c>
      <c r="DA379">
        <v>1651866488.5</v>
      </c>
      <c r="DB379">
        <v>716.614</v>
      </c>
      <c r="DC379">
        <v>780.4476666666666</v>
      </c>
      <c r="DD379">
        <v>18.7447</v>
      </c>
      <c r="DE379">
        <v>9.089166666666666</v>
      </c>
      <c r="DF379">
        <v>718.0940000000001</v>
      </c>
      <c r="DG379">
        <v>18.7185</v>
      </c>
      <c r="DH379">
        <v>500.0483333333333</v>
      </c>
      <c r="DI379">
        <v>89.91369999999999</v>
      </c>
      <c r="DJ379">
        <v>0.0999558</v>
      </c>
      <c r="DK379">
        <v>25.95353333333334</v>
      </c>
      <c r="DL379">
        <v>25.01053333333333</v>
      </c>
      <c r="DM379">
        <v>999.9</v>
      </c>
      <c r="DN379">
        <v>0</v>
      </c>
      <c r="DO379">
        <v>0</v>
      </c>
      <c r="DP379">
        <v>10009.36666666667</v>
      </c>
      <c r="DQ379">
        <v>0</v>
      </c>
      <c r="DR379">
        <v>3.23193</v>
      </c>
      <c r="DS379">
        <v>-63.83383333333333</v>
      </c>
      <c r="DT379">
        <v>730.3033333333333</v>
      </c>
      <c r="DU379">
        <v>787.6063333333333</v>
      </c>
      <c r="DV379">
        <v>9.655556666666667</v>
      </c>
      <c r="DW379">
        <v>780.4476666666666</v>
      </c>
      <c r="DX379">
        <v>9.089166666666666</v>
      </c>
      <c r="DY379">
        <v>1.68541</v>
      </c>
      <c r="DZ379">
        <v>0.8172403333333333</v>
      </c>
      <c r="EA379">
        <v>14.76266666666667</v>
      </c>
      <c r="EB379">
        <v>4.010336666666666</v>
      </c>
      <c r="EC379">
        <v>1499.943333333333</v>
      </c>
      <c r="ED379">
        <v>0.9729990000000001</v>
      </c>
      <c r="EE379">
        <v>0.0270009</v>
      </c>
      <c r="EF379">
        <v>0</v>
      </c>
      <c r="EG379">
        <v>916.4226666666667</v>
      </c>
      <c r="EH379">
        <v>5.00097</v>
      </c>
      <c r="EI379">
        <v>13650.96666666667</v>
      </c>
      <c r="EJ379">
        <v>12491.06666666667</v>
      </c>
      <c r="EK379">
        <v>38.312</v>
      </c>
      <c r="EL379">
        <v>39.5</v>
      </c>
      <c r="EM379">
        <v>38.687</v>
      </c>
      <c r="EN379">
        <v>39.187</v>
      </c>
      <c r="EO379">
        <v>39.125</v>
      </c>
      <c r="EP379">
        <v>1454.573333333333</v>
      </c>
      <c r="EQ379">
        <v>40.36333333333334</v>
      </c>
      <c r="ER379">
        <v>0</v>
      </c>
      <c r="ES379">
        <v>1007</v>
      </c>
      <c r="ET379">
        <v>0</v>
      </c>
      <c r="EU379">
        <v>915.4040799999999</v>
      </c>
      <c r="EV379">
        <v>10.34176923123401</v>
      </c>
      <c r="EW379">
        <v>122.1538462582464</v>
      </c>
      <c r="EX379">
        <v>13639.44</v>
      </c>
      <c r="EY379">
        <v>15</v>
      </c>
      <c r="EZ379">
        <v>1651865518.1</v>
      </c>
      <c r="FA379" t="s">
        <v>910</v>
      </c>
      <c r="FB379">
        <v>1651865507.1</v>
      </c>
      <c r="FC379">
        <v>1651865518.1</v>
      </c>
      <c r="FD379">
        <v>8</v>
      </c>
      <c r="FE379">
        <v>0.06</v>
      </c>
      <c r="FF379">
        <v>0</v>
      </c>
      <c r="FG379">
        <v>-0.927</v>
      </c>
      <c r="FH379">
        <v>-0.062</v>
      </c>
      <c r="FI379">
        <v>400</v>
      </c>
      <c r="FJ379">
        <v>11</v>
      </c>
      <c r="FK379">
        <v>0.11</v>
      </c>
      <c r="FL379">
        <v>0.01</v>
      </c>
      <c r="FM379">
        <v>-63.84018292682926</v>
      </c>
      <c r="FN379">
        <v>-1.04909895470365</v>
      </c>
      <c r="FO379">
        <v>0.1408709336676987</v>
      </c>
      <c r="FP379">
        <v>-1</v>
      </c>
      <c r="FQ379">
        <v>9.618707804878049</v>
      </c>
      <c r="FR379">
        <v>0.1756216724738652</v>
      </c>
      <c r="FS379">
        <v>0.01919040989053659</v>
      </c>
      <c r="FT379">
        <v>-1</v>
      </c>
      <c r="FU379">
        <v>0</v>
      </c>
      <c r="FV379">
        <v>0</v>
      </c>
      <c r="FW379">
        <v>0</v>
      </c>
      <c r="FX379">
        <v>-1</v>
      </c>
      <c r="FY379">
        <v>0</v>
      </c>
      <c r="FZ379">
        <v>0</v>
      </c>
      <c r="GA379" t="s">
        <v>420</v>
      </c>
      <c r="GB379">
        <v>2.98158</v>
      </c>
      <c r="GC379">
        <v>2.70623</v>
      </c>
      <c r="GD379">
        <v>0.137885</v>
      </c>
      <c r="GE379">
        <v>0.144245</v>
      </c>
      <c r="GF379">
        <v>0.0891223</v>
      </c>
      <c r="GG379">
        <v>0.0515161</v>
      </c>
      <c r="GH379">
        <v>27242.7</v>
      </c>
      <c r="GI379">
        <v>27100.3</v>
      </c>
      <c r="GJ379">
        <v>29377.5</v>
      </c>
      <c r="GK379">
        <v>29292.6</v>
      </c>
      <c r="GL379">
        <v>35431.1</v>
      </c>
      <c r="GM379">
        <v>37011.7</v>
      </c>
      <c r="GN379">
        <v>41349.4</v>
      </c>
      <c r="GO379">
        <v>41812.5</v>
      </c>
      <c r="GP379">
        <v>1.96745</v>
      </c>
      <c r="GQ379">
        <v>1.85508</v>
      </c>
      <c r="GR379">
        <v>-0.00550225</v>
      </c>
      <c r="GS379">
        <v>0</v>
      </c>
      <c r="GT379">
        <v>25.0995</v>
      </c>
      <c r="GU379">
        <v>999.9</v>
      </c>
      <c r="GV379">
        <v>29.6</v>
      </c>
      <c r="GW379">
        <v>34.2</v>
      </c>
      <c r="GX379">
        <v>17.7866</v>
      </c>
      <c r="GY379">
        <v>62.3576</v>
      </c>
      <c r="GZ379">
        <v>35.1362</v>
      </c>
      <c r="HA379">
        <v>1</v>
      </c>
      <c r="HB379">
        <v>0.0427236</v>
      </c>
      <c r="HC379">
        <v>1.54016</v>
      </c>
      <c r="HD379">
        <v>20.3276</v>
      </c>
      <c r="HE379">
        <v>5.21819</v>
      </c>
      <c r="HF379">
        <v>12.0099</v>
      </c>
      <c r="HG379">
        <v>4.9889</v>
      </c>
      <c r="HH379">
        <v>3.28865</v>
      </c>
      <c r="HI379">
        <v>1034.1</v>
      </c>
      <c r="HJ379">
        <v>9753</v>
      </c>
      <c r="HK379">
        <v>5139.4</v>
      </c>
      <c r="HL379">
        <v>25.4</v>
      </c>
      <c r="HM379">
        <v>1.86747</v>
      </c>
      <c r="HN379">
        <v>1.86646</v>
      </c>
      <c r="HO379">
        <v>1.866</v>
      </c>
      <c r="HP379">
        <v>1.86584</v>
      </c>
      <c r="HQ379">
        <v>1.86768</v>
      </c>
      <c r="HR379">
        <v>1.87018</v>
      </c>
      <c r="HS379">
        <v>1.8689</v>
      </c>
      <c r="HT379">
        <v>1.87025</v>
      </c>
      <c r="HU379">
        <v>0</v>
      </c>
      <c r="HV379">
        <v>0</v>
      </c>
      <c r="HW379">
        <v>0</v>
      </c>
      <c r="HX379">
        <v>0</v>
      </c>
      <c r="HY379" t="s">
        <v>421</v>
      </c>
      <c r="HZ379" t="s">
        <v>422</v>
      </c>
      <c r="IA379" t="s">
        <v>423</v>
      </c>
      <c r="IB379" t="s">
        <v>423</v>
      </c>
      <c r="IC379" t="s">
        <v>423</v>
      </c>
      <c r="ID379" t="s">
        <v>423</v>
      </c>
      <c r="IE379">
        <v>0</v>
      </c>
      <c r="IF379">
        <v>100</v>
      </c>
      <c r="IG379">
        <v>100</v>
      </c>
      <c r="IH379">
        <v>-1.485</v>
      </c>
      <c r="II379">
        <v>0.0262</v>
      </c>
      <c r="IJ379">
        <v>-0.1559367209035702</v>
      </c>
      <c r="IK379">
        <v>-0.002077099775823331</v>
      </c>
      <c r="IL379">
        <v>4.593143279902166E-07</v>
      </c>
      <c r="IM379">
        <v>-1.865383991892071E-10</v>
      </c>
      <c r="IN379">
        <v>-0.0607165066849496</v>
      </c>
      <c r="IO379">
        <v>-0.01129461987421345</v>
      </c>
      <c r="IP379">
        <v>0.00116580895745559</v>
      </c>
      <c r="IQ379">
        <v>-1.679085872906199E-05</v>
      </c>
      <c r="IR379">
        <v>2</v>
      </c>
      <c r="IS379">
        <v>2290</v>
      </c>
      <c r="IT379">
        <v>0</v>
      </c>
      <c r="IU379">
        <v>32</v>
      </c>
      <c r="IV379">
        <v>16.4</v>
      </c>
      <c r="IW379">
        <v>16.2</v>
      </c>
      <c r="IX379">
        <v>1.73462</v>
      </c>
      <c r="IY379">
        <v>2.19604</v>
      </c>
      <c r="IZ379">
        <v>1.39648</v>
      </c>
      <c r="JA379">
        <v>2.35596</v>
      </c>
      <c r="JB379">
        <v>1.49536</v>
      </c>
      <c r="JC379">
        <v>2.34375</v>
      </c>
      <c r="JD379">
        <v>38.0134</v>
      </c>
      <c r="JE379">
        <v>24.0437</v>
      </c>
      <c r="JF379">
        <v>18</v>
      </c>
      <c r="JG379">
        <v>512.491</v>
      </c>
      <c r="JH379">
        <v>426.411</v>
      </c>
      <c r="JI379">
        <v>23.1441</v>
      </c>
      <c r="JJ379">
        <v>27.8705</v>
      </c>
      <c r="JK379">
        <v>30</v>
      </c>
      <c r="JL379">
        <v>27.8853</v>
      </c>
      <c r="JM379">
        <v>27.828</v>
      </c>
      <c r="JN379">
        <v>34.825</v>
      </c>
      <c r="JO379">
        <v>46.3514</v>
      </c>
      <c r="JP379">
        <v>0</v>
      </c>
      <c r="JQ379">
        <v>23.1382</v>
      </c>
      <c r="JR379">
        <v>806.8920000000001</v>
      </c>
      <c r="JS379">
        <v>9.020060000000001</v>
      </c>
      <c r="JT379">
        <v>100.417</v>
      </c>
      <c r="JU379">
        <v>100.35</v>
      </c>
    </row>
    <row r="380" spans="1:281">
      <c r="A380">
        <v>364</v>
      </c>
      <c r="B380">
        <v>1651866491.5</v>
      </c>
      <c r="C380">
        <v>2270.900000095367</v>
      </c>
      <c r="D380" t="s">
        <v>1151</v>
      </c>
      <c r="E380" t="s">
        <v>1152</v>
      </c>
      <c r="F380">
        <v>2</v>
      </c>
      <c r="G380" t="s">
        <v>908</v>
      </c>
      <c r="H380" t="s">
        <v>414</v>
      </c>
      <c r="I380">
        <v>1651866490.125</v>
      </c>
      <c r="J380">
        <f>(K380)/1000</f>
        <v>0</v>
      </c>
      <c r="K380">
        <f>IF(CZ380, AN380, AH380)</f>
        <v>0</v>
      </c>
      <c r="L380">
        <f>IF(CZ380, AI380, AG380)</f>
        <v>0</v>
      </c>
      <c r="M380">
        <f>DB380 - IF(AU380&gt;1, L380*CV380*100.0/(AW380*DP380), 0)</f>
        <v>0</v>
      </c>
      <c r="N380">
        <f>((T380-J380/2)*M380-L380)/(T380+J380/2)</f>
        <v>0</v>
      </c>
      <c r="O380">
        <f>N380*(DI380+DJ380)/1000.0</f>
        <v>0</v>
      </c>
      <c r="P380">
        <f>(DB380 - IF(AU380&gt;1, L380*CV380*100.0/(AW380*DP380), 0))*(DI380+DJ380)/1000.0</f>
        <v>0</v>
      </c>
      <c r="Q380">
        <f>2.0/((1/S380-1/R380)+SIGN(S380)*SQRT((1/S380-1/R380)*(1/S380-1/R380) + 4*CW380/((CW380+1)*(CW380+1))*(2*1/S380*1/R380-1/R380*1/R380)))</f>
        <v>0</v>
      </c>
      <c r="R380">
        <f>IF(LEFT(CX380,1)&lt;&gt;"0",IF(LEFT(CX380,1)="1",3.0,CY380),$D$5+$E$5*(DP380*DI380/($K$5*1000))+$F$5*(DP380*DI380/($K$5*1000))*MAX(MIN(CV380,$J$5),$I$5)*MAX(MIN(CV380,$J$5),$I$5)+$G$5*MAX(MIN(CV380,$J$5),$I$5)*(DP380*DI380/($K$5*1000))+$H$5*(DP380*DI380/($K$5*1000))*(DP380*DI380/($K$5*1000)))</f>
        <v>0</v>
      </c>
      <c r="S380">
        <f>J380*(1000-(1000*0.61365*exp(17.502*W380/(240.97+W380))/(DI380+DJ380)+DD380)/2)/(1000*0.61365*exp(17.502*W380/(240.97+W380))/(DI380+DJ380)-DD380)</f>
        <v>0</v>
      </c>
      <c r="T380">
        <f>1/((CW380+1)/(Q380/1.6)+1/(R380/1.37)) + CW380/((CW380+1)/(Q380/1.6) + CW380/(R380/1.37))</f>
        <v>0</v>
      </c>
      <c r="U380">
        <f>(CR380*CU380)</f>
        <v>0</v>
      </c>
      <c r="V380">
        <f>(DK380+(U380+2*0.95*5.67E-8*(((DK380+$B$7)+273)^4-(DK380+273)^4)-44100*J380)/(1.84*29.3*R380+8*0.95*5.67E-8*(DK380+273)^3))</f>
        <v>0</v>
      </c>
      <c r="W380">
        <f>($C$7*DL380+$D$7*DM380+$E$7*V380)</f>
        <v>0</v>
      </c>
      <c r="X380">
        <f>0.61365*exp(17.502*W380/(240.97+W380))</f>
        <v>0</v>
      </c>
      <c r="Y380">
        <f>(Z380/AA380*100)</f>
        <v>0</v>
      </c>
      <c r="Z380">
        <f>DD380*(DI380+DJ380)/1000</f>
        <v>0</v>
      </c>
      <c r="AA380">
        <f>0.61365*exp(17.502*DK380/(240.97+DK380))</f>
        <v>0</v>
      </c>
      <c r="AB380">
        <f>(X380-DD380*(DI380+DJ380)/1000)</f>
        <v>0</v>
      </c>
      <c r="AC380">
        <f>(-J380*44100)</f>
        <v>0</v>
      </c>
      <c r="AD380">
        <f>2*29.3*R380*0.92*(DK380-W380)</f>
        <v>0</v>
      </c>
      <c r="AE380">
        <f>2*0.95*5.67E-8*(((DK380+$B$7)+273)^4-(W380+273)^4)</f>
        <v>0</v>
      </c>
      <c r="AF380">
        <f>U380+AE380+AC380+AD380</f>
        <v>0</v>
      </c>
      <c r="AG380">
        <f>DH380*AU380*(DC380-DB380*(1000-AU380*DE380)/(1000-AU380*DD380))/(100*CV380)</f>
        <v>0</v>
      </c>
      <c r="AH380">
        <f>1000*DH380*AU380*(DD380-DE380)/(100*CV380*(1000-AU380*DD380))</f>
        <v>0</v>
      </c>
      <c r="AI380">
        <f>(AJ380 - AK380 - DI380*1E3/(8.314*(DK380+273.15)) * AM380/DH380 * AL380) * DH380/(100*CV380) * (1000 - DE380)/1000</f>
        <v>0</v>
      </c>
      <c r="AJ380">
        <v>788.3975902536187</v>
      </c>
      <c r="AK380">
        <v>739.0222909090907</v>
      </c>
      <c r="AL380">
        <v>3.486994408847603</v>
      </c>
      <c r="AM380">
        <v>66.38195617057868</v>
      </c>
      <c r="AN380">
        <f>(AP380 - AO380 + DI380*1E3/(8.314*(DK380+273.15)) * AR380/DH380 * AQ380) * DH380/(100*CV380) * 1000/(1000 - AP380)</f>
        <v>0</v>
      </c>
      <c r="AO380">
        <v>9.091900197979268</v>
      </c>
      <c r="AP380">
        <v>18.73756617647058</v>
      </c>
      <c r="AQ380">
        <v>3.74814177494141E-05</v>
      </c>
      <c r="AR380">
        <v>80.47178418790507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MAX(0,($B$13+$C$13*DP380)/(1+$D$13*DP380)*DI380/(DK380+273)*$E$13)</f>
        <v>0</v>
      </c>
      <c r="AX380" t="s">
        <v>417</v>
      </c>
      <c r="AY380" t="s">
        <v>417</v>
      </c>
      <c r="AZ380">
        <v>0</v>
      </c>
      <c r="BA380">
        <v>0</v>
      </c>
      <c r="BB380">
        <f>1-AZ380/BA380</f>
        <v>0</v>
      </c>
      <c r="BC380">
        <v>0</v>
      </c>
      <c r="BD380" t="s">
        <v>417</v>
      </c>
      <c r="BE380" t="s">
        <v>417</v>
      </c>
      <c r="BF380">
        <v>0</v>
      </c>
      <c r="BG380">
        <v>0</v>
      </c>
      <c r="BH380">
        <f>1-BF380/BG380</f>
        <v>0</v>
      </c>
      <c r="BI380">
        <v>0.5</v>
      </c>
      <c r="BJ380">
        <f>CS380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417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BZ380">
        <v>1249</v>
      </c>
      <c r="CA380">
        <v>300</v>
      </c>
      <c r="CB380">
        <v>300</v>
      </c>
      <c r="CC380">
        <v>300</v>
      </c>
      <c r="CD380">
        <v>10442.4</v>
      </c>
      <c r="CE380">
        <v>1239.69</v>
      </c>
      <c r="CF380">
        <v>-0.00735276</v>
      </c>
      <c r="CG380">
        <v>0.07000000000000001</v>
      </c>
      <c r="CH380" t="s">
        <v>417</v>
      </c>
      <c r="CI380" t="s">
        <v>417</v>
      </c>
      <c r="CJ380" t="s">
        <v>417</v>
      </c>
      <c r="CK380" t="s">
        <v>417</v>
      </c>
      <c r="CL380" t="s">
        <v>417</v>
      </c>
      <c r="CM380" t="s">
        <v>417</v>
      </c>
      <c r="CN380" t="s">
        <v>417</v>
      </c>
      <c r="CO380" t="s">
        <v>417</v>
      </c>
      <c r="CP380" t="s">
        <v>417</v>
      </c>
      <c r="CQ380" t="s">
        <v>417</v>
      </c>
      <c r="CR380">
        <f>$B$11*DQ380+$C$11*DR380+$F$11*EC380*(1-EF380)</f>
        <v>0</v>
      </c>
      <c r="CS380">
        <f>CR380*CT380</f>
        <v>0</v>
      </c>
      <c r="CT380">
        <f>($B$11*$D$9+$C$11*$D$9+$F$11*((EP380+EH380)/MAX(EP380+EH380+EQ380, 0.1)*$I$9+EQ380/MAX(EP380+EH380+EQ380, 0.1)*$J$9))/($B$11+$C$11+$F$11)</f>
        <v>0</v>
      </c>
      <c r="CU380">
        <f>($B$11*$K$9+$C$11*$K$9+$F$11*((EP380+EH380)/MAX(EP380+EH380+EQ380, 0.1)*$P$9+EQ380/MAX(EP380+EH380+EQ380, 0.1)*$Q$9))/($B$11+$C$11+$F$11)</f>
        <v>0</v>
      </c>
      <c r="CV380">
        <v>6</v>
      </c>
      <c r="CW380">
        <v>0.5</v>
      </c>
      <c r="CX380" t="s">
        <v>418</v>
      </c>
      <c r="CY380">
        <v>2</v>
      </c>
      <c r="CZ380" t="b">
        <v>1</v>
      </c>
      <c r="DA380">
        <v>1651866490.125</v>
      </c>
      <c r="DB380">
        <v>722.1777500000001</v>
      </c>
      <c r="DC380">
        <v>785.8652500000001</v>
      </c>
      <c r="DD380">
        <v>18.740575</v>
      </c>
      <c r="DE380">
        <v>9.088627499999999</v>
      </c>
      <c r="DF380">
        <v>723.6669999999999</v>
      </c>
      <c r="DG380">
        <v>18.71445</v>
      </c>
      <c r="DH380">
        <v>499.9935</v>
      </c>
      <c r="DI380">
        <v>89.913875</v>
      </c>
      <c r="DJ380">
        <v>0.1000567</v>
      </c>
      <c r="DK380">
        <v>25.955175</v>
      </c>
      <c r="DL380">
        <v>25.008125</v>
      </c>
      <c r="DM380">
        <v>999.9</v>
      </c>
      <c r="DN380">
        <v>0</v>
      </c>
      <c r="DO380">
        <v>0</v>
      </c>
      <c r="DP380">
        <v>10006.725</v>
      </c>
      <c r="DQ380">
        <v>0</v>
      </c>
      <c r="DR380">
        <v>3.23193</v>
      </c>
      <c r="DS380">
        <v>-63.687525</v>
      </c>
      <c r="DT380">
        <v>735.9702500000001</v>
      </c>
      <c r="DU380">
        <v>793.073</v>
      </c>
      <c r="DV380">
        <v>9.651964999999999</v>
      </c>
      <c r="DW380">
        <v>785.8652500000001</v>
      </c>
      <c r="DX380">
        <v>9.088627499999999</v>
      </c>
      <c r="DY380">
        <v>1.68504</v>
      </c>
      <c r="DZ380">
        <v>0.8171937500000001</v>
      </c>
      <c r="EA380">
        <v>14.7593</v>
      </c>
      <c r="EB380">
        <v>4.0095275</v>
      </c>
      <c r="EC380">
        <v>1500.005</v>
      </c>
      <c r="ED380">
        <v>0.973</v>
      </c>
      <c r="EE380">
        <v>0.027</v>
      </c>
      <c r="EF380">
        <v>0</v>
      </c>
      <c r="EG380">
        <v>916.6005</v>
      </c>
      <c r="EH380">
        <v>5.00097</v>
      </c>
      <c r="EI380">
        <v>13654.825</v>
      </c>
      <c r="EJ380">
        <v>12491.6</v>
      </c>
      <c r="EK380">
        <v>38.312</v>
      </c>
      <c r="EL380">
        <v>39.5</v>
      </c>
      <c r="EM380">
        <v>38.687</v>
      </c>
      <c r="EN380">
        <v>39.1405</v>
      </c>
      <c r="EO380">
        <v>39.125</v>
      </c>
      <c r="EP380">
        <v>1454.635</v>
      </c>
      <c r="EQ380">
        <v>40.36499999999999</v>
      </c>
      <c r="ER380">
        <v>0</v>
      </c>
      <c r="ES380">
        <v>1009.400000095367</v>
      </c>
      <c r="ET380">
        <v>0</v>
      </c>
      <c r="EU380">
        <v>915.7866</v>
      </c>
      <c r="EV380">
        <v>9.469999987621204</v>
      </c>
      <c r="EW380">
        <v>116.6999999468479</v>
      </c>
      <c r="EX380">
        <v>13644.136</v>
      </c>
      <c r="EY380">
        <v>15</v>
      </c>
      <c r="EZ380">
        <v>1651865518.1</v>
      </c>
      <c r="FA380" t="s">
        <v>910</v>
      </c>
      <c r="FB380">
        <v>1651865507.1</v>
      </c>
      <c r="FC380">
        <v>1651865518.1</v>
      </c>
      <c r="FD380">
        <v>8</v>
      </c>
      <c r="FE380">
        <v>0.06</v>
      </c>
      <c r="FF380">
        <v>0</v>
      </c>
      <c r="FG380">
        <v>-0.927</v>
      </c>
      <c r="FH380">
        <v>-0.062</v>
      </c>
      <c r="FI380">
        <v>400</v>
      </c>
      <c r="FJ380">
        <v>11</v>
      </c>
      <c r="FK380">
        <v>0.11</v>
      </c>
      <c r="FL380">
        <v>0.01</v>
      </c>
      <c r="FM380">
        <v>-63.8655</v>
      </c>
      <c r="FN380">
        <v>0.02330206379001284</v>
      </c>
      <c r="FO380">
        <v>0.09990540776154222</v>
      </c>
      <c r="FP380">
        <v>-1</v>
      </c>
      <c r="FQ380">
        <v>9.6258895</v>
      </c>
      <c r="FR380">
        <v>0.1920373733583315</v>
      </c>
      <c r="FS380">
        <v>0.02012281639706531</v>
      </c>
      <c r="FT380">
        <v>-1</v>
      </c>
      <c r="FU380">
        <v>0</v>
      </c>
      <c r="FV380">
        <v>0</v>
      </c>
      <c r="FW380">
        <v>0</v>
      </c>
      <c r="FX380">
        <v>-1</v>
      </c>
      <c r="FY380">
        <v>0</v>
      </c>
      <c r="FZ380">
        <v>0</v>
      </c>
      <c r="GA380" t="s">
        <v>420</v>
      </c>
      <c r="GB380">
        <v>2.98168</v>
      </c>
      <c r="GC380">
        <v>2.70623</v>
      </c>
      <c r="GD380">
        <v>0.138773</v>
      </c>
      <c r="GE380">
        <v>0.145057</v>
      </c>
      <c r="GF380">
        <v>0.08911189999999999</v>
      </c>
      <c r="GG380">
        <v>0.0515129</v>
      </c>
      <c r="GH380">
        <v>27214.7</v>
      </c>
      <c r="GI380">
        <v>27074.6</v>
      </c>
      <c r="GJ380">
        <v>29377.6</v>
      </c>
      <c r="GK380">
        <v>29292.6</v>
      </c>
      <c r="GL380">
        <v>35431.6</v>
      </c>
      <c r="GM380">
        <v>37012</v>
      </c>
      <c r="GN380">
        <v>41349.5</v>
      </c>
      <c r="GO380">
        <v>41812.7</v>
      </c>
      <c r="GP380">
        <v>1.96758</v>
      </c>
      <c r="GQ380">
        <v>1.85502</v>
      </c>
      <c r="GR380">
        <v>-0.00569969</v>
      </c>
      <c r="GS380">
        <v>0</v>
      </c>
      <c r="GT380">
        <v>25.0996</v>
      </c>
      <c r="GU380">
        <v>999.9</v>
      </c>
      <c r="GV380">
        <v>29.6</v>
      </c>
      <c r="GW380">
        <v>34.2</v>
      </c>
      <c r="GX380">
        <v>17.7873</v>
      </c>
      <c r="GY380">
        <v>62.4576</v>
      </c>
      <c r="GZ380">
        <v>35.1522</v>
      </c>
      <c r="HA380">
        <v>1</v>
      </c>
      <c r="HB380">
        <v>0.0427312</v>
      </c>
      <c r="HC380">
        <v>1.54753</v>
      </c>
      <c r="HD380">
        <v>20.3275</v>
      </c>
      <c r="HE380">
        <v>5.21834</v>
      </c>
      <c r="HF380">
        <v>12.0099</v>
      </c>
      <c r="HG380">
        <v>4.98895</v>
      </c>
      <c r="HH380">
        <v>3.28865</v>
      </c>
      <c r="HI380">
        <v>1034.1</v>
      </c>
      <c r="HJ380">
        <v>9753</v>
      </c>
      <c r="HK380">
        <v>5139.4</v>
      </c>
      <c r="HL380">
        <v>25.4</v>
      </c>
      <c r="HM380">
        <v>1.86747</v>
      </c>
      <c r="HN380">
        <v>1.86646</v>
      </c>
      <c r="HO380">
        <v>1.866</v>
      </c>
      <c r="HP380">
        <v>1.86584</v>
      </c>
      <c r="HQ380">
        <v>1.86768</v>
      </c>
      <c r="HR380">
        <v>1.8702</v>
      </c>
      <c r="HS380">
        <v>1.8689</v>
      </c>
      <c r="HT380">
        <v>1.87023</v>
      </c>
      <c r="HU380">
        <v>0</v>
      </c>
      <c r="HV380">
        <v>0</v>
      </c>
      <c r="HW380">
        <v>0</v>
      </c>
      <c r="HX380">
        <v>0</v>
      </c>
      <c r="HY380" t="s">
        <v>421</v>
      </c>
      <c r="HZ380" t="s">
        <v>422</v>
      </c>
      <c r="IA380" t="s">
        <v>423</v>
      </c>
      <c r="IB380" t="s">
        <v>423</v>
      </c>
      <c r="IC380" t="s">
        <v>423</v>
      </c>
      <c r="ID380" t="s">
        <v>423</v>
      </c>
      <c r="IE380">
        <v>0</v>
      </c>
      <c r="IF380">
        <v>100</v>
      </c>
      <c r="IG380">
        <v>100</v>
      </c>
      <c r="IH380">
        <v>-1.497</v>
      </c>
      <c r="II380">
        <v>0.0261</v>
      </c>
      <c r="IJ380">
        <v>-0.1559367209035702</v>
      </c>
      <c r="IK380">
        <v>-0.002077099775823331</v>
      </c>
      <c r="IL380">
        <v>4.593143279902166E-07</v>
      </c>
      <c r="IM380">
        <v>-1.865383991892071E-10</v>
      </c>
      <c r="IN380">
        <v>-0.0607165066849496</v>
      </c>
      <c r="IO380">
        <v>-0.01129461987421345</v>
      </c>
      <c r="IP380">
        <v>0.00116580895745559</v>
      </c>
      <c r="IQ380">
        <v>-1.679085872906199E-05</v>
      </c>
      <c r="IR380">
        <v>2</v>
      </c>
      <c r="IS380">
        <v>2290</v>
      </c>
      <c r="IT380">
        <v>0</v>
      </c>
      <c r="IU380">
        <v>32</v>
      </c>
      <c r="IV380">
        <v>16.4</v>
      </c>
      <c r="IW380">
        <v>16.2</v>
      </c>
      <c r="IX380">
        <v>1.74683</v>
      </c>
      <c r="IY380">
        <v>2.19482</v>
      </c>
      <c r="IZ380">
        <v>1.39648</v>
      </c>
      <c r="JA380">
        <v>2.35596</v>
      </c>
      <c r="JB380">
        <v>1.49536</v>
      </c>
      <c r="JC380">
        <v>2.36084</v>
      </c>
      <c r="JD380">
        <v>38.0134</v>
      </c>
      <c r="JE380">
        <v>24.035</v>
      </c>
      <c r="JF380">
        <v>18</v>
      </c>
      <c r="JG380">
        <v>512.564</v>
      </c>
      <c r="JH380">
        <v>426.377</v>
      </c>
      <c r="JI380">
        <v>23.1393</v>
      </c>
      <c r="JJ380">
        <v>27.8703</v>
      </c>
      <c r="JK380">
        <v>30</v>
      </c>
      <c r="JL380">
        <v>27.8843</v>
      </c>
      <c r="JM380">
        <v>27.8275</v>
      </c>
      <c r="JN380">
        <v>35.067</v>
      </c>
      <c r="JO380">
        <v>46.6312</v>
      </c>
      <c r="JP380">
        <v>0</v>
      </c>
      <c r="JQ380">
        <v>23.1277</v>
      </c>
      <c r="JR380">
        <v>813.586</v>
      </c>
      <c r="JS380">
        <v>9.01036</v>
      </c>
      <c r="JT380">
        <v>100.417</v>
      </c>
      <c r="JU380">
        <v>100.35</v>
      </c>
    </row>
    <row r="381" spans="1:281">
      <c r="A381">
        <v>365</v>
      </c>
      <c r="B381">
        <v>1651866493.5</v>
      </c>
      <c r="C381">
        <v>2272.900000095367</v>
      </c>
      <c r="D381" t="s">
        <v>1153</v>
      </c>
      <c r="E381" t="s">
        <v>1154</v>
      </c>
      <c r="F381">
        <v>2</v>
      </c>
      <c r="G381" t="s">
        <v>908</v>
      </c>
      <c r="H381" t="s">
        <v>414</v>
      </c>
      <c r="I381">
        <v>1651866492.5</v>
      </c>
      <c r="J381">
        <f>(K381)/1000</f>
        <v>0</v>
      </c>
      <c r="K381">
        <f>IF(CZ381, AN381, AH381)</f>
        <v>0</v>
      </c>
      <c r="L381">
        <f>IF(CZ381, AI381, AG381)</f>
        <v>0</v>
      </c>
      <c r="M381">
        <f>DB381 - IF(AU381&gt;1, L381*CV381*100.0/(AW381*DP381), 0)</f>
        <v>0</v>
      </c>
      <c r="N381">
        <f>((T381-J381/2)*M381-L381)/(T381+J381/2)</f>
        <v>0</v>
      </c>
      <c r="O381">
        <f>N381*(DI381+DJ381)/1000.0</f>
        <v>0</v>
      </c>
      <c r="P381">
        <f>(DB381 - IF(AU381&gt;1, L381*CV381*100.0/(AW381*DP381), 0))*(DI381+DJ381)/1000.0</f>
        <v>0</v>
      </c>
      <c r="Q381">
        <f>2.0/((1/S381-1/R381)+SIGN(S381)*SQRT((1/S381-1/R381)*(1/S381-1/R381) + 4*CW381/((CW381+1)*(CW381+1))*(2*1/S381*1/R381-1/R381*1/R381)))</f>
        <v>0</v>
      </c>
      <c r="R381">
        <f>IF(LEFT(CX381,1)&lt;&gt;"0",IF(LEFT(CX381,1)="1",3.0,CY381),$D$5+$E$5*(DP381*DI381/($K$5*1000))+$F$5*(DP381*DI381/($K$5*1000))*MAX(MIN(CV381,$J$5),$I$5)*MAX(MIN(CV381,$J$5),$I$5)+$G$5*MAX(MIN(CV381,$J$5),$I$5)*(DP381*DI381/($K$5*1000))+$H$5*(DP381*DI381/($K$5*1000))*(DP381*DI381/($K$5*1000)))</f>
        <v>0</v>
      </c>
      <c r="S381">
        <f>J381*(1000-(1000*0.61365*exp(17.502*W381/(240.97+W381))/(DI381+DJ381)+DD381)/2)/(1000*0.61365*exp(17.502*W381/(240.97+W381))/(DI381+DJ381)-DD381)</f>
        <v>0</v>
      </c>
      <c r="T381">
        <f>1/((CW381+1)/(Q381/1.6)+1/(R381/1.37)) + CW381/((CW381+1)/(Q381/1.6) + CW381/(R381/1.37))</f>
        <v>0</v>
      </c>
      <c r="U381">
        <f>(CR381*CU381)</f>
        <v>0</v>
      </c>
      <c r="V381">
        <f>(DK381+(U381+2*0.95*5.67E-8*(((DK381+$B$7)+273)^4-(DK381+273)^4)-44100*J381)/(1.84*29.3*R381+8*0.95*5.67E-8*(DK381+273)^3))</f>
        <v>0</v>
      </c>
      <c r="W381">
        <f>($C$7*DL381+$D$7*DM381+$E$7*V381)</f>
        <v>0</v>
      </c>
      <c r="X381">
        <f>0.61365*exp(17.502*W381/(240.97+W381))</f>
        <v>0</v>
      </c>
      <c r="Y381">
        <f>(Z381/AA381*100)</f>
        <v>0</v>
      </c>
      <c r="Z381">
        <f>DD381*(DI381+DJ381)/1000</f>
        <v>0</v>
      </c>
      <c r="AA381">
        <f>0.61365*exp(17.502*DK381/(240.97+DK381))</f>
        <v>0</v>
      </c>
      <c r="AB381">
        <f>(X381-DD381*(DI381+DJ381)/1000)</f>
        <v>0</v>
      </c>
      <c r="AC381">
        <f>(-J381*44100)</f>
        <v>0</v>
      </c>
      <c r="AD381">
        <f>2*29.3*R381*0.92*(DK381-W381)</f>
        <v>0</v>
      </c>
      <c r="AE381">
        <f>2*0.95*5.67E-8*(((DK381+$B$7)+273)^4-(W381+273)^4)</f>
        <v>0</v>
      </c>
      <c r="AF381">
        <f>U381+AE381+AC381+AD381</f>
        <v>0</v>
      </c>
      <c r="AG381">
        <f>DH381*AU381*(DC381-DB381*(1000-AU381*DE381)/(1000-AU381*DD381))/(100*CV381)</f>
        <v>0</v>
      </c>
      <c r="AH381">
        <f>1000*DH381*AU381*(DD381-DE381)/(100*CV381*(1000-AU381*DD381))</f>
        <v>0</v>
      </c>
      <c r="AI381">
        <f>(AJ381 - AK381 - DI381*1E3/(8.314*(DK381+273.15)) * AM381/DH381 * AL381) * DH381/(100*CV381) * (1000 - DE381)/1000</f>
        <v>0</v>
      </c>
      <c r="AJ381">
        <v>795.1106001960467</v>
      </c>
      <c r="AK381">
        <v>745.9040545454542</v>
      </c>
      <c r="AL381">
        <v>3.457563502716942</v>
      </c>
      <c r="AM381">
        <v>66.38195617057868</v>
      </c>
      <c r="AN381">
        <f>(AP381 - AO381 + DI381*1E3/(8.314*(DK381+273.15)) * AR381/DH381 * AQ381) * DH381/(100*CV381) * 1000/(1000 - AP381)</f>
        <v>0</v>
      </c>
      <c r="AO381">
        <v>9.089072065412998</v>
      </c>
      <c r="AP381">
        <v>18.73737088235294</v>
      </c>
      <c r="AQ381">
        <v>-0.000121115083356176</v>
      </c>
      <c r="AR381">
        <v>80.47178418790507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MAX(0,($B$13+$C$13*DP381)/(1+$D$13*DP381)*DI381/(DK381+273)*$E$13)</f>
        <v>0</v>
      </c>
      <c r="AX381" t="s">
        <v>417</v>
      </c>
      <c r="AY381" t="s">
        <v>417</v>
      </c>
      <c r="AZ381">
        <v>0</v>
      </c>
      <c r="BA381">
        <v>0</v>
      </c>
      <c r="BB381">
        <f>1-AZ381/BA381</f>
        <v>0</v>
      </c>
      <c r="BC381">
        <v>0</v>
      </c>
      <c r="BD381" t="s">
        <v>417</v>
      </c>
      <c r="BE381" t="s">
        <v>417</v>
      </c>
      <c r="BF381">
        <v>0</v>
      </c>
      <c r="BG381">
        <v>0</v>
      </c>
      <c r="BH381">
        <f>1-BF381/BG381</f>
        <v>0</v>
      </c>
      <c r="BI381">
        <v>0.5</v>
      </c>
      <c r="BJ381">
        <f>CS381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417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BZ381">
        <v>1249</v>
      </c>
      <c r="CA381">
        <v>300</v>
      </c>
      <c r="CB381">
        <v>300</v>
      </c>
      <c r="CC381">
        <v>300</v>
      </c>
      <c r="CD381">
        <v>10442.4</v>
      </c>
      <c r="CE381">
        <v>1239.69</v>
      </c>
      <c r="CF381">
        <v>-0.00735276</v>
      </c>
      <c r="CG381">
        <v>0.07000000000000001</v>
      </c>
      <c r="CH381" t="s">
        <v>417</v>
      </c>
      <c r="CI381" t="s">
        <v>417</v>
      </c>
      <c r="CJ381" t="s">
        <v>417</v>
      </c>
      <c r="CK381" t="s">
        <v>417</v>
      </c>
      <c r="CL381" t="s">
        <v>417</v>
      </c>
      <c r="CM381" t="s">
        <v>417</v>
      </c>
      <c r="CN381" t="s">
        <v>417</v>
      </c>
      <c r="CO381" t="s">
        <v>417</v>
      </c>
      <c r="CP381" t="s">
        <v>417</v>
      </c>
      <c r="CQ381" t="s">
        <v>417</v>
      </c>
      <c r="CR381">
        <f>$B$11*DQ381+$C$11*DR381+$F$11*EC381*(1-EF381)</f>
        <v>0</v>
      </c>
      <c r="CS381">
        <f>CR381*CT381</f>
        <v>0</v>
      </c>
      <c r="CT381">
        <f>($B$11*$D$9+$C$11*$D$9+$F$11*((EP381+EH381)/MAX(EP381+EH381+EQ381, 0.1)*$I$9+EQ381/MAX(EP381+EH381+EQ381, 0.1)*$J$9))/($B$11+$C$11+$F$11)</f>
        <v>0</v>
      </c>
      <c r="CU381">
        <f>($B$11*$K$9+$C$11*$K$9+$F$11*((EP381+EH381)/MAX(EP381+EH381+EQ381, 0.1)*$P$9+EQ381/MAX(EP381+EH381+EQ381, 0.1)*$Q$9))/($B$11+$C$11+$F$11)</f>
        <v>0</v>
      </c>
      <c r="CV381">
        <v>6</v>
      </c>
      <c r="CW381">
        <v>0.5</v>
      </c>
      <c r="CX381" t="s">
        <v>418</v>
      </c>
      <c r="CY381">
        <v>2</v>
      </c>
      <c r="CZ381" t="b">
        <v>1</v>
      </c>
      <c r="DA381">
        <v>1651866492.5</v>
      </c>
      <c r="DB381">
        <v>730.2413333333334</v>
      </c>
      <c r="DC381">
        <v>793.835</v>
      </c>
      <c r="DD381">
        <v>18.73816666666667</v>
      </c>
      <c r="DE381">
        <v>9.087956666666669</v>
      </c>
      <c r="DF381">
        <v>731.744</v>
      </c>
      <c r="DG381">
        <v>18.71203333333333</v>
      </c>
      <c r="DH381">
        <v>500.045</v>
      </c>
      <c r="DI381">
        <v>89.91583333333334</v>
      </c>
      <c r="DJ381">
        <v>0.1000438666666667</v>
      </c>
      <c r="DK381">
        <v>25.9519</v>
      </c>
      <c r="DL381">
        <v>25.00486666666667</v>
      </c>
      <c r="DM381">
        <v>999.9</v>
      </c>
      <c r="DN381">
        <v>0</v>
      </c>
      <c r="DO381">
        <v>0</v>
      </c>
      <c r="DP381">
        <v>10001.88</v>
      </c>
      <c r="DQ381">
        <v>0</v>
      </c>
      <c r="DR381">
        <v>3.23193</v>
      </c>
      <c r="DS381">
        <v>-63.59346666666666</v>
      </c>
      <c r="DT381">
        <v>744.186</v>
      </c>
      <c r="DU381">
        <v>801.1153333333333</v>
      </c>
      <c r="DV381">
        <v>9.650213333333333</v>
      </c>
      <c r="DW381">
        <v>793.835</v>
      </c>
      <c r="DX381">
        <v>9.087956666666669</v>
      </c>
      <c r="DY381">
        <v>1.684856666666667</v>
      </c>
      <c r="DZ381">
        <v>0.817151</v>
      </c>
      <c r="EA381">
        <v>14.7576</v>
      </c>
      <c r="EB381">
        <v>4.008780000000001</v>
      </c>
      <c r="EC381">
        <v>1499.963333333333</v>
      </c>
      <c r="ED381">
        <v>0.9729990000000001</v>
      </c>
      <c r="EE381">
        <v>0.0270009</v>
      </c>
      <c r="EF381">
        <v>0</v>
      </c>
      <c r="EG381">
        <v>916.9286666666667</v>
      </c>
      <c r="EH381">
        <v>5.00097</v>
      </c>
      <c r="EI381">
        <v>13657.26666666667</v>
      </c>
      <c r="EJ381">
        <v>12491.3</v>
      </c>
      <c r="EK381">
        <v>38.27066666666666</v>
      </c>
      <c r="EL381">
        <v>39.5</v>
      </c>
      <c r="EM381">
        <v>38.687</v>
      </c>
      <c r="EN381">
        <v>39.125</v>
      </c>
      <c r="EO381">
        <v>39.125</v>
      </c>
      <c r="EP381">
        <v>1454.593333333333</v>
      </c>
      <c r="EQ381">
        <v>40.37</v>
      </c>
      <c r="ER381">
        <v>0</v>
      </c>
      <c r="ES381">
        <v>1011.200000047684</v>
      </c>
      <c r="ET381">
        <v>0</v>
      </c>
      <c r="EU381">
        <v>916.0128461538462</v>
      </c>
      <c r="EV381">
        <v>8.912478612231503</v>
      </c>
      <c r="EW381">
        <v>109.9282049387889</v>
      </c>
      <c r="EX381">
        <v>13647.03076923077</v>
      </c>
      <c r="EY381">
        <v>15</v>
      </c>
      <c r="EZ381">
        <v>1651865518.1</v>
      </c>
      <c r="FA381" t="s">
        <v>910</v>
      </c>
      <c r="FB381">
        <v>1651865507.1</v>
      </c>
      <c r="FC381">
        <v>1651865518.1</v>
      </c>
      <c r="FD381">
        <v>8</v>
      </c>
      <c r="FE381">
        <v>0.06</v>
      </c>
      <c r="FF381">
        <v>0</v>
      </c>
      <c r="FG381">
        <v>-0.927</v>
      </c>
      <c r="FH381">
        <v>-0.062</v>
      </c>
      <c r="FI381">
        <v>400</v>
      </c>
      <c r="FJ381">
        <v>11</v>
      </c>
      <c r="FK381">
        <v>0.11</v>
      </c>
      <c r="FL381">
        <v>0.01</v>
      </c>
      <c r="FM381">
        <v>-63.85030731707317</v>
      </c>
      <c r="FN381">
        <v>0.4518501742161281</v>
      </c>
      <c r="FO381">
        <v>0.1212594625731686</v>
      </c>
      <c r="FP381">
        <v>-1</v>
      </c>
      <c r="FQ381">
        <v>9.628674146341464</v>
      </c>
      <c r="FR381">
        <v>0.188219999999999</v>
      </c>
      <c r="FS381">
        <v>0.02020985849452762</v>
      </c>
      <c r="FT381">
        <v>-1</v>
      </c>
      <c r="FU381">
        <v>0</v>
      </c>
      <c r="FV381">
        <v>0</v>
      </c>
      <c r="FW381">
        <v>0</v>
      </c>
      <c r="FX381">
        <v>-1</v>
      </c>
      <c r="FY381">
        <v>0</v>
      </c>
      <c r="FZ381">
        <v>0</v>
      </c>
      <c r="GA381" t="s">
        <v>420</v>
      </c>
      <c r="GB381">
        <v>2.98164</v>
      </c>
      <c r="GC381">
        <v>2.70619</v>
      </c>
      <c r="GD381">
        <v>0.139642</v>
      </c>
      <c r="GE381">
        <v>0.145878</v>
      </c>
      <c r="GF381">
        <v>0.089114</v>
      </c>
      <c r="GG381">
        <v>0.0515069</v>
      </c>
      <c r="GH381">
        <v>27187.4</v>
      </c>
      <c r="GI381">
        <v>27048.8</v>
      </c>
      <c r="GJ381">
        <v>29377.8</v>
      </c>
      <c r="GK381">
        <v>29292.7</v>
      </c>
      <c r="GL381">
        <v>35431.9</v>
      </c>
      <c r="GM381">
        <v>37012.4</v>
      </c>
      <c r="GN381">
        <v>41349.8</v>
      </c>
      <c r="GO381">
        <v>41812.9</v>
      </c>
      <c r="GP381">
        <v>1.9675</v>
      </c>
      <c r="GQ381">
        <v>1.85502</v>
      </c>
      <c r="GR381">
        <v>-0.00592321</v>
      </c>
      <c r="GS381">
        <v>0</v>
      </c>
      <c r="GT381">
        <v>25.1006</v>
      </c>
      <c r="GU381">
        <v>999.9</v>
      </c>
      <c r="GV381">
        <v>29.5</v>
      </c>
      <c r="GW381">
        <v>34.2</v>
      </c>
      <c r="GX381">
        <v>17.7259</v>
      </c>
      <c r="GY381">
        <v>62.4376</v>
      </c>
      <c r="GZ381">
        <v>35.1162</v>
      </c>
      <c r="HA381">
        <v>1</v>
      </c>
      <c r="HB381">
        <v>0.0427312</v>
      </c>
      <c r="HC381">
        <v>1.56122</v>
      </c>
      <c r="HD381">
        <v>20.3274</v>
      </c>
      <c r="HE381">
        <v>5.21804</v>
      </c>
      <c r="HF381">
        <v>12.0099</v>
      </c>
      <c r="HG381">
        <v>4.98885</v>
      </c>
      <c r="HH381">
        <v>3.28865</v>
      </c>
      <c r="HI381">
        <v>1034.1</v>
      </c>
      <c r="HJ381">
        <v>9753</v>
      </c>
      <c r="HK381">
        <v>5139.4</v>
      </c>
      <c r="HL381">
        <v>25.4</v>
      </c>
      <c r="HM381">
        <v>1.86746</v>
      </c>
      <c r="HN381">
        <v>1.86646</v>
      </c>
      <c r="HO381">
        <v>1.866</v>
      </c>
      <c r="HP381">
        <v>1.86584</v>
      </c>
      <c r="HQ381">
        <v>1.86768</v>
      </c>
      <c r="HR381">
        <v>1.87023</v>
      </c>
      <c r="HS381">
        <v>1.8689</v>
      </c>
      <c r="HT381">
        <v>1.87022</v>
      </c>
      <c r="HU381">
        <v>0</v>
      </c>
      <c r="HV381">
        <v>0</v>
      </c>
      <c r="HW381">
        <v>0</v>
      </c>
      <c r="HX381">
        <v>0</v>
      </c>
      <c r="HY381" t="s">
        <v>421</v>
      </c>
      <c r="HZ381" t="s">
        <v>422</v>
      </c>
      <c r="IA381" t="s">
        <v>423</v>
      </c>
      <c r="IB381" t="s">
        <v>423</v>
      </c>
      <c r="IC381" t="s">
        <v>423</v>
      </c>
      <c r="ID381" t="s">
        <v>423</v>
      </c>
      <c r="IE381">
        <v>0</v>
      </c>
      <c r="IF381">
        <v>100</v>
      </c>
      <c r="IG381">
        <v>100</v>
      </c>
      <c r="IH381">
        <v>-1.509</v>
      </c>
      <c r="II381">
        <v>0.0261</v>
      </c>
      <c r="IJ381">
        <v>-0.1559367209035702</v>
      </c>
      <c r="IK381">
        <v>-0.002077099775823331</v>
      </c>
      <c r="IL381">
        <v>4.593143279902166E-07</v>
      </c>
      <c r="IM381">
        <v>-1.865383991892071E-10</v>
      </c>
      <c r="IN381">
        <v>-0.0607165066849496</v>
      </c>
      <c r="IO381">
        <v>-0.01129461987421345</v>
      </c>
      <c r="IP381">
        <v>0.00116580895745559</v>
      </c>
      <c r="IQ381">
        <v>-1.679085872906199E-05</v>
      </c>
      <c r="IR381">
        <v>2</v>
      </c>
      <c r="IS381">
        <v>2290</v>
      </c>
      <c r="IT381">
        <v>0</v>
      </c>
      <c r="IU381">
        <v>32</v>
      </c>
      <c r="IV381">
        <v>16.4</v>
      </c>
      <c r="IW381">
        <v>16.3</v>
      </c>
      <c r="IX381">
        <v>1.75781</v>
      </c>
      <c r="IY381">
        <v>2.19849</v>
      </c>
      <c r="IZ381">
        <v>1.39648</v>
      </c>
      <c r="JA381">
        <v>2.35474</v>
      </c>
      <c r="JB381">
        <v>1.49536</v>
      </c>
      <c r="JC381">
        <v>2.29736</v>
      </c>
      <c r="JD381">
        <v>38.0134</v>
      </c>
      <c r="JE381">
        <v>24.035</v>
      </c>
      <c r="JF381">
        <v>18</v>
      </c>
      <c r="JG381">
        <v>512.509</v>
      </c>
      <c r="JH381">
        <v>426.372</v>
      </c>
      <c r="JI381">
        <v>23.1357</v>
      </c>
      <c r="JJ381">
        <v>27.8691</v>
      </c>
      <c r="JK381">
        <v>30</v>
      </c>
      <c r="JL381">
        <v>27.8835</v>
      </c>
      <c r="JM381">
        <v>27.8269</v>
      </c>
      <c r="JN381">
        <v>35.3022</v>
      </c>
      <c r="JO381">
        <v>46.6312</v>
      </c>
      <c r="JP381">
        <v>0</v>
      </c>
      <c r="JQ381">
        <v>23.1277</v>
      </c>
      <c r="JR381">
        <v>820.277</v>
      </c>
      <c r="JS381">
        <v>9.007669999999999</v>
      </c>
      <c r="JT381">
        <v>100.418</v>
      </c>
      <c r="JU381">
        <v>100.351</v>
      </c>
    </row>
    <row r="382" spans="1:281">
      <c r="A382">
        <v>366</v>
      </c>
      <c r="B382">
        <v>1651866495.5</v>
      </c>
      <c r="C382">
        <v>2274.900000095367</v>
      </c>
      <c r="D382" t="s">
        <v>1155</v>
      </c>
      <c r="E382" t="s">
        <v>1156</v>
      </c>
      <c r="F382">
        <v>2</v>
      </c>
      <c r="G382" t="s">
        <v>908</v>
      </c>
      <c r="H382" t="s">
        <v>414</v>
      </c>
      <c r="I382">
        <v>1651866494.125</v>
      </c>
      <c r="J382">
        <f>(K382)/1000</f>
        <v>0</v>
      </c>
      <c r="K382">
        <f>IF(CZ382, AN382, AH382)</f>
        <v>0</v>
      </c>
      <c r="L382">
        <f>IF(CZ382, AI382, AG382)</f>
        <v>0</v>
      </c>
      <c r="M382">
        <f>DB382 - IF(AU382&gt;1, L382*CV382*100.0/(AW382*DP382), 0)</f>
        <v>0</v>
      </c>
      <c r="N382">
        <f>((T382-J382/2)*M382-L382)/(T382+J382/2)</f>
        <v>0</v>
      </c>
      <c r="O382">
        <f>N382*(DI382+DJ382)/1000.0</f>
        <v>0</v>
      </c>
      <c r="P382">
        <f>(DB382 - IF(AU382&gt;1, L382*CV382*100.0/(AW382*DP382), 0))*(DI382+DJ382)/1000.0</f>
        <v>0</v>
      </c>
      <c r="Q382">
        <f>2.0/((1/S382-1/R382)+SIGN(S382)*SQRT((1/S382-1/R382)*(1/S382-1/R382) + 4*CW382/((CW382+1)*(CW382+1))*(2*1/S382*1/R382-1/R382*1/R382)))</f>
        <v>0</v>
      </c>
      <c r="R382">
        <f>IF(LEFT(CX382,1)&lt;&gt;"0",IF(LEFT(CX382,1)="1",3.0,CY382),$D$5+$E$5*(DP382*DI382/($K$5*1000))+$F$5*(DP382*DI382/($K$5*1000))*MAX(MIN(CV382,$J$5),$I$5)*MAX(MIN(CV382,$J$5),$I$5)+$G$5*MAX(MIN(CV382,$J$5),$I$5)*(DP382*DI382/($K$5*1000))+$H$5*(DP382*DI382/($K$5*1000))*(DP382*DI382/($K$5*1000)))</f>
        <v>0</v>
      </c>
      <c r="S382">
        <f>J382*(1000-(1000*0.61365*exp(17.502*W382/(240.97+W382))/(DI382+DJ382)+DD382)/2)/(1000*0.61365*exp(17.502*W382/(240.97+W382))/(DI382+DJ382)-DD382)</f>
        <v>0</v>
      </c>
      <c r="T382">
        <f>1/((CW382+1)/(Q382/1.6)+1/(R382/1.37)) + CW382/((CW382+1)/(Q382/1.6) + CW382/(R382/1.37))</f>
        <v>0</v>
      </c>
      <c r="U382">
        <f>(CR382*CU382)</f>
        <v>0</v>
      </c>
      <c r="V382">
        <f>(DK382+(U382+2*0.95*5.67E-8*(((DK382+$B$7)+273)^4-(DK382+273)^4)-44100*J382)/(1.84*29.3*R382+8*0.95*5.67E-8*(DK382+273)^3))</f>
        <v>0</v>
      </c>
      <c r="W382">
        <f>($C$7*DL382+$D$7*DM382+$E$7*V382)</f>
        <v>0</v>
      </c>
      <c r="X382">
        <f>0.61365*exp(17.502*W382/(240.97+W382))</f>
        <v>0</v>
      </c>
      <c r="Y382">
        <f>(Z382/AA382*100)</f>
        <v>0</v>
      </c>
      <c r="Z382">
        <f>DD382*(DI382+DJ382)/1000</f>
        <v>0</v>
      </c>
      <c r="AA382">
        <f>0.61365*exp(17.502*DK382/(240.97+DK382))</f>
        <v>0</v>
      </c>
      <c r="AB382">
        <f>(X382-DD382*(DI382+DJ382)/1000)</f>
        <v>0</v>
      </c>
      <c r="AC382">
        <f>(-J382*44100)</f>
        <v>0</v>
      </c>
      <c r="AD382">
        <f>2*29.3*R382*0.92*(DK382-W382)</f>
        <v>0</v>
      </c>
      <c r="AE382">
        <f>2*0.95*5.67E-8*(((DK382+$B$7)+273)^4-(W382+273)^4)</f>
        <v>0</v>
      </c>
      <c r="AF382">
        <f>U382+AE382+AC382+AD382</f>
        <v>0</v>
      </c>
      <c r="AG382">
        <f>DH382*AU382*(DC382-DB382*(1000-AU382*DE382)/(1000-AU382*DD382))/(100*CV382)</f>
        <v>0</v>
      </c>
      <c r="AH382">
        <f>1000*DH382*AU382*(DD382-DE382)/(100*CV382*(1000-AU382*DD382))</f>
        <v>0</v>
      </c>
      <c r="AI382">
        <f>(AJ382 - AK382 - DI382*1E3/(8.314*(DK382+273.15)) * AM382/DH382 * AL382) * DH382/(100*CV382) * (1000 - DE382)/1000</f>
        <v>0</v>
      </c>
      <c r="AJ382">
        <v>801.8761362219358</v>
      </c>
      <c r="AK382">
        <v>752.7733939393942</v>
      </c>
      <c r="AL382">
        <v>3.436750888367182</v>
      </c>
      <c r="AM382">
        <v>66.38195617057868</v>
      </c>
      <c r="AN382">
        <f>(AP382 - AO382 + DI382*1E3/(8.314*(DK382+273.15)) * AR382/DH382 * AQ382) * DH382/(100*CV382) * 1000/(1000 - AP382)</f>
        <v>0</v>
      </c>
      <c r="AO382">
        <v>9.089049314880752</v>
      </c>
      <c r="AP382">
        <v>18.73822852941176</v>
      </c>
      <c r="AQ382">
        <v>-0.0001182336787119292</v>
      </c>
      <c r="AR382">
        <v>80.47178418790507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MAX(0,($B$13+$C$13*DP382)/(1+$D$13*DP382)*DI382/(DK382+273)*$E$13)</f>
        <v>0</v>
      </c>
      <c r="AX382" t="s">
        <v>417</v>
      </c>
      <c r="AY382" t="s">
        <v>417</v>
      </c>
      <c r="AZ382">
        <v>0</v>
      </c>
      <c r="BA382">
        <v>0</v>
      </c>
      <c r="BB382">
        <f>1-AZ382/BA382</f>
        <v>0</v>
      </c>
      <c r="BC382">
        <v>0</v>
      </c>
      <c r="BD382" t="s">
        <v>417</v>
      </c>
      <c r="BE382" t="s">
        <v>417</v>
      </c>
      <c r="BF382">
        <v>0</v>
      </c>
      <c r="BG382">
        <v>0</v>
      </c>
      <c r="BH382">
        <f>1-BF382/BG382</f>
        <v>0</v>
      </c>
      <c r="BI382">
        <v>0.5</v>
      </c>
      <c r="BJ382">
        <f>CS382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417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BZ382">
        <v>1249</v>
      </c>
      <c r="CA382">
        <v>300</v>
      </c>
      <c r="CB382">
        <v>300</v>
      </c>
      <c r="CC382">
        <v>300</v>
      </c>
      <c r="CD382">
        <v>10442.4</v>
      </c>
      <c r="CE382">
        <v>1239.69</v>
      </c>
      <c r="CF382">
        <v>-0.00735276</v>
      </c>
      <c r="CG382">
        <v>0.07000000000000001</v>
      </c>
      <c r="CH382" t="s">
        <v>417</v>
      </c>
      <c r="CI382" t="s">
        <v>417</v>
      </c>
      <c r="CJ382" t="s">
        <v>417</v>
      </c>
      <c r="CK382" t="s">
        <v>417</v>
      </c>
      <c r="CL382" t="s">
        <v>417</v>
      </c>
      <c r="CM382" t="s">
        <v>417</v>
      </c>
      <c r="CN382" t="s">
        <v>417</v>
      </c>
      <c r="CO382" t="s">
        <v>417</v>
      </c>
      <c r="CP382" t="s">
        <v>417</v>
      </c>
      <c r="CQ382" t="s">
        <v>417</v>
      </c>
      <c r="CR382">
        <f>$B$11*DQ382+$C$11*DR382+$F$11*EC382*(1-EF382)</f>
        <v>0</v>
      </c>
      <c r="CS382">
        <f>CR382*CT382</f>
        <v>0</v>
      </c>
      <c r="CT382">
        <f>($B$11*$D$9+$C$11*$D$9+$F$11*((EP382+EH382)/MAX(EP382+EH382+EQ382, 0.1)*$I$9+EQ382/MAX(EP382+EH382+EQ382, 0.1)*$J$9))/($B$11+$C$11+$F$11)</f>
        <v>0</v>
      </c>
      <c r="CU382">
        <f>($B$11*$K$9+$C$11*$K$9+$F$11*((EP382+EH382)/MAX(EP382+EH382+EQ382, 0.1)*$P$9+EQ382/MAX(EP382+EH382+EQ382, 0.1)*$Q$9))/($B$11+$C$11+$F$11)</f>
        <v>0</v>
      </c>
      <c r="CV382">
        <v>6</v>
      </c>
      <c r="CW382">
        <v>0.5</v>
      </c>
      <c r="CX382" t="s">
        <v>418</v>
      </c>
      <c r="CY382">
        <v>2</v>
      </c>
      <c r="CZ382" t="b">
        <v>1</v>
      </c>
      <c r="DA382">
        <v>1651866494.125</v>
      </c>
      <c r="DB382">
        <v>735.721</v>
      </c>
      <c r="DC382">
        <v>799.3032499999999</v>
      </c>
      <c r="DD382">
        <v>18.737875</v>
      </c>
      <c r="DE382">
        <v>9.0832625</v>
      </c>
      <c r="DF382">
        <v>737.23325</v>
      </c>
      <c r="DG382">
        <v>18.7117</v>
      </c>
      <c r="DH382">
        <v>500.077</v>
      </c>
      <c r="DI382">
        <v>89.91560000000001</v>
      </c>
      <c r="DJ382">
        <v>0.100068</v>
      </c>
      <c r="DK382">
        <v>25.950475</v>
      </c>
      <c r="DL382">
        <v>25.003875</v>
      </c>
      <c r="DM382">
        <v>999.9</v>
      </c>
      <c r="DN382">
        <v>0</v>
      </c>
      <c r="DO382">
        <v>0</v>
      </c>
      <c r="DP382">
        <v>9998.130000000001</v>
      </c>
      <c r="DQ382">
        <v>0</v>
      </c>
      <c r="DR382">
        <v>3.23193</v>
      </c>
      <c r="DS382">
        <v>-63.5824</v>
      </c>
      <c r="DT382">
        <v>749.77</v>
      </c>
      <c r="DU382">
        <v>806.6302499999999</v>
      </c>
      <c r="DV382">
        <v>9.654595</v>
      </c>
      <c r="DW382">
        <v>799.3032499999999</v>
      </c>
      <c r="DX382">
        <v>9.0832625</v>
      </c>
      <c r="DY382">
        <v>1.6848275</v>
      </c>
      <c r="DZ382">
        <v>0.8167267500000001</v>
      </c>
      <c r="EA382">
        <v>14.7573</v>
      </c>
      <c r="EB382">
        <v>4.00139</v>
      </c>
      <c r="EC382">
        <v>1500.0225</v>
      </c>
      <c r="ED382">
        <v>0.9729985</v>
      </c>
      <c r="EE382">
        <v>0.02700135</v>
      </c>
      <c r="EF382">
        <v>0</v>
      </c>
      <c r="EG382">
        <v>917.079</v>
      </c>
      <c r="EH382">
        <v>5.00097</v>
      </c>
      <c r="EI382">
        <v>13659.775</v>
      </c>
      <c r="EJ382">
        <v>12491.775</v>
      </c>
      <c r="EK382">
        <v>38.25</v>
      </c>
      <c r="EL382">
        <v>39.48425</v>
      </c>
      <c r="EM382">
        <v>38.67149999999999</v>
      </c>
      <c r="EN382">
        <v>39.125</v>
      </c>
      <c r="EO382">
        <v>39.0935</v>
      </c>
      <c r="EP382">
        <v>1454.65</v>
      </c>
      <c r="EQ382">
        <v>40.37</v>
      </c>
      <c r="ER382">
        <v>0</v>
      </c>
      <c r="ES382">
        <v>1013</v>
      </c>
      <c r="ET382">
        <v>0</v>
      </c>
      <c r="EU382">
        <v>916.3574800000001</v>
      </c>
      <c r="EV382">
        <v>8.318999996614814</v>
      </c>
      <c r="EW382">
        <v>101.492307785501</v>
      </c>
      <c r="EX382">
        <v>13650.624</v>
      </c>
      <c r="EY382">
        <v>15</v>
      </c>
      <c r="EZ382">
        <v>1651865518.1</v>
      </c>
      <c r="FA382" t="s">
        <v>910</v>
      </c>
      <c r="FB382">
        <v>1651865507.1</v>
      </c>
      <c r="FC382">
        <v>1651865518.1</v>
      </c>
      <c r="FD382">
        <v>8</v>
      </c>
      <c r="FE382">
        <v>0.06</v>
      </c>
      <c r="FF382">
        <v>0</v>
      </c>
      <c r="FG382">
        <v>-0.927</v>
      </c>
      <c r="FH382">
        <v>-0.062</v>
      </c>
      <c r="FI382">
        <v>400</v>
      </c>
      <c r="FJ382">
        <v>11</v>
      </c>
      <c r="FK382">
        <v>0.11</v>
      </c>
      <c r="FL382">
        <v>0.01</v>
      </c>
      <c r="FM382">
        <v>-63.82257</v>
      </c>
      <c r="FN382">
        <v>1.189213508442841</v>
      </c>
      <c r="FO382">
        <v>0.1541632855124723</v>
      </c>
      <c r="FP382">
        <v>-1</v>
      </c>
      <c r="FQ382">
        <v>9.634963500000001</v>
      </c>
      <c r="FR382">
        <v>0.1886463039399667</v>
      </c>
      <c r="FS382">
        <v>0.01990539720151295</v>
      </c>
      <c r="FT382">
        <v>-1</v>
      </c>
      <c r="FU382">
        <v>0</v>
      </c>
      <c r="FV382">
        <v>0</v>
      </c>
      <c r="FW382">
        <v>0</v>
      </c>
      <c r="FX382">
        <v>-1</v>
      </c>
      <c r="FY382">
        <v>0</v>
      </c>
      <c r="FZ382">
        <v>0</v>
      </c>
      <c r="GA382" t="s">
        <v>420</v>
      </c>
      <c r="GB382">
        <v>2.98147</v>
      </c>
      <c r="GC382">
        <v>2.70618</v>
      </c>
      <c r="GD382">
        <v>0.140515</v>
      </c>
      <c r="GE382">
        <v>0.146711</v>
      </c>
      <c r="GF382">
        <v>0.0891064</v>
      </c>
      <c r="GG382">
        <v>0.0514522</v>
      </c>
      <c r="GH382">
        <v>27159.9</v>
      </c>
      <c r="GI382">
        <v>27022.5</v>
      </c>
      <c r="GJ382">
        <v>29377.8</v>
      </c>
      <c r="GK382">
        <v>29292.9</v>
      </c>
      <c r="GL382">
        <v>35432.3</v>
      </c>
      <c r="GM382">
        <v>37014.7</v>
      </c>
      <c r="GN382">
        <v>41349.9</v>
      </c>
      <c r="GO382">
        <v>41813</v>
      </c>
      <c r="GP382">
        <v>1.96753</v>
      </c>
      <c r="GQ382">
        <v>1.8552</v>
      </c>
      <c r="GR382">
        <v>-0.00604615</v>
      </c>
      <c r="GS382">
        <v>0</v>
      </c>
      <c r="GT382">
        <v>25.1016</v>
      </c>
      <c r="GU382">
        <v>999.9</v>
      </c>
      <c r="GV382">
        <v>29.6</v>
      </c>
      <c r="GW382">
        <v>34.2</v>
      </c>
      <c r="GX382">
        <v>17.787</v>
      </c>
      <c r="GY382">
        <v>62.6276</v>
      </c>
      <c r="GZ382">
        <v>35.4207</v>
      </c>
      <c r="HA382">
        <v>1</v>
      </c>
      <c r="HB382">
        <v>0.0427287</v>
      </c>
      <c r="HC382">
        <v>1.55891</v>
      </c>
      <c r="HD382">
        <v>20.3275</v>
      </c>
      <c r="HE382">
        <v>5.21804</v>
      </c>
      <c r="HF382">
        <v>12.0099</v>
      </c>
      <c r="HG382">
        <v>4.9889</v>
      </c>
      <c r="HH382">
        <v>3.28865</v>
      </c>
      <c r="HI382">
        <v>1034.3</v>
      </c>
      <c r="HJ382">
        <v>9754.5</v>
      </c>
      <c r="HK382">
        <v>5139.4</v>
      </c>
      <c r="HL382">
        <v>25.4</v>
      </c>
      <c r="HM382">
        <v>1.86746</v>
      </c>
      <c r="HN382">
        <v>1.86646</v>
      </c>
      <c r="HO382">
        <v>1.86599</v>
      </c>
      <c r="HP382">
        <v>1.86584</v>
      </c>
      <c r="HQ382">
        <v>1.86768</v>
      </c>
      <c r="HR382">
        <v>1.87021</v>
      </c>
      <c r="HS382">
        <v>1.8689</v>
      </c>
      <c r="HT382">
        <v>1.8702</v>
      </c>
      <c r="HU382">
        <v>0</v>
      </c>
      <c r="HV382">
        <v>0</v>
      </c>
      <c r="HW382">
        <v>0</v>
      </c>
      <c r="HX382">
        <v>0</v>
      </c>
      <c r="HY382" t="s">
        <v>421</v>
      </c>
      <c r="HZ382" t="s">
        <v>422</v>
      </c>
      <c r="IA382" t="s">
        <v>423</v>
      </c>
      <c r="IB382" t="s">
        <v>423</v>
      </c>
      <c r="IC382" t="s">
        <v>423</v>
      </c>
      <c r="ID382" t="s">
        <v>423</v>
      </c>
      <c r="IE382">
        <v>0</v>
      </c>
      <c r="IF382">
        <v>100</v>
      </c>
      <c r="IG382">
        <v>100</v>
      </c>
      <c r="IH382">
        <v>-1.52</v>
      </c>
      <c r="II382">
        <v>0.0261</v>
      </c>
      <c r="IJ382">
        <v>-0.1559367209035702</v>
      </c>
      <c r="IK382">
        <v>-0.002077099775823331</v>
      </c>
      <c r="IL382">
        <v>4.593143279902166E-07</v>
      </c>
      <c r="IM382">
        <v>-1.865383991892071E-10</v>
      </c>
      <c r="IN382">
        <v>-0.0607165066849496</v>
      </c>
      <c r="IO382">
        <v>-0.01129461987421345</v>
      </c>
      <c r="IP382">
        <v>0.00116580895745559</v>
      </c>
      <c r="IQ382">
        <v>-1.679085872906199E-05</v>
      </c>
      <c r="IR382">
        <v>2</v>
      </c>
      <c r="IS382">
        <v>2290</v>
      </c>
      <c r="IT382">
        <v>0</v>
      </c>
      <c r="IU382">
        <v>32</v>
      </c>
      <c r="IV382">
        <v>16.5</v>
      </c>
      <c r="IW382">
        <v>16.3</v>
      </c>
      <c r="IX382">
        <v>1.77002</v>
      </c>
      <c r="IY382">
        <v>2.1936</v>
      </c>
      <c r="IZ382">
        <v>1.39648</v>
      </c>
      <c r="JA382">
        <v>2.35596</v>
      </c>
      <c r="JB382">
        <v>1.49536</v>
      </c>
      <c r="JC382">
        <v>2.30713</v>
      </c>
      <c r="JD382">
        <v>38.0134</v>
      </c>
      <c r="JE382">
        <v>24.0437</v>
      </c>
      <c r="JF382">
        <v>18</v>
      </c>
      <c r="JG382">
        <v>512.515</v>
      </c>
      <c r="JH382">
        <v>426.468</v>
      </c>
      <c r="JI382">
        <v>23.1309</v>
      </c>
      <c r="JJ382">
        <v>27.8681</v>
      </c>
      <c r="JK382">
        <v>30</v>
      </c>
      <c r="JL382">
        <v>27.8823</v>
      </c>
      <c r="JM382">
        <v>27.8257</v>
      </c>
      <c r="JN382">
        <v>35.5326</v>
      </c>
      <c r="JO382">
        <v>46.6312</v>
      </c>
      <c r="JP382">
        <v>0</v>
      </c>
      <c r="JQ382">
        <v>23.1227</v>
      </c>
      <c r="JR382">
        <v>826.971</v>
      </c>
      <c r="JS382">
        <v>9.00347</v>
      </c>
      <c r="JT382">
        <v>100.418</v>
      </c>
      <c r="JU382">
        <v>100.351</v>
      </c>
    </row>
    <row r="383" spans="1:281">
      <c r="A383">
        <v>367</v>
      </c>
      <c r="B383">
        <v>1651866497.5</v>
      </c>
      <c r="C383">
        <v>2276.900000095367</v>
      </c>
      <c r="D383" t="s">
        <v>1157</v>
      </c>
      <c r="E383" t="s">
        <v>1158</v>
      </c>
      <c r="F383">
        <v>2</v>
      </c>
      <c r="G383" t="s">
        <v>908</v>
      </c>
      <c r="H383" t="s">
        <v>414</v>
      </c>
      <c r="I383">
        <v>1651866496.5</v>
      </c>
      <c r="J383">
        <f>(K383)/1000</f>
        <v>0</v>
      </c>
      <c r="K383">
        <f>IF(CZ383, AN383, AH383)</f>
        <v>0</v>
      </c>
      <c r="L383">
        <f>IF(CZ383, AI383, AG383)</f>
        <v>0</v>
      </c>
      <c r="M383">
        <f>DB383 - IF(AU383&gt;1, L383*CV383*100.0/(AW383*DP383), 0)</f>
        <v>0</v>
      </c>
      <c r="N383">
        <f>((T383-J383/2)*M383-L383)/(T383+J383/2)</f>
        <v>0</v>
      </c>
      <c r="O383">
        <f>N383*(DI383+DJ383)/1000.0</f>
        <v>0</v>
      </c>
      <c r="P383">
        <f>(DB383 - IF(AU383&gt;1, L383*CV383*100.0/(AW383*DP383), 0))*(DI383+DJ383)/1000.0</f>
        <v>0</v>
      </c>
      <c r="Q383">
        <f>2.0/((1/S383-1/R383)+SIGN(S383)*SQRT((1/S383-1/R383)*(1/S383-1/R383) + 4*CW383/((CW383+1)*(CW383+1))*(2*1/S383*1/R383-1/R383*1/R383)))</f>
        <v>0</v>
      </c>
      <c r="R383">
        <f>IF(LEFT(CX383,1)&lt;&gt;"0",IF(LEFT(CX383,1)="1",3.0,CY383),$D$5+$E$5*(DP383*DI383/($K$5*1000))+$F$5*(DP383*DI383/($K$5*1000))*MAX(MIN(CV383,$J$5),$I$5)*MAX(MIN(CV383,$J$5),$I$5)+$G$5*MAX(MIN(CV383,$J$5),$I$5)*(DP383*DI383/($K$5*1000))+$H$5*(DP383*DI383/($K$5*1000))*(DP383*DI383/($K$5*1000)))</f>
        <v>0</v>
      </c>
      <c r="S383">
        <f>J383*(1000-(1000*0.61365*exp(17.502*W383/(240.97+W383))/(DI383+DJ383)+DD383)/2)/(1000*0.61365*exp(17.502*W383/(240.97+W383))/(DI383+DJ383)-DD383)</f>
        <v>0</v>
      </c>
      <c r="T383">
        <f>1/((CW383+1)/(Q383/1.6)+1/(R383/1.37)) + CW383/((CW383+1)/(Q383/1.6) + CW383/(R383/1.37))</f>
        <v>0</v>
      </c>
      <c r="U383">
        <f>(CR383*CU383)</f>
        <v>0</v>
      </c>
      <c r="V383">
        <f>(DK383+(U383+2*0.95*5.67E-8*(((DK383+$B$7)+273)^4-(DK383+273)^4)-44100*J383)/(1.84*29.3*R383+8*0.95*5.67E-8*(DK383+273)^3))</f>
        <v>0</v>
      </c>
      <c r="W383">
        <f>($C$7*DL383+$D$7*DM383+$E$7*V383)</f>
        <v>0</v>
      </c>
      <c r="X383">
        <f>0.61365*exp(17.502*W383/(240.97+W383))</f>
        <v>0</v>
      </c>
      <c r="Y383">
        <f>(Z383/AA383*100)</f>
        <v>0</v>
      </c>
      <c r="Z383">
        <f>DD383*(DI383+DJ383)/1000</f>
        <v>0</v>
      </c>
      <c r="AA383">
        <f>0.61365*exp(17.502*DK383/(240.97+DK383))</f>
        <v>0</v>
      </c>
      <c r="AB383">
        <f>(X383-DD383*(DI383+DJ383)/1000)</f>
        <v>0</v>
      </c>
      <c r="AC383">
        <f>(-J383*44100)</f>
        <v>0</v>
      </c>
      <c r="AD383">
        <f>2*29.3*R383*0.92*(DK383-W383)</f>
        <v>0</v>
      </c>
      <c r="AE383">
        <f>2*0.95*5.67E-8*(((DK383+$B$7)+273)^4-(W383+273)^4)</f>
        <v>0</v>
      </c>
      <c r="AF383">
        <f>U383+AE383+AC383+AD383</f>
        <v>0</v>
      </c>
      <c r="AG383">
        <f>DH383*AU383*(DC383-DB383*(1000-AU383*DE383)/(1000-AU383*DD383))/(100*CV383)</f>
        <v>0</v>
      </c>
      <c r="AH383">
        <f>1000*DH383*AU383*(DD383-DE383)/(100*CV383*(1000-AU383*DD383))</f>
        <v>0</v>
      </c>
      <c r="AI383">
        <f>(AJ383 - AK383 - DI383*1E3/(8.314*(DK383+273.15)) * AM383/DH383 * AL383) * DH383/(100*CV383) * (1000 - DE383)/1000</f>
        <v>0</v>
      </c>
      <c r="AJ383">
        <v>808.6755884190919</v>
      </c>
      <c r="AK383">
        <v>759.6995272727269</v>
      </c>
      <c r="AL383">
        <v>3.452286845566519</v>
      </c>
      <c r="AM383">
        <v>66.38195617057868</v>
      </c>
      <c r="AN383">
        <f>(AP383 - AO383 + DI383*1E3/(8.314*(DK383+273.15)) * AR383/DH383 * AQ383) * DH383/(100*CV383) * 1000/(1000 - AP383)</f>
        <v>0</v>
      </c>
      <c r="AO383">
        <v>9.0876306693802</v>
      </c>
      <c r="AP383">
        <v>18.73503588235293</v>
      </c>
      <c r="AQ383">
        <v>-1.026185604379018E-05</v>
      </c>
      <c r="AR383">
        <v>80.47178418790507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MAX(0,($B$13+$C$13*DP383)/(1+$D$13*DP383)*DI383/(DK383+273)*$E$13)</f>
        <v>0</v>
      </c>
      <c r="AX383" t="s">
        <v>417</v>
      </c>
      <c r="AY383" t="s">
        <v>417</v>
      </c>
      <c r="AZ383">
        <v>0</v>
      </c>
      <c r="BA383">
        <v>0</v>
      </c>
      <c r="BB383">
        <f>1-AZ383/BA383</f>
        <v>0</v>
      </c>
      <c r="BC383">
        <v>0</v>
      </c>
      <c r="BD383" t="s">
        <v>417</v>
      </c>
      <c r="BE383" t="s">
        <v>417</v>
      </c>
      <c r="BF383">
        <v>0</v>
      </c>
      <c r="BG383">
        <v>0</v>
      </c>
      <c r="BH383">
        <f>1-BF383/BG383</f>
        <v>0</v>
      </c>
      <c r="BI383">
        <v>0.5</v>
      </c>
      <c r="BJ383">
        <f>CS383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417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BZ383">
        <v>1249</v>
      </c>
      <c r="CA383">
        <v>300</v>
      </c>
      <c r="CB383">
        <v>300</v>
      </c>
      <c r="CC383">
        <v>300</v>
      </c>
      <c r="CD383">
        <v>10442.4</v>
      </c>
      <c r="CE383">
        <v>1239.69</v>
      </c>
      <c r="CF383">
        <v>-0.00735276</v>
      </c>
      <c r="CG383">
        <v>0.07000000000000001</v>
      </c>
      <c r="CH383" t="s">
        <v>417</v>
      </c>
      <c r="CI383" t="s">
        <v>417</v>
      </c>
      <c r="CJ383" t="s">
        <v>417</v>
      </c>
      <c r="CK383" t="s">
        <v>417</v>
      </c>
      <c r="CL383" t="s">
        <v>417</v>
      </c>
      <c r="CM383" t="s">
        <v>417</v>
      </c>
      <c r="CN383" t="s">
        <v>417</v>
      </c>
      <c r="CO383" t="s">
        <v>417</v>
      </c>
      <c r="CP383" t="s">
        <v>417</v>
      </c>
      <c r="CQ383" t="s">
        <v>417</v>
      </c>
      <c r="CR383">
        <f>$B$11*DQ383+$C$11*DR383+$F$11*EC383*(1-EF383)</f>
        <v>0</v>
      </c>
      <c r="CS383">
        <f>CR383*CT383</f>
        <v>0</v>
      </c>
      <c r="CT383">
        <f>($B$11*$D$9+$C$11*$D$9+$F$11*((EP383+EH383)/MAX(EP383+EH383+EQ383, 0.1)*$I$9+EQ383/MAX(EP383+EH383+EQ383, 0.1)*$J$9))/($B$11+$C$11+$F$11)</f>
        <v>0</v>
      </c>
      <c r="CU383">
        <f>($B$11*$K$9+$C$11*$K$9+$F$11*((EP383+EH383)/MAX(EP383+EH383+EQ383, 0.1)*$P$9+EQ383/MAX(EP383+EH383+EQ383, 0.1)*$Q$9))/($B$11+$C$11+$F$11)</f>
        <v>0</v>
      </c>
      <c r="CV383">
        <v>6</v>
      </c>
      <c r="CW383">
        <v>0.5</v>
      </c>
      <c r="CX383" t="s">
        <v>418</v>
      </c>
      <c r="CY383">
        <v>2</v>
      </c>
      <c r="CZ383" t="b">
        <v>1</v>
      </c>
      <c r="DA383">
        <v>1651866496.5</v>
      </c>
      <c r="DB383">
        <v>743.7673333333333</v>
      </c>
      <c r="DC383">
        <v>807.3443333333333</v>
      </c>
      <c r="DD383">
        <v>18.73553333333333</v>
      </c>
      <c r="DE383">
        <v>9.065263333333332</v>
      </c>
      <c r="DF383">
        <v>745.2933333333334</v>
      </c>
      <c r="DG383">
        <v>18.70943333333333</v>
      </c>
      <c r="DH383">
        <v>500.016</v>
      </c>
      <c r="DI383">
        <v>89.91419999999999</v>
      </c>
      <c r="DJ383">
        <v>0.0999606</v>
      </c>
      <c r="DK383">
        <v>25.9497</v>
      </c>
      <c r="DL383">
        <v>24.99893333333334</v>
      </c>
      <c r="DM383">
        <v>999.9</v>
      </c>
      <c r="DN383">
        <v>0</v>
      </c>
      <c r="DO383">
        <v>0</v>
      </c>
      <c r="DP383">
        <v>10005.62666666667</v>
      </c>
      <c r="DQ383">
        <v>0</v>
      </c>
      <c r="DR383">
        <v>3.23193</v>
      </c>
      <c r="DS383">
        <v>-63.57763333333332</v>
      </c>
      <c r="DT383">
        <v>757.968</v>
      </c>
      <c r="DU383">
        <v>814.7306666666667</v>
      </c>
      <c r="DV383">
        <v>9.670276666666666</v>
      </c>
      <c r="DW383">
        <v>807.3443333333333</v>
      </c>
      <c r="DX383">
        <v>9.065263333333332</v>
      </c>
      <c r="DY383">
        <v>1.684593333333333</v>
      </c>
      <c r="DZ383">
        <v>0.8150956666666667</v>
      </c>
      <c r="EA383">
        <v>14.75513333333333</v>
      </c>
      <c r="EB383">
        <v>3.972953333333333</v>
      </c>
      <c r="EC383">
        <v>1500.19</v>
      </c>
      <c r="ED383">
        <v>0.973001</v>
      </c>
      <c r="EE383">
        <v>0.0269991</v>
      </c>
      <c r="EF383">
        <v>0</v>
      </c>
      <c r="EG383">
        <v>917.1210000000001</v>
      </c>
      <c r="EH383">
        <v>5.00097</v>
      </c>
      <c r="EI383">
        <v>13664.9</v>
      </c>
      <c r="EJ383">
        <v>12493.16666666667</v>
      </c>
      <c r="EK383">
        <v>38.25</v>
      </c>
      <c r="EL383">
        <v>39.458</v>
      </c>
      <c r="EM383">
        <v>38.64566666666666</v>
      </c>
      <c r="EN383">
        <v>39.125</v>
      </c>
      <c r="EO383">
        <v>39.062</v>
      </c>
      <c r="EP383">
        <v>1454.816666666667</v>
      </c>
      <c r="EQ383">
        <v>40.37</v>
      </c>
      <c r="ER383">
        <v>0</v>
      </c>
      <c r="ES383">
        <v>1015.400000095367</v>
      </c>
      <c r="ET383">
        <v>0</v>
      </c>
      <c r="EU383">
        <v>916.6172800000001</v>
      </c>
      <c r="EV383">
        <v>7.264769203878083</v>
      </c>
      <c r="EW383">
        <v>91.14615385656761</v>
      </c>
      <c r="EX383">
        <v>13654.584</v>
      </c>
      <c r="EY383">
        <v>15</v>
      </c>
      <c r="EZ383">
        <v>1651865518.1</v>
      </c>
      <c r="FA383" t="s">
        <v>910</v>
      </c>
      <c r="FB383">
        <v>1651865507.1</v>
      </c>
      <c r="FC383">
        <v>1651865518.1</v>
      </c>
      <c r="FD383">
        <v>8</v>
      </c>
      <c r="FE383">
        <v>0.06</v>
      </c>
      <c r="FF383">
        <v>0</v>
      </c>
      <c r="FG383">
        <v>-0.927</v>
      </c>
      <c r="FH383">
        <v>-0.062</v>
      </c>
      <c r="FI383">
        <v>400</v>
      </c>
      <c r="FJ383">
        <v>11</v>
      </c>
      <c r="FK383">
        <v>0.11</v>
      </c>
      <c r="FL383">
        <v>0.01</v>
      </c>
      <c r="FM383">
        <v>-63.80565609756098</v>
      </c>
      <c r="FN383">
        <v>1.458706620209059</v>
      </c>
      <c r="FO383">
        <v>0.1667965447509889</v>
      </c>
      <c r="FP383">
        <v>-1</v>
      </c>
      <c r="FQ383">
        <v>9.6386</v>
      </c>
      <c r="FR383">
        <v>0.1890183972125422</v>
      </c>
      <c r="FS383">
        <v>0.02031477667166217</v>
      </c>
      <c r="FT383">
        <v>-1</v>
      </c>
      <c r="FU383">
        <v>0</v>
      </c>
      <c r="FV383">
        <v>0</v>
      </c>
      <c r="FW383">
        <v>0</v>
      </c>
      <c r="FX383">
        <v>-1</v>
      </c>
      <c r="FY383">
        <v>0</v>
      </c>
      <c r="FZ383">
        <v>0</v>
      </c>
      <c r="GA383" t="s">
        <v>420</v>
      </c>
      <c r="GB383">
        <v>2.98157</v>
      </c>
      <c r="GC383">
        <v>2.70625</v>
      </c>
      <c r="GD383">
        <v>0.14138</v>
      </c>
      <c r="GE383">
        <v>0.147538</v>
      </c>
      <c r="GF383">
        <v>0.0890933</v>
      </c>
      <c r="GG383">
        <v>0.0513744</v>
      </c>
      <c r="GH383">
        <v>27132.7</v>
      </c>
      <c r="GI383">
        <v>26996.4</v>
      </c>
      <c r="GJ383">
        <v>29378</v>
      </c>
      <c r="GK383">
        <v>29293</v>
      </c>
      <c r="GL383">
        <v>35432.9</v>
      </c>
      <c r="GM383">
        <v>37017.7</v>
      </c>
      <c r="GN383">
        <v>41350</v>
      </c>
      <c r="GO383">
        <v>41812.9</v>
      </c>
      <c r="GP383">
        <v>1.96725</v>
      </c>
      <c r="GQ383">
        <v>1.85535</v>
      </c>
      <c r="GR383">
        <v>-0.00625104</v>
      </c>
      <c r="GS383">
        <v>0</v>
      </c>
      <c r="GT383">
        <v>25.1016</v>
      </c>
      <c r="GU383">
        <v>999.9</v>
      </c>
      <c r="GV383">
        <v>29.5</v>
      </c>
      <c r="GW383">
        <v>34.2</v>
      </c>
      <c r="GX383">
        <v>17.7256</v>
      </c>
      <c r="GY383">
        <v>62.3976</v>
      </c>
      <c r="GZ383">
        <v>35.1322</v>
      </c>
      <c r="HA383">
        <v>1</v>
      </c>
      <c r="HB383">
        <v>0.0427033</v>
      </c>
      <c r="HC383">
        <v>1.5578</v>
      </c>
      <c r="HD383">
        <v>20.3275</v>
      </c>
      <c r="HE383">
        <v>5.21849</v>
      </c>
      <c r="HF383">
        <v>12.0099</v>
      </c>
      <c r="HG383">
        <v>4.98895</v>
      </c>
      <c r="HH383">
        <v>3.28865</v>
      </c>
      <c r="HI383">
        <v>1034.3</v>
      </c>
      <c r="HJ383">
        <v>9754.5</v>
      </c>
      <c r="HK383">
        <v>5139.4</v>
      </c>
      <c r="HL383">
        <v>25.4</v>
      </c>
      <c r="HM383">
        <v>1.86747</v>
      </c>
      <c r="HN383">
        <v>1.86646</v>
      </c>
      <c r="HO383">
        <v>1.86599</v>
      </c>
      <c r="HP383">
        <v>1.86584</v>
      </c>
      <c r="HQ383">
        <v>1.86768</v>
      </c>
      <c r="HR383">
        <v>1.87017</v>
      </c>
      <c r="HS383">
        <v>1.8689</v>
      </c>
      <c r="HT383">
        <v>1.8702</v>
      </c>
      <c r="HU383">
        <v>0</v>
      </c>
      <c r="HV383">
        <v>0</v>
      </c>
      <c r="HW383">
        <v>0</v>
      </c>
      <c r="HX383">
        <v>0</v>
      </c>
      <c r="HY383" t="s">
        <v>421</v>
      </c>
      <c r="HZ383" t="s">
        <v>422</v>
      </c>
      <c r="IA383" t="s">
        <v>423</v>
      </c>
      <c r="IB383" t="s">
        <v>423</v>
      </c>
      <c r="IC383" t="s">
        <v>423</v>
      </c>
      <c r="ID383" t="s">
        <v>423</v>
      </c>
      <c r="IE383">
        <v>0</v>
      </c>
      <c r="IF383">
        <v>100</v>
      </c>
      <c r="IG383">
        <v>100</v>
      </c>
      <c r="IH383">
        <v>-1.532</v>
      </c>
      <c r="II383">
        <v>0.0261</v>
      </c>
      <c r="IJ383">
        <v>-0.1559367209035702</v>
      </c>
      <c r="IK383">
        <v>-0.002077099775823331</v>
      </c>
      <c r="IL383">
        <v>4.593143279902166E-07</v>
      </c>
      <c r="IM383">
        <v>-1.865383991892071E-10</v>
      </c>
      <c r="IN383">
        <v>-0.0607165066849496</v>
      </c>
      <c r="IO383">
        <v>-0.01129461987421345</v>
      </c>
      <c r="IP383">
        <v>0.00116580895745559</v>
      </c>
      <c r="IQ383">
        <v>-1.679085872906199E-05</v>
      </c>
      <c r="IR383">
        <v>2</v>
      </c>
      <c r="IS383">
        <v>2290</v>
      </c>
      <c r="IT383">
        <v>0</v>
      </c>
      <c r="IU383">
        <v>32</v>
      </c>
      <c r="IV383">
        <v>16.5</v>
      </c>
      <c r="IW383">
        <v>16.3</v>
      </c>
      <c r="IX383">
        <v>1.78101</v>
      </c>
      <c r="IY383">
        <v>2.18994</v>
      </c>
      <c r="IZ383">
        <v>1.39648</v>
      </c>
      <c r="JA383">
        <v>2.35596</v>
      </c>
      <c r="JB383">
        <v>1.49536</v>
      </c>
      <c r="JC383">
        <v>2.35962</v>
      </c>
      <c r="JD383">
        <v>38.0134</v>
      </c>
      <c r="JE383">
        <v>24.0437</v>
      </c>
      <c r="JF383">
        <v>18</v>
      </c>
      <c r="JG383">
        <v>512.332</v>
      </c>
      <c r="JH383">
        <v>426.553</v>
      </c>
      <c r="JI383">
        <v>23.1269</v>
      </c>
      <c r="JJ383">
        <v>27.8681</v>
      </c>
      <c r="JK383">
        <v>29.9999</v>
      </c>
      <c r="JL383">
        <v>27.8819</v>
      </c>
      <c r="JM383">
        <v>27.8251</v>
      </c>
      <c r="JN383">
        <v>35.7646</v>
      </c>
      <c r="JO383">
        <v>46.6312</v>
      </c>
      <c r="JP383">
        <v>0</v>
      </c>
      <c r="JQ383">
        <v>23.1227</v>
      </c>
      <c r="JR383">
        <v>833.667</v>
      </c>
      <c r="JS383">
        <v>9.00515</v>
      </c>
      <c r="JT383">
        <v>100.419</v>
      </c>
      <c r="JU383">
        <v>100.351</v>
      </c>
    </row>
    <row r="384" spans="1:281">
      <c r="A384">
        <v>368</v>
      </c>
      <c r="B384">
        <v>1651866499.5</v>
      </c>
      <c r="C384">
        <v>2278.900000095367</v>
      </c>
      <c r="D384" t="s">
        <v>1159</v>
      </c>
      <c r="E384" t="s">
        <v>1160</v>
      </c>
      <c r="F384">
        <v>2</v>
      </c>
      <c r="G384" t="s">
        <v>908</v>
      </c>
      <c r="H384" t="s">
        <v>414</v>
      </c>
      <c r="I384">
        <v>1651866498.125</v>
      </c>
      <c r="J384">
        <f>(K384)/1000</f>
        <v>0</v>
      </c>
      <c r="K384">
        <f>IF(CZ384, AN384, AH384)</f>
        <v>0</v>
      </c>
      <c r="L384">
        <f>IF(CZ384, AI384, AG384)</f>
        <v>0</v>
      </c>
      <c r="M384">
        <f>DB384 - IF(AU384&gt;1, L384*CV384*100.0/(AW384*DP384), 0)</f>
        <v>0</v>
      </c>
      <c r="N384">
        <f>((T384-J384/2)*M384-L384)/(T384+J384/2)</f>
        <v>0</v>
      </c>
      <c r="O384">
        <f>N384*(DI384+DJ384)/1000.0</f>
        <v>0</v>
      </c>
      <c r="P384">
        <f>(DB384 - IF(AU384&gt;1, L384*CV384*100.0/(AW384*DP384), 0))*(DI384+DJ384)/1000.0</f>
        <v>0</v>
      </c>
      <c r="Q384">
        <f>2.0/((1/S384-1/R384)+SIGN(S384)*SQRT((1/S384-1/R384)*(1/S384-1/R384) + 4*CW384/((CW384+1)*(CW384+1))*(2*1/S384*1/R384-1/R384*1/R384)))</f>
        <v>0</v>
      </c>
      <c r="R384">
        <f>IF(LEFT(CX384,1)&lt;&gt;"0",IF(LEFT(CX384,1)="1",3.0,CY384),$D$5+$E$5*(DP384*DI384/($K$5*1000))+$F$5*(DP384*DI384/($K$5*1000))*MAX(MIN(CV384,$J$5),$I$5)*MAX(MIN(CV384,$J$5),$I$5)+$G$5*MAX(MIN(CV384,$J$5),$I$5)*(DP384*DI384/($K$5*1000))+$H$5*(DP384*DI384/($K$5*1000))*(DP384*DI384/($K$5*1000)))</f>
        <v>0</v>
      </c>
      <c r="S384">
        <f>J384*(1000-(1000*0.61365*exp(17.502*W384/(240.97+W384))/(DI384+DJ384)+DD384)/2)/(1000*0.61365*exp(17.502*W384/(240.97+W384))/(DI384+DJ384)-DD384)</f>
        <v>0</v>
      </c>
      <c r="T384">
        <f>1/((CW384+1)/(Q384/1.6)+1/(R384/1.37)) + CW384/((CW384+1)/(Q384/1.6) + CW384/(R384/1.37))</f>
        <v>0</v>
      </c>
      <c r="U384">
        <f>(CR384*CU384)</f>
        <v>0</v>
      </c>
      <c r="V384">
        <f>(DK384+(U384+2*0.95*5.67E-8*(((DK384+$B$7)+273)^4-(DK384+273)^4)-44100*J384)/(1.84*29.3*R384+8*0.95*5.67E-8*(DK384+273)^3))</f>
        <v>0</v>
      </c>
      <c r="W384">
        <f>($C$7*DL384+$D$7*DM384+$E$7*V384)</f>
        <v>0</v>
      </c>
      <c r="X384">
        <f>0.61365*exp(17.502*W384/(240.97+W384))</f>
        <v>0</v>
      </c>
      <c r="Y384">
        <f>(Z384/AA384*100)</f>
        <v>0</v>
      </c>
      <c r="Z384">
        <f>DD384*(DI384+DJ384)/1000</f>
        <v>0</v>
      </c>
      <c r="AA384">
        <f>0.61365*exp(17.502*DK384/(240.97+DK384))</f>
        <v>0</v>
      </c>
      <c r="AB384">
        <f>(X384-DD384*(DI384+DJ384)/1000)</f>
        <v>0</v>
      </c>
      <c r="AC384">
        <f>(-J384*44100)</f>
        <v>0</v>
      </c>
      <c r="AD384">
        <f>2*29.3*R384*0.92*(DK384-W384)</f>
        <v>0</v>
      </c>
      <c r="AE384">
        <f>2*0.95*5.67E-8*(((DK384+$B$7)+273)^4-(W384+273)^4)</f>
        <v>0</v>
      </c>
      <c r="AF384">
        <f>U384+AE384+AC384+AD384</f>
        <v>0</v>
      </c>
      <c r="AG384">
        <f>DH384*AU384*(DC384-DB384*(1000-AU384*DE384)/(1000-AU384*DD384))/(100*CV384)</f>
        <v>0</v>
      </c>
      <c r="AH384">
        <f>1000*DH384*AU384*(DD384-DE384)/(100*CV384*(1000-AU384*DD384))</f>
        <v>0</v>
      </c>
      <c r="AI384">
        <f>(AJ384 - AK384 - DI384*1E3/(8.314*(DK384+273.15)) * AM384/DH384 * AL384) * DH384/(100*CV384) * (1000 - DE384)/1000</f>
        <v>0</v>
      </c>
      <c r="AJ384">
        <v>815.5224992337048</v>
      </c>
      <c r="AK384">
        <v>766.6043090909093</v>
      </c>
      <c r="AL384">
        <v>3.453673820973228</v>
      </c>
      <c r="AM384">
        <v>66.38195617057868</v>
      </c>
      <c r="AN384">
        <f>(AP384 - AO384 + DI384*1E3/(8.314*(DK384+273.15)) * AR384/DH384 * AQ384) * DH384/(100*CV384) * 1000/(1000 - AP384)</f>
        <v>0</v>
      </c>
      <c r="AO384">
        <v>9.077469766840508</v>
      </c>
      <c r="AP384">
        <v>18.73056705882354</v>
      </c>
      <c r="AQ384">
        <v>3.393790070659545E-06</v>
      </c>
      <c r="AR384">
        <v>80.47178418790507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MAX(0,($B$13+$C$13*DP384)/(1+$D$13*DP384)*DI384/(DK384+273)*$E$13)</f>
        <v>0</v>
      </c>
      <c r="AX384" t="s">
        <v>417</v>
      </c>
      <c r="AY384" t="s">
        <v>417</v>
      </c>
      <c r="AZ384">
        <v>0</v>
      </c>
      <c r="BA384">
        <v>0</v>
      </c>
      <c r="BB384">
        <f>1-AZ384/BA384</f>
        <v>0</v>
      </c>
      <c r="BC384">
        <v>0</v>
      </c>
      <c r="BD384" t="s">
        <v>417</v>
      </c>
      <c r="BE384" t="s">
        <v>417</v>
      </c>
      <c r="BF384">
        <v>0</v>
      </c>
      <c r="BG384">
        <v>0</v>
      </c>
      <c r="BH384">
        <f>1-BF384/BG384</f>
        <v>0</v>
      </c>
      <c r="BI384">
        <v>0.5</v>
      </c>
      <c r="BJ384">
        <f>CS384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417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BZ384">
        <v>1249</v>
      </c>
      <c r="CA384">
        <v>300</v>
      </c>
      <c r="CB384">
        <v>300</v>
      </c>
      <c r="CC384">
        <v>300</v>
      </c>
      <c r="CD384">
        <v>10442.4</v>
      </c>
      <c r="CE384">
        <v>1239.69</v>
      </c>
      <c r="CF384">
        <v>-0.00735276</v>
      </c>
      <c r="CG384">
        <v>0.07000000000000001</v>
      </c>
      <c r="CH384" t="s">
        <v>417</v>
      </c>
      <c r="CI384" t="s">
        <v>417</v>
      </c>
      <c r="CJ384" t="s">
        <v>417</v>
      </c>
      <c r="CK384" t="s">
        <v>417</v>
      </c>
      <c r="CL384" t="s">
        <v>417</v>
      </c>
      <c r="CM384" t="s">
        <v>417</v>
      </c>
      <c r="CN384" t="s">
        <v>417</v>
      </c>
      <c r="CO384" t="s">
        <v>417</v>
      </c>
      <c r="CP384" t="s">
        <v>417</v>
      </c>
      <c r="CQ384" t="s">
        <v>417</v>
      </c>
      <c r="CR384">
        <f>$B$11*DQ384+$C$11*DR384+$F$11*EC384*(1-EF384)</f>
        <v>0</v>
      </c>
      <c r="CS384">
        <f>CR384*CT384</f>
        <v>0</v>
      </c>
      <c r="CT384">
        <f>($B$11*$D$9+$C$11*$D$9+$F$11*((EP384+EH384)/MAX(EP384+EH384+EQ384, 0.1)*$I$9+EQ384/MAX(EP384+EH384+EQ384, 0.1)*$J$9))/($B$11+$C$11+$F$11)</f>
        <v>0</v>
      </c>
      <c r="CU384">
        <f>($B$11*$K$9+$C$11*$K$9+$F$11*((EP384+EH384)/MAX(EP384+EH384+EQ384, 0.1)*$P$9+EQ384/MAX(EP384+EH384+EQ384, 0.1)*$Q$9))/($B$11+$C$11+$F$11)</f>
        <v>0</v>
      </c>
      <c r="CV384">
        <v>6</v>
      </c>
      <c r="CW384">
        <v>0.5</v>
      </c>
      <c r="CX384" t="s">
        <v>418</v>
      </c>
      <c r="CY384">
        <v>2</v>
      </c>
      <c r="CZ384" t="b">
        <v>1</v>
      </c>
      <c r="DA384">
        <v>1651866498.125</v>
      </c>
      <c r="DB384">
        <v>749.2737500000001</v>
      </c>
      <c r="DC384">
        <v>812.89225</v>
      </c>
      <c r="DD384">
        <v>18.732525</v>
      </c>
      <c r="DE384">
        <v>9.054017499999999</v>
      </c>
      <c r="DF384">
        <v>750.8095000000001</v>
      </c>
      <c r="DG384">
        <v>18.70645</v>
      </c>
      <c r="DH384">
        <v>500.01025</v>
      </c>
      <c r="DI384">
        <v>89.9145</v>
      </c>
      <c r="DJ384">
        <v>0.09993715</v>
      </c>
      <c r="DK384">
        <v>25.947575</v>
      </c>
      <c r="DL384">
        <v>24.996525</v>
      </c>
      <c r="DM384">
        <v>999.9</v>
      </c>
      <c r="DN384">
        <v>0</v>
      </c>
      <c r="DO384">
        <v>0</v>
      </c>
      <c r="DP384">
        <v>10010.475</v>
      </c>
      <c r="DQ384">
        <v>0</v>
      </c>
      <c r="DR384">
        <v>3.23193</v>
      </c>
      <c r="DS384">
        <v>-63.618475</v>
      </c>
      <c r="DT384">
        <v>763.5775</v>
      </c>
      <c r="DU384">
        <v>820.3195000000001</v>
      </c>
      <c r="DV384">
        <v>9.6784775</v>
      </c>
      <c r="DW384">
        <v>812.89225</v>
      </c>
      <c r="DX384">
        <v>9.054017499999999</v>
      </c>
      <c r="DY384">
        <v>1.6843225</v>
      </c>
      <c r="DZ384">
        <v>0.8140874999999999</v>
      </c>
      <c r="EA384">
        <v>14.7527</v>
      </c>
      <c r="EB384">
        <v>3.9553475</v>
      </c>
      <c r="EC384">
        <v>1500.1275</v>
      </c>
      <c r="ED384">
        <v>0.973</v>
      </c>
      <c r="EE384">
        <v>0.027</v>
      </c>
      <c r="EF384">
        <v>0</v>
      </c>
      <c r="EG384">
        <v>917.41725</v>
      </c>
      <c r="EH384">
        <v>5.00097</v>
      </c>
      <c r="EI384">
        <v>13665.475</v>
      </c>
      <c r="EJ384">
        <v>12492.65</v>
      </c>
      <c r="EK384">
        <v>38.25</v>
      </c>
      <c r="EL384">
        <v>39.437</v>
      </c>
      <c r="EM384">
        <v>38.625</v>
      </c>
      <c r="EN384">
        <v>39.0935</v>
      </c>
      <c r="EO384">
        <v>39.062</v>
      </c>
      <c r="EP384">
        <v>1454.755</v>
      </c>
      <c r="EQ384">
        <v>40.37</v>
      </c>
      <c r="ER384">
        <v>0</v>
      </c>
      <c r="ES384">
        <v>1017.200000047684</v>
      </c>
      <c r="ET384">
        <v>0</v>
      </c>
      <c r="EU384">
        <v>916.8297307692308</v>
      </c>
      <c r="EV384">
        <v>6.784854670215428</v>
      </c>
      <c r="EW384">
        <v>84.02393150599322</v>
      </c>
      <c r="EX384">
        <v>13656.85769230769</v>
      </c>
      <c r="EY384">
        <v>15</v>
      </c>
      <c r="EZ384">
        <v>1651865518.1</v>
      </c>
      <c r="FA384" t="s">
        <v>910</v>
      </c>
      <c r="FB384">
        <v>1651865507.1</v>
      </c>
      <c r="FC384">
        <v>1651865518.1</v>
      </c>
      <c r="FD384">
        <v>8</v>
      </c>
      <c r="FE384">
        <v>0.06</v>
      </c>
      <c r="FF384">
        <v>0</v>
      </c>
      <c r="FG384">
        <v>-0.927</v>
      </c>
      <c r="FH384">
        <v>-0.062</v>
      </c>
      <c r="FI384">
        <v>400</v>
      </c>
      <c r="FJ384">
        <v>11</v>
      </c>
      <c r="FK384">
        <v>0.11</v>
      </c>
      <c r="FL384">
        <v>0.01</v>
      </c>
      <c r="FM384">
        <v>-63.76733249999999</v>
      </c>
      <c r="FN384">
        <v>1.630548968105257</v>
      </c>
      <c r="FO384">
        <v>0.1714246866520399</v>
      </c>
      <c r="FP384">
        <v>-1</v>
      </c>
      <c r="FQ384">
        <v>9.648066</v>
      </c>
      <c r="FR384">
        <v>0.1875723827391936</v>
      </c>
      <c r="FS384">
        <v>0.01979459469148077</v>
      </c>
      <c r="FT384">
        <v>-1</v>
      </c>
      <c r="FU384">
        <v>0</v>
      </c>
      <c r="FV384">
        <v>0</v>
      </c>
      <c r="FW384">
        <v>0</v>
      </c>
      <c r="FX384">
        <v>-1</v>
      </c>
      <c r="FY384">
        <v>0</v>
      </c>
      <c r="FZ384">
        <v>0</v>
      </c>
      <c r="GA384" t="s">
        <v>420</v>
      </c>
      <c r="GB384">
        <v>2.98154</v>
      </c>
      <c r="GC384">
        <v>2.70626</v>
      </c>
      <c r="GD384">
        <v>0.142241</v>
      </c>
      <c r="GE384">
        <v>0.148358</v>
      </c>
      <c r="GF384">
        <v>0.0890798</v>
      </c>
      <c r="GG384">
        <v>0.051346</v>
      </c>
      <c r="GH384">
        <v>27105.7</v>
      </c>
      <c r="GI384">
        <v>26970.4</v>
      </c>
      <c r="GJ384">
        <v>29378.2</v>
      </c>
      <c r="GK384">
        <v>29292.9</v>
      </c>
      <c r="GL384">
        <v>35433.5</v>
      </c>
      <c r="GM384">
        <v>37018.6</v>
      </c>
      <c r="GN384">
        <v>41350.1</v>
      </c>
      <c r="GO384">
        <v>41812.7</v>
      </c>
      <c r="GP384">
        <v>1.9673</v>
      </c>
      <c r="GQ384">
        <v>1.8552</v>
      </c>
      <c r="GR384">
        <v>-0.00654534</v>
      </c>
      <c r="GS384">
        <v>0</v>
      </c>
      <c r="GT384">
        <v>25.1017</v>
      </c>
      <c r="GU384">
        <v>999.9</v>
      </c>
      <c r="GV384">
        <v>29.5</v>
      </c>
      <c r="GW384">
        <v>34.2</v>
      </c>
      <c r="GX384">
        <v>17.7253</v>
      </c>
      <c r="GY384">
        <v>62.5576</v>
      </c>
      <c r="GZ384">
        <v>35.2564</v>
      </c>
      <c r="HA384">
        <v>1</v>
      </c>
      <c r="HB384">
        <v>0.0423755</v>
      </c>
      <c r="HC384">
        <v>1.55163</v>
      </c>
      <c r="HD384">
        <v>20.3275</v>
      </c>
      <c r="HE384">
        <v>5.21774</v>
      </c>
      <c r="HF384">
        <v>12.0099</v>
      </c>
      <c r="HG384">
        <v>4.9889</v>
      </c>
      <c r="HH384">
        <v>3.28855</v>
      </c>
      <c r="HI384">
        <v>1034.3</v>
      </c>
      <c r="HJ384">
        <v>9754.5</v>
      </c>
      <c r="HK384">
        <v>5139.4</v>
      </c>
      <c r="HL384">
        <v>25.4</v>
      </c>
      <c r="HM384">
        <v>1.86748</v>
      </c>
      <c r="HN384">
        <v>1.86646</v>
      </c>
      <c r="HO384">
        <v>1.866</v>
      </c>
      <c r="HP384">
        <v>1.86584</v>
      </c>
      <c r="HQ384">
        <v>1.86768</v>
      </c>
      <c r="HR384">
        <v>1.87017</v>
      </c>
      <c r="HS384">
        <v>1.8689</v>
      </c>
      <c r="HT384">
        <v>1.87021</v>
      </c>
      <c r="HU384">
        <v>0</v>
      </c>
      <c r="HV384">
        <v>0</v>
      </c>
      <c r="HW384">
        <v>0</v>
      </c>
      <c r="HX384">
        <v>0</v>
      </c>
      <c r="HY384" t="s">
        <v>421</v>
      </c>
      <c r="HZ384" t="s">
        <v>422</v>
      </c>
      <c r="IA384" t="s">
        <v>423</v>
      </c>
      <c r="IB384" t="s">
        <v>423</v>
      </c>
      <c r="IC384" t="s">
        <v>423</v>
      </c>
      <c r="ID384" t="s">
        <v>423</v>
      </c>
      <c r="IE384">
        <v>0</v>
      </c>
      <c r="IF384">
        <v>100</v>
      </c>
      <c r="IG384">
        <v>100</v>
      </c>
      <c r="IH384">
        <v>-1.544</v>
      </c>
      <c r="II384">
        <v>0.0259</v>
      </c>
      <c r="IJ384">
        <v>-0.1559367209035702</v>
      </c>
      <c r="IK384">
        <v>-0.002077099775823331</v>
      </c>
      <c r="IL384">
        <v>4.593143279902166E-07</v>
      </c>
      <c r="IM384">
        <v>-1.865383991892071E-10</v>
      </c>
      <c r="IN384">
        <v>-0.0607165066849496</v>
      </c>
      <c r="IO384">
        <v>-0.01129461987421345</v>
      </c>
      <c r="IP384">
        <v>0.00116580895745559</v>
      </c>
      <c r="IQ384">
        <v>-1.679085872906199E-05</v>
      </c>
      <c r="IR384">
        <v>2</v>
      </c>
      <c r="IS384">
        <v>2290</v>
      </c>
      <c r="IT384">
        <v>0</v>
      </c>
      <c r="IU384">
        <v>32</v>
      </c>
      <c r="IV384">
        <v>16.5</v>
      </c>
      <c r="IW384">
        <v>16.4</v>
      </c>
      <c r="IX384">
        <v>1.79199</v>
      </c>
      <c r="IY384">
        <v>2.19604</v>
      </c>
      <c r="IZ384">
        <v>1.39648</v>
      </c>
      <c r="JA384">
        <v>2.35474</v>
      </c>
      <c r="JB384">
        <v>1.49536</v>
      </c>
      <c r="JC384">
        <v>2.34375</v>
      </c>
      <c r="JD384">
        <v>38.0134</v>
      </c>
      <c r="JE384">
        <v>24.0437</v>
      </c>
      <c r="JF384">
        <v>18</v>
      </c>
      <c r="JG384">
        <v>512.3579999999999</v>
      </c>
      <c r="JH384">
        <v>426.455</v>
      </c>
      <c r="JI384">
        <v>23.1229</v>
      </c>
      <c r="JJ384">
        <v>27.8673</v>
      </c>
      <c r="JK384">
        <v>29.9999</v>
      </c>
      <c r="JL384">
        <v>27.8812</v>
      </c>
      <c r="JM384">
        <v>27.8239</v>
      </c>
      <c r="JN384">
        <v>35.9961</v>
      </c>
      <c r="JO384">
        <v>46.6312</v>
      </c>
      <c r="JP384">
        <v>0</v>
      </c>
      <c r="JQ384">
        <v>23.1227</v>
      </c>
      <c r="JR384">
        <v>840.3630000000001</v>
      </c>
      <c r="JS384">
        <v>9.00863</v>
      </c>
      <c r="JT384">
        <v>100.419</v>
      </c>
      <c r="JU384">
        <v>100.351</v>
      </c>
    </row>
    <row r="385" spans="1:281">
      <c r="A385">
        <v>369</v>
      </c>
      <c r="B385">
        <v>1651866501.5</v>
      </c>
      <c r="C385">
        <v>2280.900000095367</v>
      </c>
      <c r="D385" t="s">
        <v>1161</v>
      </c>
      <c r="E385" t="s">
        <v>1162</v>
      </c>
      <c r="F385">
        <v>2</v>
      </c>
      <c r="G385" t="s">
        <v>908</v>
      </c>
      <c r="H385" t="s">
        <v>414</v>
      </c>
      <c r="I385">
        <v>1651866500.5</v>
      </c>
      <c r="J385">
        <f>(K385)/1000</f>
        <v>0</v>
      </c>
      <c r="K385">
        <f>IF(CZ385, AN385, AH385)</f>
        <v>0</v>
      </c>
      <c r="L385">
        <f>IF(CZ385, AI385, AG385)</f>
        <v>0</v>
      </c>
      <c r="M385">
        <f>DB385 - IF(AU385&gt;1, L385*CV385*100.0/(AW385*DP385), 0)</f>
        <v>0</v>
      </c>
      <c r="N385">
        <f>((T385-J385/2)*M385-L385)/(T385+J385/2)</f>
        <v>0</v>
      </c>
      <c r="O385">
        <f>N385*(DI385+DJ385)/1000.0</f>
        <v>0</v>
      </c>
      <c r="P385">
        <f>(DB385 - IF(AU385&gt;1, L385*CV385*100.0/(AW385*DP385), 0))*(DI385+DJ385)/1000.0</f>
        <v>0</v>
      </c>
      <c r="Q385">
        <f>2.0/((1/S385-1/R385)+SIGN(S385)*SQRT((1/S385-1/R385)*(1/S385-1/R385) + 4*CW385/((CW385+1)*(CW385+1))*(2*1/S385*1/R385-1/R385*1/R385)))</f>
        <v>0</v>
      </c>
      <c r="R385">
        <f>IF(LEFT(CX385,1)&lt;&gt;"0",IF(LEFT(CX385,1)="1",3.0,CY385),$D$5+$E$5*(DP385*DI385/($K$5*1000))+$F$5*(DP385*DI385/($K$5*1000))*MAX(MIN(CV385,$J$5),$I$5)*MAX(MIN(CV385,$J$5),$I$5)+$G$5*MAX(MIN(CV385,$J$5),$I$5)*(DP385*DI385/($K$5*1000))+$H$5*(DP385*DI385/($K$5*1000))*(DP385*DI385/($K$5*1000)))</f>
        <v>0</v>
      </c>
      <c r="S385">
        <f>J385*(1000-(1000*0.61365*exp(17.502*W385/(240.97+W385))/(DI385+DJ385)+DD385)/2)/(1000*0.61365*exp(17.502*W385/(240.97+W385))/(DI385+DJ385)-DD385)</f>
        <v>0</v>
      </c>
      <c r="T385">
        <f>1/((CW385+1)/(Q385/1.6)+1/(R385/1.37)) + CW385/((CW385+1)/(Q385/1.6) + CW385/(R385/1.37))</f>
        <v>0</v>
      </c>
      <c r="U385">
        <f>(CR385*CU385)</f>
        <v>0</v>
      </c>
      <c r="V385">
        <f>(DK385+(U385+2*0.95*5.67E-8*(((DK385+$B$7)+273)^4-(DK385+273)^4)-44100*J385)/(1.84*29.3*R385+8*0.95*5.67E-8*(DK385+273)^3))</f>
        <v>0</v>
      </c>
      <c r="W385">
        <f>($C$7*DL385+$D$7*DM385+$E$7*V385)</f>
        <v>0</v>
      </c>
      <c r="X385">
        <f>0.61365*exp(17.502*W385/(240.97+W385))</f>
        <v>0</v>
      </c>
      <c r="Y385">
        <f>(Z385/AA385*100)</f>
        <v>0</v>
      </c>
      <c r="Z385">
        <f>DD385*(DI385+DJ385)/1000</f>
        <v>0</v>
      </c>
      <c r="AA385">
        <f>0.61365*exp(17.502*DK385/(240.97+DK385))</f>
        <v>0</v>
      </c>
      <c r="AB385">
        <f>(X385-DD385*(DI385+DJ385)/1000)</f>
        <v>0</v>
      </c>
      <c r="AC385">
        <f>(-J385*44100)</f>
        <v>0</v>
      </c>
      <c r="AD385">
        <f>2*29.3*R385*0.92*(DK385-W385)</f>
        <v>0</v>
      </c>
      <c r="AE385">
        <f>2*0.95*5.67E-8*(((DK385+$B$7)+273)^4-(W385+273)^4)</f>
        <v>0</v>
      </c>
      <c r="AF385">
        <f>U385+AE385+AC385+AD385</f>
        <v>0</v>
      </c>
      <c r="AG385">
        <f>DH385*AU385*(DC385-DB385*(1000-AU385*DE385)/(1000-AU385*DD385))/(100*CV385)</f>
        <v>0</v>
      </c>
      <c r="AH385">
        <f>1000*DH385*AU385*(DD385-DE385)/(100*CV385*(1000-AU385*DD385))</f>
        <v>0</v>
      </c>
      <c r="AI385">
        <f>(AJ385 - AK385 - DI385*1E3/(8.314*(DK385+273.15)) * AM385/DH385 * AL385) * DH385/(100*CV385) * (1000 - DE385)/1000</f>
        <v>0</v>
      </c>
      <c r="AJ385">
        <v>822.3941309439869</v>
      </c>
      <c r="AK385">
        <v>773.501642424242</v>
      </c>
      <c r="AL385">
        <v>3.452339650235643</v>
      </c>
      <c r="AM385">
        <v>66.38195617057868</v>
      </c>
      <c r="AN385">
        <f>(AP385 - AO385 + DI385*1E3/(8.314*(DK385+273.15)) * AR385/DH385 * AQ385) * DH385/(100*CV385) * 1000/(1000 - AP385)</f>
        <v>0</v>
      </c>
      <c r="AO385">
        <v>9.060830771219274</v>
      </c>
      <c r="AP385">
        <v>18.72440205882352</v>
      </c>
      <c r="AQ385">
        <v>-3.373835778763469E-05</v>
      </c>
      <c r="AR385">
        <v>80.47178418790507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MAX(0,($B$13+$C$13*DP385)/(1+$D$13*DP385)*DI385/(DK385+273)*$E$13)</f>
        <v>0</v>
      </c>
      <c r="AX385" t="s">
        <v>417</v>
      </c>
      <c r="AY385" t="s">
        <v>417</v>
      </c>
      <c r="AZ385">
        <v>0</v>
      </c>
      <c r="BA385">
        <v>0</v>
      </c>
      <c r="BB385">
        <f>1-AZ385/BA385</f>
        <v>0</v>
      </c>
      <c r="BC385">
        <v>0</v>
      </c>
      <c r="BD385" t="s">
        <v>417</v>
      </c>
      <c r="BE385" t="s">
        <v>417</v>
      </c>
      <c r="BF385">
        <v>0</v>
      </c>
      <c r="BG385">
        <v>0</v>
      </c>
      <c r="BH385">
        <f>1-BF385/BG385</f>
        <v>0</v>
      </c>
      <c r="BI385">
        <v>0.5</v>
      </c>
      <c r="BJ385">
        <f>CS385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417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BZ385">
        <v>1249</v>
      </c>
      <c r="CA385">
        <v>300</v>
      </c>
      <c r="CB385">
        <v>300</v>
      </c>
      <c r="CC385">
        <v>300</v>
      </c>
      <c r="CD385">
        <v>10442.4</v>
      </c>
      <c r="CE385">
        <v>1239.69</v>
      </c>
      <c r="CF385">
        <v>-0.00735276</v>
      </c>
      <c r="CG385">
        <v>0.07000000000000001</v>
      </c>
      <c r="CH385" t="s">
        <v>417</v>
      </c>
      <c r="CI385" t="s">
        <v>417</v>
      </c>
      <c r="CJ385" t="s">
        <v>417</v>
      </c>
      <c r="CK385" t="s">
        <v>417</v>
      </c>
      <c r="CL385" t="s">
        <v>417</v>
      </c>
      <c r="CM385" t="s">
        <v>417</v>
      </c>
      <c r="CN385" t="s">
        <v>417</v>
      </c>
      <c r="CO385" t="s">
        <v>417</v>
      </c>
      <c r="CP385" t="s">
        <v>417</v>
      </c>
      <c r="CQ385" t="s">
        <v>417</v>
      </c>
      <c r="CR385">
        <f>$B$11*DQ385+$C$11*DR385+$F$11*EC385*(1-EF385)</f>
        <v>0</v>
      </c>
      <c r="CS385">
        <f>CR385*CT385</f>
        <v>0</v>
      </c>
      <c r="CT385">
        <f>($B$11*$D$9+$C$11*$D$9+$F$11*((EP385+EH385)/MAX(EP385+EH385+EQ385, 0.1)*$I$9+EQ385/MAX(EP385+EH385+EQ385, 0.1)*$J$9))/($B$11+$C$11+$F$11)</f>
        <v>0</v>
      </c>
      <c r="CU385">
        <f>($B$11*$K$9+$C$11*$K$9+$F$11*((EP385+EH385)/MAX(EP385+EH385+EQ385, 0.1)*$P$9+EQ385/MAX(EP385+EH385+EQ385, 0.1)*$Q$9))/($B$11+$C$11+$F$11)</f>
        <v>0</v>
      </c>
      <c r="CV385">
        <v>6</v>
      </c>
      <c r="CW385">
        <v>0.5</v>
      </c>
      <c r="CX385" t="s">
        <v>418</v>
      </c>
      <c r="CY385">
        <v>2</v>
      </c>
      <c r="CZ385" t="b">
        <v>1</v>
      </c>
      <c r="DA385">
        <v>1651866500.5</v>
      </c>
      <c r="DB385">
        <v>757.3269999999999</v>
      </c>
      <c r="DC385">
        <v>820.893</v>
      </c>
      <c r="DD385">
        <v>18.72573333333333</v>
      </c>
      <c r="DE385">
        <v>9.048353333333333</v>
      </c>
      <c r="DF385">
        <v>758.8760000000001</v>
      </c>
      <c r="DG385">
        <v>18.69976666666667</v>
      </c>
      <c r="DH385">
        <v>500.0623333333333</v>
      </c>
      <c r="DI385">
        <v>89.9151</v>
      </c>
      <c r="DJ385">
        <v>0.09996126666666667</v>
      </c>
      <c r="DK385">
        <v>25.9489</v>
      </c>
      <c r="DL385">
        <v>24.9966</v>
      </c>
      <c r="DM385">
        <v>999.9</v>
      </c>
      <c r="DN385">
        <v>0</v>
      </c>
      <c r="DO385">
        <v>0</v>
      </c>
      <c r="DP385">
        <v>10005</v>
      </c>
      <c r="DQ385">
        <v>0</v>
      </c>
      <c r="DR385">
        <v>3.22678</v>
      </c>
      <c r="DS385">
        <v>-63.5661</v>
      </c>
      <c r="DT385">
        <v>771.779</v>
      </c>
      <c r="DU385">
        <v>828.3883333333333</v>
      </c>
      <c r="DV385">
        <v>9.677356666666668</v>
      </c>
      <c r="DW385">
        <v>820.893</v>
      </c>
      <c r="DX385">
        <v>9.048353333333333</v>
      </c>
      <c r="DY385">
        <v>1.683726666666667</v>
      </c>
      <c r="DZ385">
        <v>0.813584</v>
      </c>
      <c r="EA385">
        <v>14.74716666666667</v>
      </c>
      <c r="EB385">
        <v>3.946546666666666</v>
      </c>
      <c r="EC385">
        <v>1500.003333333333</v>
      </c>
      <c r="ED385">
        <v>0.972997</v>
      </c>
      <c r="EE385">
        <v>0.0270027</v>
      </c>
      <c r="EF385">
        <v>0</v>
      </c>
      <c r="EG385">
        <v>917.7386666666666</v>
      </c>
      <c r="EH385">
        <v>5.00097</v>
      </c>
      <c r="EI385">
        <v>13665.96666666667</v>
      </c>
      <c r="EJ385">
        <v>12491.6</v>
      </c>
      <c r="EK385">
        <v>38.25</v>
      </c>
      <c r="EL385">
        <v>39.437</v>
      </c>
      <c r="EM385">
        <v>38.625</v>
      </c>
      <c r="EN385">
        <v>39.104</v>
      </c>
      <c r="EO385">
        <v>39.062</v>
      </c>
      <c r="EP385">
        <v>1454.63</v>
      </c>
      <c r="EQ385">
        <v>40.37</v>
      </c>
      <c r="ER385">
        <v>0</v>
      </c>
      <c r="ES385">
        <v>1019</v>
      </c>
      <c r="ET385">
        <v>0</v>
      </c>
      <c r="EU385">
        <v>917.04812</v>
      </c>
      <c r="EV385">
        <v>6.41361536427071</v>
      </c>
      <c r="EW385">
        <v>77.20769247395512</v>
      </c>
      <c r="EX385">
        <v>13659.74</v>
      </c>
      <c r="EY385">
        <v>15</v>
      </c>
      <c r="EZ385">
        <v>1651865518.1</v>
      </c>
      <c r="FA385" t="s">
        <v>910</v>
      </c>
      <c r="FB385">
        <v>1651865507.1</v>
      </c>
      <c r="FC385">
        <v>1651865518.1</v>
      </c>
      <c r="FD385">
        <v>8</v>
      </c>
      <c r="FE385">
        <v>0.06</v>
      </c>
      <c r="FF385">
        <v>0</v>
      </c>
      <c r="FG385">
        <v>-0.927</v>
      </c>
      <c r="FH385">
        <v>-0.062</v>
      </c>
      <c r="FI385">
        <v>400</v>
      </c>
      <c r="FJ385">
        <v>11</v>
      </c>
      <c r="FK385">
        <v>0.11</v>
      </c>
      <c r="FL385">
        <v>0.01</v>
      </c>
      <c r="FM385">
        <v>-63.74410243902438</v>
      </c>
      <c r="FN385">
        <v>1.511126132404307</v>
      </c>
      <c r="FO385">
        <v>0.1665192151628195</v>
      </c>
      <c r="FP385">
        <v>-1</v>
      </c>
      <c r="FQ385">
        <v>9.652010487804878</v>
      </c>
      <c r="FR385">
        <v>0.1763673867595837</v>
      </c>
      <c r="FS385">
        <v>0.01910494929506293</v>
      </c>
      <c r="FT385">
        <v>-1</v>
      </c>
      <c r="FU385">
        <v>0</v>
      </c>
      <c r="FV385">
        <v>0</v>
      </c>
      <c r="FW385">
        <v>0</v>
      </c>
      <c r="FX385">
        <v>-1</v>
      </c>
      <c r="FY385">
        <v>0</v>
      </c>
      <c r="FZ385">
        <v>0</v>
      </c>
      <c r="GA385" t="s">
        <v>420</v>
      </c>
      <c r="GB385">
        <v>2.9816</v>
      </c>
      <c r="GC385">
        <v>2.70612</v>
      </c>
      <c r="GD385">
        <v>0.143103</v>
      </c>
      <c r="GE385">
        <v>0.149163</v>
      </c>
      <c r="GF385">
        <v>0.0890702</v>
      </c>
      <c r="GG385">
        <v>0.0513371</v>
      </c>
      <c r="GH385">
        <v>27078.5</v>
      </c>
      <c r="GI385">
        <v>26944.8</v>
      </c>
      <c r="GJ385">
        <v>29378.3</v>
      </c>
      <c r="GK385">
        <v>29292.8</v>
      </c>
      <c r="GL385">
        <v>35434.1</v>
      </c>
      <c r="GM385">
        <v>37018.8</v>
      </c>
      <c r="GN385">
        <v>41350.3</v>
      </c>
      <c r="GO385">
        <v>41812.4</v>
      </c>
      <c r="GP385">
        <v>1.96745</v>
      </c>
      <c r="GQ385">
        <v>1.8552</v>
      </c>
      <c r="GR385">
        <v>-0.00632554</v>
      </c>
      <c r="GS385">
        <v>0</v>
      </c>
      <c r="GT385">
        <v>25.1028</v>
      </c>
      <c r="GU385">
        <v>999.9</v>
      </c>
      <c r="GV385">
        <v>29.5</v>
      </c>
      <c r="GW385">
        <v>34.2</v>
      </c>
      <c r="GX385">
        <v>17.7262</v>
      </c>
      <c r="GY385">
        <v>62.6576</v>
      </c>
      <c r="GZ385">
        <v>35.0641</v>
      </c>
      <c r="HA385">
        <v>1</v>
      </c>
      <c r="HB385">
        <v>0.0422027</v>
      </c>
      <c r="HC385">
        <v>1.51681</v>
      </c>
      <c r="HD385">
        <v>20.3276</v>
      </c>
      <c r="HE385">
        <v>5.21744</v>
      </c>
      <c r="HF385">
        <v>12.0099</v>
      </c>
      <c r="HG385">
        <v>4.98895</v>
      </c>
      <c r="HH385">
        <v>3.28848</v>
      </c>
      <c r="HI385">
        <v>1034.3</v>
      </c>
      <c r="HJ385">
        <v>9754.5</v>
      </c>
      <c r="HK385">
        <v>5139.4</v>
      </c>
      <c r="HL385">
        <v>25.4</v>
      </c>
      <c r="HM385">
        <v>1.86749</v>
      </c>
      <c r="HN385">
        <v>1.86646</v>
      </c>
      <c r="HO385">
        <v>1.866</v>
      </c>
      <c r="HP385">
        <v>1.86584</v>
      </c>
      <c r="HQ385">
        <v>1.86768</v>
      </c>
      <c r="HR385">
        <v>1.87017</v>
      </c>
      <c r="HS385">
        <v>1.8689</v>
      </c>
      <c r="HT385">
        <v>1.87019</v>
      </c>
      <c r="HU385">
        <v>0</v>
      </c>
      <c r="HV385">
        <v>0</v>
      </c>
      <c r="HW385">
        <v>0</v>
      </c>
      <c r="HX385">
        <v>0</v>
      </c>
      <c r="HY385" t="s">
        <v>421</v>
      </c>
      <c r="HZ385" t="s">
        <v>422</v>
      </c>
      <c r="IA385" t="s">
        <v>423</v>
      </c>
      <c r="IB385" t="s">
        <v>423</v>
      </c>
      <c r="IC385" t="s">
        <v>423</v>
      </c>
      <c r="ID385" t="s">
        <v>423</v>
      </c>
      <c r="IE385">
        <v>0</v>
      </c>
      <c r="IF385">
        <v>100</v>
      </c>
      <c r="IG385">
        <v>100</v>
      </c>
      <c r="IH385">
        <v>-1.555</v>
      </c>
      <c r="II385">
        <v>0.0259</v>
      </c>
      <c r="IJ385">
        <v>-0.1559367209035702</v>
      </c>
      <c r="IK385">
        <v>-0.002077099775823331</v>
      </c>
      <c r="IL385">
        <v>4.593143279902166E-07</v>
      </c>
      <c r="IM385">
        <v>-1.865383991892071E-10</v>
      </c>
      <c r="IN385">
        <v>-0.0607165066849496</v>
      </c>
      <c r="IO385">
        <v>-0.01129461987421345</v>
      </c>
      <c r="IP385">
        <v>0.00116580895745559</v>
      </c>
      <c r="IQ385">
        <v>-1.679085872906199E-05</v>
      </c>
      <c r="IR385">
        <v>2</v>
      </c>
      <c r="IS385">
        <v>2290</v>
      </c>
      <c r="IT385">
        <v>0</v>
      </c>
      <c r="IU385">
        <v>32</v>
      </c>
      <c r="IV385">
        <v>16.6</v>
      </c>
      <c r="IW385">
        <v>16.4</v>
      </c>
      <c r="IX385">
        <v>1.8042</v>
      </c>
      <c r="IY385">
        <v>2.19727</v>
      </c>
      <c r="IZ385">
        <v>1.39648</v>
      </c>
      <c r="JA385">
        <v>2.35474</v>
      </c>
      <c r="JB385">
        <v>1.49536</v>
      </c>
      <c r="JC385">
        <v>2.27783</v>
      </c>
      <c r="JD385">
        <v>38.0134</v>
      </c>
      <c r="JE385">
        <v>24.035</v>
      </c>
      <c r="JF385">
        <v>18</v>
      </c>
      <c r="JG385">
        <v>512.4450000000001</v>
      </c>
      <c r="JH385">
        <v>426.446</v>
      </c>
      <c r="JI385">
        <v>23.1209</v>
      </c>
      <c r="JJ385">
        <v>27.8661</v>
      </c>
      <c r="JK385">
        <v>30</v>
      </c>
      <c r="JL385">
        <v>27.8799</v>
      </c>
      <c r="JM385">
        <v>27.8228</v>
      </c>
      <c r="JN385">
        <v>36.2262</v>
      </c>
      <c r="JO385">
        <v>46.6312</v>
      </c>
      <c r="JP385">
        <v>0</v>
      </c>
      <c r="JQ385">
        <v>23.1355</v>
      </c>
      <c r="JR385">
        <v>847.0650000000001</v>
      </c>
      <c r="JS385">
        <v>9.000120000000001</v>
      </c>
      <c r="JT385">
        <v>100.42</v>
      </c>
      <c r="JU385">
        <v>100.35</v>
      </c>
    </row>
    <row r="386" spans="1:281">
      <c r="A386">
        <v>370</v>
      </c>
      <c r="B386">
        <v>1651866503.5</v>
      </c>
      <c r="C386">
        <v>2282.900000095367</v>
      </c>
      <c r="D386" t="s">
        <v>1163</v>
      </c>
      <c r="E386" t="s">
        <v>1164</v>
      </c>
      <c r="F386">
        <v>2</v>
      </c>
      <c r="G386" t="s">
        <v>908</v>
      </c>
      <c r="H386" t="s">
        <v>414</v>
      </c>
      <c r="I386">
        <v>1651866502.125</v>
      </c>
      <c r="J386">
        <f>(K386)/1000</f>
        <v>0</v>
      </c>
      <c r="K386">
        <f>IF(CZ386, AN386, AH386)</f>
        <v>0</v>
      </c>
      <c r="L386">
        <f>IF(CZ386, AI386, AG386)</f>
        <v>0</v>
      </c>
      <c r="M386">
        <f>DB386 - IF(AU386&gt;1, L386*CV386*100.0/(AW386*DP386), 0)</f>
        <v>0</v>
      </c>
      <c r="N386">
        <f>((T386-J386/2)*M386-L386)/(T386+J386/2)</f>
        <v>0</v>
      </c>
      <c r="O386">
        <f>N386*(DI386+DJ386)/1000.0</f>
        <v>0</v>
      </c>
      <c r="P386">
        <f>(DB386 - IF(AU386&gt;1, L386*CV386*100.0/(AW386*DP386), 0))*(DI386+DJ386)/1000.0</f>
        <v>0</v>
      </c>
      <c r="Q386">
        <f>2.0/((1/S386-1/R386)+SIGN(S386)*SQRT((1/S386-1/R386)*(1/S386-1/R386) + 4*CW386/((CW386+1)*(CW386+1))*(2*1/S386*1/R386-1/R386*1/R386)))</f>
        <v>0</v>
      </c>
      <c r="R386">
        <f>IF(LEFT(CX386,1)&lt;&gt;"0",IF(LEFT(CX386,1)="1",3.0,CY386),$D$5+$E$5*(DP386*DI386/($K$5*1000))+$F$5*(DP386*DI386/($K$5*1000))*MAX(MIN(CV386,$J$5),$I$5)*MAX(MIN(CV386,$J$5),$I$5)+$G$5*MAX(MIN(CV386,$J$5),$I$5)*(DP386*DI386/($K$5*1000))+$H$5*(DP386*DI386/($K$5*1000))*(DP386*DI386/($K$5*1000)))</f>
        <v>0</v>
      </c>
      <c r="S386">
        <f>J386*(1000-(1000*0.61365*exp(17.502*W386/(240.97+W386))/(DI386+DJ386)+DD386)/2)/(1000*0.61365*exp(17.502*W386/(240.97+W386))/(DI386+DJ386)-DD386)</f>
        <v>0</v>
      </c>
      <c r="T386">
        <f>1/((CW386+1)/(Q386/1.6)+1/(R386/1.37)) + CW386/((CW386+1)/(Q386/1.6) + CW386/(R386/1.37))</f>
        <v>0</v>
      </c>
      <c r="U386">
        <f>(CR386*CU386)</f>
        <v>0</v>
      </c>
      <c r="V386">
        <f>(DK386+(U386+2*0.95*5.67E-8*(((DK386+$B$7)+273)^4-(DK386+273)^4)-44100*J386)/(1.84*29.3*R386+8*0.95*5.67E-8*(DK386+273)^3))</f>
        <v>0</v>
      </c>
      <c r="W386">
        <f>($C$7*DL386+$D$7*DM386+$E$7*V386)</f>
        <v>0</v>
      </c>
      <c r="X386">
        <f>0.61365*exp(17.502*W386/(240.97+W386))</f>
        <v>0</v>
      </c>
      <c r="Y386">
        <f>(Z386/AA386*100)</f>
        <v>0</v>
      </c>
      <c r="Z386">
        <f>DD386*(DI386+DJ386)/1000</f>
        <v>0</v>
      </c>
      <c r="AA386">
        <f>0.61365*exp(17.502*DK386/(240.97+DK386))</f>
        <v>0</v>
      </c>
      <c r="AB386">
        <f>(X386-DD386*(DI386+DJ386)/1000)</f>
        <v>0</v>
      </c>
      <c r="AC386">
        <f>(-J386*44100)</f>
        <v>0</v>
      </c>
      <c r="AD386">
        <f>2*29.3*R386*0.92*(DK386-W386)</f>
        <v>0</v>
      </c>
      <c r="AE386">
        <f>2*0.95*5.67E-8*(((DK386+$B$7)+273)^4-(W386+273)^4)</f>
        <v>0</v>
      </c>
      <c r="AF386">
        <f>U386+AE386+AC386+AD386</f>
        <v>0</v>
      </c>
      <c r="AG386">
        <f>DH386*AU386*(DC386-DB386*(1000-AU386*DE386)/(1000-AU386*DD386))/(100*CV386)</f>
        <v>0</v>
      </c>
      <c r="AH386">
        <f>1000*DH386*AU386*(DD386-DE386)/(100*CV386*(1000-AU386*DD386))</f>
        <v>0</v>
      </c>
      <c r="AI386">
        <f>(AJ386 - AK386 - DI386*1E3/(8.314*(DK386+273.15)) * AM386/DH386 * AL386) * DH386/(100*CV386) * (1000 - DE386)/1000</f>
        <v>0</v>
      </c>
      <c r="AJ386">
        <v>829.1708513039741</v>
      </c>
      <c r="AK386">
        <v>780.3759515151513</v>
      </c>
      <c r="AL386">
        <v>3.442609786630904</v>
      </c>
      <c r="AM386">
        <v>66.38195617057868</v>
      </c>
      <c r="AN386">
        <f>(AP386 - AO386 + DI386*1E3/(8.314*(DK386+273.15)) * AR386/DH386 * AQ386) * DH386/(100*CV386) * 1000/(1000 - AP386)</f>
        <v>0</v>
      </c>
      <c r="AO386">
        <v>9.050705930805188</v>
      </c>
      <c r="AP386">
        <v>18.72205882352941</v>
      </c>
      <c r="AQ386">
        <v>-9.70055179068709E-05</v>
      </c>
      <c r="AR386">
        <v>80.47178418790507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MAX(0,($B$13+$C$13*DP386)/(1+$D$13*DP386)*DI386/(DK386+273)*$E$13)</f>
        <v>0</v>
      </c>
      <c r="AX386" t="s">
        <v>417</v>
      </c>
      <c r="AY386" t="s">
        <v>417</v>
      </c>
      <c r="AZ386">
        <v>0</v>
      </c>
      <c r="BA386">
        <v>0</v>
      </c>
      <c r="BB386">
        <f>1-AZ386/BA386</f>
        <v>0</v>
      </c>
      <c r="BC386">
        <v>0</v>
      </c>
      <c r="BD386" t="s">
        <v>417</v>
      </c>
      <c r="BE386" t="s">
        <v>417</v>
      </c>
      <c r="BF386">
        <v>0</v>
      </c>
      <c r="BG386">
        <v>0</v>
      </c>
      <c r="BH386">
        <f>1-BF386/BG386</f>
        <v>0</v>
      </c>
      <c r="BI386">
        <v>0.5</v>
      </c>
      <c r="BJ386">
        <f>CS386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417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BZ386">
        <v>1249</v>
      </c>
      <c r="CA386">
        <v>300</v>
      </c>
      <c r="CB386">
        <v>300</v>
      </c>
      <c r="CC386">
        <v>300</v>
      </c>
      <c r="CD386">
        <v>10442.4</v>
      </c>
      <c r="CE386">
        <v>1239.69</v>
      </c>
      <c r="CF386">
        <v>-0.00735276</v>
      </c>
      <c r="CG386">
        <v>0.07000000000000001</v>
      </c>
      <c r="CH386" t="s">
        <v>417</v>
      </c>
      <c r="CI386" t="s">
        <v>417</v>
      </c>
      <c r="CJ386" t="s">
        <v>417</v>
      </c>
      <c r="CK386" t="s">
        <v>417</v>
      </c>
      <c r="CL386" t="s">
        <v>417</v>
      </c>
      <c r="CM386" t="s">
        <v>417</v>
      </c>
      <c r="CN386" t="s">
        <v>417</v>
      </c>
      <c r="CO386" t="s">
        <v>417</v>
      </c>
      <c r="CP386" t="s">
        <v>417</v>
      </c>
      <c r="CQ386" t="s">
        <v>417</v>
      </c>
      <c r="CR386">
        <f>$B$11*DQ386+$C$11*DR386+$F$11*EC386*(1-EF386)</f>
        <v>0</v>
      </c>
      <c r="CS386">
        <f>CR386*CT386</f>
        <v>0</v>
      </c>
      <c r="CT386">
        <f>($B$11*$D$9+$C$11*$D$9+$F$11*((EP386+EH386)/MAX(EP386+EH386+EQ386, 0.1)*$I$9+EQ386/MAX(EP386+EH386+EQ386, 0.1)*$J$9))/($B$11+$C$11+$F$11)</f>
        <v>0</v>
      </c>
      <c r="CU386">
        <f>($B$11*$K$9+$C$11*$K$9+$F$11*((EP386+EH386)/MAX(EP386+EH386+EQ386, 0.1)*$P$9+EQ386/MAX(EP386+EH386+EQ386, 0.1)*$Q$9))/($B$11+$C$11+$F$11)</f>
        <v>0</v>
      </c>
      <c r="CV386">
        <v>6</v>
      </c>
      <c r="CW386">
        <v>0.5</v>
      </c>
      <c r="CX386" t="s">
        <v>418</v>
      </c>
      <c r="CY386">
        <v>2</v>
      </c>
      <c r="CZ386" t="b">
        <v>1</v>
      </c>
      <c r="DA386">
        <v>1651866502.125</v>
      </c>
      <c r="DB386">
        <v>762.81475</v>
      </c>
      <c r="DC386">
        <v>826.2455</v>
      </c>
      <c r="DD386">
        <v>18.723625</v>
      </c>
      <c r="DE386">
        <v>9.0471</v>
      </c>
      <c r="DF386">
        <v>764.3732500000001</v>
      </c>
      <c r="DG386">
        <v>18.697725</v>
      </c>
      <c r="DH386">
        <v>500.0445</v>
      </c>
      <c r="DI386">
        <v>89.91470000000001</v>
      </c>
      <c r="DJ386">
        <v>0.09988549999999999</v>
      </c>
      <c r="DK386">
        <v>25.951825</v>
      </c>
      <c r="DL386">
        <v>25.0005</v>
      </c>
      <c r="DM386">
        <v>999.9</v>
      </c>
      <c r="DN386">
        <v>0</v>
      </c>
      <c r="DO386">
        <v>0</v>
      </c>
      <c r="DP386">
        <v>10014.53</v>
      </c>
      <c r="DQ386">
        <v>0</v>
      </c>
      <c r="DR386">
        <v>3.21472</v>
      </c>
      <c r="DS386">
        <v>-63.43062499999999</v>
      </c>
      <c r="DT386">
        <v>777.37</v>
      </c>
      <c r="DU386">
        <v>833.7887499999999</v>
      </c>
      <c r="DV386">
        <v>9.676522500000001</v>
      </c>
      <c r="DW386">
        <v>826.2455</v>
      </c>
      <c r="DX386">
        <v>9.0471</v>
      </c>
      <c r="DY386">
        <v>1.6835275</v>
      </c>
      <c r="DZ386">
        <v>0.81346725</v>
      </c>
      <c r="EA386">
        <v>14.745375</v>
      </c>
      <c r="EB386">
        <v>3.9445075</v>
      </c>
      <c r="EC386">
        <v>1499.9875</v>
      </c>
      <c r="ED386">
        <v>0.972997</v>
      </c>
      <c r="EE386">
        <v>0.0270027</v>
      </c>
      <c r="EF386">
        <v>0</v>
      </c>
      <c r="EG386">
        <v>917.65175</v>
      </c>
      <c r="EH386">
        <v>5.00097</v>
      </c>
      <c r="EI386">
        <v>13667.05</v>
      </c>
      <c r="EJ386">
        <v>12491.45</v>
      </c>
      <c r="EK386">
        <v>38.2185</v>
      </c>
      <c r="EL386">
        <v>39.437</v>
      </c>
      <c r="EM386">
        <v>38.625</v>
      </c>
      <c r="EN386">
        <v>39.07774999999999</v>
      </c>
      <c r="EO386">
        <v>39.062</v>
      </c>
      <c r="EP386">
        <v>1454.615</v>
      </c>
      <c r="EQ386">
        <v>40.37</v>
      </c>
      <c r="ER386">
        <v>0</v>
      </c>
      <c r="ES386">
        <v>1021.400000095367</v>
      </c>
      <c r="ET386">
        <v>0</v>
      </c>
      <c r="EU386">
        <v>917.28616</v>
      </c>
      <c r="EV386">
        <v>6.079615359152172</v>
      </c>
      <c r="EW386">
        <v>64.95384617950994</v>
      </c>
      <c r="EX386">
        <v>13662.476</v>
      </c>
      <c r="EY386">
        <v>15</v>
      </c>
      <c r="EZ386">
        <v>1651865518.1</v>
      </c>
      <c r="FA386" t="s">
        <v>910</v>
      </c>
      <c r="FB386">
        <v>1651865507.1</v>
      </c>
      <c r="FC386">
        <v>1651865518.1</v>
      </c>
      <c r="FD386">
        <v>8</v>
      </c>
      <c r="FE386">
        <v>0.06</v>
      </c>
      <c r="FF386">
        <v>0</v>
      </c>
      <c r="FG386">
        <v>-0.927</v>
      </c>
      <c r="FH386">
        <v>-0.062</v>
      </c>
      <c r="FI386">
        <v>400</v>
      </c>
      <c r="FJ386">
        <v>11</v>
      </c>
      <c r="FK386">
        <v>0.11</v>
      </c>
      <c r="FL386">
        <v>0.01</v>
      </c>
      <c r="FM386">
        <v>-63.67073000000001</v>
      </c>
      <c r="FN386">
        <v>1.45201350844279</v>
      </c>
      <c r="FO386">
        <v>0.1596796217430388</v>
      </c>
      <c r="FP386">
        <v>-1</v>
      </c>
      <c r="FQ386">
        <v>9.66038575</v>
      </c>
      <c r="FR386">
        <v>0.1283715196997854</v>
      </c>
      <c r="FS386">
        <v>0.01388195427299412</v>
      </c>
      <c r="FT386">
        <v>-1</v>
      </c>
      <c r="FU386">
        <v>0</v>
      </c>
      <c r="FV386">
        <v>0</v>
      </c>
      <c r="FW386">
        <v>0</v>
      </c>
      <c r="FX386">
        <v>-1</v>
      </c>
      <c r="FY386">
        <v>0</v>
      </c>
      <c r="FZ386">
        <v>0</v>
      </c>
      <c r="GA386" t="s">
        <v>420</v>
      </c>
      <c r="GB386">
        <v>2.98169</v>
      </c>
      <c r="GC386">
        <v>2.70613</v>
      </c>
      <c r="GD386">
        <v>0.143951</v>
      </c>
      <c r="GE386">
        <v>0.149949</v>
      </c>
      <c r="GF386">
        <v>0.0890581</v>
      </c>
      <c r="GG386">
        <v>0.0513314</v>
      </c>
      <c r="GH386">
        <v>27051.4</v>
      </c>
      <c r="GI386">
        <v>26920.1</v>
      </c>
      <c r="GJ386">
        <v>29378</v>
      </c>
      <c r="GK386">
        <v>29293</v>
      </c>
      <c r="GL386">
        <v>35434.3</v>
      </c>
      <c r="GM386">
        <v>37019.2</v>
      </c>
      <c r="GN386">
        <v>41350</v>
      </c>
      <c r="GO386">
        <v>41812.7</v>
      </c>
      <c r="GP386">
        <v>1.96753</v>
      </c>
      <c r="GQ386">
        <v>1.85527</v>
      </c>
      <c r="GR386">
        <v>-0.00613928</v>
      </c>
      <c r="GS386">
        <v>0</v>
      </c>
      <c r="GT386">
        <v>25.1038</v>
      </c>
      <c r="GU386">
        <v>999.9</v>
      </c>
      <c r="GV386">
        <v>29.5</v>
      </c>
      <c r="GW386">
        <v>34.2</v>
      </c>
      <c r="GX386">
        <v>17.7268</v>
      </c>
      <c r="GY386">
        <v>61.9176</v>
      </c>
      <c r="GZ386">
        <v>35.1923</v>
      </c>
      <c r="HA386">
        <v>1</v>
      </c>
      <c r="HB386">
        <v>0.0422104</v>
      </c>
      <c r="HC386">
        <v>1.48168</v>
      </c>
      <c r="HD386">
        <v>20.3277</v>
      </c>
      <c r="HE386">
        <v>5.21759</v>
      </c>
      <c r="HF386">
        <v>12.0099</v>
      </c>
      <c r="HG386">
        <v>4.9889</v>
      </c>
      <c r="HH386">
        <v>3.2885</v>
      </c>
      <c r="HI386">
        <v>1034.3</v>
      </c>
      <c r="HJ386">
        <v>9754.5</v>
      </c>
      <c r="HK386">
        <v>5139.4</v>
      </c>
      <c r="HL386">
        <v>25.4</v>
      </c>
      <c r="HM386">
        <v>1.86749</v>
      </c>
      <c r="HN386">
        <v>1.86646</v>
      </c>
      <c r="HO386">
        <v>1.866</v>
      </c>
      <c r="HP386">
        <v>1.86584</v>
      </c>
      <c r="HQ386">
        <v>1.86768</v>
      </c>
      <c r="HR386">
        <v>1.87018</v>
      </c>
      <c r="HS386">
        <v>1.8689</v>
      </c>
      <c r="HT386">
        <v>1.87018</v>
      </c>
      <c r="HU386">
        <v>0</v>
      </c>
      <c r="HV386">
        <v>0</v>
      </c>
      <c r="HW386">
        <v>0</v>
      </c>
      <c r="HX386">
        <v>0</v>
      </c>
      <c r="HY386" t="s">
        <v>421</v>
      </c>
      <c r="HZ386" t="s">
        <v>422</v>
      </c>
      <c r="IA386" t="s">
        <v>423</v>
      </c>
      <c r="IB386" t="s">
        <v>423</v>
      </c>
      <c r="IC386" t="s">
        <v>423</v>
      </c>
      <c r="ID386" t="s">
        <v>423</v>
      </c>
      <c r="IE386">
        <v>0</v>
      </c>
      <c r="IF386">
        <v>100</v>
      </c>
      <c r="IG386">
        <v>100</v>
      </c>
      <c r="IH386">
        <v>-1.566</v>
      </c>
      <c r="II386">
        <v>0.0259</v>
      </c>
      <c r="IJ386">
        <v>-0.1559367209035702</v>
      </c>
      <c r="IK386">
        <v>-0.002077099775823331</v>
      </c>
      <c r="IL386">
        <v>4.593143279902166E-07</v>
      </c>
      <c r="IM386">
        <v>-1.865383991892071E-10</v>
      </c>
      <c r="IN386">
        <v>-0.0607165066849496</v>
      </c>
      <c r="IO386">
        <v>-0.01129461987421345</v>
      </c>
      <c r="IP386">
        <v>0.00116580895745559</v>
      </c>
      <c r="IQ386">
        <v>-1.679085872906199E-05</v>
      </c>
      <c r="IR386">
        <v>2</v>
      </c>
      <c r="IS386">
        <v>2290</v>
      </c>
      <c r="IT386">
        <v>0</v>
      </c>
      <c r="IU386">
        <v>32</v>
      </c>
      <c r="IV386">
        <v>16.6</v>
      </c>
      <c r="IW386">
        <v>16.4</v>
      </c>
      <c r="IX386">
        <v>1.81641</v>
      </c>
      <c r="IY386">
        <v>2.1936</v>
      </c>
      <c r="IZ386">
        <v>1.39648</v>
      </c>
      <c r="JA386">
        <v>2.35474</v>
      </c>
      <c r="JB386">
        <v>1.49536</v>
      </c>
      <c r="JC386">
        <v>2.32788</v>
      </c>
      <c r="JD386">
        <v>38.0134</v>
      </c>
      <c r="JE386">
        <v>24.0437</v>
      </c>
      <c r="JF386">
        <v>18</v>
      </c>
      <c r="JG386">
        <v>512.489</v>
      </c>
      <c r="JH386">
        <v>426.49</v>
      </c>
      <c r="JI386">
        <v>23.1234</v>
      </c>
      <c r="JJ386">
        <v>27.8658</v>
      </c>
      <c r="JK386">
        <v>30</v>
      </c>
      <c r="JL386">
        <v>27.8793</v>
      </c>
      <c r="JM386">
        <v>27.8227</v>
      </c>
      <c r="JN386">
        <v>36.4583</v>
      </c>
      <c r="JO386">
        <v>46.6312</v>
      </c>
      <c r="JP386">
        <v>0</v>
      </c>
      <c r="JQ386">
        <v>23.1355</v>
      </c>
      <c r="JR386">
        <v>853.766</v>
      </c>
      <c r="JS386">
        <v>9.00273</v>
      </c>
      <c r="JT386">
        <v>100.419</v>
      </c>
      <c r="JU386">
        <v>100.351</v>
      </c>
    </row>
    <row r="387" spans="1:281">
      <c r="A387">
        <v>371</v>
      </c>
      <c r="B387">
        <v>1651866505.5</v>
      </c>
      <c r="C387">
        <v>2284.900000095367</v>
      </c>
      <c r="D387" t="s">
        <v>1165</v>
      </c>
      <c r="E387" t="s">
        <v>1166</v>
      </c>
      <c r="F387">
        <v>2</v>
      </c>
      <c r="G387" t="s">
        <v>908</v>
      </c>
      <c r="H387" t="s">
        <v>414</v>
      </c>
      <c r="I387">
        <v>1651866504.5</v>
      </c>
      <c r="J387">
        <f>(K387)/1000</f>
        <v>0</v>
      </c>
      <c r="K387">
        <f>IF(CZ387, AN387, AH387)</f>
        <v>0</v>
      </c>
      <c r="L387">
        <f>IF(CZ387, AI387, AG387)</f>
        <v>0</v>
      </c>
      <c r="M387">
        <f>DB387 - IF(AU387&gt;1, L387*CV387*100.0/(AW387*DP387), 0)</f>
        <v>0</v>
      </c>
      <c r="N387">
        <f>((T387-J387/2)*M387-L387)/(T387+J387/2)</f>
        <v>0</v>
      </c>
      <c r="O387">
        <f>N387*(DI387+DJ387)/1000.0</f>
        <v>0</v>
      </c>
      <c r="P387">
        <f>(DB387 - IF(AU387&gt;1, L387*CV387*100.0/(AW387*DP387), 0))*(DI387+DJ387)/1000.0</f>
        <v>0</v>
      </c>
      <c r="Q387">
        <f>2.0/((1/S387-1/R387)+SIGN(S387)*SQRT((1/S387-1/R387)*(1/S387-1/R387) + 4*CW387/((CW387+1)*(CW387+1))*(2*1/S387*1/R387-1/R387*1/R387)))</f>
        <v>0</v>
      </c>
      <c r="R387">
        <f>IF(LEFT(CX387,1)&lt;&gt;"0",IF(LEFT(CX387,1)="1",3.0,CY387),$D$5+$E$5*(DP387*DI387/($K$5*1000))+$F$5*(DP387*DI387/($K$5*1000))*MAX(MIN(CV387,$J$5),$I$5)*MAX(MIN(CV387,$J$5),$I$5)+$G$5*MAX(MIN(CV387,$J$5),$I$5)*(DP387*DI387/($K$5*1000))+$H$5*(DP387*DI387/($K$5*1000))*(DP387*DI387/($K$5*1000)))</f>
        <v>0</v>
      </c>
      <c r="S387">
        <f>J387*(1000-(1000*0.61365*exp(17.502*W387/(240.97+W387))/(DI387+DJ387)+DD387)/2)/(1000*0.61365*exp(17.502*W387/(240.97+W387))/(DI387+DJ387)-DD387)</f>
        <v>0</v>
      </c>
      <c r="T387">
        <f>1/((CW387+1)/(Q387/1.6)+1/(R387/1.37)) + CW387/((CW387+1)/(Q387/1.6) + CW387/(R387/1.37))</f>
        <v>0</v>
      </c>
      <c r="U387">
        <f>(CR387*CU387)</f>
        <v>0</v>
      </c>
      <c r="V387">
        <f>(DK387+(U387+2*0.95*5.67E-8*(((DK387+$B$7)+273)^4-(DK387+273)^4)-44100*J387)/(1.84*29.3*R387+8*0.95*5.67E-8*(DK387+273)^3))</f>
        <v>0</v>
      </c>
      <c r="W387">
        <f>($C$7*DL387+$D$7*DM387+$E$7*V387)</f>
        <v>0</v>
      </c>
      <c r="X387">
        <f>0.61365*exp(17.502*W387/(240.97+W387))</f>
        <v>0</v>
      </c>
      <c r="Y387">
        <f>(Z387/AA387*100)</f>
        <v>0</v>
      </c>
      <c r="Z387">
        <f>DD387*(DI387+DJ387)/1000</f>
        <v>0</v>
      </c>
      <c r="AA387">
        <f>0.61365*exp(17.502*DK387/(240.97+DK387))</f>
        <v>0</v>
      </c>
      <c r="AB387">
        <f>(X387-DD387*(DI387+DJ387)/1000)</f>
        <v>0</v>
      </c>
      <c r="AC387">
        <f>(-J387*44100)</f>
        <v>0</v>
      </c>
      <c r="AD387">
        <f>2*29.3*R387*0.92*(DK387-W387)</f>
        <v>0</v>
      </c>
      <c r="AE387">
        <f>2*0.95*5.67E-8*(((DK387+$B$7)+273)^4-(W387+273)^4)</f>
        <v>0</v>
      </c>
      <c r="AF387">
        <f>U387+AE387+AC387+AD387</f>
        <v>0</v>
      </c>
      <c r="AG387">
        <f>DH387*AU387*(DC387-DB387*(1000-AU387*DE387)/(1000-AU387*DD387))/(100*CV387)</f>
        <v>0</v>
      </c>
      <c r="AH387">
        <f>1000*DH387*AU387*(DD387-DE387)/(100*CV387*(1000-AU387*DD387))</f>
        <v>0</v>
      </c>
      <c r="AI387">
        <f>(AJ387 - AK387 - DI387*1E3/(8.314*(DK387+273.15)) * AM387/DH387 * AL387) * DH387/(100*CV387) * (1000 - DE387)/1000</f>
        <v>0</v>
      </c>
      <c r="AJ387">
        <v>835.8160361241746</v>
      </c>
      <c r="AK387">
        <v>787.2109515151516</v>
      </c>
      <c r="AL387">
        <v>3.424409479582842</v>
      </c>
      <c r="AM387">
        <v>66.38195617057868</v>
      </c>
      <c r="AN387">
        <f>(AP387 - AO387 + DI387*1E3/(8.314*(DK387+273.15)) * AR387/DH387 * AQ387) * DH387/(100*CV387) * 1000/(1000 - AP387)</f>
        <v>0</v>
      </c>
      <c r="AO387">
        <v>9.047921955776024</v>
      </c>
      <c r="AP387">
        <v>18.72012529411765</v>
      </c>
      <c r="AQ387">
        <v>-0.0001012584240435687</v>
      </c>
      <c r="AR387">
        <v>80.47178418790507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MAX(0,($B$13+$C$13*DP387)/(1+$D$13*DP387)*DI387/(DK387+273)*$E$13)</f>
        <v>0</v>
      </c>
      <c r="AX387" t="s">
        <v>417</v>
      </c>
      <c r="AY387" t="s">
        <v>417</v>
      </c>
      <c r="AZ387">
        <v>0</v>
      </c>
      <c r="BA387">
        <v>0</v>
      </c>
      <c r="BB387">
        <f>1-AZ387/BA387</f>
        <v>0</v>
      </c>
      <c r="BC387">
        <v>0</v>
      </c>
      <c r="BD387" t="s">
        <v>417</v>
      </c>
      <c r="BE387" t="s">
        <v>417</v>
      </c>
      <c r="BF387">
        <v>0</v>
      </c>
      <c r="BG387">
        <v>0</v>
      </c>
      <c r="BH387">
        <f>1-BF387/BG387</f>
        <v>0</v>
      </c>
      <c r="BI387">
        <v>0.5</v>
      </c>
      <c r="BJ387">
        <f>CS387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417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BZ387">
        <v>1249</v>
      </c>
      <c r="CA387">
        <v>300</v>
      </c>
      <c r="CB387">
        <v>300</v>
      </c>
      <c r="CC387">
        <v>300</v>
      </c>
      <c r="CD387">
        <v>10442.4</v>
      </c>
      <c r="CE387">
        <v>1239.69</v>
      </c>
      <c r="CF387">
        <v>-0.00735276</v>
      </c>
      <c r="CG387">
        <v>0.07000000000000001</v>
      </c>
      <c r="CH387" t="s">
        <v>417</v>
      </c>
      <c r="CI387" t="s">
        <v>417</v>
      </c>
      <c r="CJ387" t="s">
        <v>417</v>
      </c>
      <c r="CK387" t="s">
        <v>417</v>
      </c>
      <c r="CL387" t="s">
        <v>417</v>
      </c>
      <c r="CM387" t="s">
        <v>417</v>
      </c>
      <c r="CN387" t="s">
        <v>417</v>
      </c>
      <c r="CO387" t="s">
        <v>417</v>
      </c>
      <c r="CP387" t="s">
        <v>417</v>
      </c>
      <c r="CQ387" t="s">
        <v>417</v>
      </c>
      <c r="CR387">
        <f>$B$11*DQ387+$C$11*DR387+$F$11*EC387*(1-EF387)</f>
        <v>0</v>
      </c>
      <c r="CS387">
        <f>CR387*CT387</f>
        <v>0</v>
      </c>
      <c r="CT387">
        <f>($B$11*$D$9+$C$11*$D$9+$F$11*((EP387+EH387)/MAX(EP387+EH387+EQ387, 0.1)*$I$9+EQ387/MAX(EP387+EH387+EQ387, 0.1)*$J$9))/($B$11+$C$11+$F$11)</f>
        <v>0</v>
      </c>
      <c r="CU387">
        <f>($B$11*$K$9+$C$11*$K$9+$F$11*((EP387+EH387)/MAX(EP387+EH387+EQ387, 0.1)*$P$9+EQ387/MAX(EP387+EH387+EQ387, 0.1)*$Q$9))/($B$11+$C$11+$F$11)</f>
        <v>0</v>
      </c>
      <c r="CV387">
        <v>6</v>
      </c>
      <c r="CW387">
        <v>0.5</v>
      </c>
      <c r="CX387" t="s">
        <v>418</v>
      </c>
      <c r="CY387">
        <v>2</v>
      </c>
      <c r="CZ387" t="b">
        <v>1</v>
      </c>
      <c r="DA387">
        <v>1651866504.5</v>
      </c>
      <c r="DB387">
        <v>770.7956666666668</v>
      </c>
      <c r="DC387">
        <v>834.1666666666666</v>
      </c>
      <c r="DD387">
        <v>18.72036666666667</v>
      </c>
      <c r="DE387">
        <v>9.046396666666666</v>
      </c>
      <c r="DF387">
        <v>772.3676666666667</v>
      </c>
      <c r="DG387">
        <v>18.69446666666667</v>
      </c>
      <c r="DH387">
        <v>500.0226666666667</v>
      </c>
      <c r="DI387">
        <v>89.91383333333333</v>
      </c>
      <c r="DJ387">
        <v>0.0999287</v>
      </c>
      <c r="DK387">
        <v>25.94916666666667</v>
      </c>
      <c r="DL387">
        <v>25.00076666666667</v>
      </c>
      <c r="DM387">
        <v>999.9</v>
      </c>
      <c r="DN387">
        <v>0</v>
      </c>
      <c r="DO387">
        <v>0</v>
      </c>
      <c r="DP387">
        <v>10016.03333333333</v>
      </c>
      <c r="DQ387">
        <v>0</v>
      </c>
      <c r="DR387">
        <v>3.20383</v>
      </c>
      <c r="DS387">
        <v>-63.37086666666667</v>
      </c>
      <c r="DT387">
        <v>785.5003333333334</v>
      </c>
      <c r="DU387">
        <v>841.7816666666666</v>
      </c>
      <c r="DV387">
        <v>9.673956666666667</v>
      </c>
      <c r="DW387">
        <v>834.1666666666666</v>
      </c>
      <c r="DX387">
        <v>9.046396666666666</v>
      </c>
      <c r="DY387">
        <v>1.683216666666667</v>
      </c>
      <c r="DZ387">
        <v>0.813396</v>
      </c>
      <c r="EA387">
        <v>14.7425</v>
      </c>
      <c r="EB387">
        <v>3.943256666666667</v>
      </c>
      <c r="EC387">
        <v>1500.023333333334</v>
      </c>
      <c r="ED387">
        <v>0.9729990000000001</v>
      </c>
      <c r="EE387">
        <v>0.0270009</v>
      </c>
      <c r="EF387">
        <v>0</v>
      </c>
      <c r="EG387">
        <v>917.7026666666667</v>
      </c>
      <c r="EH387">
        <v>5.00097</v>
      </c>
      <c r="EI387">
        <v>13667.56666666667</v>
      </c>
      <c r="EJ387">
        <v>12491.8</v>
      </c>
      <c r="EK387">
        <v>38.208</v>
      </c>
      <c r="EL387">
        <v>39.437</v>
      </c>
      <c r="EM387">
        <v>38.625</v>
      </c>
      <c r="EN387">
        <v>39.062</v>
      </c>
      <c r="EO387">
        <v>39.062</v>
      </c>
      <c r="EP387">
        <v>1454.653333333333</v>
      </c>
      <c r="EQ387">
        <v>40.37</v>
      </c>
      <c r="ER387">
        <v>0</v>
      </c>
      <c r="ES387">
        <v>1023.200000047684</v>
      </c>
      <c r="ET387">
        <v>0</v>
      </c>
      <c r="EU387">
        <v>917.3932692307692</v>
      </c>
      <c r="EV387">
        <v>4.21849569718</v>
      </c>
      <c r="EW387">
        <v>51.1999999201338</v>
      </c>
      <c r="EX387">
        <v>13663.6</v>
      </c>
      <c r="EY387">
        <v>15</v>
      </c>
      <c r="EZ387">
        <v>1651865518.1</v>
      </c>
      <c r="FA387" t="s">
        <v>910</v>
      </c>
      <c r="FB387">
        <v>1651865507.1</v>
      </c>
      <c r="FC387">
        <v>1651865518.1</v>
      </c>
      <c r="FD387">
        <v>8</v>
      </c>
      <c r="FE387">
        <v>0.06</v>
      </c>
      <c r="FF387">
        <v>0</v>
      </c>
      <c r="FG387">
        <v>-0.927</v>
      </c>
      <c r="FH387">
        <v>-0.062</v>
      </c>
      <c r="FI387">
        <v>400</v>
      </c>
      <c r="FJ387">
        <v>11</v>
      </c>
      <c r="FK387">
        <v>0.11</v>
      </c>
      <c r="FL387">
        <v>0.01</v>
      </c>
      <c r="FM387">
        <v>-63.64419</v>
      </c>
      <c r="FN387">
        <v>1.449800375234698</v>
      </c>
      <c r="FO387">
        <v>0.1595339631551845</v>
      </c>
      <c r="FP387">
        <v>-1</v>
      </c>
      <c r="FQ387">
        <v>9.662634749999999</v>
      </c>
      <c r="FR387">
        <v>0.1131542589118509</v>
      </c>
      <c r="FS387">
        <v>0.01243138286505164</v>
      </c>
      <c r="FT387">
        <v>-1</v>
      </c>
      <c r="FU387">
        <v>0</v>
      </c>
      <c r="FV387">
        <v>0</v>
      </c>
      <c r="FW387">
        <v>0</v>
      </c>
      <c r="FX387">
        <v>-1</v>
      </c>
      <c r="FY387">
        <v>0</v>
      </c>
      <c r="FZ387">
        <v>0</v>
      </c>
      <c r="GA387" t="s">
        <v>420</v>
      </c>
      <c r="GB387">
        <v>2.98142</v>
      </c>
      <c r="GC387">
        <v>2.70634</v>
      </c>
      <c r="GD387">
        <v>0.144795</v>
      </c>
      <c r="GE387">
        <v>0.15075</v>
      </c>
      <c r="GF387">
        <v>0.0890449</v>
      </c>
      <c r="GG387">
        <v>0.0513314</v>
      </c>
      <c r="GH387">
        <v>27024.8</v>
      </c>
      <c r="GI387">
        <v>26894.7</v>
      </c>
      <c r="GJ387">
        <v>29377.9</v>
      </c>
      <c r="GK387">
        <v>29293</v>
      </c>
      <c r="GL387">
        <v>35434.7</v>
      </c>
      <c r="GM387">
        <v>37019.3</v>
      </c>
      <c r="GN387">
        <v>41349.9</v>
      </c>
      <c r="GO387">
        <v>41812.8</v>
      </c>
      <c r="GP387">
        <v>1.96732</v>
      </c>
      <c r="GQ387">
        <v>1.85545</v>
      </c>
      <c r="GR387">
        <v>-0.00657141</v>
      </c>
      <c r="GS387">
        <v>0</v>
      </c>
      <c r="GT387">
        <v>25.1038</v>
      </c>
      <c r="GU387">
        <v>999.9</v>
      </c>
      <c r="GV387">
        <v>29.5</v>
      </c>
      <c r="GW387">
        <v>34.2</v>
      </c>
      <c r="GX387">
        <v>17.7272</v>
      </c>
      <c r="GY387">
        <v>62.6776</v>
      </c>
      <c r="GZ387">
        <v>35.4647</v>
      </c>
      <c r="HA387">
        <v>1</v>
      </c>
      <c r="HB387">
        <v>0.0421723</v>
      </c>
      <c r="HC387">
        <v>1.48253</v>
      </c>
      <c r="HD387">
        <v>20.3277</v>
      </c>
      <c r="HE387">
        <v>5.21714</v>
      </c>
      <c r="HF387">
        <v>12.0099</v>
      </c>
      <c r="HG387">
        <v>4.9887</v>
      </c>
      <c r="HH387">
        <v>3.28848</v>
      </c>
      <c r="HI387">
        <v>1034.3</v>
      </c>
      <c r="HJ387">
        <v>9754.5</v>
      </c>
      <c r="HK387">
        <v>5139.4</v>
      </c>
      <c r="HL387">
        <v>25.4</v>
      </c>
      <c r="HM387">
        <v>1.86746</v>
      </c>
      <c r="HN387">
        <v>1.86646</v>
      </c>
      <c r="HO387">
        <v>1.866</v>
      </c>
      <c r="HP387">
        <v>1.86585</v>
      </c>
      <c r="HQ387">
        <v>1.86768</v>
      </c>
      <c r="HR387">
        <v>1.8702</v>
      </c>
      <c r="HS387">
        <v>1.8689</v>
      </c>
      <c r="HT387">
        <v>1.87021</v>
      </c>
      <c r="HU387">
        <v>0</v>
      </c>
      <c r="HV387">
        <v>0</v>
      </c>
      <c r="HW387">
        <v>0</v>
      </c>
      <c r="HX387">
        <v>0</v>
      </c>
      <c r="HY387" t="s">
        <v>421</v>
      </c>
      <c r="HZ387" t="s">
        <v>422</v>
      </c>
      <c r="IA387" t="s">
        <v>423</v>
      </c>
      <c r="IB387" t="s">
        <v>423</v>
      </c>
      <c r="IC387" t="s">
        <v>423</v>
      </c>
      <c r="ID387" t="s">
        <v>423</v>
      </c>
      <c r="IE387">
        <v>0</v>
      </c>
      <c r="IF387">
        <v>100</v>
      </c>
      <c r="IG387">
        <v>100</v>
      </c>
      <c r="IH387">
        <v>-1.578</v>
      </c>
      <c r="II387">
        <v>0.0259</v>
      </c>
      <c r="IJ387">
        <v>-0.1559367209035702</v>
      </c>
      <c r="IK387">
        <v>-0.002077099775823331</v>
      </c>
      <c r="IL387">
        <v>4.593143279902166E-07</v>
      </c>
      <c r="IM387">
        <v>-1.865383991892071E-10</v>
      </c>
      <c r="IN387">
        <v>-0.0607165066849496</v>
      </c>
      <c r="IO387">
        <v>-0.01129461987421345</v>
      </c>
      <c r="IP387">
        <v>0.00116580895745559</v>
      </c>
      <c r="IQ387">
        <v>-1.679085872906199E-05</v>
      </c>
      <c r="IR387">
        <v>2</v>
      </c>
      <c r="IS387">
        <v>2290</v>
      </c>
      <c r="IT387">
        <v>0</v>
      </c>
      <c r="IU387">
        <v>32</v>
      </c>
      <c r="IV387">
        <v>16.6</v>
      </c>
      <c r="IW387">
        <v>16.5</v>
      </c>
      <c r="IX387">
        <v>1.82739</v>
      </c>
      <c r="IY387">
        <v>2.1875</v>
      </c>
      <c r="IZ387">
        <v>1.39648</v>
      </c>
      <c r="JA387">
        <v>2.35474</v>
      </c>
      <c r="JB387">
        <v>1.49536</v>
      </c>
      <c r="JC387">
        <v>2.3584</v>
      </c>
      <c r="JD387">
        <v>38.0134</v>
      </c>
      <c r="JE387">
        <v>24.0437</v>
      </c>
      <c r="JF387">
        <v>18</v>
      </c>
      <c r="JG387">
        <v>512.349</v>
      </c>
      <c r="JH387">
        <v>426.586</v>
      </c>
      <c r="JI387">
        <v>23.1288</v>
      </c>
      <c r="JJ387">
        <v>27.8655</v>
      </c>
      <c r="JK387">
        <v>30</v>
      </c>
      <c r="JL387">
        <v>27.8781</v>
      </c>
      <c r="JM387">
        <v>27.8215</v>
      </c>
      <c r="JN387">
        <v>36.689</v>
      </c>
      <c r="JO387">
        <v>46.6312</v>
      </c>
      <c r="JP387">
        <v>0</v>
      </c>
      <c r="JQ387">
        <v>23.1316</v>
      </c>
      <c r="JR387">
        <v>860.448</v>
      </c>
      <c r="JS387">
        <v>8.99793</v>
      </c>
      <c r="JT387">
        <v>100.419</v>
      </c>
      <c r="JU387">
        <v>100.351</v>
      </c>
    </row>
    <row r="388" spans="1:281">
      <c r="A388">
        <v>372</v>
      </c>
      <c r="B388">
        <v>1651866507.5</v>
      </c>
      <c r="C388">
        <v>2286.900000095367</v>
      </c>
      <c r="D388" t="s">
        <v>1167</v>
      </c>
      <c r="E388" t="s">
        <v>1168</v>
      </c>
      <c r="F388">
        <v>2</v>
      </c>
      <c r="G388" t="s">
        <v>908</v>
      </c>
      <c r="H388" t="s">
        <v>414</v>
      </c>
      <c r="I388">
        <v>1651866506.125</v>
      </c>
      <c r="J388">
        <f>(K388)/1000</f>
        <v>0</v>
      </c>
      <c r="K388">
        <f>IF(CZ388, AN388, AH388)</f>
        <v>0</v>
      </c>
      <c r="L388">
        <f>IF(CZ388, AI388, AG388)</f>
        <v>0</v>
      </c>
      <c r="M388">
        <f>DB388 - IF(AU388&gt;1, L388*CV388*100.0/(AW388*DP388), 0)</f>
        <v>0</v>
      </c>
      <c r="N388">
        <f>((T388-J388/2)*M388-L388)/(T388+J388/2)</f>
        <v>0</v>
      </c>
      <c r="O388">
        <f>N388*(DI388+DJ388)/1000.0</f>
        <v>0</v>
      </c>
      <c r="P388">
        <f>(DB388 - IF(AU388&gt;1, L388*CV388*100.0/(AW388*DP388), 0))*(DI388+DJ388)/1000.0</f>
        <v>0</v>
      </c>
      <c r="Q388">
        <f>2.0/((1/S388-1/R388)+SIGN(S388)*SQRT((1/S388-1/R388)*(1/S388-1/R388) + 4*CW388/((CW388+1)*(CW388+1))*(2*1/S388*1/R388-1/R388*1/R388)))</f>
        <v>0</v>
      </c>
      <c r="R388">
        <f>IF(LEFT(CX388,1)&lt;&gt;"0",IF(LEFT(CX388,1)="1",3.0,CY388),$D$5+$E$5*(DP388*DI388/($K$5*1000))+$F$5*(DP388*DI388/($K$5*1000))*MAX(MIN(CV388,$J$5),$I$5)*MAX(MIN(CV388,$J$5),$I$5)+$G$5*MAX(MIN(CV388,$J$5),$I$5)*(DP388*DI388/($K$5*1000))+$H$5*(DP388*DI388/($K$5*1000))*(DP388*DI388/($K$5*1000)))</f>
        <v>0</v>
      </c>
      <c r="S388">
        <f>J388*(1000-(1000*0.61365*exp(17.502*W388/(240.97+W388))/(DI388+DJ388)+DD388)/2)/(1000*0.61365*exp(17.502*W388/(240.97+W388))/(DI388+DJ388)-DD388)</f>
        <v>0</v>
      </c>
      <c r="T388">
        <f>1/((CW388+1)/(Q388/1.6)+1/(R388/1.37)) + CW388/((CW388+1)/(Q388/1.6) + CW388/(R388/1.37))</f>
        <v>0</v>
      </c>
      <c r="U388">
        <f>(CR388*CU388)</f>
        <v>0</v>
      </c>
      <c r="V388">
        <f>(DK388+(U388+2*0.95*5.67E-8*(((DK388+$B$7)+273)^4-(DK388+273)^4)-44100*J388)/(1.84*29.3*R388+8*0.95*5.67E-8*(DK388+273)^3))</f>
        <v>0</v>
      </c>
      <c r="W388">
        <f>($C$7*DL388+$D$7*DM388+$E$7*V388)</f>
        <v>0</v>
      </c>
      <c r="X388">
        <f>0.61365*exp(17.502*W388/(240.97+W388))</f>
        <v>0</v>
      </c>
      <c r="Y388">
        <f>(Z388/AA388*100)</f>
        <v>0</v>
      </c>
      <c r="Z388">
        <f>DD388*(DI388+DJ388)/1000</f>
        <v>0</v>
      </c>
      <c r="AA388">
        <f>0.61365*exp(17.502*DK388/(240.97+DK388))</f>
        <v>0</v>
      </c>
      <c r="AB388">
        <f>(X388-DD388*(DI388+DJ388)/1000)</f>
        <v>0</v>
      </c>
      <c r="AC388">
        <f>(-J388*44100)</f>
        <v>0</v>
      </c>
      <c r="AD388">
        <f>2*29.3*R388*0.92*(DK388-W388)</f>
        <v>0</v>
      </c>
      <c r="AE388">
        <f>2*0.95*5.67E-8*(((DK388+$B$7)+273)^4-(W388+273)^4)</f>
        <v>0</v>
      </c>
      <c r="AF388">
        <f>U388+AE388+AC388+AD388</f>
        <v>0</v>
      </c>
      <c r="AG388">
        <f>DH388*AU388*(DC388-DB388*(1000-AU388*DE388)/(1000-AU388*DD388))/(100*CV388)</f>
        <v>0</v>
      </c>
      <c r="AH388">
        <f>1000*DH388*AU388*(DD388-DE388)/(100*CV388*(1000-AU388*DD388))</f>
        <v>0</v>
      </c>
      <c r="AI388">
        <f>(AJ388 - AK388 - DI388*1E3/(8.314*(DK388+273.15)) * AM388/DH388 * AL388) * DH388/(100*CV388) * (1000 - DE388)/1000</f>
        <v>0</v>
      </c>
      <c r="AJ388">
        <v>842.5746398683158</v>
      </c>
      <c r="AK388">
        <v>794.0702787878789</v>
      </c>
      <c r="AL388">
        <v>3.424763410518191</v>
      </c>
      <c r="AM388">
        <v>66.38195617057868</v>
      </c>
      <c r="AN388">
        <f>(AP388 - AO388 + DI388*1E3/(8.314*(DK388+273.15)) * AR388/DH388 * AQ388) * DH388/(100*CV388) * 1000/(1000 - AP388)</f>
        <v>0</v>
      </c>
      <c r="AO388">
        <v>9.046805510380763</v>
      </c>
      <c r="AP388">
        <v>18.71628029411765</v>
      </c>
      <c r="AQ388">
        <v>-3.895537456597709E-05</v>
      </c>
      <c r="AR388">
        <v>80.47178418790507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MAX(0,($B$13+$C$13*DP388)/(1+$D$13*DP388)*DI388/(DK388+273)*$E$13)</f>
        <v>0</v>
      </c>
      <c r="AX388" t="s">
        <v>417</v>
      </c>
      <c r="AY388" t="s">
        <v>417</v>
      </c>
      <c r="AZ388">
        <v>0</v>
      </c>
      <c r="BA388">
        <v>0</v>
      </c>
      <c r="BB388">
        <f>1-AZ388/BA388</f>
        <v>0</v>
      </c>
      <c r="BC388">
        <v>0</v>
      </c>
      <c r="BD388" t="s">
        <v>417</v>
      </c>
      <c r="BE388" t="s">
        <v>417</v>
      </c>
      <c r="BF388">
        <v>0</v>
      </c>
      <c r="BG388">
        <v>0</v>
      </c>
      <c r="BH388">
        <f>1-BF388/BG388</f>
        <v>0</v>
      </c>
      <c r="BI388">
        <v>0.5</v>
      </c>
      <c r="BJ388">
        <f>CS388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417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BZ388">
        <v>1249</v>
      </c>
      <c r="CA388">
        <v>300</v>
      </c>
      <c r="CB388">
        <v>300</v>
      </c>
      <c r="CC388">
        <v>300</v>
      </c>
      <c r="CD388">
        <v>10442.4</v>
      </c>
      <c r="CE388">
        <v>1239.69</v>
      </c>
      <c r="CF388">
        <v>-0.00735276</v>
      </c>
      <c r="CG388">
        <v>0.07000000000000001</v>
      </c>
      <c r="CH388" t="s">
        <v>417</v>
      </c>
      <c r="CI388" t="s">
        <v>417</v>
      </c>
      <c r="CJ388" t="s">
        <v>417</v>
      </c>
      <c r="CK388" t="s">
        <v>417</v>
      </c>
      <c r="CL388" t="s">
        <v>417</v>
      </c>
      <c r="CM388" t="s">
        <v>417</v>
      </c>
      <c r="CN388" t="s">
        <v>417</v>
      </c>
      <c r="CO388" t="s">
        <v>417</v>
      </c>
      <c r="CP388" t="s">
        <v>417</v>
      </c>
      <c r="CQ388" t="s">
        <v>417</v>
      </c>
      <c r="CR388">
        <f>$B$11*DQ388+$C$11*DR388+$F$11*EC388*(1-EF388)</f>
        <v>0</v>
      </c>
      <c r="CS388">
        <f>CR388*CT388</f>
        <v>0</v>
      </c>
      <c r="CT388">
        <f>($B$11*$D$9+$C$11*$D$9+$F$11*((EP388+EH388)/MAX(EP388+EH388+EQ388, 0.1)*$I$9+EQ388/MAX(EP388+EH388+EQ388, 0.1)*$J$9))/($B$11+$C$11+$F$11)</f>
        <v>0</v>
      </c>
      <c r="CU388">
        <f>($B$11*$K$9+$C$11*$K$9+$F$11*((EP388+EH388)/MAX(EP388+EH388+EQ388, 0.1)*$P$9+EQ388/MAX(EP388+EH388+EQ388, 0.1)*$Q$9))/($B$11+$C$11+$F$11)</f>
        <v>0</v>
      </c>
      <c r="CV388">
        <v>6</v>
      </c>
      <c r="CW388">
        <v>0.5</v>
      </c>
      <c r="CX388" t="s">
        <v>418</v>
      </c>
      <c r="CY388">
        <v>2</v>
      </c>
      <c r="CZ388" t="b">
        <v>1</v>
      </c>
      <c r="DA388">
        <v>1651866506.125</v>
      </c>
      <c r="DB388">
        <v>776.2674999999999</v>
      </c>
      <c r="DC388">
        <v>839.6505</v>
      </c>
      <c r="DD388">
        <v>18.71775</v>
      </c>
      <c r="DE388">
        <v>9.0459675</v>
      </c>
      <c r="DF388">
        <v>777.8489999999999</v>
      </c>
      <c r="DG388">
        <v>18.6919</v>
      </c>
      <c r="DH388">
        <v>500.016</v>
      </c>
      <c r="DI388">
        <v>89.91379999999999</v>
      </c>
      <c r="DJ388">
        <v>0.100076625</v>
      </c>
      <c r="DK388">
        <v>25.94595</v>
      </c>
      <c r="DL388">
        <v>24.99515</v>
      </c>
      <c r="DM388">
        <v>999.9</v>
      </c>
      <c r="DN388">
        <v>0</v>
      </c>
      <c r="DO388">
        <v>0</v>
      </c>
      <c r="DP388">
        <v>10001.265</v>
      </c>
      <c r="DQ388">
        <v>0</v>
      </c>
      <c r="DR388">
        <v>3.207695</v>
      </c>
      <c r="DS388">
        <v>-63.382925</v>
      </c>
      <c r="DT388">
        <v>791.0744999999999</v>
      </c>
      <c r="DU388">
        <v>847.31525</v>
      </c>
      <c r="DV388">
        <v>9.67177</v>
      </c>
      <c r="DW388">
        <v>839.6505</v>
      </c>
      <c r="DX388">
        <v>9.0459675</v>
      </c>
      <c r="DY388">
        <v>1.6829825</v>
      </c>
      <c r="DZ388">
        <v>0.81335725</v>
      </c>
      <c r="EA388">
        <v>14.74035</v>
      </c>
      <c r="EB388">
        <v>3.94258</v>
      </c>
      <c r="EC388">
        <v>1500.0125</v>
      </c>
      <c r="ED388">
        <v>0.9729985</v>
      </c>
      <c r="EE388">
        <v>0.02700135</v>
      </c>
      <c r="EF388">
        <v>0</v>
      </c>
      <c r="EG388">
        <v>917.56325</v>
      </c>
      <c r="EH388">
        <v>5.00097</v>
      </c>
      <c r="EI388">
        <v>13667.325</v>
      </c>
      <c r="EJ388">
        <v>12491.65</v>
      </c>
      <c r="EK388">
        <v>38.187</v>
      </c>
      <c r="EL388">
        <v>39.437</v>
      </c>
      <c r="EM388">
        <v>38.625</v>
      </c>
      <c r="EN388">
        <v>39.062</v>
      </c>
      <c r="EO388">
        <v>39.04649999999999</v>
      </c>
      <c r="EP388">
        <v>1454.6425</v>
      </c>
      <c r="EQ388">
        <v>40.37</v>
      </c>
      <c r="ER388">
        <v>0</v>
      </c>
      <c r="ES388">
        <v>1025</v>
      </c>
      <c r="ET388">
        <v>0</v>
      </c>
      <c r="EU388">
        <v>917.51444</v>
      </c>
      <c r="EV388">
        <v>2.813153831162394</v>
      </c>
      <c r="EW388">
        <v>36.41538469735855</v>
      </c>
      <c r="EX388">
        <v>13665.18</v>
      </c>
      <c r="EY388">
        <v>15</v>
      </c>
      <c r="EZ388">
        <v>1651865518.1</v>
      </c>
      <c r="FA388" t="s">
        <v>910</v>
      </c>
      <c r="FB388">
        <v>1651865507.1</v>
      </c>
      <c r="FC388">
        <v>1651865518.1</v>
      </c>
      <c r="FD388">
        <v>8</v>
      </c>
      <c r="FE388">
        <v>0.06</v>
      </c>
      <c r="FF388">
        <v>0</v>
      </c>
      <c r="FG388">
        <v>-0.927</v>
      </c>
      <c r="FH388">
        <v>-0.062</v>
      </c>
      <c r="FI388">
        <v>400</v>
      </c>
      <c r="FJ388">
        <v>11</v>
      </c>
      <c r="FK388">
        <v>0.11</v>
      </c>
      <c r="FL388">
        <v>0.01</v>
      </c>
      <c r="FM388">
        <v>-63.56711499999999</v>
      </c>
      <c r="FN388">
        <v>1.302702439024608</v>
      </c>
      <c r="FO388">
        <v>0.1450639265117273</v>
      </c>
      <c r="FP388">
        <v>-1</v>
      </c>
      <c r="FQ388">
        <v>9.666024999999999</v>
      </c>
      <c r="FR388">
        <v>0.09255151969978312</v>
      </c>
      <c r="FS388">
        <v>0.01116121767550475</v>
      </c>
      <c r="FT388">
        <v>-1</v>
      </c>
      <c r="FU388">
        <v>0</v>
      </c>
      <c r="FV388">
        <v>0</v>
      </c>
      <c r="FW388">
        <v>0</v>
      </c>
      <c r="FX388">
        <v>-1</v>
      </c>
      <c r="FY388">
        <v>0</v>
      </c>
      <c r="FZ388">
        <v>0</v>
      </c>
      <c r="GA388" t="s">
        <v>420</v>
      </c>
      <c r="GB388">
        <v>2.98147</v>
      </c>
      <c r="GC388">
        <v>2.70627</v>
      </c>
      <c r="GD388">
        <v>0.145637</v>
      </c>
      <c r="GE388">
        <v>0.151545</v>
      </c>
      <c r="GF388">
        <v>0.0890412</v>
      </c>
      <c r="GG388">
        <v>0.0513246</v>
      </c>
      <c r="GH388">
        <v>26998.6</v>
      </c>
      <c r="GI388">
        <v>26869.4</v>
      </c>
      <c r="GJ388">
        <v>29378.4</v>
      </c>
      <c r="GK388">
        <v>29292.9</v>
      </c>
      <c r="GL388">
        <v>35435.3</v>
      </c>
      <c r="GM388">
        <v>37019.5</v>
      </c>
      <c r="GN388">
        <v>41350.4</v>
      </c>
      <c r="GO388">
        <v>41812.7</v>
      </c>
      <c r="GP388">
        <v>1.96742</v>
      </c>
      <c r="GQ388">
        <v>1.8554</v>
      </c>
      <c r="GR388">
        <v>-0.00661612</v>
      </c>
      <c r="GS388">
        <v>0</v>
      </c>
      <c r="GT388">
        <v>25.1038</v>
      </c>
      <c r="GU388">
        <v>999.9</v>
      </c>
      <c r="GV388">
        <v>29.5</v>
      </c>
      <c r="GW388">
        <v>34.2</v>
      </c>
      <c r="GX388">
        <v>17.7281</v>
      </c>
      <c r="GY388">
        <v>62.2976</v>
      </c>
      <c r="GZ388">
        <v>35.2925</v>
      </c>
      <c r="HA388">
        <v>1</v>
      </c>
      <c r="HB388">
        <v>0.0421672</v>
      </c>
      <c r="HC388">
        <v>1.5009</v>
      </c>
      <c r="HD388">
        <v>20.3276</v>
      </c>
      <c r="HE388">
        <v>5.21744</v>
      </c>
      <c r="HF388">
        <v>12.0099</v>
      </c>
      <c r="HG388">
        <v>4.98865</v>
      </c>
      <c r="HH388">
        <v>3.28845</v>
      </c>
      <c r="HI388">
        <v>1034.5</v>
      </c>
      <c r="HJ388">
        <v>9755.9</v>
      </c>
      <c r="HK388">
        <v>5139.4</v>
      </c>
      <c r="HL388">
        <v>25.4</v>
      </c>
      <c r="HM388">
        <v>1.86744</v>
      </c>
      <c r="HN388">
        <v>1.86645</v>
      </c>
      <c r="HO388">
        <v>1.866</v>
      </c>
      <c r="HP388">
        <v>1.86585</v>
      </c>
      <c r="HQ388">
        <v>1.86768</v>
      </c>
      <c r="HR388">
        <v>1.87021</v>
      </c>
      <c r="HS388">
        <v>1.8689</v>
      </c>
      <c r="HT388">
        <v>1.87023</v>
      </c>
      <c r="HU388">
        <v>0</v>
      </c>
      <c r="HV388">
        <v>0</v>
      </c>
      <c r="HW388">
        <v>0</v>
      </c>
      <c r="HX388">
        <v>0</v>
      </c>
      <c r="HY388" t="s">
        <v>421</v>
      </c>
      <c r="HZ388" t="s">
        <v>422</v>
      </c>
      <c r="IA388" t="s">
        <v>423</v>
      </c>
      <c r="IB388" t="s">
        <v>423</v>
      </c>
      <c r="IC388" t="s">
        <v>423</v>
      </c>
      <c r="ID388" t="s">
        <v>423</v>
      </c>
      <c r="IE388">
        <v>0</v>
      </c>
      <c r="IF388">
        <v>100</v>
      </c>
      <c r="IG388">
        <v>100</v>
      </c>
      <c r="IH388">
        <v>-1.59</v>
      </c>
      <c r="II388">
        <v>0.0258</v>
      </c>
      <c r="IJ388">
        <v>-0.1559367209035702</v>
      </c>
      <c r="IK388">
        <v>-0.002077099775823331</v>
      </c>
      <c r="IL388">
        <v>4.593143279902166E-07</v>
      </c>
      <c r="IM388">
        <v>-1.865383991892071E-10</v>
      </c>
      <c r="IN388">
        <v>-0.0607165066849496</v>
      </c>
      <c r="IO388">
        <v>-0.01129461987421345</v>
      </c>
      <c r="IP388">
        <v>0.00116580895745559</v>
      </c>
      <c r="IQ388">
        <v>-1.679085872906199E-05</v>
      </c>
      <c r="IR388">
        <v>2</v>
      </c>
      <c r="IS388">
        <v>2290</v>
      </c>
      <c r="IT388">
        <v>0</v>
      </c>
      <c r="IU388">
        <v>32</v>
      </c>
      <c r="IV388">
        <v>16.7</v>
      </c>
      <c r="IW388">
        <v>16.5</v>
      </c>
      <c r="IX388">
        <v>1.8396</v>
      </c>
      <c r="IY388">
        <v>2.1936</v>
      </c>
      <c r="IZ388">
        <v>1.39648</v>
      </c>
      <c r="JA388">
        <v>2.35474</v>
      </c>
      <c r="JB388">
        <v>1.49536</v>
      </c>
      <c r="JC388">
        <v>2.33398</v>
      </c>
      <c r="JD388">
        <v>38.0134</v>
      </c>
      <c r="JE388">
        <v>24.0437</v>
      </c>
      <c r="JF388">
        <v>18</v>
      </c>
      <c r="JG388">
        <v>512.405</v>
      </c>
      <c r="JH388">
        <v>426.548</v>
      </c>
      <c r="JI388">
        <v>23.1319</v>
      </c>
      <c r="JJ388">
        <v>27.8643</v>
      </c>
      <c r="JK388">
        <v>30</v>
      </c>
      <c r="JL388">
        <v>27.8772</v>
      </c>
      <c r="JM388">
        <v>27.8205</v>
      </c>
      <c r="JN388">
        <v>36.926</v>
      </c>
      <c r="JO388">
        <v>46.6312</v>
      </c>
      <c r="JP388">
        <v>0</v>
      </c>
      <c r="JQ388">
        <v>23.1316</v>
      </c>
      <c r="JR388">
        <v>867.144</v>
      </c>
      <c r="JS388">
        <v>8.992979999999999</v>
      </c>
      <c r="JT388">
        <v>100.42</v>
      </c>
      <c r="JU388">
        <v>100.351</v>
      </c>
    </row>
    <row r="389" spans="1:281">
      <c r="A389">
        <v>373</v>
      </c>
      <c r="B389">
        <v>1651866509.5</v>
      </c>
      <c r="C389">
        <v>2288.900000095367</v>
      </c>
      <c r="D389" t="s">
        <v>1169</v>
      </c>
      <c r="E389" t="s">
        <v>1170</v>
      </c>
      <c r="F389">
        <v>2</v>
      </c>
      <c r="G389" t="s">
        <v>908</v>
      </c>
      <c r="H389" t="s">
        <v>414</v>
      </c>
      <c r="I389">
        <v>1651866508.5</v>
      </c>
      <c r="J389">
        <f>(K389)/1000</f>
        <v>0</v>
      </c>
      <c r="K389">
        <f>IF(CZ389, AN389, AH389)</f>
        <v>0</v>
      </c>
      <c r="L389">
        <f>IF(CZ389, AI389, AG389)</f>
        <v>0</v>
      </c>
      <c r="M389">
        <f>DB389 - IF(AU389&gt;1, L389*CV389*100.0/(AW389*DP389), 0)</f>
        <v>0</v>
      </c>
      <c r="N389">
        <f>((T389-J389/2)*M389-L389)/(T389+J389/2)</f>
        <v>0</v>
      </c>
      <c r="O389">
        <f>N389*(DI389+DJ389)/1000.0</f>
        <v>0</v>
      </c>
      <c r="P389">
        <f>(DB389 - IF(AU389&gt;1, L389*CV389*100.0/(AW389*DP389), 0))*(DI389+DJ389)/1000.0</f>
        <v>0</v>
      </c>
      <c r="Q389">
        <f>2.0/((1/S389-1/R389)+SIGN(S389)*SQRT((1/S389-1/R389)*(1/S389-1/R389) + 4*CW389/((CW389+1)*(CW389+1))*(2*1/S389*1/R389-1/R389*1/R389)))</f>
        <v>0</v>
      </c>
      <c r="R389">
        <f>IF(LEFT(CX389,1)&lt;&gt;"0",IF(LEFT(CX389,1)="1",3.0,CY389),$D$5+$E$5*(DP389*DI389/($K$5*1000))+$F$5*(DP389*DI389/($K$5*1000))*MAX(MIN(CV389,$J$5),$I$5)*MAX(MIN(CV389,$J$5),$I$5)+$G$5*MAX(MIN(CV389,$J$5),$I$5)*(DP389*DI389/($K$5*1000))+$H$5*(DP389*DI389/($K$5*1000))*(DP389*DI389/($K$5*1000)))</f>
        <v>0</v>
      </c>
      <c r="S389">
        <f>J389*(1000-(1000*0.61365*exp(17.502*W389/(240.97+W389))/(DI389+DJ389)+DD389)/2)/(1000*0.61365*exp(17.502*W389/(240.97+W389))/(DI389+DJ389)-DD389)</f>
        <v>0</v>
      </c>
      <c r="T389">
        <f>1/((CW389+1)/(Q389/1.6)+1/(R389/1.37)) + CW389/((CW389+1)/(Q389/1.6) + CW389/(R389/1.37))</f>
        <v>0</v>
      </c>
      <c r="U389">
        <f>(CR389*CU389)</f>
        <v>0</v>
      </c>
      <c r="V389">
        <f>(DK389+(U389+2*0.95*5.67E-8*(((DK389+$B$7)+273)^4-(DK389+273)^4)-44100*J389)/(1.84*29.3*R389+8*0.95*5.67E-8*(DK389+273)^3))</f>
        <v>0</v>
      </c>
      <c r="W389">
        <f>($C$7*DL389+$D$7*DM389+$E$7*V389)</f>
        <v>0</v>
      </c>
      <c r="X389">
        <f>0.61365*exp(17.502*W389/(240.97+W389))</f>
        <v>0</v>
      </c>
      <c r="Y389">
        <f>(Z389/AA389*100)</f>
        <v>0</v>
      </c>
      <c r="Z389">
        <f>DD389*(DI389+DJ389)/1000</f>
        <v>0</v>
      </c>
      <c r="AA389">
        <f>0.61365*exp(17.502*DK389/(240.97+DK389))</f>
        <v>0</v>
      </c>
      <c r="AB389">
        <f>(X389-DD389*(DI389+DJ389)/1000)</f>
        <v>0</v>
      </c>
      <c r="AC389">
        <f>(-J389*44100)</f>
        <v>0</v>
      </c>
      <c r="AD389">
        <f>2*29.3*R389*0.92*(DK389-W389)</f>
        <v>0</v>
      </c>
      <c r="AE389">
        <f>2*0.95*5.67E-8*(((DK389+$B$7)+273)^4-(W389+273)^4)</f>
        <v>0</v>
      </c>
      <c r="AF389">
        <f>U389+AE389+AC389+AD389</f>
        <v>0</v>
      </c>
      <c r="AG389">
        <f>DH389*AU389*(DC389-DB389*(1000-AU389*DE389)/(1000-AU389*DD389))/(100*CV389)</f>
        <v>0</v>
      </c>
      <c r="AH389">
        <f>1000*DH389*AU389*(DD389-DE389)/(100*CV389*(1000-AU389*DD389))</f>
        <v>0</v>
      </c>
      <c r="AI389">
        <f>(AJ389 - AK389 - DI389*1E3/(8.314*(DK389+273.15)) * AM389/DH389 * AL389) * DH389/(100*CV389) * (1000 - DE389)/1000</f>
        <v>0</v>
      </c>
      <c r="AJ389">
        <v>849.3618025292903</v>
      </c>
      <c r="AK389">
        <v>800.9359575757577</v>
      </c>
      <c r="AL389">
        <v>3.428194018059056</v>
      </c>
      <c r="AM389">
        <v>66.38195617057868</v>
      </c>
      <c r="AN389">
        <f>(AP389 - AO389 + DI389*1E3/(8.314*(DK389+273.15)) * AR389/DH389 * AQ389) * DH389/(100*CV389) * 1000/(1000 - AP389)</f>
        <v>0</v>
      </c>
      <c r="AO389">
        <v>9.04637131154996</v>
      </c>
      <c r="AP389">
        <v>18.71844235294117</v>
      </c>
      <c r="AQ389">
        <v>-7.313734065675622E-05</v>
      </c>
      <c r="AR389">
        <v>80.47178418790507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MAX(0,($B$13+$C$13*DP389)/(1+$D$13*DP389)*DI389/(DK389+273)*$E$13)</f>
        <v>0</v>
      </c>
      <c r="AX389" t="s">
        <v>417</v>
      </c>
      <c r="AY389" t="s">
        <v>417</v>
      </c>
      <c r="AZ389">
        <v>0</v>
      </c>
      <c r="BA389">
        <v>0</v>
      </c>
      <c r="BB389">
        <f>1-AZ389/BA389</f>
        <v>0</v>
      </c>
      <c r="BC389">
        <v>0</v>
      </c>
      <c r="BD389" t="s">
        <v>417</v>
      </c>
      <c r="BE389" t="s">
        <v>417</v>
      </c>
      <c r="BF389">
        <v>0</v>
      </c>
      <c r="BG389">
        <v>0</v>
      </c>
      <c r="BH389">
        <f>1-BF389/BG389</f>
        <v>0</v>
      </c>
      <c r="BI389">
        <v>0.5</v>
      </c>
      <c r="BJ389">
        <f>CS389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417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BZ389">
        <v>1249</v>
      </c>
      <c r="CA389">
        <v>300</v>
      </c>
      <c r="CB389">
        <v>300</v>
      </c>
      <c r="CC389">
        <v>300</v>
      </c>
      <c r="CD389">
        <v>10442.4</v>
      </c>
      <c r="CE389">
        <v>1239.69</v>
      </c>
      <c r="CF389">
        <v>-0.00735276</v>
      </c>
      <c r="CG389">
        <v>0.07000000000000001</v>
      </c>
      <c r="CH389" t="s">
        <v>417</v>
      </c>
      <c r="CI389" t="s">
        <v>417</v>
      </c>
      <c r="CJ389" t="s">
        <v>417</v>
      </c>
      <c r="CK389" t="s">
        <v>417</v>
      </c>
      <c r="CL389" t="s">
        <v>417</v>
      </c>
      <c r="CM389" t="s">
        <v>417</v>
      </c>
      <c r="CN389" t="s">
        <v>417</v>
      </c>
      <c r="CO389" t="s">
        <v>417</v>
      </c>
      <c r="CP389" t="s">
        <v>417</v>
      </c>
      <c r="CQ389" t="s">
        <v>417</v>
      </c>
      <c r="CR389">
        <f>$B$11*DQ389+$C$11*DR389+$F$11*EC389*(1-EF389)</f>
        <v>0</v>
      </c>
      <c r="CS389">
        <f>CR389*CT389</f>
        <v>0</v>
      </c>
      <c r="CT389">
        <f>($B$11*$D$9+$C$11*$D$9+$F$11*((EP389+EH389)/MAX(EP389+EH389+EQ389, 0.1)*$I$9+EQ389/MAX(EP389+EH389+EQ389, 0.1)*$J$9))/($B$11+$C$11+$F$11)</f>
        <v>0</v>
      </c>
      <c r="CU389">
        <f>($B$11*$K$9+$C$11*$K$9+$F$11*((EP389+EH389)/MAX(EP389+EH389+EQ389, 0.1)*$P$9+EQ389/MAX(EP389+EH389+EQ389, 0.1)*$Q$9))/($B$11+$C$11+$F$11)</f>
        <v>0</v>
      </c>
      <c r="CV389">
        <v>6</v>
      </c>
      <c r="CW389">
        <v>0.5</v>
      </c>
      <c r="CX389" t="s">
        <v>418</v>
      </c>
      <c r="CY389">
        <v>2</v>
      </c>
      <c r="CZ389" t="b">
        <v>1</v>
      </c>
      <c r="DA389">
        <v>1651866508.5</v>
      </c>
      <c r="DB389">
        <v>784.2643333333334</v>
      </c>
      <c r="DC389">
        <v>847.6176666666667</v>
      </c>
      <c r="DD389">
        <v>18.7187</v>
      </c>
      <c r="DE389">
        <v>9.044690000000001</v>
      </c>
      <c r="DF389">
        <v>785.8593333333333</v>
      </c>
      <c r="DG389">
        <v>18.69286666666667</v>
      </c>
      <c r="DH389">
        <v>500.0923333333333</v>
      </c>
      <c r="DI389">
        <v>89.91333333333334</v>
      </c>
      <c r="DJ389">
        <v>0.1000802333333333</v>
      </c>
      <c r="DK389">
        <v>25.9445</v>
      </c>
      <c r="DL389">
        <v>24.99423333333333</v>
      </c>
      <c r="DM389">
        <v>999.9</v>
      </c>
      <c r="DN389">
        <v>0</v>
      </c>
      <c r="DO389">
        <v>0</v>
      </c>
      <c r="DP389">
        <v>9991.456666666667</v>
      </c>
      <c r="DQ389">
        <v>0</v>
      </c>
      <c r="DR389">
        <v>3.223033333333333</v>
      </c>
      <c r="DS389">
        <v>-63.35306666666667</v>
      </c>
      <c r="DT389">
        <v>799.225</v>
      </c>
      <c r="DU389">
        <v>855.3539999999999</v>
      </c>
      <c r="DV389">
        <v>9.674016666666667</v>
      </c>
      <c r="DW389">
        <v>847.6176666666667</v>
      </c>
      <c r="DX389">
        <v>9.044690000000001</v>
      </c>
      <c r="DY389">
        <v>1.68306</v>
      </c>
      <c r="DZ389">
        <v>0.8132383333333334</v>
      </c>
      <c r="EA389">
        <v>14.74106666666667</v>
      </c>
      <c r="EB389">
        <v>3.940506666666666</v>
      </c>
      <c r="EC389">
        <v>1499.93</v>
      </c>
      <c r="ED389">
        <v>0.972997</v>
      </c>
      <c r="EE389">
        <v>0.0270027</v>
      </c>
      <c r="EF389">
        <v>0</v>
      </c>
      <c r="EG389">
        <v>917.5796666666666</v>
      </c>
      <c r="EH389">
        <v>5.00097</v>
      </c>
      <c r="EI389">
        <v>13666.3</v>
      </c>
      <c r="EJ389">
        <v>12491</v>
      </c>
      <c r="EK389">
        <v>38.187</v>
      </c>
      <c r="EL389">
        <v>39.375</v>
      </c>
      <c r="EM389">
        <v>38.625</v>
      </c>
      <c r="EN389">
        <v>39.062</v>
      </c>
      <c r="EO389">
        <v>39</v>
      </c>
      <c r="EP389">
        <v>1454.56</v>
      </c>
      <c r="EQ389">
        <v>40.37</v>
      </c>
      <c r="ER389">
        <v>0</v>
      </c>
      <c r="ES389">
        <v>1027.400000095367</v>
      </c>
      <c r="ET389">
        <v>0</v>
      </c>
      <c r="EU389">
        <v>917.6211199999999</v>
      </c>
      <c r="EV389">
        <v>1.618307670417999</v>
      </c>
      <c r="EW389">
        <v>14.70000007214466</v>
      </c>
      <c r="EX389">
        <v>13666.18</v>
      </c>
      <c r="EY389">
        <v>15</v>
      </c>
      <c r="EZ389">
        <v>1651865518.1</v>
      </c>
      <c r="FA389" t="s">
        <v>910</v>
      </c>
      <c r="FB389">
        <v>1651865507.1</v>
      </c>
      <c r="FC389">
        <v>1651865518.1</v>
      </c>
      <c r="FD389">
        <v>8</v>
      </c>
      <c r="FE389">
        <v>0.06</v>
      </c>
      <c r="FF389">
        <v>0</v>
      </c>
      <c r="FG389">
        <v>-0.927</v>
      </c>
      <c r="FH389">
        <v>-0.062</v>
      </c>
      <c r="FI389">
        <v>400</v>
      </c>
      <c r="FJ389">
        <v>11</v>
      </c>
      <c r="FK389">
        <v>0.11</v>
      </c>
      <c r="FL389">
        <v>0.01</v>
      </c>
      <c r="FM389">
        <v>-63.53400243902439</v>
      </c>
      <c r="FN389">
        <v>1.177996515679319</v>
      </c>
      <c r="FO389">
        <v>0.1332914640338793</v>
      </c>
      <c r="FP389">
        <v>-1</v>
      </c>
      <c r="FQ389">
        <v>9.667004146341464</v>
      </c>
      <c r="FR389">
        <v>0.08653609756097755</v>
      </c>
      <c r="FS389">
        <v>0.01097772489104469</v>
      </c>
      <c r="FT389">
        <v>-1</v>
      </c>
      <c r="FU389">
        <v>0</v>
      </c>
      <c r="FV389">
        <v>0</v>
      </c>
      <c r="FW389">
        <v>0</v>
      </c>
      <c r="FX389">
        <v>-1</v>
      </c>
      <c r="FY389">
        <v>0</v>
      </c>
      <c r="FZ389">
        <v>0</v>
      </c>
      <c r="GA389" t="s">
        <v>420</v>
      </c>
      <c r="GB389">
        <v>2.98166</v>
      </c>
      <c r="GC389">
        <v>2.70601</v>
      </c>
      <c r="GD389">
        <v>0.14647</v>
      </c>
      <c r="GE389">
        <v>0.152337</v>
      </c>
      <c r="GF389">
        <v>0.0890479</v>
      </c>
      <c r="GG389">
        <v>0.0513203</v>
      </c>
      <c r="GH389">
        <v>26972.4</v>
      </c>
      <c r="GI389">
        <v>26844.2</v>
      </c>
      <c r="GJ389">
        <v>29378.5</v>
      </c>
      <c r="GK389">
        <v>29292.8</v>
      </c>
      <c r="GL389">
        <v>35435.1</v>
      </c>
      <c r="GM389">
        <v>37019.8</v>
      </c>
      <c r="GN389">
        <v>41350.4</v>
      </c>
      <c r="GO389">
        <v>41812.7</v>
      </c>
      <c r="GP389">
        <v>1.9678</v>
      </c>
      <c r="GQ389">
        <v>1.85537</v>
      </c>
      <c r="GR389">
        <v>-0.00680983</v>
      </c>
      <c r="GS389">
        <v>0</v>
      </c>
      <c r="GT389">
        <v>25.1044</v>
      </c>
      <c r="GU389">
        <v>999.9</v>
      </c>
      <c r="GV389">
        <v>29.5</v>
      </c>
      <c r="GW389">
        <v>34.2</v>
      </c>
      <c r="GX389">
        <v>17.7268</v>
      </c>
      <c r="GY389">
        <v>62.5476</v>
      </c>
      <c r="GZ389">
        <v>35.008</v>
      </c>
      <c r="HA389">
        <v>1</v>
      </c>
      <c r="HB389">
        <v>0.0421367</v>
      </c>
      <c r="HC389">
        <v>1.50824</v>
      </c>
      <c r="HD389">
        <v>20.3276</v>
      </c>
      <c r="HE389">
        <v>5.21789</v>
      </c>
      <c r="HF389">
        <v>12.0099</v>
      </c>
      <c r="HG389">
        <v>4.98875</v>
      </c>
      <c r="HH389">
        <v>3.28845</v>
      </c>
      <c r="HI389">
        <v>1034.5</v>
      </c>
      <c r="HJ389">
        <v>9755.9</v>
      </c>
      <c r="HK389">
        <v>5139.4</v>
      </c>
      <c r="HL389">
        <v>25.4</v>
      </c>
      <c r="HM389">
        <v>1.86744</v>
      </c>
      <c r="HN389">
        <v>1.86645</v>
      </c>
      <c r="HO389">
        <v>1.866</v>
      </c>
      <c r="HP389">
        <v>1.86584</v>
      </c>
      <c r="HQ389">
        <v>1.86768</v>
      </c>
      <c r="HR389">
        <v>1.87022</v>
      </c>
      <c r="HS389">
        <v>1.8689</v>
      </c>
      <c r="HT389">
        <v>1.87024</v>
      </c>
      <c r="HU389">
        <v>0</v>
      </c>
      <c r="HV389">
        <v>0</v>
      </c>
      <c r="HW389">
        <v>0</v>
      </c>
      <c r="HX389">
        <v>0</v>
      </c>
      <c r="HY389" t="s">
        <v>421</v>
      </c>
      <c r="HZ389" t="s">
        <v>422</v>
      </c>
      <c r="IA389" t="s">
        <v>423</v>
      </c>
      <c r="IB389" t="s">
        <v>423</v>
      </c>
      <c r="IC389" t="s">
        <v>423</v>
      </c>
      <c r="ID389" t="s">
        <v>423</v>
      </c>
      <c r="IE389">
        <v>0</v>
      </c>
      <c r="IF389">
        <v>100</v>
      </c>
      <c r="IG389">
        <v>100</v>
      </c>
      <c r="IH389">
        <v>-1.601</v>
      </c>
      <c r="II389">
        <v>0.0259</v>
      </c>
      <c r="IJ389">
        <v>-0.1559367209035702</v>
      </c>
      <c r="IK389">
        <v>-0.002077099775823331</v>
      </c>
      <c r="IL389">
        <v>4.593143279902166E-07</v>
      </c>
      <c r="IM389">
        <v>-1.865383991892071E-10</v>
      </c>
      <c r="IN389">
        <v>-0.0607165066849496</v>
      </c>
      <c r="IO389">
        <v>-0.01129461987421345</v>
      </c>
      <c r="IP389">
        <v>0.00116580895745559</v>
      </c>
      <c r="IQ389">
        <v>-1.679085872906199E-05</v>
      </c>
      <c r="IR389">
        <v>2</v>
      </c>
      <c r="IS389">
        <v>2290</v>
      </c>
      <c r="IT389">
        <v>0</v>
      </c>
      <c r="IU389">
        <v>32</v>
      </c>
      <c r="IV389">
        <v>16.7</v>
      </c>
      <c r="IW389">
        <v>16.5</v>
      </c>
      <c r="IX389">
        <v>1.85059</v>
      </c>
      <c r="IY389">
        <v>2.19482</v>
      </c>
      <c r="IZ389">
        <v>1.39648</v>
      </c>
      <c r="JA389">
        <v>2.35474</v>
      </c>
      <c r="JB389">
        <v>1.49536</v>
      </c>
      <c r="JC389">
        <v>2.29858</v>
      </c>
      <c r="JD389">
        <v>38.0134</v>
      </c>
      <c r="JE389">
        <v>24.0437</v>
      </c>
      <c r="JF389">
        <v>18</v>
      </c>
      <c r="JG389">
        <v>512.648</v>
      </c>
      <c r="JH389">
        <v>426.528</v>
      </c>
      <c r="JI389">
        <v>23.1322</v>
      </c>
      <c r="JJ389">
        <v>27.8633</v>
      </c>
      <c r="JK389">
        <v>30</v>
      </c>
      <c r="JL389">
        <v>27.877</v>
      </c>
      <c r="JM389">
        <v>27.8198</v>
      </c>
      <c r="JN389">
        <v>37.1586</v>
      </c>
      <c r="JO389">
        <v>46.6312</v>
      </c>
      <c r="JP389">
        <v>0</v>
      </c>
      <c r="JQ389">
        <v>23.1316</v>
      </c>
      <c r="JR389">
        <v>873.84</v>
      </c>
      <c r="JS389">
        <v>8.989269999999999</v>
      </c>
      <c r="JT389">
        <v>100.42</v>
      </c>
      <c r="JU389">
        <v>100.351</v>
      </c>
    </row>
    <row r="390" spans="1:281">
      <c r="A390">
        <v>374</v>
      </c>
      <c r="B390">
        <v>1651866511.5</v>
      </c>
      <c r="C390">
        <v>2290.900000095367</v>
      </c>
      <c r="D390" t="s">
        <v>1171</v>
      </c>
      <c r="E390" t="s">
        <v>1172</v>
      </c>
      <c r="F390">
        <v>2</v>
      </c>
      <c r="G390" t="s">
        <v>908</v>
      </c>
      <c r="H390" t="s">
        <v>414</v>
      </c>
      <c r="I390">
        <v>1651866510.125</v>
      </c>
      <c r="J390">
        <f>(K390)/1000</f>
        <v>0</v>
      </c>
      <c r="K390">
        <f>IF(CZ390, AN390, AH390)</f>
        <v>0</v>
      </c>
      <c r="L390">
        <f>IF(CZ390, AI390, AG390)</f>
        <v>0</v>
      </c>
      <c r="M390">
        <f>DB390 - IF(AU390&gt;1, L390*CV390*100.0/(AW390*DP390), 0)</f>
        <v>0</v>
      </c>
      <c r="N390">
        <f>((T390-J390/2)*M390-L390)/(T390+J390/2)</f>
        <v>0</v>
      </c>
      <c r="O390">
        <f>N390*(DI390+DJ390)/1000.0</f>
        <v>0</v>
      </c>
      <c r="P390">
        <f>(DB390 - IF(AU390&gt;1, L390*CV390*100.0/(AW390*DP390), 0))*(DI390+DJ390)/1000.0</f>
        <v>0</v>
      </c>
      <c r="Q390">
        <f>2.0/((1/S390-1/R390)+SIGN(S390)*SQRT((1/S390-1/R390)*(1/S390-1/R390) + 4*CW390/((CW390+1)*(CW390+1))*(2*1/S390*1/R390-1/R390*1/R390)))</f>
        <v>0</v>
      </c>
      <c r="R390">
        <f>IF(LEFT(CX390,1)&lt;&gt;"0",IF(LEFT(CX390,1)="1",3.0,CY390),$D$5+$E$5*(DP390*DI390/($K$5*1000))+$F$5*(DP390*DI390/($K$5*1000))*MAX(MIN(CV390,$J$5),$I$5)*MAX(MIN(CV390,$J$5),$I$5)+$G$5*MAX(MIN(CV390,$J$5),$I$5)*(DP390*DI390/($K$5*1000))+$H$5*(DP390*DI390/($K$5*1000))*(DP390*DI390/($K$5*1000)))</f>
        <v>0</v>
      </c>
      <c r="S390">
        <f>J390*(1000-(1000*0.61365*exp(17.502*W390/(240.97+W390))/(DI390+DJ390)+DD390)/2)/(1000*0.61365*exp(17.502*W390/(240.97+W390))/(DI390+DJ390)-DD390)</f>
        <v>0</v>
      </c>
      <c r="T390">
        <f>1/((CW390+1)/(Q390/1.6)+1/(R390/1.37)) + CW390/((CW390+1)/(Q390/1.6) + CW390/(R390/1.37))</f>
        <v>0</v>
      </c>
      <c r="U390">
        <f>(CR390*CU390)</f>
        <v>0</v>
      </c>
      <c r="V390">
        <f>(DK390+(U390+2*0.95*5.67E-8*(((DK390+$B$7)+273)^4-(DK390+273)^4)-44100*J390)/(1.84*29.3*R390+8*0.95*5.67E-8*(DK390+273)^3))</f>
        <v>0</v>
      </c>
      <c r="W390">
        <f>($C$7*DL390+$D$7*DM390+$E$7*V390)</f>
        <v>0</v>
      </c>
      <c r="X390">
        <f>0.61365*exp(17.502*W390/(240.97+W390))</f>
        <v>0</v>
      </c>
      <c r="Y390">
        <f>(Z390/AA390*100)</f>
        <v>0</v>
      </c>
      <c r="Z390">
        <f>DD390*(DI390+DJ390)/1000</f>
        <v>0</v>
      </c>
      <c r="AA390">
        <f>0.61365*exp(17.502*DK390/(240.97+DK390))</f>
        <v>0</v>
      </c>
      <c r="AB390">
        <f>(X390-DD390*(DI390+DJ390)/1000)</f>
        <v>0</v>
      </c>
      <c r="AC390">
        <f>(-J390*44100)</f>
        <v>0</v>
      </c>
      <c r="AD390">
        <f>2*29.3*R390*0.92*(DK390-W390)</f>
        <v>0</v>
      </c>
      <c r="AE390">
        <f>2*0.95*5.67E-8*(((DK390+$B$7)+273)^4-(W390+273)^4)</f>
        <v>0</v>
      </c>
      <c r="AF390">
        <f>U390+AE390+AC390+AD390</f>
        <v>0</v>
      </c>
      <c r="AG390">
        <f>DH390*AU390*(DC390-DB390*(1000-AU390*DE390)/(1000-AU390*DD390))/(100*CV390)</f>
        <v>0</v>
      </c>
      <c r="AH390">
        <f>1000*DH390*AU390*(DD390-DE390)/(100*CV390*(1000-AU390*DD390))</f>
        <v>0</v>
      </c>
      <c r="AI390">
        <f>(AJ390 - AK390 - DI390*1E3/(8.314*(DK390+273.15)) * AM390/DH390 * AL390) * DH390/(100*CV390) * (1000 - DE390)/1000</f>
        <v>0</v>
      </c>
      <c r="AJ390">
        <v>856.104371525995</v>
      </c>
      <c r="AK390">
        <v>807.7162727272722</v>
      </c>
      <c r="AL390">
        <v>3.405110083951521</v>
      </c>
      <c r="AM390">
        <v>66.38195617057868</v>
      </c>
      <c r="AN390">
        <f>(AP390 - AO390 + DI390*1E3/(8.314*(DK390+273.15)) * AR390/DH390 * AQ390) * DH390/(100*CV390) * 1000/(1000 - AP390)</f>
        <v>0</v>
      </c>
      <c r="AO390">
        <v>9.045494036886295</v>
      </c>
      <c r="AP390">
        <v>18.72147205882353</v>
      </c>
      <c r="AQ390">
        <v>-5.777514752233909E-05</v>
      </c>
      <c r="AR390">
        <v>80.47178418790507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MAX(0,($B$13+$C$13*DP390)/(1+$D$13*DP390)*DI390/(DK390+273)*$E$13)</f>
        <v>0</v>
      </c>
      <c r="AX390" t="s">
        <v>417</v>
      </c>
      <c r="AY390" t="s">
        <v>417</v>
      </c>
      <c r="AZ390">
        <v>0</v>
      </c>
      <c r="BA390">
        <v>0</v>
      </c>
      <c r="BB390">
        <f>1-AZ390/BA390</f>
        <v>0</v>
      </c>
      <c r="BC390">
        <v>0</v>
      </c>
      <c r="BD390" t="s">
        <v>417</v>
      </c>
      <c r="BE390" t="s">
        <v>417</v>
      </c>
      <c r="BF390">
        <v>0</v>
      </c>
      <c r="BG390">
        <v>0</v>
      </c>
      <c r="BH390">
        <f>1-BF390/BG390</f>
        <v>0</v>
      </c>
      <c r="BI390">
        <v>0.5</v>
      </c>
      <c r="BJ390">
        <f>CS390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417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BZ390">
        <v>1249</v>
      </c>
      <c r="CA390">
        <v>300</v>
      </c>
      <c r="CB390">
        <v>300</v>
      </c>
      <c r="CC390">
        <v>300</v>
      </c>
      <c r="CD390">
        <v>10442.4</v>
      </c>
      <c r="CE390">
        <v>1239.69</v>
      </c>
      <c r="CF390">
        <v>-0.00735276</v>
      </c>
      <c r="CG390">
        <v>0.07000000000000001</v>
      </c>
      <c r="CH390" t="s">
        <v>417</v>
      </c>
      <c r="CI390" t="s">
        <v>417</v>
      </c>
      <c r="CJ390" t="s">
        <v>417</v>
      </c>
      <c r="CK390" t="s">
        <v>417</v>
      </c>
      <c r="CL390" t="s">
        <v>417</v>
      </c>
      <c r="CM390" t="s">
        <v>417</v>
      </c>
      <c r="CN390" t="s">
        <v>417</v>
      </c>
      <c r="CO390" t="s">
        <v>417</v>
      </c>
      <c r="CP390" t="s">
        <v>417</v>
      </c>
      <c r="CQ390" t="s">
        <v>417</v>
      </c>
      <c r="CR390">
        <f>$B$11*DQ390+$C$11*DR390+$F$11*EC390*(1-EF390)</f>
        <v>0</v>
      </c>
      <c r="CS390">
        <f>CR390*CT390</f>
        <v>0</v>
      </c>
      <c r="CT390">
        <f>($B$11*$D$9+$C$11*$D$9+$F$11*((EP390+EH390)/MAX(EP390+EH390+EQ390, 0.1)*$I$9+EQ390/MAX(EP390+EH390+EQ390, 0.1)*$J$9))/($B$11+$C$11+$F$11)</f>
        <v>0</v>
      </c>
      <c r="CU390">
        <f>($B$11*$K$9+$C$11*$K$9+$F$11*((EP390+EH390)/MAX(EP390+EH390+EQ390, 0.1)*$P$9+EQ390/MAX(EP390+EH390+EQ390, 0.1)*$Q$9))/($B$11+$C$11+$F$11)</f>
        <v>0</v>
      </c>
      <c r="CV390">
        <v>6</v>
      </c>
      <c r="CW390">
        <v>0.5</v>
      </c>
      <c r="CX390" t="s">
        <v>418</v>
      </c>
      <c r="CY390">
        <v>2</v>
      </c>
      <c r="CZ390" t="b">
        <v>1</v>
      </c>
      <c r="DA390">
        <v>1651866510.125</v>
      </c>
      <c r="DB390">
        <v>789.6862500000001</v>
      </c>
      <c r="DC390">
        <v>853.0405000000001</v>
      </c>
      <c r="DD390">
        <v>18.7198</v>
      </c>
      <c r="DE390">
        <v>9.043912500000001</v>
      </c>
      <c r="DF390">
        <v>791.29075</v>
      </c>
      <c r="DG390">
        <v>18.693975</v>
      </c>
      <c r="DH390">
        <v>500.057</v>
      </c>
      <c r="DI390">
        <v>89.913275</v>
      </c>
      <c r="DJ390">
        <v>0.09994790000000001</v>
      </c>
      <c r="DK390">
        <v>25.944925</v>
      </c>
      <c r="DL390">
        <v>24.99235</v>
      </c>
      <c r="DM390">
        <v>999.9</v>
      </c>
      <c r="DN390">
        <v>0</v>
      </c>
      <c r="DO390">
        <v>0</v>
      </c>
      <c r="DP390">
        <v>9989.685000000001</v>
      </c>
      <c r="DQ390">
        <v>0</v>
      </c>
      <c r="DR390">
        <v>3.2312275</v>
      </c>
      <c r="DS390">
        <v>-63.3539</v>
      </c>
      <c r="DT390">
        <v>804.7512499999999</v>
      </c>
      <c r="DU390">
        <v>860.8255</v>
      </c>
      <c r="DV390">
        <v>9.675915</v>
      </c>
      <c r="DW390">
        <v>853.0405000000001</v>
      </c>
      <c r="DX390">
        <v>9.043912500000001</v>
      </c>
      <c r="DY390">
        <v>1.6831625</v>
      </c>
      <c r="DZ390">
        <v>0.81316775</v>
      </c>
      <c r="EA390">
        <v>14.742</v>
      </c>
      <c r="EB390">
        <v>3.9392675</v>
      </c>
      <c r="EC390">
        <v>1500.0925</v>
      </c>
      <c r="ED390">
        <v>0.9729985</v>
      </c>
      <c r="EE390">
        <v>0.02700135</v>
      </c>
      <c r="EF390">
        <v>0</v>
      </c>
      <c r="EG390">
        <v>917.8164999999999</v>
      </c>
      <c r="EH390">
        <v>5.00097</v>
      </c>
      <c r="EI390">
        <v>13667.45</v>
      </c>
      <c r="EJ390">
        <v>12492.35</v>
      </c>
      <c r="EK390">
        <v>38.187</v>
      </c>
      <c r="EL390">
        <v>39.375</v>
      </c>
      <c r="EM390">
        <v>38.57774999999999</v>
      </c>
      <c r="EN390">
        <v>39.031</v>
      </c>
      <c r="EO390">
        <v>39</v>
      </c>
      <c r="EP390">
        <v>1454.72</v>
      </c>
      <c r="EQ390">
        <v>40.3725</v>
      </c>
      <c r="ER390">
        <v>0</v>
      </c>
      <c r="ES390">
        <v>1029.200000047684</v>
      </c>
      <c r="ET390">
        <v>0</v>
      </c>
      <c r="EU390">
        <v>917.6716153846155</v>
      </c>
      <c r="EV390">
        <v>1.060239307560396</v>
      </c>
      <c r="EW390">
        <v>8.505982943784449</v>
      </c>
      <c r="EX390">
        <v>13666.64615384615</v>
      </c>
      <c r="EY390">
        <v>15</v>
      </c>
      <c r="EZ390">
        <v>1651865518.1</v>
      </c>
      <c r="FA390" t="s">
        <v>910</v>
      </c>
      <c r="FB390">
        <v>1651865507.1</v>
      </c>
      <c r="FC390">
        <v>1651865518.1</v>
      </c>
      <c r="FD390">
        <v>8</v>
      </c>
      <c r="FE390">
        <v>0.06</v>
      </c>
      <c r="FF390">
        <v>0</v>
      </c>
      <c r="FG390">
        <v>-0.927</v>
      </c>
      <c r="FH390">
        <v>-0.062</v>
      </c>
      <c r="FI390">
        <v>400</v>
      </c>
      <c r="FJ390">
        <v>11</v>
      </c>
      <c r="FK390">
        <v>0.11</v>
      </c>
      <c r="FL390">
        <v>0.01</v>
      </c>
      <c r="FM390">
        <v>-63.48127750000001</v>
      </c>
      <c r="FN390">
        <v>1.00276660412775</v>
      </c>
      <c r="FO390">
        <v>0.1141174296229538</v>
      </c>
      <c r="FP390">
        <v>-1</v>
      </c>
      <c r="FQ390">
        <v>9.6702555</v>
      </c>
      <c r="FR390">
        <v>0.06649440900562757</v>
      </c>
      <c r="FS390">
        <v>0.009559995018304068</v>
      </c>
      <c r="FT390">
        <v>-1</v>
      </c>
      <c r="FU390">
        <v>0</v>
      </c>
      <c r="FV390">
        <v>0</v>
      </c>
      <c r="FW390">
        <v>0</v>
      </c>
      <c r="FX390">
        <v>-1</v>
      </c>
      <c r="FY390">
        <v>0</v>
      </c>
      <c r="FZ390">
        <v>0</v>
      </c>
      <c r="GA390" t="s">
        <v>420</v>
      </c>
      <c r="GB390">
        <v>2.98136</v>
      </c>
      <c r="GC390">
        <v>2.70605</v>
      </c>
      <c r="GD390">
        <v>0.147298</v>
      </c>
      <c r="GE390">
        <v>0.153137</v>
      </c>
      <c r="GF390">
        <v>0.0890537</v>
      </c>
      <c r="GG390">
        <v>0.0513181</v>
      </c>
      <c r="GH390">
        <v>26946.1</v>
      </c>
      <c r="GI390">
        <v>26818.9</v>
      </c>
      <c r="GJ390">
        <v>29378.4</v>
      </c>
      <c r="GK390">
        <v>29292.8</v>
      </c>
      <c r="GL390">
        <v>35434.9</v>
      </c>
      <c r="GM390">
        <v>37019.9</v>
      </c>
      <c r="GN390">
        <v>41350.4</v>
      </c>
      <c r="GO390">
        <v>41812.8</v>
      </c>
      <c r="GP390">
        <v>1.96763</v>
      </c>
      <c r="GQ390">
        <v>1.85562</v>
      </c>
      <c r="GR390">
        <v>-0.00693649</v>
      </c>
      <c r="GS390">
        <v>0</v>
      </c>
      <c r="GT390">
        <v>25.1054</v>
      </c>
      <c r="GU390">
        <v>999.9</v>
      </c>
      <c r="GV390">
        <v>29.5</v>
      </c>
      <c r="GW390">
        <v>34.2</v>
      </c>
      <c r="GX390">
        <v>17.7267</v>
      </c>
      <c r="GY390">
        <v>62.5576</v>
      </c>
      <c r="GZ390">
        <v>35.3405</v>
      </c>
      <c r="HA390">
        <v>1</v>
      </c>
      <c r="HB390">
        <v>0.0420808</v>
      </c>
      <c r="HC390">
        <v>1.50799</v>
      </c>
      <c r="HD390">
        <v>20.3276</v>
      </c>
      <c r="HE390">
        <v>5.21789</v>
      </c>
      <c r="HF390">
        <v>12.0099</v>
      </c>
      <c r="HG390">
        <v>4.9888</v>
      </c>
      <c r="HH390">
        <v>3.28845</v>
      </c>
      <c r="HI390">
        <v>1034.5</v>
      </c>
      <c r="HJ390">
        <v>9755.9</v>
      </c>
      <c r="HK390">
        <v>5139.4</v>
      </c>
      <c r="HL390">
        <v>25.4</v>
      </c>
      <c r="HM390">
        <v>1.86744</v>
      </c>
      <c r="HN390">
        <v>1.86646</v>
      </c>
      <c r="HO390">
        <v>1.86599</v>
      </c>
      <c r="HP390">
        <v>1.86585</v>
      </c>
      <c r="HQ390">
        <v>1.86768</v>
      </c>
      <c r="HR390">
        <v>1.87022</v>
      </c>
      <c r="HS390">
        <v>1.8689</v>
      </c>
      <c r="HT390">
        <v>1.87024</v>
      </c>
      <c r="HU390">
        <v>0</v>
      </c>
      <c r="HV390">
        <v>0</v>
      </c>
      <c r="HW390">
        <v>0</v>
      </c>
      <c r="HX390">
        <v>0</v>
      </c>
      <c r="HY390" t="s">
        <v>421</v>
      </c>
      <c r="HZ390" t="s">
        <v>422</v>
      </c>
      <c r="IA390" t="s">
        <v>423</v>
      </c>
      <c r="IB390" t="s">
        <v>423</v>
      </c>
      <c r="IC390" t="s">
        <v>423</v>
      </c>
      <c r="ID390" t="s">
        <v>423</v>
      </c>
      <c r="IE390">
        <v>0</v>
      </c>
      <c r="IF390">
        <v>100</v>
      </c>
      <c r="IG390">
        <v>100</v>
      </c>
      <c r="IH390">
        <v>-1.612</v>
      </c>
      <c r="II390">
        <v>0.0259</v>
      </c>
      <c r="IJ390">
        <v>-0.1559367209035702</v>
      </c>
      <c r="IK390">
        <v>-0.002077099775823331</v>
      </c>
      <c r="IL390">
        <v>4.593143279902166E-07</v>
      </c>
      <c r="IM390">
        <v>-1.865383991892071E-10</v>
      </c>
      <c r="IN390">
        <v>-0.0607165066849496</v>
      </c>
      <c r="IO390">
        <v>-0.01129461987421345</v>
      </c>
      <c r="IP390">
        <v>0.00116580895745559</v>
      </c>
      <c r="IQ390">
        <v>-1.679085872906199E-05</v>
      </c>
      <c r="IR390">
        <v>2</v>
      </c>
      <c r="IS390">
        <v>2290</v>
      </c>
      <c r="IT390">
        <v>0</v>
      </c>
      <c r="IU390">
        <v>32</v>
      </c>
      <c r="IV390">
        <v>16.7</v>
      </c>
      <c r="IW390">
        <v>16.6</v>
      </c>
      <c r="IX390">
        <v>1.86157</v>
      </c>
      <c r="IY390">
        <v>2.1875</v>
      </c>
      <c r="IZ390">
        <v>1.39648</v>
      </c>
      <c r="JA390">
        <v>2.35596</v>
      </c>
      <c r="JB390">
        <v>1.49536</v>
      </c>
      <c r="JC390">
        <v>2.33887</v>
      </c>
      <c r="JD390">
        <v>38.0134</v>
      </c>
      <c r="JE390">
        <v>24.0437</v>
      </c>
      <c r="JF390">
        <v>18</v>
      </c>
      <c r="JG390">
        <v>512.524</v>
      </c>
      <c r="JH390">
        <v>426.669</v>
      </c>
      <c r="JI390">
        <v>23.132</v>
      </c>
      <c r="JJ390">
        <v>27.8631</v>
      </c>
      <c r="JK390">
        <v>29.9999</v>
      </c>
      <c r="JL390">
        <v>27.8758</v>
      </c>
      <c r="JM390">
        <v>27.8186</v>
      </c>
      <c r="JN390">
        <v>37.3889</v>
      </c>
      <c r="JO390">
        <v>46.6312</v>
      </c>
      <c r="JP390">
        <v>0</v>
      </c>
      <c r="JQ390">
        <v>23.1319</v>
      </c>
      <c r="JR390">
        <v>880.5359999999999</v>
      </c>
      <c r="JS390">
        <v>8.98892</v>
      </c>
      <c r="JT390">
        <v>100.42</v>
      </c>
      <c r="JU390">
        <v>100.351</v>
      </c>
    </row>
    <row r="391" spans="1:281">
      <c r="A391">
        <v>375</v>
      </c>
      <c r="B391">
        <v>1651866513.5</v>
      </c>
      <c r="C391">
        <v>2292.900000095367</v>
      </c>
      <c r="D391" t="s">
        <v>1173</v>
      </c>
      <c r="E391" t="s">
        <v>1174</v>
      </c>
      <c r="F391">
        <v>2</v>
      </c>
      <c r="G391" t="s">
        <v>908</v>
      </c>
      <c r="H391" t="s">
        <v>414</v>
      </c>
      <c r="I391">
        <v>1651866512.5</v>
      </c>
      <c r="J391">
        <f>(K391)/1000</f>
        <v>0</v>
      </c>
      <c r="K391">
        <f>IF(CZ391, AN391, AH391)</f>
        <v>0</v>
      </c>
      <c r="L391">
        <f>IF(CZ391, AI391, AG391)</f>
        <v>0</v>
      </c>
      <c r="M391">
        <f>DB391 - IF(AU391&gt;1, L391*CV391*100.0/(AW391*DP391), 0)</f>
        <v>0</v>
      </c>
      <c r="N391">
        <f>((T391-J391/2)*M391-L391)/(T391+J391/2)</f>
        <v>0</v>
      </c>
      <c r="O391">
        <f>N391*(DI391+DJ391)/1000.0</f>
        <v>0</v>
      </c>
      <c r="P391">
        <f>(DB391 - IF(AU391&gt;1, L391*CV391*100.0/(AW391*DP391), 0))*(DI391+DJ391)/1000.0</f>
        <v>0</v>
      </c>
      <c r="Q391">
        <f>2.0/((1/S391-1/R391)+SIGN(S391)*SQRT((1/S391-1/R391)*(1/S391-1/R391) + 4*CW391/((CW391+1)*(CW391+1))*(2*1/S391*1/R391-1/R391*1/R391)))</f>
        <v>0</v>
      </c>
      <c r="R391">
        <f>IF(LEFT(CX391,1)&lt;&gt;"0",IF(LEFT(CX391,1)="1",3.0,CY391),$D$5+$E$5*(DP391*DI391/($K$5*1000))+$F$5*(DP391*DI391/($K$5*1000))*MAX(MIN(CV391,$J$5),$I$5)*MAX(MIN(CV391,$J$5),$I$5)+$G$5*MAX(MIN(CV391,$J$5),$I$5)*(DP391*DI391/($K$5*1000))+$H$5*(DP391*DI391/($K$5*1000))*(DP391*DI391/($K$5*1000)))</f>
        <v>0</v>
      </c>
      <c r="S391">
        <f>J391*(1000-(1000*0.61365*exp(17.502*W391/(240.97+W391))/(DI391+DJ391)+DD391)/2)/(1000*0.61365*exp(17.502*W391/(240.97+W391))/(DI391+DJ391)-DD391)</f>
        <v>0</v>
      </c>
      <c r="T391">
        <f>1/((CW391+1)/(Q391/1.6)+1/(R391/1.37)) + CW391/((CW391+1)/(Q391/1.6) + CW391/(R391/1.37))</f>
        <v>0</v>
      </c>
      <c r="U391">
        <f>(CR391*CU391)</f>
        <v>0</v>
      </c>
      <c r="V391">
        <f>(DK391+(U391+2*0.95*5.67E-8*(((DK391+$B$7)+273)^4-(DK391+273)^4)-44100*J391)/(1.84*29.3*R391+8*0.95*5.67E-8*(DK391+273)^3))</f>
        <v>0</v>
      </c>
      <c r="W391">
        <f>($C$7*DL391+$D$7*DM391+$E$7*V391)</f>
        <v>0</v>
      </c>
      <c r="X391">
        <f>0.61365*exp(17.502*W391/(240.97+W391))</f>
        <v>0</v>
      </c>
      <c r="Y391">
        <f>(Z391/AA391*100)</f>
        <v>0</v>
      </c>
      <c r="Z391">
        <f>DD391*(DI391+DJ391)/1000</f>
        <v>0</v>
      </c>
      <c r="AA391">
        <f>0.61365*exp(17.502*DK391/(240.97+DK391))</f>
        <v>0</v>
      </c>
      <c r="AB391">
        <f>(X391-DD391*(DI391+DJ391)/1000)</f>
        <v>0</v>
      </c>
      <c r="AC391">
        <f>(-J391*44100)</f>
        <v>0</v>
      </c>
      <c r="AD391">
        <f>2*29.3*R391*0.92*(DK391-W391)</f>
        <v>0</v>
      </c>
      <c r="AE391">
        <f>2*0.95*5.67E-8*(((DK391+$B$7)+273)^4-(W391+273)^4)</f>
        <v>0</v>
      </c>
      <c r="AF391">
        <f>U391+AE391+AC391+AD391</f>
        <v>0</v>
      </c>
      <c r="AG391">
        <f>DH391*AU391*(DC391-DB391*(1000-AU391*DE391)/(1000-AU391*DD391))/(100*CV391)</f>
        <v>0</v>
      </c>
      <c r="AH391">
        <f>1000*DH391*AU391*(DD391-DE391)/(100*CV391*(1000-AU391*DD391))</f>
        <v>0</v>
      </c>
      <c r="AI391">
        <f>(AJ391 - AK391 - DI391*1E3/(8.314*(DK391+273.15)) * AM391/DH391 * AL391) * DH391/(100*CV391) * (1000 - DE391)/1000</f>
        <v>0</v>
      </c>
      <c r="AJ391">
        <v>862.8717483171034</v>
      </c>
      <c r="AK391">
        <v>814.5988606060605</v>
      </c>
      <c r="AL391">
        <v>3.424490920933129</v>
      </c>
      <c r="AM391">
        <v>66.38195617057868</v>
      </c>
      <c r="AN391">
        <f>(AP391 - AO391 + DI391*1E3/(8.314*(DK391+273.15)) * AR391/DH391 * AQ391) * DH391/(100*CV391) * 1000/(1000 - AP391)</f>
        <v>0</v>
      </c>
      <c r="AO391">
        <v>9.044417878693476</v>
      </c>
      <c r="AP391">
        <v>18.72086264705882</v>
      </c>
      <c r="AQ391">
        <v>2.254911816944557E-05</v>
      </c>
      <c r="AR391">
        <v>80.47178418790507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MAX(0,($B$13+$C$13*DP391)/(1+$D$13*DP391)*DI391/(DK391+273)*$E$13)</f>
        <v>0</v>
      </c>
      <c r="AX391" t="s">
        <v>417</v>
      </c>
      <c r="AY391" t="s">
        <v>417</v>
      </c>
      <c r="AZ391">
        <v>0</v>
      </c>
      <c r="BA391">
        <v>0</v>
      </c>
      <c r="BB391">
        <f>1-AZ391/BA391</f>
        <v>0</v>
      </c>
      <c r="BC391">
        <v>0</v>
      </c>
      <c r="BD391" t="s">
        <v>417</v>
      </c>
      <c r="BE391" t="s">
        <v>417</v>
      </c>
      <c r="BF391">
        <v>0</v>
      </c>
      <c r="BG391">
        <v>0</v>
      </c>
      <c r="BH391">
        <f>1-BF391/BG391</f>
        <v>0</v>
      </c>
      <c r="BI391">
        <v>0.5</v>
      </c>
      <c r="BJ391">
        <f>CS391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417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BZ391">
        <v>1249</v>
      </c>
      <c r="CA391">
        <v>300</v>
      </c>
      <c r="CB391">
        <v>300</v>
      </c>
      <c r="CC391">
        <v>300</v>
      </c>
      <c r="CD391">
        <v>10442.4</v>
      </c>
      <c r="CE391">
        <v>1239.69</v>
      </c>
      <c r="CF391">
        <v>-0.00735276</v>
      </c>
      <c r="CG391">
        <v>0.07000000000000001</v>
      </c>
      <c r="CH391" t="s">
        <v>417</v>
      </c>
      <c r="CI391" t="s">
        <v>417</v>
      </c>
      <c r="CJ391" t="s">
        <v>417</v>
      </c>
      <c r="CK391" t="s">
        <v>417</v>
      </c>
      <c r="CL391" t="s">
        <v>417</v>
      </c>
      <c r="CM391" t="s">
        <v>417</v>
      </c>
      <c r="CN391" t="s">
        <v>417</v>
      </c>
      <c r="CO391" t="s">
        <v>417</v>
      </c>
      <c r="CP391" t="s">
        <v>417</v>
      </c>
      <c r="CQ391" t="s">
        <v>417</v>
      </c>
      <c r="CR391">
        <f>$B$11*DQ391+$C$11*DR391+$F$11*EC391*(1-EF391)</f>
        <v>0</v>
      </c>
      <c r="CS391">
        <f>CR391*CT391</f>
        <v>0</v>
      </c>
      <c r="CT391">
        <f>($B$11*$D$9+$C$11*$D$9+$F$11*((EP391+EH391)/MAX(EP391+EH391+EQ391, 0.1)*$I$9+EQ391/MAX(EP391+EH391+EQ391, 0.1)*$J$9))/($B$11+$C$11+$F$11)</f>
        <v>0</v>
      </c>
      <c r="CU391">
        <f>($B$11*$K$9+$C$11*$K$9+$F$11*((EP391+EH391)/MAX(EP391+EH391+EQ391, 0.1)*$P$9+EQ391/MAX(EP391+EH391+EQ391, 0.1)*$Q$9))/($B$11+$C$11+$F$11)</f>
        <v>0</v>
      </c>
      <c r="CV391">
        <v>6</v>
      </c>
      <c r="CW391">
        <v>0.5</v>
      </c>
      <c r="CX391" t="s">
        <v>418</v>
      </c>
      <c r="CY391">
        <v>2</v>
      </c>
      <c r="CZ391" t="b">
        <v>1</v>
      </c>
      <c r="DA391">
        <v>1651866512.5</v>
      </c>
      <c r="DB391">
        <v>797.6576666666666</v>
      </c>
      <c r="DC391">
        <v>861.0296666666667</v>
      </c>
      <c r="DD391">
        <v>18.72026666666666</v>
      </c>
      <c r="DE391">
        <v>9.043170000000002</v>
      </c>
      <c r="DF391">
        <v>799.2756666666668</v>
      </c>
      <c r="DG391">
        <v>18.6944</v>
      </c>
      <c r="DH391">
        <v>500.0153333333333</v>
      </c>
      <c r="DI391">
        <v>89.91256666666668</v>
      </c>
      <c r="DJ391">
        <v>0.1001463333333333</v>
      </c>
      <c r="DK391">
        <v>25.9448</v>
      </c>
      <c r="DL391">
        <v>24.99396666666667</v>
      </c>
      <c r="DM391">
        <v>999.9</v>
      </c>
      <c r="DN391">
        <v>0</v>
      </c>
      <c r="DO391">
        <v>0</v>
      </c>
      <c r="DP391">
        <v>9978.75</v>
      </c>
      <c r="DQ391">
        <v>0</v>
      </c>
      <c r="DR391">
        <v>3.245053333333333</v>
      </c>
      <c r="DS391">
        <v>-63.3717</v>
      </c>
      <c r="DT391">
        <v>812.875</v>
      </c>
      <c r="DU391">
        <v>868.8866666666667</v>
      </c>
      <c r="DV391">
        <v>9.677093333333334</v>
      </c>
      <c r="DW391">
        <v>861.0296666666667</v>
      </c>
      <c r="DX391">
        <v>9.043170000000002</v>
      </c>
      <c r="DY391">
        <v>1.683183333333333</v>
      </c>
      <c r="DZ391">
        <v>0.8130946666666667</v>
      </c>
      <c r="EA391">
        <v>14.74223333333333</v>
      </c>
      <c r="EB391">
        <v>3.937986666666667</v>
      </c>
      <c r="EC391">
        <v>1499.96</v>
      </c>
      <c r="ED391">
        <v>0.972997</v>
      </c>
      <c r="EE391">
        <v>0.0270027</v>
      </c>
      <c r="EF391">
        <v>0</v>
      </c>
      <c r="EG391">
        <v>917.8560000000001</v>
      </c>
      <c r="EH391">
        <v>5.00097</v>
      </c>
      <c r="EI391">
        <v>13664.9</v>
      </c>
      <c r="EJ391">
        <v>12491.26666666667</v>
      </c>
      <c r="EK391">
        <v>38.187</v>
      </c>
      <c r="EL391">
        <v>39.375</v>
      </c>
      <c r="EM391">
        <v>38.562</v>
      </c>
      <c r="EN391">
        <v>39</v>
      </c>
      <c r="EO391">
        <v>39</v>
      </c>
      <c r="EP391">
        <v>1454.59</v>
      </c>
      <c r="EQ391">
        <v>40.37</v>
      </c>
      <c r="ER391">
        <v>0</v>
      </c>
      <c r="ES391">
        <v>1031</v>
      </c>
      <c r="ET391">
        <v>0</v>
      </c>
      <c r="EU391">
        <v>917.74144</v>
      </c>
      <c r="EV391">
        <v>0.419307688582192</v>
      </c>
      <c r="EW391">
        <v>-6.792307651923091</v>
      </c>
      <c r="EX391">
        <v>13666.772</v>
      </c>
      <c r="EY391">
        <v>15</v>
      </c>
      <c r="EZ391">
        <v>1651865518.1</v>
      </c>
      <c r="FA391" t="s">
        <v>910</v>
      </c>
      <c r="FB391">
        <v>1651865507.1</v>
      </c>
      <c r="FC391">
        <v>1651865518.1</v>
      </c>
      <c r="FD391">
        <v>8</v>
      </c>
      <c r="FE391">
        <v>0.06</v>
      </c>
      <c r="FF391">
        <v>0</v>
      </c>
      <c r="FG391">
        <v>-0.927</v>
      </c>
      <c r="FH391">
        <v>-0.062</v>
      </c>
      <c r="FI391">
        <v>400</v>
      </c>
      <c r="FJ391">
        <v>11</v>
      </c>
      <c r="FK391">
        <v>0.11</v>
      </c>
      <c r="FL391">
        <v>0.01</v>
      </c>
      <c r="FM391">
        <v>-63.47018780487805</v>
      </c>
      <c r="FN391">
        <v>0.9566111498257069</v>
      </c>
      <c r="FO391">
        <v>0.1130950694297839</v>
      </c>
      <c r="FP391">
        <v>-1</v>
      </c>
      <c r="FQ391">
        <v>9.671744878048781</v>
      </c>
      <c r="FR391">
        <v>0.05158243902439125</v>
      </c>
      <c r="FS391">
        <v>0.008378351640068539</v>
      </c>
      <c r="FT391">
        <v>-1</v>
      </c>
      <c r="FU391">
        <v>0</v>
      </c>
      <c r="FV391">
        <v>0</v>
      </c>
      <c r="FW391">
        <v>0</v>
      </c>
      <c r="FX391">
        <v>-1</v>
      </c>
      <c r="FY391">
        <v>0</v>
      </c>
      <c r="FZ391">
        <v>0</v>
      </c>
      <c r="GA391" t="s">
        <v>420</v>
      </c>
      <c r="GB391">
        <v>2.98156</v>
      </c>
      <c r="GC391">
        <v>2.70618</v>
      </c>
      <c r="GD391">
        <v>0.148133</v>
      </c>
      <c r="GE391">
        <v>0.153928</v>
      </c>
      <c r="GF391">
        <v>0.0890483</v>
      </c>
      <c r="GG391">
        <v>0.0513139</v>
      </c>
      <c r="GH391">
        <v>26920.2</v>
      </c>
      <c r="GI391">
        <v>26793.9</v>
      </c>
      <c r="GJ391">
        <v>29378.9</v>
      </c>
      <c r="GK391">
        <v>29292.9</v>
      </c>
      <c r="GL391">
        <v>35435.8</v>
      </c>
      <c r="GM391">
        <v>37020.1</v>
      </c>
      <c r="GN391">
        <v>41351.2</v>
      </c>
      <c r="GO391">
        <v>41812.8</v>
      </c>
      <c r="GP391">
        <v>1.96767</v>
      </c>
      <c r="GQ391">
        <v>1.85557</v>
      </c>
      <c r="GR391">
        <v>-0.00666082</v>
      </c>
      <c r="GS391">
        <v>0</v>
      </c>
      <c r="GT391">
        <v>25.1058</v>
      </c>
      <c r="GU391">
        <v>999.9</v>
      </c>
      <c r="GV391">
        <v>29.5</v>
      </c>
      <c r="GW391">
        <v>34.2</v>
      </c>
      <c r="GX391">
        <v>17.7266</v>
      </c>
      <c r="GY391">
        <v>62.6876</v>
      </c>
      <c r="GZ391">
        <v>35.1002</v>
      </c>
      <c r="HA391">
        <v>1</v>
      </c>
      <c r="HB391">
        <v>0.0420808</v>
      </c>
      <c r="HC391">
        <v>1.50809</v>
      </c>
      <c r="HD391">
        <v>20.3276</v>
      </c>
      <c r="HE391">
        <v>5.21834</v>
      </c>
      <c r="HF391">
        <v>12.0099</v>
      </c>
      <c r="HG391">
        <v>4.9891</v>
      </c>
      <c r="HH391">
        <v>3.28855</v>
      </c>
      <c r="HI391">
        <v>1034.5</v>
      </c>
      <c r="HJ391">
        <v>9755.9</v>
      </c>
      <c r="HK391">
        <v>5139.4</v>
      </c>
      <c r="HL391">
        <v>25.4</v>
      </c>
      <c r="HM391">
        <v>1.86747</v>
      </c>
      <c r="HN391">
        <v>1.86646</v>
      </c>
      <c r="HO391">
        <v>1.866</v>
      </c>
      <c r="HP391">
        <v>1.86585</v>
      </c>
      <c r="HQ391">
        <v>1.86768</v>
      </c>
      <c r="HR391">
        <v>1.87018</v>
      </c>
      <c r="HS391">
        <v>1.8689</v>
      </c>
      <c r="HT391">
        <v>1.87023</v>
      </c>
      <c r="HU391">
        <v>0</v>
      </c>
      <c r="HV391">
        <v>0</v>
      </c>
      <c r="HW391">
        <v>0</v>
      </c>
      <c r="HX391">
        <v>0</v>
      </c>
      <c r="HY391" t="s">
        <v>421</v>
      </c>
      <c r="HZ391" t="s">
        <v>422</v>
      </c>
      <c r="IA391" t="s">
        <v>423</v>
      </c>
      <c r="IB391" t="s">
        <v>423</v>
      </c>
      <c r="IC391" t="s">
        <v>423</v>
      </c>
      <c r="ID391" t="s">
        <v>423</v>
      </c>
      <c r="IE391">
        <v>0</v>
      </c>
      <c r="IF391">
        <v>100</v>
      </c>
      <c r="IG391">
        <v>100</v>
      </c>
      <c r="IH391">
        <v>-1.624</v>
      </c>
      <c r="II391">
        <v>0.0259</v>
      </c>
      <c r="IJ391">
        <v>-0.1559367209035702</v>
      </c>
      <c r="IK391">
        <v>-0.002077099775823331</v>
      </c>
      <c r="IL391">
        <v>4.593143279902166E-07</v>
      </c>
      <c r="IM391">
        <v>-1.865383991892071E-10</v>
      </c>
      <c r="IN391">
        <v>-0.0607165066849496</v>
      </c>
      <c r="IO391">
        <v>-0.01129461987421345</v>
      </c>
      <c r="IP391">
        <v>0.00116580895745559</v>
      </c>
      <c r="IQ391">
        <v>-1.679085872906199E-05</v>
      </c>
      <c r="IR391">
        <v>2</v>
      </c>
      <c r="IS391">
        <v>2290</v>
      </c>
      <c r="IT391">
        <v>0</v>
      </c>
      <c r="IU391">
        <v>32</v>
      </c>
      <c r="IV391">
        <v>16.8</v>
      </c>
      <c r="IW391">
        <v>16.6</v>
      </c>
      <c r="IX391">
        <v>1.87378</v>
      </c>
      <c r="IY391">
        <v>2.1936</v>
      </c>
      <c r="IZ391">
        <v>1.39648</v>
      </c>
      <c r="JA391">
        <v>2.35474</v>
      </c>
      <c r="JB391">
        <v>1.49536</v>
      </c>
      <c r="JC391">
        <v>2.36328</v>
      </c>
      <c r="JD391">
        <v>38.0134</v>
      </c>
      <c r="JE391">
        <v>24.0437</v>
      </c>
      <c r="JF391">
        <v>18</v>
      </c>
      <c r="JG391">
        <v>512.548</v>
      </c>
      <c r="JH391">
        <v>426.635</v>
      </c>
      <c r="JI391">
        <v>23.1321</v>
      </c>
      <c r="JJ391">
        <v>27.8619</v>
      </c>
      <c r="JK391">
        <v>29.9999</v>
      </c>
      <c r="JL391">
        <v>27.8748</v>
      </c>
      <c r="JM391">
        <v>27.8182</v>
      </c>
      <c r="JN391">
        <v>37.6174</v>
      </c>
      <c r="JO391">
        <v>46.6312</v>
      </c>
      <c r="JP391">
        <v>0</v>
      </c>
      <c r="JQ391">
        <v>23.1319</v>
      </c>
      <c r="JR391">
        <v>887.232</v>
      </c>
      <c r="JS391">
        <v>8.98732</v>
      </c>
      <c r="JT391">
        <v>100.422</v>
      </c>
      <c r="JU391">
        <v>100.351</v>
      </c>
    </row>
    <row r="392" spans="1:281">
      <c r="A392">
        <v>376</v>
      </c>
      <c r="B392">
        <v>1651866515.5</v>
      </c>
      <c r="C392">
        <v>2294.900000095367</v>
      </c>
      <c r="D392" t="s">
        <v>1175</v>
      </c>
      <c r="E392" t="s">
        <v>1176</v>
      </c>
      <c r="F392">
        <v>2</v>
      </c>
      <c r="G392" t="s">
        <v>908</v>
      </c>
      <c r="H392" t="s">
        <v>414</v>
      </c>
      <c r="I392">
        <v>1651866514.125</v>
      </c>
      <c r="J392">
        <f>(K392)/1000</f>
        <v>0</v>
      </c>
      <c r="K392">
        <f>IF(CZ392, AN392, AH392)</f>
        <v>0</v>
      </c>
      <c r="L392">
        <f>IF(CZ392, AI392, AG392)</f>
        <v>0</v>
      </c>
      <c r="M392">
        <f>DB392 - IF(AU392&gt;1, L392*CV392*100.0/(AW392*DP392), 0)</f>
        <v>0</v>
      </c>
      <c r="N392">
        <f>((T392-J392/2)*M392-L392)/(T392+J392/2)</f>
        <v>0</v>
      </c>
      <c r="O392">
        <f>N392*(DI392+DJ392)/1000.0</f>
        <v>0</v>
      </c>
      <c r="P392">
        <f>(DB392 - IF(AU392&gt;1, L392*CV392*100.0/(AW392*DP392), 0))*(DI392+DJ392)/1000.0</f>
        <v>0</v>
      </c>
      <c r="Q392">
        <f>2.0/((1/S392-1/R392)+SIGN(S392)*SQRT((1/S392-1/R392)*(1/S392-1/R392) + 4*CW392/((CW392+1)*(CW392+1))*(2*1/S392*1/R392-1/R392*1/R392)))</f>
        <v>0</v>
      </c>
      <c r="R392">
        <f>IF(LEFT(CX392,1)&lt;&gt;"0",IF(LEFT(CX392,1)="1",3.0,CY392),$D$5+$E$5*(DP392*DI392/($K$5*1000))+$F$5*(DP392*DI392/($K$5*1000))*MAX(MIN(CV392,$J$5),$I$5)*MAX(MIN(CV392,$J$5),$I$5)+$G$5*MAX(MIN(CV392,$J$5),$I$5)*(DP392*DI392/($K$5*1000))+$H$5*(DP392*DI392/($K$5*1000))*(DP392*DI392/($K$5*1000)))</f>
        <v>0</v>
      </c>
      <c r="S392">
        <f>J392*(1000-(1000*0.61365*exp(17.502*W392/(240.97+W392))/(DI392+DJ392)+DD392)/2)/(1000*0.61365*exp(17.502*W392/(240.97+W392))/(DI392+DJ392)-DD392)</f>
        <v>0</v>
      </c>
      <c r="T392">
        <f>1/((CW392+1)/(Q392/1.6)+1/(R392/1.37)) + CW392/((CW392+1)/(Q392/1.6) + CW392/(R392/1.37))</f>
        <v>0</v>
      </c>
      <c r="U392">
        <f>(CR392*CU392)</f>
        <v>0</v>
      </c>
      <c r="V392">
        <f>(DK392+(U392+2*0.95*5.67E-8*(((DK392+$B$7)+273)^4-(DK392+273)^4)-44100*J392)/(1.84*29.3*R392+8*0.95*5.67E-8*(DK392+273)^3))</f>
        <v>0</v>
      </c>
      <c r="W392">
        <f>($C$7*DL392+$D$7*DM392+$E$7*V392)</f>
        <v>0</v>
      </c>
      <c r="X392">
        <f>0.61365*exp(17.502*W392/(240.97+W392))</f>
        <v>0</v>
      </c>
      <c r="Y392">
        <f>(Z392/AA392*100)</f>
        <v>0</v>
      </c>
      <c r="Z392">
        <f>DD392*(DI392+DJ392)/1000</f>
        <v>0</v>
      </c>
      <c r="AA392">
        <f>0.61365*exp(17.502*DK392/(240.97+DK392))</f>
        <v>0</v>
      </c>
      <c r="AB392">
        <f>(X392-DD392*(DI392+DJ392)/1000)</f>
        <v>0</v>
      </c>
      <c r="AC392">
        <f>(-J392*44100)</f>
        <v>0</v>
      </c>
      <c r="AD392">
        <f>2*29.3*R392*0.92*(DK392-W392)</f>
        <v>0</v>
      </c>
      <c r="AE392">
        <f>2*0.95*5.67E-8*(((DK392+$B$7)+273)^4-(W392+273)^4)</f>
        <v>0</v>
      </c>
      <c r="AF392">
        <f>U392+AE392+AC392+AD392</f>
        <v>0</v>
      </c>
      <c r="AG392">
        <f>DH392*AU392*(DC392-DB392*(1000-AU392*DE392)/(1000-AU392*DD392))/(100*CV392)</f>
        <v>0</v>
      </c>
      <c r="AH392">
        <f>1000*DH392*AU392*(DD392-DE392)/(100*CV392*(1000-AU392*DD392))</f>
        <v>0</v>
      </c>
      <c r="AI392">
        <f>(AJ392 - AK392 - DI392*1E3/(8.314*(DK392+273.15)) * AM392/DH392 * AL392) * DH392/(100*CV392) * (1000 - DE392)/1000</f>
        <v>0</v>
      </c>
      <c r="AJ392">
        <v>869.6776583345651</v>
      </c>
      <c r="AK392">
        <v>821.5128606060606</v>
      </c>
      <c r="AL392">
        <v>3.452820625515526</v>
      </c>
      <c r="AM392">
        <v>66.38195617057868</v>
      </c>
      <c r="AN392">
        <f>(AP392 - AO392 + DI392*1E3/(8.314*(DK392+273.15)) * AR392/DH392 * AQ392) * DH392/(100*CV392) * 1000/(1000 - AP392)</f>
        <v>0</v>
      </c>
      <c r="AO392">
        <v>9.04359937145958</v>
      </c>
      <c r="AP392">
        <v>18.71895529411765</v>
      </c>
      <c r="AQ392">
        <v>3.030726622147797E-05</v>
      </c>
      <c r="AR392">
        <v>80.47178418790507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MAX(0,($B$13+$C$13*DP392)/(1+$D$13*DP392)*DI392/(DK392+273)*$E$13)</f>
        <v>0</v>
      </c>
      <c r="AX392" t="s">
        <v>417</v>
      </c>
      <c r="AY392" t="s">
        <v>417</v>
      </c>
      <c r="AZ392">
        <v>0</v>
      </c>
      <c r="BA392">
        <v>0</v>
      </c>
      <c r="BB392">
        <f>1-AZ392/BA392</f>
        <v>0</v>
      </c>
      <c r="BC392">
        <v>0</v>
      </c>
      <c r="BD392" t="s">
        <v>417</v>
      </c>
      <c r="BE392" t="s">
        <v>417</v>
      </c>
      <c r="BF392">
        <v>0</v>
      </c>
      <c r="BG392">
        <v>0</v>
      </c>
      <c r="BH392">
        <f>1-BF392/BG392</f>
        <v>0</v>
      </c>
      <c r="BI392">
        <v>0.5</v>
      </c>
      <c r="BJ392">
        <f>CS392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417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BZ392">
        <v>1249</v>
      </c>
      <c r="CA392">
        <v>300</v>
      </c>
      <c r="CB392">
        <v>300</v>
      </c>
      <c r="CC392">
        <v>300</v>
      </c>
      <c r="CD392">
        <v>10442.4</v>
      </c>
      <c r="CE392">
        <v>1239.69</v>
      </c>
      <c r="CF392">
        <v>-0.00735276</v>
      </c>
      <c r="CG392">
        <v>0.07000000000000001</v>
      </c>
      <c r="CH392" t="s">
        <v>417</v>
      </c>
      <c r="CI392" t="s">
        <v>417</v>
      </c>
      <c r="CJ392" t="s">
        <v>417</v>
      </c>
      <c r="CK392" t="s">
        <v>417</v>
      </c>
      <c r="CL392" t="s">
        <v>417</v>
      </c>
      <c r="CM392" t="s">
        <v>417</v>
      </c>
      <c r="CN392" t="s">
        <v>417</v>
      </c>
      <c r="CO392" t="s">
        <v>417</v>
      </c>
      <c r="CP392" t="s">
        <v>417</v>
      </c>
      <c r="CQ392" t="s">
        <v>417</v>
      </c>
      <c r="CR392">
        <f>$B$11*DQ392+$C$11*DR392+$F$11*EC392*(1-EF392)</f>
        <v>0</v>
      </c>
      <c r="CS392">
        <f>CR392*CT392</f>
        <v>0</v>
      </c>
      <c r="CT392">
        <f>($B$11*$D$9+$C$11*$D$9+$F$11*((EP392+EH392)/MAX(EP392+EH392+EQ392, 0.1)*$I$9+EQ392/MAX(EP392+EH392+EQ392, 0.1)*$J$9))/($B$11+$C$11+$F$11)</f>
        <v>0</v>
      </c>
      <c r="CU392">
        <f>($B$11*$K$9+$C$11*$K$9+$F$11*((EP392+EH392)/MAX(EP392+EH392+EQ392, 0.1)*$P$9+EQ392/MAX(EP392+EH392+EQ392, 0.1)*$Q$9))/($B$11+$C$11+$F$11)</f>
        <v>0</v>
      </c>
      <c r="CV392">
        <v>6</v>
      </c>
      <c r="CW392">
        <v>0.5</v>
      </c>
      <c r="CX392" t="s">
        <v>418</v>
      </c>
      <c r="CY392">
        <v>2</v>
      </c>
      <c r="CZ392" t="b">
        <v>1</v>
      </c>
      <c r="DA392">
        <v>1651866514.125</v>
      </c>
      <c r="DB392">
        <v>803.1655000000001</v>
      </c>
      <c r="DC392">
        <v>866.5425</v>
      </c>
      <c r="DD392">
        <v>18.7196</v>
      </c>
      <c r="DE392">
        <v>9.042695</v>
      </c>
      <c r="DF392">
        <v>804.7932500000001</v>
      </c>
      <c r="DG392">
        <v>18.693725</v>
      </c>
      <c r="DH392">
        <v>500.03775</v>
      </c>
      <c r="DI392">
        <v>89.91155000000001</v>
      </c>
      <c r="DJ392">
        <v>0.10009615</v>
      </c>
      <c r="DK392">
        <v>25.9437</v>
      </c>
      <c r="DL392">
        <v>24.9946</v>
      </c>
      <c r="DM392">
        <v>999.9</v>
      </c>
      <c r="DN392">
        <v>0</v>
      </c>
      <c r="DO392">
        <v>0</v>
      </c>
      <c r="DP392">
        <v>9988.424999999999</v>
      </c>
      <c r="DQ392">
        <v>0</v>
      </c>
      <c r="DR392">
        <v>3.255825</v>
      </c>
      <c r="DS392">
        <v>-63.376825</v>
      </c>
      <c r="DT392">
        <v>818.4875</v>
      </c>
      <c r="DU392">
        <v>874.4497500000001</v>
      </c>
      <c r="DV392">
        <v>9.676897499999999</v>
      </c>
      <c r="DW392">
        <v>866.5425</v>
      </c>
      <c r="DX392">
        <v>9.042695</v>
      </c>
      <c r="DY392">
        <v>1.6831075</v>
      </c>
      <c r="DZ392">
        <v>0.8130425</v>
      </c>
      <c r="EA392">
        <v>14.7415</v>
      </c>
      <c r="EB392">
        <v>3.9370825</v>
      </c>
      <c r="EC392">
        <v>1499.9625</v>
      </c>
      <c r="ED392">
        <v>0.972997</v>
      </c>
      <c r="EE392">
        <v>0.0270027</v>
      </c>
      <c r="EF392">
        <v>0</v>
      </c>
      <c r="EG392">
        <v>917.71025</v>
      </c>
      <c r="EH392">
        <v>5.00097</v>
      </c>
      <c r="EI392">
        <v>13663.7</v>
      </c>
      <c r="EJ392">
        <v>12491.3</v>
      </c>
      <c r="EK392">
        <v>38.156</v>
      </c>
      <c r="EL392">
        <v>39.375</v>
      </c>
      <c r="EM392">
        <v>38.562</v>
      </c>
      <c r="EN392">
        <v>39</v>
      </c>
      <c r="EO392">
        <v>38.9685</v>
      </c>
      <c r="EP392">
        <v>1454.5925</v>
      </c>
      <c r="EQ392">
        <v>40.37</v>
      </c>
      <c r="ER392">
        <v>0</v>
      </c>
      <c r="ES392">
        <v>1033.400000095367</v>
      </c>
      <c r="ET392">
        <v>0</v>
      </c>
      <c r="EU392">
        <v>917.7258399999998</v>
      </c>
      <c r="EV392">
        <v>-0.002153841716834577</v>
      </c>
      <c r="EW392">
        <v>-21.46153846151249</v>
      </c>
      <c r="EX392">
        <v>13666.252</v>
      </c>
      <c r="EY392">
        <v>15</v>
      </c>
      <c r="EZ392">
        <v>1651865518.1</v>
      </c>
      <c r="FA392" t="s">
        <v>910</v>
      </c>
      <c r="FB392">
        <v>1651865507.1</v>
      </c>
      <c r="FC392">
        <v>1651865518.1</v>
      </c>
      <c r="FD392">
        <v>8</v>
      </c>
      <c r="FE392">
        <v>0.06</v>
      </c>
      <c r="FF392">
        <v>0</v>
      </c>
      <c r="FG392">
        <v>-0.927</v>
      </c>
      <c r="FH392">
        <v>-0.062</v>
      </c>
      <c r="FI392">
        <v>400</v>
      </c>
      <c r="FJ392">
        <v>11</v>
      </c>
      <c r="FK392">
        <v>0.11</v>
      </c>
      <c r="FL392">
        <v>0.01</v>
      </c>
      <c r="FM392">
        <v>-63.44304999999999</v>
      </c>
      <c r="FN392">
        <v>0.8739579737336228</v>
      </c>
      <c r="FO392">
        <v>0.1075239461701433</v>
      </c>
      <c r="FP392">
        <v>-1</v>
      </c>
      <c r="FQ392">
        <v>9.675139750000001</v>
      </c>
      <c r="FR392">
        <v>0.008067804878046564</v>
      </c>
      <c r="FS392">
        <v>0.003461558527238758</v>
      </c>
      <c r="FT392">
        <v>-1</v>
      </c>
      <c r="FU392">
        <v>0</v>
      </c>
      <c r="FV392">
        <v>0</v>
      </c>
      <c r="FW392">
        <v>0</v>
      </c>
      <c r="FX392">
        <v>-1</v>
      </c>
      <c r="FY392">
        <v>0</v>
      </c>
      <c r="FZ392">
        <v>0</v>
      </c>
      <c r="GA392" t="s">
        <v>420</v>
      </c>
      <c r="GB392">
        <v>2.98158</v>
      </c>
      <c r="GC392">
        <v>2.70618</v>
      </c>
      <c r="GD392">
        <v>0.148964</v>
      </c>
      <c r="GE392">
        <v>0.154717</v>
      </c>
      <c r="GF392">
        <v>0.08904330000000001</v>
      </c>
      <c r="GG392">
        <v>0.0513107</v>
      </c>
      <c r="GH392">
        <v>26894.2</v>
      </c>
      <c r="GI392">
        <v>26769</v>
      </c>
      <c r="GJ392">
        <v>29379.2</v>
      </c>
      <c r="GK392">
        <v>29292.9</v>
      </c>
      <c r="GL392">
        <v>35436.3</v>
      </c>
      <c r="GM392">
        <v>37020.2</v>
      </c>
      <c r="GN392">
        <v>41351.6</v>
      </c>
      <c r="GO392">
        <v>41812.7</v>
      </c>
      <c r="GP392">
        <v>1.96777</v>
      </c>
      <c r="GQ392">
        <v>1.85537</v>
      </c>
      <c r="GR392">
        <v>-0.00695884</v>
      </c>
      <c r="GS392">
        <v>0</v>
      </c>
      <c r="GT392">
        <v>25.1052</v>
      </c>
      <c r="GU392">
        <v>999.9</v>
      </c>
      <c r="GV392">
        <v>29.5</v>
      </c>
      <c r="GW392">
        <v>34.2</v>
      </c>
      <c r="GX392">
        <v>17.7274</v>
      </c>
      <c r="GY392">
        <v>62.4276</v>
      </c>
      <c r="GZ392">
        <v>35.1402</v>
      </c>
      <c r="HA392">
        <v>1</v>
      </c>
      <c r="HB392">
        <v>0.0420935</v>
      </c>
      <c r="HC392">
        <v>1.50531</v>
      </c>
      <c r="HD392">
        <v>20.3279</v>
      </c>
      <c r="HE392">
        <v>5.21834</v>
      </c>
      <c r="HF392">
        <v>12.0099</v>
      </c>
      <c r="HG392">
        <v>4.98905</v>
      </c>
      <c r="HH392">
        <v>3.28865</v>
      </c>
      <c r="HI392">
        <v>1034.5</v>
      </c>
      <c r="HJ392">
        <v>9755.9</v>
      </c>
      <c r="HK392">
        <v>5139.4</v>
      </c>
      <c r="HL392">
        <v>25.4</v>
      </c>
      <c r="HM392">
        <v>1.86746</v>
      </c>
      <c r="HN392">
        <v>1.86646</v>
      </c>
      <c r="HO392">
        <v>1.866</v>
      </c>
      <c r="HP392">
        <v>1.86585</v>
      </c>
      <c r="HQ392">
        <v>1.86768</v>
      </c>
      <c r="HR392">
        <v>1.87016</v>
      </c>
      <c r="HS392">
        <v>1.8689</v>
      </c>
      <c r="HT392">
        <v>1.87021</v>
      </c>
      <c r="HU392">
        <v>0</v>
      </c>
      <c r="HV392">
        <v>0</v>
      </c>
      <c r="HW392">
        <v>0</v>
      </c>
      <c r="HX392">
        <v>0</v>
      </c>
      <c r="HY392" t="s">
        <v>421</v>
      </c>
      <c r="HZ392" t="s">
        <v>422</v>
      </c>
      <c r="IA392" t="s">
        <v>423</v>
      </c>
      <c r="IB392" t="s">
        <v>423</v>
      </c>
      <c r="IC392" t="s">
        <v>423</v>
      </c>
      <c r="ID392" t="s">
        <v>423</v>
      </c>
      <c r="IE392">
        <v>0</v>
      </c>
      <c r="IF392">
        <v>100</v>
      </c>
      <c r="IG392">
        <v>100</v>
      </c>
      <c r="IH392">
        <v>-1.635</v>
      </c>
      <c r="II392">
        <v>0.0259</v>
      </c>
      <c r="IJ392">
        <v>-0.1559367209035702</v>
      </c>
      <c r="IK392">
        <v>-0.002077099775823331</v>
      </c>
      <c r="IL392">
        <v>4.593143279902166E-07</v>
      </c>
      <c r="IM392">
        <v>-1.865383991892071E-10</v>
      </c>
      <c r="IN392">
        <v>-0.0607165066849496</v>
      </c>
      <c r="IO392">
        <v>-0.01129461987421345</v>
      </c>
      <c r="IP392">
        <v>0.00116580895745559</v>
      </c>
      <c r="IQ392">
        <v>-1.679085872906199E-05</v>
      </c>
      <c r="IR392">
        <v>2</v>
      </c>
      <c r="IS392">
        <v>2290</v>
      </c>
      <c r="IT392">
        <v>0</v>
      </c>
      <c r="IU392">
        <v>32</v>
      </c>
      <c r="IV392">
        <v>16.8</v>
      </c>
      <c r="IW392">
        <v>16.6</v>
      </c>
      <c r="IX392">
        <v>1.88477</v>
      </c>
      <c r="IY392">
        <v>2.1936</v>
      </c>
      <c r="IZ392">
        <v>1.39648</v>
      </c>
      <c r="JA392">
        <v>2.35474</v>
      </c>
      <c r="JB392">
        <v>1.49536</v>
      </c>
      <c r="JC392">
        <v>2.32422</v>
      </c>
      <c r="JD392">
        <v>38.0134</v>
      </c>
      <c r="JE392">
        <v>24.0437</v>
      </c>
      <c r="JF392">
        <v>18</v>
      </c>
      <c r="JG392">
        <v>512.611</v>
      </c>
      <c r="JH392">
        <v>426.511</v>
      </c>
      <c r="JI392">
        <v>23.1323</v>
      </c>
      <c r="JJ392">
        <v>27.861</v>
      </c>
      <c r="JK392">
        <v>29.9999</v>
      </c>
      <c r="JL392">
        <v>27.8746</v>
      </c>
      <c r="JM392">
        <v>27.8174</v>
      </c>
      <c r="JN392">
        <v>37.8486</v>
      </c>
      <c r="JO392">
        <v>46.6312</v>
      </c>
      <c r="JP392">
        <v>0</v>
      </c>
      <c r="JQ392">
        <v>23.1364</v>
      </c>
      <c r="JR392">
        <v>893.925</v>
      </c>
      <c r="JS392">
        <v>8.98762</v>
      </c>
      <c r="JT392">
        <v>100.423</v>
      </c>
      <c r="JU392">
        <v>100.351</v>
      </c>
    </row>
    <row r="393" spans="1:281">
      <c r="A393">
        <v>377</v>
      </c>
      <c r="B393">
        <v>1651866517.5</v>
      </c>
      <c r="C393">
        <v>2296.900000095367</v>
      </c>
      <c r="D393" t="s">
        <v>1177</v>
      </c>
      <c r="E393" t="s">
        <v>1178</v>
      </c>
      <c r="F393">
        <v>2</v>
      </c>
      <c r="G393" t="s">
        <v>908</v>
      </c>
      <c r="H393" t="s">
        <v>414</v>
      </c>
      <c r="I393">
        <v>1651866516.5</v>
      </c>
      <c r="J393">
        <f>(K393)/1000</f>
        <v>0</v>
      </c>
      <c r="K393">
        <f>IF(CZ393, AN393, AH393)</f>
        <v>0</v>
      </c>
      <c r="L393">
        <f>IF(CZ393, AI393, AG393)</f>
        <v>0</v>
      </c>
      <c r="M393">
        <f>DB393 - IF(AU393&gt;1, L393*CV393*100.0/(AW393*DP393), 0)</f>
        <v>0</v>
      </c>
      <c r="N393">
        <f>((T393-J393/2)*M393-L393)/(T393+J393/2)</f>
        <v>0</v>
      </c>
      <c r="O393">
        <f>N393*(DI393+DJ393)/1000.0</f>
        <v>0</v>
      </c>
      <c r="P393">
        <f>(DB393 - IF(AU393&gt;1, L393*CV393*100.0/(AW393*DP393), 0))*(DI393+DJ393)/1000.0</f>
        <v>0</v>
      </c>
      <c r="Q393">
        <f>2.0/((1/S393-1/R393)+SIGN(S393)*SQRT((1/S393-1/R393)*(1/S393-1/R393) + 4*CW393/((CW393+1)*(CW393+1))*(2*1/S393*1/R393-1/R393*1/R393)))</f>
        <v>0</v>
      </c>
      <c r="R393">
        <f>IF(LEFT(CX393,1)&lt;&gt;"0",IF(LEFT(CX393,1)="1",3.0,CY393),$D$5+$E$5*(DP393*DI393/($K$5*1000))+$F$5*(DP393*DI393/($K$5*1000))*MAX(MIN(CV393,$J$5),$I$5)*MAX(MIN(CV393,$J$5),$I$5)+$G$5*MAX(MIN(CV393,$J$5),$I$5)*(DP393*DI393/($K$5*1000))+$H$5*(DP393*DI393/($K$5*1000))*(DP393*DI393/($K$5*1000)))</f>
        <v>0</v>
      </c>
      <c r="S393">
        <f>J393*(1000-(1000*0.61365*exp(17.502*W393/(240.97+W393))/(DI393+DJ393)+DD393)/2)/(1000*0.61365*exp(17.502*W393/(240.97+W393))/(DI393+DJ393)-DD393)</f>
        <v>0</v>
      </c>
      <c r="T393">
        <f>1/((CW393+1)/(Q393/1.6)+1/(R393/1.37)) + CW393/((CW393+1)/(Q393/1.6) + CW393/(R393/1.37))</f>
        <v>0</v>
      </c>
      <c r="U393">
        <f>(CR393*CU393)</f>
        <v>0</v>
      </c>
      <c r="V393">
        <f>(DK393+(U393+2*0.95*5.67E-8*(((DK393+$B$7)+273)^4-(DK393+273)^4)-44100*J393)/(1.84*29.3*R393+8*0.95*5.67E-8*(DK393+273)^3))</f>
        <v>0</v>
      </c>
      <c r="W393">
        <f>($C$7*DL393+$D$7*DM393+$E$7*V393)</f>
        <v>0</v>
      </c>
      <c r="X393">
        <f>0.61365*exp(17.502*W393/(240.97+W393))</f>
        <v>0</v>
      </c>
      <c r="Y393">
        <f>(Z393/AA393*100)</f>
        <v>0</v>
      </c>
      <c r="Z393">
        <f>DD393*(DI393+DJ393)/1000</f>
        <v>0</v>
      </c>
      <c r="AA393">
        <f>0.61365*exp(17.502*DK393/(240.97+DK393))</f>
        <v>0</v>
      </c>
      <c r="AB393">
        <f>(X393-DD393*(DI393+DJ393)/1000)</f>
        <v>0</v>
      </c>
      <c r="AC393">
        <f>(-J393*44100)</f>
        <v>0</v>
      </c>
      <c r="AD393">
        <f>2*29.3*R393*0.92*(DK393-W393)</f>
        <v>0</v>
      </c>
      <c r="AE393">
        <f>2*0.95*5.67E-8*(((DK393+$B$7)+273)^4-(W393+273)^4)</f>
        <v>0</v>
      </c>
      <c r="AF393">
        <f>U393+AE393+AC393+AD393</f>
        <v>0</v>
      </c>
      <c r="AG393">
        <f>DH393*AU393*(DC393-DB393*(1000-AU393*DE393)/(1000-AU393*DD393))/(100*CV393)</f>
        <v>0</v>
      </c>
      <c r="AH393">
        <f>1000*DH393*AU393*(DD393-DE393)/(100*CV393*(1000-AU393*DD393))</f>
        <v>0</v>
      </c>
      <c r="AI393">
        <f>(AJ393 - AK393 - DI393*1E3/(8.314*(DK393+273.15)) * AM393/DH393 * AL393) * DH393/(100*CV393) * (1000 - DE393)/1000</f>
        <v>0</v>
      </c>
      <c r="AJ393">
        <v>876.524649113874</v>
      </c>
      <c r="AK393">
        <v>828.3752000000001</v>
      </c>
      <c r="AL393">
        <v>3.440798632239957</v>
      </c>
      <c r="AM393">
        <v>66.38195617057868</v>
      </c>
      <c r="AN393">
        <f>(AP393 - AO393 + DI393*1E3/(8.314*(DK393+273.15)) * AR393/DH393 * AQ393) * DH393/(100*CV393) * 1000/(1000 - AP393)</f>
        <v>0</v>
      </c>
      <c r="AO393">
        <v>9.043038275298308</v>
      </c>
      <c r="AP393">
        <v>18.71534823529412</v>
      </c>
      <c r="AQ393">
        <v>1.854249957694206E-05</v>
      </c>
      <c r="AR393">
        <v>80.47178418790507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MAX(0,($B$13+$C$13*DP393)/(1+$D$13*DP393)*DI393/(DK393+273)*$E$13)</f>
        <v>0</v>
      </c>
      <c r="AX393" t="s">
        <v>417</v>
      </c>
      <c r="AY393" t="s">
        <v>417</v>
      </c>
      <c r="AZ393">
        <v>0</v>
      </c>
      <c r="BA393">
        <v>0</v>
      </c>
      <c r="BB393">
        <f>1-AZ393/BA393</f>
        <v>0</v>
      </c>
      <c r="BC393">
        <v>0</v>
      </c>
      <c r="BD393" t="s">
        <v>417</v>
      </c>
      <c r="BE393" t="s">
        <v>417</v>
      </c>
      <c r="BF393">
        <v>0</v>
      </c>
      <c r="BG393">
        <v>0</v>
      </c>
      <c r="BH393">
        <f>1-BF393/BG393</f>
        <v>0</v>
      </c>
      <c r="BI393">
        <v>0.5</v>
      </c>
      <c r="BJ393">
        <f>CS393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417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BZ393">
        <v>1249</v>
      </c>
      <c r="CA393">
        <v>300</v>
      </c>
      <c r="CB393">
        <v>300</v>
      </c>
      <c r="CC393">
        <v>300</v>
      </c>
      <c r="CD393">
        <v>10442.4</v>
      </c>
      <c r="CE393">
        <v>1239.69</v>
      </c>
      <c r="CF393">
        <v>-0.00735276</v>
      </c>
      <c r="CG393">
        <v>0.07000000000000001</v>
      </c>
      <c r="CH393" t="s">
        <v>417</v>
      </c>
      <c r="CI393" t="s">
        <v>417</v>
      </c>
      <c r="CJ393" t="s">
        <v>417</v>
      </c>
      <c r="CK393" t="s">
        <v>417</v>
      </c>
      <c r="CL393" t="s">
        <v>417</v>
      </c>
      <c r="CM393" t="s">
        <v>417</v>
      </c>
      <c r="CN393" t="s">
        <v>417</v>
      </c>
      <c r="CO393" t="s">
        <v>417</v>
      </c>
      <c r="CP393" t="s">
        <v>417</v>
      </c>
      <c r="CQ393" t="s">
        <v>417</v>
      </c>
      <c r="CR393">
        <f>$B$11*DQ393+$C$11*DR393+$F$11*EC393*(1-EF393)</f>
        <v>0</v>
      </c>
      <c r="CS393">
        <f>CR393*CT393</f>
        <v>0</v>
      </c>
      <c r="CT393">
        <f>($B$11*$D$9+$C$11*$D$9+$F$11*((EP393+EH393)/MAX(EP393+EH393+EQ393, 0.1)*$I$9+EQ393/MAX(EP393+EH393+EQ393, 0.1)*$J$9))/($B$11+$C$11+$F$11)</f>
        <v>0</v>
      </c>
      <c r="CU393">
        <f>($B$11*$K$9+$C$11*$K$9+$F$11*((EP393+EH393)/MAX(EP393+EH393+EQ393, 0.1)*$P$9+EQ393/MAX(EP393+EH393+EQ393, 0.1)*$Q$9))/($B$11+$C$11+$F$11)</f>
        <v>0</v>
      </c>
      <c r="CV393">
        <v>6</v>
      </c>
      <c r="CW393">
        <v>0.5</v>
      </c>
      <c r="CX393" t="s">
        <v>418</v>
      </c>
      <c r="CY393">
        <v>2</v>
      </c>
      <c r="CZ393" t="b">
        <v>1</v>
      </c>
      <c r="DA393">
        <v>1651866516.5</v>
      </c>
      <c r="DB393">
        <v>811.1846666666667</v>
      </c>
      <c r="DC393">
        <v>874.5140000000001</v>
      </c>
      <c r="DD393">
        <v>18.71616666666667</v>
      </c>
      <c r="DE393">
        <v>9.041566666666666</v>
      </c>
      <c r="DF393">
        <v>812.8256666666666</v>
      </c>
      <c r="DG393">
        <v>18.69036666666667</v>
      </c>
      <c r="DH393">
        <v>500.0663333333334</v>
      </c>
      <c r="DI393">
        <v>89.91106666666667</v>
      </c>
      <c r="DJ393">
        <v>0.09985046666666668</v>
      </c>
      <c r="DK393">
        <v>25.94316666666667</v>
      </c>
      <c r="DL393">
        <v>24.9885</v>
      </c>
      <c r="DM393">
        <v>999.9</v>
      </c>
      <c r="DN393">
        <v>0</v>
      </c>
      <c r="DO393">
        <v>0</v>
      </c>
      <c r="DP393">
        <v>10014.36666666667</v>
      </c>
      <c r="DQ393">
        <v>0</v>
      </c>
      <c r="DR393">
        <v>3.246926666666667</v>
      </c>
      <c r="DS393">
        <v>-63.32886666666667</v>
      </c>
      <c r="DT393">
        <v>826.657</v>
      </c>
      <c r="DU393">
        <v>882.4929999999999</v>
      </c>
      <c r="DV393">
        <v>9.674583333333333</v>
      </c>
      <c r="DW393">
        <v>874.5140000000001</v>
      </c>
      <c r="DX393">
        <v>9.041566666666666</v>
      </c>
      <c r="DY393">
        <v>1.68279</v>
      </c>
      <c r="DZ393">
        <v>0.8129370000000001</v>
      </c>
      <c r="EA393">
        <v>14.73856666666667</v>
      </c>
      <c r="EB393">
        <v>3.935233333333333</v>
      </c>
      <c r="EC393">
        <v>1500.07</v>
      </c>
      <c r="ED393">
        <v>0.9729990000000001</v>
      </c>
      <c r="EE393">
        <v>0.0270009</v>
      </c>
      <c r="EF393">
        <v>0</v>
      </c>
      <c r="EG393">
        <v>917.5880000000001</v>
      </c>
      <c r="EH393">
        <v>5.00097</v>
      </c>
      <c r="EI393">
        <v>13662.36666666667</v>
      </c>
      <c r="EJ393">
        <v>12492.16666666667</v>
      </c>
      <c r="EK393">
        <v>38.14566666666666</v>
      </c>
      <c r="EL393">
        <v>39.375</v>
      </c>
      <c r="EM393">
        <v>38.562</v>
      </c>
      <c r="EN393">
        <v>39</v>
      </c>
      <c r="EO393">
        <v>38.937</v>
      </c>
      <c r="EP393">
        <v>1454.7</v>
      </c>
      <c r="EQ393">
        <v>40.37</v>
      </c>
      <c r="ER393">
        <v>0</v>
      </c>
      <c r="ES393">
        <v>1035.200000047684</v>
      </c>
      <c r="ET393">
        <v>0</v>
      </c>
      <c r="EU393">
        <v>917.7218846153846</v>
      </c>
      <c r="EV393">
        <v>-0.1201709435910893</v>
      </c>
      <c r="EW393">
        <v>-27.15213666362816</v>
      </c>
      <c r="EX393">
        <v>13665.58461538462</v>
      </c>
      <c r="EY393">
        <v>15</v>
      </c>
      <c r="EZ393">
        <v>1651865518.1</v>
      </c>
      <c r="FA393" t="s">
        <v>910</v>
      </c>
      <c r="FB393">
        <v>1651865507.1</v>
      </c>
      <c r="FC393">
        <v>1651865518.1</v>
      </c>
      <c r="FD393">
        <v>8</v>
      </c>
      <c r="FE393">
        <v>0.06</v>
      </c>
      <c r="FF393">
        <v>0</v>
      </c>
      <c r="FG393">
        <v>-0.927</v>
      </c>
      <c r="FH393">
        <v>-0.062</v>
      </c>
      <c r="FI393">
        <v>400</v>
      </c>
      <c r="FJ393">
        <v>11</v>
      </c>
      <c r="FK393">
        <v>0.11</v>
      </c>
      <c r="FL393">
        <v>0.01</v>
      </c>
      <c r="FM393">
        <v>-63.4337175</v>
      </c>
      <c r="FN393">
        <v>0.8193647279551326</v>
      </c>
      <c r="FO393">
        <v>0.1048438955960236</v>
      </c>
      <c r="FP393">
        <v>-1</v>
      </c>
      <c r="FQ393">
        <v>9.675699500000002</v>
      </c>
      <c r="FR393">
        <v>-0.001086078799273155</v>
      </c>
      <c r="FS393">
        <v>0.002458228986485965</v>
      </c>
      <c r="FT393">
        <v>-1</v>
      </c>
      <c r="FU393">
        <v>0</v>
      </c>
      <c r="FV393">
        <v>0</v>
      </c>
      <c r="FW393">
        <v>0</v>
      </c>
      <c r="FX393">
        <v>-1</v>
      </c>
      <c r="FY393">
        <v>0</v>
      </c>
      <c r="FZ393">
        <v>0</v>
      </c>
      <c r="GA393" t="s">
        <v>420</v>
      </c>
      <c r="GB393">
        <v>2.98151</v>
      </c>
      <c r="GC393">
        <v>2.70616</v>
      </c>
      <c r="GD393">
        <v>0.149791</v>
      </c>
      <c r="GE393">
        <v>0.155485</v>
      </c>
      <c r="GF393">
        <v>0.0890369</v>
      </c>
      <c r="GG393">
        <v>0.0513082</v>
      </c>
      <c r="GH393">
        <v>26867.7</v>
      </c>
      <c r="GI393">
        <v>26744.9</v>
      </c>
      <c r="GJ393">
        <v>29378.8</v>
      </c>
      <c r="GK393">
        <v>29293.2</v>
      </c>
      <c r="GL393">
        <v>35436.1</v>
      </c>
      <c r="GM393">
        <v>37020.8</v>
      </c>
      <c r="GN393">
        <v>41351.1</v>
      </c>
      <c r="GO393">
        <v>41813.3</v>
      </c>
      <c r="GP393">
        <v>1.96747</v>
      </c>
      <c r="GQ393">
        <v>1.85553</v>
      </c>
      <c r="GR393">
        <v>-0.00709295</v>
      </c>
      <c r="GS393">
        <v>0</v>
      </c>
      <c r="GT393">
        <v>25.1042</v>
      </c>
      <c r="GU393">
        <v>999.9</v>
      </c>
      <c r="GV393">
        <v>29.5</v>
      </c>
      <c r="GW393">
        <v>34.2</v>
      </c>
      <c r="GX393">
        <v>17.7269</v>
      </c>
      <c r="GY393">
        <v>62.4676</v>
      </c>
      <c r="GZ393">
        <v>35.0881</v>
      </c>
      <c r="HA393">
        <v>1</v>
      </c>
      <c r="HB393">
        <v>0.0420808</v>
      </c>
      <c r="HC393">
        <v>1.49586</v>
      </c>
      <c r="HD393">
        <v>20.328</v>
      </c>
      <c r="HE393">
        <v>5.21774</v>
      </c>
      <c r="HF393">
        <v>12.0099</v>
      </c>
      <c r="HG393">
        <v>4.9886</v>
      </c>
      <c r="HH393">
        <v>3.28865</v>
      </c>
      <c r="HI393">
        <v>1034.7</v>
      </c>
      <c r="HJ393">
        <v>9757.4</v>
      </c>
      <c r="HK393">
        <v>5139.4</v>
      </c>
      <c r="HL393">
        <v>25.4</v>
      </c>
      <c r="HM393">
        <v>1.86746</v>
      </c>
      <c r="HN393">
        <v>1.86646</v>
      </c>
      <c r="HO393">
        <v>1.86599</v>
      </c>
      <c r="HP393">
        <v>1.86584</v>
      </c>
      <c r="HQ393">
        <v>1.86768</v>
      </c>
      <c r="HR393">
        <v>1.87018</v>
      </c>
      <c r="HS393">
        <v>1.8689</v>
      </c>
      <c r="HT393">
        <v>1.87022</v>
      </c>
      <c r="HU393">
        <v>0</v>
      </c>
      <c r="HV393">
        <v>0</v>
      </c>
      <c r="HW393">
        <v>0</v>
      </c>
      <c r="HX393">
        <v>0</v>
      </c>
      <c r="HY393" t="s">
        <v>421</v>
      </c>
      <c r="HZ393" t="s">
        <v>422</v>
      </c>
      <c r="IA393" t="s">
        <v>423</v>
      </c>
      <c r="IB393" t="s">
        <v>423</v>
      </c>
      <c r="IC393" t="s">
        <v>423</v>
      </c>
      <c r="ID393" t="s">
        <v>423</v>
      </c>
      <c r="IE393">
        <v>0</v>
      </c>
      <c r="IF393">
        <v>100</v>
      </c>
      <c r="IG393">
        <v>100</v>
      </c>
      <c r="IH393">
        <v>-1.646</v>
      </c>
      <c r="II393">
        <v>0.0258</v>
      </c>
      <c r="IJ393">
        <v>-0.1559367209035702</v>
      </c>
      <c r="IK393">
        <v>-0.002077099775823331</v>
      </c>
      <c r="IL393">
        <v>4.593143279902166E-07</v>
      </c>
      <c r="IM393">
        <v>-1.865383991892071E-10</v>
      </c>
      <c r="IN393">
        <v>-0.0607165066849496</v>
      </c>
      <c r="IO393">
        <v>-0.01129461987421345</v>
      </c>
      <c r="IP393">
        <v>0.00116580895745559</v>
      </c>
      <c r="IQ393">
        <v>-1.679085872906199E-05</v>
      </c>
      <c r="IR393">
        <v>2</v>
      </c>
      <c r="IS393">
        <v>2290</v>
      </c>
      <c r="IT393">
        <v>0</v>
      </c>
      <c r="IU393">
        <v>32</v>
      </c>
      <c r="IV393">
        <v>16.8</v>
      </c>
      <c r="IW393">
        <v>16.7</v>
      </c>
      <c r="IX393">
        <v>1.89697</v>
      </c>
      <c r="IY393">
        <v>2.19727</v>
      </c>
      <c r="IZ393">
        <v>1.39648</v>
      </c>
      <c r="JA393">
        <v>2.35474</v>
      </c>
      <c r="JB393">
        <v>1.49536</v>
      </c>
      <c r="JC393">
        <v>2.31812</v>
      </c>
      <c r="JD393">
        <v>38.0134</v>
      </c>
      <c r="JE393">
        <v>24.0437</v>
      </c>
      <c r="JF393">
        <v>18</v>
      </c>
      <c r="JG393">
        <v>512.4059999999999</v>
      </c>
      <c r="JH393">
        <v>426.592</v>
      </c>
      <c r="JI393">
        <v>23.1326</v>
      </c>
      <c r="JJ393">
        <v>27.861</v>
      </c>
      <c r="JK393">
        <v>29.9999</v>
      </c>
      <c r="JL393">
        <v>27.8734</v>
      </c>
      <c r="JM393">
        <v>27.8163</v>
      </c>
      <c r="JN393">
        <v>38.0856</v>
      </c>
      <c r="JO393">
        <v>46.6312</v>
      </c>
      <c r="JP393">
        <v>0</v>
      </c>
      <c r="JQ393">
        <v>23.1364</v>
      </c>
      <c r="JR393">
        <v>900.62</v>
      </c>
      <c r="JS393">
        <v>8.98077</v>
      </c>
      <c r="JT393">
        <v>100.422</v>
      </c>
      <c r="JU393">
        <v>100.352</v>
      </c>
    </row>
    <row r="394" spans="1:281">
      <c r="A394">
        <v>378</v>
      </c>
      <c r="B394">
        <v>1651866519.5</v>
      </c>
      <c r="C394">
        <v>2298.900000095367</v>
      </c>
      <c r="D394" t="s">
        <v>1179</v>
      </c>
      <c r="E394" t="s">
        <v>1180</v>
      </c>
      <c r="F394">
        <v>2</v>
      </c>
      <c r="G394" t="s">
        <v>908</v>
      </c>
      <c r="H394" t="s">
        <v>414</v>
      </c>
      <c r="I394">
        <v>1651866518.125</v>
      </c>
      <c r="J394">
        <f>(K394)/1000</f>
        <v>0</v>
      </c>
      <c r="K394">
        <f>IF(CZ394, AN394, AH394)</f>
        <v>0</v>
      </c>
      <c r="L394">
        <f>IF(CZ394, AI394, AG394)</f>
        <v>0</v>
      </c>
      <c r="M394">
        <f>DB394 - IF(AU394&gt;1, L394*CV394*100.0/(AW394*DP394), 0)</f>
        <v>0</v>
      </c>
      <c r="N394">
        <f>((T394-J394/2)*M394-L394)/(T394+J394/2)</f>
        <v>0</v>
      </c>
      <c r="O394">
        <f>N394*(DI394+DJ394)/1000.0</f>
        <v>0</v>
      </c>
      <c r="P394">
        <f>(DB394 - IF(AU394&gt;1, L394*CV394*100.0/(AW394*DP394), 0))*(DI394+DJ394)/1000.0</f>
        <v>0</v>
      </c>
      <c r="Q394">
        <f>2.0/((1/S394-1/R394)+SIGN(S394)*SQRT((1/S394-1/R394)*(1/S394-1/R394) + 4*CW394/((CW394+1)*(CW394+1))*(2*1/S394*1/R394-1/R394*1/R394)))</f>
        <v>0</v>
      </c>
      <c r="R394">
        <f>IF(LEFT(CX394,1)&lt;&gt;"0",IF(LEFT(CX394,1)="1",3.0,CY394),$D$5+$E$5*(DP394*DI394/($K$5*1000))+$F$5*(DP394*DI394/($K$5*1000))*MAX(MIN(CV394,$J$5),$I$5)*MAX(MIN(CV394,$J$5),$I$5)+$G$5*MAX(MIN(CV394,$J$5),$I$5)*(DP394*DI394/($K$5*1000))+$H$5*(DP394*DI394/($K$5*1000))*(DP394*DI394/($K$5*1000)))</f>
        <v>0</v>
      </c>
      <c r="S394">
        <f>J394*(1000-(1000*0.61365*exp(17.502*W394/(240.97+W394))/(DI394+DJ394)+DD394)/2)/(1000*0.61365*exp(17.502*W394/(240.97+W394))/(DI394+DJ394)-DD394)</f>
        <v>0</v>
      </c>
      <c r="T394">
        <f>1/((CW394+1)/(Q394/1.6)+1/(R394/1.37)) + CW394/((CW394+1)/(Q394/1.6) + CW394/(R394/1.37))</f>
        <v>0</v>
      </c>
      <c r="U394">
        <f>(CR394*CU394)</f>
        <v>0</v>
      </c>
      <c r="V394">
        <f>(DK394+(U394+2*0.95*5.67E-8*(((DK394+$B$7)+273)^4-(DK394+273)^4)-44100*J394)/(1.84*29.3*R394+8*0.95*5.67E-8*(DK394+273)^3))</f>
        <v>0</v>
      </c>
      <c r="W394">
        <f>($C$7*DL394+$D$7*DM394+$E$7*V394)</f>
        <v>0</v>
      </c>
      <c r="X394">
        <f>0.61365*exp(17.502*W394/(240.97+W394))</f>
        <v>0</v>
      </c>
      <c r="Y394">
        <f>(Z394/AA394*100)</f>
        <v>0</v>
      </c>
      <c r="Z394">
        <f>DD394*(DI394+DJ394)/1000</f>
        <v>0</v>
      </c>
      <c r="AA394">
        <f>0.61365*exp(17.502*DK394/(240.97+DK394))</f>
        <v>0</v>
      </c>
      <c r="AB394">
        <f>(X394-DD394*(DI394+DJ394)/1000)</f>
        <v>0</v>
      </c>
      <c r="AC394">
        <f>(-J394*44100)</f>
        <v>0</v>
      </c>
      <c r="AD394">
        <f>2*29.3*R394*0.92*(DK394-W394)</f>
        <v>0</v>
      </c>
      <c r="AE394">
        <f>2*0.95*5.67E-8*(((DK394+$B$7)+273)^4-(W394+273)^4)</f>
        <v>0</v>
      </c>
      <c r="AF394">
        <f>U394+AE394+AC394+AD394</f>
        <v>0</v>
      </c>
      <c r="AG394">
        <f>DH394*AU394*(DC394-DB394*(1000-AU394*DE394)/(1000-AU394*DD394))/(100*CV394)</f>
        <v>0</v>
      </c>
      <c r="AH394">
        <f>1000*DH394*AU394*(DD394-DE394)/(100*CV394*(1000-AU394*DD394))</f>
        <v>0</v>
      </c>
      <c r="AI394">
        <f>(AJ394 - AK394 - DI394*1E3/(8.314*(DK394+273.15)) * AM394/DH394 * AL394) * DH394/(100*CV394) * (1000 - DE394)/1000</f>
        <v>0</v>
      </c>
      <c r="AJ394">
        <v>883.2426422098473</v>
      </c>
      <c r="AK394">
        <v>835.1959030303029</v>
      </c>
      <c r="AL394">
        <v>3.419086407409573</v>
      </c>
      <c r="AM394">
        <v>66.38195617057868</v>
      </c>
      <c r="AN394">
        <f>(AP394 - AO394 + DI394*1E3/(8.314*(DK394+273.15)) * AR394/DH394 * AQ394) * DH394/(100*CV394) * 1000/(1000 - AP394)</f>
        <v>0</v>
      </c>
      <c r="AO394">
        <v>9.042292875243335</v>
      </c>
      <c r="AP394">
        <v>18.71601647058824</v>
      </c>
      <c r="AQ394">
        <v>-2.969475353475837E-05</v>
      </c>
      <c r="AR394">
        <v>80.47178418790507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MAX(0,($B$13+$C$13*DP394)/(1+$D$13*DP394)*DI394/(DK394+273)*$E$13)</f>
        <v>0</v>
      </c>
      <c r="AX394" t="s">
        <v>417</v>
      </c>
      <c r="AY394" t="s">
        <v>417</v>
      </c>
      <c r="AZ394">
        <v>0</v>
      </c>
      <c r="BA394">
        <v>0</v>
      </c>
      <c r="BB394">
        <f>1-AZ394/BA394</f>
        <v>0</v>
      </c>
      <c r="BC394">
        <v>0</v>
      </c>
      <c r="BD394" t="s">
        <v>417</v>
      </c>
      <c r="BE394" t="s">
        <v>417</v>
      </c>
      <c r="BF394">
        <v>0</v>
      </c>
      <c r="BG394">
        <v>0</v>
      </c>
      <c r="BH394">
        <f>1-BF394/BG394</f>
        <v>0</v>
      </c>
      <c r="BI394">
        <v>0.5</v>
      </c>
      <c r="BJ394">
        <f>CS394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417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BZ394">
        <v>1249</v>
      </c>
      <c r="CA394">
        <v>300</v>
      </c>
      <c r="CB394">
        <v>300</v>
      </c>
      <c r="CC394">
        <v>300</v>
      </c>
      <c r="CD394">
        <v>10442.4</v>
      </c>
      <c r="CE394">
        <v>1239.69</v>
      </c>
      <c r="CF394">
        <v>-0.00735276</v>
      </c>
      <c r="CG394">
        <v>0.07000000000000001</v>
      </c>
      <c r="CH394" t="s">
        <v>417</v>
      </c>
      <c r="CI394" t="s">
        <v>417</v>
      </c>
      <c r="CJ394" t="s">
        <v>417</v>
      </c>
      <c r="CK394" t="s">
        <v>417</v>
      </c>
      <c r="CL394" t="s">
        <v>417</v>
      </c>
      <c r="CM394" t="s">
        <v>417</v>
      </c>
      <c r="CN394" t="s">
        <v>417</v>
      </c>
      <c r="CO394" t="s">
        <v>417</v>
      </c>
      <c r="CP394" t="s">
        <v>417</v>
      </c>
      <c r="CQ394" t="s">
        <v>417</v>
      </c>
      <c r="CR394">
        <f>$B$11*DQ394+$C$11*DR394+$F$11*EC394*(1-EF394)</f>
        <v>0</v>
      </c>
      <c r="CS394">
        <f>CR394*CT394</f>
        <v>0</v>
      </c>
      <c r="CT394">
        <f>($B$11*$D$9+$C$11*$D$9+$F$11*((EP394+EH394)/MAX(EP394+EH394+EQ394, 0.1)*$I$9+EQ394/MAX(EP394+EH394+EQ394, 0.1)*$J$9))/($B$11+$C$11+$F$11)</f>
        <v>0</v>
      </c>
      <c r="CU394">
        <f>($B$11*$K$9+$C$11*$K$9+$F$11*((EP394+EH394)/MAX(EP394+EH394+EQ394, 0.1)*$P$9+EQ394/MAX(EP394+EH394+EQ394, 0.1)*$Q$9))/($B$11+$C$11+$F$11)</f>
        <v>0</v>
      </c>
      <c r="CV394">
        <v>6</v>
      </c>
      <c r="CW394">
        <v>0.5</v>
      </c>
      <c r="CX394" t="s">
        <v>418</v>
      </c>
      <c r="CY394">
        <v>2</v>
      </c>
      <c r="CZ394" t="b">
        <v>1</v>
      </c>
      <c r="DA394">
        <v>1651866518.125</v>
      </c>
      <c r="DB394">
        <v>816.64075</v>
      </c>
      <c r="DC394">
        <v>879.8652500000001</v>
      </c>
      <c r="DD394">
        <v>18.716425</v>
      </c>
      <c r="DE394">
        <v>9.041354999999999</v>
      </c>
      <c r="DF394">
        <v>818.2907499999999</v>
      </c>
      <c r="DG394">
        <v>18.690625</v>
      </c>
      <c r="DH394">
        <v>500.05075</v>
      </c>
      <c r="DI394">
        <v>89.91195</v>
      </c>
      <c r="DJ394">
        <v>0.09993109999999999</v>
      </c>
      <c r="DK394">
        <v>25.941775</v>
      </c>
      <c r="DL394">
        <v>24.9892</v>
      </c>
      <c r="DM394">
        <v>999.9</v>
      </c>
      <c r="DN394">
        <v>0</v>
      </c>
      <c r="DO394">
        <v>0</v>
      </c>
      <c r="DP394">
        <v>10014.675</v>
      </c>
      <c r="DQ394">
        <v>0</v>
      </c>
      <c r="DR394">
        <v>3.24599</v>
      </c>
      <c r="DS394">
        <v>-63.22445</v>
      </c>
      <c r="DT394">
        <v>832.21675</v>
      </c>
      <c r="DU394">
        <v>887.89275</v>
      </c>
      <c r="DV394">
        <v>9.6750775</v>
      </c>
      <c r="DW394">
        <v>879.8652500000001</v>
      </c>
      <c r="DX394">
        <v>9.041354999999999</v>
      </c>
      <c r="DY394">
        <v>1.68283</v>
      </c>
      <c r="DZ394">
        <v>0.81292575</v>
      </c>
      <c r="EA394">
        <v>14.73895</v>
      </c>
      <c r="EB394">
        <v>3.9350375</v>
      </c>
      <c r="EC394">
        <v>1500.055</v>
      </c>
      <c r="ED394">
        <v>0.9729985</v>
      </c>
      <c r="EE394">
        <v>0.02700135</v>
      </c>
      <c r="EF394">
        <v>0</v>
      </c>
      <c r="EG394">
        <v>917.52175</v>
      </c>
      <c r="EH394">
        <v>5.00097</v>
      </c>
      <c r="EI394">
        <v>13660.65</v>
      </c>
      <c r="EJ394">
        <v>12492.025</v>
      </c>
      <c r="EK394">
        <v>38.125</v>
      </c>
      <c r="EL394">
        <v>39.35925</v>
      </c>
      <c r="EM394">
        <v>38.562</v>
      </c>
      <c r="EN394">
        <v>39</v>
      </c>
      <c r="EO394">
        <v>38.95274999999999</v>
      </c>
      <c r="EP394">
        <v>1454.685</v>
      </c>
      <c r="EQ394">
        <v>40.37</v>
      </c>
      <c r="ER394">
        <v>0</v>
      </c>
      <c r="ES394">
        <v>1037</v>
      </c>
      <c r="ET394">
        <v>0</v>
      </c>
      <c r="EU394">
        <v>917.682</v>
      </c>
      <c r="EV394">
        <v>-0.405230772817792</v>
      </c>
      <c r="EW394">
        <v>-36.19999998717497</v>
      </c>
      <c r="EX394">
        <v>13664.4</v>
      </c>
      <c r="EY394">
        <v>15</v>
      </c>
      <c r="EZ394">
        <v>1651865518.1</v>
      </c>
      <c r="FA394" t="s">
        <v>910</v>
      </c>
      <c r="FB394">
        <v>1651865507.1</v>
      </c>
      <c r="FC394">
        <v>1651865518.1</v>
      </c>
      <c r="FD394">
        <v>8</v>
      </c>
      <c r="FE394">
        <v>0.06</v>
      </c>
      <c r="FF394">
        <v>0</v>
      </c>
      <c r="FG394">
        <v>-0.927</v>
      </c>
      <c r="FH394">
        <v>-0.062</v>
      </c>
      <c r="FI394">
        <v>400</v>
      </c>
      <c r="FJ394">
        <v>11</v>
      </c>
      <c r="FK394">
        <v>0.11</v>
      </c>
      <c r="FL394">
        <v>0.01</v>
      </c>
      <c r="FM394">
        <v>-63.37791</v>
      </c>
      <c r="FN394">
        <v>0.7329118198875051</v>
      </c>
      <c r="FO394">
        <v>0.09588412746643679</v>
      </c>
      <c r="FP394">
        <v>-1</v>
      </c>
      <c r="FQ394">
        <v>9.675405749999999</v>
      </c>
      <c r="FR394">
        <v>-0.0002651031894910695</v>
      </c>
      <c r="FS394">
        <v>0.00191751908399883</v>
      </c>
      <c r="FT394">
        <v>-1</v>
      </c>
      <c r="FU394">
        <v>0</v>
      </c>
      <c r="FV394">
        <v>0</v>
      </c>
      <c r="FW394">
        <v>0</v>
      </c>
      <c r="FX394">
        <v>-1</v>
      </c>
      <c r="FY394">
        <v>0</v>
      </c>
      <c r="FZ394">
        <v>0</v>
      </c>
      <c r="GA394" t="s">
        <v>420</v>
      </c>
      <c r="GB394">
        <v>2.98148</v>
      </c>
      <c r="GC394">
        <v>2.70619</v>
      </c>
      <c r="GD394">
        <v>0.150606</v>
      </c>
      <c r="GE394">
        <v>0.156266</v>
      </c>
      <c r="GF394">
        <v>0.0890437</v>
      </c>
      <c r="GG394">
        <v>0.0513082</v>
      </c>
      <c r="GH394">
        <v>26841.7</v>
      </c>
      <c r="GI394">
        <v>26720.2</v>
      </c>
      <c r="GJ394">
        <v>29378.6</v>
      </c>
      <c r="GK394">
        <v>29293.2</v>
      </c>
      <c r="GL394">
        <v>35435.6</v>
      </c>
      <c r="GM394">
        <v>37021</v>
      </c>
      <c r="GN394">
        <v>41350.8</v>
      </c>
      <c r="GO394">
        <v>41813.5</v>
      </c>
      <c r="GP394">
        <v>1.96775</v>
      </c>
      <c r="GQ394">
        <v>1.85555</v>
      </c>
      <c r="GR394">
        <v>-0.00682473</v>
      </c>
      <c r="GS394">
        <v>0</v>
      </c>
      <c r="GT394">
        <v>25.1031</v>
      </c>
      <c r="GU394">
        <v>999.9</v>
      </c>
      <c r="GV394">
        <v>29.5</v>
      </c>
      <c r="GW394">
        <v>34.2</v>
      </c>
      <c r="GX394">
        <v>17.7278</v>
      </c>
      <c r="GY394">
        <v>62.3876</v>
      </c>
      <c r="GZ394">
        <v>35.3646</v>
      </c>
      <c r="HA394">
        <v>1</v>
      </c>
      <c r="HB394">
        <v>0.041842</v>
      </c>
      <c r="HC394">
        <v>1.49026</v>
      </c>
      <c r="HD394">
        <v>20.328</v>
      </c>
      <c r="HE394">
        <v>5.21759</v>
      </c>
      <c r="HF394">
        <v>12.0099</v>
      </c>
      <c r="HG394">
        <v>4.9888</v>
      </c>
      <c r="HH394">
        <v>3.28865</v>
      </c>
      <c r="HI394">
        <v>1034.7</v>
      </c>
      <c r="HJ394">
        <v>9757.4</v>
      </c>
      <c r="HK394">
        <v>5139.4</v>
      </c>
      <c r="HL394">
        <v>25.4</v>
      </c>
      <c r="HM394">
        <v>1.86746</v>
      </c>
      <c r="HN394">
        <v>1.86646</v>
      </c>
      <c r="HO394">
        <v>1.86599</v>
      </c>
      <c r="HP394">
        <v>1.86585</v>
      </c>
      <c r="HQ394">
        <v>1.86768</v>
      </c>
      <c r="HR394">
        <v>1.87021</v>
      </c>
      <c r="HS394">
        <v>1.8689</v>
      </c>
      <c r="HT394">
        <v>1.87024</v>
      </c>
      <c r="HU394">
        <v>0</v>
      </c>
      <c r="HV394">
        <v>0</v>
      </c>
      <c r="HW394">
        <v>0</v>
      </c>
      <c r="HX394">
        <v>0</v>
      </c>
      <c r="HY394" t="s">
        <v>421</v>
      </c>
      <c r="HZ394" t="s">
        <v>422</v>
      </c>
      <c r="IA394" t="s">
        <v>423</v>
      </c>
      <c r="IB394" t="s">
        <v>423</v>
      </c>
      <c r="IC394" t="s">
        <v>423</v>
      </c>
      <c r="ID394" t="s">
        <v>423</v>
      </c>
      <c r="IE394">
        <v>0</v>
      </c>
      <c r="IF394">
        <v>100</v>
      </c>
      <c r="IG394">
        <v>100</v>
      </c>
      <c r="IH394">
        <v>-1.658</v>
      </c>
      <c r="II394">
        <v>0.0258</v>
      </c>
      <c r="IJ394">
        <v>-0.1559367209035702</v>
      </c>
      <c r="IK394">
        <v>-0.002077099775823331</v>
      </c>
      <c r="IL394">
        <v>4.593143279902166E-07</v>
      </c>
      <c r="IM394">
        <v>-1.865383991892071E-10</v>
      </c>
      <c r="IN394">
        <v>-0.0607165066849496</v>
      </c>
      <c r="IO394">
        <v>-0.01129461987421345</v>
      </c>
      <c r="IP394">
        <v>0.00116580895745559</v>
      </c>
      <c r="IQ394">
        <v>-1.679085872906199E-05</v>
      </c>
      <c r="IR394">
        <v>2</v>
      </c>
      <c r="IS394">
        <v>2290</v>
      </c>
      <c r="IT394">
        <v>0</v>
      </c>
      <c r="IU394">
        <v>32</v>
      </c>
      <c r="IV394">
        <v>16.9</v>
      </c>
      <c r="IW394">
        <v>16.7</v>
      </c>
      <c r="IX394">
        <v>1.90796</v>
      </c>
      <c r="IY394">
        <v>2.19238</v>
      </c>
      <c r="IZ394">
        <v>1.39648</v>
      </c>
      <c r="JA394">
        <v>2.35474</v>
      </c>
      <c r="JB394">
        <v>1.49536</v>
      </c>
      <c r="JC394">
        <v>2.34985</v>
      </c>
      <c r="JD394">
        <v>38.0134</v>
      </c>
      <c r="JE394">
        <v>24.0437</v>
      </c>
      <c r="JF394">
        <v>18</v>
      </c>
      <c r="JG394">
        <v>512.577</v>
      </c>
      <c r="JH394">
        <v>426.603</v>
      </c>
      <c r="JI394">
        <v>23.1341</v>
      </c>
      <c r="JJ394">
        <v>27.8602</v>
      </c>
      <c r="JK394">
        <v>29.9999</v>
      </c>
      <c r="JL394">
        <v>27.8725</v>
      </c>
      <c r="JM394">
        <v>27.8158</v>
      </c>
      <c r="JN394">
        <v>38.3089</v>
      </c>
      <c r="JO394">
        <v>46.6312</v>
      </c>
      <c r="JP394">
        <v>0</v>
      </c>
      <c r="JQ394">
        <v>23.1364</v>
      </c>
      <c r="JR394">
        <v>907.33</v>
      </c>
      <c r="JS394">
        <v>8.97513</v>
      </c>
      <c r="JT394">
        <v>100.421</v>
      </c>
      <c r="JU394">
        <v>100.352</v>
      </c>
    </row>
    <row r="395" spans="1:281">
      <c r="A395">
        <v>379</v>
      </c>
      <c r="B395">
        <v>1651866521.5</v>
      </c>
      <c r="C395">
        <v>2300.900000095367</v>
      </c>
      <c r="D395" t="s">
        <v>1181</v>
      </c>
      <c r="E395" t="s">
        <v>1182</v>
      </c>
      <c r="F395">
        <v>2</v>
      </c>
      <c r="G395" t="s">
        <v>908</v>
      </c>
      <c r="H395" t="s">
        <v>414</v>
      </c>
      <c r="I395">
        <v>1651866520.5</v>
      </c>
      <c r="J395">
        <f>(K395)/1000</f>
        <v>0</v>
      </c>
      <c r="K395">
        <f>IF(CZ395, AN395, AH395)</f>
        <v>0</v>
      </c>
      <c r="L395">
        <f>IF(CZ395, AI395, AG395)</f>
        <v>0</v>
      </c>
      <c r="M395">
        <f>DB395 - IF(AU395&gt;1, L395*CV395*100.0/(AW395*DP395), 0)</f>
        <v>0</v>
      </c>
      <c r="N395">
        <f>((T395-J395/2)*M395-L395)/(T395+J395/2)</f>
        <v>0</v>
      </c>
      <c r="O395">
        <f>N395*(DI395+DJ395)/1000.0</f>
        <v>0</v>
      </c>
      <c r="P395">
        <f>(DB395 - IF(AU395&gt;1, L395*CV395*100.0/(AW395*DP395), 0))*(DI395+DJ395)/1000.0</f>
        <v>0</v>
      </c>
      <c r="Q395">
        <f>2.0/((1/S395-1/R395)+SIGN(S395)*SQRT((1/S395-1/R395)*(1/S395-1/R395) + 4*CW395/((CW395+1)*(CW395+1))*(2*1/S395*1/R395-1/R395*1/R395)))</f>
        <v>0</v>
      </c>
      <c r="R395">
        <f>IF(LEFT(CX395,1)&lt;&gt;"0",IF(LEFT(CX395,1)="1",3.0,CY395),$D$5+$E$5*(DP395*DI395/($K$5*1000))+$F$5*(DP395*DI395/($K$5*1000))*MAX(MIN(CV395,$J$5),$I$5)*MAX(MIN(CV395,$J$5),$I$5)+$G$5*MAX(MIN(CV395,$J$5),$I$5)*(DP395*DI395/($K$5*1000))+$H$5*(DP395*DI395/($K$5*1000))*(DP395*DI395/($K$5*1000)))</f>
        <v>0</v>
      </c>
      <c r="S395">
        <f>J395*(1000-(1000*0.61365*exp(17.502*W395/(240.97+W395))/(DI395+DJ395)+DD395)/2)/(1000*0.61365*exp(17.502*W395/(240.97+W395))/(DI395+DJ395)-DD395)</f>
        <v>0</v>
      </c>
      <c r="T395">
        <f>1/((CW395+1)/(Q395/1.6)+1/(R395/1.37)) + CW395/((CW395+1)/(Q395/1.6) + CW395/(R395/1.37))</f>
        <v>0</v>
      </c>
      <c r="U395">
        <f>(CR395*CU395)</f>
        <v>0</v>
      </c>
      <c r="V395">
        <f>(DK395+(U395+2*0.95*5.67E-8*(((DK395+$B$7)+273)^4-(DK395+273)^4)-44100*J395)/(1.84*29.3*R395+8*0.95*5.67E-8*(DK395+273)^3))</f>
        <v>0</v>
      </c>
      <c r="W395">
        <f>($C$7*DL395+$D$7*DM395+$E$7*V395)</f>
        <v>0</v>
      </c>
      <c r="X395">
        <f>0.61365*exp(17.502*W395/(240.97+W395))</f>
        <v>0</v>
      </c>
      <c r="Y395">
        <f>(Z395/AA395*100)</f>
        <v>0</v>
      </c>
      <c r="Z395">
        <f>DD395*(DI395+DJ395)/1000</f>
        <v>0</v>
      </c>
      <c r="AA395">
        <f>0.61365*exp(17.502*DK395/(240.97+DK395))</f>
        <v>0</v>
      </c>
      <c r="AB395">
        <f>(X395-DD395*(DI395+DJ395)/1000)</f>
        <v>0</v>
      </c>
      <c r="AC395">
        <f>(-J395*44100)</f>
        <v>0</v>
      </c>
      <c r="AD395">
        <f>2*29.3*R395*0.92*(DK395-W395)</f>
        <v>0</v>
      </c>
      <c r="AE395">
        <f>2*0.95*5.67E-8*(((DK395+$B$7)+273)^4-(W395+273)^4)</f>
        <v>0</v>
      </c>
      <c r="AF395">
        <f>U395+AE395+AC395+AD395</f>
        <v>0</v>
      </c>
      <c r="AG395">
        <f>DH395*AU395*(DC395-DB395*(1000-AU395*DE395)/(1000-AU395*DD395))/(100*CV395)</f>
        <v>0</v>
      </c>
      <c r="AH395">
        <f>1000*DH395*AU395*(DD395-DE395)/(100*CV395*(1000-AU395*DD395))</f>
        <v>0</v>
      </c>
      <c r="AI395">
        <f>(AJ395 - AK395 - DI395*1E3/(8.314*(DK395+273.15)) * AM395/DH395 * AL395) * DH395/(100*CV395) * (1000 - DE395)/1000</f>
        <v>0</v>
      </c>
      <c r="AJ395">
        <v>889.917325172559</v>
      </c>
      <c r="AK395">
        <v>841.9482909090906</v>
      </c>
      <c r="AL395">
        <v>3.386922941064138</v>
      </c>
      <c r="AM395">
        <v>66.38195617057868</v>
      </c>
      <c r="AN395">
        <f>(AP395 - AO395 + DI395*1E3/(8.314*(DK395+273.15)) * AR395/DH395 * AQ395) * DH395/(100*CV395) * 1000/(1000 - AP395)</f>
        <v>0</v>
      </c>
      <c r="AO395">
        <v>9.041436048457657</v>
      </c>
      <c r="AP395">
        <v>18.72011617647057</v>
      </c>
      <c r="AQ395">
        <v>-5.060215594569437E-05</v>
      </c>
      <c r="AR395">
        <v>80.47178418790507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MAX(0,($B$13+$C$13*DP395)/(1+$D$13*DP395)*DI395/(DK395+273)*$E$13)</f>
        <v>0</v>
      </c>
      <c r="AX395" t="s">
        <v>417</v>
      </c>
      <c r="AY395" t="s">
        <v>417</v>
      </c>
      <c r="AZ395">
        <v>0</v>
      </c>
      <c r="BA395">
        <v>0</v>
      </c>
      <c r="BB395">
        <f>1-AZ395/BA395</f>
        <v>0</v>
      </c>
      <c r="BC395">
        <v>0</v>
      </c>
      <c r="BD395" t="s">
        <v>417</v>
      </c>
      <c r="BE395" t="s">
        <v>417</v>
      </c>
      <c r="BF395">
        <v>0</v>
      </c>
      <c r="BG395">
        <v>0</v>
      </c>
      <c r="BH395">
        <f>1-BF395/BG395</f>
        <v>0</v>
      </c>
      <c r="BI395">
        <v>0.5</v>
      </c>
      <c r="BJ395">
        <f>CS395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417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BZ395">
        <v>1249</v>
      </c>
      <c r="CA395">
        <v>300</v>
      </c>
      <c r="CB395">
        <v>300</v>
      </c>
      <c r="CC395">
        <v>300</v>
      </c>
      <c r="CD395">
        <v>10442.4</v>
      </c>
      <c r="CE395">
        <v>1239.69</v>
      </c>
      <c r="CF395">
        <v>-0.00735276</v>
      </c>
      <c r="CG395">
        <v>0.07000000000000001</v>
      </c>
      <c r="CH395" t="s">
        <v>417</v>
      </c>
      <c r="CI395" t="s">
        <v>417</v>
      </c>
      <c r="CJ395" t="s">
        <v>417</v>
      </c>
      <c r="CK395" t="s">
        <v>417</v>
      </c>
      <c r="CL395" t="s">
        <v>417</v>
      </c>
      <c r="CM395" t="s">
        <v>417</v>
      </c>
      <c r="CN395" t="s">
        <v>417</v>
      </c>
      <c r="CO395" t="s">
        <v>417</v>
      </c>
      <c r="CP395" t="s">
        <v>417</v>
      </c>
      <c r="CQ395" t="s">
        <v>417</v>
      </c>
      <c r="CR395">
        <f>$B$11*DQ395+$C$11*DR395+$F$11*EC395*(1-EF395)</f>
        <v>0</v>
      </c>
      <c r="CS395">
        <f>CR395*CT395</f>
        <v>0</v>
      </c>
      <c r="CT395">
        <f>($B$11*$D$9+$C$11*$D$9+$F$11*((EP395+EH395)/MAX(EP395+EH395+EQ395, 0.1)*$I$9+EQ395/MAX(EP395+EH395+EQ395, 0.1)*$J$9))/($B$11+$C$11+$F$11)</f>
        <v>0</v>
      </c>
      <c r="CU395">
        <f>($B$11*$K$9+$C$11*$K$9+$F$11*((EP395+EH395)/MAX(EP395+EH395+EQ395, 0.1)*$P$9+EQ395/MAX(EP395+EH395+EQ395, 0.1)*$Q$9))/($B$11+$C$11+$F$11)</f>
        <v>0</v>
      </c>
      <c r="CV395">
        <v>6</v>
      </c>
      <c r="CW395">
        <v>0.5</v>
      </c>
      <c r="CX395" t="s">
        <v>418</v>
      </c>
      <c r="CY395">
        <v>2</v>
      </c>
      <c r="CZ395" t="b">
        <v>1</v>
      </c>
      <c r="DA395">
        <v>1651866520.5</v>
      </c>
      <c r="DB395">
        <v>824.5323333333332</v>
      </c>
      <c r="DC395">
        <v>887.8753333333334</v>
      </c>
      <c r="DD395">
        <v>18.71936666666666</v>
      </c>
      <c r="DE395">
        <v>9.041359999999999</v>
      </c>
      <c r="DF395">
        <v>826.196</v>
      </c>
      <c r="DG395">
        <v>18.69353333333333</v>
      </c>
      <c r="DH395">
        <v>500.0136666666667</v>
      </c>
      <c r="DI395">
        <v>89.91370000000001</v>
      </c>
      <c r="DJ395">
        <v>0.1000101666666667</v>
      </c>
      <c r="DK395">
        <v>25.93963333333333</v>
      </c>
      <c r="DL395">
        <v>24.99253333333333</v>
      </c>
      <c r="DM395">
        <v>999.9</v>
      </c>
      <c r="DN395">
        <v>0</v>
      </c>
      <c r="DO395">
        <v>0</v>
      </c>
      <c r="DP395">
        <v>9996.866666666667</v>
      </c>
      <c r="DQ395">
        <v>0</v>
      </c>
      <c r="DR395">
        <v>3.24599</v>
      </c>
      <c r="DS395">
        <v>-63.34263333333333</v>
      </c>
      <c r="DT395">
        <v>840.2616666666667</v>
      </c>
      <c r="DU395">
        <v>895.976</v>
      </c>
      <c r="DV395">
        <v>9.678013333333334</v>
      </c>
      <c r="DW395">
        <v>887.8753333333334</v>
      </c>
      <c r="DX395">
        <v>9.041359999999999</v>
      </c>
      <c r="DY395">
        <v>1.683126666666667</v>
      </c>
      <c r="DZ395">
        <v>0.8129420000000001</v>
      </c>
      <c r="EA395">
        <v>14.7417</v>
      </c>
      <c r="EB395">
        <v>3.935323333333333</v>
      </c>
      <c r="EC395">
        <v>1499.99</v>
      </c>
      <c r="ED395">
        <v>0.972997</v>
      </c>
      <c r="EE395">
        <v>0.0270027</v>
      </c>
      <c r="EF395">
        <v>0</v>
      </c>
      <c r="EG395">
        <v>917.1383333333333</v>
      </c>
      <c r="EH395">
        <v>5.00097</v>
      </c>
      <c r="EI395">
        <v>13657.06666666667</v>
      </c>
      <c r="EJ395">
        <v>12491.5</v>
      </c>
      <c r="EK395">
        <v>38.125</v>
      </c>
      <c r="EL395">
        <v>39.312</v>
      </c>
      <c r="EM395">
        <v>38.52066666666666</v>
      </c>
      <c r="EN395">
        <v>39</v>
      </c>
      <c r="EO395">
        <v>38.937</v>
      </c>
      <c r="EP395">
        <v>1454.62</v>
      </c>
      <c r="EQ395">
        <v>40.37</v>
      </c>
      <c r="ER395">
        <v>0</v>
      </c>
      <c r="ES395">
        <v>1039.400000095367</v>
      </c>
      <c r="ET395">
        <v>0</v>
      </c>
      <c r="EU395">
        <v>917.6140399999999</v>
      </c>
      <c r="EV395">
        <v>-2.474153856283668</v>
      </c>
      <c r="EW395">
        <v>-50.3076922526738</v>
      </c>
      <c r="EX395">
        <v>13662.624</v>
      </c>
      <c r="EY395">
        <v>15</v>
      </c>
      <c r="EZ395">
        <v>1651865518.1</v>
      </c>
      <c r="FA395" t="s">
        <v>910</v>
      </c>
      <c r="FB395">
        <v>1651865507.1</v>
      </c>
      <c r="FC395">
        <v>1651865518.1</v>
      </c>
      <c r="FD395">
        <v>8</v>
      </c>
      <c r="FE395">
        <v>0.06</v>
      </c>
      <c r="FF395">
        <v>0</v>
      </c>
      <c r="FG395">
        <v>-0.927</v>
      </c>
      <c r="FH395">
        <v>-0.062</v>
      </c>
      <c r="FI395">
        <v>400</v>
      </c>
      <c r="FJ395">
        <v>11</v>
      </c>
      <c r="FK395">
        <v>0.11</v>
      </c>
      <c r="FL395">
        <v>0.01</v>
      </c>
      <c r="FM395">
        <v>-63.36095</v>
      </c>
      <c r="FN395">
        <v>0.5903121951219912</v>
      </c>
      <c r="FO395">
        <v>0.08075276156268518</v>
      </c>
      <c r="FP395">
        <v>-1</v>
      </c>
      <c r="FQ395">
        <v>9.67538525</v>
      </c>
      <c r="FR395">
        <v>0.003656172607879627</v>
      </c>
      <c r="FS395">
        <v>0.001889633545823015</v>
      </c>
      <c r="FT395">
        <v>-1</v>
      </c>
      <c r="FU395">
        <v>0</v>
      </c>
      <c r="FV395">
        <v>0</v>
      </c>
      <c r="FW395">
        <v>0</v>
      </c>
      <c r="FX395">
        <v>-1</v>
      </c>
      <c r="FY395">
        <v>0</v>
      </c>
      <c r="FZ395">
        <v>0</v>
      </c>
      <c r="GA395" t="s">
        <v>420</v>
      </c>
      <c r="GB395">
        <v>2.98155</v>
      </c>
      <c r="GC395">
        <v>2.70614</v>
      </c>
      <c r="GD395">
        <v>0.151419</v>
      </c>
      <c r="GE395">
        <v>0.157059</v>
      </c>
      <c r="GF395">
        <v>0.0890436</v>
      </c>
      <c r="GG395">
        <v>0.0513093</v>
      </c>
      <c r="GH395">
        <v>26816.1</v>
      </c>
      <c r="GI395">
        <v>26694.8</v>
      </c>
      <c r="GJ395">
        <v>29378.7</v>
      </c>
      <c r="GK395">
        <v>29292.9</v>
      </c>
      <c r="GL395">
        <v>35435.7</v>
      </c>
      <c r="GM395">
        <v>37020.5</v>
      </c>
      <c r="GN395">
        <v>41350.9</v>
      </c>
      <c r="GO395">
        <v>41813</v>
      </c>
      <c r="GP395">
        <v>1.96775</v>
      </c>
      <c r="GQ395">
        <v>1.85553</v>
      </c>
      <c r="GR395">
        <v>-0.00664592</v>
      </c>
      <c r="GS395">
        <v>0</v>
      </c>
      <c r="GT395">
        <v>25.1021</v>
      </c>
      <c r="GU395">
        <v>999.9</v>
      </c>
      <c r="GV395">
        <v>29.5</v>
      </c>
      <c r="GW395">
        <v>34.2</v>
      </c>
      <c r="GX395">
        <v>17.7259</v>
      </c>
      <c r="GY395">
        <v>62.2776</v>
      </c>
      <c r="GZ395">
        <v>35.3486</v>
      </c>
      <c r="HA395">
        <v>1</v>
      </c>
      <c r="HB395">
        <v>0.0415828</v>
      </c>
      <c r="HC395">
        <v>1.48376</v>
      </c>
      <c r="HD395">
        <v>20.3279</v>
      </c>
      <c r="HE395">
        <v>5.21744</v>
      </c>
      <c r="HF395">
        <v>12.0099</v>
      </c>
      <c r="HG395">
        <v>4.9892</v>
      </c>
      <c r="HH395">
        <v>3.28858</v>
      </c>
      <c r="HI395">
        <v>1034.7</v>
      </c>
      <c r="HJ395">
        <v>9757.4</v>
      </c>
      <c r="HK395">
        <v>5139.4</v>
      </c>
      <c r="HL395">
        <v>25.4</v>
      </c>
      <c r="HM395">
        <v>1.86746</v>
      </c>
      <c r="HN395">
        <v>1.86646</v>
      </c>
      <c r="HO395">
        <v>1.866</v>
      </c>
      <c r="HP395">
        <v>1.86584</v>
      </c>
      <c r="HQ395">
        <v>1.86768</v>
      </c>
      <c r="HR395">
        <v>1.87022</v>
      </c>
      <c r="HS395">
        <v>1.8689</v>
      </c>
      <c r="HT395">
        <v>1.87024</v>
      </c>
      <c r="HU395">
        <v>0</v>
      </c>
      <c r="HV395">
        <v>0</v>
      </c>
      <c r="HW395">
        <v>0</v>
      </c>
      <c r="HX395">
        <v>0</v>
      </c>
      <c r="HY395" t="s">
        <v>421</v>
      </c>
      <c r="HZ395" t="s">
        <v>422</v>
      </c>
      <c r="IA395" t="s">
        <v>423</v>
      </c>
      <c r="IB395" t="s">
        <v>423</v>
      </c>
      <c r="IC395" t="s">
        <v>423</v>
      </c>
      <c r="ID395" t="s">
        <v>423</v>
      </c>
      <c r="IE395">
        <v>0</v>
      </c>
      <c r="IF395">
        <v>100</v>
      </c>
      <c r="IG395">
        <v>100</v>
      </c>
      <c r="IH395">
        <v>-1.669</v>
      </c>
      <c r="II395">
        <v>0.0258</v>
      </c>
      <c r="IJ395">
        <v>-0.1559367209035702</v>
      </c>
      <c r="IK395">
        <v>-0.002077099775823331</v>
      </c>
      <c r="IL395">
        <v>4.593143279902166E-07</v>
      </c>
      <c r="IM395">
        <v>-1.865383991892071E-10</v>
      </c>
      <c r="IN395">
        <v>-0.0607165066849496</v>
      </c>
      <c r="IO395">
        <v>-0.01129461987421345</v>
      </c>
      <c r="IP395">
        <v>0.00116580895745559</v>
      </c>
      <c r="IQ395">
        <v>-1.679085872906199E-05</v>
      </c>
      <c r="IR395">
        <v>2</v>
      </c>
      <c r="IS395">
        <v>2290</v>
      </c>
      <c r="IT395">
        <v>0</v>
      </c>
      <c r="IU395">
        <v>32</v>
      </c>
      <c r="IV395">
        <v>16.9</v>
      </c>
      <c r="IW395">
        <v>16.7</v>
      </c>
      <c r="IX395">
        <v>1.92017</v>
      </c>
      <c r="IY395">
        <v>2.19116</v>
      </c>
      <c r="IZ395">
        <v>1.39648</v>
      </c>
      <c r="JA395">
        <v>2.35474</v>
      </c>
      <c r="JB395">
        <v>1.49536</v>
      </c>
      <c r="JC395">
        <v>2.36572</v>
      </c>
      <c r="JD395">
        <v>38.0134</v>
      </c>
      <c r="JE395">
        <v>24.0437</v>
      </c>
      <c r="JF395">
        <v>18</v>
      </c>
      <c r="JG395">
        <v>512.575</v>
      </c>
      <c r="JH395">
        <v>426.583</v>
      </c>
      <c r="JI395">
        <v>23.1362</v>
      </c>
      <c r="JJ395">
        <v>27.859</v>
      </c>
      <c r="JK395">
        <v>29.9999</v>
      </c>
      <c r="JL395">
        <v>27.8722</v>
      </c>
      <c r="JM395">
        <v>27.8151</v>
      </c>
      <c r="JN395">
        <v>38.5401</v>
      </c>
      <c r="JO395">
        <v>46.6312</v>
      </c>
      <c r="JP395">
        <v>0</v>
      </c>
      <c r="JQ395">
        <v>23.1436</v>
      </c>
      <c r="JR395">
        <v>914.043</v>
      </c>
      <c r="JS395">
        <v>8.980790000000001</v>
      </c>
      <c r="JT395">
        <v>100.421</v>
      </c>
      <c r="JU395">
        <v>100.351</v>
      </c>
    </row>
    <row r="396" spans="1:281">
      <c r="A396">
        <v>380</v>
      </c>
      <c r="B396">
        <v>1651866523.5</v>
      </c>
      <c r="C396">
        <v>2302.900000095367</v>
      </c>
      <c r="D396" t="s">
        <v>1183</v>
      </c>
      <c r="E396" t="s">
        <v>1184</v>
      </c>
      <c r="F396">
        <v>2</v>
      </c>
      <c r="G396" t="s">
        <v>908</v>
      </c>
      <c r="H396" t="s">
        <v>414</v>
      </c>
      <c r="I396">
        <v>1651866522.125</v>
      </c>
      <c r="J396">
        <f>(K396)/1000</f>
        <v>0</v>
      </c>
      <c r="K396">
        <f>IF(CZ396, AN396, AH396)</f>
        <v>0</v>
      </c>
      <c r="L396">
        <f>IF(CZ396, AI396, AG396)</f>
        <v>0</v>
      </c>
      <c r="M396">
        <f>DB396 - IF(AU396&gt;1, L396*CV396*100.0/(AW396*DP396), 0)</f>
        <v>0</v>
      </c>
      <c r="N396">
        <f>((T396-J396/2)*M396-L396)/(T396+J396/2)</f>
        <v>0</v>
      </c>
      <c r="O396">
        <f>N396*(DI396+DJ396)/1000.0</f>
        <v>0</v>
      </c>
      <c r="P396">
        <f>(DB396 - IF(AU396&gt;1, L396*CV396*100.0/(AW396*DP396), 0))*(DI396+DJ396)/1000.0</f>
        <v>0</v>
      </c>
      <c r="Q396">
        <f>2.0/((1/S396-1/R396)+SIGN(S396)*SQRT((1/S396-1/R396)*(1/S396-1/R396) + 4*CW396/((CW396+1)*(CW396+1))*(2*1/S396*1/R396-1/R396*1/R396)))</f>
        <v>0</v>
      </c>
      <c r="R396">
        <f>IF(LEFT(CX396,1)&lt;&gt;"0",IF(LEFT(CX396,1)="1",3.0,CY396),$D$5+$E$5*(DP396*DI396/($K$5*1000))+$F$5*(DP396*DI396/($K$5*1000))*MAX(MIN(CV396,$J$5),$I$5)*MAX(MIN(CV396,$J$5),$I$5)+$G$5*MAX(MIN(CV396,$J$5),$I$5)*(DP396*DI396/($K$5*1000))+$H$5*(DP396*DI396/($K$5*1000))*(DP396*DI396/($K$5*1000)))</f>
        <v>0</v>
      </c>
      <c r="S396">
        <f>J396*(1000-(1000*0.61365*exp(17.502*W396/(240.97+W396))/(DI396+DJ396)+DD396)/2)/(1000*0.61365*exp(17.502*W396/(240.97+W396))/(DI396+DJ396)-DD396)</f>
        <v>0</v>
      </c>
      <c r="T396">
        <f>1/((CW396+1)/(Q396/1.6)+1/(R396/1.37)) + CW396/((CW396+1)/(Q396/1.6) + CW396/(R396/1.37))</f>
        <v>0</v>
      </c>
      <c r="U396">
        <f>(CR396*CU396)</f>
        <v>0</v>
      </c>
      <c r="V396">
        <f>(DK396+(U396+2*0.95*5.67E-8*(((DK396+$B$7)+273)^4-(DK396+273)^4)-44100*J396)/(1.84*29.3*R396+8*0.95*5.67E-8*(DK396+273)^3))</f>
        <v>0</v>
      </c>
      <c r="W396">
        <f>($C$7*DL396+$D$7*DM396+$E$7*V396)</f>
        <v>0</v>
      </c>
      <c r="X396">
        <f>0.61365*exp(17.502*W396/(240.97+W396))</f>
        <v>0</v>
      </c>
      <c r="Y396">
        <f>(Z396/AA396*100)</f>
        <v>0</v>
      </c>
      <c r="Z396">
        <f>DD396*(DI396+DJ396)/1000</f>
        <v>0</v>
      </c>
      <c r="AA396">
        <f>0.61365*exp(17.502*DK396/(240.97+DK396))</f>
        <v>0</v>
      </c>
      <c r="AB396">
        <f>(X396-DD396*(DI396+DJ396)/1000)</f>
        <v>0</v>
      </c>
      <c r="AC396">
        <f>(-J396*44100)</f>
        <v>0</v>
      </c>
      <c r="AD396">
        <f>2*29.3*R396*0.92*(DK396-W396)</f>
        <v>0</v>
      </c>
      <c r="AE396">
        <f>2*0.95*5.67E-8*(((DK396+$B$7)+273)^4-(W396+273)^4)</f>
        <v>0</v>
      </c>
      <c r="AF396">
        <f>U396+AE396+AC396+AD396</f>
        <v>0</v>
      </c>
      <c r="AG396">
        <f>DH396*AU396*(DC396-DB396*(1000-AU396*DE396)/(1000-AU396*DD396))/(100*CV396)</f>
        <v>0</v>
      </c>
      <c r="AH396">
        <f>1000*DH396*AU396*(DD396-DE396)/(100*CV396*(1000-AU396*DD396))</f>
        <v>0</v>
      </c>
      <c r="AI396">
        <f>(AJ396 - AK396 - DI396*1E3/(8.314*(DK396+273.15)) * AM396/DH396 * AL396) * DH396/(100*CV396) * (1000 - DE396)/1000</f>
        <v>0</v>
      </c>
      <c r="AJ396">
        <v>896.7857511281626</v>
      </c>
      <c r="AK396">
        <v>848.8520242424239</v>
      </c>
      <c r="AL396">
        <v>3.424068360929865</v>
      </c>
      <c r="AM396">
        <v>66.38195617057868</v>
      </c>
      <c r="AN396">
        <f>(AP396 - AO396 + DI396*1E3/(8.314*(DK396+273.15)) * AR396/DH396 * AQ396) * DH396/(100*CV396) * 1000/(1000 - AP396)</f>
        <v>0</v>
      </c>
      <c r="AO396">
        <v>9.041382246060193</v>
      </c>
      <c r="AP396">
        <v>18.71773617647059</v>
      </c>
      <c r="AQ396">
        <v>2.633780123489795E-05</v>
      </c>
      <c r="AR396">
        <v>80.47178418790507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MAX(0,($B$13+$C$13*DP396)/(1+$D$13*DP396)*DI396/(DK396+273)*$E$13)</f>
        <v>0</v>
      </c>
      <c r="AX396" t="s">
        <v>417</v>
      </c>
      <c r="AY396" t="s">
        <v>417</v>
      </c>
      <c r="AZ396">
        <v>0</v>
      </c>
      <c r="BA396">
        <v>0</v>
      </c>
      <c r="BB396">
        <f>1-AZ396/BA396</f>
        <v>0</v>
      </c>
      <c r="BC396">
        <v>0</v>
      </c>
      <c r="BD396" t="s">
        <v>417</v>
      </c>
      <c r="BE396" t="s">
        <v>417</v>
      </c>
      <c r="BF396">
        <v>0</v>
      </c>
      <c r="BG396">
        <v>0</v>
      </c>
      <c r="BH396">
        <f>1-BF396/BG396</f>
        <v>0</v>
      </c>
      <c r="BI396">
        <v>0.5</v>
      </c>
      <c r="BJ396">
        <f>CS396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417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BZ396">
        <v>1249</v>
      </c>
      <c r="CA396">
        <v>300</v>
      </c>
      <c r="CB396">
        <v>300</v>
      </c>
      <c r="CC396">
        <v>300</v>
      </c>
      <c r="CD396">
        <v>10442.4</v>
      </c>
      <c r="CE396">
        <v>1239.69</v>
      </c>
      <c r="CF396">
        <v>-0.00735276</v>
      </c>
      <c r="CG396">
        <v>0.07000000000000001</v>
      </c>
      <c r="CH396" t="s">
        <v>417</v>
      </c>
      <c r="CI396" t="s">
        <v>417</v>
      </c>
      <c r="CJ396" t="s">
        <v>417</v>
      </c>
      <c r="CK396" t="s">
        <v>417</v>
      </c>
      <c r="CL396" t="s">
        <v>417</v>
      </c>
      <c r="CM396" t="s">
        <v>417</v>
      </c>
      <c r="CN396" t="s">
        <v>417</v>
      </c>
      <c r="CO396" t="s">
        <v>417</v>
      </c>
      <c r="CP396" t="s">
        <v>417</v>
      </c>
      <c r="CQ396" t="s">
        <v>417</v>
      </c>
      <c r="CR396">
        <f>$B$11*DQ396+$C$11*DR396+$F$11*EC396*(1-EF396)</f>
        <v>0</v>
      </c>
      <c r="CS396">
        <f>CR396*CT396</f>
        <v>0</v>
      </c>
      <c r="CT396">
        <f>($B$11*$D$9+$C$11*$D$9+$F$11*((EP396+EH396)/MAX(EP396+EH396+EQ396, 0.1)*$I$9+EQ396/MAX(EP396+EH396+EQ396, 0.1)*$J$9))/($B$11+$C$11+$F$11)</f>
        <v>0</v>
      </c>
      <c r="CU396">
        <f>($B$11*$K$9+$C$11*$K$9+$F$11*((EP396+EH396)/MAX(EP396+EH396+EQ396, 0.1)*$P$9+EQ396/MAX(EP396+EH396+EQ396, 0.1)*$Q$9))/($B$11+$C$11+$F$11)</f>
        <v>0</v>
      </c>
      <c r="CV396">
        <v>6</v>
      </c>
      <c r="CW396">
        <v>0.5</v>
      </c>
      <c r="CX396" t="s">
        <v>418</v>
      </c>
      <c r="CY396">
        <v>2</v>
      </c>
      <c r="CZ396" t="b">
        <v>1</v>
      </c>
      <c r="DA396">
        <v>1651866522.125</v>
      </c>
      <c r="DB396">
        <v>829.99775</v>
      </c>
      <c r="DC396">
        <v>893.34825</v>
      </c>
      <c r="DD396">
        <v>18.71785</v>
      </c>
      <c r="DE396">
        <v>9.040495</v>
      </c>
      <c r="DF396">
        <v>831.6704999999999</v>
      </c>
      <c r="DG396">
        <v>18.692025</v>
      </c>
      <c r="DH396">
        <v>500.02825</v>
      </c>
      <c r="DI396">
        <v>89.914225</v>
      </c>
      <c r="DJ396">
        <v>0.10001935</v>
      </c>
      <c r="DK396">
        <v>25.9401</v>
      </c>
      <c r="DL396">
        <v>24.99265</v>
      </c>
      <c r="DM396">
        <v>999.9</v>
      </c>
      <c r="DN396">
        <v>0</v>
      </c>
      <c r="DO396">
        <v>0</v>
      </c>
      <c r="DP396">
        <v>9986.869999999999</v>
      </c>
      <c r="DQ396">
        <v>0</v>
      </c>
      <c r="DR396">
        <v>3.24599</v>
      </c>
      <c r="DS396">
        <v>-63.350475</v>
      </c>
      <c r="DT396">
        <v>845.8294999999999</v>
      </c>
      <c r="DU396">
        <v>901.4979999999999</v>
      </c>
      <c r="DV396">
        <v>9.677350000000001</v>
      </c>
      <c r="DW396">
        <v>893.34825</v>
      </c>
      <c r="DX396">
        <v>9.040495</v>
      </c>
      <c r="DY396">
        <v>1.683</v>
      </c>
      <c r="DZ396">
        <v>0.81286875</v>
      </c>
      <c r="EA396">
        <v>14.740525</v>
      </c>
      <c r="EB396">
        <v>3.934035</v>
      </c>
      <c r="EC396">
        <v>1499.995</v>
      </c>
      <c r="ED396">
        <v>0.972997</v>
      </c>
      <c r="EE396">
        <v>0.0270027</v>
      </c>
      <c r="EF396">
        <v>0</v>
      </c>
      <c r="EG396">
        <v>917.2394999999999</v>
      </c>
      <c r="EH396">
        <v>5.00097</v>
      </c>
      <c r="EI396">
        <v>13654.575</v>
      </c>
      <c r="EJ396">
        <v>12491.55</v>
      </c>
      <c r="EK396">
        <v>38.125</v>
      </c>
      <c r="EL396">
        <v>39.312</v>
      </c>
      <c r="EM396">
        <v>38.5</v>
      </c>
      <c r="EN396">
        <v>38.9685</v>
      </c>
      <c r="EO396">
        <v>38.937</v>
      </c>
      <c r="EP396">
        <v>1454.625</v>
      </c>
      <c r="EQ396">
        <v>40.37</v>
      </c>
      <c r="ER396">
        <v>0</v>
      </c>
      <c r="ES396">
        <v>1041.200000047684</v>
      </c>
      <c r="ET396">
        <v>0</v>
      </c>
      <c r="EU396">
        <v>917.5457307692309</v>
      </c>
      <c r="EV396">
        <v>-3.591829060031893</v>
      </c>
      <c r="EW396">
        <v>-60.35555541924993</v>
      </c>
      <c r="EX396">
        <v>13661.23846153846</v>
      </c>
      <c r="EY396">
        <v>15</v>
      </c>
      <c r="EZ396">
        <v>1651865518.1</v>
      </c>
      <c r="FA396" t="s">
        <v>910</v>
      </c>
      <c r="FB396">
        <v>1651865507.1</v>
      </c>
      <c r="FC396">
        <v>1651865518.1</v>
      </c>
      <c r="FD396">
        <v>8</v>
      </c>
      <c r="FE396">
        <v>0.06</v>
      </c>
      <c r="FF396">
        <v>0</v>
      </c>
      <c r="FG396">
        <v>-0.927</v>
      </c>
      <c r="FH396">
        <v>-0.062</v>
      </c>
      <c r="FI396">
        <v>400</v>
      </c>
      <c r="FJ396">
        <v>11</v>
      </c>
      <c r="FK396">
        <v>0.11</v>
      </c>
      <c r="FL396">
        <v>0.01</v>
      </c>
      <c r="FM396">
        <v>-63.3444325</v>
      </c>
      <c r="FN396">
        <v>0.239179362101541</v>
      </c>
      <c r="FO396">
        <v>0.06046212197524967</v>
      </c>
      <c r="FP396">
        <v>-1</v>
      </c>
      <c r="FQ396">
        <v>9.67547325</v>
      </c>
      <c r="FR396">
        <v>0.01288153846153201</v>
      </c>
      <c r="FS396">
        <v>0.001964225531220839</v>
      </c>
      <c r="FT396">
        <v>-1</v>
      </c>
      <c r="FU396">
        <v>0</v>
      </c>
      <c r="FV396">
        <v>0</v>
      </c>
      <c r="FW396">
        <v>0</v>
      </c>
      <c r="FX396">
        <v>-1</v>
      </c>
      <c r="FY396">
        <v>0</v>
      </c>
      <c r="FZ396">
        <v>0</v>
      </c>
      <c r="GA396" t="s">
        <v>420</v>
      </c>
      <c r="GB396">
        <v>2.98155</v>
      </c>
      <c r="GC396">
        <v>2.7061</v>
      </c>
      <c r="GD396">
        <v>0.152238</v>
      </c>
      <c r="GE396">
        <v>0.157821</v>
      </c>
      <c r="GF396">
        <v>0.08903560000000001</v>
      </c>
      <c r="GG396">
        <v>0.0513049</v>
      </c>
      <c r="GH396">
        <v>26790.4</v>
      </c>
      <c r="GI396">
        <v>26670.4</v>
      </c>
      <c r="GJ396">
        <v>29378.9</v>
      </c>
      <c r="GK396">
        <v>29292.6</v>
      </c>
      <c r="GL396">
        <v>35436.1</v>
      </c>
      <c r="GM396">
        <v>37020.3</v>
      </c>
      <c r="GN396">
        <v>41350.9</v>
      </c>
      <c r="GO396">
        <v>41812.5</v>
      </c>
      <c r="GP396">
        <v>1.96763</v>
      </c>
      <c r="GQ396">
        <v>1.85565</v>
      </c>
      <c r="GR396">
        <v>-0.00663102</v>
      </c>
      <c r="GS396">
        <v>0</v>
      </c>
      <c r="GT396">
        <v>25.1009</v>
      </c>
      <c r="GU396">
        <v>999.9</v>
      </c>
      <c r="GV396">
        <v>29.5</v>
      </c>
      <c r="GW396">
        <v>34.2</v>
      </c>
      <c r="GX396">
        <v>17.7269</v>
      </c>
      <c r="GY396">
        <v>62.5276</v>
      </c>
      <c r="GZ396">
        <v>35.0561</v>
      </c>
      <c r="HA396">
        <v>1</v>
      </c>
      <c r="HB396">
        <v>0.0416006</v>
      </c>
      <c r="HC396">
        <v>1.47382</v>
      </c>
      <c r="HD396">
        <v>20.3279</v>
      </c>
      <c r="HE396">
        <v>5.21744</v>
      </c>
      <c r="HF396">
        <v>12.0099</v>
      </c>
      <c r="HG396">
        <v>4.9892</v>
      </c>
      <c r="HH396">
        <v>3.2885</v>
      </c>
      <c r="HI396">
        <v>1034.7</v>
      </c>
      <c r="HJ396">
        <v>9757.4</v>
      </c>
      <c r="HK396">
        <v>5139.4</v>
      </c>
      <c r="HL396">
        <v>25.4</v>
      </c>
      <c r="HM396">
        <v>1.86747</v>
      </c>
      <c r="HN396">
        <v>1.86646</v>
      </c>
      <c r="HO396">
        <v>1.866</v>
      </c>
      <c r="HP396">
        <v>1.86584</v>
      </c>
      <c r="HQ396">
        <v>1.86768</v>
      </c>
      <c r="HR396">
        <v>1.8702</v>
      </c>
      <c r="HS396">
        <v>1.8689</v>
      </c>
      <c r="HT396">
        <v>1.87022</v>
      </c>
      <c r="HU396">
        <v>0</v>
      </c>
      <c r="HV396">
        <v>0</v>
      </c>
      <c r="HW396">
        <v>0</v>
      </c>
      <c r="HX396">
        <v>0</v>
      </c>
      <c r="HY396" t="s">
        <v>421</v>
      </c>
      <c r="HZ396" t="s">
        <v>422</v>
      </c>
      <c r="IA396" t="s">
        <v>423</v>
      </c>
      <c r="IB396" t="s">
        <v>423</v>
      </c>
      <c r="IC396" t="s">
        <v>423</v>
      </c>
      <c r="ID396" t="s">
        <v>423</v>
      </c>
      <c r="IE396">
        <v>0</v>
      </c>
      <c r="IF396">
        <v>100</v>
      </c>
      <c r="IG396">
        <v>100</v>
      </c>
      <c r="IH396">
        <v>-1.681</v>
      </c>
      <c r="II396">
        <v>0.0257</v>
      </c>
      <c r="IJ396">
        <v>-0.1559367209035702</v>
      </c>
      <c r="IK396">
        <v>-0.002077099775823331</v>
      </c>
      <c r="IL396">
        <v>4.593143279902166E-07</v>
      </c>
      <c r="IM396">
        <v>-1.865383991892071E-10</v>
      </c>
      <c r="IN396">
        <v>-0.0607165066849496</v>
      </c>
      <c r="IO396">
        <v>-0.01129461987421345</v>
      </c>
      <c r="IP396">
        <v>0.00116580895745559</v>
      </c>
      <c r="IQ396">
        <v>-1.679085872906199E-05</v>
      </c>
      <c r="IR396">
        <v>2</v>
      </c>
      <c r="IS396">
        <v>2290</v>
      </c>
      <c r="IT396">
        <v>0</v>
      </c>
      <c r="IU396">
        <v>32</v>
      </c>
      <c r="IV396">
        <v>16.9</v>
      </c>
      <c r="IW396">
        <v>16.8</v>
      </c>
      <c r="IX396">
        <v>1.93115</v>
      </c>
      <c r="IY396">
        <v>2.19727</v>
      </c>
      <c r="IZ396">
        <v>1.39648</v>
      </c>
      <c r="JA396">
        <v>2.35474</v>
      </c>
      <c r="JB396">
        <v>1.49536</v>
      </c>
      <c r="JC396">
        <v>2.31567</v>
      </c>
      <c r="JD396">
        <v>38.0134</v>
      </c>
      <c r="JE396">
        <v>24.035</v>
      </c>
      <c r="JF396">
        <v>18</v>
      </c>
      <c r="JG396">
        <v>512.4829999999999</v>
      </c>
      <c r="JH396">
        <v>426.649</v>
      </c>
      <c r="JI396">
        <v>23.1392</v>
      </c>
      <c r="JJ396">
        <v>27.8586</v>
      </c>
      <c r="JK396">
        <v>30</v>
      </c>
      <c r="JL396">
        <v>27.871</v>
      </c>
      <c r="JM396">
        <v>27.8139</v>
      </c>
      <c r="JN396">
        <v>38.6932</v>
      </c>
      <c r="JO396">
        <v>46.6312</v>
      </c>
      <c r="JP396">
        <v>0</v>
      </c>
      <c r="JQ396">
        <v>23.1436</v>
      </c>
      <c r="JR396">
        <v>914.043</v>
      </c>
      <c r="JS396">
        <v>8.98198</v>
      </c>
      <c r="JT396">
        <v>100.421</v>
      </c>
      <c r="JU396">
        <v>100.35</v>
      </c>
    </row>
    <row r="397" spans="1:281">
      <c r="A397">
        <v>381</v>
      </c>
      <c r="B397">
        <v>1651866525.5</v>
      </c>
      <c r="C397">
        <v>2304.900000095367</v>
      </c>
      <c r="D397" t="s">
        <v>1185</v>
      </c>
      <c r="E397" t="s">
        <v>1186</v>
      </c>
      <c r="F397">
        <v>2</v>
      </c>
      <c r="G397" t="s">
        <v>908</v>
      </c>
      <c r="H397" t="s">
        <v>414</v>
      </c>
      <c r="I397">
        <v>1651866524.5</v>
      </c>
      <c r="J397">
        <f>(K397)/1000</f>
        <v>0</v>
      </c>
      <c r="K397">
        <f>IF(CZ397, AN397, AH397)</f>
        <v>0</v>
      </c>
      <c r="L397">
        <f>IF(CZ397, AI397, AG397)</f>
        <v>0</v>
      </c>
      <c r="M397">
        <f>DB397 - IF(AU397&gt;1, L397*CV397*100.0/(AW397*DP397), 0)</f>
        <v>0</v>
      </c>
      <c r="N397">
        <f>((T397-J397/2)*M397-L397)/(T397+J397/2)</f>
        <v>0</v>
      </c>
      <c r="O397">
        <f>N397*(DI397+DJ397)/1000.0</f>
        <v>0</v>
      </c>
      <c r="P397">
        <f>(DB397 - IF(AU397&gt;1, L397*CV397*100.0/(AW397*DP397), 0))*(DI397+DJ397)/1000.0</f>
        <v>0</v>
      </c>
      <c r="Q397">
        <f>2.0/((1/S397-1/R397)+SIGN(S397)*SQRT((1/S397-1/R397)*(1/S397-1/R397) + 4*CW397/((CW397+1)*(CW397+1))*(2*1/S397*1/R397-1/R397*1/R397)))</f>
        <v>0</v>
      </c>
      <c r="R397">
        <f>IF(LEFT(CX397,1)&lt;&gt;"0",IF(LEFT(CX397,1)="1",3.0,CY397),$D$5+$E$5*(DP397*DI397/($K$5*1000))+$F$5*(DP397*DI397/($K$5*1000))*MAX(MIN(CV397,$J$5),$I$5)*MAX(MIN(CV397,$J$5),$I$5)+$G$5*MAX(MIN(CV397,$J$5),$I$5)*(DP397*DI397/($K$5*1000))+$H$5*(DP397*DI397/($K$5*1000))*(DP397*DI397/($K$5*1000)))</f>
        <v>0</v>
      </c>
      <c r="S397">
        <f>J397*(1000-(1000*0.61365*exp(17.502*W397/(240.97+W397))/(DI397+DJ397)+DD397)/2)/(1000*0.61365*exp(17.502*W397/(240.97+W397))/(DI397+DJ397)-DD397)</f>
        <v>0</v>
      </c>
      <c r="T397">
        <f>1/((CW397+1)/(Q397/1.6)+1/(R397/1.37)) + CW397/((CW397+1)/(Q397/1.6) + CW397/(R397/1.37))</f>
        <v>0</v>
      </c>
      <c r="U397">
        <f>(CR397*CU397)</f>
        <v>0</v>
      </c>
      <c r="V397">
        <f>(DK397+(U397+2*0.95*5.67E-8*(((DK397+$B$7)+273)^4-(DK397+273)^4)-44100*J397)/(1.84*29.3*R397+8*0.95*5.67E-8*(DK397+273)^3))</f>
        <v>0</v>
      </c>
      <c r="W397">
        <f>($C$7*DL397+$D$7*DM397+$E$7*V397)</f>
        <v>0</v>
      </c>
      <c r="X397">
        <f>0.61365*exp(17.502*W397/(240.97+W397))</f>
        <v>0</v>
      </c>
      <c r="Y397">
        <f>(Z397/AA397*100)</f>
        <v>0</v>
      </c>
      <c r="Z397">
        <f>DD397*(DI397+DJ397)/1000</f>
        <v>0</v>
      </c>
      <c r="AA397">
        <f>0.61365*exp(17.502*DK397/(240.97+DK397))</f>
        <v>0</v>
      </c>
      <c r="AB397">
        <f>(X397-DD397*(DI397+DJ397)/1000)</f>
        <v>0</v>
      </c>
      <c r="AC397">
        <f>(-J397*44100)</f>
        <v>0</v>
      </c>
      <c r="AD397">
        <f>2*29.3*R397*0.92*(DK397-W397)</f>
        <v>0</v>
      </c>
      <c r="AE397">
        <f>2*0.95*5.67E-8*(((DK397+$B$7)+273)^4-(W397+273)^4)</f>
        <v>0</v>
      </c>
      <c r="AF397">
        <f>U397+AE397+AC397+AD397</f>
        <v>0</v>
      </c>
      <c r="AG397">
        <f>DH397*AU397*(DC397-DB397*(1000-AU397*DE397)/(1000-AU397*DD397))/(100*CV397)</f>
        <v>0</v>
      </c>
      <c r="AH397">
        <f>1000*DH397*AU397*(DD397-DE397)/(100*CV397*(1000-AU397*DD397))</f>
        <v>0</v>
      </c>
      <c r="AI397">
        <f>(AJ397 - AK397 - DI397*1E3/(8.314*(DK397+273.15)) * AM397/DH397 * AL397) * DH397/(100*CV397) * (1000 - DE397)/1000</f>
        <v>0</v>
      </c>
      <c r="AJ397">
        <v>903.5256917404208</v>
      </c>
      <c r="AK397">
        <v>855.7049757575759</v>
      </c>
      <c r="AL397">
        <v>3.433603748863329</v>
      </c>
      <c r="AM397">
        <v>66.38195617057868</v>
      </c>
      <c r="AN397">
        <f>(AP397 - AO397 + DI397*1E3/(8.314*(DK397+273.15)) * AR397/DH397 * AQ397) * DH397/(100*CV397) * 1000/(1000 - AP397)</f>
        <v>0</v>
      </c>
      <c r="AO397">
        <v>9.041183825599113</v>
      </c>
      <c r="AP397">
        <v>18.71168794117648</v>
      </c>
      <c r="AQ397">
        <v>4.074731938988517E-05</v>
      </c>
      <c r="AR397">
        <v>80.47178418790507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MAX(0,($B$13+$C$13*DP397)/(1+$D$13*DP397)*DI397/(DK397+273)*$E$13)</f>
        <v>0</v>
      </c>
      <c r="AX397" t="s">
        <v>417</v>
      </c>
      <c r="AY397" t="s">
        <v>417</v>
      </c>
      <c r="AZ397">
        <v>0</v>
      </c>
      <c r="BA397">
        <v>0</v>
      </c>
      <c r="BB397">
        <f>1-AZ397/BA397</f>
        <v>0</v>
      </c>
      <c r="BC397">
        <v>0</v>
      </c>
      <c r="BD397" t="s">
        <v>417</v>
      </c>
      <c r="BE397" t="s">
        <v>417</v>
      </c>
      <c r="BF397">
        <v>0</v>
      </c>
      <c r="BG397">
        <v>0</v>
      </c>
      <c r="BH397">
        <f>1-BF397/BG397</f>
        <v>0</v>
      </c>
      <c r="BI397">
        <v>0.5</v>
      </c>
      <c r="BJ397">
        <f>CS397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417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BZ397">
        <v>1249</v>
      </c>
      <c r="CA397">
        <v>300</v>
      </c>
      <c r="CB397">
        <v>300</v>
      </c>
      <c r="CC397">
        <v>300</v>
      </c>
      <c r="CD397">
        <v>10442.4</v>
      </c>
      <c r="CE397">
        <v>1239.69</v>
      </c>
      <c r="CF397">
        <v>-0.00735276</v>
      </c>
      <c r="CG397">
        <v>0.07000000000000001</v>
      </c>
      <c r="CH397" t="s">
        <v>417</v>
      </c>
      <c r="CI397" t="s">
        <v>417</v>
      </c>
      <c r="CJ397" t="s">
        <v>417</v>
      </c>
      <c r="CK397" t="s">
        <v>417</v>
      </c>
      <c r="CL397" t="s">
        <v>417</v>
      </c>
      <c r="CM397" t="s">
        <v>417</v>
      </c>
      <c r="CN397" t="s">
        <v>417</v>
      </c>
      <c r="CO397" t="s">
        <v>417</v>
      </c>
      <c r="CP397" t="s">
        <v>417</v>
      </c>
      <c r="CQ397" t="s">
        <v>417</v>
      </c>
      <c r="CR397">
        <f>$B$11*DQ397+$C$11*DR397+$F$11*EC397*(1-EF397)</f>
        <v>0</v>
      </c>
      <c r="CS397">
        <f>CR397*CT397</f>
        <v>0</v>
      </c>
      <c r="CT397">
        <f>($B$11*$D$9+$C$11*$D$9+$F$11*((EP397+EH397)/MAX(EP397+EH397+EQ397, 0.1)*$I$9+EQ397/MAX(EP397+EH397+EQ397, 0.1)*$J$9))/($B$11+$C$11+$F$11)</f>
        <v>0</v>
      </c>
      <c r="CU397">
        <f>($B$11*$K$9+$C$11*$K$9+$F$11*((EP397+EH397)/MAX(EP397+EH397+EQ397, 0.1)*$P$9+EQ397/MAX(EP397+EH397+EQ397, 0.1)*$Q$9))/($B$11+$C$11+$F$11)</f>
        <v>0</v>
      </c>
      <c r="CV397">
        <v>6</v>
      </c>
      <c r="CW397">
        <v>0.5</v>
      </c>
      <c r="CX397" t="s">
        <v>418</v>
      </c>
      <c r="CY397">
        <v>2</v>
      </c>
      <c r="CZ397" t="b">
        <v>1</v>
      </c>
      <c r="DA397">
        <v>1651866524.5</v>
      </c>
      <c r="DB397">
        <v>838.0120000000001</v>
      </c>
      <c r="DC397">
        <v>901.2206666666667</v>
      </c>
      <c r="DD397">
        <v>18.71306666666667</v>
      </c>
      <c r="DE397">
        <v>9.039210000000001</v>
      </c>
      <c r="DF397">
        <v>839.6986666666667</v>
      </c>
      <c r="DG397">
        <v>18.6873</v>
      </c>
      <c r="DH397">
        <v>500.0703333333333</v>
      </c>
      <c r="DI397">
        <v>89.91423333333334</v>
      </c>
      <c r="DJ397">
        <v>0.1001056666666667</v>
      </c>
      <c r="DK397">
        <v>25.9426</v>
      </c>
      <c r="DL397">
        <v>24.99253333333333</v>
      </c>
      <c r="DM397">
        <v>999.9</v>
      </c>
      <c r="DN397">
        <v>0</v>
      </c>
      <c r="DO397">
        <v>0</v>
      </c>
      <c r="DP397">
        <v>9982.5</v>
      </c>
      <c r="DQ397">
        <v>0</v>
      </c>
      <c r="DR397">
        <v>3.24599</v>
      </c>
      <c r="DS397">
        <v>-63.20846666666667</v>
      </c>
      <c r="DT397">
        <v>853.9926666666667</v>
      </c>
      <c r="DU397">
        <v>909.4410000000001</v>
      </c>
      <c r="DV397">
        <v>9.673873333333333</v>
      </c>
      <c r="DW397">
        <v>901.2206666666667</v>
      </c>
      <c r="DX397">
        <v>9.039210000000001</v>
      </c>
      <c r="DY397">
        <v>1.682573333333333</v>
      </c>
      <c r="DZ397">
        <v>0.8127536666666667</v>
      </c>
      <c r="EA397">
        <v>14.7366</v>
      </c>
      <c r="EB397">
        <v>3.932026666666667</v>
      </c>
      <c r="EC397">
        <v>1500.016666666666</v>
      </c>
      <c r="ED397">
        <v>0.972997</v>
      </c>
      <c r="EE397">
        <v>0.0270027</v>
      </c>
      <c r="EF397">
        <v>0</v>
      </c>
      <c r="EG397">
        <v>916.9299999999999</v>
      </c>
      <c r="EH397">
        <v>5.00097</v>
      </c>
      <c r="EI397">
        <v>13651.06666666667</v>
      </c>
      <c r="EJ397">
        <v>12491.7</v>
      </c>
      <c r="EK397">
        <v>38.125</v>
      </c>
      <c r="EL397">
        <v>39.312</v>
      </c>
      <c r="EM397">
        <v>38.5</v>
      </c>
      <c r="EN397">
        <v>38.958</v>
      </c>
      <c r="EO397">
        <v>38.937</v>
      </c>
      <c r="EP397">
        <v>1454.646666666667</v>
      </c>
      <c r="EQ397">
        <v>40.37</v>
      </c>
      <c r="ER397">
        <v>0</v>
      </c>
      <c r="ES397">
        <v>1043</v>
      </c>
      <c r="ET397">
        <v>0</v>
      </c>
      <c r="EU397">
        <v>917.43948</v>
      </c>
      <c r="EV397">
        <v>-4.254076936221415</v>
      </c>
      <c r="EW397">
        <v>-72.80000005078838</v>
      </c>
      <c r="EX397">
        <v>13659.004</v>
      </c>
      <c r="EY397">
        <v>15</v>
      </c>
      <c r="EZ397">
        <v>1651865518.1</v>
      </c>
      <c r="FA397" t="s">
        <v>910</v>
      </c>
      <c r="FB397">
        <v>1651865507.1</v>
      </c>
      <c r="FC397">
        <v>1651865518.1</v>
      </c>
      <c r="FD397">
        <v>8</v>
      </c>
      <c r="FE397">
        <v>0.06</v>
      </c>
      <c r="FF397">
        <v>0</v>
      </c>
      <c r="FG397">
        <v>-0.927</v>
      </c>
      <c r="FH397">
        <v>-0.062</v>
      </c>
      <c r="FI397">
        <v>400</v>
      </c>
      <c r="FJ397">
        <v>11</v>
      </c>
      <c r="FK397">
        <v>0.11</v>
      </c>
      <c r="FL397">
        <v>0.01</v>
      </c>
      <c r="FM397">
        <v>-63.33248048780487</v>
      </c>
      <c r="FN397">
        <v>0.336296864111592</v>
      </c>
      <c r="FO397">
        <v>0.06783739244985862</v>
      </c>
      <c r="FP397">
        <v>-1</v>
      </c>
      <c r="FQ397">
        <v>9.67536512195122</v>
      </c>
      <c r="FR397">
        <v>0.01037184668990112</v>
      </c>
      <c r="FS397">
        <v>0.001977653354358558</v>
      </c>
      <c r="FT397">
        <v>-1</v>
      </c>
      <c r="FU397">
        <v>0</v>
      </c>
      <c r="FV397">
        <v>0</v>
      </c>
      <c r="FW397">
        <v>0</v>
      </c>
      <c r="FX397">
        <v>-1</v>
      </c>
      <c r="FY397">
        <v>0</v>
      </c>
      <c r="FZ397">
        <v>0</v>
      </c>
      <c r="GA397" t="s">
        <v>420</v>
      </c>
      <c r="GB397">
        <v>2.98157</v>
      </c>
      <c r="GC397">
        <v>2.70606</v>
      </c>
      <c r="GD397">
        <v>0.153042</v>
      </c>
      <c r="GE397">
        <v>0.15859</v>
      </c>
      <c r="GF397">
        <v>0.0890295</v>
      </c>
      <c r="GG397">
        <v>0.0512982</v>
      </c>
      <c r="GH397">
        <v>26765.1</v>
      </c>
      <c r="GI397">
        <v>26646.2</v>
      </c>
      <c r="GJ397">
        <v>29379</v>
      </c>
      <c r="GK397">
        <v>29292.7</v>
      </c>
      <c r="GL397">
        <v>35436.6</v>
      </c>
      <c r="GM397">
        <v>37020.7</v>
      </c>
      <c r="GN397">
        <v>41351.2</v>
      </c>
      <c r="GO397">
        <v>41812.7</v>
      </c>
      <c r="GP397">
        <v>1.9677</v>
      </c>
      <c r="GQ397">
        <v>1.85575</v>
      </c>
      <c r="GR397">
        <v>-0.00635162</v>
      </c>
      <c r="GS397">
        <v>0</v>
      </c>
      <c r="GT397">
        <v>25.0999</v>
      </c>
      <c r="GU397">
        <v>999.9</v>
      </c>
      <c r="GV397">
        <v>29.5</v>
      </c>
      <c r="GW397">
        <v>34.2</v>
      </c>
      <c r="GX397">
        <v>17.726</v>
      </c>
      <c r="GY397">
        <v>62.5376</v>
      </c>
      <c r="GZ397">
        <v>35.3245</v>
      </c>
      <c r="HA397">
        <v>1</v>
      </c>
      <c r="HB397">
        <v>0.0416006</v>
      </c>
      <c r="HC397">
        <v>1.47753</v>
      </c>
      <c r="HD397">
        <v>20.3278</v>
      </c>
      <c r="HE397">
        <v>5.21804</v>
      </c>
      <c r="HF397">
        <v>12.0099</v>
      </c>
      <c r="HG397">
        <v>4.989</v>
      </c>
      <c r="HH397">
        <v>3.28858</v>
      </c>
      <c r="HI397">
        <v>1034.7</v>
      </c>
      <c r="HJ397">
        <v>9757.4</v>
      </c>
      <c r="HK397">
        <v>5139.4</v>
      </c>
      <c r="HL397">
        <v>25.4</v>
      </c>
      <c r="HM397">
        <v>1.86749</v>
      </c>
      <c r="HN397">
        <v>1.86646</v>
      </c>
      <c r="HO397">
        <v>1.866</v>
      </c>
      <c r="HP397">
        <v>1.86584</v>
      </c>
      <c r="HQ397">
        <v>1.86768</v>
      </c>
      <c r="HR397">
        <v>1.8702</v>
      </c>
      <c r="HS397">
        <v>1.8689</v>
      </c>
      <c r="HT397">
        <v>1.87021</v>
      </c>
      <c r="HU397">
        <v>0</v>
      </c>
      <c r="HV397">
        <v>0</v>
      </c>
      <c r="HW397">
        <v>0</v>
      </c>
      <c r="HX397">
        <v>0</v>
      </c>
      <c r="HY397" t="s">
        <v>421</v>
      </c>
      <c r="HZ397" t="s">
        <v>422</v>
      </c>
      <c r="IA397" t="s">
        <v>423</v>
      </c>
      <c r="IB397" t="s">
        <v>423</v>
      </c>
      <c r="IC397" t="s">
        <v>423</v>
      </c>
      <c r="ID397" t="s">
        <v>423</v>
      </c>
      <c r="IE397">
        <v>0</v>
      </c>
      <c r="IF397">
        <v>100</v>
      </c>
      <c r="IG397">
        <v>100</v>
      </c>
      <c r="IH397">
        <v>-1.692</v>
      </c>
      <c r="II397">
        <v>0.0257</v>
      </c>
      <c r="IJ397">
        <v>-0.1559367209035702</v>
      </c>
      <c r="IK397">
        <v>-0.002077099775823331</v>
      </c>
      <c r="IL397">
        <v>4.593143279902166E-07</v>
      </c>
      <c r="IM397">
        <v>-1.865383991892071E-10</v>
      </c>
      <c r="IN397">
        <v>-0.0607165066849496</v>
      </c>
      <c r="IO397">
        <v>-0.01129461987421345</v>
      </c>
      <c r="IP397">
        <v>0.00116580895745559</v>
      </c>
      <c r="IQ397">
        <v>-1.679085872906199E-05</v>
      </c>
      <c r="IR397">
        <v>2</v>
      </c>
      <c r="IS397">
        <v>2290</v>
      </c>
      <c r="IT397">
        <v>0</v>
      </c>
      <c r="IU397">
        <v>32</v>
      </c>
      <c r="IV397">
        <v>17</v>
      </c>
      <c r="IW397">
        <v>16.8</v>
      </c>
      <c r="IX397">
        <v>1.94092</v>
      </c>
      <c r="IY397">
        <v>2.19116</v>
      </c>
      <c r="IZ397">
        <v>1.39648</v>
      </c>
      <c r="JA397">
        <v>2.35596</v>
      </c>
      <c r="JB397">
        <v>1.49536</v>
      </c>
      <c r="JC397">
        <v>2.31201</v>
      </c>
      <c r="JD397">
        <v>38.0134</v>
      </c>
      <c r="JE397">
        <v>24.0437</v>
      </c>
      <c r="JF397">
        <v>18</v>
      </c>
      <c r="JG397">
        <v>512.523</v>
      </c>
      <c r="JH397">
        <v>426.705</v>
      </c>
      <c r="JI397">
        <v>23.1425</v>
      </c>
      <c r="JJ397">
        <v>27.8583</v>
      </c>
      <c r="JK397">
        <v>30</v>
      </c>
      <c r="JL397">
        <v>27.8701</v>
      </c>
      <c r="JM397">
        <v>27.8135</v>
      </c>
      <c r="JN397">
        <v>38.9764</v>
      </c>
      <c r="JO397">
        <v>46.6312</v>
      </c>
      <c r="JP397">
        <v>0</v>
      </c>
      <c r="JQ397">
        <v>23.1488</v>
      </c>
      <c r="JR397">
        <v>927.475</v>
      </c>
      <c r="JS397">
        <v>8.97655</v>
      </c>
      <c r="JT397">
        <v>100.422</v>
      </c>
      <c r="JU397">
        <v>100.351</v>
      </c>
    </row>
    <row r="398" spans="1:281">
      <c r="A398">
        <v>382</v>
      </c>
      <c r="B398">
        <v>1651866527.5</v>
      </c>
      <c r="C398">
        <v>2306.900000095367</v>
      </c>
      <c r="D398" t="s">
        <v>1187</v>
      </c>
      <c r="E398" t="s">
        <v>1188</v>
      </c>
      <c r="F398">
        <v>2</v>
      </c>
      <c r="G398" t="s">
        <v>908</v>
      </c>
      <c r="H398" t="s">
        <v>414</v>
      </c>
      <c r="I398">
        <v>1651866526.125</v>
      </c>
      <c r="J398">
        <f>(K398)/1000</f>
        <v>0</v>
      </c>
      <c r="K398">
        <f>IF(CZ398, AN398, AH398)</f>
        <v>0</v>
      </c>
      <c r="L398">
        <f>IF(CZ398, AI398, AG398)</f>
        <v>0</v>
      </c>
      <c r="M398">
        <f>DB398 - IF(AU398&gt;1, L398*CV398*100.0/(AW398*DP398), 0)</f>
        <v>0</v>
      </c>
      <c r="N398">
        <f>((T398-J398/2)*M398-L398)/(T398+J398/2)</f>
        <v>0</v>
      </c>
      <c r="O398">
        <f>N398*(DI398+DJ398)/1000.0</f>
        <v>0</v>
      </c>
      <c r="P398">
        <f>(DB398 - IF(AU398&gt;1, L398*CV398*100.0/(AW398*DP398), 0))*(DI398+DJ398)/1000.0</f>
        <v>0</v>
      </c>
      <c r="Q398">
        <f>2.0/((1/S398-1/R398)+SIGN(S398)*SQRT((1/S398-1/R398)*(1/S398-1/R398) + 4*CW398/((CW398+1)*(CW398+1))*(2*1/S398*1/R398-1/R398*1/R398)))</f>
        <v>0</v>
      </c>
      <c r="R398">
        <f>IF(LEFT(CX398,1)&lt;&gt;"0",IF(LEFT(CX398,1)="1",3.0,CY398),$D$5+$E$5*(DP398*DI398/($K$5*1000))+$F$5*(DP398*DI398/($K$5*1000))*MAX(MIN(CV398,$J$5),$I$5)*MAX(MIN(CV398,$J$5),$I$5)+$G$5*MAX(MIN(CV398,$J$5),$I$5)*(DP398*DI398/($K$5*1000))+$H$5*(DP398*DI398/($K$5*1000))*(DP398*DI398/($K$5*1000)))</f>
        <v>0</v>
      </c>
      <c r="S398">
        <f>J398*(1000-(1000*0.61365*exp(17.502*W398/(240.97+W398))/(DI398+DJ398)+DD398)/2)/(1000*0.61365*exp(17.502*W398/(240.97+W398))/(DI398+DJ398)-DD398)</f>
        <v>0</v>
      </c>
      <c r="T398">
        <f>1/((CW398+1)/(Q398/1.6)+1/(R398/1.37)) + CW398/((CW398+1)/(Q398/1.6) + CW398/(R398/1.37))</f>
        <v>0</v>
      </c>
      <c r="U398">
        <f>(CR398*CU398)</f>
        <v>0</v>
      </c>
      <c r="V398">
        <f>(DK398+(U398+2*0.95*5.67E-8*(((DK398+$B$7)+273)^4-(DK398+273)^4)-44100*J398)/(1.84*29.3*R398+8*0.95*5.67E-8*(DK398+273)^3))</f>
        <v>0</v>
      </c>
      <c r="W398">
        <f>($C$7*DL398+$D$7*DM398+$E$7*V398)</f>
        <v>0</v>
      </c>
      <c r="X398">
        <f>0.61365*exp(17.502*W398/(240.97+W398))</f>
        <v>0</v>
      </c>
      <c r="Y398">
        <f>(Z398/AA398*100)</f>
        <v>0</v>
      </c>
      <c r="Z398">
        <f>DD398*(DI398+DJ398)/1000</f>
        <v>0</v>
      </c>
      <c r="AA398">
        <f>0.61365*exp(17.502*DK398/(240.97+DK398))</f>
        <v>0</v>
      </c>
      <c r="AB398">
        <f>(X398-DD398*(DI398+DJ398)/1000)</f>
        <v>0</v>
      </c>
      <c r="AC398">
        <f>(-J398*44100)</f>
        <v>0</v>
      </c>
      <c r="AD398">
        <f>2*29.3*R398*0.92*(DK398-W398)</f>
        <v>0</v>
      </c>
      <c r="AE398">
        <f>2*0.95*5.67E-8*(((DK398+$B$7)+273)^4-(W398+273)^4)</f>
        <v>0</v>
      </c>
      <c r="AF398">
        <f>U398+AE398+AC398+AD398</f>
        <v>0</v>
      </c>
      <c r="AG398">
        <f>DH398*AU398*(DC398-DB398*(1000-AU398*DE398)/(1000-AU398*DD398))/(100*CV398)</f>
        <v>0</v>
      </c>
      <c r="AH398">
        <f>1000*DH398*AU398*(DD398-DE398)/(100*CV398*(1000-AU398*DD398))</f>
        <v>0</v>
      </c>
      <c r="AI398">
        <f>(AJ398 - AK398 - DI398*1E3/(8.314*(DK398+273.15)) * AM398/DH398 * AL398) * DH398/(100*CV398) * (1000 - DE398)/1000</f>
        <v>0</v>
      </c>
      <c r="AJ398">
        <v>910.2432849128926</v>
      </c>
      <c r="AK398">
        <v>862.4919212121213</v>
      </c>
      <c r="AL398">
        <v>3.404767913045223</v>
      </c>
      <c r="AM398">
        <v>66.38195617057868</v>
      </c>
      <c r="AN398">
        <f>(AP398 - AO398 + DI398*1E3/(8.314*(DK398+273.15)) * AR398/DH398 * AQ398) * DH398/(100*CV398) * 1000/(1000 - AP398)</f>
        <v>0</v>
      </c>
      <c r="AO398">
        <v>9.040022926997644</v>
      </c>
      <c r="AP398">
        <v>18.71094147058823</v>
      </c>
      <c r="AQ398">
        <v>-3.911648372912089E-05</v>
      </c>
      <c r="AR398">
        <v>80.47178418790507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MAX(0,($B$13+$C$13*DP398)/(1+$D$13*DP398)*DI398/(DK398+273)*$E$13)</f>
        <v>0</v>
      </c>
      <c r="AX398" t="s">
        <v>417</v>
      </c>
      <c r="AY398" t="s">
        <v>417</v>
      </c>
      <c r="AZ398">
        <v>0</v>
      </c>
      <c r="BA398">
        <v>0</v>
      </c>
      <c r="BB398">
        <f>1-AZ398/BA398</f>
        <v>0</v>
      </c>
      <c r="BC398">
        <v>0</v>
      </c>
      <c r="BD398" t="s">
        <v>417</v>
      </c>
      <c r="BE398" t="s">
        <v>417</v>
      </c>
      <c r="BF398">
        <v>0</v>
      </c>
      <c r="BG398">
        <v>0</v>
      </c>
      <c r="BH398">
        <f>1-BF398/BG398</f>
        <v>0</v>
      </c>
      <c r="BI398">
        <v>0.5</v>
      </c>
      <c r="BJ398">
        <f>CS398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417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BZ398">
        <v>1249</v>
      </c>
      <c r="CA398">
        <v>300</v>
      </c>
      <c r="CB398">
        <v>300</v>
      </c>
      <c r="CC398">
        <v>300</v>
      </c>
      <c r="CD398">
        <v>10442.4</v>
      </c>
      <c r="CE398">
        <v>1239.69</v>
      </c>
      <c r="CF398">
        <v>-0.00735276</v>
      </c>
      <c r="CG398">
        <v>0.07000000000000001</v>
      </c>
      <c r="CH398" t="s">
        <v>417</v>
      </c>
      <c r="CI398" t="s">
        <v>417</v>
      </c>
      <c r="CJ398" t="s">
        <v>417</v>
      </c>
      <c r="CK398" t="s">
        <v>417</v>
      </c>
      <c r="CL398" t="s">
        <v>417</v>
      </c>
      <c r="CM398" t="s">
        <v>417</v>
      </c>
      <c r="CN398" t="s">
        <v>417</v>
      </c>
      <c r="CO398" t="s">
        <v>417</v>
      </c>
      <c r="CP398" t="s">
        <v>417</v>
      </c>
      <c r="CQ398" t="s">
        <v>417</v>
      </c>
      <c r="CR398">
        <f>$B$11*DQ398+$C$11*DR398+$F$11*EC398*(1-EF398)</f>
        <v>0</v>
      </c>
      <c r="CS398">
        <f>CR398*CT398</f>
        <v>0</v>
      </c>
      <c r="CT398">
        <f>($B$11*$D$9+$C$11*$D$9+$F$11*((EP398+EH398)/MAX(EP398+EH398+EQ398, 0.1)*$I$9+EQ398/MAX(EP398+EH398+EQ398, 0.1)*$J$9))/($B$11+$C$11+$F$11)</f>
        <v>0</v>
      </c>
      <c r="CU398">
        <f>($B$11*$K$9+$C$11*$K$9+$F$11*((EP398+EH398)/MAX(EP398+EH398+EQ398, 0.1)*$P$9+EQ398/MAX(EP398+EH398+EQ398, 0.1)*$Q$9))/($B$11+$C$11+$F$11)</f>
        <v>0</v>
      </c>
      <c r="CV398">
        <v>6</v>
      </c>
      <c r="CW398">
        <v>0.5</v>
      </c>
      <c r="CX398" t="s">
        <v>418</v>
      </c>
      <c r="CY398">
        <v>2</v>
      </c>
      <c r="CZ398" t="b">
        <v>1</v>
      </c>
      <c r="DA398">
        <v>1651866526.125</v>
      </c>
      <c r="DB398">
        <v>843.4372500000001</v>
      </c>
      <c r="DC398">
        <v>906.61775</v>
      </c>
      <c r="DD398">
        <v>18.712</v>
      </c>
      <c r="DE398">
        <v>9.038675000000001</v>
      </c>
      <c r="DF398">
        <v>845.13325</v>
      </c>
      <c r="DG398">
        <v>18.686225</v>
      </c>
      <c r="DH398">
        <v>500.06425</v>
      </c>
      <c r="DI398">
        <v>89.914125</v>
      </c>
      <c r="DJ398">
        <v>0.1000002</v>
      </c>
      <c r="DK398">
        <v>25.9429</v>
      </c>
      <c r="DL398">
        <v>24.9969</v>
      </c>
      <c r="DM398">
        <v>999.9</v>
      </c>
      <c r="DN398">
        <v>0</v>
      </c>
      <c r="DO398">
        <v>0</v>
      </c>
      <c r="DP398">
        <v>9987.174999999999</v>
      </c>
      <c r="DQ398">
        <v>0</v>
      </c>
      <c r="DR398">
        <v>3.2361475</v>
      </c>
      <c r="DS398">
        <v>-63.18055</v>
      </c>
      <c r="DT398">
        <v>859.5205</v>
      </c>
      <c r="DU398">
        <v>914.88725</v>
      </c>
      <c r="DV398">
        <v>9.673304999999999</v>
      </c>
      <c r="DW398">
        <v>906.61775</v>
      </c>
      <c r="DX398">
        <v>9.038675000000001</v>
      </c>
      <c r="DY398">
        <v>1.6824725</v>
      </c>
      <c r="DZ398">
        <v>0.81270475</v>
      </c>
      <c r="EA398">
        <v>14.735625</v>
      </c>
      <c r="EB398">
        <v>3.9311675</v>
      </c>
      <c r="EC398">
        <v>1500.0175</v>
      </c>
      <c r="ED398">
        <v>0.972997</v>
      </c>
      <c r="EE398">
        <v>0.0270027</v>
      </c>
      <c r="EF398">
        <v>0</v>
      </c>
      <c r="EG398">
        <v>916.81025</v>
      </c>
      <c r="EH398">
        <v>5.00097</v>
      </c>
      <c r="EI398">
        <v>13648.3</v>
      </c>
      <c r="EJ398">
        <v>12491.7</v>
      </c>
      <c r="EK398">
        <v>38.125</v>
      </c>
      <c r="EL398">
        <v>39.312</v>
      </c>
      <c r="EM398">
        <v>38.5</v>
      </c>
      <c r="EN398">
        <v>38.937</v>
      </c>
      <c r="EO398">
        <v>38.937</v>
      </c>
      <c r="EP398">
        <v>1454.6475</v>
      </c>
      <c r="EQ398">
        <v>40.37</v>
      </c>
      <c r="ER398">
        <v>0</v>
      </c>
      <c r="ES398">
        <v>1045.400000095367</v>
      </c>
      <c r="ET398">
        <v>0</v>
      </c>
      <c r="EU398">
        <v>917.2406</v>
      </c>
      <c r="EV398">
        <v>-4.540153851203304</v>
      </c>
      <c r="EW398">
        <v>-81.68461535219795</v>
      </c>
      <c r="EX398">
        <v>13655.96</v>
      </c>
      <c r="EY398">
        <v>15</v>
      </c>
      <c r="EZ398">
        <v>1651865518.1</v>
      </c>
      <c r="FA398" t="s">
        <v>910</v>
      </c>
      <c r="FB398">
        <v>1651865507.1</v>
      </c>
      <c r="FC398">
        <v>1651865518.1</v>
      </c>
      <c r="FD398">
        <v>8</v>
      </c>
      <c r="FE398">
        <v>0.06</v>
      </c>
      <c r="FF398">
        <v>0</v>
      </c>
      <c r="FG398">
        <v>-0.927</v>
      </c>
      <c r="FH398">
        <v>-0.062</v>
      </c>
      <c r="FI398">
        <v>400</v>
      </c>
      <c r="FJ398">
        <v>11</v>
      </c>
      <c r="FK398">
        <v>0.11</v>
      </c>
      <c r="FL398">
        <v>0.01</v>
      </c>
      <c r="FM398">
        <v>-63.3092525</v>
      </c>
      <c r="FN398">
        <v>0.5011688555348383</v>
      </c>
      <c r="FO398">
        <v>0.08109954989856522</v>
      </c>
      <c r="FP398">
        <v>-1</v>
      </c>
      <c r="FQ398">
        <v>9.67562225</v>
      </c>
      <c r="FR398">
        <v>-0.002390881801116605</v>
      </c>
      <c r="FS398">
        <v>0.001648826078608615</v>
      </c>
      <c r="FT398">
        <v>-1</v>
      </c>
      <c r="FU398">
        <v>0</v>
      </c>
      <c r="FV398">
        <v>0</v>
      </c>
      <c r="FW398">
        <v>0</v>
      </c>
      <c r="FX398">
        <v>-1</v>
      </c>
      <c r="FY398">
        <v>0</v>
      </c>
      <c r="FZ398">
        <v>0</v>
      </c>
      <c r="GA398" t="s">
        <v>420</v>
      </c>
      <c r="GB398">
        <v>2.98157</v>
      </c>
      <c r="GC398">
        <v>2.70601</v>
      </c>
      <c r="GD398">
        <v>0.153844</v>
      </c>
      <c r="GE398">
        <v>0.159324</v>
      </c>
      <c r="GF398">
        <v>0.0890262</v>
      </c>
      <c r="GG398">
        <v>0.0512958</v>
      </c>
      <c r="GH398">
        <v>26740.4</v>
      </c>
      <c r="GI398">
        <v>26623.2</v>
      </c>
      <c r="GJ398">
        <v>29379.7</v>
      </c>
      <c r="GK398">
        <v>29293</v>
      </c>
      <c r="GL398">
        <v>35437.6</v>
      </c>
      <c r="GM398">
        <v>37021.1</v>
      </c>
      <c r="GN398">
        <v>41352.2</v>
      </c>
      <c r="GO398">
        <v>41813.1</v>
      </c>
      <c r="GP398">
        <v>1.96732</v>
      </c>
      <c r="GQ398">
        <v>1.85592</v>
      </c>
      <c r="GR398">
        <v>-0.00620261</v>
      </c>
      <c r="GS398">
        <v>0</v>
      </c>
      <c r="GT398">
        <v>25.0994</v>
      </c>
      <c r="GU398">
        <v>999.9</v>
      </c>
      <c r="GV398">
        <v>29.5</v>
      </c>
      <c r="GW398">
        <v>34.2</v>
      </c>
      <c r="GX398">
        <v>17.7268</v>
      </c>
      <c r="GY398">
        <v>62.3076</v>
      </c>
      <c r="GZ398">
        <v>35.0481</v>
      </c>
      <c r="HA398">
        <v>1</v>
      </c>
      <c r="HB398">
        <v>0.0415193</v>
      </c>
      <c r="HC398">
        <v>1.47362</v>
      </c>
      <c r="HD398">
        <v>20.3279</v>
      </c>
      <c r="HE398">
        <v>5.21804</v>
      </c>
      <c r="HF398">
        <v>12.0099</v>
      </c>
      <c r="HG398">
        <v>4.9887</v>
      </c>
      <c r="HH398">
        <v>3.28855</v>
      </c>
      <c r="HI398">
        <v>1034.9</v>
      </c>
      <c r="HJ398">
        <v>9758.799999999999</v>
      </c>
      <c r="HK398">
        <v>5139.4</v>
      </c>
      <c r="HL398">
        <v>25.4</v>
      </c>
      <c r="HM398">
        <v>1.86748</v>
      </c>
      <c r="HN398">
        <v>1.86646</v>
      </c>
      <c r="HO398">
        <v>1.866</v>
      </c>
      <c r="HP398">
        <v>1.86585</v>
      </c>
      <c r="HQ398">
        <v>1.86768</v>
      </c>
      <c r="HR398">
        <v>1.8702</v>
      </c>
      <c r="HS398">
        <v>1.8689</v>
      </c>
      <c r="HT398">
        <v>1.87022</v>
      </c>
      <c r="HU398">
        <v>0</v>
      </c>
      <c r="HV398">
        <v>0</v>
      </c>
      <c r="HW398">
        <v>0</v>
      </c>
      <c r="HX398">
        <v>0</v>
      </c>
      <c r="HY398" t="s">
        <v>421</v>
      </c>
      <c r="HZ398" t="s">
        <v>422</v>
      </c>
      <c r="IA398" t="s">
        <v>423</v>
      </c>
      <c r="IB398" t="s">
        <v>423</v>
      </c>
      <c r="IC398" t="s">
        <v>423</v>
      </c>
      <c r="ID398" t="s">
        <v>423</v>
      </c>
      <c r="IE398">
        <v>0</v>
      </c>
      <c r="IF398">
        <v>100</v>
      </c>
      <c r="IG398">
        <v>100</v>
      </c>
      <c r="IH398">
        <v>-1.704</v>
      </c>
      <c r="II398">
        <v>0.0258</v>
      </c>
      <c r="IJ398">
        <v>-0.1559367209035702</v>
      </c>
      <c r="IK398">
        <v>-0.002077099775823331</v>
      </c>
      <c r="IL398">
        <v>4.593143279902166E-07</v>
      </c>
      <c r="IM398">
        <v>-1.865383991892071E-10</v>
      </c>
      <c r="IN398">
        <v>-0.0607165066849496</v>
      </c>
      <c r="IO398">
        <v>-0.01129461987421345</v>
      </c>
      <c r="IP398">
        <v>0.00116580895745559</v>
      </c>
      <c r="IQ398">
        <v>-1.679085872906199E-05</v>
      </c>
      <c r="IR398">
        <v>2</v>
      </c>
      <c r="IS398">
        <v>2290</v>
      </c>
      <c r="IT398">
        <v>0</v>
      </c>
      <c r="IU398">
        <v>32</v>
      </c>
      <c r="IV398">
        <v>17</v>
      </c>
      <c r="IW398">
        <v>16.8</v>
      </c>
      <c r="IX398">
        <v>1.95435</v>
      </c>
      <c r="IY398">
        <v>2.1875</v>
      </c>
      <c r="IZ398">
        <v>1.39648</v>
      </c>
      <c r="JA398">
        <v>2.35474</v>
      </c>
      <c r="JB398">
        <v>1.49536</v>
      </c>
      <c r="JC398">
        <v>2.3645</v>
      </c>
      <c r="JD398">
        <v>38.0134</v>
      </c>
      <c r="JE398">
        <v>24.0437</v>
      </c>
      <c r="JF398">
        <v>18</v>
      </c>
      <c r="JG398">
        <v>512.277</v>
      </c>
      <c r="JH398">
        <v>426.804</v>
      </c>
      <c r="JI398">
        <v>23.145</v>
      </c>
      <c r="JJ398">
        <v>27.8571</v>
      </c>
      <c r="JK398">
        <v>30</v>
      </c>
      <c r="JL398">
        <v>27.8698</v>
      </c>
      <c r="JM398">
        <v>27.8127</v>
      </c>
      <c r="JN398">
        <v>39.2245</v>
      </c>
      <c r="JO398">
        <v>46.6312</v>
      </c>
      <c r="JP398">
        <v>0</v>
      </c>
      <c r="JQ398">
        <v>23.1488</v>
      </c>
      <c r="JR398">
        <v>934.1849999999999</v>
      </c>
      <c r="JS398">
        <v>8.973599999999999</v>
      </c>
      <c r="JT398">
        <v>100.424</v>
      </c>
      <c r="JU398">
        <v>100.352</v>
      </c>
    </row>
    <row r="399" spans="1:281">
      <c r="A399">
        <v>383</v>
      </c>
      <c r="B399">
        <v>1651866529.5</v>
      </c>
      <c r="C399">
        <v>2308.900000095367</v>
      </c>
      <c r="D399" t="s">
        <v>1189</v>
      </c>
      <c r="E399" t="s">
        <v>1190</v>
      </c>
      <c r="F399">
        <v>2</v>
      </c>
      <c r="G399" t="s">
        <v>908</v>
      </c>
      <c r="H399" t="s">
        <v>414</v>
      </c>
      <c r="I399">
        <v>1651866528.5</v>
      </c>
      <c r="J399">
        <f>(K399)/1000</f>
        <v>0</v>
      </c>
      <c r="K399">
        <f>IF(CZ399, AN399, AH399)</f>
        <v>0</v>
      </c>
      <c r="L399">
        <f>IF(CZ399, AI399, AG399)</f>
        <v>0</v>
      </c>
      <c r="M399">
        <f>DB399 - IF(AU399&gt;1, L399*CV399*100.0/(AW399*DP399), 0)</f>
        <v>0</v>
      </c>
      <c r="N399">
        <f>((T399-J399/2)*M399-L399)/(T399+J399/2)</f>
        <v>0</v>
      </c>
      <c r="O399">
        <f>N399*(DI399+DJ399)/1000.0</f>
        <v>0</v>
      </c>
      <c r="P399">
        <f>(DB399 - IF(AU399&gt;1, L399*CV399*100.0/(AW399*DP399), 0))*(DI399+DJ399)/1000.0</f>
        <v>0</v>
      </c>
      <c r="Q399">
        <f>2.0/((1/S399-1/R399)+SIGN(S399)*SQRT((1/S399-1/R399)*(1/S399-1/R399) + 4*CW399/((CW399+1)*(CW399+1))*(2*1/S399*1/R399-1/R399*1/R399)))</f>
        <v>0</v>
      </c>
      <c r="R399">
        <f>IF(LEFT(CX399,1)&lt;&gt;"0",IF(LEFT(CX399,1)="1",3.0,CY399),$D$5+$E$5*(DP399*DI399/($K$5*1000))+$F$5*(DP399*DI399/($K$5*1000))*MAX(MIN(CV399,$J$5),$I$5)*MAX(MIN(CV399,$J$5),$I$5)+$G$5*MAX(MIN(CV399,$J$5),$I$5)*(DP399*DI399/($K$5*1000))+$H$5*(DP399*DI399/($K$5*1000))*(DP399*DI399/($K$5*1000)))</f>
        <v>0</v>
      </c>
      <c r="S399">
        <f>J399*(1000-(1000*0.61365*exp(17.502*W399/(240.97+W399))/(DI399+DJ399)+DD399)/2)/(1000*0.61365*exp(17.502*W399/(240.97+W399))/(DI399+DJ399)-DD399)</f>
        <v>0</v>
      </c>
      <c r="T399">
        <f>1/((CW399+1)/(Q399/1.6)+1/(R399/1.37)) + CW399/((CW399+1)/(Q399/1.6) + CW399/(R399/1.37))</f>
        <v>0</v>
      </c>
      <c r="U399">
        <f>(CR399*CU399)</f>
        <v>0</v>
      </c>
      <c r="V399">
        <f>(DK399+(U399+2*0.95*5.67E-8*(((DK399+$B$7)+273)^4-(DK399+273)^4)-44100*J399)/(1.84*29.3*R399+8*0.95*5.67E-8*(DK399+273)^3))</f>
        <v>0</v>
      </c>
      <c r="W399">
        <f>($C$7*DL399+$D$7*DM399+$E$7*V399)</f>
        <v>0</v>
      </c>
      <c r="X399">
        <f>0.61365*exp(17.502*W399/(240.97+W399))</f>
        <v>0</v>
      </c>
      <c r="Y399">
        <f>(Z399/AA399*100)</f>
        <v>0</v>
      </c>
      <c r="Z399">
        <f>DD399*(DI399+DJ399)/1000</f>
        <v>0</v>
      </c>
      <c r="AA399">
        <f>0.61365*exp(17.502*DK399/(240.97+DK399))</f>
        <v>0</v>
      </c>
      <c r="AB399">
        <f>(X399-DD399*(DI399+DJ399)/1000)</f>
        <v>0</v>
      </c>
      <c r="AC399">
        <f>(-J399*44100)</f>
        <v>0</v>
      </c>
      <c r="AD399">
        <f>2*29.3*R399*0.92*(DK399-W399)</f>
        <v>0</v>
      </c>
      <c r="AE399">
        <f>2*0.95*5.67E-8*(((DK399+$B$7)+273)^4-(W399+273)^4)</f>
        <v>0</v>
      </c>
      <c r="AF399">
        <f>U399+AE399+AC399+AD399</f>
        <v>0</v>
      </c>
      <c r="AG399">
        <f>DH399*AU399*(DC399-DB399*(1000-AU399*DE399)/(1000-AU399*DD399))/(100*CV399)</f>
        <v>0</v>
      </c>
      <c r="AH399">
        <f>1000*DH399*AU399*(DD399-DE399)/(100*CV399*(1000-AU399*DD399))</f>
        <v>0</v>
      </c>
      <c r="AI399">
        <f>(AJ399 - AK399 - DI399*1E3/(8.314*(DK399+273.15)) * AM399/DH399 * AL399) * DH399/(100*CV399) * (1000 - DE399)/1000</f>
        <v>0</v>
      </c>
      <c r="AJ399">
        <v>916.8658014907601</v>
      </c>
      <c r="AK399">
        <v>869.2573878787872</v>
      </c>
      <c r="AL399">
        <v>3.388899069127859</v>
      </c>
      <c r="AM399">
        <v>66.38195617057868</v>
      </c>
      <c r="AN399">
        <f>(AP399 - AO399 + DI399*1E3/(8.314*(DK399+273.15)) * AR399/DH399 * AQ399) * DH399/(100*CV399) * 1000/(1000 - AP399)</f>
        <v>0</v>
      </c>
      <c r="AO399">
        <v>9.039039747813456</v>
      </c>
      <c r="AP399">
        <v>18.71376352941176</v>
      </c>
      <c r="AQ399">
        <v>-6.341546860801478E-05</v>
      </c>
      <c r="AR399">
        <v>80.47178418790507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MAX(0,($B$13+$C$13*DP399)/(1+$D$13*DP399)*DI399/(DK399+273)*$E$13)</f>
        <v>0</v>
      </c>
      <c r="AX399" t="s">
        <v>417</v>
      </c>
      <c r="AY399" t="s">
        <v>417</v>
      </c>
      <c r="AZ399">
        <v>0</v>
      </c>
      <c r="BA399">
        <v>0</v>
      </c>
      <c r="BB399">
        <f>1-AZ399/BA399</f>
        <v>0</v>
      </c>
      <c r="BC399">
        <v>0</v>
      </c>
      <c r="BD399" t="s">
        <v>417</v>
      </c>
      <c r="BE399" t="s">
        <v>417</v>
      </c>
      <c r="BF399">
        <v>0</v>
      </c>
      <c r="BG399">
        <v>0</v>
      </c>
      <c r="BH399">
        <f>1-BF399/BG399</f>
        <v>0</v>
      </c>
      <c r="BI399">
        <v>0.5</v>
      </c>
      <c r="BJ399">
        <f>CS399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417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BZ399">
        <v>1249</v>
      </c>
      <c r="CA399">
        <v>300</v>
      </c>
      <c r="CB399">
        <v>300</v>
      </c>
      <c r="CC399">
        <v>300</v>
      </c>
      <c r="CD399">
        <v>10442.4</v>
      </c>
      <c r="CE399">
        <v>1239.69</v>
      </c>
      <c r="CF399">
        <v>-0.00735276</v>
      </c>
      <c r="CG399">
        <v>0.07000000000000001</v>
      </c>
      <c r="CH399" t="s">
        <v>417</v>
      </c>
      <c r="CI399" t="s">
        <v>417</v>
      </c>
      <c r="CJ399" t="s">
        <v>417</v>
      </c>
      <c r="CK399" t="s">
        <v>417</v>
      </c>
      <c r="CL399" t="s">
        <v>417</v>
      </c>
      <c r="CM399" t="s">
        <v>417</v>
      </c>
      <c r="CN399" t="s">
        <v>417</v>
      </c>
      <c r="CO399" t="s">
        <v>417</v>
      </c>
      <c r="CP399" t="s">
        <v>417</v>
      </c>
      <c r="CQ399" t="s">
        <v>417</v>
      </c>
      <c r="CR399">
        <f>$B$11*DQ399+$C$11*DR399+$F$11*EC399*(1-EF399)</f>
        <v>0</v>
      </c>
      <c r="CS399">
        <f>CR399*CT399</f>
        <v>0</v>
      </c>
      <c r="CT399">
        <f>($B$11*$D$9+$C$11*$D$9+$F$11*((EP399+EH399)/MAX(EP399+EH399+EQ399, 0.1)*$I$9+EQ399/MAX(EP399+EH399+EQ399, 0.1)*$J$9))/($B$11+$C$11+$F$11)</f>
        <v>0</v>
      </c>
      <c r="CU399">
        <f>($B$11*$K$9+$C$11*$K$9+$F$11*((EP399+EH399)/MAX(EP399+EH399+EQ399, 0.1)*$P$9+EQ399/MAX(EP399+EH399+EQ399, 0.1)*$Q$9))/($B$11+$C$11+$F$11)</f>
        <v>0</v>
      </c>
      <c r="CV399">
        <v>6</v>
      </c>
      <c r="CW399">
        <v>0.5</v>
      </c>
      <c r="CX399" t="s">
        <v>418</v>
      </c>
      <c r="CY399">
        <v>2</v>
      </c>
      <c r="CZ399" t="b">
        <v>1</v>
      </c>
      <c r="DA399">
        <v>1651866528.5</v>
      </c>
      <c r="DB399">
        <v>851.3346666666666</v>
      </c>
      <c r="DC399">
        <v>914.2706666666667</v>
      </c>
      <c r="DD399">
        <v>18.7133</v>
      </c>
      <c r="DE399">
        <v>9.037753333333333</v>
      </c>
      <c r="DF399">
        <v>853.044</v>
      </c>
      <c r="DG399">
        <v>18.68756666666667</v>
      </c>
      <c r="DH399">
        <v>499.979</v>
      </c>
      <c r="DI399">
        <v>89.91633333333334</v>
      </c>
      <c r="DJ399">
        <v>0.09984736666666667</v>
      </c>
      <c r="DK399">
        <v>25.9418</v>
      </c>
      <c r="DL399">
        <v>24.99646666666666</v>
      </c>
      <c r="DM399">
        <v>999.9</v>
      </c>
      <c r="DN399">
        <v>0</v>
      </c>
      <c r="DO399">
        <v>0</v>
      </c>
      <c r="DP399">
        <v>9998.120000000001</v>
      </c>
      <c r="DQ399">
        <v>0</v>
      </c>
      <c r="DR399">
        <v>3.23193</v>
      </c>
      <c r="DS399">
        <v>-62.9363</v>
      </c>
      <c r="DT399">
        <v>867.5700000000001</v>
      </c>
      <c r="DU399">
        <v>922.6093333333333</v>
      </c>
      <c r="DV399">
        <v>9.675566666666667</v>
      </c>
      <c r="DW399">
        <v>914.2706666666667</v>
      </c>
      <c r="DX399">
        <v>9.037753333333333</v>
      </c>
      <c r="DY399">
        <v>1.682633333333333</v>
      </c>
      <c r="DZ399">
        <v>0.812642</v>
      </c>
      <c r="EA399">
        <v>14.7371</v>
      </c>
      <c r="EB399">
        <v>3.930066666666667</v>
      </c>
      <c r="EC399">
        <v>1500.03</v>
      </c>
      <c r="ED399">
        <v>0.972997</v>
      </c>
      <c r="EE399">
        <v>0.0270027</v>
      </c>
      <c r="EF399">
        <v>0</v>
      </c>
      <c r="EG399">
        <v>916.5566666666667</v>
      </c>
      <c r="EH399">
        <v>5.00097</v>
      </c>
      <c r="EI399">
        <v>13644.16666666667</v>
      </c>
      <c r="EJ399">
        <v>12491.83333333333</v>
      </c>
      <c r="EK399">
        <v>38.125</v>
      </c>
      <c r="EL399">
        <v>39.312</v>
      </c>
      <c r="EM399">
        <v>38.5</v>
      </c>
      <c r="EN399">
        <v>38.937</v>
      </c>
      <c r="EO399">
        <v>38.937</v>
      </c>
      <c r="EP399">
        <v>1454.66</v>
      </c>
      <c r="EQ399">
        <v>40.37</v>
      </c>
      <c r="ER399">
        <v>0</v>
      </c>
      <c r="ES399">
        <v>1047.200000047684</v>
      </c>
      <c r="ET399">
        <v>0</v>
      </c>
      <c r="EU399">
        <v>917.147</v>
      </c>
      <c r="EV399">
        <v>-4.540034187753914</v>
      </c>
      <c r="EW399">
        <v>-88.28034172632174</v>
      </c>
      <c r="EX399">
        <v>13653.84615384616</v>
      </c>
      <c r="EY399">
        <v>15</v>
      </c>
      <c r="EZ399">
        <v>1651865518.1</v>
      </c>
      <c r="FA399" t="s">
        <v>910</v>
      </c>
      <c r="FB399">
        <v>1651865507.1</v>
      </c>
      <c r="FC399">
        <v>1651865518.1</v>
      </c>
      <c r="FD399">
        <v>8</v>
      </c>
      <c r="FE399">
        <v>0.06</v>
      </c>
      <c r="FF399">
        <v>0</v>
      </c>
      <c r="FG399">
        <v>-0.927</v>
      </c>
      <c r="FH399">
        <v>-0.062</v>
      </c>
      <c r="FI399">
        <v>400</v>
      </c>
      <c r="FJ399">
        <v>11</v>
      </c>
      <c r="FK399">
        <v>0.11</v>
      </c>
      <c r="FL399">
        <v>0.01</v>
      </c>
      <c r="FM399">
        <v>-63.26997249999999</v>
      </c>
      <c r="FN399">
        <v>1.012990243902537</v>
      </c>
      <c r="FO399">
        <v>0.1329102347215966</v>
      </c>
      <c r="FP399">
        <v>-1</v>
      </c>
      <c r="FQ399">
        <v>9.67578825</v>
      </c>
      <c r="FR399">
        <v>-0.007079437148231623</v>
      </c>
      <c r="FS399">
        <v>0.001502950244519097</v>
      </c>
      <c r="FT399">
        <v>-1</v>
      </c>
      <c r="FU399">
        <v>0</v>
      </c>
      <c r="FV399">
        <v>0</v>
      </c>
      <c r="FW399">
        <v>0</v>
      </c>
      <c r="FX399">
        <v>-1</v>
      </c>
      <c r="FY399">
        <v>0</v>
      </c>
      <c r="FZ399">
        <v>0</v>
      </c>
      <c r="GA399" t="s">
        <v>420</v>
      </c>
      <c r="GB399">
        <v>2.98142</v>
      </c>
      <c r="GC399">
        <v>2.7061</v>
      </c>
      <c r="GD399">
        <v>0.154642</v>
      </c>
      <c r="GE399">
        <v>0.160081</v>
      </c>
      <c r="GF399">
        <v>0.08903369999999999</v>
      </c>
      <c r="GG399">
        <v>0.0512974</v>
      </c>
      <c r="GH399">
        <v>26715.4</v>
      </c>
      <c r="GI399">
        <v>26599.4</v>
      </c>
      <c r="GJ399">
        <v>29379.9</v>
      </c>
      <c r="GK399">
        <v>29293.2</v>
      </c>
      <c r="GL399">
        <v>35437.7</v>
      </c>
      <c r="GM399">
        <v>37021.2</v>
      </c>
      <c r="GN399">
        <v>41352.7</v>
      </c>
      <c r="GO399">
        <v>41813.2</v>
      </c>
      <c r="GP399">
        <v>1.96723</v>
      </c>
      <c r="GQ399">
        <v>1.85543</v>
      </c>
      <c r="GR399">
        <v>-0.00637025</v>
      </c>
      <c r="GS399">
        <v>0</v>
      </c>
      <c r="GT399">
        <v>25.0983</v>
      </c>
      <c r="GU399">
        <v>999.9</v>
      </c>
      <c r="GV399">
        <v>29.5</v>
      </c>
      <c r="GW399">
        <v>34.2</v>
      </c>
      <c r="GX399">
        <v>17.724</v>
      </c>
      <c r="GY399">
        <v>62.7076</v>
      </c>
      <c r="GZ399">
        <v>35.2043</v>
      </c>
      <c r="HA399">
        <v>1</v>
      </c>
      <c r="HB399">
        <v>0.0414964</v>
      </c>
      <c r="HC399">
        <v>1.4737</v>
      </c>
      <c r="HD399">
        <v>20.3279</v>
      </c>
      <c r="HE399">
        <v>5.21774</v>
      </c>
      <c r="HF399">
        <v>12.0099</v>
      </c>
      <c r="HG399">
        <v>4.98845</v>
      </c>
      <c r="HH399">
        <v>3.28842</v>
      </c>
      <c r="HI399">
        <v>1034.9</v>
      </c>
      <c r="HJ399">
        <v>9758.799999999999</v>
      </c>
      <c r="HK399">
        <v>5139.4</v>
      </c>
      <c r="HL399">
        <v>25.4</v>
      </c>
      <c r="HM399">
        <v>1.86747</v>
      </c>
      <c r="HN399">
        <v>1.86646</v>
      </c>
      <c r="HO399">
        <v>1.866</v>
      </c>
      <c r="HP399">
        <v>1.86585</v>
      </c>
      <c r="HQ399">
        <v>1.86768</v>
      </c>
      <c r="HR399">
        <v>1.87018</v>
      </c>
      <c r="HS399">
        <v>1.8689</v>
      </c>
      <c r="HT399">
        <v>1.87024</v>
      </c>
      <c r="HU399">
        <v>0</v>
      </c>
      <c r="HV399">
        <v>0</v>
      </c>
      <c r="HW399">
        <v>0</v>
      </c>
      <c r="HX399">
        <v>0</v>
      </c>
      <c r="HY399" t="s">
        <v>421</v>
      </c>
      <c r="HZ399" t="s">
        <v>422</v>
      </c>
      <c r="IA399" t="s">
        <v>423</v>
      </c>
      <c r="IB399" t="s">
        <v>423</v>
      </c>
      <c r="IC399" t="s">
        <v>423</v>
      </c>
      <c r="ID399" t="s">
        <v>423</v>
      </c>
      <c r="IE399">
        <v>0</v>
      </c>
      <c r="IF399">
        <v>100</v>
      </c>
      <c r="IG399">
        <v>100</v>
      </c>
      <c r="IH399">
        <v>-1.715</v>
      </c>
      <c r="II399">
        <v>0.0258</v>
      </c>
      <c r="IJ399">
        <v>-0.1559367209035702</v>
      </c>
      <c r="IK399">
        <v>-0.002077099775823331</v>
      </c>
      <c r="IL399">
        <v>4.593143279902166E-07</v>
      </c>
      <c r="IM399">
        <v>-1.865383991892071E-10</v>
      </c>
      <c r="IN399">
        <v>-0.0607165066849496</v>
      </c>
      <c r="IO399">
        <v>-0.01129461987421345</v>
      </c>
      <c r="IP399">
        <v>0.00116580895745559</v>
      </c>
      <c r="IQ399">
        <v>-1.679085872906199E-05</v>
      </c>
      <c r="IR399">
        <v>2</v>
      </c>
      <c r="IS399">
        <v>2290</v>
      </c>
      <c r="IT399">
        <v>0</v>
      </c>
      <c r="IU399">
        <v>32</v>
      </c>
      <c r="IV399">
        <v>17</v>
      </c>
      <c r="IW399">
        <v>16.9</v>
      </c>
      <c r="IX399">
        <v>1.96533</v>
      </c>
      <c r="IY399">
        <v>2.18994</v>
      </c>
      <c r="IZ399">
        <v>1.39648</v>
      </c>
      <c r="JA399">
        <v>2.35474</v>
      </c>
      <c r="JB399">
        <v>1.49536</v>
      </c>
      <c r="JC399">
        <v>2.35107</v>
      </c>
      <c r="JD399">
        <v>38.0134</v>
      </c>
      <c r="JE399">
        <v>24.035</v>
      </c>
      <c r="JF399">
        <v>18</v>
      </c>
      <c r="JG399">
        <v>512.202</v>
      </c>
      <c r="JH399">
        <v>426.498</v>
      </c>
      <c r="JI399">
        <v>23.1476</v>
      </c>
      <c r="JJ399">
        <v>27.8563</v>
      </c>
      <c r="JK399">
        <v>29.9999</v>
      </c>
      <c r="JL399">
        <v>27.8687</v>
      </c>
      <c r="JM399">
        <v>27.8115</v>
      </c>
      <c r="JN399">
        <v>39.3747</v>
      </c>
      <c r="JO399">
        <v>46.6312</v>
      </c>
      <c r="JP399">
        <v>0</v>
      </c>
      <c r="JQ399">
        <v>23.1488</v>
      </c>
      <c r="JR399">
        <v>934.1849999999999</v>
      </c>
      <c r="JS399">
        <v>8.97622</v>
      </c>
      <c r="JT399">
        <v>100.425</v>
      </c>
      <c r="JU399">
        <v>100.352</v>
      </c>
    </row>
    <row r="400" spans="1:281">
      <c r="A400">
        <v>384</v>
      </c>
      <c r="B400">
        <v>1651866531.5</v>
      </c>
      <c r="C400">
        <v>2310.900000095367</v>
      </c>
      <c r="D400" t="s">
        <v>1191</v>
      </c>
      <c r="E400" t="s">
        <v>1192</v>
      </c>
      <c r="F400">
        <v>2</v>
      </c>
      <c r="G400" t="s">
        <v>908</v>
      </c>
      <c r="H400" t="s">
        <v>414</v>
      </c>
      <c r="I400">
        <v>1651866530.125</v>
      </c>
      <c r="J400">
        <f>(K400)/1000</f>
        <v>0</v>
      </c>
      <c r="K400">
        <f>IF(CZ400, AN400, AH400)</f>
        <v>0</v>
      </c>
      <c r="L400">
        <f>IF(CZ400, AI400, AG400)</f>
        <v>0</v>
      </c>
      <c r="M400">
        <f>DB400 - IF(AU400&gt;1, L400*CV400*100.0/(AW400*DP400), 0)</f>
        <v>0</v>
      </c>
      <c r="N400">
        <f>((T400-J400/2)*M400-L400)/(T400+J400/2)</f>
        <v>0</v>
      </c>
      <c r="O400">
        <f>N400*(DI400+DJ400)/1000.0</f>
        <v>0</v>
      </c>
      <c r="P400">
        <f>(DB400 - IF(AU400&gt;1, L400*CV400*100.0/(AW400*DP400), 0))*(DI400+DJ400)/1000.0</f>
        <v>0</v>
      </c>
      <c r="Q400">
        <f>2.0/((1/S400-1/R400)+SIGN(S400)*SQRT((1/S400-1/R400)*(1/S400-1/R400) + 4*CW400/((CW400+1)*(CW400+1))*(2*1/S400*1/R400-1/R400*1/R400)))</f>
        <v>0</v>
      </c>
      <c r="R400">
        <f>IF(LEFT(CX400,1)&lt;&gt;"0",IF(LEFT(CX400,1)="1",3.0,CY400),$D$5+$E$5*(DP400*DI400/($K$5*1000))+$F$5*(DP400*DI400/($K$5*1000))*MAX(MIN(CV400,$J$5),$I$5)*MAX(MIN(CV400,$J$5),$I$5)+$G$5*MAX(MIN(CV400,$J$5),$I$5)*(DP400*DI400/($K$5*1000))+$H$5*(DP400*DI400/($K$5*1000))*(DP400*DI400/($K$5*1000)))</f>
        <v>0</v>
      </c>
      <c r="S400">
        <f>J400*(1000-(1000*0.61365*exp(17.502*W400/(240.97+W400))/(DI400+DJ400)+DD400)/2)/(1000*0.61365*exp(17.502*W400/(240.97+W400))/(DI400+DJ400)-DD400)</f>
        <v>0</v>
      </c>
      <c r="T400">
        <f>1/((CW400+1)/(Q400/1.6)+1/(R400/1.37)) + CW400/((CW400+1)/(Q400/1.6) + CW400/(R400/1.37))</f>
        <v>0</v>
      </c>
      <c r="U400">
        <f>(CR400*CU400)</f>
        <v>0</v>
      </c>
      <c r="V400">
        <f>(DK400+(U400+2*0.95*5.67E-8*(((DK400+$B$7)+273)^4-(DK400+273)^4)-44100*J400)/(1.84*29.3*R400+8*0.95*5.67E-8*(DK400+273)^3))</f>
        <v>0</v>
      </c>
      <c r="W400">
        <f>($C$7*DL400+$D$7*DM400+$E$7*V400)</f>
        <v>0</v>
      </c>
      <c r="X400">
        <f>0.61365*exp(17.502*W400/(240.97+W400))</f>
        <v>0</v>
      </c>
      <c r="Y400">
        <f>(Z400/AA400*100)</f>
        <v>0</v>
      </c>
      <c r="Z400">
        <f>DD400*(DI400+DJ400)/1000</f>
        <v>0</v>
      </c>
      <c r="AA400">
        <f>0.61365*exp(17.502*DK400/(240.97+DK400))</f>
        <v>0</v>
      </c>
      <c r="AB400">
        <f>(X400-DD400*(DI400+DJ400)/1000)</f>
        <v>0</v>
      </c>
      <c r="AC400">
        <f>(-J400*44100)</f>
        <v>0</v>
      </c>
      <c r="AD400">
        <f>2*29.3*R400*0.92*(DK400-W400)</f>
        <v>0</v>
      </c>
      <c r="AE400">
        <f>2*0.95*5.67E-8*(((DK400+$B$7)+273)^4-(W400+273)^4)</f>
        <v>0</v>
      </c>
      <c r="AF400">
        <f>U400+AE400+AC400+AD400</f>
        <v>0</v>
      </c>
      <c r="AG400">
        <f>DH400*AU400*(DC400-DB400*(1000-AU400*DE400)/(1000-AU400*DD400))/(100*CV400)</f>
        <v>0</v>
      </c>
      <c r="AH400">
        <f>1000*DH400*AU400*(DD400-DE400)/(100*CV400*(1000-AU400*DD400))</f>
        <v>0</v>
      </c>
      <c r="AI400">
        <f>(AJ400 - AK400 - DI400*1E3/(8.314*(DK400+273.15)) * AM400/DH400 * AL400) * DH400/(100*CV400) * (1000 - DE400)/1000</f>
        <v>0</v>
      </c>
      <c r="AJ400">
        <v>923.3661912102662</v>
      </c>
      <c r="AK400">
        <v>875.9580242424239</v>
      </c>
      <c r="AL400">
        <v>3.35985940070612</v>
      </c>
      <c r="AM400">
        <v>66.38195617057868</v>
      </c>
      <c r="AN400">
        <f>(AP400 - AO400 + DI400*1E3/(8.314*(DK400+273.15)) * AR400/DH400 * AQ400) * DH400/(100*CV400) * 1000/(1000 - AP400)</f>
        <v>0</v>
      </c>
      <c r="AO400">
        <v>9.038360411374203</v>
      </c>
      <c r="AP400">
        <v>18.71241735294117</v>
      </c>
      <c r="AQ400">
        <v>-2.052419378247647E-06</v>
      </c>
      <c r="AR400">
        <v>80.47178418790507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MAX(0,($B$13+$C$13*DP400)/(1+$D$13*DP400)*DI400/(DK400+273)*$E$13)</f>
        <v>0</v>
      </c>
      <c r="AX400" t="s">
        <v>417</v>
      </c>
      <c r="AY400" t="s">
        <v>417</v>
      </c>
      <c r="AZ400">
        <v>0</v>
      </c>
      <c r="BA400">
        <v>0</v>
      </c>
      <c r="BB400">
        <f>1-AZ400/BA400</f>
        <v>0</v>
      </c>
      <c r="BC400">
        <v>0</v>
      </c>
      <c r="BD400" t="s">
        <v>417</v>
      </c>
      <c r="BE400" t="s">
        <v>417</v>
      </c>
      <c r="BF400">
        <v>0</v>
      </c>
      <c r="BG400">
        <v>0</v>
      </c>
      <c r="BH400">
        <f>1-BF400/BG400</f>
        <v>0</v>
      </c>
      <c r="BI400">
        <v>0.5</v>
      </c>
      <c r="BJ400">
        <f>CS400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417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BZ400">
        <v>1249</v>
      </c>
      <c r="CA400">
        <v>300</v>
      </c>
      <c r="CB400">
        <v>300</v>
      </c>
      <c r="CC400">
        <v>300</v>
      </c>
      <c r="CD400">
        <v>10442.4</v>
      </c>
      <c r="CE400">
        <v>1239.69</v>
      </c>
      <c r="CF400">
        <v>-0.00735276</v>
      </c>
      <c r="CG400">
        <v>0.07000000000000001</v>
      </c>
      <c r="CH400" t="s">
        <v>417</v>
      </c>
      <c r="CI400" t="s">
        <v>417</v>
      </c>
      <c r="CJ400" t="s">
        <v>417</v>
      </c>
      <c r="CK400" t="s">
        <v>417</v>
      </c>
      <c r="CL400" t="s">
        <v>417</v>
      </c>
      <c r="CM400" t="s">
        <v>417</v>
      </c>
      <c r="CN400" t="s">
        <v>417</v>
      </c>
      <c r="CO400" t="s">
        <v>417</v>
      </c>
      <c r="CP400" t="s">
        <v>417</v>
      </c>
      <c r="CQ400" t="s">
        <v>417</v>
      </c>
      <c r="CR400">
        <f>$B$11*DQ400+$C$11*DR400+$F$11*EC400*(1-EF400)</f>
        <v>0</v>
      </c>
      <c r="CS400">
        <f>CR400*CT400</f>
        <v>0</v>
      </c>
      <c r="CT400">
        <f>($B$11*$D$9+$C$11*$D$9+$F$11*((EP400+EH400)/MAX(EP400+EH400+EQ400, 0.1)*$I$9+EQ400/MAX(EP400+EH400+EQ400, 0.1)*$J$9))/($B$11+$C$11+$F$11)</f>
        <v>0</v>
      </c>
      <c r="CU400">
        <f>($B$11*$K$9+$C$11*$K$9+$F$11*((EP400+EH400)/MAX(EP400+EH400+EQ400, 0.1)*$P$9+EQ400/MAX(EP400+EH400+EQ400, 0.1)*$Q$9))/($B$11+$C$11+$F$11)</f>
        <v>0</v>
      </c>
      <c r="CV400">
        <v>6</v>
      </c>
      <c r="CW400">
        <v>0.5</v>
      </c>
      <c r="CX400" t="s">
        <v>418</v>
      </c>
      <c r="CY400">
        <v>2</v>
      </c>
      <c r="CZ400" t="b">
        <v>1</v>
      </c>
      <c r="DA400">
        <v>1651866530.125</v>
      </c>
      <c r="DB400">
        <v>856.6859999999999</v>
      </c>
      <c r="DC400">
        <v>919.747</v>
      </c>
      <c r="DD400">
        <v>18.712525</v>
      </c>
      <c r="DE400">
        <v>9.037554999999999</v>
      </c>
      <c r="DF400">
        <v>858.4045</v>
      </c>
      <c r="DG400">
        <v>18.6868</v>
      </c>
      <c r="DH400">
        <v>500.0145</v>
      </c>
      <c r="DI400">
        <v>89.92195000000001</v>
      </c>
      <c r="DJ400">
        <v>0.09994449999999999</v>
      </c>
      <c r="DK400">
        <v>25.942175</v>
      </c>
      <c r="DL400">
        <v>24.992075</v>
      </c>
      <c r="DM400">
        <v>999.9</v>
      </c>
      <c r="DN400">
        <v>0</v>
      </c>
      <c r="DO400">
        <v>0</v>
      </c>
      <c r="DP400">
        <v>10003.425</v>
      </c>
      <c r="DQ400">
        <v>0</v>
      </c>
      <c r="DR400">
        <v>3.23193</v>
      </c>
      <c r="DS400">
        <v>-63.0609</v>
      </c>
      <c r="DT400">
        <v>873.0224999999999</v>
      </c>
      <c r="DU400">
        <v>928.135</v>
      </c>
      <c r="DV400">
        <v>9.67498</v>
      </c>
      <c r="DW400">
        <v>919.747</v>
      </c>
      <c r="DX400">
        <v>9.037554999999999</v>
      </c>
      <c r="DY400">
        <v>1.6826675</v>
      </c>
      <c r="DZ400">
        <v>0.8126745000000001</v>
      </c>
      <c r="EA400">
        <v>14.737425</v>
      </c>
      <c r="EB400">
        <v>3.93064</v>
      </c>
      <c r="EC400">
        <v>1500.0375</v>
      </c>
      <c r="ED400">
        <v>0.972997</v>
      </c>
      <c r="EE400">
        <v>0.0270027</v>
      </c>
      <c r="EF400">
        <v>0</v>
      </c>
      <c r="EG400">
        <v>916.47775</v>
      </c>
      <c r="EH400">
        <v>5.00097</v>
      </c>
      <c r="EI400">
        <v>13641.1</v>
      </c>
      <c r="EJ400">
        <v>12491.875</v>
      </c>
      <c r="EK400">
        <v>38.07774999999999</v>
      </c>
      <c r="EL400">
        <v>39.312</v>
      </c>
      <c r="EM400">
        <v>38.5</v>
      </c>
      <c r="EN400">
        <v>38.937</v>
      </c>
      <c r="EO400">
        <v>38.937</v>
      </c>
      <c r="EP400">
        <v>1454.6675</v>
      </c>
      <c r="EQ400">
        <v>40.37</v>
      </c>
      <c r="ER400">
        <v>0</v>
      </c>
      <c r="ES400">
        <v>1049</v>
      </c>
      <c r="ET400">
        <v>0</v>
      </c>
      <c r="EU400">
        <v>916.9463200000001</v>
      </c>
      <c r="EV400">
        <v>-5.744000004978054</v>
      </c>
      <c r="EW400">
        <v>-97.77692319790761</v>
      </c>
      <c r="EX400">
        <v>13650.732</v>
      </c>
      <c r="EY400">
        <v>15</v>
      </c>
      <c r="EZ400">
        <v>1651865518.1</v>
      </c>
      <c r="FA400" t="s">
        <v>910</v>
      </c>
      <c r="FB400">
        <v>1651865507.1</v>
      </c>
      <c r="FC400">
        <v>1651865518.1</v>
      </c>
      <c r="FD400">
        <v>8</v>
      </c>
      <c r="FE400">
        <v>0.06</v>
      </c>
      <c r="FF400">
        <v>0</v>
      </c>
      <c r="FG400">
        <v>-0.927</v>
      </c>
      <c r="FH400">
        <v>-0.062</v>
      </c>
      <c r="FI400">
        <v>400</v>
      </c>
      <c r="FJ400">
        <v>11</v>
      </c>
      <c r="FK400">
        <v>0.11</v>
      </c>
      <c r="FL400">
        <v>0.01</v>
      </c>
      <c r="FM400">
        <v>-63.25100731707318</v>
      </c>
      <c r="FN400">
        <v>1.169636236933725</v>
      </c>
      <c r="FO400">
        <v>0.144764118297527</v>
      </c>
      <c r="FP400">
        <v>-1</v>
      </c>
      <c r="FQ400">
        <v>9.675766829268293</v>
      </c>
      <c r="FR400">
        <v>-0.007825505226489749</v>
      </c>
      <c r="FS400">
        <v>0.001496358896274711</v>
      </c>
      <c r="FT400">
        <v>-1</v>
      </c>
      <c r="FU400">
        <v>0</v>
      </c>
      <c r="FV400">
        <v>0</v>
      </c>
      <c r="FW400">
        <v>0</v>
      </c>
      <c r="FX400">
        <v>-1</v>
      </c>
      <c r="FY400">
        <v>0</v>
      </c>
      <c r="FZ400">
        <v>0</v>
      </c>
      <c r="GA400" t="s">
        <v>420</v>
      </c>
      <c r="GB400">
        <v>2.98176</v>
      </c>
      <c r="GC400">
        <v>2.70623</v>
      </c>
      <c r="GD400">
        <v>0.155436</v>
      </c>
      <c r="GE400">
        <v>0.160871</v>
      </c>
      <c r="GF400">
        <v>0.0890316</v>
      </c>
      <c r="GG400">
        <v>0.0512972</v>
      </c>
      <c r="GH400">
        <v>26689.7</v>
      </c>
      <c r="GI400">
        <v>26574.5</v>
      </c>
      <c r="GJ400">
        <v>29379.2</v>
      </c>
      <c r="GK400">
        <v>29293.3</v>
      </c>
      <c r="GL400">
        <v>35437.3</v>
      </c>
      <c r="GM400">
        <v>37021.5</v>
      </c>
      <c r="GN400">
        <v>41352.1</v>
      </c>
      <c r="GO400">
        <v>41813.5</v>
      </c>
      <c r="GP400">
        <v>1.96787</v>
      </c>
      <c r="GQ400">
        <v>1.8556</v>
      </c>
      <c r="GR400">
        <v>-0.00642613</v>
      </c>
      <c r="GS400">
        <v>0</v>
      </c>
      <c r="GT400">
        <v>25.0974</v>
      </c>
      <c r="GU400">
        <v>999.9</v>
      </c>
      <c r="GV400">
        <v>29.5</v>
      </c>
      <c r="GW400">
        <v>34.2</v>
      </c>
      <c r="GX400">
        <v>17.7281</v>
      </c>
      <c r="GY400">
        <v>62.5076</v>
      </c>
      <c r="GZ400">
        <v>35.0401</v>
      </c>
      <c r="HA400">
        <v>1</v>
      </c>
      <c r="HB400">
        <v>0.041499</v>
      </c>
      <c r="HC400">
        <v>1.47919</v>
      </c>
      <c r="HD400">
        <v>20.3279</v>
      </c>
      <c r="HE400">
        <v>5.21804</v>
      </c>
      <c r="HF400">
        <v>12.0099</v>
      </c>
      <c r="HG400">
        <v>4.9886</v>
      </c>
      <c r="HH400">
        <v>3.28842</v>
      </c>
      <c r="HI400">
        <v>1034.9</v>
      </c>
      <c r="HJ400">
        <v>9758.799999999999</v>
      </c>
      <c r="HK400">
        <v>5139.4</v>
      </c>
      <c r="HL400">
        <v>25.4</v>
      </c>
      <c r="HM400">
        <v>1.86748</v>
      </c>
      <c r="HN400">
        <v>1.86646</v>
      </c>
      <c r="HO400">
        <v>1.866</v>
      </c>
      <c r="HP400">
        <v>1.86584</v>
      </c>
      <c r="HQ400">
        <v>1.86768</v>
      </c>
      <c r="HR400">
        <v>1.87018</v>
      </c>
      <c r="HS400">
        <v>1.8689</v>
      </c>
      <c r="HT400">
        <v>1.87024</v>
      </c>
      <c r="HU400">
        <v>0</v>
      </c>
      <c r="HV400">
        <v>0</v>
      </c>
      <c r="HW400">
        <v>0</v>
      </c>
      <c r="HX400">
        <v>0</v>
      </c>
      <c r="HY400" t="s">
        <v>421</v>
      </c>
      <c r="HZ400" t="s">
        <v>422</v>
      </c>
      <c r="IA400" t="s">
        <v>423</v>
      </c>
      <c r="IB400" t="s">
        <v>423</v>
      </c>
      <c r="IC400" t="s">
        <v>423</v>
      </c>
      <c r="ID400" t="s">
        <v>423</v>
      </c>
      <c r="IE400">
        <v>0</v>
      </c>
      <c r="IF400">
        <v>100</v>
      </c>
      <c r="IG400">
        <v>100</v>
      </c>
      <c r="IH400">
        <v>-1.726</v>
      </c>
      <c r="II400">
        <v>0.0257</v>
      </c>
      <c r="IJ400">
        <v>-0.1559367209035702</v>
      </c>
      <c r="IK400">
        <v>-0.002077099775823331</v>
      </c>
      <c r="IL400">
        <v>4.593143279902166E-07</v>
      </c>
      <c r="IM400">
        <v>-1.865383991892071E-10</v>
      </c>
      <c r="IN400">
        <v>-0.0607165066849496</v>
      </c>
      <c r="IO400">
        <v>-0.01129461987421345</v>
      </c>
      <c r="IP400">
        <v>0.00116580895745559</v>
      </c>
      <c r="IQ400">
        <v>-1.679085872906199E-05</v>
      </c>
      <c r="IR400">
        <v>2</v>
      </c>
      <c r="IS400">
        <v>2290</v>
      </c>
      <c r="IT400">
        <v>0</v>
      </c>
      <c r="IU400">
        <v>32</v>
      </c>
      <c r="IV400">
        <v>17.1</v>
      </c>
      <c r="IW400">
        <v>16.9</v>
      </c>
      <c r="IX400">
        <v>1.97632</v>
      </c>
      <c r="IY400">
        <v>2.19482</v>
      </c>
      <c r="IZ400">
        <v>1.39648</v>
      </c>
      <c r="JA400">
        <v>2.35474</v>
      </c>
      <c r="JB400">
        <v>1.49536</v>
      </c>
      <c r="JC400">
        <v>2.27539</v>
      </c>
      <c r="JD400">
        <v>38.0134</v>
      </c>
      <c r="JE400">
        <v>24.035</v>
      </c>
      <c r="JF400">
        <v>18</v>
      </c>
      <c r="JG400">
        <v>512.6180000000001</v>
      </c>
      <c r="JH400">
        <v>426.599</v>
      </c>
      <c r="JI400">
        <v>23.1499</v>
      </c>
      <c r="JJ400">
        <v>27.8563</v>
      </c>
      <c r="JK400">
        <v>29.9999</v>
      </c>
      <c r="JL400">
        <v>27.8678</v>
      </c>
      <c r="JM400">
        <v>27.8111</v>
      </c>
      <c r="JN400">
        <v>39.5861</v>
      </c>
      <c r="JO400">
        <v>46.9143</v>
      </c>
      <c r="JP400">
        <v>0</v>
      </c>
      <c r="JQ400">
        <v>23.1514</v>
      </c>
      <c r="JR400">
        <v>940.899</v>
      </c>
      <c r="JS400">
        <v>8.972659999999999</v>
      </c>
      <c r="JT400">
        <v>100.424</v>
      </c>
      <c r="JU400">
        <v>100.353</v>
      </c>
    </row>
    <row r="401" spans="1:281">
      <c r="A401">
        <v>385</v>
      </c>
      <c r="B401">
        <v>1651866533.5</v>
      </c>
      <c r="C401">
        <v>2312.900000095367</v>
      </c>
      <c r="D401" t="s">
        <v>1193</v>
      </c>
      <c r="E401" t="s">
        <v>1194</v>
      </c>
      <c r="F401">
        <v>2</v>
      </c>
      <c r="G401" t="s">
        <v>908</v>
      </c>
      <c r="H401" t="s">
        <v>414</v>
      </c>
      <c r="I401">
        <v>1651866532.5</v>
      </c>
      <c r="J401">
        <f>(K401)/1000</f>
        <v>0</v>
      </c>
      <c r="K401">
        <f>IF(CZ401, AN401, AH401)</f>
        <v>0</v>
      </c>
      <c r="L401">
        <f>IF(CZ401, AI401, AG401)</f>
        <v>0</v>
      </c>
      <c r="M401">
        <f>DB401 - IF(AU401&gt;1, L401*CV401*100.0/(AW401*DP401), 0)</f>
        <v>0</v>
      </c>
      <c r="N401">
        <f>((T401-J401/2)*M401-L401)/(T401+J401/2)</f>
        <v>0</v>
      </c>
      <c r="O401">
        <f>N401*(DI401+DJ401)/1000.0</f>
        <v>0</v>
      </c>
      <c r="P401">
        <f>(DB401 - IF(AU401&gt;1, L401*CV401*100.0/(AW401*DP401), 0))*(DI401+DJ401)/1000.0</f>
        <v>0</v>
      </c>
      <c r="Q401">
        <f>2.0/((1/S401-1/R401)+SIGN(S401)*SQRT((1/S401-1/R401)*(1/S401-1/R401) + 4*CW401/((CW401+1)*(CW401+1))*(2*1/S401*1/R401-1/R401*1/R401)))</f>
        <v>0</v>
      </c>
      <c r="R401">
        <f>IF(LEFT(CX401,1)&lt;&gt;"0",IF(LEFT(CX401,1)="1",3.0,CY401),$D$5+$E$5*(DP401*DI401/($K$5*1000))+$F$5*(DP401*DI401/($K$5*1000))*MAX(MIN(CV401,$J$5),$I$5)*MAX(MIN(CV401,$J$5),$I$5)+$G$5*MAX(MIN(CV401,$J$5),$I$5)*(DP401*DI401/($K$5*1000))+$H$5*(DP401*DI401/($K$5*1000))*(DP401*DI401/($K$5*1000)))</f>
        <v>0</v>
      </c>
      <c r="S401">
        <f>J401*(1000-(1000*0.61365*exp(17.502*W401/(240.97+W401))/(DI401+DJ401)+DD401)/2)/(1000*0.61365*exp(17.502*W401/(240.97+W401))/(DI401+DJ401)-DD401)</f>
        <v>0</v>
      </c>
      <c r="T401">
        <f>1/((CW401+1)/(Q401/1.6)+1/(R401/1.37)) + CW401/((CW401+1)/(Q401/1.6) + CW401/(R401/1.37))</f>
        <v>0</v>
      </c>
      <c r="U401">
        <f>(CR401*CU401)</f>
        <v>0</v>
      </c>
      <c r="V401">
        <f>(DK401+(U401+2*0.95*5.67E-8*(((DK401+$B$7)+273)^4-(DK401+273)^4)-44100*J401)/(1.84*29.3*R401+8*0.95*5.67E-8*(DK401+273)^3))</f>
        <v>0</v>
      </c>
      <c r="W401">
        <f>($C$7*DL401+$D$7*DM401+$E$7*V401)</f>
        <v>0</v>
      </c>
      <c r="X401">
        <f>0.61365*exp(17.502*W401/(240.97+W401))</f>
        <v>0</v>
      </c>
      <c r="Y401">
        <f>(Z401/AA401*100)</f>
        <v>0</v>
      </c>
      <c r="Z401">
        <f>DD401*(DI401+DJ401)/1000</f>
        <v>0</v>
      </c>
      <c r="AA401">
        <f>0.61365*exp(17.502*DK401/(240.97+DK401))</f>
        <v>0</v>
      </c>
      <c r="AB401">
        <f>(X401-DD401*(DI401+DJ401)/1000)</f>
        <v>0</v>
      </c>
      <c r="AC401">
        <f>(-J401*44100)</f>
        <v>0</v>
      </c>
      <c r="AD401">
        <f>2*29.3*R401*0.92*(DK401-W401)</f>
        <v>0</v>
      </c>
      <c r="AE401">
        <f>2*0.95*5.67E-8*(((DK401+$B$7)+273)^4-(W401+273)^4)</f>
        <v>0</v>
      </c>
      <c r="AF401">
        <f>U401+AE401+AC401+AD401</f>
        <v>0</v>
      </c>
      <c r="AG401">
        <f>DH401*AU401*(DC401-DB401*(1000-AU401*DE401)/(1000-AU401*DD401))/(100*CV401)</f>
        <v>0</v>
      </c>
      <c r="AH401">
        <f>1000*DH401*AU401*(DD401-DE401)/(100*CV401*(1000-AU401*DD401))</f>
        <v>0</v>
      </c>
      <c r="AI401">
        <f>(AJ401 - AK401 - DI401*1E3/(8.314*(DK401+273.15)) * AM401/DH401 * AL401) * DH401/(100*CV401) * (1000 - DE401)/1000</f>
        <v>0</v>
      </c>
      <c r="AJ401">
        <v>930.234513351856</v>
      </c>
      <c r="AK401">
        <v>882.7917333333331</v>
      </c>
      <c r="AL401">
        <v>3.395273840428207</v>
      </c>
      <c r="AM401">
        <v>66.38195617057868</v>
      </c>
      <c r="AN401">
        <f>(AP401 - AO401 + DI401*1E3/(8.314*(DK401+273.15)) * AR401/DH401 * AQ401) * DH401/(100*CV401) * 1000/(1000 - AP401)</f>
        <v>0</v>
      </c>
      <c r="AO401">
        <v>9.038422448152222</v>
      </c>
      <c r="AP401">
        <v>18.70912264705882</v>
      </c>
      <c r="AQ401">
        <v>2.068094814711751E-05</v>
      </c>
      <c r="AR401">
        <v>80.47178418790507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MAX(0,($B$13+$C$13*DP401)/(1+$D$13*DP401)*DI401/(DK401+273)*$E$13)</f>
        <v>0</v>
      </c>
      <c r="AX401" t="s">
        <v>417</v>
      </c>
      <c r="AY401" t="s">
        <v>417</v>
      </c>
      <c r="AZ401">
        <v>0</v>
      </c>
      <c r="BA401">
        <v>0</v>
      </c>
      <c r="BB401">
        <f>1-AZ401/BA401</f>
        <v>0</v>
      </c>
      <c r="BC401">
        <v>0</v>
      </c>
      <c r="BD401" t="s">
        <v>417</v>
      </c>
      <c r="BE401" t="s">
        <v>417</v>
      </c>
      <c r="BF401">
        <v>0</v>
      </c>
      <c r="BG401">
        <v>0</v>
      </c>
      <c r="BH401">
        <f>1-BF401/BG401</f>
        <v>0</v>
      </c>
      <c r="BI401">
        <v>0.5</v>
      </c>
      <c r="BJ401">
        <f>CS401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417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BZ401">
        <v>1249</v>
      </c>
      <c r="CA401">
        <v>300</v>
      </c>
      <c r="CB401">
        <v>300</v>
      </c>
      <c r="CC401">
        <v>300</v>
      </c>
      <c r="CD401">
        <v>10442.4</v>
      </c>
      <c r="CE401">
        <v>1239.69</v>
      </c>
      <c r="CF401">
        <v>-0.00735276</v>
      </c>
      <c r="CG401">
        <v>0.07000000000000001</v>
      </c>
      <c r="CH401" t="s">
        <v>417</v>
      </c>
      <c r="CI401" t="s">
        <v>417</v>
      </c>
      <c r="CJ401" t="s">
        <v>417</v>
      </c>
      <c r="CK401" t="s">
        <v>417</v>
      </c>
      <c r="CL401" t="s">
        <v>417</v>
      </c>
      <c r="CM401" t="s">
        <v>417</v>
      </c>
      <c r="CN401" t="s">
        <v>417</v>
      </c>
      <c r="CO401" t="s">
        <v>417</v>
      </c>
      <c r="CP401" t="s">
        <v>417</v>
      </c>
      <c r="CQ401" t="s">
        <v>417</v>
      </c>
      <c r="CR401">
        <f>$B$11*DQ401+$C$11*DR401+$F$11*EC401*(1-EF401)</f>
        <v>0</v>
      </c>
      <c r="CS401">
        <f>CR401*CT401</f>
        <v>0</v>
      </c>
      <c r="CT401">
        <f>($B$11*$D$9+$C$11*$D$9+$F$11*((EP401+EH401)/MAX(EP401+EH401+EQ401, 0.1)*$I$9+EQ401/MAX(EP401+EH401+EQ401, 0.1)*$J$9))/($B$11+$C$11+$F$11)</f>
        <v>0</v>
      </c>
      <c r="CU401">
        <f>($B$11*$K$9+$C$11*$K$9+$F$11*((EP401+EH401)/MAX(EP401+EH401+EQ401, 0.1)*$P$9+EQ401/MAX(EP401+EH401+EQ401, 0.1)*$Q$9))/($B$11+$C$11+$F$11)</f>
        <v>0</v>
      </c>
      <c r="CV401">
        <v>6</v>
      </c>
      <c r="CW401">
        <v>0.5</v>
      </c>
      <c r="CX401" t="s">
        <v>418</v>
      </c>
      <c r="CY401">
        <v>2</v>
      </c>
      <c r="CZ401" t="b">
        <v>1</v>
      </c>
      <c r="DA401">
        <v>1651866532.5</v>
      </c>
      <c r="DB401">
        <v>864.6006666666667</v>
      </c>
      <c r="DC401">
        <v>927.908</v>
      </c>
      <c r="DD401">
        <v>18.7099</v>
      </c>
      <c r="DE401">
        <v>9.031703333333333</v>
      </c>
      <c r="DF401">
        <v>866.3326666666667</v>
      </c>
      <c r="DG401">
        <v>18.6842</v>
      </c>
      <c r="DH401">
        <v>500.103</v>
      </c>
      <c r="DI401">
        <v>89.92143333333333</v>
      </c>
      <c r="DJ401">
        <v>0.1000357</v>
      </c>
      <c r="DK401">
        <v>25.9418</v>
      </c>
      <c r="DL401">
        <v>24.9932</v>
      </c>
      <c r="DM401">
        <v>999.9</v>
      </c>
      <c r="DN401">
        <v>0</v>
      </c>
      <c r="DO401">
        <v>0</v>
      </c>
      <c r="DP401">
        <v>9999.966666666667</v>
      </c>
      <c r="DQ401">
        <v>0</v>
      </c>
      <c r="DR401">
        <v>3.245053333333333</v>
      </c>
      <c r="DS401">
        <v>-63.30746666666667</v>
      </c>
      <c r="DT401">
        <v>881.0856666666665</v>
      </c>
      <c r="DU401">
        <v>936.3646666666667</v>
      </c>
      <c r="DV401">
        <v>9.678176666666667</v>
      </c>
      <c r="DW401">
        <v>927.908</v>
      </c>
      <c r="DX401">
        <v>9.031703333333333</v>
      </c>
      <c r="DY401">
        <v>1.68242</v>
      </c>
      <c r="DZ401">
        <v>0.8121436666666666</v>
      </c>
      <c r="EA401">
        <v>14.73516666666667</v>
      </c>
      <c r="EB401">
        <v>3.92135</v>
      </c>
      <c r="EC401">
        <v>1500.046666666666</v>
      </c>
      <c r="ED401">
        <v>0.972997</v>
      </c>
      <c r="EE401">
        <v>0.0270027</v>
      </c>
      <c r="EF401">
        <v>0</v>
      </c>
      <c r="EG401">
        <v>916.0653333333333</v>
      </c>
      <c r="EH401">
        <v>5.00097</v>
      </c>
      <c r="EI401">
        <v>13636</v>
      </c>
      <c r="EJ401">
        <v>12491.96666666667</v>
      </c>
      <c r="EK401">
        <v>38.062</v>
      </c>
      <c r="EL401">
        <v>39.312</v>
      </c>
      <c r="EM401">
        <v>38.5</v>
      </c>
      <c r="EN401">
        <v>38.937</v>
      </c>
      <c r="EO401">
        <v>38.89566666666666</v>
      </c>
      <c r="EP401">
        <v>1454.676666666667</v>
      </c>
      <c r="EQ401">
        <v>40.37</v>
      </c>
      <c r="ER401">
        <v>0</v>
      </c>
      <c r="ES401">
        <v>1050.799999952316</v>
      </c>
      <c r="ET401">
        <v>0</v>
      </c>
      <c r="EU401">
        <v>916.7924615384617</v>
      </c>
      <c r="EV401">
        <v>-5.86201708922983</v>
      </c>
      <c r="EW401">
        <v>-101.4666666536442</v>
      </c>
      <c r="EX401">
        <v>13648.15</v>
      </c>
      <c r="EY401">
        <v>15</v>
      </c>
      <c r="EZ401">
        <v>1651865518.1</v>
      </c>
      <c r="FA401" t="s">
        <v>910</v>
      </c>
      <c r="FB401">
        <v>1651865507.1</v>
      </c>
      <c r="FC401">
        <v>1651865518.1</v>
      </c>
      <c r="FD401">
        <v>8</v>
      </c>
      <c r="FE401">
        <v>0.06</v>
      </c>
      <c r="FF401">
        <v>0</v>
      </c>
      <c r="FG401">
        <v>-0.927</v>
      </c>
      <c r="FH401">
        <v>-0.062</v>
      </c>
      <c r="FI401">
        <v>400</v>
      </c>
      <c r="FJ401">
        <v>11</v>
      </c>
      <c r="FK401">
        <v>0.11</v>
      </c>
      <c r="FL401">
        <v>0.01</v>
      </c>
      <c r="FM401">
        <v>-63.23312249999999</v>
      </c>
      <c r="FN401">
        <v>0.8196303939963243</v>
      </c>
      <c r="FO401">
        <v>0.137599170577987</v>
      </c>
      <c r="FP401">
        <v>-1</v>
      </c>
      <c r="FQ401">
        <v>9.675645999999999</v>
      </c>
      <c r="FR401">
        <v>-0.002271444652932358</v>
      </c>
      <c r="FS401">
        <v>0.001920799052477884</v>
      </c>
      <c r="FT401">
        <v>-1</v>
      </c>
      <c r="FU401">
        <v>0</v>
      </c>
      <c r="FV401">
        <v>0</v>
      </c>
      <c r="FW401">
        <v>0</v>
      </c>
      <c r="FX401">
        <v>-1</v>
      </c>
      <c r="FY401">
        <v>0</v>
      </c>
      <c r="FZ401">
        <v>0</v>
      </c>
      <c r="GA401" t="s">
        <v>420</v>
      </c>
      <c r="GB401">
        <v>2.98154</v>
      </c>
      <c r="GC401">
        <v>2.70618</v>
      </c>
      <c r="GD401">
        <v>0.156222</v>
      </c>
      <c r="GE401">
        <v>0.161621</v>
      </c>
      <c r="GF401">
        <v>0.08902110000000001</v>
      </c>
      <c r="GG401">
        <v>0.0512168</v>
      </c>
      <c r="GH401">
        <v>26664.4</v>
      </c>
      <c r="GI401">
        <v>26550.8</v>
      </c>
      <c r="GJ401">
        <v>29378.8</v>
      </c>
      <c r="GK401">
        <v>29293.4</v>
      </c>
      <c r="GL401">
        <v>35436.9</v>
      </c>
      <c r="GM401">
        <v>37024.8</v>
      </c>
      <c r="GN401">
        <v>41351.1</v>
      </c>
      <c r="GO401">
        <v>41813.6</v>
      </c>
      <c r="GP401">
        <v>1.96802</v>
      </c>
      <c r="GQ401">
        <v>1.8563</v>
      </c>
      <c r="GR401">
        <v>-0.00644475</v>
      </c>
      <c r="GS401">
        <v>0</v>
      </c>
      <c r="GT401">
        <v>25.0974</v>
      </c>
      <c r="GU401">
        <v>999.9</v>
      </c>
      <c r="GV401">
        <v>29.5</v>
      </c>
      <c r="GW401">
        <v>34.2</v>
      </c>
      <c r="GX401">
        <v>17.7267</v>
      </c>
      <c r="GY401">
        <v>62.6076</v>
      </c>
      <c r="GZ401">
        <v>35.3045</v>
      </c>
      <c r="HA401">
        <v>1</v>
      </c>
      <c r="HB401">
        <v>0.0414939</v>
      </c>
      <c r="HC401">
        <v>1.48063</v>
      </c>
      <c r="HD401">
        <v>20.3279</v>
      </c>
      <c r="HE401">
        <v>5.21819</v>
      </c>
      <c r="HF401">
        <v>12.0099</v>
      </c>
      <c r="HG401">
        <v>4.9885</v>
      </c>
      <c r="HH401">
        <v>3.28848</v>
      </c>
      <c r="HI401">
        <v>1034.9</v>
      </c>
      <c r="HJ401">
        <v>9758.799999999999</v>
      </c>
      <c r="HK401">
        <v>5139.4</v>
      </c>
      <c r="HL401">
        <v>25.4</v>
      </c>
      <c r="HM401">
        <v>1.86749</v>
      </c>
      <c r="HN401">
        <v>1.86646</v>
      </c>
      <c r="HO401">
        <v>1.866</v>
      </c>
      <c r="HP401">
        <v>1.86584</v>
      </c>
      <c r="HQ401">
        <v>1.86768</v>
      </c>
      <c r="HR401">
        <v>1.8702</v>
      </c>
      <c r="HS401">
        <v>1.8689</v>
      </c>
      <c r="HT401">
        <v>1.87026</v>
      </c>
      <c r="HU401">
        <v>0</v>
      </c>
      <c r="HV401">
        <v>0</v>
      </c>
      <c r="HW401">
        <v>0</v>
      </c>
      <c r="HX401">
        <v>0</v>
      </c>
      <c r="HY401" t="s">
        <v>421</v>
      </c>
      <c r="HZ401" t="s">
        <v>422</v>
      </c>
      <c r="IA401" t="s">
        <v>423</v>
      </c>
      <c r="IB401" t="s">
        <v>423</v>
      </c>
      <c r="IC401" t="s">
        <v>423</v>
      </c>
      <c r="ID401" t="s">
        <v>423</v>
      </c>
      <c r="IE401">
        <v>0</v>
      </c>
      <c r="IF401">
        <v>100</v>
      </c>
      <c r="IG401">
        <v>100</v>
      </c>
      <c r="IH401">
        <v>-1.737</v>
      </c>
      <c r="II401">
        <v>0.0257</v>
      </c>
      <c r="IJ401">
        <v>-0.1559367209035702</v>
      </c>
      <c r="IK401">
        <v>-0.002077099775823331</v>
      </c>
      <c r="IL401">
        <v>4.593143279902166E-07</v>
      </c>
      <c r="IM401">
        <v>-1.865383991892071E-10</v>
      </c>
      <c r="IN401">
        <v>-0.0607165066849496</v>
      </c>
      <c r="IO401">
        <v>-0.01129461987421345</v>
      </c>
      <c r="IP401">
        <v>0.00116580895745559</v>
      </c>
      <c r="IQ401">
        <v>-1.679085872906199E-05</v>
      </c>
      <c r="IR401">
        <v>2</v>
      </c>
      <c r="IS401">
        <v>2290</v>
      </c>
      <c r="IT401">
        <v>0</v>
      </c>
      <c r="IU401">
        <v>32</v>
      </c>
      <c r="IV401">
        <v>17.1</v>
      </c>
      <c r="IW401">
        <v>16.9</v>
      </c>
      <c r="IX401">
        <v>1.98608</v>
      </c>
      <c r="IY401">
        <v>2.19238</v>
      </c>
      <c r="IZ401">
        <v>1.39648</v>
      </c>
      <c r="JA401">
        <v>2.35596</v>
      </c>
      <c r="JB401">
        <v>1.49536</v>
      </c>
      <c r="JC401">
        <v>2.34131</v>
      </c>
      <c r="JD401">
        <v>38.0134</v>
      </c>
      <c r="JE401">
        <v>24.0437</v>
      </c>
      <c r="JF401">
        <v>18</v>
      </c>
      <c r="JG401">
        <v>512.7140000000001</v>
      </c>
      <c r="JH401">
        <v>427.01</v>
      </c>
      <c r="JI401">
        <v>23.1514</v>
      </c>
      <c r="JJ401">
        <v>27.856</v>
      </c>
      <c r="JK401">
        <v>29.9999</v>
      </c>
      <c r="JL401">
        <v>27.8675</v>
      </c>
      <c r="JM401">
        <v>27.8104</v>
      </c>
      <c r="JN401">
        <v>39.7963</v>
      </c>
      <c r="JO401">
        <v>46.9143</v>
      </c>
      <c r="JP401">
        <v>0</v>
      </c>
      <c r="JQ401">
        <v>23.1514</v>
      </c>
      <c r="JR401">
        <v>947.611</v>
      </c>
      <c r="JS401">
        <v>8.973380000000001</v>
      </c>
      <c r="JT401">
        <v>100.422</v>
      </c>
      <c r="JU401">
        <v>100.353</v>
      </c>
    </row>
    <row r="402" spans="1:281">
      <c r="A402">
        <v>386</v>
      </c>
      <c r="B402">
        <v>1651866535.5</v>
      </c>
      <c r="C402">
        <v>2314.900000095367</v>
      </c>
      <c r="D402" t="s">
        <v>1195</v>
      </c>
      <c r="E402" t="s">
        <v>1196</v>
      </c>
      <c r="F402">
        <v>2</v>
      </c>
      <c r="G402" t="s">
        <v>908</v>
      </c>
      <c r="H402" t="s">
        <v>414</v>
      </c>
      <c r="I402">
        <v>1651866534.125</v>
      </c>
      <c r="J402">
        <f>(K402)/1000</f>
        <v>0</v>
      </c>
      <c r="K402">
        <f>IF(CZ402, AN402, AH402)</f>
        <v>0</v>
      </c>
      <c r="L402">
        <f>IF(CZ402, AI402, AG402)</f>
        <v>0</v>
      </c>
      <c r="M402">
        <f>DB402 - IF(AU402&gt;1, L402*CV402*100.0/(AW402*DP402), 0)</f>
        <v>0</v>
      </c>
      <c r="N402">
        <f>((T402-J402/2)*M402-L402)/(T402+J402/2)</f>
        <v>0</v>
      </c>
      <c r="O402">
        <f>N402*(DI402+DJ402)/1000.0</f>
        <v>0</v>
      </c>
      <c r="P402">
        <f>(DB402 - IF(AU402&gt;1, L402*CV402*100.0/(AW402*DP402), 0))*(DI402+DJ402)/1000.0</f>
        <v>0</v>
      </c>
      <c r="Q402">
        <f>2.0/((1/S402-1/R402)+SIGN(S402)*SQRT((1/S402-1/R402)*(1/S402-1/R402) + 4*CW402/((CW402+1)*(CW402+1))*(2*1/S402*1/R402-1/R402*1/R402)))</f>
        <v>0</v>
      </c>
      <c r="R402">
        <f>IF(LEFT(CX402,1)&lt;&gt;"0",IF(LEFT(CX402,1)="1",3.0,CY402),$D$5+$E$5*(DP402*DI402/($K$5*1000))+$F$5*(DP402*DI402/($K$5*1000))*MAX(MIN(CV402,$J$5),$I$5)*MAX(MIN(CV402,$J$5),$I$5)+$G$5*MAX(MIN(CV402,$J$5),$I$5)*(DP402*DI402/($K$5*1000))+$H$5*(DP402*DI402/($K$5*1000))*(DP402*DI402/($K$5*1000)))</f>
        <v>0</v>
      </c>
      <c r="S402">
        <f>J402*(1000-(1000*0.61365*exp(17.502*W402/(240.97+W402))/(DI402+DJ402)+DD402)/2)/(1000*0.61365*exp(17.502*W402/(240.97+W402))/(DI402+DJ402)-DD402)</f>
        <v>0</v>
      </c>
      <c r="T402">
        <f>1/((CW402+1)/(Q402/1.6)+1/(R402/1.37)) + CW402/((CW402+1)/(Q402/1.6) + CW402/(R402/1.37))</f>
        <v>0</v>
      </c>
      <c r="U402">
        <f>(CR402*CU402)</f>
        <v>0</v>
      </c>
      <c r="V402">
        <f>(DK402+(U402+2*0.95*5.67E-8*(((DK402+$B$7)+273)^4-(DK402+273)^4)-44100*J402)/(1.84*29.3*R402+8*0.95*5.67E-8*(DK402+273)^3))</f>
        <v>0</v>
      </c>
      <c r="W402">
        <f>($C$7*DL402+$D$7*DM402+$E$7*V402)</f>
        <v>0</v>
      </c>
      <c r="X402">
        <f>0.61365*exp(17.502*W402/(240.97+W402))</f>
        <v>0</v>
      </c>
      <c r="Y402">
        <f>(Z402/AA402*100)</f>
        <v>0</v>
      </c>
      <c r="Z402">
        <f>DD402*(DI402+DJ402)/1000</f>
        <v>0</v>
      </c>
      <c r="AA402">
        <f>0.61365*exp(17.502*DK402/(240.97+DK402))</f>
        <v>0</v>
      </c>
      <c r="AB402">
        <f>(X402-DD402*(DI402+DJ402)/1000)</f>
        <v>0</v>
      </c>
      <c r="AC402">
        <f>(-J402*44100)</f>
        <v>0</v>
      </c>
      <c r="AD402">
        <f>2*29.3*R402*0.92*(DK402-W402)</f>
        <v>0</v>
      </c>
      <c r="AE402">
        <f>2*0.95*5.67E-8*(((DK402+$B$7)+273)^4-(W402+273)^4)</f>
        <v>0</v>
      </c>
      <c r="AF402">
        <f>U402+AE402+AC402+AD402</f>
        <v>0</v>
      </c>
      <c r="AG402">
        <f>DH402*AU402*(DC402-DB402*(1000-AU402*DE402)/(1000-AU402*DD402))/(100*CV402)</f>
        <v>0</v>
      </c>
      <c r="AH402">
        <f>1000*DH402*AU402*(DD402-DE402)/(100*CV402*(1000-AU402*DD402))</f>
        <v>0</v>
      </c>
      <c r="AI402">
        <f>(AJ402 - AK402 - DI402*1E3/(8.314*(DK402+273.15)) * AM402/DH402 * AL402) * DH402/(100*CV402) * (1000 - DE402)/1000</f>
        <v>0</v>
      </c>
      <c r="AJ402">
        <v>937.1259226845888</v>
      </c>
      <c r="AK402">
        <v>889.5861272727269</v>
      </c>
      <c r="AL402">
        <v>3.403414875340667</v>
      </c>
      <c r="AM402">
        <v>66.38195617057868</v>
      </c>
      <c r="AN402">
        <f>(AP402 - AO402 + DI402*1E3/(8.314*(DK402+273.15)) * AR402/DH402 * AQ402) * DH402/(100*CV402) * 1000/(1000 - AP402)</f>
        <v>0</v>
      </c>
      <c r="AO402">
        <v>9.038297961220952</v>
      </c>
      <c r="AP402">
        <v>18.70800794117647</v>
      </c>
      <c r="AQ402">
        <v>-1.593831033711367E-05</v>
      </c>
      <c r="AR402">
        <v>80.47178418790507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MAX(0,($B$13+$C$13*DP402)/(1+$D$13*DP402)*DI402/(DK402+273)*$E$13)</f>
        <v>0</v>
      </c>
      <c r="AX402" t="s">
        <v>417</v>
      </c>
      <c r="AY402" t="s">
        <v>417</v>
      </c>
      <c r="AZ402">
        <v>0</v>
      </c>
      <c r="BA402">
        <v>0</v>
      </c>
      <c r="BB402">
        <f>1-AZ402/BA402</f>
        <v>0</v>
      </c>
      <c r="BC402">
        <v>0</v>
      </c>
      <c r="BD402" t="s">
        <v>417</v>
      </c>
      <c r="BE402" t="s">
        <v>417</v>
      </c>
      <c r="BF402">
        <v>0</v>
      </c>
      <c r="BG402">
        <v>0</v>
      </c>
      <c r="BH402">
        <f>1-BF402/BG402</f>
        <v>0</v>
      </c>
      <c r="BI402">
        <v>0.5</v>
      </c>
      <c r="BJ402">
        <f>CS402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417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BZ402">
        <v>1249</v>
      </c>
      <c r="CA402">
        <v>300</v>
      </c>
      <c r="CB402">
        <v>300</v>
      </c>
      <c r="CC402">
        <v>300</v>
      </c>
      <c r="CD402">
        <v>10442.4</v>
      </c>
      <c r="CE402">
        <v>1239.69</v>
      </c>
      <c r="CF402">
        <v>-0.00735276</v>
      </c>
      <c r="CG402">
        <v>0.07000000000000001</v>
      </c>
      <c r="CH402" t="s">
        <v>417</v>
      </c>
      <c r="CI402" t="s">
        <v>417</v>
      </c>
      <c r="CJ402" t="s">
        <v>417</v>
      </c>
      <c r="CK402" t="s">
        <v>417</v>
      </c>
      <c r="CL402" t="s">
        <v>417</v>
      </c>
      <c r="CM402" t="s">
        <v>417</v>
      </c>
      <c r="CN402" t="s">
        <v>417</v>
      </c>
      <c r="CO402" t="s">
        <v>417</v>
      </c>
      <c r="CP402" t="s">
        <v>417</v>
      </c>
      <c r="CQ402" t="s">
        <v>417</v>
      </c>
      <c r="CR402">
        <f>$B$11*DQ402+$C$11*DR402+$F$11*EC402*(1-EF402)</f>
        <v>0</v>
      </c>
      <c r="CS402">
        <f>CR402*CT402</f>
        <v>0</v>
      </c>
      <c r="CT402">
        <f>($B$11*$D$9+$C$11*$D$9+$F$11*((EP402+EH402)/MAX(EP402+EH402+EQ402, 0.1)*$I$9+EQ402/MAX(EP402+EH402+EQ402, 0.1)*$J$9))/($B$11+$C$11+$F$11)</f>
        <v>0</v>
      </c>
      <c r="CU402">
        <f>($B$11*$K$9+$C$11*$K$9+$F$11*((EP402+EH402)/MAX(EP402+EH402+EQ402, 0.1)*$P$9+EQ402/MAX(EP402+EH402+EQ402, 0.1)*$Q$9))/($B$11+$C$11+$F$11)</f>
        <v>0</v>
      </c>
      <c r="CV402">
        <v>6</v>
      </c>
      <c r="CW402">
        <v>0.5</v>
      </c>
      <c r="CX402" t="s">
        <v>418</v>
      </c>
      <c r="CY402">
        <v>2</v>
      </c>
      <c r="CZ402" t="b">
        <v>1</v>
      </c>
      <c r="DA402">
        <v>1651866534.125</v>
      </c>
      <c r="DB402">
        <v>870.02675</v>
      </c>
      <c r="DC402">
        <v>933.21225</v>
      </c>
      <c r="DD402">
        <v>18.7089</v>
      </c>
      <c r="DE402">
        <v>9.00996</v>
      </c>
      <c r="DF402">
        <v>871.768</v>
      </c>
      <c r="DG402">
        <v>18.6832</v>
      </c>
      <c r="DH402">
        <v>500.01675</v>
      </c>
      <c r="DI402">
        <v>89.91615</v>
      </c>
      <c r="DJ402">
        <v>0.10001695</v>
      </c>
      <c r="DK402">
        <v>25.940375</v>
      </c>
      <c r="DL402">
        <v>24.99155</v>
      </c>
      <c r="DM402">
        <v>999.9</v>
      </c>
      <c r="DN402">
        <v>0</v>
      </c>
      <c r="DO402">
        <v>0</v>
      </c>
      <c r="DP402">
        <v>10000.2875</v>
      </c>
      <c r="DQ402">
        <v>0</v>
      </c>
      <c r="DR402">
        <v>3.24599</v>
      </c>
      <c r="DS402">
        <v>-63.18577500000001</v>
      </c>
      <c r="DT402">
        <v>886.6145</v>
      </c>
      <c r="DU402">
        <v>941.6969999999999</v>
      </c>
      <c r="DV402">
        <v>9.698945</v>
      </c>
      <c r="DW402">
        <v>933.21225</v>
      </c>
      <c r="DX402">
        <v>9.00996</v>
      </c>
      <c r="DY402">
        <v>1.682235</v>
      </c>
      <c r="DZ402">
        <v>0.810141</v>
      </c>
      <c r="EA402">
        <v>14.73345</v>
      </c>
      <c r="EB402">
        <v>3.886235</v>
      </c>
      <c r="EC402">
        <v>1499.9025</v>
      </c>
      <c r="ED402">
        <v>0.9729945</v>
      </c>
      <c r="EE402">
        <v>0.02700535</v>
      </c>
      <c r="EF402">
        <v>0</v>
      </c>
      <c r="EG402">
        <v>915.602</v>
      </c>
      <c r="EH402">
        <v>5.00097</v>
      </c>
      <c r="EI402">
        <v>13631.65</v>
      </c>
      <c r="EJ402">
        <v>12490.75</v>
      </c>
      <c r="EK402">
        <v>38.062</v>
      </c>
      <c r="EL402">
        <v>39.29649999999999</v>
      </c>
      <c r="EM402">
        <v>38.45274999999999</v>
      </c>
      <c r="EN402">
        <v>38.906</v>
      </c>
      <c r="EO402">
        <v>38.875</v>
      </c>
      <c r="EP402">
        <v>1454.5325</v>
      </c>
      <c r="EQ402">
        <v>40.37</v>
      </c>
      <c r="ER402">
        <v>0</v>
      </c>
      <c r="ES402">
        <v>1053.200000047684</v>
      </c>
      <c r="ET402">
        <v>0</v>
      </c>
      <c r="EU402">
        <v>916.4981153846154</v>
      </c>
      <c r="EV402">
        <v>-7.569059806046208</v>
      </c>
      <c r="EW402">
        <v>-112.095726357941</v>
      </c>
      <c r="EX402">
        <v>13643.76923076923</v>
      </c>
      <c r="EY402">
        <v>15</v>
      </c>
      <c r="EZ402">
        <v>1651865518.1</v>
      </c>
      <c r="FA402" t="s">
        <v>910</v>
      </c>
      <c r="FB402">
        <v>1651865507.1</v>
      </c>
      <c r="FC402">
        <v>1651865518.1</v>
      </c>
      <c r="FD402">
        <v>8</v>
      </c>
      <c r="FE402">
        <v>0.06</v>
      </c>
      <c r="FF402">
        <v>0</v>
      </c>
      <c r="FG402">
        <v>-0.927</v>
      </c>
      <c r="FH402">
        <v>-0.062</v>
      </c>
      <c r="FI402">
        <v>400</v>
      </c>
      <c r="FJ402">
        <v>11</v>
      </c>
      <c r="FK402">
        <v>0.11</v>
      </c>
      <c r="FL402">
        <v>0.01</v>
      </c>
      <c r="FM402">
        <v>-63.22195853658537</v>
      </c>
      <c r="FN402">
        <v>0.6859170731706791</v>
      </c>
      <c r="FO402">
        <v>0.1323965476957795</v>
      </c>
      <c r="FP402">
        <v>-1</v>
      </c>
      <c r="FQ402">
        <v>9.677159756097561</v>
      </c>
      <c r="FR402">
        <v>0.02504717770036283</v>
      </c>
      <c r="FS402">
        <v>0.006136255507052292</v>
      </c>
      <c r="FT402">
        <v>-1</v>
      </c>
      <c r="FU402">
        <v>0</v>
      </c>
      <c r="FV402">
        <v>0</v>
      </c>
      <c r="FW402">
        <v>0</v>
      </c>
      <c r="FX402">
        <v>-1</v>
      </c>
      <c r="FY402">
        <v>0</v>
      </c>
      <c r="FZ402">
        <v>0</v>
      </c>
      <c r="GA402" t="s">
        <v>420</v>
      </c>
      <c r="GB402">
        <v>2.98127</v>
      </c>
      <c r="GC402">
        <v>2.7062</v>
      </c>
      <c r="GD402">
        <v>0.157003</v>
      </c>
      <c r="GE402">
        <v>0.162342</v>
      </c>
      <c r="GF402">
        <v>0.089007</v>
      </c>
      <c r="GG402">
        <v>0.0510797</v>
      </c>
      <c r="GH402">
        <v>26640</v>
      </c>
      <c r="GI402">
        <v>26528</v>
      </c>
      <c r="GJ402">
        <v>29379</v>
      </c>
      <c r="GK402">
        <v>29293.4</v>
      </c>
      <c r="GL402">
        <v>35437.7</v>
      </c>
      <c r="GM402">
        <v>37030.2</v>
      </c>
      <c r="GN402">
        <v>41351.4</v>
      </c>
      <c r="GO402">
        <v>41813.7</v>
      </c>
      <c r="GP402">
        <v>1.96755</v>
      </c>
      <c r="GQ402">
        <v>1.85625</v>
      </c>
      <c r="GR402">
        <v>-0.00650063</v>
      </c>
      <c r="GS402">
        <v>0</v>
      </c>
      <c r="GT402">
        <v>25.0974</v>
      </c>
      <c r="GU402">
        <v>999.9</v>
      </c>
      <c r="GV402">
        <v>29.5</v>
      </c>
      <c r="GW402">
        <v>34.2</v>
      </c>
      <c r="GX402">
        <v>17.7264</v>
      </c>
      <c r="GY402">
        <v>62.5576</v>
      </c>
      <c r="GZ402">
        <v>35.4928</v>
      </c>
      <c r="HA402">
        <v>1</v>
      </c>
      <c r="HB402">
        <v>0.041466</v>
      </c>
      <c r="HC402">
        <v>1.48328</v>
      </c>
      <c r="HD402">
        <v>20.3279</v>
      </c>
      <c r="HE402">
        <v>5.21789</v>
      </c>
      <c r="HF402">
        <v>12.0099</v>
      </c>
      <c r="HG402">
        <v>4.9883</v>
      </c>
      <c r="HH402">
        <v>3.28853</v>
      </c>
      <c r="HI402">
        <v>1034.9</v>
      </c>
      <c r="HJ402">
        <v>9758.799999999999</v>
      </c>
      <c r="HK402">
        <v>5139.4</v>
      </c>
      <c r="HL402">
        <v>25.4</v>
      </c>
      <c r="HM402">
        <v>1.86748</v>
      </c>
      <c r="HN402">
        <v>1.86646</v>
      </c>
      <c r="HO402">
        <v>1.866</v>
      </c>
      <c r="HP402">
        <v>1.86584</v>
      </c>
      <c r="HQ402">
        <v>1.86768</v>
      </c>
      <c r="HR402">
        <v>1.87019</v>
      </c>
      <c r="HS402">
        <v>1.8689</v>
      </c>
      <c r="HT402">
        <v>1.87026</v>
      </c>
      <c r="HU402">
        <v>0</v>
      </c>
      <c r="HV402">
        <v>0</v>
      </c>
      <c r="HW402">
        <v>0</v>
      </c>
      <c r="HX402">
        <v>0</v>
      </c>
      <c r="HY402" t="s">
        <v>421</v>
      </c>
      <c r="HZ402" t="s">
        <v>422</v>
      </c>
      <c r="IA402" t="s">
        <v>423</v>
      </c>
      <c r="IB402" t="s">
        <v>423</v>
      </c>
      <c r="IC402" t="s">
        <v>423</v>
      </c>
      <c r="ID402" t="s">
        <v>423</v>
      </c>
      <c r="IE402">
        <v>0</v>
      </c>
      <c r="IF402">
        <v>100</v>
      </c>
      <c r="IG402">
        <v>100</v>
      </c>
      <c r="IH402">
        <v>-1.749</v>
      </c>
      <c r="II402">
        <v>0.0257</v>
      </c>
      <c r="IJ402">
        <v>-0.1559367209035702</v>
      </c>
      <c r="IK402">
        <v>-0.002077099775823331</v>
      </c>
      <c r="IL402">
        <v>4.593143279902166E-07</v>
      </c>
      <c r="IM402">
        <v>-1.865383991892071E-10</v>
      </c>
      <c r="IN402">
        <v>-0.0607165066849496</v>
      </c>
      <c r="IO402">
        <v>-0.01129461987421345</v>
      </c>
      <c r="IP402">
        <v>0.00116580895745559</v>
      </c>
      <c r="IQ402">
        <v>-1.679085872906199E-05</v>
      </c>
      <c r="IR402">
        <v>2</v>
      </c>
      <c r="IS402">
        <v>2290</v>
      </c>
      <c r="IT402">
        <v>0</v>
      </c>
      <c r="IU402">
        <v>32</v>
      </c>
      <c r="IV402">
        <v>17.1</v>
      </c>
      <c r="IW402">
        <v>17</v>
      </c>
      <c r="IX402">
        <v>1.99707</v>
      </c>
      <c r="IY402">
        <v>2.18628</v>
      </c>
      <c r="IZ402">
        <v>1.39648</v>
      </c>
      <c r="JA402">
        <v>2.35596</v>
      </c>
      <c r="JB402">
        <v>1.49536</v>
      </c>
      <c r="JC402">
        <v>2.35718</v>
      </c>
      <c r="JD402">
        <v>38.0134</v>
      </c>
      <c r="JE402">
        <v>24.0437</v>
      </c>
      <c r="JF402">
        <v>18</v>
      </c>
      <c r="JG402">
        <v>512.393</v>
      </c>
      <c r="JH402">
        <v>426.971</v>
      </c>
      <c r="JI402">
        <v>23.1528</v>
      </c>
      <c r="JJ402">
        <v>27.8548</v>
      </c>
      <c r="JK402">
        <v>29.9999</v>
      </c>
      <c r="JL402">
        <v>27.8663</v>
      </c>
      <c r="JM402">
        <v>27.8092</v>
      </c>
      <c r="JN402">
        <v>40.0187</v>
      </c>
      <c r="JO402">
        <v>46.9143</v>
      </c>
      <c r="JP402">
        <v>0</v>
      </c>
      <c r="JQ402">
        <v>23.1572</v>
      </c>
      <c r="JR402">
        <v>954.303</v>
      </c>
      <c r="JS402">
        <v>8.97906</v>
      </c>
      <c r="JT402">
        <v>100.422</v>
      </c>
      <c r="JU402">
        <v>100.353</v>
      </c>
    </row>
    <row r="403" spans="1:281">
      <c r="A403">
        <v>387</v>
      </c>
      <c r="B403">
        <v>1651866537.5</v>
      </c>
      <c r="C403">
        <v>2316.900000095367</v>
      </c>
      <c r="D403" t="s">
        <v>1197</v>
      </c>
      <c r="E403" t="s">
        <v>1198</v>
      </c>
      <c r="F403">
        <v>2</v>
      </c>
      <c r="G403" t="s">
        <v>908</v>
      </c>
      <c r="H403" t="s">
        <v>414</v>
      </c>
      <c r="I403">
        <v>1651866536.5</v>
      </c>
      <c r="J403">
        <f>(K403)/1000</f>
        <v>0</v>
      </c>
      <c r="K403">
        <f>IF(CZ403, AN403, AH403)</f>
        <v>0</v>
      </c>
      <c r="L403">
        <f>IF(CZ403, AI403, AG403)</f>
        <v>0</v>
      </c>
      <c r="M403">
        <f>DB403 - IF(AU403&gt;1, L403*CV403*100.0/(AW403*DP403), 0)</f>
        <v>0</v>
      </c>
      <c r="N403">
        <f>((T403-J403/2)*M403-L403)/(T403+J403/2)</f>
        <v>0</v>
      </c>
      <c r="O403">
        <f>N403*(DI403+DJ403)/1000.0</f>
        <v>0</v>
      </c>
      <c r="P403">
        <f>(DB403 - IF(AU403&gt;1, L403*CV403*100.0/(AW403*DP403), 0))*(DI403+DJ403)/1000.0</f>
        <v>0</v>
      </c>
      <c r="Q403">
        <f>2.0/((1/S403-1/R403)+SIGN(S403)*SQRT((1/S403-1/R403)*(1/S403-1/R403) + 4*CW403/((CW403+1)*(CW403+1))*(2*1/S403*1/R403-1/R403*1/R403)))</f>
        <v>0</v>
      </c>
      <c r="R403">
        <f>IF(LEFT(CX403,1)&lt;&gt;"0",IF(LEFT(CX403,1)="1",3.0,CY403),$D$5+$E$5*(DP403*DI403/($K$5*1000))+$F$5*(DP403*DI403/($K$5*1000))*MAX(MIN(CV403,$J$5),$I$5)*MAX(MIN(CV403,$J$5),$I$5)+$G$5*MAX(MIN(CV403,$J$5),$I$5)*(DP403*DI403/($K$5*1000))+$H$5*(DP403*DI403/($K$5*1000))*(DP403*DI403/($K$5*1000)))</f>
        <v>0</v>
      </c>
      <c r="S403">
        <f>J403*(1000-(1000*0.61365*exp(17.502*W403/(240.97+W403))/(DI403+DJ403)+DD403)/2)/(1000*0.61365*exp(17.502*W403/(240.97+W403))/(DI403+DJ403)-DD403)</f>
        <v>0</v>
      </c>
      <c r="T403">
        <f>1/((CW403+1)/(Q403/1.6)+1/(R403/1.37)) + CW403/((CW403+1)/(Q403/1.6) + CW403/(R403/1.37))</f>
        <v>0</v>
      </c>
      <c r="U403">
        <f>(CR403*CU403)</f>
        <v>0</v>
      </c>
      <c r="V403">
        <f>(DK403+(U403+2*0.95*5.67E-8*(((DK403+$B$7)+273)^4-(DK403+273)^4)-44100*J403)/(1.84*29.3*R403+8*0.95*5.67E-8*(DK403+273)^3))</f>
        <v>0</v>
      </c>
      <c r="W403">
        <f>($C$7*DL403+$D$7*DM403+$E$7*V403)</f>
        <v>0</v>
      </c>
      <c r="X403">
        <f>0.61365*exp(17.502*W403/(240.97+W403))</f>
        <v>0</v>
      </c>
      <c r="Y403">
        <f>(Z403/AA403*100)</f>
        <v>0</v>
      </c>
      <c r="Z403">
        <f>DD403*(DI403+DJ403)/1000</f>
        <v>0</v>
      </c>
      <c r="AA403">
        <f>0.61365*exp(17.502*DK403/(240.97+DK403))</f>
        <v>0</v>
      </c>
      <c r="AB403">
        <f>(X403-DD403*(DI403+DJ403)/1000)</f>
        <v>0</v>
      </c>
      <c r="AC403">
        <f>(-J403*44100)</f>
        <v>0</v>
      </c>
      <c r="AD403">
        <f>2*29.3*R403*0.92*(DK403-W403)</f>
        <v>0</v>
      </c>
      <c r="AE403">
        <f>2*0.95*5.67E-8*(((DK403+$B$7)+273)^4-(W403+273)^4)</f>
        <v>0</v>
      </c>
      <c r="AF403">
        <f>U403+AE403+AC403+AD403</f>
        <v>0</v>
      </c>
      <c r="AG403">
        <f>DH403*AU403*(DC403-DB403*(1000-AU403*DE403)/(1000-AU403*DD403))/(100*CV403)</f>
        <v>0</v>
      </c>
      <c r="AH403">
        <f>1000*DH403*AU403*(DD403-DE403)/(100*CV403*(1000-AU403*DD403))</f>
        <v>0</v>
      </c>
      <c r="AI403">
        <f>(AJ403 - AK403 - DI403*1E3/(8.314*(DK403+273.15)) * AM403/DH403 * AL403) * DH403/(100*CV403) * (1000 - DE403)/1000</f>
        <v>0</v>
      </c>
      <c r="AJ403">
        <v>943.6643099052644</v>
      </c>
      <c r="AK403">
        <v>896.3190787878784</v>
      </c>
      <c r="AL403">
        <v>3.376892891792772</v>
      </c>
      <c r="AM403">
        <v>66.38195617057868</v>
      </c>
      <c r="AN403">
        <f>(AP403 - AO403 + DI403*1E3/(8.314*(DK403+273.15)) * AR403/DH403 * AQ403) * DH403/(100*CV403) * 1000/(1000 - AP403)</f>
        <v>0</v>
      </c>
      <c r="AO403">
        <v>9.025022519693758</v>
      </c>
      <c r="AP403">
        <v>18.70109029411765</v>
      </c>
      <c r="AQ403">
        <v>-4.515223743826078E-07</v>
      </c>
      <c r="AR403">
        <v>80.47178418790507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MAX(0,($B$13+$C$13*DP403)/(1+$D$13*DP403)*DI403/(DK403+273)*$E$13)</f>
        <v>0</v>
      </c>
      <c r="AX403" t="s">
        <v>417</v>
      </c>
      <c r="AY403" t="s">
        <v>417</v>
      </c>
      <c r="AZ403">
        <v>0</v>
      </c>
      <c r="BA403">
        <v>0</v>
      </c>
      <c r="BB403">
        <f>1-AZ403/BA403</f>
        <v>0</v>
      </c>
      <c r="BC403">
        <v>0</v>
      </c>
      <c r="BD403" t="s">
        <v>417</v>
      </c>
      <c r="BE403" t="s">
        <v>417</v>
      </c>
      <c r="BF403">
        <v>0</v>
      </c>
      <c r="BG403">
        <v>0</v>
      </c>
      <c r="BH403">
        <f>1-BF403/BG403</f>
        <v>0</v>
      </c>
      <c r="BI403">
        <v>0.5</v>
      </c>
      <c r="BJ403">
        <f>CS403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417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BZ403">
        <v>1249</v>
      </c>
      <c r="CA403">
        <v>300</v>
      </c>
      <c r="CB403">
        <v>300</v>
      </c>
      <c r="CC403">
        <v>300</v>
      </c>
      <c r="CD403">
        <v>10442.4</v>
      </c>
      <c r="CE403">
        <v>1239.69</v>
      </c>
      <c r="CF403">
        <v>-0.00735276</v>
      </c>
      <c r="CG403">
        <v>0.07000000000000001</v>
      </c>
      <c r="CH403" t="s">
        <v>417</v>
      </c>
      <c r="CI403" t="s">
        <v>417</v>
      </c>
      <c r="CJ403" t="s">
        <v>417</v>
      </c>
      <c r="CK403" t="s">
        <v>417</v>
      </c>
      <c r="CL403" t="s">
        <v>417</v>
      </c>
      <c r="CM403" t="s">
        <v>417</v>
      </c>
      <c r="CN403" t="s">
        <v>417</v>
      </c>
      <c r="CO403" t="s">
        <v>417</v>
      </c>
      <c r="CP403" t="s">
        <v>417</v>
      </c>
      <c r="CQ403" t="s">
        <v>417</v>
      </c>
      <c r="CR403">
        <f>$B$11*DQ403+$C$11*DR403+$F$11*EC403*(1-EF403)</f>
        <v>0</v>
      </c>
      <c r="CS403">
        <f>CR403*CT403</f>
        <v>0</v>
      </c>
      <c r="CT403">
        <f>($B$11*$D$9+$C$11*$D$9+$F$11*((EP403+EH403)/MAX(EP403+EH403+EQ403, 0.1)*$I$9+EQ403/MAX(EP403+EH403+EQ403, 0.1)*$J$9))/($B$11+$C$11+$F$11)</f>
        <v>0</v>
      </c>
      <c r="CU403">
        <f>($B$11*$K$9+$C$11*$K$9+$F$11*((EP403+EH403)/MAX(EP403+EH403+EQ403, 0.1)*$P$9+EQ403/MAX(EP403+EH403+EQ403, 0.1)*$Q$9))/($B$11+$C$11+$F$11)</f>
        <v>0</v>
      </c>
      <c r="CV403">
        <v>6</v>
      </c>
      <c r="CW403">
        <v>0.5</v>
      </c>
      <c r="CX403" t="s">
        <v>418</v>
      </c>
      <c r="CY403">
        <v>2</v>
      </c>
      <c r="CZ403" t="b">
        <v>1</v>
      </c>
      <c r="DA403">
        <v>1651866536.5</v>
      </c>
      <c r="DB403">
        <v>877.9066666666668</v>
      </c>
      <c r="DC403">
        <v>940.6796666666665</v>
      </c>
      <c r="DD403">
        <v>18.70226666666667</v>
      </c>
      <c r="DE403">
        <v>8.977503333333333</v>
      </c>
      <c r="DF403">
        <v>879.6613333333333</v>
      </c>
      <c r="DG403">
        <v>18.6767</v>
      </c>
      <c r="DH403">
        <v>500.0096666666666</v>
      </c>
      <c r="DI403">
        <v>89.9141</v>
      </c>
      <c r="DJ403">
        <v>0.09998193333333334</v>
      </c>
      <c r="DK403">
        <v>25.9388</v>
      </c>
      <c r="DL403">
        <v>24.9886</v>
      </c>
      <c r="DM403">
        <v>999.9</v>
      </c>
      <c r="DN403">
        <v>0</v>
      </c>
      <c r="DO403">
        <v>0</v>
      </c>
      <c r="DP403">
        <v>10013.73333333333</v>
      </c>
      <c r="DQ403">
        <v>0</v>
      </c>
      <c r="DR403">
        <v>3.232866666666667</v>
      </c>
      <c r="DS403">
        <v>-62.77323333333333</v>
      </c>
      <c r="DT403">
        <v>894.6383333333333</v>
      </c>
      <c r="DU403">
        <v>949.2013333333333</v>
      </c>
      <c r="DV403">
        <v>9.724776666666665</v>
      </c>
      <c r="DW403">
        <v>940.6796666666665</v>
      </c>
      <c r="DX403">
        <v>8.977503333333333</v>
      </c>
      <c r="DY403">
        <v>1.6816</v>
      </c>
      <c r="DZ403">
        <v>0.807204</v>
      </c>
      <c r="EA403">
        <v>14.72763333333334</v>
      </c>
      <c r="EB403">
        <v>3.834626666666667</v>
      </c>
      <c r="EC403">
        <v>1500.06</v>
      </c>
      <c r="ED403">
        <v>0.972997</v>
      </c>
      <c r="EE403">
        <v>0.0270027</v>
      </c>
      <c r="EF403">
        <v>0</v>
      </c>
      <c r="EG403">
        <v>915.2293333333333</v>
      </c>
      <c r="EH403">
        <v>5.00097</v>
      </c>
      <c r="EI403">
        <v>13628.56666666667</v>
      </c>
      <c r="EJ403">
        <v>12492.06666666667</v>
      </c>
      <c r="EK403">
        <v>38.062</v>
      </c>
      <c r="EL403">
        <v>39.25</v>
      </c>
      <c r="EM403">
        <v>38.437</v>
      </c>
      <c r="EN403">
        <v>38.91633333333333</v>
      </c>
      <c r="EO403">
        <v>38.875</v>
      </c>
      <c r="EP403">
        <v>1454.69</v>
      </c>
      <c r="EQ403">
        <v>40.37</v>
      </c>
      <c r="ER403">
        <v>0</v>
      </c>
      <c r="ES403">
        <v>1055</v>
      </c>
      <c r="ET403">
        <v>0</v>
      </c>
      <c r="EU403">
        <v>916.2307999999998</v>
      </c>
      <c r="EV403">
        <v>-8.712769233153262</v>
      </c>
      <c r="EW403">
        <v>-116.2000002054126</v>
      </c>
      <c r="EX403">
        <v>13639.944</v>
      </c>
      <c r="EY403">
        <v>15</v>
      </c>
      <c r="EZ403">
        <v>1651865518.1</v>
      </c>
      <c r="FA403" t="s">
        <v>910</v>
      </c>
      <c r="FB403">
        <v>1651865507.1</v>
      </c>
      <c r="FC403">
        <v>1651865518.1</v>
      </c>
      <c r="FD403">
        <v>8</v>
      </c>
      <c r="FE403">
        <v>0.06</v>
      </c>
      <c r="FF403">
        <v>0</v>
      </c>
      <c r="FG403">
        <v>-0.927</v>
      </c>
      <c r="FH403">
        <v>-0.062</v>
      </c>
      <c r="FI403">
        <v>400</v>
      </c>
      <c r="FJ403">
        <v>11</v>
      </c>
      <c r="FK403">
        <v>0.11</v>
      </c>
      <c r="FL403">
        <v>0.01</v>
      </c>
      <c r="FM403">
        <v>-63.161025</v>
      </c>
      <c r="FN403">
        <v>0.9885793621014611</v>
      </c>
      <c r="FO403">
        <v>0.1689304749741743</v>
      </c>
      <c r="FP403">
        <v>-1</v>
      </c>
      <c r="FQ403">
        <v>9.682838499999999</v>
      </c>
      <c r="FR403">
        <v>0.1085945966228738</v>
      </c>
      <c r="FS403">
        <v>0.01567992897783658</v>
      </c>
      <c r="FT403">
        <v>-1</v>
      </c>
      <c r="FU403">
        <v>0</v>
      </c>
      <c r="FV403">
        <v>0</v>
      </c>
      <c r="FW403">
        <v>0</v>
      </c>
      <c r="FX403">
        <v>-1</v>
      </c>
      <c r="FY403">
        <v>0</v>
      </c>
      <c r="FZ403">
        <v>0</v>
      </c>
      <c r="GA403" t="s">
        <v>420</v>
      </c>
      <c r="GB403">
        <v>2.98147</v>
      </c>
      <c r="GC403">
        <v>2.70628</v>
      </c>
      <c r="GD403">
        <v>0.157779</v>
      </c>
      <c r="GE403">
        <v>0.163033</v>
      </c>
      <c r="GF403">
        <v>0.0889774</v>
      </c>
      <c r="GG403">
        <v>0.0510099</v>
      </c>
      <c r="GH403">
        <v>26615.7</v>
      </c>
      <c r="GI403">
        <v>26505.9</v>
      </c>
      <c r="GJ403">
        <v>29379.3</v>
      </c>
      <c r="GK403">
        <v>29293.2</v>
      </c>
      <c r="GL403">
        <v>35439.3</v>
      </c>
      <c r="GM403">
        <v>37032.7</v>
      </c>
      <c r="GN403">
        <v>41351.9</v>
      </c>
      <c r="GO403">
        <v>41813.4</v>
      </c>
      <c r="GP403">
        <v>1.96758</v>
      </c>
      <c r="GQ403">
        <v>1.85597</v>
      </c>
      <c r="GR403">
        <v>-0.00655651</v>
      </c>
      <c r="GS403">
        <v>0</v>
      </c>
      <c r="GT403">
        <v>25.0974</v>
      </c>
      <c r="GU403">
        <v>999.9</v>
      </c>
      <c r="GV403">
        <v>29.5</v>
      </c>
      <c r="GW403">
        <v>34.2</v>
      </c>
      <c r="GX403">
        <v>17.7255</v>
      </c>
      <c r="GY403">
        <v>62.5676</v>
      </c>
      <c r="GZ403">
        <v>35.1763</v>
      </c>
      <c r="HA403">
        <v>1</v>
      </c>
      <c r="HB403">
        <v>0.0414583</v>
      </c>
      <c r="HC403">
        <v>1.47588</v>
      </c>
      <c r="HD403">
        <v>20.328</v>
      </c>
      <c r="HE403">
        <v>5.21804</v>
      </c>
      <c r="HF403">
        <v>12.0099</v>
      </c>
      <c r="HG403">
        <v>4.9886</v>
      </c>
      <c r="HH403">
        <v>3.28853</v>
      </c>
      <c r="HI403">
        <v>1035.1</v>
      </c>
      <c r="HJ403">
        <v>9760.299999999999</v>
      </c>
      <c r="HK403">
        <v>5139.4</v>
      </c>
      <c r="HL403">
        <v>25.4</v>
      </c>
      <c r="HM403">
        <v>1.86748</v>
      </c>
      <c r="HN403">
        <v>1.86646</v>
      </c>
      <c r="HO403">
        <v>1.866</v>
      </c>
      <c r="HP403">
        <v>1.86584</v>
      </c>
      <c r="HQ403">
        <v>1.86768</v>
      </c>
      <c r="HR403">
        <v>1.87017</v>
      </c>
      <c r="HS403">
        <v>1.8689</v>
      </c>
      <c r="HT403">
        <v>1.87024</v>
      </c>
      <c r="HU403">
        <v>0</v>
      </c>
      <c r="HV403">
        <v>0</v>
      </c>
      <c r="HW403">
        <v>0</v>
      </c>
      <c r="HX403">
        <v>0</v>
      </c>
      <c r="HY403" t="s">
        <v>421</v>
      </c>
      <c r="HZ403" t="s">
        <v>422</v>
      </c>
      <c r="IA403" t="s">
        <v>423</v>
      </c>
      <c r="IB403" t="s">
        <v>423</v>
      </c>
      <c r="IC403" t="s">
        <v>423</v>
      </c>
      <c r="ID403" t="s">
        <v>423</v>
      </c>
      <c r="IE403">
        <v>0</v>
      </c>
      <c r="IF403">
        <v>100</v>
      </c>
      <c r="IG403">
        <v>100</v>
      </c>
      <c r="IH403">
        <v>-1.76</v>
      </c>
      <c r="II403">
        <v>0.0256</v>
      </c>
      <c r="IJ403">
        <v>-0.1559367209035702</v>
      </c>
      <c r="IK403">
        <v>-0.002077099775823331</v>
      </c>
      <c r="IL403">
        <v>4.593143279902166E-07</v>
      </c>
      <c r="IM403">
        <v>-1.865383991892071E-10</v>
      </c>
      <c r="IN403">
        <v>-0.0607165066849496</v>
      </c>
      <c r="IO403">
        <v>-0.01129461987421345</v>
      </c>
      <c r="IP403">
        <v>0.00116580895745559</v>
      </c>
      <c r="IQ403">
        <v>-1.679085872906199E-05</v>
      </c>
      <c r="IR403">
        <v>2</v>
      </c>
      <c r="IS403">
        <v>2290</v>
      </c>
      <c r="IT403">
        <v>0</v>
      </c>
      <c r="IU403">
        <v>32</v>
      </c>
      <c r="IV403">
        <v>17.2</v>
      </c>
      <c r="IW403">
        <v>17</v>
      </c>
      <c r="IX403">
        <v>2.00928</v>
      </c>
      <c r="IY403">
        <v>2.19116</v>
      </c>
      <c r="IZ403">
        <v>1.39648</v>
      </c>
      <c r="JA403">
        <v>2.35474</v>
      </c>
      <c r="JB403">
        <v>1.49536</v>
      </c>
      <c r="JC403">
        <v>2.33398</v>
      </c>
      <c r="JD403">
        <v>38.0134</v>
      </c>
      <c r="JE403">
        <v>24.035</v>
      </c>
      <c r="JF403">
        <v>18</v>
      </c>
      <c r="JG403">
        <v>512.401</v>
      </c>
      <c r="JH403">
        <v>426.804</v>
      </c>
      <c r="JI403">
        <v>23.1541</v>
      </c>
      <c r="JJ403">
        <v>27.8539</v>
      </c>
      <c r="JK403">
        <v>29.9999</v>
      </c>
      <c r="JL403">
        <v>27.8654</v>
      </c>
      <c r="JM403">
        <v>27.8088</v>
      </c>
      <c r="JN403">
        <v>40.2468</v>
      </c>
      <c r="JO403">
        <v>46.9143</v>
      </c>
      <c r="JP403">
        <v>0</v>
      </c>
      <c r="JQ403">
        <v>23.1572</v>
      </c>
      <c r="JR403">
        <v>961.001</v>
      </c>
      <c r="JS403">
        <v>8.97912</v>
      </c>
      <c r="JT403">
        <v>100.423</v>
      </c>
      <c r="JU403">
        <v>100.352</v>
      </c>
    </row>
    <row r="404" spans="1:281">
      <c r="A404">
        <v>388</v>
      </c>
      <c r="B404">
        <v>1651866539.5</v>
      </c>
      <c r="C404">
        <v>2318.900000095367</v>
      </c>
      <c r="D404" t="s">
        <v>1199</v>
      </c>
      <c r="E404" t="s">
        <v>1200</v>
      </c>
      <c r="F404">
        <v>2</v>
      </c>
      <c r="G404" t="s">
        <v>908</v>
      </c>
      <c r="H404" t="s">
        <v>414</v>
      </c>
      <c r="I404">
        <v>1651866538.125</v>
      </c>
      <c r="J404">
        <f>(K404)/1000</f>
        <v>0</v>
      </c>
      <c r="K404">
        <f>IF(CZ404, AN404, AH404)</f>
        <v>0</v>
      </c>
      <c r="L404">
        <f>IF(CZ404, AI404, AG404)</f>
        <v>0</v>
      </c>
      <c r="M404">
        <f>DB404 - IF(AU404&gt;1, L404*CV404*100.0/(AW404*DP404), 0)</f>
        <v>0</v>
      </c>
      <c r="N404">
        <f>((T404-J404/2)*M404-L404)/(T404+J404/2)</f>
        <v>0</v>
      </c>
      <c r="O404">
        <f>N404*(DI404+DJ404)/1000.0</f>
        <v>0</v>
      </c>
      <c r="P404">
        <f>(DB404 - IF(AU404&gt;1, L404*CV404*100.0/(AW404*DP404), 0))*(DI404+DJ404)/1000.0</f>
        <v>0</v>
      </c>
      <c r="Q404">
        <f>2.0/((1/S404-1/R404)+SIGN(S404)*SQRT((1/S404-1/R404)*(1/S404-1/R404) + 4*CW404/((CW404+1)*(CW404+1))*(2*1/S404*1/R404-1/R404*1/R404)))</f>
        <v>0</v>
      </c>
      <c r="R404">
        <f>IF(LEFT(CX404,1)&lt;&gt;"0",IF(LEFT(CX404,1)="1",3.0,CY404),$D$5+$E$5*(DP404*DI404/($K$5*1000))+$F$5*(DP404*DI404/($K$5*1000))*MAX(MIN(CV404,$J$5),$I$5)*MAX(MIN(CV404,$J$5),$I$5)+$G$5*MAX(MIN(CV404,$J$5),$I$5)*(DP404*DI404/($K$5*1000))+$H$5*(DP404*DI404/($K$5*1000))*(DP404*DI404/($K$5*1000)))</f>
        <v>0</v>
      </c>
      <c r="S404">
        <f>J404*(1000-(1000*0.61365*exp(17.502*W404/(240.97+W404))/(DI404+DJ404)+DD404)/2)/(1000*0.61365*exp(17.502*W404/(240.97+W404))/(DI404+DJ404)-DD404)</f>
        <v>0</v>
      </c>
      <c r="T404">
        <f>1/((CW404+1)/(Q404/1.6)+1/(R404/1.37)) + CW404/((CW404+1)/(Q404/1.6) + CW404/(R404/1.37))</f>
        <v>0</v>
      </c>
      <c r="U404">
        <f>(CR404*CU404)</f>
        <v>0</v>
      </c>
      <c r="V404">
        <f>(DK404+(U404+2*0.95*5.67E-8*(((DK404+$B$7)+273)^4-(DK404+273)^4)-44100*J404)/(1.84*29.3*R404+8*0.95*5.67E-8*(DK404+273)^3))</f>
        <v>0</v>
      </c>
      <c r="W404">
        <f>($C$7*DL404+$D$7*DM404+$E$7*V404)</f>
        <v>0</v>
      </c>
      <c r="X404">
        <f>0.61365*exp(17.502*W404/(240.97+W404))</f>
        <v>0</v>
      </c>
      <c r="Y404">
        <f>(Z404/AA404*100)</f>
        <v>0</v>
      </c>
      <c r="Z404">
        <f>DD404*(DI404+DJ404)/1000</f>
        <v>0</v>
      </c>
      <c r="AA404">
        <f>0.61365*exp(17.502*DK404/(240.97+DK404))</f>
        <v>0</v>
      </c>
      <c r="AB404">
        <f>(X404-DD404*(DI404+DJ404)/1000)</f>
        <v>0</v>
      </c>
      <c r="AC404">
        <f>(-J404*44100)</f>
        <v>0</v>
      </c>
      <c r="AD404">
        <f>2*29.3*R404*0.92*(DK404-W404)</f>
        <v>0</v>
      </c>
      <c r="AE404">
        <f>2*0.95*5.67E-8*(((DK404+$B$7)+273)^4-(W404+273)^4)</f>
        <v>0</v>
      </c>
      <c r="AF404">
        <f>U404+AE404+AC404+AD404</f>
        <v>0</v>
      </c>
      <c r="AG404">
        <f>DH404*AU404*(DC404-DB404*(1000-AU404*DE404)/(1000-AU404*DD404))/(100*CV404)</f>
        <v>0</v>
      </c>
      <c r="AH404">
        <f>1000*DH404*AU404*(DD404-DE404)/(100*CV404*(1000-AU404*DD404))</f>
        <v>0</v>
      </c>
      <c r="AI404">
        <f>(AJ404 - AK404 - DI404*1E3/(8.314*(DK404+273.15)) * AM404/DH404 * AL404) * DH404/(100*CV404) * (1000 - DE404)/1000</f>
        <v>0</v>
      </c>
      <c r="AJ404">
        <v>949.9167703043953</v>
      </c>
      <c r="AK404">
        <v>902.9663393939395</v>
      </c>
      <c r="AL404">
        <v>3.339908213749211</v>
      </c>
      <c r="AM404">
        <v>66.38195617057868</v>
      </c>
      <c r="AN404">
        <f>(AP404 - AO404 + DI404*1E3/(8.314*(DK404+273.15)) * AR404/DH404 * AQ404) * DH404/(100*CV404) * 1000/(1000 - AP404)</f>
        <v>0</v>
      </c>
      <c r="AO404">
        <v>8.995866497440051</v>
      </c>
      <c r="AP404">
        <v>18.68858058823528</v>
      </c>
      <c r="AQ404">
        <v>7.42552297211901E-06</v>
      </c>
      <c r="AR404">
        <v>80.47178418790507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MAX(0,($B$13+$C$13*DP404)/(1+$D$13*DP404)*DI404/(DK404+273)*$E$13)</f>
        <v>0</v>
      </c>
      <c r="AX404" t="s">
        <v>417</v>
      </c>
      <c r="AY404" t="s">
        <v>417</v>
      </c>
      <c r="AZ404">
        <v>0</v>
      </c>
      <c r="BA404">
        <v>0</v>
      </c>
      <c r="BB404">
        <f>1-AZ404/BA404</f>
        <v>0</v>
      </c>
      <c r="BC404">
        <v>0</v>
      </c>
      <c r="BD404" t="s">
        <v>417</v>
      </c>
      <c r="BE404" t="s">
        <v>417</v>
      </c>
      <c r="BF404">
        <v>0</v>
      </c>
      <c r="BG404">
        <v>0</v>
      </c>
      <c r="BH404">
        <f>1-BF404/BG404</f>
        <v>0</v>
      </c>
      <c r="BI404">
        <v>0.5</v>
      </c>
      <c r="BJ404">
        <f>CS404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417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BZ404">
        <v>1249</v>
      </c>
      <c r="CA404">
        <v>300</v>
      </c>
      <c r="CB404">
        <v>300</v>
      </c>
      <c r="CC404">
        <v>300</v>
      </c>
      <c r="CD404">
        <v>10442.4</v>
      </c>
      <c r="CE404">
        <v>1239.69</v>
      </c>
      <c r="CF404">
        <v>-0.00735276</v>
      </c>
      <c r="CG404">
        <v>0.07000000000000001</v>
      </c>
      <c r="CH404" t="s">
        <v>417</v>
      </c>
      <c r="CI404" t="s">
        <v>417</v>
      </c>
      <c r="CJ404" t="s">
        <v>417</v>
      </c>
      <c r="CK404" t="s">
        <v>417</v>
      </c>
      <c r="CL404" t="s">
        <v>417</v>
      </c>
      <c r="CM404" t="s">
        <v>417</v>
      </c>
      <c r="CN404" t="s">
        <v>417</v>
      </c>
      <c r="CO404" t="s">
        <v>417</v>
      </c>
      <c r="CP404" t="s">
        <v>417</v>
      </c>
      <c r="CQ404" t="s">
        <v>417</v>
      </c>
      <c r="CR404">
        <f>$B$11*DQ404+$C$11*DR404+$F$11*EC404*(1-EF404)</f>
        <v>0</v>
      </c>
      <c r="CS404">
        <f>CR404*CT404</f>
        <v>0</v>
      </c>
      <c r="CT404">
        <f>($B$11*$D$9+$C$11*$D$9+$F$11*((EP404+EH404)/MAX(EP404+EH404+EQ404, 0.1)*$I$9+EQ404/MAX(EP404+EH404+EQ404, 0.1)*$J$9))/($B$11+$C$11+$F$11)</f>
        <v>0</v>
      </c>
      <c r="CU404">
        <f>($B$11*$K$9+$C$11*$K$9+$F$11*((EP404+EH404)/MAX(EP404+EH404+EQ404, 0.1)*$P$9+EQ404/MAX(EP404+EH404+EQ404, 0.1)*$Q$9))/($B$11+$C$11+$F$11)</f>
        <v>0</v>
      </c>
      <c r="CV404">
        <v>6</v>
      </c>
      <c r="CW404">
        <v>0.5</v>
      </c>
      <c r="CX404" t="s">
        <v>418</v>
      </c>
      <c r="CY404">
        <v>2</v>
      </c>
      <c r="CZ404" t="b">
        <v>1</v>
      </c>
      <c r="DA404">
        <v>1651866538.125</v>
      </c>
      <c r="DB404">
        <v>883.2375000000001</v>
      </c>
      <c r="DC404">
        <v>945.77675</v>
      </c>
      <c r="DD404">
        <v>18.69385</v>
      </c>
      <c r="DE404">
        <v>8.971505000000001</v>
      </c>
      <c r="DF404">
        <v>885.0015</v>
      </c>
      <c r="DG404">
        <v>18.668375</v>
      </c>
      <c r="DH404">
        <v>500.064</v>
      </c>
      <c r="DI404">
        <v>89.914225</v>
      </c>
      <c r="DJ404">
        <v>0.100060625</v>
      </c>
      <c r="DK404">
        <v>25.938575</v>
      </c>
      <c r="DL404">
        <v>24.99105</v>
      </c>
      <c r="DM404">
        <v>999.9</v>
      </c>
      <c r="DN404">
        <v>0</v>
      </c>
      <c r="DO404">
        <v>0</v>
      </c>
      <c r="DP404">
        <v>10005.925</v>
      </c>
      <c r="DQ404">
        <v>0</v>
      </c>
      <c r="DR404">
        <v>3.23193</v>
      </c>
      <c r="DS404">
        <v>-62.53925</v>
      </c>
      <c r="DT404">
        <v>900.063</v>
      </c>
      <c r="DU404">
        <v>954.3387499999999</v>
      </c>
      <c r="DV404">
        <v>9.7223375</v>
      </c>
      <c r="DW404">
        <v>945.77675</v>
      </c>
      <c r="DX404">
        <v>8.971505000000001</v>
      </c>
      <c r="DY404">
        <v>1.680845</v>
      </c>
      <c r="DZ404">
        <v>0.80666625</v>
      </c>
      <c r="EA404">
        <v>14.72065</v>
      </c>
      <c r="EB404">
        <v>3.8251525</v>
      </c>
      <c r="EC404">
        <v>1499.915</v>
      </c>
      <c r="ED404">
        <v>0.9729945</v>
      </c>
      <c r="EE404">
        <v>0.02700535</v>
      </c>
      <c r="EF404">
        <v>0</v>
      </c>
      <c r="EG404">
        <v>915.1435</v>
      </c>
      <c r="EH404">
        <v>5.00097</v>
      </c>
      <c r="EI404">
        <v>13623.35</v>
      </c>
      <c r="EJ404">
        <v>12490.9</v>
      </c>
      <c r="EK404">
        <v>38.062</v>
      </c>
      <c r="EL404">
        <v>39.25</v>
      </c>
      <c r="EM404">
        <v>38.437</v>
      </c>
      <c r="EN404">
        <v>38.8905</v>
      </c>
      <c r="EO404">
        <v>38.875</v>
      </c>
      <c r="EP404">
        <v>1454.545</v>
      </c>
      <c r="EQ404">
        <v>40.37</v>
      </c>
      <c r="ER404">
        <v>0</v>
      </c>
      <c r="ES404">
        <v>1056.799999952316</v>
      </c>
      <c r="ET404">
        <v>0</v>
      </c>
      <c r="EU404">
        <v>916.0512307692309</v>
      </c>
      <c r="EV404">
        <v>-8.640068366641232</v>
      </c>
      <c r="EW404">
        <v>-120.3623931664601</v>
      </c>
      <c r="EX404">
        <v>13636.97692307692</v>
      </c>
      <c r="EY404">
        <v>15</v>
      </c>
      <c r="EZ404">
        <v>1651865518.1</v>
      </c>
      <c r="FA404" t="s">
        <v>910</v>
      </c>
      <c r="FB404">
        <v>1651865507.1</v>
      </c>
      <c r="FC404">
        <v>1651865518.1</v>
      </c>
      <c r="FD404">
        <v>8</v>
      </c>
      <c r="FE404">
        <v>0.06</v>
      </c>
      <c r="FF404">
        <v>0</v>
      </c>
      <c r="FG404">
        <v>-0.927</v>
      </c>
      <c r="FH404">
        <v>-0.062</v>
      </c>
      <c r="FI404">
        <v>400</v>
      </c>
      <c r="FJ404">
        <v>11</v>
      </c>
      <c r="FK404">
        <v>0.11</v>
      </c>
      <c r="FL404">
        <v>0.01</v>
      </c>
      <c r="FM404">
        <v>-63.12941249999999</v>
      </c>
      <c r="FN404">
        <v>1.460707317073333</v>
      </c>
      <c r="FO404">
        <v>0.2124153033417087</v>
      </c>
      <c r="FP404">
        <v>-1</v>
      </c>
      <c r="FQ404">
        <v>9.68529775</v>
      </c>
      <c r="FR404">
        <v>0.1365821763601714</v>
      </c>
      <c r="FS404">
        <v>0.0179545035419389</v>
      </c>
      <c r="FT404">
        <v>-1</v>
      </c>
      <c r="FU404">
        <v>0</v>
      </c>
      <c r="FV404">
        <v>0</v>
      </c>
      <c r="FW404">
        <v>0</v>
      </c>
      <c r="FX404">
        <v>-1</v>
      </c>
      <c r="FY404">
        <v>0</v>
      </c>
      <c r="FZ404">
        <v>0</v>
      </c>
      <c r="GA404" t="s">
        <v>420</v>
      </c>
      <c r="GB404">
        <v>2.98155</v>
      </c>
      <c r="GC404">
        <v>2.70617</v>
      </c>
      <c r="GD404">
        <v>0.158544</v>
      </c>
      <c r="GE404">
        <v>0.163753</v>
      </c>
      <c r="GF404">
        <v>0.08894050000000001</v>
      </c>
      <c r="GG404">
        <v>0.0509967</v>
      </c>
      <c r="GH404">
        <v>26591.2</v>
      </c>
      <c r="GI404">
        <v>26483.1</v>
      </c>
      <c r="GJ404">
        <v>29379</v>
      </c>
      <c r="GK404">
        <v>29293.3</v>
      </c>
      <c r="GL404">
        <v>35440.2</v>
      </c>
      <c r="GM404">
        <v>37033.2</v>
      </c>
      <c r="GN404">
        <v>41351.2</v>
      </c>
      <c r="GO404">
        <v>41813.4</v>
      </c>
      <c r="GP404">
        <v>1.9676</v>
      </c>
      <c r="GQ404">
        <v>1.85592</v>
      </c>
      <c r="GR404">
        <v>-0.00627711</v>
      </c>
      <c r="GS404">
        <v>0</v>
      </c>
      <c r="GT404">
        <v>25.0974</v>
      </c>
      <c r="GU404">
        <v>999.9</v>
      </c>
      <c r="GV404">
        <v>29.5</v>
      </c>
      <c r="GW404">
        <v>34.2</v>
      </c>
      <c r="GX404">
        <v>17.7261</v>
      </c>
      <c r="GY404">
        <v>62.3976</v>
      </c>
      <c r="GZ404">
        <v>35.1162</v>
      </c>
      <c r="HA404">
        <v>1</v>
      </c>
      <c r="HB404">
        <v>0.0414558</v>
      </c>
      <c r="HC404">
        <v>1.47454</v>
      </c>
      <c r="HD404">
        <v>20.3281</v>
      </c>
      <c r="HE404">
        <v>5.21849</v>
      </c>
      <c r="HF404">
        <v>12.0099</v>
      </c>
      <c r="HG404">
        <v>4.9889</v>
      </c>
      <c r="HH404">
        <v>3.28858</v>
      </c>
      <c r="HI404">
        <v>1035.1</v>
      </c>
      <c r="HJ404">
        <v>9760.299999999999</v>
      </c>
      <c r="HK404">
        <v>5139.4</v>
      </c>
      <c r="HL404">
        <v>25.4</v>
      </c>
      <c r="HM404">
        <v>1.86748</v>
      </c>
      <c r="HN404">
        <v>1.86646</v>
      </c>
      <c r="HO404">
        <v>1.866</v>
      </c>
      <c r="HP404">
        <v>1.86584</v>
      </c>
      <c r="HQ404">
        <v>1.86768</v>
      </c>
      <c r="HR404">
        <v>1.87018</v>
      </c>
      <c r="HS404">
        <v>1.8689</v>
      </c>
      <c r="HT404">
        <v>1.87026</v>
      </c>
      <c r="HU404">
        <v>0</v>
      </c>
      <c r="HV404">
        <v>0</v>
      </c>
      <c r="HW404">
        <v>0</v>
      </c>
      <c r="HX404">
        <v>0</v>
      </c>
      <c r="HY404" t="s">
        <v>421</v>
      </c>
      <c r="HZ404" t="s">
        <v>422</v>
      </c>
      <c r="IA404" t="s">
        <v>423</v>
      </c>
      <c r="IB404" t="s">
        <v>423</v>
      </c>
      <c r="IC404" t="s">
        <v>423</v>
      </c>
      <c r="ID404" t="s">
        <v>423</v>
      </c>
      <c r="IE404">
        <v>0</v>
      </c>
      <c r="IF404">
        <v>100</v>
      </c>
      <c r="IG404">
        <v>100</v>
      </c>
      <c r="IH404">
        <v>-1.772</v>
      </c>
      <c r="II404">
        <v>0.0254</v>
      </c>
      <c r="IJ404">
        <v>-0.1559367209035702</v>
      </c>
      <c r="IK404">
        <v>-0.002077099775823331</v>
      </c>
      <c r="IL404">
        <v>4.593143279902166E-07</v>
      </c>
      <c r="IM404">
        <v>-1.865383991892071E-10</v>
      </c>
      <c r="IN404">
        <v>-0.0607165066849496</v>
      </c>
      <c r="IO404">
        <v>-0.01129461987421345</v>
      </c>
      <c r="IP404">
        <v>0.00116580895745559</v>
      </c>
      <c r="IQ404">
        <v>-1.679085872906199E-05</v>
      </c>
      <c r="IR404">
        <v>2</v>
      </c>
      <c r="IS404">
        <v>2290</v>
      </c>
      <c r="IT404">
        <v>0</v>
      </c>
      <c r="IU404">
        <v>32</v>
      </c>
      <c r="IV404">
        <v>17.2</v>
      </c>
      <c r="IW404">
        <v>17</v>
      </c>
      <c r="IX404">
        <v>2.02026</v>
      </c>
      <c r="IY404">
        <v>2.19238</v>
      </c>
      <c r="IZ404">
        <v>1.39648</v>
      </c>
      <c r="JA404">
        <v>2.35596</v>
      </c>
      <c r="JB404">
        <v>1.49536</v>
      </c>
      <c r="JC404">
        <v>2.2998</v>
      </c>
      <c r="JD404">
        <v>38.0134</v>
      </c>
      <c r="JE404">
        <v>24.035</v>
      </c>
      <c r="JF404">
        <v>18</v>
      </c>
      <c r="JG404">
        <v>512.418</v>
      </c>
      <c r="JH404">
        <v>426.774</v>
      </c>
      <c r="JI404">
        <v>23.1564</v>
      </c>
      <c r="JJ404">
        <v>27.8539</v>
      </c>
      <c r="JK404">
        <v>29.9999</v>
      </c>
      <c r="JL404">
        <v>27.8654</v>
      </c>
      <c r="JM404">
        <v>27.8088</v>
      </c>
      <c r="JN404">
        <v>40.4722</v>
      </c>
      <c r="JO404">
        <v>46.9143</v>
      </c>
      <c r="JP404">
        <v>0</v>
      </c>
      <c r="JQ404">
        <v>23.1572</v>
      </c>
      <c r="JR404">
        <v>967.681</v>
      </c>
      <c r="JS404">
        <v>8.97912</v>
      </c>
      <c r="JT404">
        <v>100.422</v>
      </c>
      <c r="JU404">
        <v>100.352</v>
      </c>
    </row>
    <row r="405" spans="1:281">
      <c r="A405">
        <v>389</v>
      </c>
      <c r="B405">
        <v>1651866541.5</v>
      </c>
      <c r="C405">
        <v>2320.900000095367</v>
      </c>
      <c r="D405" t="s">
        <v>1201</v>
      </c>
      <c r="E405" t="s">
        <v>1202</v>
      </c>
      <c r="F405">
        <v>2</v>
      </c>
      <c r="G405" t="s">
        <v>908</v>
      </c>
      <c r="H405" t="s">
        <v>414</v>
      </c>
      <c r="I405">
        <v>1651866540.5</v>
      </c>
      <c r="J405">
        <f>(K405)/1000</f>
        <v>0</v>
      </c>
      <c r="K405">
        <f>IF(CZ405, AN405, AH405)</f>
        <v>0</v>
      </c>
      <c r="L405">
        <f>IF(CZ405, AI405, AG405)</f>
        <v>0</v>
      </c>
      <c r="M405">
        <f>DB405 - IF(AU405&gt;1, L405*CV405*100.0/(AW405*DP405), 0)</f>
        <v>0</v>
      </c>
      <c r="N405">
        <f>((T405-J405/2)*M405-L405)/(T405+J405/2)</f>
        <v>0</v>
      </c>
      <c r="O405">
        <f>N405*(DI405+DJ405)/1000.0</f>
        <v>0</v>
      </c>
      <c r="P405">
        <f>(DB405 - IF(AU405&gt;1, L405*CV405*100.0/(AW405*DP405), 0))*(DI405+DJ405)/1000.0</f>
        <v>0</v>
      </c>
      <c r="Q405">
        <f>2.0/((1/S405-1/R405)+SIGN(S405)*SQRT((1/S405-1/R405)*(1/S405-1/R405) + 4*CW405/((CW405+1)*(CW405+1))*(2*1/S405*1/R405-1/R405*1/R405)))</f>
        <v>0</v>
      </c>
      <c r="R405">
        <f>IF(LEFT(CX405,1)&lt;&gt;"0",IF(LEFT(CX405,1)="1",3.0,CY405),$D$5+$E$5*(DP405*DI405/($K$5*1000))+$F$5*(DP405*DI405/($K$5*1000))*MAX(MIN(CV405,$J$5),$I$5)*MAX(MIN(CV405,$J$5),$I$5)+$G$5*MAX(MIN(CV405,$J$5),$I$5)*(DP405*DI405/($K$5*1000))+$H$5*(DP405*DI405/($K$5*1000))*(DP405*DI405/($K$5*1000)))</f>
        <v>0</v>
      </c>
      <c r="S405">
        <f>J405*(1000-(1000*0.61365*exp(17.502*W405/(240.97+W405))/(DI405+DJ405)+DD405)/2)/(1000*0.61365*exp(17.502*W405/(240.97+W405))/(DI405+DJ405)-DD405)</f>
        <v>0</v>
      </c>
      <c r="T405">
        <f>1/((CW405+1)/(Q405/1.6)+1/(R405/1.37)) + CW405/((CW405+1)/(Q405/1.6) + CW405/(R405/1.37))</f>
        <v>0</v>
      </c>
      <c r="U405">
        <f>(CR405*CU405)</f>
        <v>0</v>
      </c>
      <c r="V405">
        <f>(DK405+(U405+2*0.95*5.67E-8*(((DK405+$B$7)+273)^4-(DK405+273)^4)-44100*J405)/(1.84*29.3*R405+8*0.95*5.67E-8*(DK405+273)^3))</f>
        <v>0</v>
      </c>
      <c r="W405">
        <f>($C$7*DL405+$D$7*DM405+$E$7*V405)</f>
        <v>0</v>
      </c>
      <c r="X405">
        <f>0.61365*exp(17.502*W405/(240.97+W405))</f>
        <v>0</v>
      </c>
      <c r="Y405">
        <f>(Z405/AA405*100)</f>
        <v>0</v>
      </c>
      <c r="Z405">
        <f>DD405*(DI405+DJ405)/1000</f>
        <v>0</v>
      </c>
      <c r="AA405">
        <f>0.61365*exp(17.502*DK405/(240.97+DK405))</f>
        <v>0</v>
      </c>
      <c r="AB405">
        <f>(X405-DD405*(DI405+DJ405)/1000)</f>
        <v>0</v>
      </c>
      <c r="AC405">
        <f>(-J405*44100)</f>
        <v>0</v>
      </c>
      <c r="AD405">
        <f>2*29.3*R405*0.92*(DK405-W405)</f>
        <v>0</v>
      </c>
      <c r="AE405">
        <f>2*0.95*5.67E-8*(((DK405+$B$7)+273)^4-(W405+273)^4)</f>
        <v>0</v>
      </c>
      <c r="AF405">
        <f>U405+AE405+AC405+AD405</f>
        <v>0</v>
      </c>
      <c r="AG405">
        <f>DH405*AU405*(DC405-DB405*(1000-AU405*DE405)/(1000-AU405*DD405))/(100*CV405)</f>
        <v>0</v>
      </c>
      <c r="AH405">
        <f>1000*DH405*AU405*(DD405-DE405)/(100*CV405*(1000-AU405*DD405))</f>
        <v>0</v>
      </c>
      <c r="AI405">
        <f>(AJ405 - AK405 - DI405*1E3/(8.314*(DK405+273.15)) * AM405/DH405 * AL405) * DH405/(100*CV405) * (1000 - DE405)/1000</f>
        <v>0</v>
      </c>
      <c r="AJ405">
        <v>956.2877536985418</v>
      </c>
      <c r="AK405">
        <v>909.5530181818179</v>
      </c>
      <c r="AL405">
        <v>3.302674527268197</v>
      </c>
      <c r="AM405">
        <v>66.38195617057868</v>
      </c>
      <c r="AN405">
        <f>(AP405 - AO405 + DI405*1E3/(8.314*(DK405+273.15)) * AR405/DH405 * AQ405) * DH405/(100*CV405) * 1000/(1000 - AP405)</f>
        <v>0</v>
      </c>
      <c r="AO405">
        <v>8.975263159884449</v>
      </c>
      <c r="AP405">
        <v>18.67837941176471</v>
      </c>
      <c r="AQ405">
        <v>-6.689159846080685E-05</v>
      </c>
      <c r="AR405">
        <v>80.47178418790507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MAX(0,($B$13+$C$13*DP405)/(1+$D$13*DP405)*DI405/(DK405+273)*$E$13)</f>
        <v>0</v>
      </c>
      <c r="AX405" t="s">
        <v>417</v>
      </c>
      <c r="AY405" t="s">
        <v>417</v>
      </c>
      <c r="AZ405">
        <v>0</v>
      </c>
      <c r="BA405">
        <v>0</v>
      </c>
      <c r="BB405">
        <f>1-AZ405/BA405</f>
        <v>0</v>
      </c>
      <c r="BC405">
        <v>0</v>
      </c>
      <c r="BD405" t="s">
        <v>417</v>
      </c>
      <c r="BE405" t="s">
        <v>417</v>
      </c>
      <c r="BF405">
        <v>0</v>
      </c>
      <c r="BG405">
        <v>0</v>
      </c>
      <c r="BH405">
        <f>1-BF405/BG405</f>
        <v>0</v>
      </c>
      <c r="BI405">
        <v>0.5</v>
      </c>
      <c r="BJ405">
        <f>CS405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417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BZ405">
        <v>1249</v>
      </c>
      <c r="CA405">
        <v>300</v>
      </c>
      <c r="CB405">
        <v>300</v>
      </c>
      <c r="CC405">
        <v>300</v>
      </c>
      <c r="CD405">
        <v>10442.4</v>
      </c>
      <c r="CE405">
        <v>1239.69</v>
      </c>
      <c r="CF405">
        <v>-0.00735276</v>
      </c>
      <c r="CG405">
        <v>0.07000000000000001</v>
      </c>
      <c r="CH405" t="s">
        <v>417</v>
      </c>
      <c r="CI405" t="s">
        <v>417</v>
      </c>
      <c r="CJ405" t="s">
        <v>417</v>
      </c>
      <c r="CK405" t="s">
        <v>417</v>
      </c>
      <c r="CL405" t="s">
        <v>417</v>
      </c>
      <c r="CM405" t="s">
        <v>417</v>
      </c>
      <c r="CN405" t="s">
        <v>417</v>
      </c>
      <c r="CO405" t="s">
        <v>417</v>
      </c>
      <c r="CP405" t="s">
        <v>417</v>
      </c>
      <c r="CQ405" t="s">
        <v>417</v>
      </c>
      <c r="CR405">
        <f>$B$11*DQ405+$C$11*DR405+$F$11*EC405*(1-EF405)</f>
        <v>0</v>
      </c>
      <c r="CS405">
        <f>CR405*CT405</f>
        <v>0</v>
      </c>
      <c r="CT405">
        <f>($B$11*$D$9+$C$11*$D$9+$F$11*((EP405+EH405)/MAX(EP405+EH405+EQ405, 0.1)*$I$9+EQ405/MAX(EP405+EH405+EQ405, 0.1)*$J$9))/($B$11+$C$11+$F$11)</f>
        <v>0</v>
      </c>
      <c r="CU405">
        <f>($B$11*$K$9+$C$11*$K$9+$F$11*((EP405+EH405)/MAX(EP405+EH405+EQ405, 0.1)*$P$9+EQ405/MAX(EP405+EH405+EQ405, 0.1)*$Q$9))/($B$11+$C$11+$F$11)</f>
        <v>0</v>
      </c>
      <c r="CV405">
        <v>6</v>
      </c>
      <c r="CW405">
        <v>0.5</v>
      </c>
      <c r="CX405" t="s">
        <v>418</v>
      </c>
      <c r="CY405">
        <v>2</v>
      </c>
      <c r="CZ405" t="b">
        <v>1</v>
      </c>
      <c r="DA405">
        <v>1651866540.5</v>
      </c>
      <c r="DB405">
        <v>890.9483333333334</v>
      </c>
      <c r="DC405">
        <v>953.5323333333332</v>
      </c>
      <c r="DD405">
        <v>18.68186666666667</v>
      </c>
      <c r="DE405">
        <v>8.969096666666665</v>
      </c>
      <c r="DF405">
        <v>892.7253333333333</v>
      </c>
      <c r="DG405">
        <v>18.65656666666667</v>
      </c>
      <c r="DH405">
        <v>500.0653333333333</v>
      </c>
      <c r="DI405">
        <v>89.91503333333333</v>
      </c>
      <c r="DJ405">
        <v>0.09992486666666667</v>
      </c>
      <c r="DK405">
        <v>25.9391</v>
      </c>
      <c r="DL405">
        <v>24.99696666666667</v>
      </c>
      <c r="DM405">
        <v>999.9</v>
      </c>
      <c r="DN405">
        <v>0</v>
      </c>
      <c r="DO405">
        <v>0</v>
      </c>
      <c r="DP405">
        <v>10013.33333333333</v>
      </c>
      <c r="DQ405">
        <v>0</v>
      </c>
      <c r="DR405">
        <v>3.244113333333333</v>
      </c>
      <c r="DS405">
        <v>-62.58416666666667</v>
      </c>
      <c r="DT405">
        <v>907.91</v>
      </c>
      <c r="DU405">
        <v>962.1619999999999</v>
      </c>
      <c r="DV405">
        <v>9.712766666666667</v>
      </c>
      <c r="DW405">
        <v>953.5323333333332</v>
      </c>
      <c r="DX405">
        <v>8.969096666666665</v>
      </c>
      <c r="DY405">
        <v>1.67978</v>
      </c>
      <c r="DZ405">
        <v>0.806457</v>
      </c>
      <c r="EA405">
        <v>14.71083333333333</v>
      </c>
      <c r="EB405">
        <v>3.821466666666667</v>
      </c>
      <c r="EC405">
        <v>1500.066666666667</v>
      </c>
      <c r="ED405">
        <v>0.972997</v>
      </c>
      <c r="EE405">
        <v>0.0270027</v>
      </c>
      <c r="EF405">
        <v>0</v>
      </c>
      <c r="EG405">
        <v>915.1193333333334</v>
      </c>
      <c r="EH405">
        <v>5.00097</v>
      </c>
      <c r="EI405">
        <v>13619.26666666667</v>
      </c>
      <c r="EJ405">
        <v>12492.16666666667</v>
      </c>
      <c r="EK405">
        <v>38.062</v>
      </c>
      <c r="EL405">
        <v>39.25</v>
      </c>
      <c r="EM405">
        <v>38.437</v>
      </c>
      <c r="EN405">
        <v>38.875</v>
      </c>
      <c r="EO405">
        <v>38.875</v>
      </c>
      <c r="EP405">
        <v>1454.696666666667</v>
      </c>
      <c r="EQ405">
        <v>40.37</v>
      </c>
      <c r="ER405">
        <v>0</v>
      </c>
      <c r="ES405">
        <v>1059.200000047684</v>
      </c>
      <c r="ET405">
        <v>0</v>
      </c>
      <c r="EU405">
        <v>915.738923076923</v>
      </c>
      <c r="EV405">
        <v>-7.891760659166658</v>
      </c>
      <c r="EW405">
        <v>-124.5811964247212</v>
      </c>
      <c r="EX405">
        <v>13632.22307692308</v>
      </c>
      <c r="EY405">
        <v>15</v>
      </c>
      <c r="EZ405">
        <v>1651865518.1</v>
      </c>
      <c r="FA405" t="s">
        <v>910</v>
      </c>
      <c r="FB405">
        <v>1651865507.1</v>
      </c>
      <c r="FC405">
        <v>1651865518.1</v>
      </c>
      <c r="FD405">
        <v>8</v>
      </c>
      <c r="FE405">
        <v>0.06</v>
      </c>
      <c r="FF405">
        <v>0</v>
      </c>
      <c r="FG405">
        <v>-0.927</v>
      </c>
      <c r="FH405">
        <v>-0.062</v>
      </c>
      <c r="FI405">
        <v>400</v>
      </c>
      <c r="FJ405">
        <v>11</v>
      </c>
      <c r="FK405">
        <v>0.11</v>
      </c>
      <c r="FL405">
        <v>0.01</v>
      </c>
      <c r="FM405">
        <v>-63.0169675</v>
      </c>
      <c r="FN405">
        <v>2.354403377110751</v>
      </c>
      <c r="FO405">
        <v>0.2863218384855582</v>
      </c>
      <c r="FP405">
        <v>-1</v>
      </c>
      <c r="FQ405">
        <v>9.691140499999999</v>
      </c>
      <c r="FR405">
        <v>0.1798721200750464</v>
      </c>
      <c r="FS405">
        <v>0.0204973577504516</v>
      </c>
      <c r="FT405">
        <v>-1</v>
      </c>
      <c r="FU405">
        <v>0</v>
      </c>
      <c r="FV405">
        <v>0</v>
      </c>
      <c r="FW405">
        <v>0</v>
      </c>
      <c r="FX405">
        <v>-1</v>
      </c>
      <c r="FY405">
        <v>0</v>
      </c>
      <c r="FZ405">
        <v>0</v>
      </c>
      <c r="GA405" t="s">
        <v>420</v>
      </c>
      <c r="GB405">
        <v>2.98153</v>
      </c>
      <c r="GC405">
        <v>2.70613</v>
      </c>
      <c r="GD405">
        <v>0.159302</v>
      </c>
      <c r="GE405">
        <v>0.164491</v>
      </c>
      <c r="GF405">
        <v>0.08890679999999999</v>
      </c>
      <c r="GG405">
        <v>0.0509911</v>
      </c>
      <c r="GH405">
        <v>26567.1</v>
      </c>
      <c r="GI405">
        <v>26459.9</v>
      </c>
      <c r="GJ405">
        <v>29378.8</v>
      </c>
      <c r="GK405">
        <v>29293.4</v>
      </c>
      <c r="GL405">
        <v>35441.2</v>
      </c>
      <c r="GM405">
        <v>37033.5</v>
      </c>
      <c r="GN405">
        <v>41350.8</v>
      </c>
      <c r="GO405">
        <v>41813.4</v>
      </c>
      <c r="GP405">
        <v>1.96788</v>
      </c>
      <c r="GQ405">
        <v>1.85595</v>
      </c>
      <c r="GR405">
        <v>-0.00601634</v>
      </c>
      <c r="GS405">
        <v>0</v>
      </c>
      <c r="GT405">
        <v>25.0974</v>
      </c>
      <c r="GU405">
        <v>999.9</v>
      </c>
      <c r="GV405">
        <v>29.5</v>
      </c>
      <c r="GW405">
        <v>34.2</v>
      </c>
      <c r="GX405">
        <v>17.7258</v>
      </c>
      <c r="GY405">
        <v>62.6476</v>
      </c>
      <c r="GZ405">
        <v>35.4327</v>
      </c>
      <c r="HA405">
        <v>1</v>
      </c>
      <c r="HB405">
        <v>0.0411941</v>
      </c>
      <c r="HC405">
        <v>1.47379</v>
      </c>
      <c r="HD405">
        <v>20.3281</v>
      </c>
      <c r="HE405">
        <v>5.21804</v>
      </c>
      <c r="HF405">
        <v>12.0099</v>
      </c>
      <c r="HG405">
        <v>4.989</v>
      </c>
      <c r="HH405">
        <v>3.28858</v>
      </c>
      <c r="HI405">
        <v>1035.1</v>
      </c>
      <c r="HJ405">
        <v>9760.299999999999</v>
      </c>
      <c r="HK405">
        <v>5139.4</v>
      </c>
      <c r="HL405">
        <v>25.4</v>
      </c>
      <c r="HM405">
        <v>1.86749</v>
      </c>
      <c r="HN405">
        <v>1.86646</v>
      </c>
      <c r="HO405">
        <v>1.866</v>
      </c>
      <c r="HP405">
        <v>1.86585</v>
      </c>
      <c r="HQ405">
        <v>1.86768</v>
      </c>
      <c r="HR405">
        <v>1.87019</v>
      </c>
      <c r="HS405">
        <v>1.8689</v>
      </c>
      <c r="HT405">
        <v>1.87026</v>
      </c>
      <c r="HU405">
        <v>0</v>
      </c>
      <c r="HV405">
        <v>0</v>
      </c>
      <c r="HW405">
        <v>0</v>
      </c>
      <c r="HX405">
        <v>0</v>
      </c>
      <c r="HY405" t="s">
        <v>421</v>
      </c>
      <c r="HZ405" t="s">
        <v>422</v>
      </c>
      <c r="IA405" t="s">
        <v>423</v>
      </c>
      <c r="IB405" t="s">
        <v>423</v>
      </c>
      <c r="IC405" t="s">
        <v>423</v>
      </c>
      <c r="ID405" t="s">
        <v>423</v>
      </c>
      <c r="IE405">
        <v>0</v>
      </c>
      <c r="IF405">
        <v>100</v>
      </c>
      <c r="IG405">
        <v>100</v>
      </c>
      <c r="IH405">
        <v>-1.782</v>
      </c>
      <c r="II405">
        <v>0.0252</v>
      </c>
      <c r="IJ405">
        <v>-0.1559367209035702</v>
      </c>
      <c r="IK405">
        <v>-0.002077099775823331</v>
      </c>
      <c r="IL405">
        <v>4.593143279902166E-07</v>
      </c>
      <c r="IM405">
        <v>-1.865383991892071E-10</v>
      </c>
      <c r="IN405">
        <v>-0.0607165066849496</v>
      </c>
      <c r="IO405">
        <v>-0.01129461987421345</v>
      </c>
      <c r="IP405">
        <v>0.00116580895745559</v>
      </c>
      <c r="IQ405">
        <v>-1.679085872906199E-05</v>
      </c>
      <c r="IR405">
        <v>2</v>
      </c>
      <c r="IS405">
        <v>2290</v>
      </c>
      <c r="IT405">
        <v>0</v>
      </c>
      <c r="IU405">
        <v>32</v>
      </c>
      <c r="IV405">
        <v>17.2</v>
      </c>
      <c r="IW405">
        <v>17.1</v>
      </c>
      <c r="IX405">
        <v>2.03125</v>
      </c>
      <c r="IY405">
        <v>2.1875</v>
      </c>
      <c r="IZ405">
        <v>1.39648</v>
      </c>
      <c r="JA405">
        <v>2.35596</v>
      </c>
      <c r="JB405">
        <v>1.49536</v>
      </c>
      <c r="JC405">
        <v>2.33887</v>
      </c>
      <c r="JD405">
        <v>38.0134</v>
      </c>
      <c r="JE405">
        <v>24.0437</v>
      </c>
      <c r="JF405">
        <v>18</v>
      </c>
      <c r="JG405">
        <v>512.59</v>
      </c>
      <c r="JH405">
        <v>426.784</v>
      </c>
      <c r="JI405">
        <v>23.1584</v>
      </c>
      <c r="JJ405">
        <v>27.8536</v>
      </c>
      <c r="JK405">
        <v>29.9999</v>
      </c>
      <c r="JL405">
        <v>27.8645</v>
      </c>
      <c r="JM405">
        <v>27.808</v>
      </c>
      <c r="JN405">
        <v>40.7038</v>
      </c>
      <c r="JO405">
        <v>46.9143</v>
      </c>
      <c r="JP405">
        <v>0</v>
      </c>
      <c r="JQ405">
        <v>23.1633</v>
      </c>
      <c r="JR405">
        <v>974.364</v>
      </c>
      <c r="JS405">
        <v>8.97912</v>
      </c>
      <c r="JT405">
        <v>100.421</v>
      </c>
      <c r="JU405">
        <v>100.353</v>
      </c>
    </row>
    <row r="406" spans="1:281">
      <c r="A406">
        <v>390</v>
      </c>
      <c r="B406">
        <v>1651866543.5</v>
      </c>
      <c r="C406">
        <v>2322.900000095367</v>
      </c>
      <c r="D406" t="s">
        <v>1203</v>
      </c>
      <c r="E406" t="s">
        <v>1204</v>
      </c>
      <c r="F406">
        <v>2</v>
      </c>
      <c r="G406" t="s">
        <v>908</v>
      </c>
      <c r="H406" t="s">
        <v>414</v>
      </c>
      <c r="I406">
        <v>1651866542.125</v>
      </c>
      <c r="J406">
        <f>(K406)/1000</f>
        <v>0</v>
      </c>
      <c r="K406">
        <f>IF(CZ406, AN406, AH406)</f>
        <v>0</v>
      </c>
      <c r="L406">
        <f>IF(CZ406, AI406, AG406)</f>
        <v>0</v>
      </c>
      <c r="M406">
        <f>DB406 - IF(AU406&gt;1, L406*CV406*100.0/(AW406*DP406), 0)</f>
        <v>0</v>
      </c>
      <c r="N406">
        <f>((T406-J406/2)*M406-L406)/(T406+J406/2)</f>
        <v>0</v>
      </c>
      <c r="O406">
        <f>N406*(DI406+DJ406)/1000.0</f>
        <v>0</v>
      </c>
      <c r="P406">
        <f>(DB406 - IF(AU406&gt;1, L406*CV406*100.0/(AW406*DP406), 0))*(DI406+DJ406)/1000.0</f>
        <v>0</v>
      </c>
      <c r="Q406">
        <f>2.0/((1/S406-1/R406)+SIGN(S406)*SQRT((1/S406-1/R406)*(1/S406-1/R406) + 4*CW406/((CW406+1)*(CW406+1))*(2*1/S406*1/R406-1/R406*1/R406)))</f>
        <v>0</v>
      </c>
      <c r="R406">
        <f>IF(LEFT(CX406,1)&lt;&gt;"0",IF(LEFT(CX406,1)="1",3.0,CY406),$D$5+$E$5*(DP406*DI406/($K$5*1000))+$F$5*(DP406*DI406/($K$5*1000))*MAX(MIN(CV406,$J$5),$I$5)*MAX(MIN(CV406,$J$5),$I$5)+$G$5*MAX(MIN(CV406,$J$5),$I$5)*(DP406*DI406/($K$5*1000))+$H$5*(DP406*DI406/($K$5*1000))*(DP406*DI406/($K$5*1000)))</f>
        <v>0</v>
      </c>
      <c r="S406">
        <f>J406*(1000-(1000*0.61365*exp(17.502*W406/(240.97+W406))/(DI406+DJ406)+DD406)/2)/(1000*0.61365*exp(17.502*W406/(240.97+W406))/(DI406+DJ406)-DD406)</f>
        <v>0</v>
      </c>
      <c r="T406">
        <f>1/((CW406+1)/(Q406/1.6)+1/(R406/1.37)) + CW406/((CW406+1)/(Q406/1.6) + CW406/(R406/1.37))</f>
        <v>0</v>
      </c>
      <c r="U406">
        <f>(CR406*CU406)</f>
        <v>0</v>
      </c>
      <c r="V406">
        <f>(DK406+(U406+2*0.95*5.67E-8*(((DK406+$B$7)+273)^4-(DK406+273)^4)-44100*J406)/(1.84*29.3*R406+8*0.95*5.67E-8*(DK406+273)^3))</f>
        <v>0</v>
      </c>
      <c r="W406">
        <f>($C$7*DL406+$D$7*DM406+$E$7*V406)</f>
        <v>0</v>
      </c>
      <c r="X406">
        <f>0.61365*exp(17.502*W406/(240.97+W406))</f>
        <v>0</v>
      </c>
      <c r="Y406">
        <f>(Z406/AA406*100)</f>
        <v>0</v>
      </c>
      <c r="Z406">
        <f>DD406*(DI406+DJ406)/1000</f>
        <v>0</v>
      </c>
      <c r="AA406">
        <f>0.61365*exp(17.502*DK406/(240.97+DK406))</f>
        <v>0</v>
      </c>
      <c r="AB406">
        <f>(X406-DD406*(DI406+DJ406)/1000)</f>
        <v>0</v>
      </c>
      <c r="AC406">
        <f>(-J406*44100)</f>
        <v>0</v>
      </c>
      <c r="AD406">
        <f>2*29.3*R406*0.92*(DK406-W406)</f>
        <v>0</v>
      </c>
      <c r="AE406">
        <f>2*0.95*5.67E-8*(((DK406+$B$7)+273)^4-(W406+273)^4)</f>
        <v>0</v>
      </c>
      <c r="AF406">
        <f>U406+AE406+AC406+AD406</f>
        <v>0</v>
      </c>
      <c r="AG406">
        <f>DH406*AU406*(DC406-DB406*(1000-AU406*DE406)/(1000-AU406*DD406))/(100*CV406)</f>
        <v>0</v>
      </c>
      <c r="AH406">
        <f>1000*DH406*AU406*(DD406-DE406)/(100*CV406*(1000-AU406*DD406))</f>
        <v>0</v>
      </c>
      <c r="AI406">
        <f>(AJ406 - AK406 - DI406*1E3/(8.314*(DK406+273.15)) * AM406/DH406 * AL406) * DH406/(100*CV406) * (1000 - DE406)/1000</f>
        <v>0</v>
      </c>
      <c r="AJ406">
        <v>962.9166164107772</v>
      </c>
      <c r="AK406">
        <v>916.1810606060603</v>
      </c>
      <c r="AL406">
        <v>3.305220178899829</v>
      </c>
      <c r="AM406">
        <v>66.38195617057868</v>
      </c>
      <c r="AN406">
        <f>(AP406 - AO406 + DI406*1E3/(8.314*(DK406+273.15)) * AR406/DH406 * AQ406) * DH406/(100*CV406) * 1000/(1000 - AP406)</f>
        <v>0</v>
      </c>
      <c r="AO406">
        <v>8.970209485425608</v>
      </c>
      <c r="AP406">
        <v>18.67038764705881</v>
      </c>
      <c r="AQ406">
        <v>-0.005617109589406161</v>
      </c>
      <c r="AR406">
        <v>80.47178418790507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MAX(0,($B$13+$C$13*DP406)/(1+$D$13*DP406)*DI406/(DK406+273)*$E$13)</f>
        <v>0</v>
      </c>
      <c r="AX406" t="s">
        <v>417</v>
      </c>
      <c r="AY406" t="s">
        <v>417</v>
      </c>
      <c r="AZ406">
        <v>0</v>
      </c>
      <c r="BA406">
        <v>0</v>
      </c>
      <c r="BB406">
        <f>1-AZ406/BA406</f>
        <v>0</v>
      </c>
      <c r="BC406">
        <v>0</v>
      </c>
      <c r="BD406" t="s">
        <v>417</v>
      </c>
      <c r="BE406" t="s">
        <v>417</v>
      </c>
      <c r="BF406">
        <v>0</v>
      </c>
      <c r="BG406">
        <v>0</v>
      </c>
      <c r="BH406">
        <f>1-BF406/BG406</f>
        <v>0</v>
      </c>
      <c r="BI406">
        <v>0.5</v>
      </c>
      <c r="BJ406">
        <f>CS406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417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BZ406">
        <v>1249</v>
      </c>
      <c r="CA406">
        <v>300</v>
      </c>
      <c r="CB406">
        <v>300</v>
      </c>
      <c r="CC406">
        <v>300</v>
      </c>
      <c r="CD406">
        <v>10442.4</v>
      </c>
      <c r="CE406">
        <v>1239.69</v>
      </c>
      <c r="CF406">
        <v>-0.00735276</v>
      </c>
      <c r="CG406">
        <v>0.07000000000000001</v>
      </c>
      <c r="CH406" t="s">
        <v>417</v>
      </c>
      <c r="CI406" t="s">
        <v>417</v>
      </c>
      <c r="CJ406" t="s">
        <v>417</v>
      </c>
      <c r="CK406" t="s">
        <v>417</v>
      </c>
      <c r="CL406" t="s">
        <v>417</v>
      </c>
      <c r="CM406" t="s">
        <v>417</v>
      </c>
      <c r="CN406" t="s">
        <v>417</v>
      </c>
      <c r="CO406" t="s">
        <v>417</v>
      </c>
      <c r="CP406" t="s">
        <v>417</v>
      </c>
      <c r="CQ406" t="s">
        <v>417</v>
      </c>
      <c r="CR406">
        <f>$B$11*DQ406+$C$11*DR406+$F$11*EC406*(1-EF406)</f>
        <v>0</v>
      </c>
      <c r="CS406">
        <f>CR406*CT406</f>
        <v>0</v>
      </c>
      <c r="CT406">
        <f>($B$11*$D$9+$C$11*$D$9+$F$11*((EP406+EH406)/MAX(EP406+EH406+EQ406, 0.1)*$I$9+EQ406/MAX(EP406+EH406+EQ406, 0.1)*$J$9))/($B$11+$C$11+$F$11)</f>
        <v>0</v>
      </c>
      <c r="CU406">
        <f>($B$11*$K$9+$C$11*$K$9+$F$11*((EP406+EH406)/MAX(EP406+EH406+EQ406, 0.1)*$P$9+EQ406/MAX(EP406+EH406+EQ406, 0.1)*$Q$9))/($B$11+$C$11+$F$11)</f>
        <v>0</v>
      </c>
      <c r="CV406">
        <v>6</v>
      </c>
      <c r="CW406">
        <v>0.5</v>
      </c>
      <c r="CX406" t="s">
        <v>418</v>
      </c>
      <c r="CY406">
        <v>2</v>
      </c>
      <c r="CZ406" t="b">
        <v>1</v>
      </c>
      <c r="DA406">
        <v>1651866542.125</v>
      </c>
      <c r="DB406">
        <v>896.2307500000001</v>
      </c>
      <c r="DC406">
        <v>958.8567499999999</v>
      </c>
      <c r="DD406">
        <v>18.674225</v>
      </c>
      <c r="DE406">
        <v>8.968132499999999</v>
      </c>
      <c r="DF406">
        <v>898.0170000000001</v>
      </c>
      <c r="DG406">
        <v>18.64905</v>
      </c>
      <c r="DH406">
        <v>500.01325</v>
      </c>
      <c r="DI406">
        <v>89.91515</v>
      </c>
      <c r="DJ406">
        <v>0.09986734999999999</v>
      </c>
      <c r="DK406">
        <v>25.938875</v>
      </c>
      <c r="DL406">
        <v>24.998825</v>
      </c>
      <c r="DM406">
        <v>999.9</v>
      </c>
      <c r="DN406">
        <v>0</v>
      </c>
      <c r="DO406">
        <v>0</v>
      </c>
      <c r="DP406">
        <v>10014.5</v>
      </c>
      <c r="DQ406">
        <v>0</v>
      </c>
      <c r="DR406">
        <v>3.24599</v>
      </c>
      <c r="DS406">
        <v>-62.62585000000001</v>
      </c>
      <c r="DT406">
        <v>913.2860000000001</v>
      </c>
      <c r="DU406">
        <v>967.5337500000001</v>
      </c>
      <c r="DV406">
        <v>9.7061025</v>
      </c>
      <c r="DW406">
        <v>958.8567499999999</v>
      </c>
      <c r="DX406">
        <v>8.968132499999999</v>
      </c>
      <c r="DY406">
        <v>1.6790975</v>
      </c>
      <c r="DZ406">
        <v>0.8063712500000001</v>
      </c>
      <c r="EA406">
        <v>14.704525</v>
      </c>
      <c r="EB406">
        <v>3.81996</v>
      </c>
      <c r="EC406">
        <v>1500.005</v>
      </c>
      <c r="ED406">
        <v>0.97299575</v>
      </c>
      <c r="EE406">
        <v>0.027004025</v>
      </c>
      <c r="EF406">
        <v>0</v>
      </c>
      <c r="EG406">
        <v>914.8835</v>
      </c>
      <c r="EH406">
        <v>5.00097</v>
      </c>
      <c r="EI406">
        <v>13614.55</v>
      </c>
      <c r="EJ406">
        <v>12491.6</v>
      </c>
      <c r="EK406">
        <v>38.062</v>
      </c>
      <c r="EL406">
        <v>39.25</v>
      </c>
      <c r="EM406">
        <v>38.437</v>
      </c>
      <c r="EN406">
        <v>38.875</v>
      </c>
      <c r="EO406">
        <v>38.875</v>
      </c>
      <c r="EP406">
        <v>1454.635</v>
      </c>
      <c r="EQ406">
        <v>40.37</v>
      </c>
      <c r="ER406">
        <v>0</v>
      </c>
      <c r="ES406">
        <v>1061</v>
      </c>
      <c r="ET406">
        <v>0</v>
      </c>
      <c r="EU406">
        <v>915.4792</v>
      </c>
      <c r="EV406">
        <v>-7.89115384071599</v>
      </c>
      <c r="EW406">
        <v>-128.823077164615</v>
      </c>
      <c r="EX406">
        <v>13627.72</v>
      </c>
      <c r="EY406">
        <v>15</v>
      </c>
      <c r="EZ406">
        <v>1651865518.1</v>
      </c>
      <c r="FA406" t="s">
        <v>910</v>
      </c>
      <c r="FB406">
        <v>1651865507.1</v>
      </c>
      <c r="FC406">
        <v>1651865518.1</v>
      </c>
      <c r="FD406">
        <v>8</v>
      </c>
      <c r="FE406">
        <v>0.06</v>
      </c>
      <c r="FF406">
        <v>0</v>
      </c>
      <c r="FG406">
        <v>-0.927</v>
      </c>
      <c r="FH406">
        <v>-0.062</v>
      </c>
      <c r="FI406">
        <v>400</v>
      </c>
      <c r="FJ406">
        <v>11</v>
      </c>
      <c r="FK406">
        <v>0.11</v>
      </c>
      <c r="FL406">
        <v>0.01</v>
      </c>
      <c r="FM406">
        <v>-62.977395</v>
      </c>
      <c r="FN406">
        <v>2.335049155722289</v>
      </c>
      <c r="FO406">
        <v>0.2848370902375603</v>
      </c>
      <c r="FP406">
        <v>-1</v>
      </c>
      <c r="FQ406">
        <v>9.6926375</v>
      </c>
      <c r="FR406">
        <v>0.1794495309568391</v>
      </c>
      <c r="FS406">
        <v>0.02048369616914874</v>
      </c>
      <c r="FT406">
        <v>-1</v>
      </c>
      <c r="FU406">
        <v>0</v>
      </c>
      <c r="FV406">
        <v>0</v>
      </c>
      <c r="FW406">
        <v>0</v>
      </c>
      <c r="FX406">
        <v>-1</v>
      </c>
      <c r="FY406">
        <v>0</v>
      </c>
      <c r="FZ406">
        <v>0</v>
      </c>
      <c r="GA406" t="s">
        <v>420</v>
      </c>
      <c r="GB406">
        <v>2.98146</v>
      </c>
      <c r="GC406">
        <v>2.70623</v>
      </c>
      <c r="GD406">
        <v>0.160055</v>
      </c>
      <c r="GE406">
        <v>0.165228</v>
      </c>
      <c r="GF406">
        <v>0.0888859</v>
      </c>
      <c r="GG406">
        <v>0.0509875</v>
      </c>
      <c r="GH406">
        <v>26543.8</v>
      </c>
      <c r="GI406">
        <v>26436.4</v>
      </c>
      <c r="GJ406">
        <v>29379.3</v>
      </c>
      <c r="GK406">
        <v>29293.3</v>
      </c>
      <c r="GL406">
        <v>35442.8</v>
      </c>
      <c r="GM406">
        <v>37033.5</v>
      </c>
      <c r="GN406">
        <v>41351.7</v>
      </c>
      <c r="GO406">
        <v>41813.3</v>
      </c>
      <c r="GP406">
        <v>1.9679</v>
      </c>
      <c r="GQ406">
        <v>1.85607</v>
      </c>
      <c r="GR406">
        <v>-0.0060536</v>
      </c>
      <c r="GS406">
        <v>0</v>
      </c>
      <c r="GT406">
        <v>25.0974</v>
      </c>
      <c r="GU406">
        <v>999.9</v>
      </c>
      <c r="GV406">
        <v>29.5</v>
      </c>
      <c r="GW406">
        <v>34.2</v>
      </c>
      <c r="GX406">
        <v>17.7267</v>
      </c>
      <c r="GY406">
        <v>62.2976</v>
      </c>
      <c r="GZ406">
        <v>35.4928</v>
      </c>
      <c r="HA406">
        <v>1</v>
      </c>
      <c r="HB406">
        <v>0.040968</v>
      </c>
      <c r="HC406">
        <v>1.46756</v>
      </c>
      <c r="HD406">
        <v>20.3282</v>
      </c>
      <c r="HE406">
        <v>5.21849</v>
      </c>
      <c r="HF406">
        <v>12.0099</v>
      </c>
      <c r="HG406">
        <v>4.9891</v>
      </c>
      <c r="HH406">
        <v>3.28858</v>
      </c>
      <c r="HI406">
        <v>1035.1</v>
      </c>
      <c r="HJ406">
        <v>9760.299999999999</v>
      </c>
      <c r="HK406">
        <v>5139.4</v>
      </c>
      <c r="HL406">
        <v>25.4</v>
      </c>
      <c r="HM406">
        <v>1.86747</v>
      </c>
      <c r="HN406">
        <v>1.86646</v>
      </c>
      <c r="HO406">
        <v>1.866</v>
      </c>
      <c r="HP406">
        <v>1.86586</v>
      </c>
      <c r="HQ406">
        <v>1.86768</v>
      </c>
      <c r="HR406">
        <v>1.87018</v>
      </c>
      <c r="HS406">
        <v>1.8689</v>
      </c>
      <c r="HT406">
        <v>1.87025</v>
      </c>
      <c r="HU406">
        <v>0</v>
      </c>
      <c r="HV406">
        <v>0</v>
      </c>
      <c r="HW406">
        <v>0</v>
      </c>
      <c r="HX406">
        <v>0</v>
      </c>
      <c r="HY406" t="s">
        <v>421</v>
      </c>
      <c r="HZ406" t="s">
        <v>422</v>
      </c>
      <c r="IA406" t="s">
        <v>423</v>
      </c>
      <c r="IB406" t="s">
        <v>423</v>
      </c>
      <c r="IC406" t="s">
        <v>423</v>
      </c>
      <c r="ID406" t="s">
        <v>423</v>
      </c>
      <c r="IE406">
        <v>0</v>
      </c>
      <c r="IF406">
        <v>100</v>
      </c>
      <c r="IG406">
        <v>100</v>
      </c>
      <c r="IH406">
        <v>-1.793</v>
      </c>
      <c r="II406">
        <v>0.0251</v>
      </c>
      <c r="IJ406">
        <v>-0.1559367209035702</v>
      </c>
      <c r="IK406">
        <v>-0.002077099775823331</v>
      </c>
      <c r="IL406">
        <v>4.593143279902166E-07</v>
      </c>
      <c r="IM406">
        <v>-1.865383991892071E-10</v>
      </c>
      <c r="IN406">
        <v>-0.0607165066849496</v>
      </c>
      <c r="IO406">
        <v>-0.01129461987421345</v>
      </c>
      <c r="IP406">
        <v>0.00116580895745559</v>
      </c>
      <c r="IQ406">
        <v>-1.679085872906199E-05</v>
      </c>
      <c r="IR406">
        <v>2</v>
      </c>
      <c r="IS406">
        <v>2290</v>
      </c>
      <c r="IT406">
        <v>0</v>
      </c>
      <c r="IU406">
        <v>32</v>
      </c>
      <c r="IV406">
        <v>17.3</v>
      </c>
      <c r="IW406">
        <v>17.1</v>
      </c>
      <c r="IX406">
        <v>2.04346</v>
      </c>
      <c r="IY406">
        <v>2.18628</v>
      </c>
      <c r="IZ406">
        <v>1.39648</v>
      </c>
      <c r="JA406">
        <v>2.35596</v>
      </c>
      <c r="JB406">
        <v>1.49536</v>
      </c>
      <c r="JC406">
        <v>2.36572</v>
      </c>
      <c r="JD406">
        <v>38.0134</v>
      </c>
      <c r="JE406">
        <v>24.0437</v>
      </c>
      <c r="JF406">
        <v>18</v>
      </c>
      <c r="JG406">
        <v>512.596</v>
      </c>
      <c r="JH406">
        <v>426.85</v>
      </c>
      <c r="JI406">
        <v>23.1607</v>
      </c>
      <c r="JJ406">
        <v>27.8524</v>
      </c>
      <c r="JK406">
        <v>30</v>
      </c>
      <c r="JL406">
        <v>27.8633</v>
      </c>
      <c r="JM406">
        <v>27.8068</v>
      </c>
      <c r="JN406">
        <v>40.9268</v>
      </c>
      <c r="JO406">
        <v>46.9143</v>
      </c>
      <c r="JP406">
        <v>0</v>
      </c>
      <c r="JQ406">
        <v>23.1633</v>
      </c>
      <c r="JR406">
        <v>981.047</v>
      </c>
      <c r="JS406">
        <v>8.97912</v>
      </c>
      <c r="JT406">
        <v>100.423</v>
      </c>
      <c r="JU406">
        <v>100.352</v>
      </c>
    </row>
    <row r="407" spans="1:281">
      <c r="A407">
        <v>391</v>
      </c>
      <c r="B407">
        <v>1651866545.5</v>
      </c>
      <c r="C407">
        <v>2324.900000095367</v>
      </c>
      <c r="D407" t="s">
        <v>1205</v>
      </c>
      <c r="E407" t="s">
        <v>1206</v>
      </c>
      <c r="F407">
        <v>2</v>
      </c>
      <c r="G407" t="s">
        <v>908</v>
      </c>
      <c r="H407" t="s">
        <v>414</v>
      </c>
      <c r="I407">
        <v>1651866544.5</v>
      </c>
      <c r="J407">
        <f>(K407)/1000</f>
        <v>0</v>
      </c>
      <c r="K407">
        <f>IF(CZ407, AN407, AH407)</f>
        <v>0</v>
      </c>
      <c r="L407">
        <f>IF(CZ407, AI407, AG407)</f>
        <v>0</v>
      </c>
      <c r="M407">
        <f>DB407 - IF(AU407&gt;1, L407*CV407*100.0/(AW407*DP407), 0)</f>
        <v>0</v>
      </c>
      <c r="N407">
        <f>((T407-J407/2)*M407-L407)/(T407+J407/2)</f>
        <v>0</v>
      </c>
      <c r="O407">
        <f>N407*(DI407+DJ407)/1000.0</f>
        <v>0</v>
      </c>
      <c r="P407">
        <f>(DB407 - IF(AU407&gt;1, L407*CV407*100.0/(AW407*DP407), 0))*(DI407+DJ407)/1000.0</f>
        <v>0</v>
      </c>
      <c r="Q407">
        <f>2.0/((1/S407-1/R407)+SIGN(S407)*SQRT((1/S407-1/R407)*(1/S407-1/R407) + 4*CW407/((CW407+1)*(CW407+1))*(2*1/S407*1/R407-1/R407*1/R407)))</f>
        <v>0</v>
      </c>
      <c r="R407">
        <f>IF(LEFT(CX407,1)&lt;&gt;"0",IF(LEFT(CX407,1)="1",3.0,CY407),$D$5+$E$5*(DP407*DI407/($K$5*1000))+$F$5*(DP407*DI407/($K$5*1000))*MAX(MIN(CV407,$J$5),$I$5)*MAX(MIN(CV407,$J$5),$I$5)+$G$5*MAX(MIN(CV407,$J$5),$I$5)*(DP407*DI407/($K$5*1000))+$H$5*(DP407*DI407/($K$5*1000))*(DP407*DI407/($K$5*1000)))</f>
        <v>0</v>
      </c>
      <c r="S407">
        <f>J407*(1000-(1000*0.61365*exp(17.502*W407/(240.97+W407))/(DI407+DJ407)+DD407)/2)/(1000*0.61365*exp(17.502*W407/(240.97+W407))/(DI407+DJ407)-DD407)</f>
        <v>0</v>
      </c>
      <c r="T407">
        <f>1/((CW407+1)/(Q407/1.6)+1/(R407/1.37)) + CW407/((CW407+1)/(Q407/1.6) + CW407/(R407/1.37))</f>
        <v>0</v>
      </c>
      <c r="U407">
        <f>(CR407*CU407)</f>
        <v>0</v>
      </c>
      <c r="V407">
        <f>(DK407+(U407+2*0.95*5.67E-8*(((DK407+$B$7)+273)^4-(DK407+273)^4)-44100*J407)/(1.84*29.3*R407+8*0.95*5.67E-8*(DK407+273)^3))</f>
        <v>0</v>
      </c>
      <c r="W407">
        <f>($C$7*DL407+$D$7*DM407+$E$7*V407)</f>
        <v>0</v>
      </c>
      <c r="X407">
        <f>0.61365*exp(17.502*W407/(240.97+W407))</f>
        <v>0</v>
      </c>
      <c r="Y407">
        <f>(Z407/AA407*100)</f>
        <v>0</v>
      </c>
      <c r="Z407">
        <f>DD407*(DI407+DJ407)/1000</f>
        <v>0</v>
      </c>
      <c r="AA407">
        <f>0.61365*exp(17.502*DK407/(240.97+DK407))</f>
        <v>0</v>
      </c>
      <c r="AB407">
        <f>(X407-DD407*(DI407+DJ407)/1000)</f>
        <v>0</v>
      </c>
      <c r="AC407">
        <f>(-J407*44100)</f>
        <v>0</v>
      </c>
      <c r="AD407">
        <f>2*29.3*R407*0.92*(DK407-W407)</f>
        <v>0</v>
      </c>
      <c r="AE407">
        <f>2*0.95*5.67E-8*(((DK407+$B$7)+273)^4-(W407+273)^4)</f>
        <v>0</v>
      </c>
      <c r="AF407">
        <f>U407+AE407+AC407+AD407</f>
        <v>0</v>
      </c>
      <c r="AG407">
        <f>DH407*AU407*(DC407-DB407*(1000-AU407*DE407)/(1000-AU407*DD407))/(100*CV407)</f>
        <v>0</v>
      </c>
      <c r="AH407">
        <f>1000*DH407*AU407*(DD407-DE407)/(100*CV407*(1000-AU407*DD407))</f>
        <v>0</v>
      </c>
      <c r="AI407">
        <f>(AJ407 - AK407 - DI407*1E3/(8.314*(DK407+273.15)) * AM407/DH407 * AL407) * DH407/(100*CV407) * (1000 - DE407)/1000</f>
        <v>0</v>
      </c>
      <c r="AJ407">
        <v>969.553780809434</v>
      </c>
      <c r="AK407">
        <v>922.7133999999996</v>
      </c>
      <c r="AL407">
        <v>3.283328560130006</v>
      </c>
      <c r="AM407">
        <v>66.38195617057868</v>
      </c>
      <c r="AN407">
        <f>(AP407 - AO407 + DI407*1E3/(8.314*(DK407+273.15)) * AR407/DH407 * AQ407) * DH407/(100*CV407) * 1000/(1000 - AP407)</f>
        <v>0</v>
      </c>
      <c r="AO407">
        <v>8.968714124749109</v>
      </c>
      <c r="AP407">
        <v>18.66646352941175</v>
      </c>
      <c r="AQ407">
        <v>-0.006097216791920834</v>
      </c>
      <c r="AR407">
        <v>80.47178418790507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MAX(0,($B$13+$C$13*DP407)/(1+$D$13*DP407)*DI407/(DK407+273)*$E$13)</f>
        <v>0</v>
      </c>
      <c r="AX407" t="s">
        <v>417</v>
      </c>
      <c r="AY407" t="s">
        <v>417</v>
      </c>
      <c r="AZ407">
        <v>0</v>
      </c>
      <c r="BA407">
        <v>0</v>
      </c>
      <c r="BB407">
        <f>1-AZ407/BA407</f>
        <v>0</v>
      </c>
      <c r="BC407">
        <v>0</v>
      </c>
      <c r="BD407" t="s">
        <v>417</v>
      </c>
      <c r="BE407" t="s">
        <v>417</v>
      </c>
      <c r="BF407">
        <v>0</v>
      </c>
      <c r="BG407">
        <v>0</v>
      </c>
      <c r="BH407">
        <f>1-BF407/BG407</f>
        <v>0</v>
      </c>
      <c r="BI407">
        <v>0.5</v>
      </c>
      <c r="BJ407">
        <f>CS407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417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BZ407">
        <v>1249</v>
      </c>
      <c r="CA407">
        <v>300</v>
      </c>
      <c r="CB407">
        <v>300</v>
      </c>
      <c r="CC407">
        <v>300</v>
      </c>
      <c r="CD407">
        <v>10442.4</v>
      </c>
      <c r="CE407">
        <v>1239.69</v>
      </c>
      <c r="CF407">
        <v>-0.00735276</v>
      </c>
      <c r="CG407">
        <v>0.07000000000000001</v>
      </c>
      <c r="CH407" t="s">
        <v>417</v>
      </c>
      <c r="CI407" t="s">
        <v>417</v>
      </c>
      <c r="CJ407" t="s">
        <v>417</v>
      </c>
      <c r="CK407" t="s">
        <v>417</v>
      </c>
      <c r="CL407" t="s">
        <v>417</v>
      </c>
      <c r="CM407" t="s">
        <v>417</v>
      </c>
      <c r="CN407" t="s">
        <v>417</v>
      </c>
      <c r="CO407" t="s">
        <v>417</v>
      </c>
      <c r="CP407" t="s">
        <v>417</v>
      </c>
      <c r="CQ407" t="s">
        <v>417</v>
      </c>
      <c r="CR407">
        <f>$B$11*DQ407+$C$11*DR407+$F$11*EC407*(1-EF407)</f>
        <v>0</v>
      </c>
      <c r="CS407">
        <f>CR407*CT407</f>
        <v>0</v>
      </c>
      <c r="CT407">
        <f>($B$11*$D$9+$C$11*$D$9+$F$11*((EP407+EH407)/MAX(EP407+EH407+EQ407, 0.1)*$I$9+EQ407/MAX(EP407+EH407+EQ407, 0.1)*$J$9))/($B$11+$C$11+$F$11)</f>
        <v>0</v>
      </c>
      <c r="CU407">
        <f>($B$11*$K$9+$C$11*$K$9+$F$11*((EP407+EH407)/MAX(EP407+EH407+EQ407, 0.1)*$P$9+EQ407/MAX(EP407+EH407+EQ407, 0.1)*$Q$9))/($B$11+$C$11+$F$11)</f>
        <v>0</v>
      </c>
      <c r="CV407">
        <v>6</v>
      </c>
      <c r="CW407">
        <v>0.5</v>
      </c>
      <c r="CX407" t="s">
        <v>418</v>
      </c>
      <c r="CY407">
        <v>2</v>
      </c>
      <c r="CZ407" t="b">
        <v>1</v>
      </c>
      <c r="DA407">
        <v>1651866544.5</v>
      </c>
      <c r="DB407">
        <v>903.8816666666667</v>
      </c>
      <c r="DC407">
        <v>966.859</v>
      </c>
      <c r="DD407">
        <v>18.66753333333333</v>
      </c>
      <c r="DE407">
        <v>8.967096666666668</v>
      </c>
      <c r="DF407">
        <v>905.6806666666666</v>
      </c>
      <c r="DG407">
        <v>18.64243333333333</v>
      </c>
      <c r="DH407">
        <v>500.0186666666667</v>
      </c>
      <c r="DI407">
        <v>89.91396666666667</v>
      </c>
      <c r="DJ407">
        <v>0.100065</v>
      </c>
      <c r="DK407">
        <v>25.93823333333333</v>
      </c>
      <c r="DL407">
        <v>24.99846666666667</v>
      </c>
      <c r="DM407">
        <v>999.9</v>
      </c>
      <c r="DN407">
        <v>0</v>
      </c>
      <c r="DO407">
        <v>0</v>
      </c>
      <c r="DP407">
        <v>10008.73333333333</v>
      </c>
      <c r="DQ407">
        <v>0</v>
      </c>
      <c r="DR407">
        <v>3.2324</v>
      </c>
      <c r="DS407">
        <v>-62.97733333333334</v>
      </c>
      <c r="DT407">
        <v>921.0756666666666</v>
      </c>
      <c r="DU407">
        <v>975.6073333333334</v>
      </c>
      <c r="DV407">
        <v>9.700446666666666</v>
      </c>
      <c r="DW407">
        <v>966.859</v>
      </c>
      <c r="DX407">
        <v>8.967096666666668</v>
      </c>
      <c r="DY407">
        <v>1.678473333333333</v>
      </c>
      <c r="DZ407">
        <v>0.8062666666666667</v>
      </c>
      <c r="EA407">
        <v>14.69876666666667</v>
      </c>
      <c r="EB407">
        <v>3.818123333333334</v>
      </c>
      <c r="EC407">
        <v>1500.086666666667</v>
      </c>
      <c r="ED407">
        <v>0.972997</v>
      </c>
      <c r="EE407">
        <v>0.0270027</v>
      </c>
      <c r="EF407">
        <v>0</v>
      </c>
      <c r="EG407">
        <v>914.4566666666666</v>
      </c>
      <c r="EH407">
        <v>5.00097</v>
      </c>
      <c r="EI407">
        <v>13610.1</v>
      </c>
      <c r="EJ407">
        <v>12492.26666666667</v>
      </c>
      <c r="EK407">
        <v>38</v>
      </c>
      <c r="EL407">
        <v>39.25</v>
      </c>
      <c r="EM407">
        <v>38.437</v>
      </c>
      <c r="EN407">
        <v>38.875</v>
      </c>
      <c r="EO407">
        <v>38.875</v>
      </c>
      <c r="EP407">
        <v>1454.716666666667</v>
      </c>
      <c r="EQ407">
        <v>40.37</v>
      </c>
      <c r="ER407">
        <v>0</v>
      </c>
      <c r="ES407">
        <v>1062.799999952316</v>
      </c>
      <c r="ET407">
        <v>0</v>
      </c>
      <c r="EU407">
        <v>915.2638846153847</v>
      </c>
      <c r="EV407">
        <v>-6.953264941570831</v>
      </c>
      <c r="EW407">
        <v>-131.7128205177552</v>
      </c>
      <c r="EX407">
        <v>13624.4</v>
      </c>
      <c r="EY407">
        <v>15</v>
      </c>
      <c r="EZ407">
        <v>1651865518.1</v>
      </c>
      <c r="FA407" t="s">
        <v>910</v>
      </c>
      <c r="FB407">
        <v>1651865507.1</v>
      </c>
      <c r="FC407">
        <v>1651865518.1</v>
      </c>
      <c r="FD407">
        <v>8</v>
      </c>
      <c r="FE407">
        <v>0.06</v>
      </c>
      <c r="FF407">
        <v>0</v>
      </c>
      <c r="FG407">
        <v>-0.927</v>
      </c>
      <c r="FH407">
        <v>-0.062</v>
      </c>
      <c r="FI407">
        <v>400</v>
      </c>
      <c r="FJ407">
        <v>11</v>
      </c>
      <c r="FK407">
        <v>0.11</v>
      </c>
      <c r="FL407">
        <v>0.01</v>
      </c>
      <c r="FM407">
        <v>-62.9149125</v>
      </c>
      <c r="FN407">
        <v>1.773722701688497</v>
      </c>
      <c r="FO407">
        <v>0.2692426862400352</v>
      </c>
      <c r="FP407">
        <v>-1</v>
      </c>
      <c r="FQ407">
        <v>9.696676999999999</v>
      </c>
      <c r="FR407">
        <v>0.1470992870543998</v>
      </c>
      <c r="FS407">
        <v>0.01927318074423625</v>
      </c>
      <c r="FT407">
        <v>-1</v>
      </c>
      <c r="FU407">
        <v>0</v>
      </c>
      <c r="FV407">
        <v>0</v>
      </c>
      <c r="FW407">
        <v>0</v>
      </c>
      <c r="FX407">
        <v>-1</v>
      </c>
      <c r="FY407">
        <v>0</v>
      </c>
      <c r="FZ407">
        <v>0</v>
      </c>
      <c r="GA407" t="s">
        <v>420</v>
      </c>
      <c r="GB407">
        <v>2.98159</v>
      </c>
      <c r="GC407">
        <v>2.70629</v>
      </c>
      <c r="GD407">
        <v>0.160805</v>
      </c>
      <c r="GE407">
        <v>0.16598</v>
      </c>
      <c r="GF407">
        <v>0.08886960000000001</v>
      </c>
      <c r="GG407">
        <v>0.0509857</v>
      </c>
      <c r="GH407">
        <v>26520.5</v>
      </c>
      <c r="GI407">
        <v>26412.5</v>
      </c>
      <c r="GJ407">
        <v>29379.7</v>
      </c>
      <c r="GK407">
        <v>29293.2</v>
      </c>
      <c r="GL407">
        <v>35444.2</v>
      </c>
      <c r="GM407">
        <v>37033.6</v>
      </c>
      <c r="GN407">
        <v>41352.6</v>
      </c>
      <c r="GO407">
        <v>41813.3</v>
      </c>
      <c r="GP407">
        <v>1.9678</v>
      </c>
      <c r="GQ407">
        <v>1.85613</v>
      </c>
      <c r="GR407">
        <v>-0.00597909</v>
      </c>
      <c r="GS407">
        <v>0</v>
      </c>
      <c r="GT407">
        <v>25.0974</v>
      </c>
      <c r="GU407">
        <v>999.9</v>
      </c>
      <c r="GV407">
        <v>29.5</v>
      </c>
      <c r="GW407">
        <v>34.2</v>
      </c>
      <c r="GX407">
        <v>17.727</v>
      </c>
      <c r="GY407">
        <v>62.6076</v>
      </c>
      <c r="GZ407">
        <v>35.0962</v>
      </c>
      <c r="HA407">
        <v>1</v>
      </c>
      <c r="HB407">
        <v>0.0410671</v>
      </c>
      <c r="HC407">
        <v>1.47311</v>
      </c>
      <c r="HD407">
        <v>20.3281</v>
      </c>
      <c r="HE407">
        <v>5.21849</v>
      </c>
      <c r="HF407">
        <v>12.0099</v>
      </c>
      <c r="HG407">
        <v>4.989</v>
      </c>
      <c r="HH407">
        <v>3.28858</v>
      </c>
      <c r="HI407">
        <v>1035.1</v>
      </c>
      <c r="HJ407">
        <v>9760.299999999999</v>
      </c>
      <c r="HK407">
        <v>5139.4</v>
      </c>
      <c r="HL407">
        <v>25.4</v>
      </c>
      <c r="HM407">
        <v>1.86747</v>
      </c>
      <c r="HN407">
        <v>1.86646</v>
      </c>
      <c r="HO407">
        <v>1.866</v>
      </c>
      <c r="HP407">
        <v>1.86585</v>
      </c>
      <c r="HQ407">
        <v>1.86768</v>
      </c>
      <c r="HR407">
        <v>1.87018</v>
      </c>
      <c r="HS407">
        <v>1.8689</v>
      </c>
      <c r="HT407">
        <v>1.87026</v>
      </c>
      <c r="HU407">
        <v>0</v>
      </c>
      <c r="HV407">
        <v>0</v>
      </c>
      <c r="HW407">
        <v>0</v>
      </c>
      <c r="HX407">
        <v>0</v>
      </c>
      <c r="HY407" t="s">
        <v>421</v>
      </c>
      <c r="HZ407" t="s">
        <v>422</v>
      </c>
      <c r="IA407" t="s">
        <v>423</v>
      </c>
      <c r="IB407" t="s">
        <v>423</v>
      </c>
      <c r="IC407" t="s">
        <v>423</v>
      </c>
      <c r="ID407" t="s">
        <v>423</v>
      </c>
      <c r="IE407">
        <v>0</v>
      </c>
      <c r="IF407">
        <v>100</v>
      </c>
      <c r="IG407">
        <v>100</v>
      </c>
      <c r="IH407">
        <v>-1.805</v>
      </c>
      <c r="II407">
        <v>0.025</v>
      </c>
      <c r="IJ407">
        <v>-0.1559367209035702</v>
      </c>
      <c r="IK407">
        <v>-0.002077099775823331</v>
      </c>
      <c r="IL407">
        <v>4.593143279902166E-07</v>
      </c>
      <c r="IM407">
        <v>-1.865383991892071E-10</v>
      </c>
      <c r="IN407">
        <v>-0.0607165066849496</v>
      </c>
      <c r="IO407">
        <v>-0.01129461987421345</v>
      </c>
      <c r="IP407">
        <v>0.00116580895745559</v>
      </c>
      <c r="IQ407">
        <v>-1.679085872906199E-05</v>
      </c>
      <c r="IR407">
        <v>2</v>
      </c>
      <c r="IS407">
        <v>2290</v>
      </c>
      <c r="IT407">
        <v>0</v>
      </c>
      <c r="IU407">
        <v>32</v>
      </c>
      <c r="IV407">
        <v>17.3</v>
      </c>
      <c r="IW407">
        <v>17.1</v>
      </c>
      <c r="IX407">
        <v>2.05444</v>
      </c>
      <c r="IY407">
        <v>2.18872</v>
      </c>
      <c r="IZ407">
        <v>1.39648</v>
      </c>
      <c r="JA407">
        <v>2.35474</v>
      </c>
      <c r="JB407">
        <v>1.49536</v>
      </c>
      <c r="JC407">
        <v>2.33032</v>
      </c>
      <c r="JD407">
        <v>38.0134</v>
      </c>
      <c r="JE407">
        <v>24.035</v>
      </c>
      <c r="JF407">
        <v>18</v>
      </c>
      <c r="JG407">
        <v>512.528</v>
      </c>
      <c r="JH407">
        <v>426.876</v>
      </c>
      <c r="JI407">
        <v>23.1634</v>
      </c>
      <c r="JJ407">
        <v>27.8515</v>
      </c>
      <c r="JK407">
        <v>30.0001</v>
      </c>
      <c r="JL407">
        <v>27.863</v>
      </c>
      <c r="JM407">
        <v>27.8064</v>
      </c>
      <c r="JN407">
        <v>41.1617</v>
      </c>
      <c r="JO407">
        <v>46.9143</v>
      </c>
      <c r="JP407">
        <v>0</v>
      </c>
      <c r="JQ407">
        <v>23.1644</v>
      </c>
      <c r="JR407">
        <v>987.968</v>
      </c>
      <c r="JS407">
        <v>8.97912</v>
      </c>
      <c r="JT407">
        <v>100.425</v>
      </c>
      <c r="JU407">
        <v>100.352</v>
      </c>
    </row>
    <row r="408" spans="1:281">
      <c r="A408">
        <v>392</v>
      </c>
      <c r="B408">
        <v>1651866547.5</v>
      </c>
      <c r="C408">
        <v>2326.900000095367</v>
      </c>
      <c r="D408" t="s">
        <v>1207</v>
      </c>
      <c r="E408" t="s">
        <v>1208</v>
      </c>
      <c r="F408">
        <v>2</v>
      </c>
      <c r="G408" t="s">
        <v>908</v>
      </c>
      <c r="H408" t="s">
        <v>414</v>
      </c>
      <c r="I408">
        <v>1651866546.125</v>
      </c>
      <c r="J408">
        <f>(K408)/1000</f>
        <v>0</v>
      </c>
      <c r="K408">
        <f>IF(CZ408, AN408, AH408)</f>
        <v>0</v>
      </c>
      <c r="L408">
        <f>IF(CZ408, AI408, AG408)</f>
        <v>0</v>
      </c>
      <c r="M408">
        <f>DB408 - IF(AU408&gt;1, L408*CV408*100.0/(AW408*DP408), 0)</f>
        <v>0</v>
      </c>
      <c r="N408">
        <f>((T408-J408/2)*M408-L408)/(T408+J408/2)</f>
        <v>0</v>
      </c>
      <c r="O408">
        <f>N408*(DI408+DJ408)/1000.0</f>
        <v>0</v>
      </c>
      <c r="P408">
        <f>(DB408 - IF(AU408&gt;1, L408*CV408*100.0/(AW408*DP408), 0))*(DI408+DJ408)/1000.0</f>
        <v>0</v>
      </c>
      <c r="Q408">
        <f>2.0/((1/S408-1/R408)+SIGN(S408)*SQRT((1/S408-1/R408)*(1/S408-1/R408) + 4*CW408/((CW408+1)*(CW408+1))*(2*1/S408*1/R408-1/R408*1/R408)))</f>
        <v>0</v>
      </c>
      <c r="R408">
        <f>IF(LEFT(CX408,1)&lt;&gt;"0",IF(LEFT(CX408,1)="1",3.0,CY408),$D$5+$E$5*(DP408*DI408/($K$5*1000))+$F$5*(DP408*DI408/($K$5*1000))*MAX(MIN(CV408,$J$5),$I$5)*MAX(MIN(CV408,$J$5),$I$5)+$G$5*MAX(MIN(CV408,$J$5),$I$5)*(DP408*DI408/($K$5*1000))+$H$5*(DP408*DI408/($K$5*1000))*(DP408*DI408/($K$5*1000)))</f>
        <v>0</v>
      </c>
      <c r="S408">
        <f>J408*(1000-(1000*0.61365*exp(17.502*W408/(240.97+W408))/(DI408+DJ408)+DD408)/2)/(1000*0.61365*exp(17.502*W408/(240.97+W408))/(DI408+DJ408)-DD408)</f>
        <v>0</v>
      </c>
      <c r="T408">
        <f>1/((CW408+1)/(Q408/1.6)+1/(R408/1.37)) + CW408/((CW408+1)/(Q408/1.6) + CW408/(R408/1.37))</f>
        <v>0</v>
      </c>
      <c r="U408">
        <f>(CR408*CU408)</f>
        <v>0</v>
      </c>
      <c r="V408">
        <f>(DK408+(U408+2*0.95*5.67E-8*(((DK408+$B$7)+273)^4-(DK408+273)^4)-44100*J408)/(1.84*29.3*R408+8*0.95*5.67E-8*(DK408+273)^3))</f>
        <v>0</v>
      </c>
      <c r="W408">
        <f>($C$7*DL408+$D$7*DM408+$E$7*V408)</f>
        <v>0</v>
      </c>
      <c r="X408">
        <f>0.61365*exp(17.502*W408/(240.97+W408))</f>
        <v>0</v>
      </c>
      <c r="Y408">
        <f>(Z408/AA408*100)</f>
        <v>0</v>
      </c>
      <c r="Z408">
        <f>DD408*(DI408+DJ408)/1000</f>
        <v>0</v>
      </c>
      <c r="AA408">
        <f>0.61365*exp(17.502*DK408/(240.97+DK408))</f>
        <v>0</v>
      </c>
      <c r="AB408">
        <f>(X408-DD408*(DI408+DJ408)/1000)</f>
        <v>0</v>
      </c>
      <c r="AC408">
        <f>(-J408*44100)</f>
        <v>0</v>
      </c>
      <c r="AD408">
        <f>2*29.3*R408*0.92*(DK408-W408)</f>
        <v>0</v>
      </c>
      <c r="AE408">
        <f>2*0.95*5.67E-8*(((DK408+$B$7)+273)^4-(W408+273)^4)</f>
        <v>0</v>
      </c>
      <c r="AF408">
        <f>U408+AE408+AC408+AD408</f>
        <v>0</v>
      </c>
      <c r="AG408">
        <f>DH408*AU408*(DC408-DB408*(1000-AU408*DE408)/(1000-AU408*DD408))/(100*CV408)</f>
        <v>0</v>
      </c>
      <c r="AH408">
        <f>1000*DH408*AU408*(DD408-DE408)/(100*CV408*(1000-AU408*DD408))</f>
        <v>0</v>
      </c>
      <c r="AI408">
        <f>(AJ408 - AK408 - DI408*1E3/(8.314*(DK408+273.15)) * AM408/DH408 * AL408) * DH408/(100*CV408) * (1000 - DE408)/1000</f>
        <v>0</v>
      </c>
      <c r="AJ408">
        <v>976.3852074833605</v>
      </c>
      <c r="AK408">
        <v>929.4137818181813</v>
      </c>
      <c r="AL408">
        <v>3.320731055425374</v>
      </c>
      <c r="AM408">
        <v>66.38195617057868</v>
      </c>
      <c r="AN408">
        <f>(AP408 - AO408 + DI408*1E3/(8.314*(DK408+273.15)) * AR408/DH408 * AQ408) * DH408/(100*CV408) * 1000/(1000 - AP408)</f>
        <v>0</v>
      </c>
      <c r="AO408">
        <v>8.967713660938815</v>
      </c>
      <c r="AP408">
        <v>18.66177735294118</v>
      </c>
      <c r="AQ408">
        <v>-0.003556060138558587</v>
      </c>
      <c r="AR408">
        <v>80.47178418790507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MAX(0,($B$13+$C$13*DP408)/(1+$D$13*DP408)*DI408/(DK408+273)*$E$13)</f>
        <v>0</v>
      </c>
      <c r="AX408" t="s">
        <v>417</v>
      </c>
      <c r="AY408" t="s">
        <v>417</v>
      </c>
      <c r="AZ408">
        <v>0</v>
      </c>
      <c r="BA408">
        <v>0</v>
      </c>
      <c r="BB408">
        <f>1-AZ408/BA408</f>
        <v>0</v>
      </c>
      <c r="BC408">
        <v>0</v>
      </c>
      <c r="BD408" t="s">
        <v>417</v>
      </c>
      <c r="BE408" t="s">
        <v>417</v>
      </c>
      <c r="BF408">
        <v>0</v>
      </c>
      <c r="BG408">
        <v>0</v>
      </c>
      <c r="BH408">
        <f>1-BF408/BG408</f>
        <v>0</v>
      </c>
      <c r="BI408">
        <v>0.5</v>
      </c>
      <c r="BJ408">
        <f>CS408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417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BZ408">
        <v>1249</v>
      </c>
      <c r="CA408">
        <v>300</v>
      </c>
      <c r="CB408">
        <v>300</v>
      </c>
      <c r="CC408">
        <v>300</v>
      </c>
      <c r="CD408">
        <v>10442.4</v>
      </c>
      <c r="CE408">
        <v>1239.69</v>
      </c>
      <c r="CF408">
        <v>-0.00735276</v>
      </c>
      <c r="CG408">
        <v>0.07000000000000001</v>
      </c>
      <c r="CH408" t="s">
        <v>417</v>
      </c>
      <c r="CI408" t="s">
        <v>417</v>
      </c>
      <c r="CJ408" t="s">
        <v>417</v>
      </c>
      <c r="CK408" t="s">
        <v>417</v>
      </c>
      <c r="CL408" t="s">
        <v>417</v>
      </c>
      <c r="CM408" t="s">
        <v>417</v>
      </c>
      <c r="CN408" t="s">
        <v>417</v>
      </c>
      <c r="CO408" t="s">
        <v>417</v>
      </c>
      <c r="CP408" t="s">
        <v>417</v>
      </c>
      <c r="CQ408" t="s">
        <v>417</v>
      </c>
      <c r="CR408">
        <f>$B$11*DQ408+$C$11*DR408+$F$11*EC408*(1-EF408)</f>
        <v>0</v>
      </c>
      <c r="CS408">
        <f>CR408*CT408</f>
        <v>0</v>
      </c>
      <c r="CT408">
        <f>($B$11*$D$9+$C$11*$D$9+$F$11*((EP408+EH408)/MAX(EP408+EH408+EQ408, 0.1)*$I$9+EQ408/MAX(EP408+EH408+EQ408, 0.1)*$J$9))/($B$11+$C$11+$F$11)</f>
        <v>0</v>
      </c>
      <c r="CU408">
        <f>($B$11*$K$9+$C$11*$K$9+$F$11*((EP408+EH408)/MAX(EP408+EH408+EQ408, 0.1)*$P$9+EQ408/MAX(EP408+EH408+EQ408, 0.1)*$Q$9))/($B$11+$C$11+$F$11)</f>
        <v>0</v>
      </c>
      <c r="CV408">
        <v>6</v>
      </c>
      <c r="CW408">
        <v>0.5</v>
      </c>
      <c r="CX408" t="s">
        <v>418</v>
      </c>
      <c r="CY408">
        <v>2</v>
      </c>
      <c r="CZ408" t="b">
        <v>1</v>
      </c>
      <c r="DA408">
        <v>1651866546.125</v>
      </c>
      <c r="DB408">
        <v>909.1877500000001</v>
      </c>
      <c r="DC408">
        <v>972.346</v>
      </c>
      <c r="DD408">
        <v>18.66335</v>
      </c>
      <c r="DE408">
        <v>8.9663725</v>
      </c>
      <c r="DF408">
        <v>910.996</v>
      </c>
      <c r="DG408">
        <v>18.6383</v>
      </c>
      <c r="DH408">
        <v>500.06575</v>
      </c>
      <c r="DI408">
        <v>89.91277500000001</v>
      </c>
      <c r="DJ408">
        <v>0.1000393</v>
      </c>
      <c r="DK408">
        <v>25.937725</v>
      </c>
      <c r="DL408">
        <v>24.999625</v>
      </c>
      <c r="DM408">
        <v>999.9</v>
      </c>
      <c r="DN408">
        <v>0</v>
      </c>
      <c r="DO408">
        <v>0</v>
      </c>
      <c r="DP408">
        <v>10014.35</v>
      </c>
      <c r="DQ408">
        <v>0</v>
      </c>
      <c r="DR408">
        <v>3.23193</v>
      </c>
      <c r="DS408">
        <v>-63.158275</v>
      </c>
      <c r="DT408">
        <v>926.4789999999999</v>
      </c>
      <c r="DU408">
        <v>981.1432500000001</v>
      </c>
      <c r="DV408">
        <v>9.696982500000001</v>
      </c>
      <c r="DW408">
        <v>972.346</v>
      </c>
      <c r="DX408">
        <v>8.9663725</v>
      </c>
      <c r="DY408">
        <v>1.678075</v>
      </c>
      <c r="DZ408">
        <v>0.8061910000000001</v>
      </c>
      <c r="EA408">
        <v>14.6951</v>
      </c>
      <c r="EB408">
        <v>3.816780000000001</v>
      </c>
      <c r="EC408">
        <v>1500.1</v>
      </c>
      <c r="ED408">
        <v>0.972997</v>
      </c>
      <c r="EE408">
        <v>0.0270027</v>
      </c>
      <c r="EF408">
        <v>0</v>
      </c>
      <c r="EG408">
        <v>914.1595</v>
      </c>
      <c r="EH408">
        <v>5.00097</v>
      </c>
      <c r="EI408">
        <v>13606.4</v>
      </c>
      <c r="EJ408">
        <v>12492.4</v>
      </c>
      <c r="EK408">
        <v>38</v>
      </c>
      <c r="EL408">
        <v>39.25</v>
      </c>
      <c r="EM408">
        <v>38.406</v>
      </c>
      <c r="EN408">
        <v>38.875</v>
      </c>
      <c r="EO408">
        <v>38.85925</v>
      </c>
      <c r="EP408">
        <v>1454.73</v>
      </c>
      <c r="EQ408">
        <v>40.37</v>
      </c>
      <c r="ER408">
        <v>0</v>
      </c>
      <c r="ES408">
        <v>1065.200000047684</v>
      </c>
      <c r="ET408">
        <v>0</v>
      </c>
      <c r="EU408">
        <v>914.970923076923</v>
      </c>
      <c r="EV408">
        <v>-6.770803403848892</v>
      </c>
      <c r="EW408">
        <v>-135.5316237491922</v>
      </c>
      <c r="EX408">
        <v>13619.02692307692</v>
      </c>
      <c r="EY408">
        <v>15</v>
      </c>
      <c r="EZ408">
        <v>1651865518.1</v>
      </c>
      <c r="FA408" t="s">
        <v>910</v>
      </c>
      <c r="FB408">
        <v>1651865507.1</v>
      </c>
      <c r="FC408">
        <v>1651865518.1</v>
      </c>
      <c r="FD408">
        <v>8</v>
      </c>
      <c r="FE408">
        <v>0.06</v>
      </c>
      <c r="FF408">
        <v>0</v>
      </c>
      <c r="FG408">
        <v>-0.927</v>
      </c>
      <c r="FH408">
        <v>-0.062</v>
      </c>
      <c r="FI408">
        <v>400</v>
      </c>
      <c r="FJ408">
        <v>11</v>
      </c>
      <c r="FK408">
        <v>0.11</v>
      </c>
      <c r="FL408">
        <v>0.01</v>
      </c>
      <c r="FM408">
        <v>-62.908015</v>
      </c>
      <c r="FN408">
        <v>1.284326454033737</v>
      </c>
      <c r="FO408">
        <v>0.2622439165643314</v>
      </c>
      <c r="FP408">
        <v>-1</v>
      </c>
      <c r="FQ408">
        <v>9.697889999999999</v>
      </c>
      <c r="FR408">
        <v>0.1267091932457386</v>
      </c>
      <c r="FS408">
        <v>0.01854652164153694</v>
      </c>
      <c r="FT408">
        <v>-1</v>
      </c>
      <c r="FU408">
        <v>0</v>
      </c>
      <c r="FV408">
        <v>0</v>
      </c>
      <c r="FW408">
        <v>0</v>
      </c>
      <c r="FX408">
        <v>-1</v>
      </c>
      <c r="FY408">
        <v>0</v>
      </c>
      <c r="FZ408">
        <v>0</v>
      </c>
      <c r="GA408" t="s">
        <v>420</v>
      </c>
      <c r="GB408">
        <v>2.98165</v>
      </c>
      <c r="GC408">
        <v>2.70634</v>
      </c>
      <c r="GD408">
        <v>0.161563</v>
      </c>
      <c r="GE408">
        <v>0.166723</v>
      </c>
      <c r="GF408">
        <v>0.0888471</v>
      </c>
      <c r="GG408">
        <v>0.0509807</v>
      </c>
      <c r="GH408">
        <v>26496.2</v>
      </c>
      <c r="GI408">
        <v>26389</v>
      </c>
      <c r="GJ408">
        <v>29379.4</v>
      </c>
      <c r="GK408">
        <v>29293.2</v>
      </c>
      <c r="GL408">
        <v>35444.6</v>
      </c>
      <c r="GM408">
        <v>37033.9</v>
      </c>
      <c r="GN408">
        <v>41352</v>
      </c>
      <c r="GO408">
        <v>41813.4</v>
      </c>
      <c r="GP408">
        <v>1.96788</v>
      </c>
      <c r="GQ408">
        <v>1.85602</v>
      </c>
      <c r="GR408">
        <v>-0.00597909</v>
      </c>
      <c r="GS408">
        <v>0</v>
      </c>
      <c r="GT408">
        <v>25.0974</v>
      </c>
      <c r="GU408">
        <v>999.9</v>
      </c>
      <c r="GV408">
        <v>29.5</v>
      </c>
      <c r="GW408">
        <v>34.2</v>
      </c>
      <c r="GX408">
        <v>17.7293</v>
      </c>
      <c r="GY408">
        <v>62.1976</v>
      </c>
      <c r="GZ408">
        <v>35.1402</v>
      </c>
      <c r="HA408">
        <v>1</v>
      </c>
      <c r="HB408">
        <v>0.0410976</v>
      </c>
      <c r="HC408">
        <v>1.47927</v>
      </c>
      <c r="HD408">
        <v>20.3279</v>
      </c>
      <c r="HE408">
        <v>5.21804</v>
      </c>
      <c r="HF408">
        <v>12.0099</v>
      </c>
      <c r="HG408">
        <v>4.98895</v>
      </c>
      <c r="HH408">
        <v>3.28858</v>
      </c>
      <c r="HI408">
        <v>1035.1</v>
      </c>
      <c r="HJ408">
        <v>9760.299999999999</v>
      </c>
      <c r="HK408">
        <v>5139.4</v>
      </c>
      <c r="HL408">
        <v>25.4</v>
      </c>
      <c r="HM408">
        <v>1.86749</v>
      </c>
      <c r="HN408">
        <v>1.86645</v>
      </c>
      <c r="HO408">
        <v>1.866</v>
      </c>
      <c r="HP408">
        <v>1.86585</v>
      </c>
      <c r="HQ408">
        <v>1.86768</v>
      </c>
      <c r="HR408">
        <v>1.8702</v>
      </c>
      <c r="HS408">
        <v>1.8689</v>
      </c>
      <c r="HT408">
        <v>1.87026</v>
      </c>
      <c r="HU408">
        <v>0</v>
      </c>
      <c r="HV408">
        <v>0</v>
      </c>
      <c r="HW408">
        <v>0</v>
      </c>
      <c r="HX408">
        <v>0</v>
      </c>
      <c r="HY408" t="s">
        <v>421</v>
      </c>
      <c r="HZ408" t="s">
        <v>422</v>
      </c>
      <c r="IA408" t="s">
        <v>423</v>
      </c>
      <c r="IB408" t="s">
        <v>423</v>
      </c>
      <c r="IC408" t="s">
        <v>423</v>
      </c>
      <c r="ID408" t="s">
        <v>423</v>
      </c>
      <c r="IE408">
        <v>0</v>
      </c>
      <c r="IF408">
        <v>100</v>
      </c>
      <c r="IG408">
        <v>100</v>
      </c>
      <c r="IH408">
        <v>-1.816</v>
      </c>
      <c r="II408">
        <v>0.025</v>
      </c>
      <c r="IJ408">
        <v>-0.1559367209035702</v>
      </c>
      <c r="IK408">
        <v>-0.002077099775823331</v>
      </c>
      <c r="IL408">
        <v>4.593143279902166E-07</v>
      </c>
      <c r="IM408">
        <v>-1.865383991892071E-10</v>
      </c>
      <c r="IN408">
        <v>-0.0607165066849496</v>
      </c>
      <c r="IO408">
        <v>-0.01129461987421345</v>
      </c>
      <c r="IP408">
        <v>0.00116580895745559</v>
      </c>
      <c r="IQ408">
        <v>-1.679085872906199E-05</v>
      </c>
      <c r="IR408">
        <v>2</v>
      </c>
      <c r="IS408">
        <v>2290</v>
      </c>
      <c r="IT408">
        <v>0</v>
      </c>
      <c r="IU408">
        <v>32</v>
      </c>
      <c r="IV408">
        <v>17.3</v>
      </c>
      <c r="IW408">
        <v>17.2</v>
      </c>
      <c r="IX408">
        <v>2.06543</v>
      </c>
      <c r="IY408">
        <v>2.19116</v>
      </c>
      <c r="IZ408">
        <v>1.39648</v>
      </c>
      <c r="JA408">
        <v>2.35474</v>
      </c>
      <c r="JB408">
        <v>1.49536</v>
      </c>
      <c r="JC408">
        <v>2.28394</v>
      </c>
      <c r="JD408">
        <v>38.0134</v>
      </c>
      <c r="JE408">
        <v>24.035</v>
      </c>
      <c r="JF408">
        <v>18</v>
      </c>
      <c r="JG408">
        <v>512.575</v>
      </c>
      <c r="JH408">
        <v>426.817</v>
      </c>
      <c r="JI408">
        <v>23.165</v>
      </c>
      <c r="JJ408">
        <v>27.8515</v>
      </c>
      <c r="JK408">
        <v>30.0001</v>
      </c>
      <c r="JL408">
        <v>27.8628</v>
      </c>
      <c r="JM408">
        <v>27.8064</v>
      </c>
      <c r="JN408">
        <v>41.3908</v>
      </c>
      <c r="JO408">
        <v>46.9143</v>
      </c>
      <c r="JP408">
        <v>0</v>
      </c>
      <c r="JQ408">
        <v>23.1644</v>
      </c>
      <c r="JR408">
        <v>994.796</v>
      </c>
      <c r="JS408">
        <v>8.97912</v>
      </c>
      <c r="JT408">
        <v>100.424</v>
      </c>
      <c r="JU408">
        <v>100.352</v>
      </c>
    </row>
    <row r="409" spans="1:281">
      <c r="A409">
        <v>393</v>
      </c>
      <c r="B409">
        <v>1651866549.5</v>
      </c>
      <c r="C409">
        <v>2328.900000095367</v>
      </c>
      <c r="D409" t="s">
        <v>1209</v>
      </c>
      <c r="E409" t="s">
        <v>1210</v>
      </c>
      <c r="F409">
        <v>2</v>
      </c>
      <c r="G409" t="s">
        <v>908</v>
      </c>
      <c r="H409" t="s">
        <v>414</v>
      </c>
      <c r="I409">
        <v>1651866548.5</v>
      </c>
      <c r="J409">
        <f>(K409)/1000</f>
        <v>0</v>
      </c>
      <c r="K409">
        <f>IF(CZ409, AN409, AH409)</f>
        <v>0</v>
      </c>
      <c r="L409">
        <f>IF(CZ409, AI409, AG409)</f>
        <v>0</v>
      </c>
      <c r="M409">
        <f>DB409 - IF(AU409&gt;1, L409*CV409*100.0/(AW409*DP409), 0)</f>
        <v>0</v>
      </c>
      <c r="N409">
        <f>((T409-J409/2)*M409-L409)/(T409+J409/2)</f>
        <v>0</v>
      </c>
      <c r="O409">
        <f>N409*(DI409+DJ409)/1000.0</f>
        <v>0</v>
      </c>
      <c r="P409">
        <f>(DB409 - IF(AU409&gt;1, L409*CV409*100.0/(AW409*DP409), 0))*(DI409+DJ409)/1000.0</f>
        <v>0</v>
      </c>
      <c r="Q409">
        <f>2.0/((1/S409-1/R409)+SIGN(S409)*SQRT((1/S409-1/R409)*(1/S409-1/R409) + 4*CW409/((CW409+1)*(CW409+1))*(2*1/S409*1/R409-1/R409*1/R409)))</f>
        <v>0</v>
      </c>
      <c r="R409">
        <f>IF(LEFT(CX409,1)&lt;&gt;"0",IF(LEFT(CX409,1)="1",3.0,CY409),$D$5+$E$5*(DP409*DI409/($K$5*1000))+$F$5*(DP409*DI409/($K$5*1000))*MAX(MIN(CV409,$J$5),$I$5)*MAX(MIN(CV409,$J$5),$I$5)+$G$5*MAX(MIN(CV409,$J$5),$I$5)*(DP409*DI409/($K$5*1000))+$H$5*(DP409*DI409/($K$5*1000))*(DP409*DI409/($K$5*1000)))</f>
        <v>0</v>
      </c>
      <c r="S409">
        <f>J409*(1000-(1000*0.61365*exp(17.502*W409/(240.97+W409))/(DI409+DJ409)+DD409)/2)/(1000*0.61365*exp(17.502*W409/(240.97+W409))/(DI409+DJ409)-DD409)</f>
        <v>0</v>
      </c>
      <c r="T409">
        <f>1/((CW409+1)/(Q409/1.6)+1/(R409/1.37)) + CW409/((CW409+1)/(Q409/1.6) + CW409/(R409/1.37))</f>
        <v>0</v>
      </c>
      <c r="U409">
        <f>(CR409*CU409)</f>
        <v>0</v>
      </c>
      <c r="V409">
        <f>(DK409+(U409+2*0.95*5.67E-8*(((DK409+$B$7)+273)^4-(DK409+273)^4)-44100*J409)/(1.84*29.3*R409+8*0.95*5.67E-8*(DK409+273)^3))</f>
        <v>0</v>
      </c>
      <c r="W409">
        <f>($C$7*DL409+$D$7*DM409+$E$7*V409)</f>
        <v>0</v>
      </c>
      <c r="X409">
        <f>0.61365*exp(17.502*W409/(240.97+W409))</f>
        <v>0</v>
      </c>
      <c r="Y409">
        <f>(Z409/AA409*100)</f>
        <v>0</v>
      </c>
      <c r="Z409">
        <f>DD409*(DI409+DJ409)/1000</f>
        <v>0</v>
      </c>
      <c r="AA409">
        <f>0.61365*exp(17.502*DK409/(240.97+DK409))</f>
        <v>0</v>
      </c>
      <c r="AB409">
        <f>(X409-DD409*(DI409+DJ409)/1000)</f>
        <v>0</v>
      </c>
      <c r="AC409">
        <f>(-J409*44100)</f>
        <v>0</v>
      </c>
      <c r="AD409">
        <f>2*29.3*R409*0.92*(DK409-W409)</f>
        <v>0</v>
      </c>
      <c r="AE409">
        <f>2*0.95*5.67E-8*(((DK409+$B$7)+273)^4-(W409+273)^4)</f>
        <v>0</v>
      </c>
      <c r="AF409">
        <f>U409+AE409+AC409+AD409</f>
        <v>0</v>
      </c>
      <c r="AG409">
        <f>DH409*AU409*(DC409-DB409*(1000-AU409*DE409)/(1000-AU409*DD409))/(100*CV409)</f>
        <v>0</v>
      </c>
      <c r="AH409">
        <f>1000*DH409*AU409*(DD409-DE409)/(100*CV409*(1000-AU409*DD409))</f>
        <v>0</v>
      </c>
      <c r="AI409">
        <f>(AJ409 - AK409 - DI409*1E3/(8.314*(DK409+273.15)) * AM409/DH409 * AL409) * DH409/(100*CV409) * (1000 - DE409)/1000</f>
        <v>0</v>
      </c>
      <c r="AJ409">
        <v>983.1942917287627</v>
      </c>
      <c r="AK409">
        <v>936.1790727272728</v>
      </c>
      <c r="AL409">
        <v>3.36885388483605</v>
      </c>
      <c r="AM409">
        <v>66.38195617057868</v>
      </c>
      <c r="AN409">
        <f>(AP409 - AO409 + DI409*1E3/(8.314*(DK409+273.15)) * AR409/DH409 * AQ409) * DH409/(100*CV409) * 1000/(1000 - AP409)</f>
        <v>0</v>
      </c>
      <c r="AO409">
        <v>8.966923664308082</v>
      </c>
      <c r="AP409">
        <v>18.65830029411764</v>
      </c>
      <c r="AQ409">
        <v>-0.001345708514121753</v>
      </c>
      <c r="AR409">
        <v>80.47178418790507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MAX(0,($B$13+$C$13*DP409)/(1+$D$13*DP409)*DI409/(DK409+273)*$E$13)</f>
        <v>0</v>
      </c>
      <c r="AX409" t="s">
        <v>417</v>
      </c>
      <c r="AY409" t="s">
        <v>417</v>
      </c>
      <c r="AZ409">
        <v>0</v>
      </c>
      <c r="BA409">
        <v>0</v>
      </c>
      <c r="BB409">
        <f>1-AZ409/BA409</f>
        <v>0</v>
      </c>
      <c r="BC409">
        <v>0</v>
      </c>
      <c r="BD409" t="s">
        <v>417</v>
      </c>
      <c r="BE409" t="s">
        <v>417</v>
      </c>
      <c r="BF409">
        <v>0</v>
      </c>
      <c r="BG409">
        <v>0</v>
      </c>
      <c r="BH409">
        <f>1-BF409/BG409</f>
        <v>0</v>
      </c>
      <c r="BI409">
        <v>0.5</v>
      </c>
      <c r="BJ409">
        <f>CS409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417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BZ409">
        <v>1249</v>
      </c>
      <c r="CA409">
        <v>300</v>
      </c>
      <c r="CB409">
        <v>300</v>
      </c>
      <c r="CC409">
        <v>300</v>
      </c>
      <c r="CD409">
        <v>10442.4</v>
      </c>
      <c r="CE409">
        <v>1239.69</v>
      </c>
      <c r="CF409">
        <v>-0.00735276</v>
      </c>
      <c r="CG409">
        <v>0.07000000000000001</v>
      </c>
      <c r="CH409" t="s">
        <v>417</v>
      </c>
      <c r="CI409" t="s">
        <v>417</v>
      </c>
      <c r="CJ409" t="s">
        <v>417</v>
      </c>
      <c r="CK409" t="s">
        <v>417</v>
      </c>
      <c r="CL409" t="s">
        <v>417</v>
      </c>
      <c r="CM409" t="s">
        <v>417</v>
      </c>
      <c r="CN409" t="s">
        <v>417</v>
      </c>
      <c r="CO409" t="s">
        <v>417</v>
      </c>
      <c r="CP409" t="s">
        <v>417</v>
      </c>
      <c r="CQ409" t="s">
        <v>417</v>
      </c>
      <c r="CR409">
        <f>$B$11*DQ409+$C$11*DR409+$F$11*EC409*(1-EF409)</f>
        <v>0</v>
      </c>
      <c r="CS409">
        <f>CR409*CT409</f>
        <v>0</v>
      </c>
      <c r="CT409">
        <f>($B$11*$D$9+$C$11*$D$9+$F$11*((EP409+EH409)/MAX(EP409+EH409+EQ409, 0.1)*$I$9+EQ409/MAX(EP409+EH409+EQ409, 0.1)*$J$9))/($B$11+$C$11+$F$11)</f>
        <v>0</v>
      </c>
      <c r="CU409">
        <f>($B$11*$K$9+$C$11*$K$9+$F$11*((EP409+EH409)/MAX(EP409+EH409+EQ409, 0.1)*$P$9+EQ409/MAX(EP409+EH409+EQ409, 0.1)*$Q$9))/($B$11+$C$11+$F$11)</f>
        <v>0</v>
      </c>
      <c r="CV409">
        <v>6</v>
      </c>
      <c r="CW409">
        <v>0.5</v>
      </c>
      <c r="CX409" t="s">
        <v>418</v>
      </c>
      <c r="CY409">
        <v>2</v>
      </c>
      <c r="CZ409" t="b">
        <v>1</v>
      </c>
      <c r="DA409">
        <v>1651866548.5</v>
      </c>
      <c r="DB409">
        <v>917.0493333333334</v>
      </c>
      <c r="DC409">
        <v>980.323</v>
      </c>
      <c r="DD409">
        <v>18.6593</v>
      </c>
      <c r="DE409">
        <v>8.965713333333333</v>
      </c>
      <c r="DF409">
        <v>918.8710000000001</v>
      </c>
      <c r="DG409">
        <v>18.63433333333333</v>
      </c>
      <c r="DH409">
        <v>500.0866666666666</v>
      </c>
      <c r="DI409">
        <v>89.90963333333333</v>
      </c>
      <c r="DJ409">
        <v>0.1000706666666667</v>
      </c>
      <c r="DK409">
        <v>25.9374</v>
      </c>
      <c r="DL409">
        <v>24.99753333333333</v>
      </c>
      <c r="DM409">
        <v>999.9</v>
      </c>
      <c r="DN409">
        <v>0</v>
      </c>
      <c r="DO409">
        <v>0</v>
      </c>
      <c r="DP409">
        <v>9998.32</v>
      </c>
      <c r="DQ409">
        <v>0</v>
      </c>
      <c r="DR409">
        <v>3.23193</v>
      </c>
      <c r="DS409">
        <v>-63.27366666666666</v>
      </c>
      <c r="DT409">
        <v>934.4866666666667</v>
      </c>
      <c r="DU409">
        <v>989.1923333333334</v>
      </c>
      <c r="DV409">
        <v>9.69359</v>
      </c>
      <c r="DW409">
        <v>980.323</v>
      </c>
      <c r="DX409">
        <v>8.965713333333333</v>
      </c>
      <c r="DY409">
        <v>1.67765</v>
      </c>
      <c r="DZ409">
        <v>0.806104</v>
      </c>
      <c r="EA409">
        <v>14.6912</v>
      </c>
      <c r="EB409">
        <v>3.815246666666667</v>
      </c>
      <c r="EC409">
        <v>1500.12</v>
      </c>
      <c r="ED409">
        <v>0.972997</v>
      </c>
      <c r="EE409">
        <v>0.0270027</v>
      </c>
      <c r="EF409">
        <v>0</v>
      </c>
      <c r="EG409">
        <v>913.9716666666667</v>
      </c>
      <c r="EH409">
        <v>5.00097</v>
      </c>
      <c r="EI409">
        <v>13600.46666666667</v>
      </c>
      <c r="EJ409">
        <v>12492.6</v>
      </c>
      <c r="EK409">
        <v>38</v>
      </c>
      <c r="EL409">
        <v>39.208</v>
      </c>
      <c r="EM409">
        <v>38.375</v>
      </c>
      <c r="EN409">
        <v>38.833</v>
      </c>
      <c r="EO409">
        <v>38.833</v>
      </c>
      <c r="EP409">
        <v>1454.75</v>
      </c>
      <c r="EQ409">
        <v>40.37</v>
      </c>
      <c r="ER409">
        <v>0</v>
      </c>
      <c r="ES409">
        <v>1067</v>
      </c>
      <c r="ET409">
        <v>0</v>
      </c>
      <c r="EU409">
        <v>914.71572</v>
      </c>
      <c r="EV409">
        <v>-7.440384611356124</v>
      </c>
      <c r="EW409">
        <v>-137.3769233085603</v>
      </c>
      <c r="EX409">
        <v>13614.42</v>
      </c>
      <c r="EY409">
        <v>15</v>
      </c>
      <c r="EZ409">
        <v>1651865518.1</v>
      </c>
      <c r="FA409" t="s">
        <v>910</v>
      </c>
      <c r="FB409">
        <v>1651865507.1</v>
      </c>
      <c r="FC409">
        <v>1651865518.1</v>
      </c>
      <c r="FD409">
        <v>8</v>
      </c>
      <c r="FE409">
        <v>0.06</v>
      </c>
      <c r="FF409">
        <v>0</v>
      </c>
      <c r="FG409">
        <v>-0.927</v>
      </c>
      <c r="FH409">
        <v>-0.062</v>
      </c>
      <c r="FI409">
        <v>400</v>
      </c>
      <c r="FJ409">
        <v>11</v>
      </c>
      <c r="FK409">
        <v>0.11</v>
      </c>
      <c r="FL409">
        <v>0.01</v>
      </c>
      <c r="FM409">
        <v>-62.9441125</v>
      </c>
      <c r="FN409">
        <v>0.1444221388367935</v>
      </c>
      <c r="FO409">
        <v>0.2875915899218019</v>
      </c>
      <c r="FP409">
        <v>-1</v>
      </c>
      <c r="FQ409">
        <v>9.700834499999999</v>
      </c>
      <c r="FR409">
        <v>0.04485185741086968</v>
      </c>
      <c r="FS409">
        <v>0.01597368272346733</v>
      </c>
      <c r="FT409">
        <v>-1</v>
      </c>
      <c r="FU409">
        <v>0</v>
      </c>
      <c r="FV409">
        <v>0</v>
      </c>
      <c r="FW409">
        <v>0</v>
      </c>
      <c r="FX409">
        <v>-1</v>
      </c>
      <c r="FY409">
        <v>0</v>
      </c>
      <c r="FZ409">
        <v>0</v>
      </c>
      <c r="GA409" t="s">
        <v>420</v>
      </c>
      <c r="GB409">
        <v>2.98149</v>
      </c>
      <c r="GC409">
        <v>2.70612</v>
      </c>
      <c r="GD409">
        <v>0.162317</v>
      </c>
      <c r="GE409">
        <v>0.167467</v>
      </c>
      <c r="GF409">
        <v>0.0888444</v>
      </c>
      <c r="GG409">
        <v>0.0509758</v>
      </c>
      <c r="GH409">
        <v>26472.1</v>
      </c>
      <c r="GI409">
        <v>26365.4</v>
      </c>
      <c r="GJ409">
        <v>29379.1</v>
      </c>
      <c r="GK409">
        <v>29293.1</v>
      </c>
      <c r="GL409">
        <v>35444.3</v>
      </c>
      <c r="GM409">
        <v>37034</v>
      </c>
      <c r="GN409">
        <v>41351.5</v>
      </c>
      <c r="GO409">
        <v>41813.2</v>
      </c>
      <c r="GP409">
        <v>1.96788</v>
      </c>
      <c r="GQ409">
        <v>1.85625</v>
      </c>
      <c r="GR409">
        <v>-0.00616536</v>
      </c>
      <c r="GS409">
        <v>0</v>
      </c>
      <c r="GT409">
        <v>25.0975</v>
      </c>
      <c r="GU409">
        <v>999.9</v>
      </c>
      <c r="GV409">
        <v>29.5</v>
      </c>
      <c r="GW409">
        <v>34.2</v>
      </c>
      <c r="GX409">
        <v>17.7272</v>
      </c>
      <c r="GY409">
        <v>62.3276</v>
      </c>
      <c r="GZ409">
        <v>35.4327</v>
      </c>
      <c r="HA409">
        <v>1</v>
      </c>
      <c r="HB409">
        <v>0.0410518</v>
      </c>
      <c r="HC409">
        <v>1.48414</v>
      </c>
      <c r="HD409">
        <v>20.3279</v>
      </c>
      <c r="HE409">
        <v>5.21819</v>
      </c>
      <c r="HF409">
        <v>12.0099</v>
      </c>
      <c r="HG409">
        <v>4.98885</v>
      </c>
      <c r="HH409">
        <v>3.28855</v>
      </c>
      <c r="HI409">
        <v>1035.4</v>
      </c>
      <c r="HJ409">
        <v>9761.799999999999</v>
      </c>
      <c r="HK409">
        <v>5139.4</v>
      </c>
      <c r="HL409">
        <v>25.4</v>
      </c>
      <c r="HM409">
        <v>1.8675</v>
      </c>
      <c r="HN409">
        <v>1.86645</v>
      </c>
      <c r="HO409">
        <v>1.866</v>
      </c>
      <c r="HP409">
        <v>1.86585</v>
      </c>
      <c r="HQ409">
        <v>1.86768</v>
      </c>
      <c r="HR409">
        <v>1.8702</v>
      </c>
      <c r="HS409">
        <v>1.8689</v>
      </c>
      <c r="HT409">
        <v>1.87024</v>
      </c>
      <c r="HU409">
        <v>0</v>
      </c>
      <c r="HV409">
        <v>0</v>
      </c>
      <c r="HW409">
        <v>0</v>
      </c>
      <c r="HX409">
        <v>0</v>
      </c>
      <c r="HY409" t="s">
        <v>421</v>
      </c>
      <c r="HZ409" t="s">
        <v>422</v>
      </c>
      <c r="IA409" t="s">
        <v>423</v>
      </c>
      <c r="IB409" t="s">
        <v>423</v>
      </c>
      <c r="IC409" t="s">
        <v>423</v>
      </c>
      <c r="ID409" t="s">
        <v>423</v>
      </c>
      <c r="IE409">
        <v>0</v>
      </c>
      <c r="IF409">
        <v>100</v>
      </c>
      <c r="IG409">
        <v>100</v>
      </c>
      <c r="IH409">
        <v>-1.827</v>
      </c>
      <c r="II409">
        <v>0.025</v>
      </c>
      <c r="IJ409">
        <v>-0.1559367209035702</v>
      </c>
      <c r="IK409">
        <v>-0.002077099775823331</v>
      </c>
      <c r="IL409">
        <v>4.593143279902166E-07</v>
      </c>
      <c r="IM409">
        <v>-1.865383991892071E-10</v>
      </c>
      <c r="IN409">
        <v>-0.0607165066849496</v>
      </c>
      <c r="IO409">
        <v>-0.01129461987421345</v>
      </c>
      <c r="IP409">
        <v>0.00116580895745559</v>
      </c>
      <c r="IQ409">
        <v>-1.679085872906199E-05</v>
      </c>
      <c r="IR409">
        <v>2</v>
      </c>
      <c r="IS409">
        <v>2290</v>
      </c>
      <c r="IT409">
        <v>0</v>
      </c>
      <c r="IU409">
        <v>32</v>
      </c>
      <c r="IV409">
        <v>17.4</v>
      </c>
      <c r="IW409">
        <v>17.2</v>
      </c>
      <c r="IX409">
        <v>2.07764</v>
      </c>
      <c r="IY409">
        <v>2.18872</v>
      </c>
      <c r="IZ409">
        <v>1.39648</v>
      </c>
      <c r="JA409">
        <v>2.35596</v>
      </c>
      <c r="JB409">
        <v>1.49536</v>
      </c>
      <c r="JC409">
        <v>2.33887</v>
      </c>
      <c r="JD409">
        <v>38.0134</v>
      </c>
      <c r="JE409">
        <v>24.035</v>
      </c>
      <c r="JF409">
        <v>18</v>
      </c>
      <c r="JG409">
        <v>512.5650000000001</v>
      </c>
      <c r="JH409">
        <v>426.946</v>
      </c>
      <c r="JI409">
        <v>23.1659</v>
      </c>
      <c r="JJ409">
        <v>27.8515</v>
      </c>
      <c r="JK409">
        <v>30.0001</v>
      </c>
      <c r="JL409">
        <v>27.8616</v>
      </c>
      <c r="JM409">
        <v>27.8057</v>
      </c>
      <c r="JN409">
        <v>41.6163</v>
      </c>
      <c r="JO409">
        <v>46.9143</v>
      </c>
      <c r="JP409">
        <v>0</v>
      </c>
      <c r="JQ409">
        <v>23.1644</v>
      </c>
      <c r="JR409">
        <v>1001.52</v>
      </c>
      <c r="JS409">
        <v>8.97912</v>
      </c>
      <c r="JT409">
        <v>100.422</v>
      </c>
      <c r="JU409">
        <v>100.352</v>
      </c>
    </row>
    <row r="410" spans="1:281">
      <c r="A410">
        <v>394</v>
      </c>
      <c r="B410">
        <v>1651866551.5</v>
      </c>
      <c r="C410">
        <v>2330.900000095367</v>
      </c>
      <c r="D410" t="s">
        <v>1211</v>
      </c>
      <c r="E410" t="s">
        <v>1212</v>
      </c>
      <c r="F410">
        <v>2</v>
      </c>
      <c r="G410" t="s">
        <v>908</v>
      </c>
      <c r="H410" t="s">
        <v>414</v>
      </c>
      <c r="I410">
        <v>1651866550.125</v>
      </c>
      <c r="J410">
        <f>(K410)/1000</f>
        <v>0</v>
      </c>
      <c r="K410">
        <f>IF(CZ410, AN410, AH410)</f>
        <v>0</v>
      </c>
      <c r="L410">
        <f>IF(CZ410, AI410, AG410)</f>
        <v>0</v>
      </c>
      <c r="M410">
        <f>DB410 - IF(AU410&gt;1, L410*CV410*100.0/(AW410*DP410), 0)</f>
        <v>0</v>
      </c>
      <c r="N410">
        <f>((T410-J410/2)*M410-L410)/(T410+J410/2)</f>
        <v>0</v>
      </c>
      <c r="O410">
        <f>N410*(DI410+DJ410)/1000.0</f>
        <v>0</v>
      </c>
      <c r="P410">
        <f>(DB410 - IF(AU410&gt;1, L410*CV410*100.0/(AW410*DP410), 0))*(DI410+DJ410)/1000.0</f>
        <v>0</v>
      </c>
      <c r="Q410">
        <f>2.0/((1/S410-1/R410)+SIGN(S410)*SQRT((1/S410-1/R410)*(1/S410-1/R410) + 4*CW410/((CW410+1)*(CW410+1))*(2*1/S410*1/R410-1/R410*1/R410)))</f>
        <v>0</v>
      </c>
      <c r="R410">
        <f>IF(LEFT(CX410,1)&lt;&gt;"0",IF(LEFT(CX410,1)="1",3.0,CY410),$D$5+$E$5*(DP410*DI410/($K$5*1000))+$F$5*(DP410*DI410/($K$5*1000))*MAX(MIN(CV410,$J$5),$I$5)*MAX(MIN(CV410,$J$5),$I$5)+$G$5*MAX(MIN(CV410,$J$5),$I$5)*(DP410*DI410/($K$5*1000))+$H$5*(DP410*DI410/($K$5*1000))*(DP410*DI410/($K$5*1000)))</f>
        <v>0</v>
      </c>
      <c r="S410">
        <f>J410*(1000-(1000*0.61365*exp(17.502*W410/(240.97+W410))/(DI410+DJ410)+DD410)/2)/(1000*0.61365*exp(17.502*W410/(240.97+W410))/(DI410+DJ410)-DD410)</f>
        <v>0</v>
      </c>
      <c r="T410">
        <f>1/((CW410+1)/(Q410/1.6)+1/(R410/1.37)) + CW410/((CW410+1)/(Q410/1.6) + CW410/(R410/1.37))</f>
        <v>0</v>
      </c>
      <c r="U410">
        <f>(CR410*CU410)</f>
        <v>0</v>
      </c>
      <c r="V410">
        <f>(DK410+(U410+2*0.95*5.67E-8*(((DK410+$B$7)+273)^4-(DK410+273)^4)-44100*J410)/(1.84*29.3*R410+8*0.95*5.67E-8*(DK410+273)^3))</f>
        <v>0</v>
      </c>
      <c r="W410">
        <f>($C$7*DL410+$D$7*DM410+$E$7*V410)</f>
        <v>0</v>
      </c>
      <c r="X410">
        <f>0.61365*exp(17.502*W410/(240.97+W410))</f>
        <v>0</v>
      </c>
      <c r="Y410">
        <f>(Z410/AA410*100)</f>
        <v>0</v>
      </c>
      <c r="Z410">
        <f>DD410*(DI410+DJ410)/1000</f>
        <v>0</v>
      </c>
      <c r="AA410">
        <f>0.61365*exp(17.502*DK410/(240.97+DK410))</f>
        <v>0</v>
      </c>
      <c r="AB410">
        <f>(X410-DD410*(DI410+DJ410)/1000)</f>
        <v>0</v>
      </c>
      <c r="AC410">
        <f>(-J410*44100)</f>
        <v>0</v>
      </c>
      <c r="AD410">
        <f>2*29.3*R410*0.92*(DK410-W410)</f>
        <v>0</v>
      </c>
      <c r="AE410">
        <f>2*0.95*5.67E-8*(((DK410+$B$7)+273)^4-(W410+273)^4)</f>
        <v>0</v>
      </c>
      <c r="AF410">
        <f>U410+AE410+AC410+AD410</f>
        <v>0</v>
      </c>
      <c r="AG410">
        <f>DH410*AU410*(DC410-DB410*(1000-AU410*DE410)/(1000-AU410*DD410))/(100*CV410)</f>
        <v>0</v>
      </c>
      <c r="AH410">
        <f>1000*DH410*AU410*(DD410-DE410)/(100*CV410*(1000-AU410*DD410))</f>
        <v>0</v>
      </c>
      <c r="AI410">
        <f>(AJ410 - AK410 - DI410*1E3/(8.314*(DK410+273.15)) * AM410/DH410 * AL410) * DH410/(100*CV410) * (1000 - DE410)/1000</f>
        <v>0</v>
      </c>
      <c r="AJ410">
        <v>990.0060247416914</v>
      </c>
      <c r="AK410">
        <v>942.9620606060604</v>
      </c>
      <c r="AL410">
        <v>3.38822213284276</v>
      </c>
      <c r="AM410">
        <v>66.38195617057868</v>
      </c>
      <c r="AN410">
        <f>(AP410 - AO410 + DI410*1E3/(8.314*(DK410+273.15)) * AR410/DH410 * AQ410) * DH410/(100*CV410) * 1000/(1000 - AP410)</f>
        <v>0</v>
      </c>
      <c r="AO410">
        <v>8.966086204450285</v>
      </c>
      <c r="AP410">
        <v>18.65713176470588</v>
      </c>
      <c r="AQ410">
        <v>-0.0008722821139854587</v>
      </c>
      <c r="AR410">
        <v>80.47178418790507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MAX(0,($B$13+$C$13*DP410)/(1+$D$13*DP410)*DI410/(DK410+273)*$E$13)</f>
        <v>0</v>
      </c>
      <c r="AX410" t="s">
        <v>417</v>
      </c>
      <c r="AY410" t="s">
        <v>417</v>
      </c>
      <c r="AZ410">
        <v>0</v>
      </c>
      <c r="BA410">
        <v>0</v>
      </c>
      <c r="BB410">
        <f>1-AZ410/BA410</f>
        <v>0</v>
      </c>
      <c r="BC410">
        <v>0</v>
      </c>
      <c r="BD410" t="s">
        <v>417</v>
      </c>
      <c r="BE410" t="s">
        <v>417</v>
      </c>
      <c r="BF410">
        <v>0</v>
      </c>
      <c r="BG410">
        <v>0</v>
      </c>
      <c r="BH410">
        <f>1-BF410/BG410</f>
        <v>0</v>
      </c>
      <c r="BI410">
        <v>0.5</v>
      </c>
      <c r="BJ410">
        <f>CS410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417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BZ410">
        <v>1249</v>
      </c>
      <c r="CA410">
        <v>300</v>
      </c>
      <c r="CB410">
        <v>300</v>
      </c>
      <c r="CC410">
        <v>300</v>
      </c>
      <c r="CD410">
        <v>10442.4</v>
      </c>
      <c r="CE410">
        <v>1239.69</v>
      </c>
      <c r="CF410">
        <v>-0.00735276</v>
      </c>
      <c r="CG410">
        <v>0.07000000000000001</v>
      </c>
      <c r="CH410" t="s">
        <v>417</v>
      </c>
      <c r="CI410" t="s">
        <v>417</v>
      </c>
      <c r="CJ410" t="s">
        <v>417</v>
      </c>
      <c r="CK410" t="s">
        <v>417</v>
      </c>
      <c r="CL410" t="s">
        <v>417</v>
      </c>
      <c r="CM410" t="s">
        <v>417</v>
      </c>
      <c r="CN410" t="s">
        <v>417</v>
      </c>
      <c r="CO410" t="s">
        <v>417</v>
      </c>
      <c r="CP410" t="s">
        <v>417</v>
      </c>
      <c r="CQ410" t="s">
        <v>417</v>
      </c>
      <c r="CR410">
        <f>$B$11*DQ410+$C$11*DR410+$F$11*EC410*(1-EF410)</f>
        <v>0</v>
      </c>
      <c r="CS410">
        <f>CR410*CT410</f>
        <v>0</v>
      </c>
      <c r="CT410">
        <f>($B$11*$D$9+$C$11*$D$9+$F$11*((EP410+EH410)/MAX(EP410+EH410+EQ410, 0.1)*$I$9+EQ410/MAX(EP410+EH410+EQ410, 0.1)*$J$9))/($B$11+$C$11+$F$11)</f>
        <v>0</v>
      </c>
      <c r="CU410">
        <f>($B$11*$K$9+$C$11*$K$9+$F$11*((EP410+EH410)/MAX(EP410+EH410+EQ410, 0.1)*$P$9+EQ410/MAX(EP410+EH410+EQ410, 0.1)*$Q$9))/($B$11+$C$11+$F$11)</f>
        <v>0</v>
      </c>
      <c r="CV410">
        <v>6</v>
      </c>
      <c r="CW410">
        <v>0.5</v>
      </c>
      <c r="CX410" t="s">
        <v>418</v>
      </c>
      <c r="CY410">
        <v>2</v>
      </c>
      <c r="CZ410" t="b">
        <v>1</v>
      </c>
      <c r="DA410">
        <v>1651866550.125</v>
      </c>
      <c r="DB410">
        <v>922.4494999999999</v>
      </c>
      <c r="DC410">
        <v>985.95625</v>
      </c>
      <c r="DD410">
        <v>18.65785</v>
      </c>
      <c r="DE410">
        <v>8.965652499999999</v>
      </c>
      <c r="DF410">
        <v>924.2797499999999</v>
      </c>
      <c r="DG410">
        <v>18.632925</v>
      </c>
      <c r="DH410">
        <v>500.0225</v>
      </c>
      <c r="DI410">
        <v>89.90597499999998</v>
      </c>
      <c r="DJ410">
        <v>0.100027125</v>
      </c>
      <c r="DK410">
        <v>25.9374</v>
      </c>
      <c r="DL410">
        <v>24.9966</v>
      </c>
      <c r="DM410">
        <v>999.9</v>
      </c>
      <c r="DN410">
        <v>0</v>
      </c>
      <c r="DO410">
        <v>0</v>
      </c>
      <c r="DP410">
        <v>9992.175000000001</v>
      </c>
      <c r="DQ410">
        <v>0</v>
      </c>
      <c r="DR410">
        <v>3.23193</v>
      </c>
      <c r="DS410">
        <v>-63.5071</v>
      </c>
      <c r="DT410">
        <v>939.9877499999999</v>
      </c>
      <c r="DU410">
        <v>994.876</v>
      </c>
      <c r="DV410">
        <v>9.69223</v>
      </c>
      <c r="DW410">
        <v>985.95625</v>
      </c>
      <c r="DX410">
        <v>8.965652499999999</v>
      </c>
      <c r="DY410">
        <v>1.677455</v>
      </c>
      <c r="DZ410">
        <v>0.8060660000000001</v>
      </c>
      <c r="EA410">
        <v>14.689375</v>
      </c>
      <c r="EB410">
        <v>3.814575</v>
      </c>
      <c r="EC410">
        <v>1499.9825</v>
      </c>
      <c r="ED410">
        <v>0.9729945</v>
      </c>
      <c r="EE410">
        <v>0.02700535</v>
      </c>
      <c r="EF410">
        <v>0</v>
      </c>
      <c r="EG410">
        <v>913.5699999999999</v>
      </c>
      <c r="EH410">
        <v>5.00097</v>
      </c>
      <c r="EI410">
        <v>13594.35</v>
      </c>
      <c r="EJ410">
        <v>12491.425</v>
      </c>
      <c r="EK410">
        <v>38</v>
      </c>
      <c r="EL410">
        <v>39.20274999999999</v>
      </c>
      <c r="EM410">
        <v>38.375</v>
      </c>
      <c r="EN410">
        <v>38.812</v>
      </c>
      <c r="EO410">
        <v>38.812</v>
      </c>
      <c r="EP410">
        <v>1454.6125</v>
      </c>
      <c r="EQ410">
        <v>40.37</v>
      </c>
      <c r="ER410">
        <v>0</v>
      </c>
      <c r="ES410">
        <v>1068.799999952316</v>
      </c>
      <c r="ET410">
        <v>0</v>
      </c>
      <c r="EU410">
        <v>914.5018076923078</v>
      </c>
      <c r="EV410">
        <v>-7.995384602753595</v>
      </c>
      <c r="EW410">
        <v>-146.0547008495301</v>
      </c>
      <c r="EX410">
        <v>13610.77307692308</v>
      </c>
      <c r="EY410">
        <v>15</v>
      </c>
      <c r="EZ410">
        <v>1651865518.1</v>
      </c>
      <c r="FA410" t="s">
        <v>910</v>
      </c>
      <c r="FB410">
        <v>1651865507.1</v>
      </c>
      <c r="FC410">
        <v>1651865518.1</v>
      </c>
      <c r="FD410">
        <v>8</v>
      </c>
      <c r="FE410">
        <v>0.06</v>
      </c>
      <c r="FF410">
        <v>0</v>
      </c>
      <c r="FG410">
        <v>-0.927</v>
      </c>
      <c r="FH410">
        <v>-0.062</v>
      </c>
      <c r="FI410">
        <v>400</v>
      </c>
      <c r="FJ410">
        <v>11</v>
      </c>
      <c r="FK410">
        <v>0.11</v>
      </c>
      <c r="FL410">
        <v>0.01</v>
      </c>
      <c r="FM410">
        <v>-62.96862</v>
      </c>
      <c r="FN410">
        <v>-0.3772345215757774</v>
      </c>
      <c r="FO410">
        <v>0.3111733826984564</v>
      </c>
      <c r="FP410">
        <v>-1</v>
      </c>
      <c r="FQ410">
        <v>9.70173975</v>
      </c>
      <c r="FR410">
        <v>0.01454532833017782</v>
      </c>
      <c r="FS410">
        <v>0.01499074756099569</v>
      </c>
      <c r="FT410">
        <v>-1</v>
      </c>
      <c r="FU410">
        <v>0</v>
      </c>
      <c r="FV410">
        <v>0</v>
      </c>
      <c r="FW410">
        <v>0</v>
      </c>
      <c r="FX410">
        <v>-1</v>
      </c>
      <c r="FY410">
        <v>0</v>
      </c>
      <c r="FZ410">
        <v>0</v>
      </c>
      <c r="GA410" t="s">
        <v>420</v>
      </c>
      <c r="GB410">
        <v>2.98145</v>
      </c>
      <c r="GC410">
        <v>2.70606</v>
      </c>
      <c r="GD410">
        <v>0.163078</v>
      </c>
      <c r="GE410">
        <v>0.168213</v>
      </c>
      <c r="GF410">
        <v>0.0888241</v>
      </c>
      <c r="GG410">
        <v>0.0509712</v>
      </c>
      <c r="GH410">
        <v>26448.1</v>
      </c>
      <c r="GI410">
        <v>26341.6</v>
      </c>
      <c r="GJ410">
        <v>29379.2</v>
      </c>
      <c r="GK410">
        <v>29292.9</v>
      </c>
      <c r="GL410">
        <v>35445.2</v>
      </c>
      <c r="GM410">
        <v>37033.9</v>
      </c>
      <c r="GN410">
        <v>41351.6</v>
      </c>
      <c r="GO410">
        <v>41813</v>
      </c>
      <c r="GP410">
        <v>1.9677</v>
      </c>
      <c r="GQ410">
        <v>1.85632</v>
      </c>
      <c r="GR410">
        <v>-0.00620261</v>
      </c>
      <c r="GS410">
        <v>0</v>
      </c>
      <c r="GT410">
        <v>25.0986</v>
      </c>
      <c r="GU410">
        <v>999.9</v>
      </c>
      <c r="GV410">
        <v>29.5</v>
      </c>
      <c r="GW410">
        <v>34.2</v>
      </c>
      <c r="GX410">
        <v>17.729</v>
      </c>
      <c r="GY410">
        <v>62.2476</v>
      </c>
      <c r="GZ410">
        <v>35.3806</v>
      </c>
      <c r="HA410">
        <v>1</v>
      </c>
      <c r="HB410">
        <v>0.0410747</v>
      </c>
      <c r="HC410">
        <v>1.4874</v>
      </c>
      <c r="HD410">
        <v>20.3279</v>
      </c>
      <c r="HE410">
        <v>5.21819</v>
      </c>
      <c r="HF410">
        <v>12.0099</v>
      </c>
      <c r="HG410">
        <v>4.98885</v>
      </c>
      <c r="HH410">
        <v>3.28855</v>
      </c>
      <c r="HI410">
        <v>1035.4</v>
      </c>
      <c r="HJ410">
        <v>9761.799999999999</v>
      </c>
      <c r="HK410">
        <v>5139.4</v>
      </c>
      <c r="HL410">
        <v>25.4</v>
      </c>
      <c r="HM410">
        <v>1.86749</v>
      </c>
      <c r="HN410">
        <v>1.86645</v>
      </c>
      <c r="HO410">
        <v>1.866</v>
      </c>
      <c r="HP410">
        <v>1.86584</v>
      </c>
      <c r="HQ410">
        <v>1.86768</v>
      </c>
      <c r="HR410">
        <v>1.8702</v>
      </c>
      <c r="HS410">
        <v>1.8689</v>
      </c>
      <c r="HT410">
        <v>1.87024</v>
      </c>
      <c r="HU410">
        <v>0</v>
      </c>
      <c r="HV410">
        <v>0</v>
      </c>
      <c r="HW410">
        <v>0</v>
      </c>
      <c r="HX410">
        <v>0</v>
      </c>
      <c r="HY410" t="s">
        <v>421</v>
      </c>
      <c r="HZ410" t="s">
        <v>422</v>
      </c>
      <c r="IA410" t="s">
        <v>423</v>
      </c>
      <c r="IB410" t="s">
        <v>423</v>
      </c>
      <c r="IC410" t="s">
        <v>423</v>
      </c>
      <c r="ID410" t="s">
        <v>423</v>
      </c>
      <c r="IE410">
        <v>0</v>
      </c>
      <c r="IF410">
        <v>100</v>
      </c>
      <c r="IG410">
        <v>100</v>
      </c>
      <c r="IH410">
        <v>-1.839</v>
      </c>
      <c r="II410">
        <v>0.025</v>
      </c>
      <c r="IJ410">
        <v>-0.1559367209035702</v>
      </c>
      <c r="IK410">
        <v>-0.002077099775823331</v>
      </c>
      <c r="IL410">
        <v>4.593143279902166E-07</v>
      </c>
      <c r="IM410">
        <v>-1.865383991892071E-10</v>
      </c>
      <c r="IN410">
        <v>-0.0607165066849496</v>
      </c>
      <c r="IO410">
        <v>-0.01129461987421345</v>
      </c>
      <c r="IP410">
        <v>0.00116580895745559</v>
      </c>
      <c r="IQ410">
        <v>-1.679085872906199E-05</v>
      </c>
      <c r="IR410">
        <v>2</v>
      </c>
      <c r="IS410">
        <v>2290</v>
      </c>
      <c r="IT410">
        <v>0</v>
      </c>
      <c r="IU410">
        <v>32</v>
      </c>
      <c r="IV410">
        <v>17.4</v>
      </c>
      <c r="IW410">
        <v>17.2</v>
      </c>
      <c r="IX410">
        <v>2.08862</v>
      </c>
      <c r="IY410">
        <v>2.18872</v>
      </c>
      <c r="IZ410">
        <v>1.39648</v>
      </c>
      <c r="JA410">
        <v>2.35596</v>
      </c>
      <c r="JB410">
        <v>1.49536</v>
      </c>
      <c r="JC410">
        <v>2.3584</v>
      </c>
      <c r="JD410">
        <v>38.0134</v>
      </c>
      <c r="JE410">
        <v>24.0437</v>
      </c>
      <c r="JF410">
        <v>18</v>
      </c>
      <c r="JG410">
        <v>512.442</v>
      </c>
      <c r="JH410">
        <v>426.982</v>
      </c>
      <c r="JI410">
        <v>23.1663</v>
      </c>
      <c r="JJ410">
        <v>27.8506</v>
      </c>
      <c r="JK410">
        <v>30.0001</v>
      </c>
      <c r="JL410">
        <v>27.8607</v>
      </c>
      <c r="JM410">
        <v>27.8045</v>
      </c>
      <c r="JN410">
        <v>41.844</v>
      </c>
      <c r="JO410">
        <v>46.9143</v>
      </c>
      <c r="JP410">
        <v>0</v>
      </c>
      <c r="JQ410">
        <v>23.1656</v>
      </c>
      <c r="JR410">
        <v>1008.23</v>
      </c>
      <c r="JS410">
        <v>8.97912</v>
      </c>
      <c r="JT410">
        <v>100.423</v>
      </c>
      <c r="JU410">
        <v>100.351</v>
      </c>
    </row>
    <row r="411" spans="1:281">
      <c r="A411">
        <v>395</v>
      </c>
      <c r="B411">
        <v>1651866553.5</v>
      </c>
      <c r="C411">
        <v>2332.900000095367</v>
      </c>
      <c r="D411" t="s">
        <v>1213</v>
      </c>
      <c r="E411" t="s">
        <v>1214</v>
      </c>
      <c r="F411">
        <v>2</v>
      </c>
      <c r="G411" t="s">
        <v>908</v>
      </c>
      <c r="H411" t="s">
        <v>414</v>
      </c>
      <c r="I411">
        <v>1651866552.5</v>
      </c>
      <c r="J411">
        <f>(K411)/1000</f>
        <v>0</v>
      </c>
      <c r="K411">
        <f>IF(CZ411, AN411, AH411)</f>
        <v>0</v>
      </c>
      <c r="L411">
        <f>IF(CZ411, AI411, AG411)</f>
        <v>0</v>
      </c>
      <c r="M411">
        <f>DB411 - IF(AU411&gt;1, L411*CV411*100.0/(AW411*DP411), 0)</f>
        <v>0</v>
      </c>
      <c r="N411">
        <f>((T411-J411/2)*M411-L411)/(T411+J411/2)</f>
        <v>0</v>
      </c>
      <c r="O411">
        <f>N411*(DI411+DJ411)/1000.0</f>
        <v>0</v>
      </c>
      <c r="P411">
        <f>(DB411 - IF(AU411&gt;1, L411*CV411*100.0/(AW411*DP411), 0))*(DI411+DJ411)/1000.0</f>
        <v>0</v>
      </c>
      <c r="Q411">
        <f>2.0/((1/S411-1/R411)+SIGN(S411)*SQRT((1/S411-1/R411)*(1/S411-1/R411) + 4*CW411/((CW411+1)*(CW411+1))*(2*1/S411*1/R411-1/R411*1/R411)))</f>
        <v>0</v>
      </c>
      <c r="R411">
        <f>IF(LEFT(CX411,1)&lt;&gt;"0",IF(LEFT(CX411,1)="1",3.0,CY411),$D$5+$E$5*(DP411*DI411/($K$5*1000))+$F$5*(DP411*DI411/($K$5*1000))*MAX(MIN(CV411,$J$5),$I$5)*MAX(MIN(CV411,$J$5),$I$5)+$G$5*MAX(MIN(CV411,$J$5),$I$5)*(DP411*DI411/($K$5*1000))+$H$5*(DP411*DI411/($K$5*1000))*(DP411*DI411/($K$5*1000)))</f>
        <v>0</v>
      </c>
      <c r="S411">
        <f>J411*(1000-(1000*0.61365*exp(17.502*W411/(240.97+W411))/(DI411+DJ411)+DD411)/2)/(1000*0.61365*exp(17.502*W411/(240.97+W411))/(DI411+DJ411)-DD411)</f>
        <v>0</v>
      </c>
      <c r="T411">
        <f>1/((CW411+1)/(Q411/1.6)+1/(R411/1.37)) + CW411/((CW411+1)/(Q411/1.6) + CW411/(R411/1.37))</f>
        <v>0</v>
      </c>
      <c r="U411">
        <f>(CR411*CU411)</f>
        <v>0</v>
      </c>
      <c r="V411">
        <f>(DK411+(U411+2*0.95*5.67E-8*(((DK411+$B$7)+273)^4-(DK411+273)^4)-44100*J411)/(1.84*29.3*R411+8*0.95*5.67E-8*(DK411+273)^3))</f>
        <v>0</v>
      </c>
      <c r="W411">
        <f>($C$7*DL411+$D$7*DM411+$E$7*V411)</f>
        <v>0</v>
      </c>
      <c r="X411">
        <f>0.61365*exp(17.502*W411/(240.97+W411))</f>
        <v>0</v>
      </c>
      <c r="Y411">
        <f>(Z411/AA411*100)</f>
        <v>0</v>
      </c>
      <c r="Z411">
        <f>DD411*(DI411+DJ411)/1000</f>
        <v>0</v>
      </c>
      <c r="AA411">
        <f>0.61365*exp(17.502*DK411/(240.97+DK411))</f>
        <v>0</v>
      </c>
      <c r="AB411">
        <f>(X411-DD411*(DI411+DJ411)/1000)</f>
        <v>0</v>
      </c>
      <c r="AC411">
        <f>(-J411*44100)</f>
        <v>0</v>
      </c>
      <c r="AD411">
        <f>2*29.3*R411*0.92*(DK411-W411)</f>
        <v>0</v>
      </c>
      <c r="AE411">
        <f>2*0.95*5.67E-8*(((DK411+$B$7)+273)^4-(W411+273)^4)</f>
        <v>0</v>
      </c>
      <c r="AF411">
        <f>U411+AE411+AC411+AD411</f>
        <v>0</v>
      </c>
      <c r="AG411">
        <f>DH411*AU411*(DC411-DB411*(1000-AU411*DE411)/(1000-AU411*DD411))/(100*CV411)</f>
        <v>0</v>
      </c>
      <c r="AH411">
        <f>1000*DH411*AU411*(DD411-DE411)/(100*CV411*(1000-AU411*DD411))</f>
        <v>0</v>
      </c>
      <c r="AI411">
        <f>(AJ411 - AK411 - DI411*1E3/(8.314*(DK411+273.15)) * AM411/DH411 * AL411) * DH411/(100*CV411) * (1000 - DE411)/1000</f>
        <v>0</v>
      </c>
      <c r="AJ411">
        <v>996.9853656391092</v>
      </c>
      <c r="AK411">
        <v>949.8339272727272</v>
      </c>
      <c r="AL411">
        <v>3.425090278923434</v>
      </c>
      <c r="AM411">
        <v>66.38195617057868</v>
      </c>
      <c r="AN411">
        <f>(AP411 - AO411 + DI411*1E3/(8.314*(DK411+273.15)) * AR411/DH411 * AQ411) * DH411/(100*CV411) * 1000/(1000 - AP411)</f>
        <v>0</v>
      </c>
      <c r="AO411">
        <v>8.965728191063452</v>
      </c>
      <c r="AP411">
        <v>18.64899676470587</v>
      </c>
      <c r="AQ411">
        <v>-7.601890548101798E-05</v>
      </c>
      <c r="AR411">
        <v>80.47178418790507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MAX(0,($B$13+$C$13*DP411)/(1+$D$13*DP411)*DI411/(DK411+273)*$E$13)</f>
        <v>0</v>
      </c>
      <c r="AX411" t="s">
        <v>417</v>
      </c>
      <c r="AY411" t="s">
        <v>417</v>
      </c>
      <c r="AZ411">
        <v>0</v>
      </c>
      <c r="BA411">
        <v>0</v>
      </c>
      <c r="BB411">
        <f>1-AZ411/BA411</f>
        <v>0</v>
      </c>
      <c r="BC411">
        <v>0</v>
      </c>
      <c r="BD411" t="s">
        <v>417</v>
      </c>
      <c r="BE411" t="s">
        <v>417</v>
      </c>
      <c r="BF411">
        <v>0</v>
      </c>
      <c r="BG411">
        <v>0</v>
      </c>
      <c r="BH411">
        <f>1-BF411/BG411</f>
        <v>0</v>
      </c>
      <c r="BI411">
        <v>0.5</v>
      </c>
      <c r="BJ411">
        <f>CS411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417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BZ411">
        <v>1249</v>
      </c>
      <c r="CA411">
        <v>300</v>
      </c>
      <c r="CB411">
        <v>300</v>
      </c>
      <c r="CC411">
        <v>300</v>
      </c>
      <c r="CD411">
        <v>10442.4</v>
      </c>
      <c r="CE411">
        <v>1239.69</v>
      </c>
      <c r="CF411">
        <v>-0.00735276</v>
      </c>
      <c r="CG411">
        <v>0.07000000000000001</v>
      </c>
      <c r="CH411" t="s">
        <v>417</v>
      </c>
      <c r="CI411" t="s">
        <v>417</v>
      </c>
      <c r="CJ411" t="s">
        <v>417</v>
      </c>
      <c r="CK411" t="s">
        <v>417</v>
      </c>
      <c r="CL411" t="s">
        <v>417</v>
      </c>
      <c r="CM411" t="s">
        <v>417</v>
      </c>
      <c r="CN411" t="s">
        <v>417</v>
      </c>
      <c r="CO411" t="s">
        <v>417</v>
      </c>
      <c r="CP411" t="s">
        <v>417</v>
      </c>
      <c r="CQ411" t="s">
        <v>417</v>
      </c>
      <c r="CR411">
        <f>$B$11*DQ411+$C$11*DR411+$F$11*EC411*(1-EF411)</f>
        <v>0</v>
      </c>
      <c r="CS411">
        <f>CR411*CT411</f>
        <v>0</v>
      </c>
      <c r="CT411">
        <f>($B$11*$D$9+$C$11*$D$9+$F$11*((EP411+EH411)/MAX(EP411+EH411+EQ411, 0.1)*$I$9+EQ411/MAX(EP411+EH411+EQ411, 0.1)*$J$9))/($B$11+$C$11+$F$11)</f>
        <v>0</v>
      </c>
      <c r="CU411">
        <f>($B$11*$K$9+$C$11*$K$9+$F$11*((EP411+EH411)/MAX(EP411+EH411+EQ411, 0.1)*$P$9+EQ411/MAX(EP411+EH411+EQ411, 0.1)*$Q$9))/($B$11+$C$11+$F$11)</f>
        <v>0</v>
      </c>
      <c r="CV411">
        <v>6</v>
      </c>
      <c r="CW411">
        <v>0.5</v>
      </c>
      <c r="CX411" t="s">
        <v>418</v>
      </c>
      <c r="CY411">
        <v>2</v>
      </c>
      <c r="CZ411" t="b">
        <v>1</v>
      </c>
      <c r="DA411">
        <v>1651866552.5</v>
      </c>
      <c r="DB411">
        <v>930.4256666666666</v>
      </c>
      <c r="DC411">
        <v>994.0480000000001</v>
      </c>
      <c r="DD411">
        <v>18.65026666666667</v>
      </c>
      <c r="DE411">
        <v>8.964696666666667</v>
      </c>
      <c r="DF411">
        <v>932.2696666666667</v>
      </c>
      <c r="DG411">
        <v>18.6254</v>
      </c>
      <c r="DH411">
        <v>500.0146666666667</v>
      </c>
      <c r="DI411">
        <v>89.90193333333333</v>
      </c>
      <c r="DJ411">
        <v>0.09998666666666667</v>
      </c>
      <c r="DK411">
        <v>25.93633333333333</v>
      </c>
      <c r="DL411">
        <v>24.99706666666667</v>
      </c>
      <c r="DM411">
        <v>999.9</v>
      </c>
      <c r="DN411">
        <v>0</v>
      </c>
      <c r="DO411">
        <v>0</v>
      </c>
      <c r="DP411">
        <v>9991.043333333333</v>
      </c>
      <c r="DQ411">
        <v>0</v>
      </c>
      <c r="DR411">
        <v>3.244113333333333</v>
      </c>
      <c r="DS411">
        <v>-63.62246666666667</v>
      </c>
      <c r="DT411">
        <v>948.1076666666667</v>
      </c>
      <c r="DU411">
        <v>1003.04</v>
      </c>
      <c r="DV411">
        <v>9.685566666666666</v>
      </c>
      <c r="DW411">
        <v>994.0480000000001</v>
      </c>
      <c r="DX411">
        <v>8.964696666666667</v>
      </c>
      <c r="DY411">
        <v>1.676693333333333</v>
      </c>
      <c r="DZ411">
        <v>0.8059433333333333</v>
      </c>
      <c r="EA411">
        <v>14.68233333333333</v>
      </c>
      <c r="EB411">
        <v>3.812416666666667</v>
      </c>
      <c r="EC411">
        <v>1499.933333333333</v>
      </c>
      <c r="ED411">
        <v>0.9729936666666666</v>
      </c>
      <c r="EE411">
        <v>0.02700623333333333</v>
      </c>
      <c r="EF411">
        <v>0</v>
      </c>
      <c r="EG411">
        <v>913.2669999999999</v>
      </c>
      <c r="EH411">
        <v>5.00097</v>
      </c>
      <c r="EI411">
        <v>13588.1</v>
      </c>
      <c r="EJ411">
        <v>12491</v>
      </c>
      <c r="EK411">
        <v>38</v>
      </c>
      <c r="EL411">
        <v>39.187</v>
      </c>
      <c r="EM411">
        <v>38.375</v>
      </c>
      <c r="EN411">
        <v>38.812</v>
      </c>
      <c r="EO411">
        <v>38.812</v>
      </c>
      <c r="EP411">
        <v>1454.563333333334</v>
      </c>
      <c r="EQ411">
        <v>40.37</v>
      </c>
      <c r="ER411">
        <v>0</v>
      </c>
      <c r="ES411">
        <v>1071.200000047684</v>
      </c>
      <c r="ET411">
        <v>0</v>
      </c>
      <c r="EU411">
        <v>914.2088076923078</v>
      </c>
      <c r="EV411">
        <v>-8.532683740319623</v>
      </c>
      <c r="EW411">
        <v>-149.7333331780714</v>
      </c>
      <c r="EX411">
        <v>13604.75769230769</v>
      </c>
      <c r="EY411">
        <v>15</v>
      </c>
      <c r="EZ411">
        <v>1651865518.1</v>
      </c>
      <c r="FA411" t="s">
        <v>910</v>
      </c>
      <c r="FB411">
        <v>1651865507.1</v>
      </c>
      <c r="FC411">
        <v>1651865518.1</v>
      </c>
      <c r="FD411">
        <v>8</v>
      </c>
      <c r="FE411">
        <v>0.06</v>
      </c>
      <c r="FF411">
        <v>0</v>
      </c>
      <c r="FG411">
        <v>-0.927</v>
      </c>
      <c r="FH411">
        <v>-0.062</v>
      </c>
      <c r="FI411">
        <v>400</v>
      </c>
      <c r="FJ411">
        <v>11</v>
      </c>
      <c r="FK411">
        <v>0.11</v>
      </c>
      <c r="FL411">
        <v>0.01</v>
      </c>
      <c r="FM411">
        <v>-63.024225</v>
      </c>
      <c r="FN411">
        <v>-2.682101313320771</v>
      </c>
      <c r="FO411">
        <v>0.37914643394736</v>
      </c>
      <c r="FP411">
        <v>-1</v>
      </c>
      <c r="FQ411">
        <v>9.703522</v>
      </c>
      <c r="FR411">
        <v>-0.09766378986869416</v>
      </c>
      <c r="FS411">
        <v>0.01228806701641882</v>
      </c>
      <c r="FT411">
        <v>-1</v>
      </c>
      <c r="FU411">
        <v>0</v>
      </c>
      <c r="FV411">
        <v>0</v>
      </c>
      <c r="FW411">
        <v>0</v>
      </c>
      <c r="FX411">
        <v>-1</v>
      </c>
      <c r="FY411">
        <v>0</v>
      </c>
      <c r="FZ411">
        <v>0</v>
      </c>
      <c r="GA411" t="s">
        <v>420</v>
      </c>
      <c r="GB411">
        <v>2.98157</v>
      </c>
      <c r="GC411">
        <v>2.70613</v>
      </c>
      <c r="GD411">
        <v>0.16385</v>
      </c>
      <c r="GE411">
        <v>0.168947</v>
      </c>
      <c r="GF411">
        <v>0.0887901</v>
      </c>
      <c r="GG411">
        <v>0.0509669</v>
      </c>
      <c r="GH411">
        <v>26423.7</v>
      </c>
      <c r="GI411">
        <v>26318.3</v>
      </c>
      <c r="GJ411">
        <v>29379.2</v>
      </c>
      <c r="GK411">
        <v>29292.8</v>
      </c>
      <c r="GL411">
        <v>35446.4</v>
      </c>
      <c r="GM411">
        <v>37034</v>
      </c>
      <c r="GN411">
        <v>41351.5</v>
      </c>
      <c r="GO411">
        <v>41812.8</v>
      </c>
      <c r="GP411">
        <v>1.96763</v>
      </c>
      <c r="GQ411">
        <v>1.85615</v>
      </c>
      <c r="GR411">
        <v>-0.00618398</v>
      </c>
      <c r="GS411">
        <v>0</v>
      </c>
      <c r="GT411">
        <v>25.0995</v>
      </c>
      <c r="GU411">
        <v>999.9</v>
      </c>
      <c r="GV411">
        <v>29.5</v>
      </c>
      <c r="GW411">
        <v>34.2</v>
      </c>
      <c r="GX411">
        <v>17.729</v>
      </c>
      <c r="GY411">
        <v>62.5876</v>
      </c>
      <c r="GZ411">
        <v>35.0321</v>
      </c>
      <c r="HA411">
        <v>1</v>
      </c>
      <c r="HB411">
        <v>0.0411204</v>
      </c>
      <c r="HC411">
        <v>1.48748</v>
      </c>
      <c r="HD411">
        <v>20.3279</v>
      </c>
      <c r="HE411">
        <v>5.21834</v>
      </c>
      <c r="HF411">
        <v>12.0099</v>
      </c>
      <c r="HG411">
        <v>4.9891</v>
      </c>
      <c r="HH411">
        <v>3.28858</v>
      </c>
      <c r="HI411">
        <v>1035.4</v>
      </c>
      <c r="HJ411">
        <v>9761.799999999999</v>
      </c>
      <c r="HK411">
        <v>5139.4</v>
      </c>
      <c r="HL411">
        <v>25.4</v>
      </c>
      <c r="HM411">
        <v>1.8675</v>
      </c>
      <c r="HN411">
        <v>1.86645</v>
      </c>
      <c r="HO411">
        <v>1.866</v>
      </c>
      <c r="HP411">
        <v>1.86584</v>
      </c>
      <c r="HQ411">
        <v>1.86769</v>
      </c>
      <c r="HR411">
        <v>1.8702</v>
      </c>
      <c r="HS411">
        <v>1.8689</v>
      </c>
      <c r="HT411">
        <v>1.87026</v>
      </c>
      <c r="HU411">
        <v>0</v>
      </c>
      <c r="HV411">
        <v>0</v>
      </c>
      <c r="HW411">
        <v>0</v>
      </c>
      <c r="HX411">
        <v>0</v>
      </c>
      <c r="HY411" t="s">
        <v>421</v>
      </c>
      <c r="HZ411" t="s">
        <v>422</v>
      </c>
      <c r="IA411" t="s">
        <v>423</v>
      </c>
      <c r="IB411" t="s">
        <v>423</v>
      </c>
      <c r="IC411" t="s">
        <v>423</v>
      </c>
      <c r="ID411" t="s">
        <v>423</v>
      </c>
      <c r="IE411">
        <v>0</v>
      </c>
      <c r="IF411">
        <v>100</v>
      </c>
      <c r="IG411">
        <v>100</v>
      </c>
      <c r="IH411">
        <v>-1.85</v>
      </c>
      <c r="II411">
        <v>0.0248</v>
      </c>
      <c r="IJ411">
        <v>-0.1559367209035702</v>
      </c>
      <c r="IK411">
        <v>-0.002077099775823331</v>
      </c>
      <c r="IL411">
        <v>4.593143279902166E-07</v>
      </c>
      <c r="IM411">
        <v>-1.865383991892071E-10</v>
      </c>
      <c r="IN411">
        <v>-0.0607165066849496</v>
      </c>
      <c r="IO411">
        <v>-0.01129461987421345</v>
      </c>
      <c r="IP411">
        <v>0.00116580895745559</v>
      </c>
      <c r="IQ411">
        <v>-1.679085872906199E-05</v>
      </c>
      <c r="IR411">
        <v>2</v>
      </c>
      <c r="IS411">
        <v>2290</v>
      </c>
      <c r="IT411">
        <v>0</v>
      </c>
      <c r="IU411">
        <v>32</v>
      </c>
      <c r="IV411">
        <v>17.4</v>
      </c>
      <c r="IW411">
        <v>17.3</v>
      </c>
      <c r="IX411">
        <v>2.09961</v>
      </c>
      <c r="IY411">
        <v>2.1936</v>
      </c>
      <c r="IZ411">
        <v>1.39648</v>
      </c>
      <c r="JA411">
        <v>2.35596</v>
      </c>
      <c r="JB411">
        <v>1.49536</v>
      </c>
      <c r="JC411">
        <v>2.2876</v>
      </c>
      <c r="JD411">
        <v>38.0134</v>
      </c>
      <c r="JE411">
        <v>24.035</v>
      </c>
      <c r="JF411">
        <v>18</v>
      </c>
      <c r="JG411">
        <v>512.393</v>
      </c>
      <c r="JH411">
        <v>426.874</v>
      </c>
      <c r="JI411">
        <v>23.1664</v>
      </c>
      <c r="JJ411">
        <v>27.8494</v>
      </c>
      <c r="JK411">
        <v>30.0001</v>
      </c>
      <c r="JL411">
        <v>27.8607</v>
      </c>
      <c r="JM411">
        <v>27.8041</v>
      </c>
      <c r="JN411">
        <v>42.0689</v>
      </c>
      <c r="JO411">
        <v>46.9143</v>
      </c>
      <c r="JP411">
        <v>0</v>
      </c>
      <c r="JQ411">
        <v>23.1656</v>
      </c>
      <c r="JR411">
        <v>1014.92</v>
      </c>
      <c r="JS411">
        <v>8.97912</v>
      </c>
      <c r="JT411">
        <v>100.423</v>
      </c>
      <c r="JU411">
        <v>100.351</v>
      </c>
    </row>
    <row r="412" spans="1:281">
      <c r="A412">
        <v>396</v>
      </c>
      <c r="B412">
        <v>1651866555.5</v>
      </c>
      <c r="C412">
        <v>2334.900000095367</v>
      </c>
      <c r="D412" t="s">
        <v>1215</v>
      </c>
      <c r="E412" t="s">
        <v>1216</v>
      </c>
      <c r="F412">
        <v>2</v>
      </c>
      <c r="G412" t="s">
        <v>908</v>
      </c>
      <c r="H412" t="s">
        <v>414</v>
      </c>
      <c r="I412">
        <v>1651866554.125</v>
      </c>
      <c r="J412">
        <f>(K412)/1000</f>
        <v>0</v>
      </c>
      <c r="K412">
        <f>IF(CZ412, AN412, AH412)</f>
        <v>0</v>
      </c>
      <c r="L412">
        <f>IF(CZ412, AI412, AG412)</f>
        <v>0</v>
      </c>
      <c r="M412">
        <f>DB412 - IF(AU412&gt;1, L412*CV412*100.0/(AW412*DP412), 0)</f>
        <v>0</v>
      </c>
      <c r="N412">
        <f>((T412-J412/2)*M412-L412)/(T412+J412/2)</f>
        <v>0</v>
      </c>
      <c r="O412">
        <f>N412*(DI412+DJ412)/1000.0</f>
        <v>0</v>
      </c>
      <c r="P412">
        <f>(DB412 - IF(AU412&gt;1, L412*CV412*100.0/(AW412*DP412), 0))*(DI412+DJ412)/1000.0</f>
        <v>0</v>
      </c>
      <c r="Q412">
        <f>2.0/((1/S412-1/R412)+SIGN(S412)*SQRT((1/S412-1/R412)*(1/S412-1/R412) + 4*CW412/((CW412+1)*(CW412+1))*(2*1/S412*1/R412-1/R412*1/R412)))</f>
        <v>0</v>
      </c>
      <c r="R412">
        <f>IF(LEFT(CX412,1)&lt;&gt;"0",IF(LEFT(CX412,1)="1",3.0,CY412),$D$5+$E$5*(DP412*DI412/($K$5*1000))+$F$5*(DP412*DI412/($K$5*1000))*MAX(MIN(CV412,$J$5),$I$5)*MAX(MIN(CV412,$J$5),$I$5)+$G$5*MAX(MIN(CV412,$J$5),$I$5)*(DP412*DI412/($K$5*1000))+$H$5*(DP412*DI412/($K$5*1000))*(DP412*DI412/($K$5*1000)))</f>
        <v>0</v>
      </c>
      <c r="S412">
        <f>J412*(1000-(1000*0.61365*exp(17.502*W412/(240.97+W412))/(DI412+DJ412)+DD412)/2)/(1000*0.61365*exp(17.502*W412/(240.97+W412))/(DI412+DJ412)-DD412)</f>
        <v>0</v>
      </c>
      <c r="T412">
        <f>1/((CW412+1)/(Q412/1.6)+1/(R412/1.37)) + CW412/((CW412+1)/(Q412/1.6) + CW412/(R412/1.37))</f>
        <v>0</v>
      </c>
      <c r="U412">
        <f>(CR412*CU412)</f>
        <v>0</v>
      </c>
      <c r="V412">
        <f>(DK412+(U412+2*0.95*5.67E-8*(((DK412+$B$7)+273)^4-(DK412+273)^4)-44100*J412)/(1.84*29.3*R412+8*0.95*5.67E-8*(DK412+273)^3))</f>
        <v>0</v>
      </c>
      <c r="W412">
        <f>($C$7*DL412+$D$7*DM412+$E$7*V412)</f>
        <v>0</v>
      </c>
      <c r="X412">
        <f>0.61365*exp(17.502*W412/(240.97+W412))</f>
        <v>0</v>
      </c>
      <c r="Y412">
        <f>(Z412/AA412*100)</f>
        <v>0</v>
      </c>
      <c r="Z412">
        <f>DD412*(DI412+DJ412)/1000</f>
        <v>0</v>
      </c>
      <c r="AA412">
        <f>0.61365*exp(17.502*DK412/(240.97+DK412))</f>
        <v>0</v>
      </c>
      <c r="AB412">
        <f>(X412-DD412*(DI412+DJ412)/1000)</f>
        <v>0</v>
      </c>
      <c r="AC412">
        <f>(-J412*44100)</f>
        <v>0</v>
      </c>
      <c r="AD412">
        <f>2*29.3*R412*0.92*(DK412-W412)</f>
        <v>0</v>
      </c>
      <c r="AE412">
        <f>2*0.95*5.67E-8*(((DK412+$B$7)+273)^4-(W412+273)^4)</f>
        <v>0</v>
      </c>
      <c r="AF412">
        <f>U412+AE412+AC412+AD412</f>
        <v>0</v>
      </c>
      <c r="AG412">
        <f>DH412*AU412*(DC412-DB412*(1000-AU412*DE412)/(1000-AU412*DD412))/(100*CV412)</f>
        <v>0</v>
      </c>
      <c r="AH412">
        <f>1000*DH412*AU412*(DD412-DE412)/(100*CV412*(1000-AU412*DD412))</f>
        <v>0</v>
      </c>
      <c r="AI412">
        <f>(AJ412 - AK412 - DI412*1E3/(8.314*(DK412+273.15)) * AM412/DH412 * AL412) * DH412/(100*CV412) * (1000 - DE412)/1000</f>
        <v>0</v>
      </c>
      <c r="AJ412">
        <v>1003.828260693099</v>
      </c>
      <c r="AK412">
        <v>956.6470969696962</v>
      </c>
      <c r="AL412">
        <v>3.418636514199491</v>
      </c>
      <c r="AM412">
        <v>66.38195617057868</v>
      </c>
      <c r="AN412">
        <f>(AP412 - AO412 + DI412*1E3/(8.314*(DK412+273.15)) * AR412/DH412 * AQ412) * DH412/(100*CV412) * 1000/(1000 - AP412)</f>
        <v>0</v>
      </c>
      <c r="AO412">
        <v>8.965330264731092</v>
      </c>
      <c r="AP412">
        <v>18.64080558823529</v>
      </c>
      <c r="AQ412">
        <v>-0.0001971029260625084</v>
      </c>
      <c r="AR412">
        <v>80.47178418790507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MAX(0,($B$13+$C$13*DP412)/(1+$D$13*DP412)*DI412/(DK412+273)*$E$13)</f>
        <v>0</v>
      </c>
      <c r="AX412" t="s">
        <v>417</v>
      </c>
      <c r="AY412" t="s">
        <v>417</v>
      </c>
      <c r="AZ412">
        <v>0</v>
      </c>
      <c r="BA412">
        <v>0</v>
      </c>
      <c r="BB412">
        <f>1-AZ412/BA412</f>
        <v>0</v>
      </c>
      <c r="BC412">
        <v>0</v>
      </c>
      <c r="BD412" t="s">
        <v>417</v>
      </c>
      <c r="BE412" t="s">
        <v>417</v>
      </c>
      <c r="BF412">
        <v>0</v>
      </c>
      <c r="BG412">
        <v>0</v>
      </c>
      <c r="BH412">
        <f>1-BF412/BG412</f>
        <v>0</v>
      </c>
      <c r="BI412">
        <v>0.5</v>
      </c>
      <c r="BJ412">
        <f>CS412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417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BZ412">
        <v>1249</v>
      </c>
      <c r="CA412">
        <v>300</v>
      </c>
      <c r="CB412">
        <v>300</v>
      </c>
      <c r="CC412">
        <v>300</v>
      </c>
      <c r="CD412">
        <v>10442.4</v>
      </c>
      <c r="CE412">
        <v>1239.69</v>
      </c>
      <c r="CF412">
        <v>-0.00735276</v>
      </c>
      <c r="CG412">
        <v>0.07000000000000001</v>
      </c>
      <c r="CH412" t="s">
        <v>417</v>
      </c>
      <c r="CI412" t="s">
        <v>417</v>
      </c>
      <c r="CJ412" t="s">
        <v>417</v>
      </c>
      <c r="CK412" t="s">
        <v>417</v>
      </c>
      <c r="CL412" t="s">
        <v>417</v>
      </c>
      <c r="CM412" t="s">
        <v>417</v>
      </c>
      <c r="CN412" t="s">
        <v>417</v>
      </c>
      <c r="CO412" t="s">
        <v>417</v>
      </c>
      <c r="CP412" t="s">
        <v>417</v>
      </c>
      <c r="CQ412" t="s">
        <v>417</v>
      </c>
      <c r="CR412">
        <f>$B$11*DQ412+$C$11*DR412+$F$11*EC412*(1-EF412)</f>
        <v>0</v>
      </c>
      <c r="CS412">
        <f>CR412*CT412</f>
        <v>0</v>
      </c>
      <c r="CT412">
        <f>($B$11*$D$9+$C$11*$D$9+$F$11*((EP412+EH412)/MAX(EP412+EH412+EQ412, 0.1)*$I$9+EQ412/MAX(EP412+EH412+EQ412, 0.1)*$J$9))/($B$11+$C$11+$F$11)</f>
        <v>0</v>
      </c>
      <c r="CU412">
        <f>($B$11*$K$9+$C$11*$K$9+$F$11*((EP412+EH412)/MAX(EP412+EH412+EQ412, 0.1)*$P$9+EQ412/MAX(EP412+EH412+EQ412, 0.1)*$Q$9))/($B$11+$C$11+$F$11)</f>
        <v>0</v>
      </c>
      <c r="CV412">
        <v>6</v>
      </c>
      <c r="CW412">
        <v>0.5</v>
      </c>
      <c r="CX412" t="s">
        <v>418</v>
      </c>
      <c r="CY412">
        <v>2</v>
      </c>
      <c r="CZ412" t="b">
        <v>1</v>
      </c>
      <c r="DA412">
        <v>1651866554.125</v>
      </c>
      <c r="DB412">
        <v>935.89175</v>
      </c>
      <c r="DC412">
        <v>999.547</v>
      </c>
      <c r="DD412">
        <v>18.644675</v>
      </c>
      <c r="DE412">
        <v>8.964275000000001</v>
      </c>
      <c r="DF412">
        <v>937.7452500000001</v>
      </c>
      <c r="DG412">
        <v>18.6199</v>
      </c>
      <c r="DH412">
        <v>500.0595000000001</v>
      </c>
      <c r="DI412">
        <v>89.9012</v>
      </c>
      <c r="DJ412">
        <v>0.10005165</v>
      </c>
      <c r="DK412">
        <v>25.935625</v>
      </c>
      <c r="DL412">
        <v>24.998275</v>
      </c>
      <c r="DM412">
        <v>999.9</v>
      </c>
      <c r="DN412">
        <v>0</v>
      </c>
      <c r="DO412">
        <v>0</v>
      </c>
      <c r="DP412">
        <v>9982.5</v>
      </c>
      <c r="DQ412">
        <v>0</v>
      </c>
      <c r="DR412">
        <v>3.24599</v>
      </c>
      <c r="DS412">
        <v>-63.65395</v>
      </c>
      <c r="DT412">
        <v>953.6725</v>
      </c>
      <c r="DU412">
        <v>1008.5875</v>
      </c>
      <c r="DV412">
        <v>9.6803925</v>
      </c>
      <c r="DW412">
        <v>999.547</v>
      </c>
      <c r="DX412">
        <v>8.964275000000001</v>
      </c>
      <c r="DY412">
        <v>1.676175</v>
      </c>
      <c r="DZ412">
        <v>0.8058995</v>
      </c>
      <c r="EA412">
        <v>14.677575</v>
      </c>
      <c r="EB412">
        <v>3.8116375</v>
      </c>
      <c r="EC412">
        <v>1500.0725</v>
      </c>
      <c r="ED412">
        <v>0.9729957499999999</v>
      </c>
      <c r="EE412">
        <v>0.027004025</v>
      </c>
      <c r="EF412">
        <v>0</v>
      </c>
      <c r="EG412">
        <v>913.081</v>
      </c>
      <c r="EH412">
        <v>5.00097</v>
      </c>
      <c r="EI412">
        <v>13585</v>
      </c>
      <c r="EJ412">
        <v>12492.175</v>
      </c>
      <c r="EK412">
        <v>37.9685</v>
      </c>
      <c r="EL412">
        <v>39.187</v>
      </c>
      <c r="EM412">
        <v>38.375</v>
      </c>
      <c r="EN412">
        <v>38.812</v>
      </c>
      <c r="EO412">
        <v>38.812</v>
      </c>
      <c r="EP412">
        <v>1454.7025</v>
      </c>
      <c r="EQ412">
        <v>40.37</v>
      </c>
      <c r="ER412">
        <v>0</v>
      </c>
      <c r="ES412">
        <v>1073</v>
      </c>
      <c r="ET412">
        <v>0</v>
      </c>
      <c r="EU412">
        <v>913.87708</v>
      </c>
      <c r="EV412">
        <v>-9.282153850916568</v>
      </c>
      <c r="EW412">
        <v>-153.5153848933057</v>
      </c>
      <c r="EX412">
        <v>13599.592</v>
      </c>
      <c r="EY412">
        <v>15</v>
      </c>
      <c r="EZ412">
        <v>1651865518.1</v>
      </c>
      <c r="FA412" t="s">
        <v>910</v>
      </c>
      <c r="FB412">
        <v>1651865507.1</v>
      </c>
      <c r="FC412">
        <v>1651865518.1</v>
      </c>
      <c r="FD412">
        <v>8</v>
      </c>
      <c r="FE412">
        <v>0.06</v>
      </c>
      <c r="FF412">
        <v>0</v>
      </c>
      <c r="FG412">
        <v>-0.927</v>
      </c>
      <c r="FH412">
        <v>-0.062</v>
      </c>
      <c r="FI412">
        <v>400</v>
      </c>
      <c r="FJ412">
        <v>11</v>
      </c>
      <c r="FK412">
        <v>0.11</v>
      </c>
      <c r="FL412">
        <v>0.01</v>
      </c>
      <c r="FM412">
        <v>-63.04492250000001</v>
      </c>
      <c r="FN412">
        <v>-3.360473921200736</v>
      </c>
      <c r="FO412">
        <v>0.3990830793753976</v>
      </c>
      <c r="FP412">
        <v>-1</v>
      </c>
      <c r="FQ412">
        <v>9.702872750000001</v>
      </c>
      <c r="FR412">
        <v>-0.1266316322701946</v>
      </c>
      <c r="FS412">
        <v>0.01308546636301131</v>
      </c>
      <c r="FT412">
        <v>-1</v>
      </c>
      <c r="FU412">
        <v>0</v>
      </c>
      <c r="FV412">
        <v>0</v>
      </c>
      <c r="FW412">
        <v>0</v>
      </c>
      <c r="FX412">
        <v>-1</v>
      </c>
      <c r="FY412">
        <v>0</v>
      </c>
      <c r="FZ412">
        <v>0</v>
      </c>
      <c r="GA412" t="s">
        <v>420</v>
      </c>
      <c r="GB412">
        <v>2.98161</v>
      </c>
      <c r="GC412">
        <v>2.70608</v>
      </c>
      <c r="GD412">
        <v>0.164607</v>
      </c>
      <c r="GE412">
        <v>0.169684</v>
      </c>
      <c r="GF412">
        <v>0.08877690000000001</v>
      </c>
      <c r="GG412">
        <v>0.0509673</v>
      </c>
      <c r="GH412">
        <v>26399.8</v>
      </c>
      <c r="GI412">
        <v>26295.1</v>
      </c>
      <c r="GJ412">
        <v>29379.1</v>
      </c>
      <c r="GK412">
        <v>29293.1</v>
      </c>
      <c r="GL412">
        <v>35447</v>
      </c>
      <c r="GM412">
        <v>37034.2</v>
      </c>
      <c r="GN412">
        <v>41351.5</v>
      </c>
      <c r="GO412">
        <v>41813.1</v>
      </c>
      <c r="GP412">
        <v>1.9677</v>
      </c>
      <c r="GQ412">
        <v>1.85592</v>
      </c>
      <c r="GR412">
        <v>-0.00622123</v>
      </c>
      <c r="GS412">
        <v>0</v>
      </c>
      <c r="GT412">
        <v>25.0995</v>
      </c>
      <c r="GU412">
        <v>999.9</v>
      </c>
      <c r="GV412">
        <v>29.5</v>
      </c>
      <c r="GW412">
        <v>34.2</v>
      </c>
      <c r="GX412">
        <v>17.7278</v>
      </c>
      <c r="GY412">
        <v>62.5376</v>
      </c>
      <c r="GZ412">
        <v>35.2524</v>
      </c>
      <c r="HA412">
        <v>1</v>
      </c>
      <c r="HB412">
        <v>0.0411585</v>
      </c>
      <c r="HC412">
        <v>1.48845</v>
      </c>
      <c r="HD412">
        <v>20.3279</v>
      </c>
      <c r="HE412">
        <v>5.21834</v>
      </c>
      <c r="HF412">
        <v>12.0099</v>
      </c>
      <c r="HG412">
        <v>4.9892</v>
      </c>
      <c r="HH412">
        <v>3.28858</v>
      </c>
      <c r="HI412">
        <v>1035.4</v>
      </c>
      <c r="HJ412">
        <v>9761.799999999999</v>
      </c>
      <c r="HK412">
        <v>5139.4</v>
      </c>
      <c r="HL412">
        <v>25.4</v>
      </c>
      <c r="HM412">
        <v>1.86749</v>
      </c>
      <c r="HN412">
        <v>1.86646</v>
      </c>
      <c r="HO412">
        <v>1.866</v>
      </c>
      <c r="HP412">
        <v>1.86585</v>
      </c>
      <c r="HQ412">
        <v>1.86769</v>
      </c>
      <c r="HR412">
        <v>1.87018</v>
      </c>
      <c r="HS412">
        <v>1.8689</v>
      </c>
      <c r="HT412">
        <v>1.87027</v>
      </c>
      <c r="HU412">
        <v>0</v>
      </c>
      <c r="HV412">
        <v>0</v>
      </c>
      <c r="HW412">
        <v>0</v>
      </c>
      <c r="HX412">
        <v>0</v>
      </c>
      <c r="HY412" t="s">
        <v>421</v>
      </c>
      <c r="HZ412" t="s">
        <v>422</v>
      </c>
      <c r="IA412" t="s">
        <v>423</v>
      </c>
      <c r="IB412" t="s">
        <v>423</v>
      </c>
      <c r="IC412" t="s">
        <v>423</v>
      </c>
      <c r="ID412" t="s">
        <v>423</v>
      </c>
      <c r="IE412">
        <v>0</v>
      </c>
      <c r="IF412">
        <v>100</v>
      </c>
      <c r="IG412">
        <v>100</v>
      </c>
      <c r="IH412">
        <v>-1.862</v>
      </c>
      <c r="II412">
        <v>0.0247</v>
      </c>
      <c r="IJ412">
        <v>-0.1559367209035702</v>
      </c>
      <c r="IK412">
        <v>-0.002077099775823331</v>
      </c>
      <c r="IL412">
        <v>4.593143279902166E-07</v>
      </c>
      <c r="IM412">
        <v>-1.865383991892071E-10</v>
      </c>
      <c r="IN412">
        <v>-0.0607165066849496</v>
      </c>
      <c r="IO412">
        <v>-0.01129461987421345</v>
      </c>
      <c r="IP412">
        <v>0.00116580895745559</v>
      </c>
      <c r="IQ412">
        <v>-1.679085872906199E-05</v>
      </c>
      <c r="IR412">
        <v>2</v>
      </c>
      <c r="IS412">
        <v>2290</v>
      </c>
      <c r="IT412">
        <v>0</v>
      </c>
      <c r="IU412">
        <v>32</v>
      </c>
      <c r="IV412">
        <v>17.5</v>
      </c>
      <c r="IW412">
        <v>17.3</v>
      </c>
      <c r="IX412">
        <v>2.1106</v>
      </c>
      <c r="IY412">
        <v>2.18872</v>
      </c>
      <c r="IZ412">
        <v>1.39648</v>
      </c>
      <c r="JA412">
        <v>2.35474</v>
      </c>
      <c r="JB412">
        <v>1.49536</v>
      </c>
      <c r="JC412">
        <v>2.31079</v>
      </c>
      <c r="JD412">
        <v>38.0134</v>
      </c>
      <c r="JE412">
        <v>24.0437</v>
      </c>
      <c r="JF412">
        <v>18</v>
      </c>
      <c r="JG412">
        <v>512.4349999999999</v>
      </c>
      <c r="JH412">
        <v>426.739</v>
      </c>
      <c r="JI412">
        <v>23.1666</v>
      </c>
      <c r="JJ412">
        <v>27.8491</v>
      </c>
      <c r="JK412">
        <v>30.0001</v>
      </c>
      <c r="JL412">
        <v>27.8598</v>
      </c>
      <c r="JM412">
        <v>27.8039</v>
      </c>
      <c r="JN412">
        <v>42.2948</v>
      </c>
      <c r="JO412">
        <v>46.9143</v>
      </c>
      <c r="JP412">
        <v>0</v>
      </c>
      <c r="JQ412">
        <v>23.1673</v>
      </c>
      <c r="JR412">
        <v>1021.67</v>
      </c>
      <c r="JS412">
        <v>8.97916</v>
      </c>
      <c r="JT412">
        <v>100.423</v>
      </c>
      <c r="JU412">
        <v>100.352</v>
      </c>
    </row>
    <row r="413" spans="1:281">
      <c r="A413">
        <v>397</v>
      </c>
      <c r="B413">
        <v>1651866557.5</v>
      </c>
      <c r="C413">
        <v>2336.900000095367</v>
      </c>
      <c r="D413" t="s">
        <v>1217</v>
      </c>
      <c r="E413" t="s">
        <v>1218</v>
      </c>
      <c r="F413">
        <v>2</v>
      </c>
      <c r="G413" t="s">
        <v>908</v>
      </c>
      <c r="H413" t="s">
        <v>414</v>
      </c>
      <c r="I413">
        <v>1651866556.5</v>
      </c>
      <c r="J413">
        <f>(K413)/1000</f>
        <v>0</v>
      </c>
      <c r="K413">
        <f>IF(CZ413, AN413, AH413)</f>
        <v>0</v>
      </c>
      <c r="L413">
        <f>IF(CZ413, AI413, AG413)</f>
        <v>0</v>
      </c>
      <c r="M413">
        <f>DB413 - IF(AU413&gt;1, L413*CV413*100.0/(AW413*DP413), 0)</f>
        <v>0</v>
      </c>
      <c r="N413">
        <f>((T413-J413/2)*M413-L413)/(T413+J413/2)</f>
        <v>0</v>
      </c>
      <c r="O413">
        <f>N413*(DI413+DJ413)/1000.0</f>
        <v>0</v>
      </c>
      <c r="P413">
        <f>(DB413 - IF(AU413&gt;1, L413*CV413*100.0/(AW413*DP413), 0))*(DI413+DJ413)/1000.0</f>
        <v>0</v>
      </c>
      <c r="Q413">
        <f>2.0/((1/S413-1/R413)+SIGN(S413)*SQRT((1/S413-1/R413)*(1/S413-1/R413) + 4*CW413/((CW413+1)*(CW413+1))*(2*1/S413*1/R413-1/R413*1/R413)))</f>
        <v>0</v>
      </c>
      <c r="R413">
        <f>IF(LEFT(CX413,1)&lt;&gt;"0",IF(LEFT(CX413,1)="1",3.0,CY413),$D$5+$E$5*(DP413*DI413/($K$5*1000))+$F$5*(DP413*DI413/($K$5*1000))*MAX(MIN(CV413,$J$5),$I$5)*MAX(MIN(CV413,$J$5),$I$5)+$G$5*MAX(MIN(CV413,$J$5),$I$5)*(DP413*DI413/($K$5*1000))+$H$5*(DP413*DI413/($K$5*1000))*(DP413*DI413/($K$5*1000)))</f>
        <v>0</v>
      </c>
      <c r="S413">
        <f>J413*(1000-(1000*0.61365*exp(17.502*W413/(240.97+W413))/(DI413+DJ413)+DD413)/2)/(1000*0.61365*exp(17.502*W413/(240.97+W413))/(DI413+DJ413)-DD413)</f>
        <v>0</v>
      </c>
      <c r="T413">
        <f>1/((CW413+1)/(Q413/1.6)+1/(R413/1.37)) + CW413/((CW413+1)/(Q413/1.6) + CW413/(R413/1.37))</f>
        <v>0</v>
      </c>
      <c r="U413">
        <f>(CR413*CU413)</f>
        <v>0</v>
      </c>
      <c r="V413">
        <f>(DK413+(U413+2*0.95*5.67E-8*(((DK413+$B$7)+273)^4-(DK413+273)^4)-44100*J413)/(1.84*29.3*R413+8*0.95*5.67E-8*(DK413+273)^3))</f>
        <v>0</v>
      </c>
      <c r="W413">
        <f>($C$7*DL413+$D$7*DM413+$E$7*V413)</f>
        <v>0</v>
      </c>
      <c r="X413">
        <f>0.61365*exp(17.502*W413/(240.97+W413))</f>
        <v>0</v>
      </c>
      <c r="Y413">
        <f>(Z413/AA413*100)</f>
        <v>0</v>
      </c>
      <c r="Z413">
        <f>DD413*(DI413+DJ413)/1000</f>
        <v>0</v>
      </c>
      <c r="AA413">
        <f>0.61365*exp(17.502*DK413/(240.97+DK413))</f>
        <v>0</v>
      </c>
      <c r="AB413">
        <f>(X413-DD413*(DI413+DJ413)/1000)</f>
        <v>0</v>
      </c>
      <c r="AC413">
        <f>(-J413*44100)</f>
        <v>0</v>
      </c>
      <c r="AD413">
        <f>2*29.3*R413*0.92*(DK413-W413)</f>
        <v>0</v>
      </c>
      <c r="AE413">
        <f>2*0.95*5.67E-8*(((DK413+$B$7)+273)^4-(W413+273)^4)</f>
        <v>0</v>
      </c>
      <c r="AF413">
        <f>U413+AE413+AC413+AD413</f>
        <v>0</v>
      </c>
      <c r="AG413">
        <f>DH413*AU413*(DC413-DB413*(1000-AU413*DE413)/(1000-AU413*DD413))/(100*CV413)</f>
        <v>0</v>
      </c>
      <c r="AH413">
        <f>1000*DH413*AU413*(DD413-DE413)/(100*CV413*(1000-AU413*DD413))</f>
        <v>0</v>
      </c>
      <c r="AI413">
        <f>(AJ413 - AK413 - DI413*1E3/(8.314*(DK413+273.15)) * AM413/DH413 * AL413) * DH413/(100*CV413) * (1000 - DE413)/1000</f>
        <v>0</v>
      </c>
      <c r="AJ413">
        <v>1010.640935062096</v>
      </c>
      <c r="AK413">
        <v>963.4003454545451</v>
      </c>
      <c r="AL413">
        <v>3.383027760366853</v>
      </c>
      <c r="AM413">
        <v>66.38195617057868</v>
      </c>
      <c r="AN413">
        <f>(AP413 - AO413 + DI413*1E3/(8.314*(DK413+273.15)) * AR413/DH413 * AQ413) * DH413/(100*CV413) * 1000/(1000 - AP413)</f>
        <v>0</v>
      </c>
      <c r="AO413">
        <v>8.964540117178643</v>
      </c>
      <c r="AP413">
        <v>18.63985176470587</v>
      </c>
      <c r="AQ413">
        <v>-0.0007079433289816621</v>
      </c>
      <c r="AR413">
        <v>80.47178418790507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MAX(0,($B$13+$C$13*DP413)/(1+$D$13*DP413)*DI413/(DK413+273)*$E$13)</f>
        <v>0</v>
      </c>
      <c r="AX413" t="s">
        <v>417</v>
      </c>
      <c r="AY413" t="s">
        <v>417</v>
      </c>
      <c r="AZ413">
        <v>0</v>
      </c>
      <c r="BA413">
        <v>0</v>
      </c>
      <c r="BB413">
        <f>1-AZ413/BA413</f>
        <v>0</v>
      </c>
      <c r="BC413">
        <v>0</v>
      </c>
      <c r="BD413" t="s">
        <v>417</v>
      </c>
      <c r="BE413" t="s">
        <v>417</v>
      </c>
      <c r="BF413">
        <v>0</v>
      </c>
      <c r="BG413">
        <v>0</v>
      </c>
      <c r="BH413">
        <f>1-BF413/BG413</f>
        <v>0</v>
      </c>
      <c r="BI413">
        <v>0.5</v>
      </c>
      <c r="BJ413">
        <f>CS413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417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BZ413">
        <v>1249</v>
      </c>
      <c r="CA413">
        <v>300</v>
      </c>
      <c r="CB413">
        <v>300</v>
      </c>
      <c r="CC413">
        <v>300</v>
      </c>
      <c r="CD413">
        <v>10442.4</v>
      </c>
      <c r="CE413">
        <v>1239.69</v>
      </c>
      <c r="CF413">
        <v>-0.00735276</v>
      </c>
      <c r="CG413">
        <v>0.07000000000000001</v>
      </c>
      <c r="CH413" t="s">
        <v>417</v>
      </c>
      <c r="CI413" t="s">
        <v>417</v>
      </c>
      <c r="CJ413" t="s">
        <v>417</v>
      </c>
      <c r="CK413" t="s">
        <v>417</v>
      </c>
      <c r="CL413" t="s">
        <v>417</v>
      </c>
      <c r="CM413" t="s">
        <v>417</v>
      </c>
      <c r="CN413" t="s">
        <v>417</v>
      </c>
      <c r="CO413" t="s">
        <v>417</v>
      </c>
      <c r="CP413" t="s">
        <v>417</v>
      </c>
      <c r="CQ413" t="s">
        <v>417</v>
      </c>
      <c r="CR413">
        <f>$B$11*DQ413+$C$11*DR413+$F$11*EC413*(1-EF413)</f>
        <v>0</v>
      </c>
      <c r="CS413">
        <f>CR413*CT413</f>
        <v>0</v>
      </c>
      <c r="CT413">
        <f>($B$11*$D$9+$C$11*$D$9+$F$11*((EP413+EH413)/MAX(EP413+EH413+EQ413, 0.1)*$I$9+EQ413/MAX(EP413+EH413+EQ413, 0.1)*$J$9))/($B$11+$C$11+$F$11)</f>
        <v>0</v>
      </c>
      <c r="CU413">
        <f>($B$11*$K$9+$C$11*$K$9+$F$11*((EP413+EH413)/MAX(EP413+EH413+EQ413, 0.1)*$P$9+EQ413/MAX(EP413+EH413+EQ413, 0.1)*$Q$9))/($B$11+$C$11+$F$11)</f>
        <v>0</v>
      </c>
      <c r="CV413">
        <v>6</v>
      </c>
      <c r="CW413">
        <v>0.5</v>
      </c>
      <c r="CX413" t="s">
        <v>418</v>
      </c>
      <c r="CY413">
        <v>2</v>
      </c>
      <c r="CZ413" t="b">
        <v>1</v>
      </c>
      <c r="DA413">
        <v>1651866556.5</v>
      </c>
      <c r="DB413">
        <v>943.7886666666667</v>
      </c>
      <c r="DC413">
        <v>1007.593333333333</v>
      </c>
      <c r="DD413">
        <v>18.64083333333333</v>
      </c>
      <c r="DE413">
        <v>8.96405</v>
      </c>
      <c r="DF413">
        <v>945.6553333333333</v>
      </c>
      <c r="DG413">
        <v>18.61606666666667</v>
      </c>
      <c r="DH413">
        <v>500.0173333333333</v>
      </c>
      <c r="DI413">
        <v>89.90243333333335</v>
      </c>
      <c r="DJ413">
        <v>0.1000408666666667</v>
      </c>
      <c r="DK413">
        <v>25.93633333333333</v>
      </c>
      <c r="DL413">
        <v>25.00006666666667</v>
      </c>
      <c r="DM413">
        <v>999.9</v>
      </c>
      <c r="DN413">
        <v>0</v>
      </c>
      <c r="DO413">
        <v>0</v>
      </c>
      <c r="DP413">
        <v>9981.459999999999</v>
      </c>
      <c r="DQ413">
        <v>0</v>
      </c>
      <c r="DR413">
        <v>3.233803333333334</v>
      </c>
      <c r="DS413">
        <v>-63.80766666666667</v>
      </c>
      <c r="DT413">
        <v>961.7156666666666</v>
      </c>
      <c r="DU413">
        <v>1016.706666666667</v>
      </c>
      <c r="DV413">
        <v>9.676763333333334</v>
      </c>
      <c r="DW413">
        <v>1007.593333333333</v>
      </c>
      <c r="DX413">
        <v>8.96405</v>
      </c>
      <c r="DY413">
        <v>1.675856666666667</v>
      </c>
      <c r="DZ413">
        <v>0.8058899999999999</v>
      </c>
      <c r="EA413">
        <v>14.67456666666667</v>
      </c>
      <c r="EB413">
        <v>3.811473333333333</v>
      </c>
      <c r="EC413">
        <v>1500.15</v>
      </c>
      <c r="ED413">
        <v>0.9729953333333333</v>
      </c>
      <c r="EE413">
        <v>0.02700446666666667</v>
      </c>
      <c r="EF413">
        <v>0</v>
      </c>
      <c r="EG413">
        <v>912.4196666666667</v>
      </c>
      <c r="EH413">
        <v>5.00097</v>
      </c>
      <c r="EI413">
        <v>13579.53333333333</v>
      </c>
      <c r="EJ413">
        <v>12492.86666666667</v>
      </c>
      <c r="EK413">
        <v>37.937</v>
      </c>
      <c r="EL413">
        <v>39.187</v>
      </c>
      <c r="EM413">
        <v>38.375</v>
      </c>
      <c r="EN413">
        <v>38.812</v>
      </c>
      <c r="EO413">
        <v>38.812</v>
      </c>
      <c r="EP413">
        <v>1454.776666666667</v>
      </c>
      <c r="EQ413">
        <v>40.37333333333333</v>
      </c>
      <c r="ER413">
        <v>0</v>
      </c>
      <c r="ES413">
        <v>1074.799999952316</v>
      </c>
      <c r="ET413">
        <v>0</v>
      </c>
      <c r="EU413">
        <v>913.6391153846155</v>
      </c>
      <c r="EV413">
        <v>-9.813846147357992</v>
      </c>
      <c r="EW413">
        <v>-154.2871794937877</v>
      </c>
      <c r="EX413">
        <v>13595.74230769231</v>
      </c>
      <c r="EY413">
        <v>15</v>
      </c>
      <c r="EZ413">
        <v>1651865518.1</v>
      </c>
      <c r="FA413" t="s">
        <v>910</v>
      </c>
      <c r="FB413">
        <v>1651865507.1</v>
      </c>
      <c r="FC413">
        <v>1651865518.1</v>
      </c>
      <c r="FD413">
        <v>8</v>
      </c>
      <c r="FE413">
        <v>0.06</v>
      </c>
      <c r="FF413">
        <v>0</v>
      </c>
      <c r="FG413">
        <v>-0.927</v>
      </c>
      <c r="FH413">
        <v>-0.062</v>
      </c>
      <c r="FI413">
        <v>400</v>
      </c>
      <c r="FJ413">
        <v>11</v>
      </c>
      <c r="FK413">
        <v>0.11</v>
      </c>
      <c r="FL413">
        <v>0.01</v>
      </c>
      <c r="FM413">
        <v>-63.1669825</v>
      </c>
      <c r="FN413">
        <v>-4.695254409005464</v>
      </c>
      <c r="FO413">
        <v>0.4612074494668858</v>
      </c>
      <c r="FP413">
        <v>-1</v>
      </c>
      <c r="FQ413">
        <v>9.696821</v>
      </c>
      <c r="FR413">
        <v>-0.1400323452157826</v>
      </c>
      <c r="FS413">
        <v>0.01369474749675949</v>
      </c>
      <c r="FT413">
        <v>-1</v>
      </c>
      <c r="FU413">
        <v>0</v>
      </c>
      <c r="FV413">
        <v>0</v>
      </c>
      <c r="FW413">
        <v>0</v>
      </c>
      <c r="FX413">
        <v>-1</v>
      </c>
      <c r="FY413">
        <v>0</v>
      </c>
      <c r="FZ413">
        <v>0</v>
      </c>
      <c r="GA413" t="s">
        <v>420</v>
      </c>
      <c r="GB413">
        <v>2.98142</v>
      </c>
      <c r="GC413">
        <v>2.70609</v>
      </c>
      <c r="GD413">
        <v>0.165362</v>
      </c>
      <c r="GE413">
        <v>0.170431</v>
      </c>
      <c r="GF413">
        <v>0.0887737</v>
      </c>
      <c r="GG413">
        <v>0.0509666</v>
      </c>
      <c r="GH413">
        <v>26375.8</v>
      </c>
      <c r="GI413">
        <v>26271.7</v>
      </c>
      <c r="GJ413">
        <v>29379</v>
      </c>
      <c r="GK413">
        <v>29293.4</v>
      </c>
      <c r="GL413">
        <v>35447</v>
      </c>
      <c r="GM413">
        <v>37034.7</v>
      </c>
      <c r="GN413">
        <v>41351.4</v>
      </c>
      <c r="GO413">
        <v>41813.6</v>
      </c>
      <c r="GP413">
        <v>1.96775</v>
      </c>
      <c r="GQ413">
        <v>1.8557</v>
      </c>
      <c r="GR413">
        <v>-0.00603497</v>
      </c>
      <c r="GS413">
        <v>0</v>
      </c>
      <c r="GT413">
        <v>25.0995</v>
      </c>
      <c r="GU413">
        <v>999.9</v>
      </c>
      <c r="GV413">
        <v>29.5</v>
      </c>
      <c r="GW413">
        <v>34.2</v>
      </c>
      <c r="GX413">
        <v>17.7271</v>
      </c>
      <c r="GY413">
        <v>62.3076</v>
      </c>
      <c r="GZ413">
        <v>35.4768</v>
      </c>
      <c r="HA413">
        <v>1</v>
      </c>
      <c r="HB413">
        <v>0.0411433</v>
      </c>
      <c r="HC413">
        <v>1.48816</v>
      </c>
      <c r="HD413">
        <v>20.328</v>
      </c>
      <c r="HE413">
        <v>5.21774</v>
      </c>
      <c r="HF413">
        <v>12.0099</v>
      </c>
      <c r="HG413">
        <v>4.98905</v>
      </c>
      <c r="HH413">
        <v>3.28865</v>
      </c>
      <c r="HI413">
        <v>1035.4</v>
      </c>
      <c r="HJ413">
        <v>9761.799999999999</v>
      </c>
      <c r="HK413">
        <v>5139.4</v>
      </c>
      <c r="HL413">
        <v>25.4</v>
      </c>
      <c r="HM413">
        <v>1.86747</v>
      </c>
      <c r="HN413">
        <v>1.86646</v>
      </c>
      <c r="HO413">
        <v>1.866</v>
      </c>
      <c r="HP413">
        <v>1.86585</v>
      </c>
      <c r="HQ413">
        <v>1.86768</v>
      </c>
      <c r="HR413">
        <v>1.87018</v>
      </c>
      <c r="HS413">
        <v>1.8689</v>
      </c>
      <c r="HT413">
        <v>1.87027</v>
      </c>
      <c r="HU413">
        <v>0</v>
      </c>
      <c r="HV413">
        <v>0</v>
      </c>
      <c r="HW413">
        <v>0</v>
      </c>
      <c r="HX413">
        <v>0</v>
      </c>
      <c r="HY413" t="s">
        <v>421</v>
      </c>
      <c r="HZ413" t="s">
        <v>422</v>
      </c>
      <c r="IA413" t="s">
        <v>423</v>
      </c>
      <c r="IB413" t="s">
        <v>423</v>
      </c>
      <c r="IC413" t="s">
        <v>423</v>
      </c>
      <c r="ID413" t="s">
        <v>423</v>
      </c>
      <c r="IE413">
        <v>0</v>
      </c>
      <c r="IF413">
        <v>100</v>
      </c>
      <c r="IG413">
        <v>100</v>
      </c>
      <c r="IH413">
        <v>-1.872</v>
      </c>
      <c r="II413">
        <v>0.0247</v>
      </c>
      <c r="IJ413">
        <v>-0.1559367209035702</v>
      </c>
      <c r="IK413">
        <v>-0.002077099775823331</v>
      </c>
      <c r="IL413">
        <v>4.593143279902166E-07</v>
      </c>
      <c r="IM413">
        <v>-1.865383991892071E-10</v>
      </c>
      <c r="IN413">
        <v>-0.0607165066849496</v>
      </c>
      <c r="IO413">
        <v>-0.01129461987421345</v>
      </c>
      <c r="IP413">
        <v>0.00116580895745559</v>
      </c>
      <c r="IQ413">
        <v>-1.679085872906199E-05</v>
      </c>
      <c r="IR413">
        <v>2</v>
      </c>
      <c r="IS413">
        <v>2290</v>
      </c>
      <c r="IT413">
        <v>0</v>
      </c>
      <c r="IU413">
        <v>32</v>
      </c>
      <c r="IV413">
        <v>17.5</v>
      </c>
      <c r="IW413">
        <v>17.3</v>
      </c>
      <c r="IX413">
        <v>2.12158</v>
      </c>
      <c r="IY413">
        <v>2.18628</v>
      </c>
      <c r="IZ413">
        <v>1.39648</v>
      </c>
      <c r="JA413">
        <v>2.35596</v>
      </c>
      <c r="JB413">
        <v>1.49536</v>
      </c>
      <c r="JC413">
        <v>2.36694</v>
      </c>
      <c r="JD413">
        <v>38.0134</v>
      </c>
      <c r="JE413">
        <v>24.0437</v>
      </c>
      <c r="JF413">
        <v>18</v>
      </c>
      <c r="JG413">
        <v>512.458</v>
      </c>
      <c r="JH413">
        <v>426.597</v>
      </c>
      <c r="JI413">
        <v>23.1671</v>
      </c>
      <c r="JJ413">
        <v>27.8491</v>
      </c>
      <c r="JK413">
        <v>30.0001</v>
      </c>
      <c r="JL413">
        <v>27.8586</v>
      </c>
      <c r="JM413">
        <v>27.8027</v>
      </c>
      <c r="JN413">
        <v>42.5157</v>
      </c>
      <c r="JO413">
        <v>46.9143</v>
      </c>
      <c r="JP413">
        <v>0</v>
      </c>
      <c r="JQ413">
        <v>23.1673</v>
      </c>
      <c r="JR413">
        <v>1028.38</v>
      </c>
      <c r="JS413">
        <v>8.982530000000001</v>
      </c>
      <c r="JT413">
        <v>100.422</v>
      </c>
      <c r="JU413">
        <v>100.353</v>
      </c>
    </row>
    <row r="414" spans="1:281">
      <c r="A414">
        <v>398</v>
      </c>
      <c r="B414">
        <v>1651866559.5</v>
      </c>
      <c r="C414">
        <v>2338.900000095367</v>
      </c>
      <c r="D414" t="s">
        <v>1219</v>
      </c>
      <c r="E414" t="s">
        <v>1220</v>
      </c>
      <c r="F414">
        <v>2</v>
      </c>
      <c r="G414" t="s">
        <v>908</v>
      </c>
      <c r="H414" t="s">
        <v>414</v>
      </c>
      <c r="I414">
        <v>1651866558.125</v>
      </c>
      <c r="J414">
        <f>(K414)/1000</f>
        <v>0</v>
      </c>
      <c r="K414">
        <f>IF(CZ414, AN414, AH414)</f>
        <v>0</v>
      </c>
      <c r="L414">
        <f>IF(CZ414, AI414, AG414)</f>
        <v>0</v>
      </c>
      <c r="M414">
        <f>DB414 - IF(AU414&gt;1, L414*CV414*100.0/(AW414*DP414), 0)</f>
        <v>0</v>
      </c>
      <c r="N414">
        <f>((T414-J414/2)*M414-L414)/(T414+J414/2)</f>
        <v>0</v>
      </c>
      <c r="O414">
        <f>N414*(DI414+DJ414)/1000.0</f>
        <v>0</v>
      </c>
      <c r="P414">
        <f>(DB414 - IF(AU414&gt;1, L414*CV414*100.0/(AW414*DP414), 0))*(DI414+DJ414)/1000.0</f>
        <v>0</v>
      </c>
      <c r="Q414">
        <f>2.0/((1/S414-1/R414)+SIGN(S414)*SQRT((1/S414-1/R414)*(1/S414-1/R414) + 4*CW414/((CW414+1)*(CW414+1))*(2*1/S414*1/R414-1/R414*1/R414)))</f>
        <v>0</v>
      </c>
      <c r="R414">
        <f>IF(LEFT(CX414,1)&lt;&gt;"0",IF(LEFT(CX414,1)="1",3.0,CY414),$D$5+$E$5*(DP414*DI414/($K$5*1000))+$F$5*(DP414*DI414/($K$5*1000))*MAX(MIN(CV414,$J$5),$I$5)*MAX(MIN(CV414,$J$5),$I$5)+$G$5*MAX(MIN(CV414,$J$5),$I$5)*(DP414*DI414/($K$5*1000))+$H$5*(DP414*DI414/($K$5*1000))*(DP414*DI414/($K$5*1000)))</f>
        <v>0</v>
      </c>
      <c r="S414">
        <f>J414*(1000-(1000*0.61365*exp(17.502*W414/(240.97+W414))/(DI414+DJ414)+DD414)/2)/(1000*0.61365*exp(17.502*W414/(240.97+W414))/(DI414+DJ414)-DD414)</f>
        <v>0</v>
      </c>
      <c r="T414">
        <f>1/((CW414+1)/(Q414/1.6)+1/(R414/1.37)) + CW414/((CW414+1)/(Q414/1.6) + CW414/(R414/1.37))</f>
        <v>0</v>
      </c>
      <c r="U414">
        <f>(CR414*CU414)</f>
        <v>0</v>
      </c>
      <c r="V414">
        <f>(DK414+(U414+2*0.95*5.67E-8*(((DK414+$B$7)+273)^4-(DK414+273)^4)-44100*J414)/(1.84*29.3*R414+8*0.95*5.67E-8*(DK414+273)^3))</f>
        <v>0</v>
      </c>
      <c r="W414">
        <f>($C$7*DL414+$D$7*DM414+$E$7*V414)</f>
        <v>0</v>
      </c>
      <c r="X414">
        <f>0.61365*exp(17.502*W414/(240.97+W414))</f>
        <v>0</v>
      </c>
      <c r="Y414">
        <f>(Z414/AA414*100)</f>
        <v>0</v>
      </c>
      <c r="Z414">
        <f>DD414*(DI414+DJ414)/1000</f>
        <v>0</v>
      </c>
      <c r="AA414">
        <f>0.61365*exp(17.502*DK414/(240.97+DK414))</f>
        <v>0</v>
      </c>
      <c r="AB414">
        <f>(X414-DD414*(DI414+DJ414)/1000)</f>
        <v>0</v>
      </c>
      <c r="AC414">
        <f>(-J414*44100)</f>
        <v>0</v>
      </c>
      <c r="AD414">
        <f>2*29.3*R414*0.92*(DK414-W414)</f>
        <v>0</v>
      </c>
      <c r="AE414">
        <f>2*0.95*5.67E-8*(((DK414+$B$7)+273)^4-(W414+273)^4)</f>
        <v>0</v>
      </c>
      <c r="AF414">
        <f>U414+AE414+AC414+AD414</f>
        <v>0</v>
      </c>
      <c r="AG414">
        <f>DH414*AU414*(DC414-DB414*(1000-AU414*DE414)/(1000-AU414*DD414))/(100*CV414)</f>
        <v>0</v>
      </c>
      <c r="AH414">
        <f>1000*DH414*AU414*(DD414-DE414)/(100*CV414*(1000-AU414*DD414))</f>
        <v>0</v>
      </c>
      <c r="AI414">
        <f>(AJ414 - AK414 - DI414*1E3/(8.314*(DK414+273.15)) * AM414/DH414 * AL414) * DH414/(100*CV414) * (1000 - DE414)/1000</f>
        <v>0</v>
      </c>
      <c r="AJ414">
        <v>1017.504304584305</v>
      </c>
      <c r="AK414">
        <v>970.1730121212119</v>
      </c>
      <c r="AL414">
        <v>3.38423183573346</v>
      </c>
      <c r="AM414">
        <v>66.38195617057868</v>
      </c>
      <c r="AN414">
        <f>(AP414 - AO414 + DI414*1E3/(8.314*(DK414+273.15)) * AR414/DH414 * AQ414) * DH414/(100*CV414) * 1000/(1000 - AP414)</f>
        <v>0</v>
      </c>
      <c r="AO414">
        <v>8.96424540617779</v>
      </c>
      <c r="AP414">
        <v>18.64043294117647</v>
      </c>
      <c r="AQ414">
        <v>-0.0005489357838059889</v>
      </c>
      <c r="AR414">
        <v>80.47178418790507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MAX(0,($B$13+$C$13*DP414)/(1+$D$13*DP414)*DI414/(DK414+273)*$E$13)</f>
        <v>0</v>
      </c>
      <c r="AX414" t="s">
        <v>417</v>
      </c>
      <c r="AY414" t="s">
        <v>417</v>
      </c>
      <c r="AZ414">
        <v>0</v>
      </c>
      <c r="BA414">
        <v>0</v>
      </c>
      <c r="BB414">
        <f>1-AZ414/BA414</f>
        <v>0</v>
      </c>
      <c r="BC414">
        <v>0</v>
      </c>
      <c r="BD414" t="s">
        <v>417</v>
      </c>
      <c r="BE414" t="s">
        <v>417</v>
      </c>
      <c r="BF414">
        <v>0</v>
      </c>
      <c r="BG414">
        <v>0</v>
      </c>
      <c r="BH414">
        <f>1-BF414/BG414</f>
        <v>0</v>
      </c>
      <c r="BI414">
        <v>0.5</v>
      </c>
      <c r="BJ414">
        <f>CS414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417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BZ414">
        <v>1249</v>
      </c>
      <c r="CA414">
        <v>300</v>
      </c>
      <c r="CB414">
        <v>300</v>
      </c>
      <c r="CC414">
        <v>300</v>
      </c>
      <c r="CD414">
        <v>10442.4</v>
      </c>
      <c r="CE414">
        <v>1239.69</v>
      </c>
      <c r="CF414">
        <v>-0.00735276</v>
      </c>
      <c r="CG414">
        <v>0.07000000000000001</v>
      </c>
      <c r="CH414" t="s">
        <v>417</v>
      </c>
      <c r="CI414" t="s">
        <v>417</v>
      </c>
      <c r="CJ414" t="s">
        <v>417</v>
      </c>
      <c r="CK414" t="s">
        <v>417</v>
      </c>
      <c r="CL414" t="s">
        <v>417</v>
      </c>
      <c r="CM414" t="s">
        <v>417</v>
      </c>
      <c r="CN414" t="s">
        <v>417</v>
      </c>
      <c r="CO414" t="s">
        <v>417</v>
      </c>
      <c r="CP414" t="s">
        <v>417</v>
      </c>
      <c r="CQ414" t="s">
        <v>417</v>
      </c>
      <c r="CR414">
        <f>$B$11*DQ414+$C$11*DR414+$F$11*EC414*(1-EF414)</f>
        <v>0</v>
      </c>
      <c r="CS414">
        <f>CR414*CT414</f>
        <v>0</v>
      </c>
      <c r="CT414">
        <f>($B$11*$D$9+$C$11*$D$9+$F$11*((EP414+EH414)/MAX(EP414+EH414+EQ414, 0.1)*$I$9+EQ414/MAX(EP414+EH414+EQ414, 0.1)*$J$9))/($B$11+$C$11+$F$11)</f>
        <v>0</v>
      </c>
      <c r="CU414">
        <f>($B$11*$K$9+$C$11*$K$9+$F$11*((EP414+EH414)/MAX(EP414+EH414+EQ414, 0.1)*$P$9+EQ414/MAX(EP414+EH414+EQ414, 0.1)*$Q$9))/($B$11+$C$11+$F$11)</f>
        <v>0</v>
      </c>
      <c r="CV414">
        <v>6</v>
      </c>
      <c r="CW414">
        <v>0.5</v>
      </c>
      <c r="CX414" t="s">
        <v>418</v>
      </c>
      <c r="CY414">
        <v>2</v>
      </c>
      <c r="CZ414" t="b">
        <v>1</v>
      </c>
      <c r="DA414">
        <v>1651866558.125</v>
      </c>
      <c r="DB414">
        <v>949.1799999999999</v>
      </c>
      <c r="DC414">
        <v>1013.095</v>
      </c>
      <c r="DD414">
        <v>18.63995</v>
      </c>
      <c r="DE414">
        <v>8.963519999999999</v>
      </c>
      <c r="DF414">
        <v>951.056</v>
      </c>
      <c r="DG414">
        <v>18.61525</v>
      </c>
      <c r="DH414">
        <v>500.01175</v>
      </c>
      <c r="DI414">
        <v>89.904275</v>
      </c>
      <c r="DJ414">
        <v>0.09997600000000001</v>
      </c>
      <c r="DK414">
        <v>25.937475</v>
      </c>
      <c r="DL414">
        <v>24.9986</v>
      </c>
      <c r="DM414">
        <v>999.9</v>
      </c>
      <c r="DN414">
        <v>0</v>
      </c>
      <c r="DO414">
        <v>0</v>
      </c>
      <c r="DP414">
        <v>9989.532499999999</v>
      </c>
      <c r="DQ414">
        <v>0</v>
      </c>
      <c r="DR414">
        <v>3.2280675</v>
      </c>
      <c r="DS414">
        <v>-63.9183</v>
      </c>
      <c r="DT414">
        <v>967.20875</v>
      </c>
      <c r="DU414">
        <v>1022.26</v>
      </c>
      <c r="DV414">
        <v>9.676432499999999</v>
      </c>
      <c r="DW414">
        <v>1013.095</v>
      </c>
      <c r="DX414">
        <v>8.963519999999999</v>
      </c>
      <c r="DY414">
        <v>1.67581</v>
      </c>
      <c r="DZ414">
        <v>0.80585875</v>
      </c>
      <c r="EA414">
        <v>14.67415</v>
      </c>
      <c r="EB414">
        <v>3.810925</v>
      </c>
      <c r="EC414">
        <v>1500.0125</v>
      </c>
      <c r="ED414">
        <v>0.9729945</v>
      </c>
      <c r="EE414">
        <v>0.02700535</v>
      </c>
      <c r="EF414">
        <v>0</v>
      </c>
      <c r="EG414">
        <v>912.3647500000001</v>
      </c>
      <c r="EH414">
        <v>5.00097</v>
      </c>
      <c r="EI414">
        <v>13573.675</v>
      </c>
      <c r="EJ414">
        <v>12491.675</v>
      </c>
      <c r="EK414">
        <v>37.937</v>
      </c>
      <c r="EL414">
        <v>39.187</v>
      </c>
      <c r="EM414">
        <v>38.375</v>
      </c>
      <c r="EN414">
        <v>38.812</v>
      </c>
      <c r="EO414">
        <v>38.812</v>
      </c>
      <c r="EP414">
        <v>1454.6425</v>
      </c>
      <c r="EQ414">
        <v>40.37</v>
      </c>
      <c r="ER414">
        <v>0</v>
      </c>
      <c r="ES414">
        <v>1077.200000047684</v>
      </c>
      <c r="ET414">
        <v>0</v>
      </c>
      <c r="EU414">
        <v>913.253</v>
      </c>
      <c r="EV414">
        <v>-9.815726481388348</v>
      </c>
      <c r="EW414">
        <v>-158.8068373839851</v>
      </c>
      <c r="EX414">
        <v>13589.48076923077</v>
      </c>
      <c r="EY414">
        <v>15</v>
      </c>
      <c r="EZ414">
        <v>1651865518.1</v>
      </c>
      <c r="FA414" t="s">
        <v>910</v>
      </c>
      <c r="FB414">
        <v>1651865507.1</v>
      </c>
      <c r="FC414">
        <v>1651865518.1</v>
      </c>
      <c r="FD414">
        <v>8</v>
      </c>
      <c r="FE414">
        <v>0.06</v>
      </c>
      <c r="FF414">
        <v>0</v>
      </c>
      <c r="FG414">
        <v>-0.927</v>
      </c>
      <c r="FH414">
        <v>-0.062</v>
      </c>
      <c r="FI414">
        <v>400</v>
      </c>
      <c r="FJ414">
        <v>11</v>
      </c>
      <c r="FK414">
        <v>0.11</v>
      </c>
      <c r="FL414">
        <v>0.01</v>
      </c>
      <c r="FM414">
        <v>-63.2356425</v>
      </c>
      <c r="FN414">
        <v>-4.790182739211961</v>
      </c>
      <c r="FO414">
        <v>0.4689158058156603</v>
      </c>
      <c r="FP414">
        <v>-1</v>
      </c>
      <c r="FQ414">
        <v>9.694394499999998</v>
      </c>
      <c r="FR414">
        <v>-0.1322062288930718</v>
      </c>
      <c r="FS414">
        <v>0.01290242418113751</v>
      </c>
      <c r="FT414">
        <v>-1</v>
      </c>
      <c r="FU414">
        <v>0</v>
      </c>
      <c r="FV414">
        <v>0</v>
      </c>
      <c r="FW414">
        <v>0</v>
      </c>
      <c r="FX414">
        <v>-1</v>
      </c>
      <c r="FY414">
        <v>0</v>
      </c>
      <c r="FZ414">
        <v>0</v>
      </c>
      <c r="GA414" t="s">
        <v>420</v>
      </c>
      <c r="GB414">
        <v>2.98157</v>
      </c>
      <c r="GC414">
        <v>2.70602</v>
      </c>
      <c r="GD414">
        <v>0.166122</v>
      </c>
      <c r="GE414">
        <v>0.171169</v>
      </c>
      <c r="GF414">
        <v>0.0887766</v>
      </c>
      <c r="GG414">
        <v>0.0509627</v>
      </c>
      <c r="GH414">
        <v>26351.6</v>
      </c>
      <c r="GI414">
        <v>26248.4</v>
      </c>
      <c r="GJ414">
        <v>29378.8</v>
      </c>
      <c r="GK414">
        <v>29293.4</v>
      </c>
      <c r="GL414">
        <v>35446.7</v>
      </c>
      <c r="GM414">
        <v>37035</v>
      </c>
      <c r="GN414">
        <v>41351.2</v>
      </c>
      <c r="GO414">
        <v>41813.7</v>
      </c>
      <c r="GP414">
        <v>1.9677</v>
      </c>
      <c r="GQ414">
        <v>1.8557</v>
      </c>
      <c r="GR414">
        <v>-0.00637025</v>
      </c>
      <c r="GS414">
        <v>0</v>
      </c>
      <c r="GT414">
        <v>25.0995</v>
      </c>
      <c r="GU414">
        <v>999.9</v>
      </c>
      <c r="GV414">
        <v>29.5</v>
      </c>
      <c r="GW414">
        <v>34.2</v>
      </c>
      <c r="GX414">
        <v>17.7274</v>
      </c>
      <c r="GY414">
        <v>62.4376</v>
      </c>
      <c r="GZ414">
        <v>35.1963</v>
      </c>
      <c r="HA414">
        <v>1</v>
      </c>
      <c r="HB414">
        <v>0.0411306</v>
      </c>
      <c r="HC414">
        <v>1.48877</v>
      </c>
      <c r="HD414">
        <v>20.3279</v>
      </c>
      <c r="HE414">
        <v>5.21759</v>
      </c>
      <c r="HF414">
        <v>12.0099</v>
      </c>
      <c r="HG414">
        <v>4.98905</v>
      </c>
      <c r="HH414">
        <v>3.28865</v>
      </c>
      <c r="HI414">
        <v>1035.6</v>
      </c>
      <c r="HJ414">
        <v>9763.200000000001</v>
      </c>
      <c r="HK414">
        <v>5139.4</v>
      </c>
      <c r="HL414">
        <v>25.4</v>
      </c>
      <c r="HM414">
        <v>1.86747</v>
      </c>
      <c r="HN414">
        <v>1.86646</v>
      </c>
      <c r="HO414">
        <v>1.866</v>
      </c>
      <c r="HP414">
        <v>1.86584</v>
      </c>
      <c r="HQ414">
        <v>1.86768</v>
      </c>
      <c r="HR414">
        <v>1.87019</v>
      </c>
      <c r="HS414">
        <v>1.8689</v>
      </c>
      <c r="HT414">
        <v>1.87026</v>
      </c>
      <c r="HU414">
        <v>0</v>
      </c>
      <c r="HV414">
        <v>0</v>
      </c>
      <c r="HW414">
        <v>0</v>
      </c>
      <c r="HX414">
        <v>0</v>
      </c>
      <c r="HY414" t="s">
        <v>421</v>
      </c>
      <c r="HZ414" t="s">
        <v>422</v>
      </c>
      <c r="IA414" t="s">
        <v>423</v>
      </c>
      <c r="IB414" t="s">
        <v>423</v>
      </c>
      <c r="IC414" t="s">
        <v>423</v>
      </c>
      <c r="ID414" t="s">
        <v>423</v>
      </c>
      <c r="IE414">
        <v>0</v>
      </c>
      <c r="IF414">
        <v>100</v>
      </c>
      <c r="IG414">
        <v>100</v>
      </c>
      <c r="IH414">
        <v>-1.884</v>
      </c>
      <c r="II414">
        <v>0.0247</v>
      </c>
      <c r="IJ414">
        <v>-0.1559367209035702</v>
      </c>
      <c r="IK414">
        <v>-0.002077099775823331</v>
      </c>
      <c r="IL414">
        <v>4.593143279902166E-07</v>
      </c>
      <c r="IM414">
        <v>-1.865383991892071E-10</v>
      </c>
      <c r="IN414">
        <v>-0.0607165066849496</v>
      </c>
      <c r="IO414">
        <v>-0.01129461987421345</v>
      </c>
      <c r="IP414">
        <v>0.00116580895745559</v>
      </c>
      <c r="IQ414">
        <v>-1.679085872906199E-05</v>
      </c>
      <c r="IR414">
        <v>2</v>
      </c>
      <c r="IS414">
        <v>2290</v>
      </c>
      <c r="IT414">
        <v>0</v>
      </c>
      <c r="IU414">
        <v>32</v>
      </c>
      <c r="IV414">
        <v>17.5</v>
      </c>
      <c r="IW414">
        <v>17.4</v>
      </c>
      <c r="IX414">
        <v>2.13379</v>
      </c>
      <c r="IY414">
        <v>2.18872</v>
      </c>
      <c r="IZ414">
        <v>1.39648</v>
      </c>
      <c r="JA414">
        <v>2.35474</v>
      </c>
      <c r="JB414">
        <v>1.49536</v>
      </c>
      <c r="JC414">
        <v>2.34497</v>
      </c>
      <c r="JD414">
        <v>38.0134</v>
      </c>
      <c r="JE414">
        <v>24.035</v>
      </c>
      <c r="JF414">
        <v>18</v>
      </c>
      <c r="JG414">
        <v>512.422</v>
      </c>
      <c r="JH414">
        <v>426.589</v>
      </c>
      <c r="JI414">
        <v>23.1677</v>
      </c>
      <c r="JJ414">
        <v>27.8488</v>
      </c>
      <c r="JK414">
        <v>30.0001</v>
      </c>
      <c r="JL414">
        <v>27.8583</v>
      </c>
      <c r="JM414">
        <v>27.8017</v>
      </c>
      <c r="JN414">
        <v>42.7354</v>
      </c>
      <c r="JO414">
        <v>46.9143</v>
      </c>
      <c r="JP414">
        <v>0</v>
      </c>
      <c r="JQ414">
        <v>23.1673</v>
      </c>
      <c r="JR414">
        <v>1035.07</v>
      </c>
      <c r="JS414">
        <v>8.98366</v>
      </c>
      <c r="JT414">
        <v>100.422</v>
      </c>
      <c r="JU414">
        <v>100.353</v>
      </c>
    </row>
    <row r="415" spans="1:281">
      <c r="A415">
        <v>399</v>
      </c>
      <c r="B415">
        <v>1651866561.5</v>
      </c>
      <c r="C415">
        <v>2340.900000095367</v>
      </c>
      <c r="D415" t="s">
        <v>1221</v>
      </c>
      <c r="E415" t="s">
        <v>1222</v>
      </c>
      <c r="F415">
        <v>2</v>
      </c>
      <c r="G415" t="s">
        <v>908</v>
      </c>
      <c r="H415" t="s">
        <v>414</v>
      </c>
      <c r="I415">
        <v>1651866560.5</v>
      </c>
      <c r="J415">
        <f>(K415)/1000</f>
        <v>0</v>
      </c>
      <c r="K415">
        <f>IF(CZ415, AN415, AH415)</f>
        <v>0</v>
      </c>
      <c r="L415">
        <f>IF(CZ415, AI415, AG415)</f>
        <v>0</v>
      </c>
      <c r="M415">
        <f>DB415 - IF(AU415&gt;1, L415*CV415*100.0/(AW415*DP415), 0)</f>
        <v>0</v>
      </c>
      <c r="N415">
        <f>((T415-J415/2)*M415-L415)/(T415+J415/2)</f>
        <v>0</v>
      </c>
      <c r="O415">
        <f>N415*(DI415+DJ415)/1000.0</f>
        <v>0</v>
      </c>
      <c r="P415">
        <f>(DB415 - IF(AU415&gt;1, L415*CV415*100.0/(AW415*DP415), 0))*(DI415+DJ415)/1000.0</f>
        <v>0</v>
      </c>
      <c r="Q415">
        <f>2.0/((1/S415-1/R415)+SIGN(S415)*SQRT((1/S415-1/R415)*(1/S415-1/R415) + 4*CW415/((CW415+1)*(CW415+1))*(2*1/S415*1/R415-1/R415*1/R415)))</f>
        <v>0</v>
      </c>
      <c r="R415">
        <f>IF(LEFT(CX415,1)&lt;&gt;"0",IF(LEFT(CX415,1)="1",3.0,CY415),$D$5+$E$5*(DP415*DI415/($K$5*1000))+$F$5*(DP415*DI415/($K$5*1000))*MAX(MIN(CV415,$J$5),$I$5)*MAX(MIN(CV415,$J$5),$I$5)+$G$5*MAX(MIN(CV415,$J$5),$I$5)*(DP415*DI415/($K$5*1000))+$H$5*(DP415*DI415/($K$5*1000))*(DP415*DI415/($K$5*1000)))</f>
        <v>0</v>
      </c>
      <c r="S415">
        <f>J415*(1000-(1000*0.61365*exp(17.502*W415/(240.97+W415))/(DI415+DJ415)+DD415)/2)/(1000*0.61365*exp(17.502*W415/(240.97+W415))/(DI415+DJ415)-DD415)</f>
        <v>0</v>
      </c>
      <c r="T415">
        <f>1/((CW415+1)/(Q415/1.6)+1/(R415/1.37)) + CW415/((CW415+1)/(Q415/1.6) + CW415/(R415/1.37))</f>
        <v>0</v>
      </c>
      <c r="U415">
        <f>(CR415*CU415)</f>
        <v>0</v>
      </c>
      <c r="V415">
        <f>(DK415+(U415+2*0.95*5.67E-8*(((DK415+$B$7)+273)^4-(DK415+273)^4)-44100*J415)/(1.84*29.3*R415+8*0.95*5.67E-8*(DK415+273)^3))</f>
        <v>0</v>
      </c>
      <c r="W415">
        <f>($C$7*DL415+$D$7*DM415+$E$7*V415)</f>
        <v>0</v>
      </c>
      <c r="X415">
        <f>0.61365*exp(17.502*W415/(240.97+W415))</f>
        <v>0</v>
      </c>
      <c r="Y415">
        <f>(Z415/AA415*100)</f>
        <v>0</v>
      </c>
      <c r="Z415">
        <f>DD415*(DI415+DJ415)/1000</f>
        <v>0</v>
      </c>
      <c r="AA415">
        <f>0.61365*exp(17.502*DK415/(240.97+DK415))</f>
        <v>0</v>
      </c>
      <c r="AB415">
        <f>(X415-DD415*(DI415+DJ415)/1000)</f>
        <v>0</v>
      </c>
      <c r="AC415">
        <f>(-J415*44100)</f>
        <v>0</v>
      </c>
      <c r="AD415">
        <f>2*29.3*R415*0.92*(DK415-W415)</f>
        <v>0</v>
      </c>
      <c r="AE415">
        <f>2*0.95*5.67E-8*(((DK415+$B$7)+273)^4-(W415+273)^4)</f>
        <v>0</v>
      </c>
      <c r="AF415">
        <f>U415+AE415+AC415+AD415</f>
        <v>0</v>
      </c>
      <c r="AG415">
        <f>DH415*AU415*(DC415-DB415*(1000-AU415*DE415)/(1000-AU415*DD415))/(100*CV415)</f>
        <v>0</v>
      </c>
      <c r="AH415">
        <f>1000*DH415*AU415*(DD415-DE415)/(100*CV415*(1000-AU415*DD415))</f>
        <v>0</v>
      </c>
      <c r="AI415">
        <f>(AJ415 - AK415 - DI415*1E3/(8.314*(DK415+273.15)) * AM415/DH415 * AL415) * DH415/(100*CV415) * (1000 - DE415)/1000</f>
        <v>0</v>
      </c>
      <c r="AJ415">
        <v>1024.343458466893</v>
      </c>
      <c r="AK415">
        <v>977.0347575757579</v>
      </c>
      <c r="AL415">
        <v>3.41659862378168</v>
      </c>
      <c r="AM415">
        <v>66.38195617057868</v>
      </c>
      <c r="AN415">
        <f>(AP415 - AO415 + DI415*1E3/(8.314*(DK415+273.15)) * AR415/DH415 * AQ415) * DH415/(100*CV415) * 1000/(1000 - AP415)</f>
        <v>0</v>
      </c>
      <c r="AO415">
        <v>8.963967451502548</v>
      </c>
      <c r="AP415">
        <v>18.63595705882353</v>
      </c>
      <c r="AQ415">
        <v>-9.95475058877293E-05</v>
      </c>
      <c r="AR415">
        <v>80.47178418790507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MAX(0,($B$13+$C$13*DP415)/(1+$D$13*DP415)*DI415/(DK415+273)*$E$13)</f>
        <v>0</v>
      </c>
      <c r="AX415" t="s">
        <v>417</v>
      </c>
      <c r="AY415" t="s">
        <v>417</v>
      </c>
      <c r="AZ415">
        <v>0</v>
      </c>
      <c r="BA415">
        <v>0</v>
      </c>
      <c r="BB415">
        <f>1-AZ415/BA415</f>
        <v>0</v>
      </c>
      <c r="BC415">
        <v>0</v>
      </c>
      <c r="BD415" t="s">
        <v>417</v>
      </c>
      <c r="BE415" t="s">
        <v>417</v>
      </c>
      <c r="BF415">
        <v>0</v>
      </c>
      <c r="BG415">
        <v>0</v>
      </c>
      <c r="BH415">
        <f>1-BF415/BG415</f>
        <v>0</v>
      </c>
      <c r="BI415">
        <v>0.5</v>
      </c>
      <c r="BJ415">
        <f>CS415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417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BZ415">
        <v>1249</v>
      </c>
      <c r="CA415">
        <v>300</v>
      </c>
      <c r="CB415">
        <v>300</v>
      </c>
      <c r="CC415">
        <v>300</v>
      </c>
      <c r="CD415">
        <v>10442.4</v>
      </c>
      <c r="CE415">
        <v>1239.69</v>
      </c>
      <c r="CF415">
        <v>-0.00735276</v>
      </c>
      <c r="CG415">
        <v>0.07000000000000001</v>
      </c>
      <c r="CH415" t="s">
        <v>417</v>
      </c>
      <c r="CI415" t="s">
        <v>417</v>
      </c>
      <c r="CJ415" t="s">
        <v>417</v>
      </c>
      <c r="CK415" t="s">
        <v>417</v>
      </c>
      <c r="CL415" t="s">
        <v>417</v>
      </c>
      <c r="CM415" t="s">
        <v>417</v>
      </c>
      <c r="CN415" t="s">
        <v>417</v>
      </c>
      <c r="CO415" t="s">
        <v>417</v>
      </c>
      <c r="CP415" t="s">
        <v>417</v>
      </c>
      <c r="CQ415" t="s">
        <v>417</v>
      </c>
      <c r="CR415">
        <f>$B$11*DQ415+$C$11*DR415+$F$11*EC415*(1-EF415)</f>
        <v>0</v>
      </c>
      <c r="CS415">
        <f>CR415*CT415</f>
        <v>0</v>
      </c>
      <c r="CT415">
        <f>($B$11*$D$9+$C$11*$D$9+$F$11*((EP415+EH415)/MAX(EP415+EH415+EQ415, 0.1)*$I$9+EQ415/MAX(EP415+EH415+EQ415, 0.1)*$J$9))/($B$11+$C$11+$F$11)</f>
        <v>0</v>
      </c>
      <c r="CU415">
        <f>($B$11*$K$9+$C$11*$K$9+$F$11*((EP415+EH415)/MAX(EP415+EH415+EQ415, 0.1)*$P$9+EQ415/MAX(EP415+EH415+EQ415, 0.1)*$Q$9))/($B$11+$C$11+$F$11)</f>
        <v>0</v>
      </c>
      <c r="CV415">
        <v>6</v>
      </c>
      <c r="CW415">
        <v>0.5</v>
      </c>
      <c r="CX415" t="s">
        <v>418</v>
      </c>
      <c r="CY415">
        <v>2</v>
      </c>
      <c r="CZ415" t="b">
        <v>1</v>
      </c>
      <c r="DA415">
        <v>1651866560.5</v>
      </c>
      <c r="DB415">
        <v>957.143</v>
      </c>
      <c r="DC415">
        <v>1021.063333333333</v>
      </c>
      <c r="DD415">
        <v>18.6361</v>
      </c>
      <c r="DE415">
        <v>8.96222</v>
      </c>
      <c r="DF415">
        <v>959.033</v>
      </c>
      <c r="DG415">
        <v>18.61146666666667</v>
      </c>
      <c r="DH415">
        <v>500.0416666666667</v>
      </c>
      <c r="DI415">
        <v>89.90806666666667</v>
      </c>
      <c r="DJ415">
        <v>0.09995006666666667</v>
      </c>
      <c r="DK415">
        <v>25.93793333333333</v>
      </c>
      <c r="DL415">
        <v>24.9908</v>
      </c>
      <c r="DM415">
        <v>999.9</v>
      </c>
      <c r="DN415">
        <v>0</v>
      </c>
      <c r="DO415">
        <v>0</v>
      </c>
      <c r="DP415">
        <v>9991.040000000001</v>
      </c>
      <c r="DQ415">
        <v>0</v>
      </c>
      <c r="DR415">
        <v>3.21273</v>
      </c>
      <c r="DS415">
        <v>-63.922</v>
      </c>
      <c r="DT415">
        <v>975.3193333333334</v>
      </c>
      <c r="DU415">
        <v>1030.3</v>
      </c>
      <c r="DV415">
        <v>9.673873333333333</v>
      </c>
      <c r="DW415">
        <v>1021.063333333333</v>
      </c>
      <c r="DX415">
        <v>8.96222</v>
      </c>
      <c r="DY415">
        <v>1.675533333333333</v>
      </c>
      <c r="DZ415">
        <v>0.8057759999999999</v>
      </c>
      <c r="EA415">
        <v>14.67163333333333</v>
      </c>
      <c r="EB415">
        <v>3.809466666666667</v>
      </c>
      <c r="EC415">
        <v>1499.88</v>
      </c>
      <c r="ED415">
        <v>0.972992</v>
      </c>
      <c r="EE415">
        <v>0.027008</v>
      </c>
      <c r="EF415">
        <v>0</v>
      </c>
      <c r="EG415">
        <v>911.924</v>
      </c>
      <c r="EH415">
        <v>5.00097</v>
      </c>
      <c r="EI415">
        <v>13565.83333333333</v>
      </c>
      <c r="EJ415">
        <v>12490.53333333333</v>
      </c>
      <c r="EK415">
        <v>37.937</v>
      </c>
      <c r="EL415">
        <v>39.187</v>
      </c>
      <c r="EM415">
        <v>38.312</v>
      </c>
      <c r="EN415">
        <v>38.812</v>
      </c>
      <c r="EO415">
        <v>38.812</v>
      </c>
      <c r="EP415">
        <v>1454.51</v>
      </c>
      <c r="EQ415">
        <v>40.37</v>
      </c>
      <c r="ER415">
        <v>0</v>
      </c>
      <c r="ES415">
        <v>1079</v>
      </c>
      <c r="ET415">
        <v>0</v>
      </c>
      <c r="EU415">
        <v>912.9126000000001</v>
      </c>
      <c r="EV415">
        <v>-10.08092309514775</v>
      </c>
      <c r="EW415">
        <v>-163.8461540988024</v>
      </c>
      <c r="EX415">
        <v>13583.748</v>
      </c>
      <c r="EY415">
        <v>15</v>
      </c>
      <c r="EZ415">
        <v>1651865518.1</v>
      </c>
      <c r="FA415" t="s">
        <v>910</v>
      </c>
      <c r="FB415">
        <v>1651865507.1</v>
      </c>
      <c r="FC415">
        <v>1651865518.1</v>
      </c>
      <c r="FD415">
        <v>8</v>
      </c>
      <c r="FE415">
        <v>0.06</v>
      </c>
      <c r="FF415">
        <v>0</v>
      </c>
      <c r="FG415">
        <v>-0.927</v>
      </c>
      <c r="FH415">
        <v>-0.062</v>
      </c>
      <c r="FI415">
        <v>400</v>
      </c>
      <c r="FJ415">
        <v>11</v>
      </c>
      <c r="FK415">
        <v>0.11</v>
      </c>
      <c r="FL415">
        <v>0.01</v>
      </c>
      <c r="FM415">
        <v>-63.44683</v>
      </c>
      <c r="FN415">
        <v>-4.215034896810436</v>
      </c>
      <c r="FO415">
        <v>0.4195167036007026</v>
      </c>
      <c r="FP415">
        <v>-1</v>
      </c>
      <c r="FQ415">
        <v>9.68832125</v>
      </c>
      <c r="FR415">
        <v>-0.1084526454034029</v>
      </c>
      <c r="FS415">
        <v>0.01061297865528333</v>
      </c>
      <c r="FT415">
        <v>-1</v>
      </c>
      <c r="FU415">
        <v>0</v>
      </c>
      <c r="FV415">
        <v>0</v>
      </c>
      <c r="FW415">
        <v>0</v>
      </c>
      <c r="FX415">
        <v>-1</v>
      </c>
      <c r="FY415">
        <v>0</v>
      </c>
      <c r="FZ415">
        <v>0</v>
      </c>
      <c r="GA415" t="s">
        <v>420</v>
      </c>
      <c r="GB415">
        <v>2.98162</v>
      </c>
      <c r="GC415">
        <v>2.70598</v>
      </c>
      <c r="GD415">
        <v>0.166887</v>
      </c>
      <c r="GE415">
        <v>0.171888</v>
      </c>
      <c r="GF415">
        <v>0.0887578</v>
      </c>
      <c r="GG415">
        <v>0.0509599</v>
      </c>
      <c r="GH415">
        <v>26327.5</v>
      </c>
      <c r="GI415">
        <v>26225.4</v>
      </c>
      <c r="GJ415">
        <v>29378.9</v>
      </c>
      <c r="GK415">
        <v>29293.2</v>
      </c>
      <c r="GL415">
        <v>35447.5</v>
      </c>
      <c r="GM415">
        <v>37034.9</v>
      </c>
      <c r="GN415">
        <v>41351.2</v>
      </c>
      <c r="GO415">
        <v>41813.4</v>
      </c>
      <c r="GP415">
        <v>1.96755</v>
      </c>
      <c r="GQ415">
        <v>1.85595</v>
      </c>
      <c r="GR415">
        <v>-0.0066869</v>
      </c>
      <c r="GS415">
        <v>0</v>
      </c>
      <c r="GT415">
        <v>25.0995</v>
      </c>
      <c r="GU415">
        <v>999.9</v>
      </c>
      <c r="GV415">
        <v>29.5</v>
      </c>
      <c r="GW415">
        <v>34.2</v>
      </c>
      <c r="GX415">
        <v>17.7264</v>
      </c>
      <c r="GY415">
        <v>62.2976</v>
      </c>
      <c r="GZ415">
        <v>35</v>
      </c>
      <c r="HA415">
        <v>1</v>
      </c>
      <c r="HB415">
        <v>0.0411001</v>
      </c>
      <c r="HC415">
        <v>1.48834</v>
      </c>
      <c r="HD415">
        <v>20.3279</v>
      </c>
      <c r="HE415">
        <v>5.21789</v>
      </c>
      <c r="HF415">
        <v>12.0099</v>
      </c>
      <c r="HG415">
        <v>4.98925</v>
      </c>
      <c r="HH415">
        <v>3.28865</v>
      </c>
      <c r="HI415">
        <v>1035.6</v>
      </c>
      <c r="HJ415">
        <v>9763.200000000001</v>
      </c>
      <c r="HK415">
        <v>5139.4</v>
      </c>
      <c r="HL415">
        <v>25.4</v>
      </c>
      <c r="HM415">
        <v>1.86745</v>
      </c>
      <c r="HN415">
        <v>1.86646</v>
      </c>
      <c r="HO415">
        <v>1.866</v>
      </c>
      <c r="HP415">
        <v>1.86585</v>
      </c>
      <c r="HQ415">
        <v>1.86768</v>
      </c>
      <c r="HR415">
        <v>1.87018</v>
      </c>
      <c r="HS415">
        <v>1.8689</v>
      </c>
      <c r="HT415">
        <v>1.87026</v>
      </c>
      <c r="HU415">
        <v>0</v>
      </c>
      <c r="HV415">
        <v>0</v>
      </c>
      <c r="HW415">
        <v>0</v>
      </c>
      <c r="HX415">
        <v>0</v>
      </c>
      <c r="HY415" t="s">
        <v>421</v>
      </c>
      <c r="HZ415" t="s">
        <v>422</v>
      </c>
      <c r="IA415" t="s">
        <v>423</v>
      </c>
      <c r="IB415" t="s">
        <v>423</v>
      </c>
      <c r="IC415" t="s">
        <v>423</v>
      </c>
      <c r="ID415" t="s">
        <v>423</v>
      </c>
      <c r="IE415">
        <v>0</v>
      </c>
      <c r="IF415">
        <v>100</v>
      </c>
      <c r="IG415">
        <v>100</v>
      </c>
      <c r="IH415">
        <v>-1.895</v>
      </c>
      <c r="II415">
        <v>0.0246</v>
      </c>
      <c r="IJ415">
        <v>-0.1559367209035702</v>
      </c>
      <c r="IK415">
        <v>-0.002077099775823331</v>
      </c>
      <c r="IL415">
        <v>4.593143279902166E-07</v>
      </c>
      <c r="IM415">
        <v>-1.865383991892071E-10</v>
      </c>
      <c r="IN415">
        <v>-0.0607165066849496</v>
      </c>
      <c r="IO415">
        <v>-0.01129461987421345</v>
      </c>
      <c r="IP415">
        <v>0.00116580895745559</v>
      </c>
      <c r="IQ415">
        <v>-1.679085872906199E-05</v>
      </c>
      <c r="IR415">
        <v>2</v>
      </c>
      <c r="IS415">
        <v>2290</v>
      </c>
      <c r="IT415">
        <v>0</v>
      </c>
      <c r="IU415">
        <v>32</v>
      </c>
      <c r="IV415">
        <v>17.6</v>
      </c>
      <c r="IW415">
        <v>17.4</v>
      </c>
      <c r="IX415">
        <v>2.14478</v>
      </c>
      <c r="IY415">
        <v>2.19238</v>
      </c>
      <c r="IZ415">
        <v>1.39648</v>
      </c>
      <c r="JA415">
        <v>2.35474</v>
      </c>
      <c r="JB415">
        <v>1.49536</v>
      </c>
      <c r="JC415">
        <v>2.27417</v>
      </c>
      <c r="JD415">
        <v>38.0134</v>
      </c>
      <c r="JE415">
        <v>24.035</v>
      </c>
      <c r="JF415">
        <v>18</v>
      </c>
      <c r="JG415">
        <v>512.324</v>
      </c>
      <c r="JH415">
        <v>426.737</v>
      </c>
      <c r="JI415">
        <v>23.1679</v>
      </c>
      <c r="JJ415">
        <v>27.8477</v>
      </c>
      <c r="JK415">
        <v>30.0001</v>
      </c>
      <c r="JL415">
        <v>27.8583</v>
      </c>
      <c r="JM415">
        <v>27.8016</v>
      </c>
      <c r="JN415">
        <v>42.9626</v>
      </c>
      <c r="JO415">
        <v>46.9143</v>
      </c>
      <c r="JP415">
        <v>0</v>
      </c>
      <c r="JQ415">
        <v>23.1688</v>
      </c>
      <c r="JR415">
        <v>1041.74</v>
      </c>
      <c r="JS415">
        <v>8.99015</v>
      </c>
      <c r="JT415">
        <v>100.422</v>
      </c>
      <c r="JU415">
        <v>100.352</v>
      </c>
    </row>
    <row r="416" spans="1:281">
      <c r="A416">
        <v>400</v>
      </c>
      <c r="B416">
        <v>1651866563.5</v>
      </c>
      <c r="C416">
        <v>2342.900000095367</v>
      </c>
      <c r="D416" t="s">
        <v>1223</v>
      </c>
      <c r="E416" t="s">
        <v>1224</v>
      </c>
      <c r="F416">
        <v>2</v>
      </c>
      <c r="G416" t="s">
        <v>908</v>
      </c>
      <c r="H416" t="s">
        <v>414</v>
      </c>
      <c r="I416">
        <v>1651866562.125</v>
      </c>
      <c r="J416">
        <f>(K416)/1000</f>
        <v>0</v>
      </c>
      <c r="K416">
        <f>IF(CZ416, AN416, AH416)</f>
        <v>0</v>
      </c>
      <c r="L416">
        <f>IF(CZ416, AI416, AG416)</f>
        <v>0</v>
      </c>
      <c r="M416">
        <f>DB416 - IF(AU416&gt;1, L416*CV416*100.0/(AW416*DP416), 0)</f>
        <v>0</v>
      </c>
      <c r="N416">
        <f>((T416-J416/2)*M416-L416)/(T416+J416/2)</f>
        <v>0</v>
      </c>
      <c r="O416">
        <f>N416*(DI416+DJ416)/1000.0</f>
        <v>0</v>
      </c>
      <c r="P416">
        <f>(DB416 - IF(AU416&gt;1, L416*CV416*100.0/(AW416*DP416), 0))*(DI416+DJ416)/1000.0</f>
        <v>0</v>
      </c>
      <c r="Q416">
        <f>2.0/((1/S416-1/R416)+SIGN(S416)*SQRT((1/S416-1/R416)*(1/S416-1/R416) + 4*CW416/((CW416+1)*(CW416+1))*(2*1/S416*1/R416-1/R416*1/R416)))</f>
        <v>0</v>
      </c>
      <c r="R416">
        <f>IF(LEFT(CX416,1)&lt;&gt;"0",IF(LEFT(CX416,1)="1",3.0,CY416),$D$5+$E$5*(DP416*DI416/($K$5*1000))+$F$5*(DP416*DI416/($K$5*1000))*MAX(MIN(CV416,$J$5),$I$5)*MAX(MIN(CV416,$J$5),$I$5)+$G$5*MAX(MIN(CV416,$J$5),$I$5)*(DP416*DI416/($K$5*1000))+$H$5*(DP416*DI416/($K$5*1000))*(DP416*DI416/($K$5*1000)))</f>
        <v>0</v>
      </c>
      <c r="S416">
        <f>J416*(1000-(1000*0.61365*exp(17.502*W416/(240.97+W416))/(DI416+DJ416)+DD416)/2)/(1000*0.61365*exp(17.502*W416/(240.97+W416))/(DI416+DJ416)-DD416)</f>
        <v>0</v>
      </c>
      <c r="T416">
        <f>1/((CW416+1)/(Q416/1.6)+1/(R416/1.37)) + CW416/((CW416+1)/(Q416/1.6) + CW416/(R416/1.37))</f>
        <v>0</v>
      </c>
      <c r="U416">
        <f>(CR416*CU416)</f>
        <v>0</v>
      </c>
      <c r="V416">
        <f>(DK416+(U416+2*0.95*5.67E-8*(((DK416+$B$7)+273)^4-(DK416+273)^4)-44100*J416)/(1.84*29.3*R416+8*0.95*5.67E-8*(DK416+273)^3))</f>
        <v>0</v>
      </c>
      <c r="W416">
        <f>($C$7*DL416+$D$7*DM416+$E$7*V416)</f>
        <v>0</v>
      </c>
      <c r="X416">
        <f>0.61365*exp(17.502*W416/(240.97+W416))</f>
        <v>0</v>
      </c>
      <c r="Y416">
        <f>(Z416/AA416*100)</f>
        <v>0</v>
      </c>
      <c r="Z416">
        <f>DD416*(DI416+DJ416)/1000</f>
        <v>0</v>
      </c>
      <c r="AA416">
        <f>0.61365*exp(17.502*DK416/(240.97+DK416))</f>
        <v>0</v>
      </c>
      <c r="AB416">
        <f>(X416-DD416*(DI416+DJ416)/1000)</f>
        <v>0</v>
      </c>
      <c r="AC416">
        <f>(-J416*44100)</f>
        <v>0</v>
      </c>
      <c r="AD416">
        <f>2*29.3*R416*0.92*(DK416-W416)</f>
        <v>0</v>
      </c>
      <c r="AE416">
        <f>2*0.95*5.67E-8*(((DK416+$B$7)+273)^4-(W416+273)^4)</f>
        <v>0</v>
      </c>
      <c r="AF416">
        <f>U416+AE416+AC416+AD416</f>
        <v>0</v>
      </c>
      <c r="AG416">
        <f>DH416*AU416*(DC416-DB416*(1000-AU416*DE416)/(1000-AU416*DD416))/(100*CV416)</f>
        <v>0</v>
      </c>
      <c r="AH416">
        <f>1000*DH416*AU416*(DD416-DE416)/(100*CV416*(1000-AU416*DD416))</f>
        <v>0</v>
      </c>
      <c r="AI416">
        <f>(AJ416 - AK416 - DI416*1E3/(8.314*(DK416+273.15)) * AM416/DH416 * AL416) * DH416/(100*CV416) * (1000 - DE416)/1000</f>
        <v>0</v>
      </c>
      <c r="AJ416">
        <v>1031.073897337722</v>
      </c>
      <c r="AK416">
        <v>983.8395575757577</v>
      </c>
      <c r="AL416">
        <v>3.412657614244383</v>
      </c>
      <c r="AM416">
        <v>66.38195617057868</v>
      </c>
      <c r="AN416">
        <f>(AP416 - AO416 + DI416*1E3/(8.314*(DK416+273.15)) * AR416/DH416 * AQ416) * DH416/(100*CV416) * 1000/(1000 - AP416)</f>
        <v>0</v>
      </c>
      <c r="AO416">
        <v>8.963113900921943</v>
      </c>
      <c r="AP416">
        <v>18.62723235294118</v>
      </c>
      <c r="AQ416">
        <v>4.586877410870756E-05</v>
      </c>
      <c r="AR416">
        <v>80.47178418790507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MAX(0,($B$13+$C$13*DP416)/(1+$D$13*DP416)*DI416/(DK416+273)*$E$13)</f>
        <v>0</v>
      </c>
      <c r="AX416" t="s">
        <v>417</v>
      </c>
      <c r="AY416" t="s">
        <v>417</v>
      </c>
      <c r="AZ416">
        <v>0</v>
      </c>
      <c r="BA416">
        <v>0</v>
      </c>
      <c r="BB416">
        <f>1-AZ416/BA416</f>
        <v>0</v>
      </c>
      <c r="BC416">
        <v>0</v>
      </c>
      <c r="BD416" t="s">
        <v>417</v>
      </c>
      <c r="BE416" t="s">
        <v>417</v>
      </c>
      <c r="BF416">
        <v>0</v>
      </c>
      <c r="BG416">
        <v>0</v>
      </c>
      <c r="BH416">
        <f>1-BF416/BG416</f>
        <v>0</v>
      </c>
      <c r="BI416">
        <v>0.5</v>
      </c>
      <c r="BJ416">
        <f>CS416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417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BZ416">
        <v>1249</v>
      </c>
      <c r="CA416">
        <v>300</v>
      </c>
      <c r="CB416">
        <v>300</v>
      </c>
      <c r="CC416">
        <v>300</v>
      </c>
      <c r="CD416">
        <v>10442.4</v>
      </c>
      <c r="CE416">
        <v>1239.69</v>
      </c>
      <c r="CF416">
        <v>-0.00735276</v>
      </c>
      <c r="CG416">
        <v>0.07000000000000001</v>
      </c>
      <c r="CH416" t="s">
        <v>417</v>
      </c>
      <c r="CI416" t="s">
        <v>417</v>
      </c>
      <c r="CJ416" t="s">
        <v>417</v>
      </c>
      <c r="CK416" t="s">
        <v>417</v>
      </c>
      <c r="CL416" t="s">
        <v>417</v>
      </c>
      <c r="CM416" t="s">
        <v>417</v>
      </c>
      <c r="CN416" t="s">
        <v>417</v>
      </c>
      <c r="CO416" t="s">
        <v>417</v>
      </c>
      <c r="CP416" t="s">
        <v>417</v>
      </c>
      <c r="CQ416" t="s">
        <v>417</v>
      </c>
      <c r="CR416">
        <f>$B$11*DQ416+$C$11*DR416+$F$11*EC416*(1-EF416)</f>
        <v>0</v>
      </c>
      <c r="CS416">
        <f>CR416*CT416</f>
        <v>0</v>
      </c>
      <c r="CT416">
        <f>($B$11*$D$9+$C$11*$D$9+$F$11*((EP416+EH416)/MAX(EP416+EH416+EQ416, 0.1)*$I$9+EQ416/MAX(EP416+EH416+EQ416, 0.1)*$J$9))/($B$11+$C$11+$F$11)</f>
        <v>0</v>
      </c>
      <c r="CU416">
        <f>($B$11*$K$9+$C$11*$K$9+$F$11*((EP416+EH416)/MAX(EP416+EH416+EQ416, 0.1)*$P$9+EQ416/MAX(EP416+EH416+EQ416, 0.1)*$Q$9))/($B$11+$C$11+$F$11)</f>
        <v>0</v>
      </c>
      <c r="CV416">
        <v>6</v>
      </c>
      <c r="CW416">
        <v>0.5</v>
      </c>
      <c r="CX416" t="s">
        <v>418</v>
      </c>
      <c r="CY416">
        <v>2</v>
      </c>
      <c r="CZ416" t="b">
        <v>1</v>
      </c>
      <c r="DA416">
        <v>1651866562.125</v>
      </c>
      <c r="DB416">
        <v>962.586</v>
      </c>
      <c r="DC416">
        <v>1026.49</v>
      </c>
      <c r="DD416">
        <v>18.630625</v>
      </c>
      <c r="DE416">
        <v>8.9611</v>
      </c>
      <c r="DF416">
        <v>964.4849999999999</v>
      </c>
      <c r="DG416">
        <v>18.606075</v>
      </c>
      <c r="DH416">
        <v>500.06975</v>
      </c>
      <c r="DI416">
        <v>89.91082499999999</v>
      </c>
      <c r="DJ416">
        <v>0.1000342</v>
      </c>
      <c r="DK416">
        <v>25.936025</v>
      </c>
      <c r="DL416">
        <v>24.989775</v>
      </c>
      <c r="DM416">
        <v>999.9</v>
      </c>
      <c r="DN416">
        <v>0</v>
      </c>
      <c r="DO416">
        <v>0</v>
      </c>
      <c r="DP416">
        <v>9984.689999999999</v>
      </c>
      <c r="DQ416">
        <v>0</v>
      </c>
      <c r="DR416">
        <v>3.2045325</v>
      </c>
      <c r="DS416">
        <v>-63.9045</v>
      </c>
      <c r="DT416">
        <v>980.8597500000001</v>
      </c>
      <c r="DU416">
        <v>1035.7725</v>
      </c>
      <c r="DV416">
        <v>9.66952</v>
      </c>
      <c r="DW416">
        <v>1026.49</v>
      </c>
      <c r="DX416">
        <v>8.9611</v>
      </c>
      <c r="DY416">
        <v>1.675095</v>
      </c>
      <c r="DZ416">
        <v>0.8056999999999999</v>
      </c>
      <c r="EA416">
        <v>14.66755</v>
      </c>
      <c r="EB416">
        <v>3.808125</v>
      </c>
      <c r="EC416">
        <v>1499.96</v>
      </c>
      <c r="ED416">
        <v>0.97299325</v>
      </c>
      <c r="EE416">
        <v>0.027006675</v>
      </c>
      <c r="EF416">
        <v>0</v>
      </c>
      <c r="EG416">
        <v>911.56425</v>
      </c>
      <c r="EH416">
        <v>5.00097</v>
      </c>
      <c r="EI416">
        <v>13562.35</v>
      </c>
      <c r="EJ416">
        <v>12491.2</v>
      </c>
      <c r="EK416">
        <v>37.937</v>
      </c>
      <c r="EL416">
        <v>39.187</v>
      </c>
      <c r="EM416">
        <v>38.312</v>
      </c>
      <c r="EN416">
        <v>38.812</v>
      </c>
      <c r="EO416">
        <v>38.7655</v>
      </c>
      <c r="EP416">
        <v>1454.5875</v>
      </c>
      <c r="EQ416">
        <v>40.37</v>
      </c>
      <c r="ER416">
        <v>0</v>
      </c>
      <c r="ES416">
        <v>1080.799999952316</v>
      </c>
      <c r="ET416">
        <v>0</v>
      </c>
      <c r="EU416">
        <v>912.6597307692307</v>
      </c>
      <c r="EV416">
        <v>-10.06854700377446</v>
      </c>
      <c r="EW416">
        <v>-163.5384615378544</v>
      </c>
      <c r="EX416">
        <v>13579.85769230769</v>
      </c>
      <c r="EY416">
        <v>15</v>
      </c>
      <c r="EZ416">
        <v>1651865518.1</v>
      </c>
      <c r="FA416" t="s">
        <v>910</v>
      </c>
      <c r="FB416">
        <v>1651865507.1</v>
      </c>
      <c r="FC416">
        <v>1651865518.1</v>
      </c>
      <c r="FD416">
        <v>8</v>
      </c>
      <c r="FE416">
        <v>0.06</v>
      </c>
      <c r="FF416">
        <v>0</v>
      </c>
      <c r="FG416">
        <v>-0.927</v>
      </c>
      <c r="FH416">
        <v>-0.062</v>
      </c>
      <c r="FI416">
        <v>400</v>
      </c>
      <c r="FJ416">
        <v>11</v>
      </c>
      <c r="FK416">
        <v>0.11</v>
      </c>
      <c r="FL416">
        <v>0.01</v>
      </c>
      <c r="FM416">
        <v>-63.51092249999999</v>
      </c>
      <c r="FN416">
        <v>-3.808389118198864</v>
      </c>
      <c r="FO416">
        <v>0.3834706582565996</v>
      </c>
      <c r="FP416">
        <v>-1</v>
      </c>
      <c r="FQ416">
        <v>9.686551249999999</v>
      </c>
      <c r="FR416">
        <v>-0.1057142589118266</v>
      </c>
      <c r="FS416">
        <v>0.01035448168367202</v>
      </c>
      <c r="FT416">
        <v>-1</v>
      </c>
      <c r="FU416">
        <v>0</v>
      </c>
      <c r="FV416">
        <v>0</v>
      </c>
      <c r="FW416">
        <v>0</v>
      </c>
      <c r="FX416">
        <v>-1</v>
      </c>
      <c r="FY416">
        <v>0</v>
      </c>
      <c r="FZ416">
        <v>0</v>
      </c>
      <c r="GA416" t="s">
        <v>420</v>
      </c>
      <c r="GB416">
        <v>2.98146</v>
      </c>
      <c r="GC416">
        <v>2.70616</v>
      </c>
      <c r="GD416">
        <v>0.167642</v>
      </c>
      <c r="GE416">
        <v>0.172606</v>
      </c>
      <c r="GF416">
        <v>0.0887353</v>
      </c>
      <c r="GG416">
        <v>0.0509566</v>
      </c>
      <c r="GH416">
        <v>26303.4</v>
      </c>
      <c r="GI416">
        <v>26202.5</v>
      </c>
      <c r="GJ416">
        <v>29378.7</v>
      </c>
      <c r="GK416">
        <v>29293</v>
      </c>
      <c r="GL416">
        <v>35448.2</v>
      </c>
      <c r="GM416">
        <v>37034.8</v>
      </c>
      <c r="GN416">
        <v>41350.9</v>
      </c>
      <c r="GO416">
        <v>41813.2</v>
      </c>
      <c r="GP416">
        <v>1.96758</v>
      </c>
      <c r="GQ416">
        <v>1.85613</v>
      </c>
      <c r="GR416">
        <v>-0.00657514</v>
      </c>
      <c r="GS416">
        <v>0</v>
      </c>
      <c r="GT416">
        <v>25.0995</v>
      </c>
      <c r="GU416">
        <v>999.9</v>
      </c>
      <c r="GV416">
        <v>29.5</v>
      </c>
      <c r="GW416">
        <v>34.2</v>
      </c>
      <c r="GX416">
        <v>17.728</v>
      </c>
      <c r="GY416">
        <v>62.6676</v>
      </c>
      <c r="GZ416">
        <v>35.3085</v>
      </c>
      <c r="HA416">
        <v>1</v>
      </c>
      <c r="HB416">
        <v>0.0410518</v>
      </c>
      <c r="HC416">
        <v>1.48732</v>
      </c>
      <c r="HD416">
        <v>20.3279</v>
      </c>
      <c r="HE416">
        <v>5.21714</v>
      </c>
      <c r="HF416">
        <v>12.0099</v>
      </c>
      <c r="HG416">
        <v>4.9892</v>
      </c>
      <c r="HH416">
        <v>3.28865</v>
      </c>
      <c r="HI416">
        <v>1035.6</v>
      </c>
      <c r="HJ416">
        <v>9763.200000000001</v>
      </c>
      <c r="HK416">
        <v>5139.4</v>
      </c>
      <c r="HL416">
        <v>25.4</v>
      </c>
      <c r="HM416">
        <v>1.86744</v>
      </c>
      <c r="HN416">
        <v>1.86645</v>
      </c>
      <c r="HO416">
        <v>1.866</v>
      </c>
      <c r="HP416">
        <v>1.86586</v>
      </c>
      <c r="HQ416">
        <v>1.86768</v>
      </c>
      <c r="HR416">
        <v>1.87018</v>
      </c>
      <c r="HS416">
        <v>1.8689</v>
      </c>
      <c r="HT416">
        <v>1.87026</v>
      </c>
      <c r="HU416">
        <v>0</v>
      </c>
      <c r="HV416">
        <v>0</v>
      </c>
      <c r="HW416">
        <v>0</v>
      </c>
      <c r="HX416">
        <v>0</v>
      </c>
      <c r="HY416" t="s">
        <v>421</v>
      </c>
      <c r="HZ416" t="s">
        <v>422</v>
      </c>
      <c r="IA416" t="s">
        <v>423</v>
      </c>
      <c r="IB416" t="s">
        <v>423</v>
      </c>
      <c r="IC416" t="s">
        <v>423</v>
      </c>
      <c r="ID416" t="s">
        <v>423</v>
      </c>
      <c r="IE416">
        <v>0</v>
      </c>
      <c r="IF416">
        <v>100</v>
      </c>
      <c r="IG416">
        <v>100</v>
      </c>
      <c r="IH416">
        <v>-1.907</v>
      </c>
      <c r="II416">
        <v>0.0245</v>
      </c>
      <c r="IJ416">
        <v>-0.1559367209035702</v>
      </c>
      <c r="IK416">
        <v>-0.002077099775823331</v>
      </c>
      <c r="IL416">
        <v>4.593143279902166E-07</v>
      </c>
      <c r="IM416">
        <v>-1.865383991892071E-10</v>
      </c>
      <c r="IN416">
        <v>-0.0607165066849496</v>
      </c>
      <c r="IO416">
        <v>-0.01129461987421345</v>
      </c>
      <c r="IP416">
        <v>0.00116580895745559</v>
      </c>
      <c r="IQ416">
        <v>-1.679085872906199E-05</v>
      </c>
      <c r="IR416">
        <v>2</v>
      </c>
      <c r="IS416">
        <v>2290</v>
      </c>
      <c r="IT416">
        <v>0</v>
      </c>
      <c r="IU416">
        <v>32</v>
      </c>
      <c r="IV416">
        <v>17.6</v>
      </c>
      <c r="IW416">
        <v>17.4</v>
      </c>
      <c r="IX416">
        <v>2.15576</v>
      </c>
      <c r="IY416">
        <v>2.1875</v>
      </c>
      <c r="IZ416">
        <v>1.39648</v>
      </c>
      <c r="JA416">
        <v>2.35474</v>
      </c>
      <c r="JB416">
        <v>1.49536</v>
      </c>
      <c r="JC416">
        <v>2.32056</v>
      </c>
      <c r="JD416">
        <v>38.0134</v>
      </c>
      <c r="JE416">
        <v>24.0437</v>
      </c>
      <c r="JF416">
        <v>18</v>
      </c>
      <c r="JG416">
        <v>512.333</v>
      </c>
      <c r="JH416">
        <v>426.833</v>
      </c>
      <c r="JI416">
        <v>23.1685</v>
      </c>
      <c r="JJ416">
        <v>27.8468</v>
      </c>
      <c r="JK416">
        <v>30.0001</v>
      </c>
      <c r="JL416">
        <v>27.8575</v>
      </c>
      <c r="JM416">
        <v>27.8004</v>
      </c>
      <c r="JN416">
        <v>43.1894</v>
      </c>
      <c r="JO416">
        <v>46.9143</v>
      </c>
      <c r="JP416">
        <v>0</v>
      </c>
      <c r="JQ416">
        <v>23.1688</v>
      </c>
      <c r="JR416">
        <v>1048.42</v>
      </c>
      <c r="JS416">
        <v>8.99216</v>
      </c>
      <c r="JT416">
        <v>100.421</v>
      </c>
      <c r="JU416">
        <v>100.352</v>
      </c>
    </row>
    <row r="417" spans="1:281">
      <c r="A417">
        <v>401</v>
      </c>
      <c r="B417">
        <v>1651866565.5</v>
      </c>
      <c r="C417">
        <v>2344.900000095367</v>
      </c>
      <c r="D417" t="s">
        <v>1225</v>
      </c>
      <c r="E417" t="s">
        <v>1226</v>
      </c>
      <c r="F417">
        <v>2</v>
      </c>
      <c r="G417" t="s">
        <v>908</v>
      </c>
      <c r="H417" t="s">
        <v>414</v>
      </c>
      <c r="I417">
        <v>1651866564.5</v>
      </c>
      <c r="J417">
        <f>(K417)/1000</f>
        <v>0</v>
      </c>
      <c r="K417">
        <f>IF(CZ417, AN417, AH417)</f>
        <v>0</v>
      </c>
      <c r="L417">
        <f>IF(CZ417, AI417, AG417)</f>
        <v>0</v>
      </c>
      <c r="M417">
        <f>DB417 - IF(AU417&gt;1, L417*CV417*100.0/(AW417*DP417), 0)</f>
        <v>0</v>
      </c>
      <c r="N417">
        <f>((T417-J417/2)*M417-L417)/(T417+J417/2)</f>
        <v>0</v>
      </c>
      <c r="O417">
        <f>N417*(DI417+DJ417)/1000.0</f>
        <v>0</v>
      </c>
      <c r="P417">
        <f>(DB417 - IF(AU417&gt;1, L417*CV417*100.0/(AW417*DP417), 0))*(DI417+DJ417)/1000.0</f>
        <v>0</v>
      </c>
      <c r="Q417">
        <f>2.0/((1/S417-1/R417)+SIGN(S417)*SQRT((1/S417-1/R417)*(1/S417-1/R417) + 4*CW417/((CW417+1)*(CW417+1))*(2*1/S417*1/R417-1/R417*1/R417)))</f>
        <v>0</v>
      </c>
      <c r="R417">
        <f>IF(LEFT(CX417,1)&lt;&gt;"0",IF(LEFT(CX417,1)="1",3.0,CY417),$D$5+$E$5*(DP417*DI417/($K$5*1000))+$F$5*(DP417*DI417/($K$5*1000))*MAX(MIN(CV417,$J$5),$I$5)*MAX(MIN(CV417,$J$5),$I$5)+$G$5*MAX(MIN(CV417,$J$5),$I$5)*(DP417*DI417/($K$5*1000))+$H$5*(DP417*DI417/($K$5*1000))*(DP417*DI417/($K$5*1000)))</f>
        <v>0</v>
      </c>
      <c r="S417">
        <f>J417*(1000-(1000*0.61365*exp(17.502*W417/(240.97+W417))/(DI417+DJ417)+DD417)/2)/(1000*0.61365*exp(17.502*W417/(240.97+W417))/(DI417+DJ417)-DD417)</f>
        <v>0</v>
      </c>
      <c r="T417">
        <f>1/((CW417+1)/(Q417/1.6)+1/(R417/1.37)) + CW417/((CW417+1)/(Q417/1.6) + CW417/(R417/1.37))</f>
        <v>0</v>
      </c>
      <c r="U417">
        <f>(CR417*CU417)</f>
        <v>0</v>
      </c>
      <c r="V417">
        <f>(DK417+(U417+2*0.95*5.67E-8*(((DK417+$B$7)+273)^4-(DK417+273)^4)-44100*J417)/(1.84*29.3*R417+8*0.95*5.67E-8*(DK417+273)^3))</f>
        <v>0</v>
      </c>
      <c r="W417">
        <f>($C$7*DL417+$D$7*DM417+$E$7*V417)</f>
        <v>0</v>
      </c>
      <c r="X417">
        <f>0.61365*exp(17.502*W417/(240.97+W417))</f>
        <v>0</v>
      </c>
      <c r="Y417">
        <f>(Z417/AA417*100)</f>
        <v>0</v>
      </c>
      <c r="Z417">
        <f>DD417*(DI417+DJ417)/1000</f>
        <v>0</v>
      </c>
      <c r="AA417">
        <f>0.61365*exp(17.502*DK417/(240.97+DK417))</f>
        <v>0</v>
      </c>
      <c r="AB417">
        <f>(X417-DD417*(DI417+DJ417)/1000)</f>
        <v>0</v>
      </c>
      <c r="AC417">
        <f>(-J417*44100)</f>
        <v>0</v>
      </c>
      <c r="AD417">
        <f>2*29.3*R417*0.92*(DK417-W417)</f>
        <v>0</v>
      </c>
      <c r="AE417">
        <f>2*0.95*5.67E-8*(((DK417+$B$7)+273)^4-(W417+273)^4)</f>
        <v>0</v>
      </c>
      <c r="AF417">
        <f>U417+AE417+AC417+AD417</f>
        <v>0</v>
      </c>
      <c r="AG417">
        <f>DH417*AU417*(DC417-DB417*(1000-AU417*DE417)/(1000-AU417*DD417))/(100*CV417)</f>
        <v>0</v>
      </c>
      <c r="AH417">
        <f>1000*DH417*AU417*(DD417-DE417)/(100*CV417*(1000-AU417*DD417))</f>
        <v>0</v>
      </c>
      <c r="AI417">
        <f>(AJ417 - AK417 - DI417*1E3/(8.314*(DK417+273.15)) * AM417/DH417 * AL417) * DH417/(100*CV417) * (1000 - DE417)/1000</f>
        <v>0</v>
      </c>
      <c r="AJ417">
        <v>1037.796543236032</v>
      </c>
      <c r="AK417">
        <v>990.639515151515</v>
      </c>
      <c r="AL417">
        <v>3.401653279197953</v>
      </c>
      <c r="AM417">
        <v>66.38195617057868</v>
      </c>
      <c r="AN417">
        <f>(AP417 - AO417 + DI417*1E3/(8.314*(DK417+273.15)) * AR417/DH417 * AQ417) * DH417/(100*CV417) * 1000/(1000 - AP417)</f>
        <v>0</v>
      </c>
      <c r="AO417">
        <v>8.961817072359148</v>
      </c>
      <c r="AP417">
        <v>18.62257794117647</v>
      </c>
      <c r="AQ417">
        <v>-0.0002125948050827804</v>
      </c>
      <c r="AR417">
        <v>80.47178418790507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MAX(0,($B$13+$C$13*DP417)/(1+$D$13*DP417)*DI417/(DK417+273)*$E$13)</f>
        <v>0</v>
      </c>
      <c r="AX417" t="s">
        <v>417</v>
      </c>
      <c r="AY417" t="s">
        <v>417</v>
      </c>
      <c r="AZ417">
        <v>0</v>
      </c>
      <c r="BA417">
        <v>0</v>
      </c>
      <c r="BB417">
        <f>1-AZ417/BA417</f>
        <v>0</v>
      </c>
      <c r="BC417">
        <v>0</v>
      </c>
      <c r="BD417" t="s">
        <v>417</v>
      </c>
      <c r="BE417" t="s">
        <v>417</v>
      </c>
      <c r="BF417">
        <v>0</v>
      </c>
      <c r="BG417">
        <v>0</v>
      </c>
      <c r="BH417">
        <f>1-BF417/BG417</f>
        <v>0</v>
      </c>
      <c r="BI417">
        <v>0.5</v>
      </c>
      <c r="BJ417">
        <f>CS417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417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BZ417">
        <v>1249</v>
      </c>
      <c r="CA417">
        <v>300</v>
      </c>
      <c r="CB417">
        <v>300</v>
      </c>
      <c r="CC417">
        <v>300</v>
      </c>
      <c r="CD417">
        <v>10442.4</v>
      </c>
      <c r="CE417">
        <v>1239.69</v>
      </c>
      <c r="CF417">
        <v>-0.00735276</v>
      </c>
      <c r="CG417">
        <v>0.07000000000000001</v>
      </c>
      <c r="CH417" t="s">
        <v>417</v>
      </c>
      <c r="CI417" t="s">
        <v>417</v>
      </c>
      <c r="CJ417" t="s">
        <v>417</v>
      </c>
      <c r="CK417" t="s">
        <v>417</v>
      </c>
      <c r="CL417" t="s">
        <v>417</v>
      </c>
      <c r="CM417" t="s">
        <v>417</v>
      </c>
      <c r="CN417" t="s">
        <v>417</v>
      </c>
      <c r="CO417" t="s">
        <v>417</v>
      </c>
      <c r="CP417" t="s">
        <v>417</v>
      </c>
      <c r="CQ417" t="s">
        <v>417</v>
      </c>
      <c r="CR417">
        <f>$B$11*DQ417+$C$11*DR417+$F$11*EC417*(1-EF417)</f>
        <v>0</v>
      </c>
      <c r="CS417">
        <f>CR417*CT417</f>
        <v>0</v>
      </c>
      <c r="CT417">
        <f>($B$11*$D$9+$C$11*$D$9+$F$11*((EP417+EH417)/MAX(EP417+EH417+EQ417, 0.1)*$I$9+EQ417/MAX(EP417+EH417+EQ417, 0.1)*$J$9))/($B$11+$C$11+$F$11)</f>
        <v>0</v>
      </c>
      <c r="CU417">
        <f>($B$11*$K$9+$C$11*$K$9+$F$11*((EP417+EH417)/MAX(EP417+EH417+EQ417, 0.1)*$P$9+EQ417/MAX(EP417+EH417+EQ417, 0.1)*$Q$9))/($B$11+$C$11+$F$11)</f>
        <v>0</v>
      </c>
      <c r="CV417">
        <v>6</v>
      </c>
      <c r="CW417">
        <v>0.5</v>
      </c>
      <c r="CX417" t="s">
        <v>418</v>
      </c>
      <c r="CY417">
        <v>2</v>
      </c>
      <c r="CZ417" t="b">
        <v>1</v>
      </c>
      <c r="DA417">
        <v>1651866564.5</v>
      </c>
      <c r="DB417">
        <v>970.5213333333332</v>
      </c>
      <c r="DC417">
        <v>1034.5</v>
      </c>
      <c r="DD417">
        <v>18.6248</v>
      </c>
      <c r="DE417">
        <v>8.960226666666665</v>
      </c>
      <c r="DF417">
        <v>972.4343333333333</v>
      </c>
      <c r="DG417">
        <v>18.6003</v>
      </c>
      <c r="DH417">
        <v>500.0166666666667</v>
      </c>
      <c r="DI417">
        <v>89.9119</v>
      </c>
      <c r="DJ417">
        <v>0.0999654</v>
      </c>
      <c r="DK417">
        <v>25.93236666666667</v>
      </c>
      <c r="DL417">
        <v>24.99563333333333</v>
      </c>
      <c r="DM417">
        <v>999.9</v>
      </c>
      <c r="DN417">
        <v>0</v>
      </c>
      <c r="DO417">
        <v>0</v>
      </c>
      <c r="DP417">
        <v>10003.78333333333</v>
      </c>
      <c r="DQ417">
        <v>0</v>
      </c>
      <c r="DR417">
        <v>3.20383</v>
      </c>
      <c r="DS417">
        <v>-63.97776666666667</v>
      </c>
      <c r="DT417">
        <v>988.9403333333333</v>
      </c>
      <c r="DU417">
        <v>1043.853333333333</v>
      </c>
      <c r="DV417">
        <v>9.664543333333334</v>
      </c>
      <c r="DW417">
        <v>1034.5</v>
      </c>
      <c r="DX417">
        <v>8.960226666666665</v>
      </c>
      <c r="DY417">
        <v>1.674586666666667</v>
      </c>
      <c r="DZ417">
        <v>0.8056313333333334</v>
      </c>
      <c r="EA417">
        <v>14.66286666666667</v>
      </c>
      <c r="EB417">
        <v>3.80691</v>
      </c>
      <c r="EC417">
        <v>1499.993333333333</v>
      </c>
      <c r="ED417">
        <v>0.9729936666666666</v>
      </c>
      <c r="EE417">
        <v>0.02700623333333333</v>
      </c>
      <c r="EF417">
        <v>0</v>
      </c>
      <c r="EG417">
        <v>911.1080000000001</v>
      </c>
      <c r="EH417">
        <v>5.00097</v>
      </c>
      <c r="EI417">
        <v>13556.33333333333</v>
      </c>
      <c r="EJ417">
        <v>12491.5</v>
      </c>
      <c r="EK417">
        <v>37.937</v>
      </c>
      <c r="EL417">
        <v>39.187</v>
      </c>
      <c r="EM417">
        <v>38.312</v>
      </c>
      <c r="EN417">
        <v>38.812</v>
      </c>
      <c r="EO417">
        <v>38.75</v>
      </c>
      <c r="EP417">
        <v>1454.613333333333</v>
      </c>
      <c r="EQ417">
        <v>40.37</v>
      </c>
      <c r="ER417">
        <v>0</v>
      </c>
      <c r="ES417">
        <v>1083.200000047684</v>
      </c>
      <c r="ET417">
        <v>0</v>
      </c>
      <c r="EU417">
        <v>912.2663846153846</v>
      </c>
      <c r="EV417">
        <v>-10.10789742030204</v>
      </c>
      <c r="EW417">
        <v>-160.9743587108397</v>
      </c>
      <c r="EX417">
        <v>13573.41923076923</v>
      </c>
      <c r="EY417">
        <v>15</v>
      </c>
      <c r="EZ417">
        <v>1651865518.1</v>
      </c>
      <c r="FA417" t="s">
        <v>910</v>
      </c>
      <c r="FB417">
        <v>1651865507.1</v>
      </c>
      <c r="FC417">
        <v>1651865518.1</v>
      </c>
      <c r="FD417">
        <v>8</v>
      </c>
      <c r="FE417">
        <v>0.06</v>
      </c>
      <c r="FF417">
        <v>0</v>
      </c>
      <c r="FG417">
        <v>-0.927</v>
      </c>
      <c r="FH417">
        <v>-0.062</v>
      </c>
      <c r="FI417">
        <v>400</v>
      </c>
      <c r="FJ417">
        <v>11</v>
      </c>
      <c r="FK417">
        <v>0.11</v>
      </c>
      <c r="FL417">
        <v>0.01</v>
      </c>
      <c r="FM417">
        <v>-63.67629750000001</v>
      </c>
      <c r="FN417">
        <v>-2.652933208255073</v>
      </c>
      <c r="FO417">
        <v>0.2737038750981618</v>
      </c>
      <c r="FP417">
        <v>-1</v>
      </c>
      <c r="FQ417">
        <v>9.681073999999999</v>
      </c>
      <c r="FR417">
        <v>-0.1051654784240306</v>
      </c>
      <c r="FS417">
        <v>0.01030275298160638</v>
      </c>
      <c r="FT417">
        <v>-1</v>
      </c>
      <c r="FU417">
        <v>0</v>
      </c>
      <c r="FV417">
        <v>0</v>
      </c>
      <c r="FW417">
        <v>0</v>
      </c>
      <c r="FX417">
        <v>-1</v>
      </c>
      <c r="FY417">
        <v>0</v>
      </c>
      <c r="FZ417">
        <v>0</v>
      </c>
      <c r="GA417" t="s">
        <v>420</v>
      </c>
      <c r="GB417">
        <v>2.98149</v>
      </c>
      <c r="GC417">
        <v>2.70616</v>
      </c>
      <c r="GD417">
        <v>0.168389</v>
      </c>
      <c r="GE417">
        <v>0.173342</v>
      </c>
      <c r="GF417">
        <v>0.0887261</v>
      </c>
      <c r="GG417">
        <v>0.0509543</v>
      </c>
      <c r="GH417">
        <v>26279.9</v>
      </c>
      <c r="GI417">
        <v>26179.3</v>
      </c>
      <c r="GJ417">
        <v>29378.7</v>
      </c>
      <c r="GK417">
        <v>29293.1</v>
      </c>
      <c r="GL417">
        <v>35448.7</v>
      </c>
      <c r="GM417">
        <v>37034.8</v>
      </c>
      <c r="GN417">
        <v>41351.1</v>
      </c>
      <c r="GO417">
        <v>41813.1</v>
      </c>
      <c r="GP417">
        <v>1.96763</v>
      </c>
      <c r="GQ417">
        <v>1.85632</v>
      </c>
      <c r="GR417">
        <v>-0.00637025</v>
      </c>
      <c r="GS417">
        <v>0</v>
      </c>
      <c r="GT417">
        <v>25.0995</v>
      </c>
      <c r="GU417">
        <v>999.9</v>
      </c>
      <c r="GV417">
        <v>29.5</v>
      </c>
      <c r="GW417">
        <v>34.2</v>
      </c>
      <c r="GX417">
        <v>17.7275</v>
      </c>
      <c r="GY417">
        <v>62.2876</v>
      </c>
      <c r="GZ417">
        <v>35.5329</v>
      </c>
      <c r="HA417">
        <v>1</v>
      </c>
      <c r="HB417">
        <v>0.0410747</v>
      </c>
      <c r="HC417">
        <v>1.48565</v>
      </c>
      <c r="HD417">
        <v>20.328</v>
      </c>
      <c r="HE417">
        <v>5.21714</v>
      </c>
      <c r="HF417">
        <v>12.0099</v>
      </c>
      <c r="HG417">
        <v>4.9891</v>
      </c>
      <c r="HH417">
        <v>3.28865</v>
      </c>
      <c r="HI417">
        <v>1035.6</v>
      </c>
      <c r="HJ417">
        <v>9763.200000000001</v>
      </c>
      <c r="HK417">
        <v>5139.4</v>
      </c>
      <c r="HL417">
        <v>25.4</v>
      </c>
      <c r="HM417">
        <v>1.86744</v>
      </c>
      <c r="HN417">
        <v>1.86646</v>
      </c>
      <c r="HO417">
        <v>1.86599</v>
      </c>
      <c r="HP417">
        <v>1.86585</v>
      </c>
      <c r="HQ417">
        <v>1.86768</v>
      </c>
      <c r="HR417">
        <v>1.87015</v>
      </c>
      <c r="HS417">
        <v>1.8689</v>
      </c>
      <c r="HT417">
        <v>1.87024</v>
      </c>
      <c r="HU417">
        <v>0</v>
      </c>
      <c r="HV417">
        <v>0</v>
      </c>
      <c r="HW417">
        <v>0</v>
      </c>
      <c r="HX417">
        <v>0</v>
      </c>
      <c r="HY417" t="s">
        <v>421</v>
      </c>
      <c r="HZ417" t="s">
        <v>422</v>
      </c>
      <c r="IA417" t="s">
        <v>423</v>
      </c>
      <c r="IB417" t="s">
        <v>423</v>
      </c>
      <c r="IC417" t="s">
        <v>423</v>
      </c>
      <c r="ID417" t="s">
        <v>423</v>
      </c>
      <c r="IE417">
        <v>0</v>
      </c>
      <c r="IF417">
        <v>100</v>
      </c>
      <c r="IG417">
        <v>100</v>
      </c>
      <c r="IH417">
        <v>-1.919</v>
      </c>
      <c r="II417">
        <v>0.0245</v>
      </c>
      <c r="IJ417">
        <v>-0.1559367209035702</v>
      </c>
      <c r="IK417">
        <v>-0.002077099775823331</v>
      </c>
      <c r="IL417">
        <v>4.593143279902166E-07</v>
      </c>
      <c r="IM417">
        <v>-1.865383991892071E-10</v>
      </c>
      <c r="IN417">
        <v>-0.0607165066849496</v>
      </c>
      <c r="IO417">
        <v>-0.01129461987421345</v>
      </c>
      <c r="IP417">
        <v>0.00116580895745559</v>
      </c>
      <c r="IQ417">
        <v>-1.679085872906199E-05</v>
      </c>
      <c r="IR417">
        <v>2</v>
      </c>
      <c r="IS417">
        <v>2290</v>
      </c>
      <c r="IT417">
        <v>0</v>
      </c>
      <c r="IU417">
        <v>32</v>
      </c>
      <c r="IV417">
        <v>17.6</v>
      </c>
      <c r="IW417">
        <v>17.5</v>
      </c>
      <c r="IX417">
        <v>2.16675</v>
      </c>
      <c r="IY417">
        <v>2.18506</v>
      </c>
      <c r="IZ417">
        <v>1.39648</v>
      </c>
      <c r="JA417">
        <v>2.35474</v>
      </c>
      <c r="JB417">
        <v>1.49536</v>
      </c>
      <c r="JC417">
        <v>2.37061</v>
      </c>
      <c r="JD417">
        <v>38.0134</v>
      </c>
      <c r="JE417">
        <v>24.0437</v>
      </c>
      <c r="JF417">
        <v>18</v>
      </c>
      <c r="JG417">
        <v>512.356</v>
      </c>
      <c r="JH417">
        <v>426.944</v>
      </c>
      <c r="JI417">
        <v>23.1691</v>
      </c>
      <c r="JJ417">
        <v>27.8468</v>
      </c>
      <c r="JK417">
        <v>30.0001</v>
      </c>
      <c r="JL417">
        <v>27.8563</v>
      </c>
      <c r="JM417">
        <v>27.7994</v>
      </c>
      <c r="JN417">
        <v>43.4045</v>
      </c>
      <c r="JO417">
        <v>46.9143</v>
      </c>
      <c r="JP417">
        <v>0</v>
      </c>
      <c r="JQ417">
        <v>23.1745</v>
      </c>
      <c r="JR417">
        <v>1055.1</v>
      </c>
      <c r="JS417">
        <v>8.99973</v>
      </c>
      <c r="JT417">
        <v>100.421</v>
      </c>
      <c r="JU417">
        <v>100.352</v>
      </c>
    </row>
    <row r="418" spans="1:281">
      <c r="A418">
        <v>402</v>
      </c>
      <c r="B418">
        <v>1651866567.5</v>
      </c>
      <c r="C418">
        <v>2346.900000095367</v>
      </c>
      <c r="D418" t="s">
        <v>1227</v>
      </c>
      <c r="E418" t="s">
        <v>1228</v>
      </c>
      <c r="F418">
        <v>2</v>
      </c>
      <c r="G418" t="s">
        <v>908</v>
      </c>
      <c r="H418" t="s">
        <v>414</v>
      </c>
      <c r="I418">
        <v>1651866566.125</v>
      </c>
      <c r="J418">
        <f>(K418)/1000</f>
        <v>0</v>
      </c>
      <c r="K418">
        <f>IF(CZ418, AN418, AH418)</f>
        <v>0</v>
      </c>
      <c r="L418">
        <f>IF(CZ418, AI418, AG418)</f>
        <v>0</v>
      </c>
      <c r="M418">
        <f>DB418 - IF(AU418&gt;1, L418*CV418*100.0/(AW418*DP418), 0)</f>
        <v>0</v>
      </c>
      <c r="N418">
        <f>((T418-J418/2)*M418-L418)/(T418+J418/2)</f>
        <v>0</v>
      </c>
      <c r="O418">
        <f>N418*(DI418+DJ418)/1000.0</f>
        <v>0</v>
      </c>
      <c r="P418">
        <f>(DB418 - IF(AU418&gt;1, L418*CV418*100.0/(AW418*DP418), 0))*(DI418+DJ418)/1000.0</f>
        <v>0</v>
      </c>
      <c r="Q418">
        <f>2.0/((1/S418-1/R418)+SIGN(S418)*SQRT((1/S418-1/R418)*(1/S418-1/R418) + 4*CW418/((CW418+1)*(CW418+1))*(2*1/S418*1/R418-1/R418*1/R418)))</f>
        <v>0</v>
      </c>
      <c r="R418">
        <f>IF(LEFT(CX418,1)&lt;&gt;"0",IF(LEFT(CX418,1)="1",3.0,CY418),$D$5+$E$5*(DP418*DI418/($K$5*1000))+$F$5*(DP418*DI418/($K$5*1000))*MAX(MIN(CV418,$J$5),$I$5)*MAX(MIN(CV418,$J$5),$I$5)+$G$5*MAX(MIN(CV418,$J$5),$I$5)*(DP418*DI418/($K$5*1000))+$H$5*(DP418*DI418/($K$5*1000))*(DP418*DI418/($K$5*1000)))</f>
        <v>0</v>
      </c>
      <c r="S418">
        <f>J418*(1000-(1000*0.61365*exp(17.502*W418/(240.97+W418))/(DI418+DJ418)+DD418)/2)/(1000*0.61365*exp(17.502*W418/(240.97+W418))/(DI418+DJ418)-DD418)</f>
        <v>0</v>
      </c>
      <c r="T418">
        <f>1/((CW418+1)/(Q418/1.6)+1/(R418/1.37)) + CW418/((CW418+1)/(Q418/1.6) + CW418/(R418/1.37))</f>
        <v>0</v>
      </c>
      <c r="U418">
        <f>(CR418*CU418)</f>
        <v>0</v>
      </c>
      <c r="V418">
        <f>(DK418+(U418+2*0.95*5.67E-8*(((DK418+$B$7)+273)^4-(DK418+273)^4)-44100*J418)/(1.84*29.3*R418+8*0.95*5.67E-8*(DK418+273)^3))</f>
        <v>0</v>
      </c>
      <c r="W418">
        <f>($C$7*DL418+$D$7*DM418+$E$7*V418)</f>
        <v>0</v>
      </c>
      <c r="X418">
        <f>0.61365*exp(17.502*W418/(240.97+W418))</f>
        <v>0</v>
      </c>
      <c r="Y418">
        <f>(Z418/AA418*100)</f>
        <v>0</v>
      </c>
      <c r="Z418">
        <f>DD418*(DI418+DJ418)/1000</f>
        <v>0</v>
      </c>
      <c r="AA418">
        <f>0.61365*exp(17.502*DK418/(240.97+DK418))</f>
        <v>0</v>
      </c>
      <c r="AB418">
        <f>(X418-DD418*(DI418+DJ418)/1000)</f>
        <v>0</v>
      </c>
      <c r="AC418">
        <f>(-J418*44100)</f>
        <v>0</v>
      </c>
      <c r="AD418">
        <f>2*29.3*R418*0.92*(DK418-W418)</f>
        <v>0</v>
      </c>
      <c r="AE418">
        <f>2*0.95*5.67E-8*(((DK418+$B$7)+273)^4-(W418+273)^4)</f>
        <v>0</v>
      </c>
      <c r="AF418">
        <f>U418+AE418+AC418+AD418</f>
        <v>0</v>
      </c>
      <c r="AG418">
        <f>DH418*AU418*(DC418-DB418*(1000-AU418*DE418)/(1000-AU418*DD418))/(100*CV418)</f>
        <v>0</v>
      </c>
      <c r="AH418">
        <f>1000*DH418*AU418*(DD418-DE418)/(100*CV418*(1000-AU418*DD418))</f>
        <v>0</v>
      </c>
      <c r="AI418">
        <f>(AJ418 - AK418 - DI418*1E3/(8.314*(DK418+273.15)) * AM418/DH418 * AL418) * DH418/(100*CV418) * (1000 - DE418)/1000</f>
        <v>0</v>
      </c>
      <c r="AJ418">
        <v>1044.650274727924</v>
      </c>
      <c r="AK418">
        <v>997.4616181818179</v>
      </c>
      <c r="AL418">
        <v>3.405613415381911</v>
      </c>
      <c r="AM418">
        <v>66.38195617057868</v>
      </c>
      <c r="AN418">
        <f>(AP418 - AO418 + DI418*1E3/(8.314*(DK418+273.15)) * AR418/DH418 * AQ418) * DH418/(100*CV418) * 1000/(1000 - AP418)</f>
        <v>0</v>
      </c>
      <c r="AO418">
        <v>8.960713621311831</v>
      </c>
      <c r="AP418">
        <v>18.61995764705883</v>
      </c>
      <c r="AQ418">
        <v>-0.0003242476231961831</v>
      </c>
      <c r="AR418">
        <v>80.47178418790507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MAX(0,($B$13+$C$13*DP418)/(1+$D$13*DP418)*DI418/(DK418+273)*$E$13)</f>
        <v>0</v>
      </c>
      <c r="AX418" t="s">
        <v>417</v>
      </c>
      <c r="AY418" t="s">
        <v>417</v>
      </c>
      <c r="AZ418">
        <v>0</v>
      </c>
      <c r="BA418">
        <v>0</v>
      </c>
      <c r="BB418">
        <f>1-AZ418/BA418</f>
        <v>0</v>
      </c>
      <c r="BC418">
        <v>0</v>
      </c>
      <c r="BD418" t="s">
        <v>417</v>
      </c>
      <c r="BE418" t="s">
        <v>417</v>
      </c>
      <c r="BF418">
        <v>0</v>
      </c>
      <c r="BG418">
        <v>0</v>
      </c>
      <c r="BH418">
        <f>1-BF418/BG418</f>
        <v>0</v>
      </c>
      <c r="BI418">
        <v>0.5</v>
      </c>
      <c r="BJ418">
        <f>CS418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417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BZ418">
        <v>1249</v>
      </c>
      <c r="CA418">
        <v>300</v>
      </c>
      <c r="CB418">
        <v>300</v>
      </c>
      <c r="CC418">
        <v>300</v>
      </c>
      <c r="CD418">
        <v>10442.4</v>
      </c>
      <c r="CE418">
        <v>1239.69</v>
      </c>
      <c r="CF418">
        <v>-0.00735276</v>
      </c>
      <c r="CG418">
        <v>0.07000000000000001</v>
      </c>
      <c r="CH418" t="s">
        <v>417</v>
      </c>
      <c r="CI418" t="s">
        <v>417</v>
      </c>
      <c r="CJ418" t="s">
        <v>417</v>
      </c>
      <c r="CK418" t="s">
        <v>417</v>
      </c>
      <c r="CL418" t="s">
        <v>417</v>
      </c>
      <c r="CM418" t="s">
        <v>417</v>
      </c>
      <c r="CN418" t="s">
        <v>417</v>
      </c>
      <c r="CO418" t="s">
        <v>417</v>
      </c>
      <c r="CP418" t="s">
        <v>417</v>
      </c>
      <c r="CQ418" t="s">
        <v>417</v>
      </c>
      <c r="CR418">
        <f>$B$11*DQ418+$C$11*DR418+$F$11*EC418*(1-EF418)</f>
        <v>0</v>
      </c>
      <c r="CS418">
        <f>CR418*CT418</f>
        <v>0</v>
      </c>
      <c r="CT418">
        <f>($B$11*$D$9+$C$11*$D$9+$F$11*((EP418+EH418)/MAX(EP418+EH418+EQ418, 0.1)*$I$9+EQ418/MAX(EP418+EH418+EQ418, 0.1)*$J$9))/($B$11+$C$11+$F$11)</f>
        <v>0</v>
      </c>
      <c r="CU418">
        <f>($B$11*$K$9+$C$11*$K$9+$F$11*((EP418+EH418)/MAX(EP418+EH418+EQ418, 0.1)*$P$9+EQ418/MAX(EP418+EH418+EQ418, 0.1)*$Q$9))/($B$11+$C$11+$F$11)</f>
        <v>0</v>
      </c>
      <c r="CV418">
        <v>6</v>
      </c>
      <c r="CW418">
        <v>0.5</v>
      </c>
      <c r="CX418" t="s">
        <v>418</v>
      </c>
      <c r="CY418">
        <v>2</v>
      </c>
      <c r="CZ418" t="b">
        <v>1</v>
      </c>
      <c r="DA418">
        <v>1651866566.125</v>
      </c>
      <c r="DB418">
        <v>975.96</v>
      </c>
      <c r="DC418">
        <v>1040.0275</v>
      </c>
      <c r="DD418">
        <v>18.62135</v>
      </c>
      <c r="DE418">
        <v>8.9595725</v>
      </c>
      <c r="DF418">
        <v>977.88275</v>
      </c>
      <c r="DG418">
        <v>18.596875</v>
      </c>
      <c r="DH418">
        <v>500.023</v>
      </c>
      <c r="DI418">
        <v>89.9119</v>
      </c>
      <c r="DJ418">
        <v>0.09984250000000001</v>
      </c>
      <c r="DK418">
        <v>25.9324</v>
      </c>
      <c r="DL418">
        <v>24.99495</v>
      </c>
      <c r="DM418">
        <v>999.9</v>
      </c>
      <c r="DN418">
        <v>0</v>
      </c>
      <c r="DO418">
        <v>0</v>
      </c>
      <c r="DP418">
        <v>10017.2</v>
      </c>
      <c r="DQ418">
        <v>0</v>
      </c>
      <c r="DR418">
        <v>3.20383</v>
      </c>
      <c r="DS418">
        <v>-64.06895</v>
      </c>
      <c r="DT418">
        <v>994.4784999999999</v>
      </c>
      <c r="DU418">
        <v>1049.43</v>
      </c>
      <c r="DV418">
        <v>9.6617575</v>
      </c>
      <c r="DW418">
        <v>1040.0275</v>
      </c>
      <c r="DX418">
        <v>8.9595725</v>
      </c>
      <c r="DY418">
        <v>1.67428</v>
      </c>
      <c r="DZ418">
        <v>0.80557225</v>
      </c>
      <c r="EA418">
        <v>14.659975</v>
      </c>
      <c r="EB418">
        <v>3.8058725</v>
      </c>
      <c r="EC418">
        <v>1500.0525</v>
      </c>
      <c r="ED418">
        <v>0.9729945</v>
      </c>
      <c r="EE418">
        <v>0.02700535</v>
      </c>
      <c r="EF418">
        <v>0</v>
      </c>
      <c r="EG418">
        <v>910.808</v>
      </c>
      <c r="EH418">
        <v>5.00097</v>
      </c>
      <c r="EI418">
        <v>13552.75</v>
      </c>
      <c r="EJ418">
        <v>12492.025</v>
      </c>
      <c r="EK418">
        <v>37.937</v>
      </c>
      <c r="EL418">
        <v>39.187</v>
      </c>
      <c r="EM418">
        <v>38.312</v>
      </c>
      <c r="EN418">
        <v>38.812</v>
      </c>
      <c r="EO418">
        <v>38.75</v>
      </c>
      <c r="EP418">
        <v>1454.6725</v>
      </c>
      <c r="EQ418">
        <v>40.37</v>
      </c>
      <c r="ER418">
        <v>0</v>
      </c>
      <c r="ES418">
        <v>1085</v>
      </c>
      <c r="ET418">
        <v>0</v>
      </c>
      <c r="EU418">
        <v>911.9071600000002</v>
      </c>
      <c r="EV418">
        <v>-10.92276924710782</v>
      </c>
      <c r="EW418">
        <v>-161.5153848382964</v>
      </c>
      <c r="EX418">
        <v>13567.812</v>
      </c>
      <c r="EY418">
        <v>15</v>
      </c>
      <c r="EZ418">
        <v>1651865518.1</v>
      </c>
      <c r="FA418" t="s">
        <v>910</v>
      </c>
      <c r="FB418">
        <v>1651865507.1</v>
      </c>
      <c r="FC418">
        <v>1651865518.1</v>
      </c>
      <c r="FD418">
        <v>8</v>
      </c>
      <c r="FE418">
        <v>0.06</v>
      </c>
      <c r="FF418">
        <v>0</v>
      </c>
      <c r="FG418">
        <v>-0.927</v>
      </c>
      <c r="FH418">
        <v>-0.062</v>
      </c>
      <c r="FI418">
        <v>400</v>
      </c>
      <c r="FJ418">
        <v>11</v>
      </c>
      <c r="FK418">
        <v>0.11</v>
      </c>
      <c r="FL418">
        <v>0.01</v>
      </c>
      <c r="FM418">
        <v>-63.72347</v>
      </c>
      <c r="FN418">
        <v>-2.446196622889223</v>
      </c>
      <c r="FO418">
        <v>0.2531188635799394</v>
      </c>
      <c r="FP418">
        <v>-1</v>
      </c>
      <c r="FQ418">
        <v>9.67928775</v>
      </c>
      <c r="FR418">
        <v>-0.1050917448405354</v>
      </c>
      <c r="FS418">
        <v>0.01029605276003861</v>
      </c>
      <c r="FT418">
        <v>-1</v>
      </c>
      <c r="FU418">
        <v>0</v>
      </c>
      <c r="FV418">
        <v>0</v>
      </c>
      <c r="FW418">
        <v>0</v>
      </c>
      <c r="FX418">
        <v>-1</v>
      </c>
      <c r="FY418">
        <v>0</v>
      </c>
      <c r="FZ418">
        <v>0</v>
      </c>
      <c r="GA418" t="s">
        <v>420</v>
      </c>
      <c r="GB418">
        <v>2.98155</v>
      </c>
      <c r="GC418">
        <v>2.70608</v>
      </c>
      <c r="GD418">
        <v>0.169139</v>
      </c>
      <c r="GE418">
        <v>0.174058</v>
      </c>
      <c r="GF418">
        <v>0.0887125</v>
      </c>
      <c r="GG418">
        <v>0.0509498</v>
      </c>
      <c r="GH418">
        <v>26256.2</v>
      </c>
      <c r="GI418">
        <v>26156.7</v>
      </c>
      <c r="GJ418">
        <v>29378.8</v>
      </c>
      <c r="GK418">
        <v>29293.2</v>
      </c>
      <c r="GL418">
        <v>35449.2</v>
      </c>
      <c r="GM418">
        <v>37035</v>
      </c>
      <c r="GN418">
        <v>41351.1</v>
      </c>
      <c r="GO418">
        <v>41813.1</v>
      </c>
      <c r="GP418">
        <v>1.96755</v>
      </c>
      <c r="GQ418">
        <v>1.85648</v>
      </c>
      <c r="GR418">
        <v>-0.00638887</v>
      </c>
      <c r="GS418">
        <v>0</v>
      </c>
      <c r="GT418">
        <v>25.0994</v>
      </c>
      <c r="GU418">
        <v>999.9</v>
      </c>
      <c r="GV418">
        <v>29.5</v>
      </c>
      <c r="GW418">
        <v>34.2</v>
      </c>
      <c r="GX418">
        <v>17.7267</v>
      </c>
      <c r="GY418">
        <v>62.3276</v>
      </c>
      <c r="GZ418">
        <v>35.2524</v>
      </c>
      <c r="HA418">
        <v>1</v>
      </c>
      <c r="HB418">
        <v>0.0410518</v>
      </c>
      <c r="HC418">
        <v>1.47343</v>
      </c>
      <c r="HD418">
        <v>20.3282</v>
      </c>
      <c r="HE418">
        <v>5.21744</v>
      </c>
      <c r="HF418">
        <v>12.0099</v>
      </c>
      <c r="HG418">
        <v>4.9891</v>
      </c>
      <c r="HH418">
        <v>3.28865</v>
      </c>
      <c r="HI418">
        <v>1035.6</v>
      </c>
      <c r="HJ418">
        <v>9763.200000000001</v>
      </c>
      <c r="HK418">
        <v>5139.4</v>
      </c>
      <c r="HL418">
        <v>25.4</v>
      </c>
      <c r="HM418">
        <v>1.86746</v>
      </c>
      <c r="HN418">
        <v>1.86645</v>
      </c>
      <c r="HO418">
        <v>1.86599</v>
      </c>
      <c r="HP418">
        <v>1.86584</v>
      </c>
      <c r="HQ418">
        <v>1.86768</v>
      </c>
      <c r="HR418">
        <v>1.87016</v>
      </c>
      <c r="HS418">
        <v>1.8689</v>
      </c>
      <c r="HT418">
        <v>1.87023</v>
      </c>
      <c r="HU418">
        <v>0</v>
      </c>
      <c r="HV418">
        <v>0</v>
      </c>
      <c r="HW418">
        <v>0</v>
      </c>
      <c r="HX418">
        <v>0</v>
      </c>
      <c r="HY418" t="s">
        <v>421</v>
      </c>
      <c r="HZ418" t="s">
        <v>422</v>
      </c>
      <c r="IA418" t="s">
        <v>423</v>
      </c>
      <c r="IB418" t="s">
        <v>423</v>
      </c>
      <c r="IC418" t="s">
        <v>423</v>
      </c>
      <c r="ID418" t="s">
        <v>423</v>
      </c>
      <c r="IE418">
        <v>0</v>
      </c>
      <c r="IF418">
        <v>100</v>
      </c>
      <c r="IG418">
        <v>100</v>
      </c>
      <c r="IH418">
        <v>-1.93</v>
      </c>
      <c r="II418">
        <v>0.0244</v>
      </c>
      <c r="IJ418">
        <v>-0.1559367209035702</v>
      </c>
      <c r="IK418">
        <v>-0.002077099775823331</v>
      </c>
      <c r="IL418">
        <v>4.593143279902166E-07</v>
      </c>
      <c r="IM418">
        <v>-1.865383991892071E-10</v>
      </c>
      <c r="IN418">
        <v>-0.0607165066849496</v>
      </c>
      <c r="IO418">
        <v>-0.01129461987421345</v>
      </c>
      <c r="IP418">
        <v>0.00116580895745559</v>
      </c>
      <c r="IQ418">
        <v>-1.679085872906199E-05</v>
      </c>
      <c r="IR418">
        <v>2</v>
      </c>
      <c r="IS418">
        <v>2290</v>
      </c>
      <c r="IT418">
        <v>0</v>
      </c>
      <c r="IU418">
        <v>32</v>
      </c>
      <c r="IV418">
        <v>17.7</v>
      </c>
      <c r="IW418">
        <v>17.5</v>
      </c>
      <c r="IX418">
        <v>2.17773</v>
      </c>
      <c r="IY418">
        <v>2.1875</v>
      </c>
      <c r="IZ418">
        <v>1.39648</v>
      </c>
      <c r="JA418">
        <v>2.35474</v>
      </c>
      <c r="JB418">
        <v>1.49536</v>
      </c>
      <c r="JC418">
        <v>2.33398</v>
      </c>
      <c r="JD418">
        <v>38.0134</v>
      </c>
      <c r="JE418">
        <v>24.035</v>
      </c>
      <c r="JF418">
        <v>18</v>
      </c>
      <c r="JG418">
        <v>512.304</v>
      </c>
      <c r="JH418">
        <v>427.032</v>
      </c>
      <c r="JI418">
        <v>23.1699</v>
      </c>
      <c r="JJ418">
        <v>27.8468</v>
      </c>
      <c r="JK418">
        <v>30.0001</v>
      </c>
      <c r="JL418">
        <v>27.856</v>
      </c>
      <c r="JM418">
        <v>27.7993</v>
      </c>
      <c r="JN418">
        <v>43.6348</v>
      </c>
      <c r="JO418">
        <v>46.9143</v>
      </c>
      <c r="JP418">
        <v>0</v>
      </c>
      <c r="JQ418">
        <v>23.1745</v>
      </c>
      <c r="JR418">
        <v>1061.78</v>
      </c>
      <c r="JS418">
        <v>9.00356</v>
      </c>
      <c r="JT418">
        <v>100.422</v>
      </c>
      <c r="JU418">
        <v>100.352</v>
      </c>
    </row>
    <row r="419" spans="1:281">
      <c r="A419">
        <v>403</v>
      </c>
      <c r="B419">
        <v>1651866569.5</v>
      </c>
      <c r="C419">
        <v>2348.900000095367</v>
      </c>
      <c r="D419" t="s">
        <v>1229</v>
      </c>
      <c r="E419" t="s">
        <v>1230</v>
      </c>
      <c r="F419">
        <v>2</v>
      </c>
      <c r="G419" t="s">
        <v>908</v>
      </c>
      <c r="H419" t="s">
        <v>414</v>
      </c>
      <c r="I419">
        <v>1651866568.5</v>
      </c>
      <c r="J419">
        <f>(K419)/1000</f>
        <v>0</v>
      </c>
      <c r="K419">
        <f>IF(CZ419, AN419, AH419)</f>
        <v>0</v>
      </c>
      <c r="L419">
        <f>IF(CZ419, AI419, AG419)</f>
        <v>0</v>
      </c>
      <c r="M419">
        <f>DB419 - IF(AU419&gt;1, L419*CV419*100.0/(AW419*DP419), 0)</f>
        <v>0</v>
      </c>
      <c r="N419">
        <f>((T419-J419/2)*M419-L419)/(T419+J419/2)</f>
        <v>0</v>
      </c>
      <c r="O419">
        <f>N419*(DI419+DJ419)/1000.0</f>
        <v>0</v>
      </c>
      <c r="P419">
        <f>(DB419 - IF(AU419&gt;1, L419*CV419*100.0/(AW419*DP419), 0))*(DI419+DJ419)/1000.0</f>
        <v>0</v>
      </c>
      <c r="Q419">
        <f>2.0/((1/S419-1/R419)+SIGN(S419)*SQRT((1/S419-1/R419)*(1/S419-1/R419) + 4*CW419/((CW419+1)*(CW419+1))*(2*1/S419*1/R419-1/R419*1/R419)))</f>
        <v>0</v>
      </c>
      <c r="R419">
        <f>IF(LEFT(CX419,1)&lt;&gt;"0",IF(LEFT(CX419,1)="1",3.0,CY419),$D$5+$E$5*(DP419*DI419/($K$5*1000))+$F$5*(DP419*DI419/($K$5*1000))*MAX(MIN(CV419,$J$5),$I$5)*MAX(MIN(CV419,$J$5),$I$5)+$G$5*MAX(MIN(CV419,$J$5),$I$5)*(DP419*DI419/($K$5*1000))+$H$5*(DP419*DI419/($K$5*1000))*(DP419*DI419/($K$5*1000)))</f>
        <v>0</v>
      </c>
      <c r="S419">
        <f>J419*(1000-(1000*0.61365*exp(17.502*W419/(240.97+W419))/(DI419+DJ419)+DD419)/2)/(1000*0.61365*exp(17.502*W419/(240.97+W419))/(DI419+DJ419)-DD419)</f>
        <v>0</v>
      </c>
      <c r="T419">
        <f>1/((CW419+1)/(Q419/1.6)+1/(R419/1.37)) + CW419/((CW419+1)/(Q419/1.6) + CW419/(R419/1.37))</f>
        <v>0</v>
      </c>
      <c r="U419">
        <f>(CR419*CU419)</f>
        <v>0</v>
      </c>
      <c r="V419">
        <f>(DK419+(U419+2*0.95*5.67E-8*(((DK419+$B$7)+273)^4-(DK419+273)^4)-44100*J419)/(1.84*29.3*R419+8*0.95*5.67E-8*(DK419+273)^3))</f>
        <v>0</v>
      </c>
      <c r="W419">
        <f>($C$7*DL419+$D$7*DM419+$E$7*V419)</f>
        <v>0</v>
      </c>
      <c r="X419">
        <f>0.61365*exp(17.502*W419/(240.97+W419))</f>
        <v>0</v>
      </c>
      <c r="Y419">
        <f>(Z419/AA419*100)</f>
        <v>0</v>
      </c>
      <c r="Z419">
        <f>DD419*(DI419+DJ419)/1000</f>
        <v>0</v>
      </c>
      <c r="AA419">
        <f>0.61365*exp(17.502*DK419/(240.97+DK419))</f>
        <v>0</v>
      </c>
      <c r="AB419">
        <f>(X419-DD419*(DI419+DJ419)/1000)</f>
        <v>0</v>
      </c>
      <c r="AC419">
        <f>(-J419*44100)</f>
        <v>0</v>
      </c>
      <c r="AD419">
        <f>2*29.3*R419*0.92*(DK419-W419)</f>
        <v>0</v>
      </c>
      <c r="AE419">
        <f>2*0.95*5.67E-8*(((DK419+$B$7)+273)^4-(W419+273)^4)</f>
        <v>0</v>
      </c>
      <c r="AF419">
        <f>U419+AE419+AC419+AD419</f>
        <v>0</v>
      </c>
      <c r="AG419">
        <f>DH419*AU419*(DC419-DB419*(1000-AU419*DE419)/(1000-AU419*DD419))/(100*CV419)</f>
        <v>0</v>
      </c>
      <c r="AH419">
        <f>1000*DH419*AU419*(DD419-DE419)/(100*CV419*(1000-AU419*DD419))</f>
        <v>0</v>
      </c>
      <c r="AI419">
        <f>(AJ419 - AK419 - DI419*1E3/(8.314*(DK419+273.15)) * AM419/DH419 * AL419) * DH419/(100*CV419) * (1000 - DE419)/1000</f>
        <v>0</v>
      </c>
      <c r="AJ419">
        <v>1051.473443937065</v>
      </c>
      <c r="AK419">
        <v>1004.298084848485</v>
      </c>
      <c r="AL419">
        <v>3.414079440038864</v>
      </c>
      <c r="AM419">
        <v>66.38195617057868</v>
      </c>
      <c r="AN419">
        <f>(AP419 - AO419 + DI419*1E3/(8.314*(DK419+273.15)) * AR419/DH419 * AQ419) * DH419/(100*CV419) * 1000/(1000 - AP419)</f>
        <v>0</v>
      </c>
      <c r="AO419">
        <v>8.960093539342024</v>
      </c>
      <c r="AP419">
        <v>18.61423676470589</v>
      </c>
      <c r="AQ419">
        <v>-0.000179761083033687</v>
      </c>
      <c r="AR419">
        <v>80.47178418790507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MAX(0,($B$13+$C$13*DP419)/(1+$D$13*DP419)*DI419/(DK419+273)*$E$13)</f>
        <v>0</v>
      </c>
      <c r="AX419" t="s">
        <v>417</v>
      </c>
      <c r="AY419" t="s">
        <v>417</v>
      </c>
      <c r="AZ419">
        <v>0</v>
      </c>
      <c r="BA419">
        <v>0</v>
      </c>
      <c r="BB419">
        <f>1-AZ419/BA419</f>
        <v>0</v>
      </c>
      <c r="BC419">
        <v>0</v>
      </c>
      <c r="BD419" t="s">
        <v>417</v>
      </c>
      <c r="BE419" t="s">
        <v>417</v>
      </c>
      <c r="BF419">
        <v>0</v>
      </c>
      <c r="BG419">
        <v>0</v>
      </c>
      <c r="BH419">
        <f>1-BF419/BG419</f>
        <v>0</v>
      </c>
      <c r="BI419">
        <v>0.5</v>
      </c>
      <c r="BJ419">
        <f>CS419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417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BZ419">
        <v>1249</v>
      </c>
      <c r="CA419">
        <v>300</v>
      </c>
      <c r="CB419">
        <v>300</v>
      </c>
      <c r="CC419">
        <v>300</v>
      </c>
      <c r="CD419">
        <v>10442.4</v>
      </c>
      <c r="CE419">
        <v>1239.69</v>
      </c>
      <c r="CF419">
        <v>-0.00735276</v>
      </c>
      <c r="CG419">
        <v>0.07000000000000001</v>
      </c>
      <c r="CH419" t="s">
        <v>417</v>
      </c>
      <c r="CI419" t="s">
        <v>417</v>
      </c>
      <c r="CJ419" t="s">
        <v>417</v>
      </c>
      <c r="CK419" t="s">
        <v>417</v>
      </c>
      <c r="CL419" t="s">
        <v>417</v>
      </c>
      <c r="CM419" t="s">
        <v>417</v>
      </c>
      <c r="CN419" t="s">
        <v>417</v>
      </c>
      <c r="CO419" t="s">
        <v>417</v>
      </c>
      <c r="CP419" t="s">
        <v>417</v>
      </c>
      <c r="CQ419" t="s">
        <v>417</v>
      </c>
      <c r="CR419">
        <f>$B$11*DQ419+$C$11*DR419+$F$11*EC419*(1-EF419)</f>
        <v>0</v>
      </c>
      <c r="CS419">
        <f>CR419*CT419</f>
        <v>0</v>
      </c>
      <c r="CT419">
        <f>($B$11*$D$9+$C$11*$D$9+$F$11*((EP419+EH419)/MAX(EP419+EH419+EQ419, 0.1)*$I$9+EQ419/MAX(EP419+EH419+EQ419, 0.1)*$J$9))/($B$11+$C$11+$F$11)</f>
        <v>0</v>
      </c>
      <c r="CU419">
        <f>($B$11*$K$9+$C$11*$K$9+$F$11*((EP419+EH419)/MAX(EP419+EH419+EQ419, 0.1)*$P$9+EQ419/MAX(EP419+EH419+EQ419, 0.1)*$Q$9))/($B$11+$C$11+$F$11)</f>
        <v>0</v>
      </c>
      <c r="CV419">
        <v>6</v>
      </c>
      <c r="CW419">
        <v>0.5</v>
      </c>
      <c r="CX419" t="s">
        <v>418</v>
      </c>
      <c r="CY419">
        <v>2</v>
      </c>
      <c r="CZ419" t="b">
        <v>1</v>
      </c>
      <c r="DA419">
        <v>1651866568.5</v>
      </c>
      <c r="DB419">
        <v>983.9256666666666</v>
      </c>
      <c r="DC419">
        <v>1047.91</v>
      </c>
      <c r="DD419">
        <v>18.6151</v>
      </c>
      <c r="DE419">
        <v>8.95776</v>
      </c>
      <c r="DF419">
        <v>985.8613333333333</v>
      </c>
      <c r="DG419">
        <v>18.5908</v>
      </c>
      <c r="DH419">
        <v>500.0416666666667</v>
      </c>
      <c r="DI419">
        <v>89.91276666666666</v>
      </c>
      <c r="DJ419">
        <v>0.09996556666666667</v>
      </c>
      <c r="DK419">
        <v>25.9346</v>
      </c>
      <c r="DL419">
        <v>24.9907</v>
      </c>
      <c r="DM419">
        <v>999.9</v>
      </c>
      <c r="DN419">
        <v>0</v>
      </c>
      <c r="DO419">
        <v>0</v>
      </c>
      <c r="DP419">
        <v>10000.83333333333</v>
      </c>
      <c r="DQ419">
        <v>0</v>
      </c>
      <c r="DR419">
        <v>3.20383</v>
      </c>
      <c r="DS419">
        <v>-63.98483333333333</v>
      </c>
      <c r="DT419">
        <v>1002.59</v>
      </c>
      <c r="DU419">
        <v>1057.383333333333</v>
      </c>
      <c r="DV419">
        <v>9.657369999999998</v>
      </c>
      <c r="DW419">
        <v>1047.91</v>
      </c>
      <c r="DX419">
        <v>8.95776</v>
      </c>
      <c r="DY419">
        <v>1.673736666666667</v>
      </c>
      <c r="DZ419">
        <v>0.8054169999999999</v>
      </c>
      <c r="EA419">
        <v>14.65496666666667</v>
      </c>
      <c r="EB419">
        <v>3.803136666666667</v>
      </c>
      <c r="EC419">
        <v>1500.2</v>
      </c>
      <c r="ED419">
        <v>0.9729953333333333</v>
      </c>
      <c r="EE419">
        <v>0.02700446666666667</v>
      </c>
      <c r="EF419">
        <v>0</v>
      </c>
      <c r="EG419">
        <v>910.5743333333334</v>
      </c>
      <c r="EH419">
        <v>5.00097</v>
      </c>
      <c r="EI419">
        <v>13547.43333333333</v>
      </c>
      <c r="EJ419">
        <v>12493.26666666667</v>
      </c>
      <c r="EK419">
        <v>37.875</v>
      </c>
      <c r="EL419">
        <v>39.14566666666666</v>
      </c>
      <c r="EM419">
        <v>38.312</v>
      </c>
      <c r="EN419">
        <v>38.79133333333333</v>
      </c>
      <c r="EO419">
        <v>38.75</v>
      </c>
      <c r="EP419">
        <v>1454.82</v>
      </c>
      <c r="EQ419">
        <v>40.37333333333333</v>
      </c>
      <c r="ER419">
        <v>0</v>
      </c>
      <c r="ES419">
        <v>1086.799999952316</v>
      </c>
      <c r="ET419">
        <v>0</v>
      </c>
      <c r="EU419">
        <v>911.612153846154</v>
      </c>
      <c r="EV419">
        <v>-10.38960683666638</v>
      </c>
      <c r="EW419">
        <v>-160.6666665964447</v>
      </c>
      <c r="EX419">
        <v>13563.91153846154</v>
      </c>
      <c r="EY419">
        <v>15</v>
      </c>
      <c r="EZ419">
        <v>1651865518.1</v>
      </c>
      <c r="FA419" t="s">
        <v>910</v>
      </c>
      <c r="FB419">
        <v>1651865507.1</v>
      </c>
      <c r="FC419">
        <v>1651865518.1</v>
      </c>
      <c r="FD419">
        <v>8</v>
      </c>
      <c r="FE419">
        <v>0.06</v>
      </c>
      <c r="FF419">
        <v>0</v>
      </c>
      <c r="FG419">
        <v>-0.927</v>
      </c>
      <c r="FH419">
        <v>-0.062</v>
      </c>
      <c r="FI419">
        <v>400</v>
      </c>
      <c r="FJ419">
        <v>11</v>
      </c>
      <c r="FK419">
        <v>0.11</v>
      </c>
      <c r="FL419">
        <v>0.01</v>
      </c>
      <c r="FM419">
        <v>-63.839175</v>
      </c>
      <c r="FN419">
        <v>-1.651274296435091</v>
      </c>
      <c r="FO419">
        <v>0.1756991345311634</v>
      </c>
      <c r="FP419">
        <v>-1</v>
      </c>
      <c r="FQ419">
        <v>9.67401325</v>
      </c>
      <c r="FR419">
        <v>-0.1060454409005993</v>
      </c>
      <c r="FS419">
        <v>0.0103756603133246</v>
      </c>
      <c r="FT419">
        <v>-1</v>
      </c>
      <c r="FU419">
        <v>0</v>
      </c>
      <c r="FV419">
        <v>0</v>
      </c>
      <c r="FW419">
        <v>0</v>
      </c>
      <c r="FX419">
        <v>-1</v>
      </c>
      <c r="FY419">
        <v>0</v>
      </c>
      <c r="FZ419">
        <v>0</v>
      </c>
      <c r="GA419" t="s">
        <v>420</v>
      </c>
      <c r="GB419">
        <v>2.98158</v>
      </c>
      <c r="GC419">
        <v>2.70614</v>
      </c>
      <c r="GD419">
        <v>0.169884</v>
      </c>
      <c r="GE419">
        <v>0.174762</v>
      </c>
      <c r="GF419">
        <v>0.0886912</v>
      </c>
      <c r="GG419">
        <v>0.0509442</v>
      </c>
      <c r="GH419">
        <v>26232.3</v>
      </c>
      <c r="GI419">
        <v>26134.5</v>
      </c>
      <c r="GJ419">
        <v>29378.3</v>
      </c>
      <c r="GK419">
        <v>29293.3</v>
      </c>
      <c r="GL419">
        <v>35449.5</v>
      </c>
      <c r="GM419">
        <v>37035.3</v>
      </c>
      <c r="GN419">
        <v>41350.4</v>
      </c>
      <c r="GO419">
        <v>41813.2</v>
      </c>
      <c r="GP419">
        <v>1.96758</v>
      </c>
      <c r="GQ419">
        <v>1.85645</v>
      </c>
      <c r="GR419">
        <v>-0.00651926</v>
      </c>
      <c r="GS419">
        <v>0</v>
      </c>
      <c r="GT419">
        <v>25.0983</v>
      </c>
      <c r="GU419">
        <v>999.9</v>
      </c>
      <c r="GV419">
        <v>29.5</v>
      </c>
      <c r="GW419">
        <v>34.2</v>
      </c>
      <c r="GX419">
        <v>17.7273</v>
      </c>
      <c r="GY419">
        <v>62.5176</v>
      </c>
      <c r="GZ419">
        <v>35.0801</v>
      </c>
      <c r="HA419">
        <v>1</v>
      </c>
      <c r="HB419">
        <v>0.0410061</v>
      </c>
      <c r="HC419">
        <v>1.46824</v>
      </c>
      <c r="HD419">
        <v>20.3282</v>
      </c>
      <c r="HE419">
        <v>5.21699</v>
      </c>
      <c r="HF419">
        <v>12.0099</v>
      </c>
      <c r="HG419">
        <v>4.98895</v>
      </c>
      <c r="HH419">
        <v>3.28858</v>
      </c>
      <c r="HI419">
        <v>1035.8</v>
      </c>
      <c r="HJ419">
        <v>9764.700000000001</v>
      </c>
      <c r="HK419">
        <v>5139.4</v>
      </c>
      <c r="HL419">
        <v>25.4</v>
      </c>
      <c r="HM419">
        <v>1.86746</v>
      </c>
      <c r="HN419">
        <v>1.86645</v>
      </c>
      <c r="HO419">
        <v>1.866</v>
      </c>
      <c r="HP419">
        <v>1.86584</v>
      </c>
      <c r="HQ419">
        <v>1.86768</v>
      </c>
      <c r="HR419">
        <v>1.87019</v>
      </c>
      <c r="HS419">
        <v>1.8689</v>
      </c>
      <c r="HT419">
        <v>1.87024</v>
      </c>
      <c r="HU419">
        <v>0</v>
      </c>
      <c r="HV419">
        <v>0</v>
      </c>
      <c r="HW419">
        <v>0</v>
      </c>
      <c r="HX419">
        <v>0</v>
      </c>
      <c r="HY419" t="s">
        <v>421</v>
      </c>
      <c r="HZ419" t="s">
        <v>422</v>
      </c>
      <c r="IA419" t="s">
        <v>423</v>
      </c>
      <c r="IB419" t="s">
        <v>423</v>
      </c>
      <c r="IC419" t="s">
        <v>423</v>
      </c>
      <c r="ID419" t="s">
        <v>423</v>
      </c>
      <c r="IE419">
        <v>0</v>
      </c>
      <c r="IF419">
        <v>100</v>
      </c>
      <c r="IG419">
        <v>100</v>
      </c>
      <c r="IH419">
        <v>-1.942</v>
      </c>
      <c r="II419">
        <v>0.0243</v>
      </c>
      <c r="IJ419">
        <v>-0.1559367209035702</v>
      </c>
      <c r="IK419">
        <v>-0.002077099775823331</v>
      </c>
      <c r="IL419">
        <v>4.593143279902166E-07</v>
      </c>
      <c r="IM419">
        <v>-1.865383991892071E-10</v>
      </c>
      <c r="IN419">
        <v>-0.0607165066849496</v>
      </c>
      <c r="IO419">
        <v>-0.01129461987421345</v>
      </c>
      <c r="IP419">
        <v>0.00116580895745559</v>
      </c>
      <c r="IQ419">
        <v>-1.679085872906199E-05</v>
      </c>
      <c r="IR419">
        <v>2</v>
      </c>
      <c r="IS419">
        <v>2290</v>
      </c>
      <c r="IT419">
        <v>0</v>
      </c>
      <c r="IU419">
        <v>32</v>
      </c>
      <c r="IV419">
        <v>17.7</v>
      </c>
      <c r="IW419">
        <v>17.5</v>
      </c>
      <c r="IX419">
        <v>2.18872</v>
      </c>
      <c r="IY419">
        <v>2.18994</v>
      </c>
      <c r="IZ419">
        <v>1.39648</v>
      </c>
      <c r="JA419">
        <v>2.35596</v>
      </c>
      <c r="JB419">
        <v>1.49536</v>
      </c>
      <c r="JC419">
        <v>2.2876</v>
      </c>
      <c r="JD419">
        <v>38.0134</v>
      </c>
      <c r="JE419">
        <v>24.035</v>
      </c>
      <c r="JF419">
        <v>18</v>
      </c>
      <c r="JG419">
        <v>512.313</v>
      </c>
      <c r="JH419">
        <v>427.009</v>
      </c>
      <c r="JI419">
        <v>23.172</v>
      </c>
      <c r="JJ419">
        <v>27.8459</v>
      </c>
      <c r="JK419">
        <v>30</v>
      </c>
      <c r="JL419">
        <v>27.8551</v>
      </c>
      <c r="JM419">
        <v>27.7981</v>
      </c>
      <c r="JN419">
        <v>43.8527</v>
      </c>
      <c r="JO419">
        <v>46.9143</v>
      </c>
      <c r="JP419">
        <v>0</v>
      </c>
      <c r="JQ419">
        <v>23.1745</v>
      </c>
      <c r="JR419">
        <v>1068.47</v>
      </c>
      <c r="JS419">
        <v>9.014620000000001</v>
      </c>
      <c r="JT419">
        <v>100.42</v>
      </c>
      <c r="JU419">
        <v>100.352</v>
      </c>
    </row>
    <row r="420" spans="1:281">
      <c r="A420">
        <v>404</v>
      </c>
      <c r="B420">
        <v>1651866571.5</v>
      </c>
      <c r="C420">
        <v>2350.900000095367</v>
      </c>
      <c r="D420" t="s">
        <v>1231</v>
      </c>
      <c r="E420" t="s">
        <v>1232</v>
      </c>
      <c r="F420">
        <v>2</v>
      </c>
      <c r="G420" t="s">
        <v>908</v>
      </c>
      <c r="H420" t="s">
        <v>414</v>
      </c>
      <c r="I420">
        <v>1651866570.125</v>
      </c>
      <c r="J420">
        <f>(K420)/1000</f>
        <v>0</v>
      </c>
      <c r="K420">
        <f>IF(CZ420, AN420, AH420)</f>
        <v>0</v>
      </c>
      <c r="L420">
        <f>IF(CZ420, AI420, AG420)</f>
        <v>0</v>
      </c>
      <c r="M420">
        <f>DB420 - IF(AU420&gt;1, L420*CV420*100.0/(AW420*DP420), 0)</f>
        <v>0</v>
      </c>
      <c r="N420">
        <f>((T420-J420/2)*M420-L420)/(T420+J420/2)</f>
        <v>0</v>
      </c>
      <c r="O420">
        <f>N420*(DI420+DJ420)/1000.0</f>
        <v>0</v>
      </c>
      <c r="P420">
        <f>(DB420 - IF(AU420&gt;1, L420*CV420*100.0/(AW420*DP420), 0))*(DI420+DJ420)/1000.0</f>
        <v>0</v>
      </c>
      <c r="Q420">
        <f>2.0/((1/S420-1/R420)+SIGN(S420)*SQRT((1/S420-1/R420)*(1/S420-1/R420) + 4*CW420/((CW420+1)*(CW420+1))*(2*1/S420*1/R420-1/R420*1/R420)))</f>
        <v>0</v>
      </c>
      <c r="R420">
        <f>IF(LEFT(CX420,1)&lt;&gt;"0",IF(LEFT(CX420,1)="1",3.0,CY420),$D$5+$E$5*(DP420*DI420/($K$5*1000))+$F$5*(DP420*DI420/($K$5*1000))*MAX(MIN(CV420,$J$5),$I$5)*MAX(MIN(CV420,$J$5),$I$5)+$G$5*MAX(MIN(CV420,$J$5),$I$5)*(DP420*DI420/($K$5*1000))+$H$5*(DP420*DI420/($K$5*1000))*(DP420*DI420/($K$5*1000)))</f>
        <v>0</v>
      </c>
      <c r="S420">
        <f>J420*(1000-(1000*0.61365*exp(17.502*W420/(240.97+W420))/(DI420+DJ420)+DD420)/2)/(1000*0.61365*exp(17.502*W420/(240.97+W420))/(DI420+DJ420)-DD420)</f>
        <v>0</v>
      </c>
      <c r="T420">
        <f>1/((CW420+1)/(Q420/1.6)+1/(R420/1.37)) + CW420/((CW420+1)/(Q420/1.6) + CW420/(R420/1.37))</f>
        <v>0</v>
      </c>
      <c r="U420">
        <f>(CR420*CU420)</f>
        <v>0</v>
      </c>
      <c r="V420">
        <f>(DK420+(U420+2*0.95*5.67E-8*(((DK420+$B$7)+273)^4-(DK420+273)^4)-44100*J420)/(1.84*29.3*R420+8*0.95*5.67E-8*(DK420+273)^3))</f>
        <v>0</v>
      </c>
      <c r="W420">
        <f>($C$7*DL420+$D$7*DM420+$E$7*V420)</f>
        <v>0</v>
      </c>
      <c r="X420">
        <f>0.61365*exp(17.502*W420/(240.97+W420))</f>
        <v>0</v>
      </c>
      <c r="Y420">
        <f>(Z420/AA420*100)</f>
        <v>0</v>
      </c>
      <c r="Z420">
        <f>DD420*(DI420+DJ420)/1000</f>
        <v>0</v>
      </c>
      <c r="AA420">
        <f>0.61365*exp(17.502*DK420/(240.97+DK420))</f>
        <v>0</v>
      </c>
      <c r="AB420">
        <f>(X420-DD420*(DI420+DJ420)/1000)</f>
        <v>0</v>
      </c>
      <c r="AC420">
        <f>(-J420*44100)</f>
        <v>0</v>
      </c>
      <c r="AD420">
        <f>2*29.3*R420*0.92*(DK420-W420)</f>
        <v>0</v>
      </c>
      <c r="AE420">
        <f>2*0.95*5.67E-8*(((DK420+$B$7)+273)^4-(W420+273)^4)</f>
        <v>0</v>
      </c>
      <c r="AF420">
        <f>U420+AE420+AC420+AD420</f>
        <v>0</v>
      </c>
      <c r="AG420">
        <f>DH420*AU420*(DC420-DB420*(1000-AU420*DE420)/(1000-AU420*DD420))/(100*CV420)</f>
        <v>0</v>
      </c>
      <c r="AH420">
        <f>1000*DH420*AU420*(DD420-DE420)/(100*CV420*(1000-AU420*DD420))</f>
        <v>0</v>
      </c>
      <c r="AI420">
        <f>(AJ420 - AK420 - DI420*1E3/(8.314*(DK420+273.15)) * AM420/DH420 * AL420) * DH420/(100*CV420) * (1000 - DE420)/1000</f>
        <v>0</v>
      </c>
      <c r="AJ420">
        <v>1058.131850753158</v>
      </c>
      <c r="AK420">
        <v>1011.160315151516</v>
      </c>
      <c r="AL420">
        <v>3.425657131256878</v>
      </c>
      <c r="AM420">
        <v>66.38195617057868</v>
      </c>
      <c r="AN420">
        <f>(AP420 - AO420 + DI420*1E3/(8.314*(DK420+273.15)) * AR420/DH420 * AQ420) * DH420/(100*CV420) * 1000/(1000 - AP420)</f>
        <v>0</v>
      </c>
      <c r="AO420">
        <v>8.958914731913707</v>
      </c>
      <c r="AP420">
        <v>18.60643235294117</v>
      </c>
      <c r="AQ420">
        <v>-0.0001191381581603982</v>
      </c>
      <c r="AR420">
        <v>80.47178418790507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MAX(0,($B$13+$C$13*DP420)/(1+$D$13*DP420)*DI420/(DK420+273)*$E$13)</f>
        <v>0</v>
      </c>
      <c r="AX420" t="s">
        <v>417</v>
      </c>
      <c r="AY420" t="s">
        <v>417</v>
      </c>
      <c r="AZ420">
        <v>0</v>
      </c>
      <c r="BA420">
        <v>0</v>
      </c>
      <c r="BB420">
        <f>1-AZ420/BA420</f>
        <v>0</v>
      </c>
      <c r="BC420">
        <v>0</v>
      </c>
      <c r="BD420" t="s">
        <v>417</v>
      </c>
      <c r="BE420" t="s">
        <v>417</v>
      </c>
      <c r="BF420">
        <v>0</v>
      </c>
      <c r="BG420">
        <v>0</v>
      </c>
      <c r="BH420">
        <f>1-BF420/BG420</f>
        <v>0</v>
      </c>
      <c r="BI420">
        <v>0.5</v>
      </c>
      <c r="BJ420">
        <f>CS420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417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BZ420">
        <v>1249</v>
      </c>
      <c r="CA420">
        <v>300</v>
      </c>
      <c r="CB420">
        <v>300</v>
      </c>
      <c r="CC420">
        <v>300</v>
      </c>
      <c r="CD420">
        <v>10442.4</v>
      </c>
      <c r="CE420">
        <v>1239.69</v>
      </c>
      <c r="CF420">
        <v>-0.00735276</v>
      </c>
      <c r="CG420">
        <v>0.07000000000000001</v>
      </c>
      <c r="CH420" t="s">
        <v>417</v>
      </c>
      <c r="CI420" t="s">
        <v>417</v>
      </c>
      <c r="CJ420" t="s">
        <v>417</v>
      </c>
      <c r="CK420" t="s">
        <v>417</v>
      </c>
      <c r="CL420" t="s">
        <v>417</v>
      </c>
      <c r="CM420" t="s">
        <v>417</v>
      </c>
      <c r="CN420" t="s">
        <v>417</v>
      </c>
      <c r="CO420" t="s">
        <v>417</v>
      </c>
      <c r="CP420" t="s">
        <v>417</v>
      </c>
      <c r="CQ420" t="s">
        <v>417</v>
      </c>
      <c r="CR420">
        <f>$B$11*DQ420+$C$11*DR420+$F$11*EC420*(1-EF420)</f>
        <v>0</v>
      </c>
      <c r="CS420">
        <f>CR420*CT420</f>
        <v>0</v>
      </c>
      <c r="CT420">
        <f>($B$11*$D$9+$C$11*$D$9+$F$11*((EP420+EH420)/MAX(EP420+EH420+EQ420, 0.1)*$I$9+EQ420/MAX(EP420+EH420+EQ420, 0.1)*$J$9))/($B$11+$C$11+$F$11)</f>
        <v>0</v>
      </c>
      <c r="CU420">
        <f>($B$11*$K$9+$C$11*$K$9+$F$11*((EP420+EH420)/MAX(EP420+EH420+EQ420, 0.1)*$P$9+EQ420/MAX(EP420+EH420+EQ420, 0.1)*$Q$9))/($B$11+$C$11+$F$11)</f>
        <v>0</v>
      </c>
      <c r="CV420">
        <v>6</v>
      </c>
      <c r="CW420">
        <v>0.5</v>
      </c>
      <c r="CX420" t="s">
        <v>418</v>
      </c>
      <c r="CY420">
        <v>2</v>
      </c>
      <c r="CZ420" t="b">
        <v>1</v>
      </c>
      <c r="DA420">
        <v>1651866570.125</v>
      </c>
      <c r="DB420">
        <v>989.3924999999999</v>
      </c>
      <c r="DC420">
        <v>1053.305</v>
      </c>
      <c r="DD420">
        <v>18.6098</v>
      </c>
      <c r="DE420">
        <v>8.957305</v>
      </c>
      <c r="DF420">
        <v>991.3375000000001</v>
      </c>
      <c r="DG420">
        <v>18.585525</v>
      </c>
      <c r="DH420">
        <v>500.0495</v>
      </c>
      <c r="DI420">
        <v>89.911675</v>
      </c>
      <c r="DJ420">
        <v>0.1000332</v>
      </c>
      <c r="DK420">
        <v>25.934125</v>
      </c>
      <c r="DL420">
        <v>24.993175</v>
      </c>
      <c r="DM420">
        <v>999.9</v>
      </c>
      <c r="DN420">
        <v>0</v>
      </c>
      <c r="DO420">
        <v>0</v>
      </c>
      <c r="DP420">
        <v>9998.130000000001</v>
      </c>
      <c r="DQ420">
        <v>0</v>
      </c>
      <c r="DR420">
        <v>3.20383</v>
      </c>
      <c r="DS420">
        <v>-63.910775</v>
      </c>
      <c r="DT420">
        <v>1008.155</v>
      </c>
      <c r="DU420">
        <v>1062.8225</v>
      </c>
      <c r="DV420">
        <v>9.6525075</v>
      </c>
      <c r="DW420">
        <v>1053.305</v>
      </c>
      <c r="DX420">
        <v>8.957305</v>
      </c>
      <c r="DY420">
        <v>1.6732375</v>
      </c>
      <c r="DZ420">
        <v>0.8053665</v>
      </c>
      <c r="EA420">
        <v>14.650375</v>
      </c>
      <c r="EB420">
        <v>3.802245</v>
      </c>
      <c r="EC420">
        <v>1499.99</v>
      </c>
      <c r="ED420">
        <v>0.97299325</v>
      </c>
      <c r="EE420">
        <v>0.027006675</v>
      </c>
      <c r="EF420">
        <v>0</v>
      </c>
      <c r="EG420">
        <v>910.1877500000001</v>
      </c>
      <c r="EH420">
        <v>5.00097</v>
      </c>
      <c r="EI420">
        <v>13541.25</v>
      </c>
      <c r="EJ420">
        <v>12491.5</v>
      </c>
      <c r="EK420">
        <v>37.875</v>
      </c>
      <c r="EL420">
        <v>39.125</v>
      </c>
      <c r="EM420">
        <v>38.312</v>
      </c>
      <c r="EN420">
        <v>38.7655</v>
      </c>
      <c r="EO420">
        <v>38.75</v>
      </c>
      <c r="EP420">
        <v>1454.61</v>
      </c>
      <c r="EQ420">
        <v>40.37</v>
      </c>
      <c r="ER420">
        <v>0</v>
      </c>
      <c r="ES420">
        <v>1089.200000047684</v>
      </c>
      <c r="ET420">
        <v>0</v>
      </c>
      <c r="EU420">
        <v>911.1999615384616</v>
      </c>
      <c r="EV420">
        <v>-11.06348716542018</v>
      </c>
      <c r="EW420">
        <v>-158.8615382081139</v>
      </c>
      <c r="EX420">
        <v>13557.32692307692</v>
      </c>
      <c r="EY420">
        <v>15</v>
      </c>
      <c r="EZ420">
        <v>1651865518.1</v>
      </c>
      <c r="FA420" t="s">
        <v>910</v>
      </c>
      <c r="FB420">
        <v>1651865507.1</v>
      </c>
      <c r="FC420">
        <v>1651865518.1</v>
      </c>
      <c r="FD420">
        <v>8</v>
      </c>
      <c r="FE420">
        <v>0.06</v>
      </c>
      <c r="FF420">
        <v>0</v>
      </c>
      <c r="FG420">
        <v>-0.927</v>
      </c>
      <c r="FH420">
        <v>-0.062</v>
      </c>
      <c r="FI420">
        <v>400</v>
      </c>
      <c r="FJ420">
        <v>11</v>
      </c>
      <c r="FK420">
        <v>0.11</v>
      </c>
      <c r="FL420">
        <v>0.01</v>
      </c>
      <c r="FM420">
        <v>-63.85981</v>
      </c>
      <c r="FN420">
        <v>-1.377201500937903</v>
      </c>
      <c r="FO420">
        <v>0.156817705951847</v>
      </c>
      <c r="FP420">
        <v>-1</v>
      </c>
      <c r="FQ420">
        <v>9.67205225</v>
      </c>
      <c r="FR420">
        <v>-0.1044572983114702</v>
      </c>
      <c r="FS420">
        <v>0.01020766390696218</v>
      </c>
      <c r="FT420">
        <v>-1</v>
      </c>
      <c r="FU420">
        <v>0</v>
      </c>
      <c r="FV420">
        <v>0</v>
      </c>
      <c r="FW420">
        <v>0</v>
      </c>
      <c r="FX420">
        <v>-1</v>
      </c>
      <c r="FY420">
        <v>0</v>
      </c>
      <c r="FZ420">
        <v>0</v>
      </c>
      <c r="GA420" t="s">
        <v>420</v>
      </c>
      <c r="GB420">
        <v>2.98153</v>
      </c>
      <c r="GC420">
        <v>2.7062</v>
      </c>
      <c r="GD420">
        <v>0.170628</v>
      </c>
      <c r="GE420">
        <v>0.175477</v>
      </c>
      <c r="GF420">
        <v>0.0886527</v>
      </c>
      <c r="GG420">
        <v>0.0509415</v>
      </c>
      <c r="GH420">
        <v>26208.7</v>
      </c>
      <c r="GI420">
        <v>26112</v>
      </c>
      <c r="GJ420">
        <v>29378.2</v>
      </c>
      <c r="GK420">
        <v>29293.5</v>
      </c>
      <c r="GL420">
        <v>35451</v>
      </c>
      <c r="GM420">
        <v>37035.6</v>
      </c>
      <c r="GN420">
        <v>41350.4</v>
      </c>
      <c r="GO420">
        <v>41813.4</v>
      </c>
      <c r="GP420">
        <v>1.96753</v>
      </c>
      <c r="GQ420">
        <v>1.8566</v>
      </c>
      <c r="GR420">
        <v>-0.0060536</v>
      </c>
      <c r="GS420">
        <v>0</v>
      </c>
      <c r="GT420">
        <v>25.0974</v>
      </c>
      <c r="GU420">
        <v>999.9</v>
      </c>
      <c r="GV420">
        <v>29.5</v>
      </c>
      <c r="GW420">
        <v>34.2</v>
      </c>
      <c r="GX420">
        <v>17.7276</v>
      </c>
      <c r="GY420">
        <v>62.5276</v>
      </c>
      <c r="GZ420">
        <v>35.3405</v>
      </c>
      <c r="HA420">
        <v>1</v>
      </c>
      <c r="HB420">
        <v>0.0409832</v>
      </c>
      <c r="HC420">
        <v>1.46623</v>
      </c>
      <c r="HD420">
        <v>20.3282</v>
      </c>
      <c r="HE420">
        <v>5.21684</v>
      </c>
      <c r="HF420">
        <v>12.0099</v>
      </c>
      <c r="HG420">
        <v>4.98895</v>
      </c>
      <c r="HH420">
        <v>3.28858</v>
      </c>
      <c r="HI420">
        <v>1035.8</v>
      </c>
      <c r="HJ420">
        <v>9764.700000000001</v>
      </c>
      <c r="HK420">
        <v>5139.4</v>
      </c>
      <c r="HL420">
        <v>25.4</v>
      </c>
      <c r="HM420">
        <v>1.86746</v>
      </c>
      <c r="HN420">
        <v>1.86646</v>
      </c>
      <c r="HO420">
        <v>1.866</v>
      </c>
      <c r="HP420">
        <v>1.86584</v>
      </c>
      <c r="HQ420">
        <v>1.86768</v>
      </c>
      <c r="HR420">
        <v>1.87019</v>
      </c>
      <c r="HS420">
        <v>1.8689</v>
      </c>
      <c r="HT420">
        <v>1.87024</v>
      </c>
      <c r="HU420">
        <v>0</v>
      </c>
      <c r="HV420">
        <v>0</v>
      </c>
      <c r="HW420">
        <v>0</v>
      </c>
      <c r="HX420">
        <v>0</v>
      </c>
      <c r="HY420" t="s">
        <v>421</v>
      </c>
      <c r="HZ420" t="s">
        <v>422</v>
      </c>
      <c r="IA420" t="s">
        <v>423</v>
      </c>
      <c r="IB420" t="s">
        <v>423</v>
      </c>
      <c r="IC420" t="s">
        <v>423</v>
      </c>
      <c r="ID420" t="s">
        <v>423</v>
      </c>
      <c r="IE420">
        <v>0</v>
      </c>
      <c r="IF420">
        <v>100</v>
      </c>
      <c r="IG420">
        <v>100</v>
      </c>
      <c r="IH420">
        <v>-1.953</v>
      </c>
      <c r="II420">
        <v>0.0242</v>
      </c>
      <c r="IJ420">
        <v>-0.1559367209035702</v>
      </c>
      <c r="IK420">
        <v>-0.002077099775823331</v>
      </c>
      <c r="IL420">
        <v>4.593143279902166E-07</v>
      </c>
      <c r="IM420">
        <v>-1.865383991892071E-10</v>
      </c>
      <c r="IN420">
        <v>-0.0607165066849496</v>
      </c>
      <c r="IO420">
        <v>-0.01129461987421345</v>
      </c>
      <c r="IP420">
        <v>0.00116580895745559</v>
      </c>
      <c r="IQ420">
        <v>-1.679085872906199E-05</v>
      </c>
      <c r="IR420">
        <v>2</v>
      </c>
      <c r="IS420">
        <v>2290</v>
      </c>
      <c r="IT420">
        <v>0</v>
      </c>
      <c r="IU420">
        <v>32</v>
      </c>
      <c r="IV420">
        <v>17.7</v>
      </c>
      <c r="IW420">
        <v>17.6</v>
      </c>
      <c r="IX420">
        <v>2.19971</v>
      </c>
      <c r="IY420">
        <v>2.18384</v>
      </c>
      <c r="IZ420">
        <v>1.39648</v>
      </c>
      <c r="JA420">
        <v>2.35474</v>
      </c>
      <c r="JB420">
        <v>1.49536</v>
      </c>
      <c r="JC420">
        <v>2.34619</v>
      </c>
      <c r="JD420">
        <v>38.0134</v>
      </c>
      <c r="JE420">
        <v>24.0437</v>
      </c>
      <c r="JF420">
        <v>18</v>
      </c>
      <c r="JG420">
        <v>512.27</v>
      </c>
      <c r="JH420">
        <v>427.09</v>
      </c>
      <c r="JI420">
        <v>23.1741</v>
      </c>
      <c r="JJ420">
        <v>27.8447</v>
      </c>
      <c r="JK420">
        <v>30</v>
      </c>
      <c r="JL420">
        <v>27.8539</v>
      </c>
      <c r="JM420">
        <v>27.7971</v>
      </c>
      <c r="JN420">
        <v>44.0746</v>
      </c>
      <c r="JO420">
        <v>46.9143</v>
      </c>
      <c r="JP420">
        <v>0</v>
      </c>
      <c r="JQ420">
        <v>23.1795</v>
      </c>
      <c r="JR420">
        <v>1075.15</v>
      </c>
      <c r="JS420">
        <v>9.03613</v>
      </c>
      <c r="JT420">
        <v>100.42</v>
      </c>
      <c r="JU420">
        <v>100.353</v>
      </c>
    </row>
    <row r="421" spans="1:281">
      <c r="A421">
        <v>405</v>
      </c>
      <c r="B421">
        <v>1651866573.5</v>
      </c>
      <c r="C421">
        <v>2352.900000095367</v>
      </c>
      <c r="D421" t="s">
        <v>1233</v>
      </c>
      <c r="E421" t="s">
        <v>1234</v>
      </c>
      <c r="F421">
        <v>2</v>
      </c>
      <c r="G421" t="s">
        <v>908</v>
      </c>
      <c r="H421" t="s">
        <v>414</v>
      </c>
      <c r="I421">
        <v>1651866572.5</v>
      </c>
      <c r="J421">
        <f>(K421)/1000</f>
        <v>0</v>
      </c>
      <c r="K421">
        <f>IF(CZ421, AN421, AH421)</f>
        <v>0</v>
      </c>
      <c r="L421">
        <f>IF(CZ421, AI421, AG421)</f>
        <v>0</v>
      </c>
      <c r="M421">
        <f>DB421 - IF(AU421&gt;1, L421*CV421*100.0/(AW421*DP421), 0)</f>
        <v>0</v>
      </c>
      <c r="N421">
        <f>((T421-J421/2)*M421-L421)/(T421+J421/2)</f>
        <v>0</v>
      </c>
      <c r="O421">
        <f>N421*(DI421+DJ421)/1000.0</f>
        <v>0</v>
      </c>
      <c r="P421">
        <f>(DB421 - IF(AU421&gt;1, L421*CV421*100.0/(AW421*DP421), 0))*(DI421+DJ421)/1000.0</f>
        <v>0</v>
      </c>
      <c r="Q421">
        <f>2.0/((1/S421-1/R421)+SIGN(S421)*SQRT((1/S421-1/R421)*(1/S421-1/R421) + 4*CW421/((CW421+1)*(CW421+1))*(2*1/S421*1/R421-1/R421*1/R421)))</f>
        <v>0</v>
      </c>
      <c r="R421">
        <f>IF(LEFT(CX421,1)&lt;&gt;"0",IF(LEFT(CX421,1)="1",3.0,CY421),$D$5+$E$5*(DP421*DI421/($K$5*1000))+$F$5*(DP421*DI421/($K$5*1000))*MAX(MIN(CV421,$J$5),$I$5)*MAX(MIN(CV421,$J$5),$I$5)+$G$5*MAX(MIN(CV421,$J$5),$I$5)*(DP421*DI421/($K$5*1000))+$H$5*(DP421*DI421/($K$5*1000))*(DP421*DI421/($K$5*1000)))</f>
        <v>0</v>
      </c>
      <c r="S421">
        <f>J421*(1000-(1000*0.61365*exp(17.502*W421/(240.97+W421))/(DI421+DJ421)+DD421)/2)/(1000*0.61365*exp(17.502*W421/(240.97+W421))/(DI421+DJ421)-DD421)</f>
        <v>0</v>
      </c>
      <c r="T421">
        <f>1/((CW421+1)/(Q421/1.6)+1/(R421/1.37)) + CW421/((CW421+1)/(Q421/1.6) + CW421/(R421/1.37))</f>
        <v>0</v>
      </c>
      <c r="U421">
        <f>(CR421*CU421)</f>
        <v>0</v>
      </c>
      <c r="V421">
        <f>(DK421+(U421+2*0.95*5.67E-8*(((DK421+$B$7)+273)^4-(DK421+273)^4)-44100*J421)/(1.84*29.3*R421+8*0.95*5.67E-8*(DK421+273)^3))</f>
        <v>0</v>
      </c>
      <c r="W421">
        <f>($C$7*DL421+$D$7*DM421+$E$7*V421)</f>
        <v>0</v>
      </c>
      <c r="X421">
        <f>0.61365*exp(17.502*W421/(240.97+W421))</f>
        <v>0</v>
      </c>
      <c r="Y421">
        <f>(Z421/AA421*100)</f>
        <v>0</v>
      </c>
      <c r="Z421">
        <f>DD421*(DI421+DJ421)/1000</f>
        <v>0</v>
      </c>
      <c r="AA421">
        <f>0.61365*exp(17.502*DK421/(240.97+DK421))</f>
        <v>0</v>
      </c>
      <c r="AB421">
        <f>(X421-DD421*(DI421+DJ421)/1000)</f>
        <v>0</v>
      </c>
      <c r="AC421">
        <f>(-J421*44100)</f>
        <v>0</v>
      </c>
      <c r="AD421">
        <f>2*29.3*R421*0.92*(DK421-W421)</f>
        <v>0</v>
      </c>
      <c r="AE421">
        <f>2*0.95*5.67E-8*(((DK421+$B$7)+273)^4-(W421+273)^4)</f>
        <v>0</v>
      </c>
      <c r="AF421">
        <f>U421+AE421+AC421+AD421</f>
        <v>0</v>
      </c>
      <c r="AG421">
        <f>DH421*AU421*(DC421-DB421*(1000-AU421*DE421)/(1000-AU421*DD421))/(100*CV421)</f>
        <v>0</v>
      </c>
      <c r="AH421">
        <f>1000*DH421*AU421*(DD421-DE421)/(100*CV421*(1000-AU421*DD421))</f>
        <v>0</v>
      </c>
      <c r="AI421">
        <f>(AJ421 - AK421 - DI421*1E3/(8.314*(DK421+273.15)) * AM421/DH421 * AL421) * DH421/(100*CV421) * (1000 - DE421)/1000</f>
        <v>0</v>
      </c>
      <c r="AJ421">
        <v>1064.880333876648</v>
      </c>
      <c r="AK421">
        <v>1017.97909090909</v>
      </c>
      <c r="AL421">
        <v>3.419390640529202</v>
      </c>
      <c r="AM421">
        <v>66.38195617057868</v>
      </c>
      <c r="AN421">
        <f>(AP421 - AO421 + DI421*1E3/(8.314*(DK421+273.15)) * AR421/DH421 * AQ421) * DH421/(100*CV421) * 1000/(1000 - AP421)</f>
        <v>0</v>
      </c>
      <c r="AO421">
        <v>8.95759914603466</v>
      </c>
      <c r="AP421">
        <v>18.59286235294118</v>
      </c>
      <c r="AQ421">
        <v>-0.000103964201131871</v>
      </c>
      <c r="AR421">
        <v>80.47178418790507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MAX(0,($B$13+$C$13*DP421)/(1+$D$13*DP421)*DI421/(DK421+273)*$E$13)</f>
        <v>0</v>
      </c>
      <c r="AX421" t="s">
        <v>417</v>
      </c>
      <c r="AY421" t="s">
        <v>417</v>
      </c>
      <c r="AZ421">
        <v>0</v>
      </c>
      <c r="BA421">
        <v>0</v>
      </c>
      <c r="BB421">
        <f>1-AZ421/BA421</f>
        <v>0</v>
      </c>
      <c r="BC421">
        <v>0</v>
      </c>
      <c r="BD421" t="s">
        <v>417</v>
      </c>
      <c r="BE421" t="s">
        <v>417</v>
      </c>
      <c r="BF421">
        <v>0</v>
      </c>
      <c r="BG421">
        <v>0</v>
      </c>
      <c r="BH421">
        <f>1-BF421/BG421</f>
        <v>0</v>
      </c>
      <c r="BI421">
        <v>0.5</v>
      </c>
      <c r="BJ421">
        <f>CS421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417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BZ421">
        <v>1249</v>
      </c>
      <c r="CA421">
        <v>300</v>
      </c>
      <c r="CB421">
        <v>300</v>
      </c>
      <c r="CC421">
        <v>300</v>
      </c>
      <c r="CD421">
        <v>10442.4</v>
      </c>
      <c r="CE421">
        <v>1239.69</v>
      </c>
      <c r="CF421">
        <v>-0.00735276</v>
      </c>
      <c r="CG421">
        <v>0.07000000000000001</v>
      </c>
      <c r="CH421" t="s">
        <v>417</v>
      </c>
      <c r="CI421" t="s">
        <v>417</v>
      </c>
      <c r="CJ421" t="s">
        <v>417</v>
      </c>
      <c r="CK421" t="s">
        <v>417</v>
      </c>
      <c r="CL421" t="s">
        <v>417</v>
      </c>
      <c r="CM421" t="s">
        <v>417</v>
      </c>
      <c r="CN421" t="s">
        <v>417</v>
      </c>
      <c r="CO421" t="s">
        <v>417</v>
      </c>
      <c r="CP421" t="s">
        <v>417</v>
      </c>
      <c r="CQ421" t="s">
        <v>417</v>
      </c>
      <c r="CR421">
        <f>$B$11*DQ421+$C$11*DR421+$F$11*EC421*(1-EF421)</f>
        <v>0</v>
      </c>
      <c r="CS421">
        <f>CR421*CT421</f>
        <v>0</v>
      </c>
      <c r="CT421">
        <f>($B$11*$D$9+$C$11*$D$9+$F$11*((EP421+EH421)/MAX(EP421+EH421+EQ421, 0.1)*$I$9+EQ421/MAX(EP421+EH421+EQ421, 0.1)*$J$9))/($B$11+$C$11+$F$11)</f>
        <v>0</v>
      </c>
      <c r="CU421">
        <f>($B$11*$K$9+$C$11*$K$9+$F$11*((EP421+EH421)/MAX(EP421+EH421+EQ421, 0.1)*$P$9+EQ421/MAX(EP421+EH421+EQ421, 0.1)*$Q$9))/($B$11+$C$11+$F$11)</f>
        <v>0</v>
      </c>
      <c r="CV421">
        <v>6</v>
      </c>
      <c r="CW421">
        <v>0.5</v>
      </c>
      <c r="CX421" t="s">
        <v>418</v>
      </c>
      <c r="CY421">
        <v>2</v>
      </c>
      <c r="CZ421" t="b">
        <v>1</v>
      </c>
      <c r="DA421">
        <v>1651866572.5</v>
      </c>
      <c r="DB421">
        <v>997.3746666666666</v>
      </c>
      <c r="DC421">
        <v>1061.423333333333</v>
      </c>
      <c r="DD421">
        <v>18.596</v>
      </c>
      <c r="DE421">
        <v>8.957196666666666</v>
      </c>
      <c r="DF421">
        <v>999.3323333333333</v>
      </c>
      <c r="DG421">
        <v>18.57193333333333</v>
      </c>
      <c r="DH421">
        <v>500.0606666666667</v>
      </c>
      <c r="DI421">
        <v>89.90906666666666</v>
      </c>
      <c r="DJ421">
        <v>0.1002206666666667</v>
      </c>
      <c r="DK421">
        <v>25.93233333333334</v>
      </c>
      <c r="DL421">
        <v>25.0024</v>
      </c>
      <c r="DM421">
        <v>999.9</v>
      </c>
      <c r="DN421">
        <v>0</v>
      </c>
      <c r="DO421">
        <v>0</v>
      </c>
      <c r="DP421">
        <v>9985.626666666665</v>
      </c>
      <c r="DQ421">
        <v>0</v>
      </c>
      <c r="DR421">
        <v>3.20383</v>
      </c>
      <c r="DS421">
        <v>-64.04686666666667</v>
      </c>
      <c r="DT421">
        <v>1016.273333333333</v>
      </c>
      <c r="DU421">
        <v>1071.016666666667</v>
      </c>
      <c r="DV421">
        <v>9.638800000000002</v>
      </c>
      <c r="DW421">
        <v>1061.423333333333</v>
      </c>
      <c r="DX421">
        <v>8.957196666666666</v>
      </c>
      <c r="DY421">
        <v>1.671946666666667</v>
      </c>
      <c r="DZ421">
        <v>0.8053330000000001</v>
      </c>
      <c r="EA421">
        <v>14.63843333333333</v>
      </c>
      <c r="EB421">
        <v>3.801656666666666</v>
      </c>
      <c r="EC421">
        <v>1499.93</v>
      </c>
      <c r="ED421">
        <v>0.972992</v>
      </c>
      <c r="EE421">
        <v>0.027008</v>
      </c>
      <c r="EF421">
        <v>0</v>
      </c>
      <c r="EG421">
        <v>909.658</v>
      </c>
      <c r="EH421">
        <v>5.00097</v>
      </c>
      <c r="EI421">
        <v>13533.93333333333</v>
      </c>
      <c r="EJ421">
        <v>12491</v>
      </c>
      <c r="EK421">
        <v>37.875</v>
      </c>
      <c r="EL421">
        <v>39.125</v>
      </c>
      <c r="EM421">
        <v>38.27066666666666</v>
      </c>
      <c r="EN421">
        <v>38.75</v>
      </c>
      <c r="EO421">
        <v>38.75</v>
      </c>
      <c r="EP421">
        <v>1454.55</v>
      </c>
      <c r="EQ421">
        <v>40.38</v>
      </c>
      <c r="ER421">
        <v>0</v>
      </c>
      <c r="ES421">
        <v>1091</v>
      </c>
      <c r="ET421">
        <v>0</v>
      </c>
      <c r="EU421">
        <v>910.8047200000001</v>
      </c>
      <c r="EV421">
        <v>-10.65753847999024</v>
      </c>
      <c r="EW421">
        <v>-161.4153848416487</v>
      </c>
      <c r="EX421">
        <v>13551.592</v>
      </c>
      <c r="EY421">
        <v>15</v>
      </c>
      <c r="EZ421">
        <v>1651865518.1</v>
      </c>
      <c r="FA421" t="s">
        <v>910</v>
      </c>
      <c r="FB421">
        <v>1651865507.1</v>
      </c>
      <c r="FC421">
        <v>1651865518.1</v>
      </c>
      <c r="FD421">
        <v>8</v>
      </c>
      <c r="FE421">
        <v>0.06</v>
      </c>
      <c r="FF421">
        <v>0</v>
      </c>
      <c r="FG421">
        <v>-0.927</v>
      </c>
      <c r="FH421">
        <v>-0.062</v>
      </c>
      <c r="FI421">
        <v>400</v>
      </c>
      <c r="FJ421">
        <v>11</v>
      </c>
      <c r="FK421">
        <v>0.11</v>
      </c>
      <c r="FL421">
        <v>0.01</v>
      </c>
      <c r="FM421">
        <v>-63.91482499999999</v>
      </c>
      <c r="FN421">
        <v>-0.8866626641649482</v>
      </c>
      <c r="FO421">
        <v>0.1227487367552101</v>
      </c>
      <c r="FP421">
        <v>-1</v>
      </c>
      <c r="FQ421">
        <v>9.6653685</v>
      </c>
      <c r="FR421">
        <v>-0.1209843151969957</v>
      </c>
      <c r="FS421">
        <v>0.0121099635734381</v>
      </c>
      <c r="FT421">
        <v>-1</v>
      </c>
      <c r="FU421">
        <v>0</v>
      </c>
      <c r="FV421">
        <v>0</v>
      </c>
      <c r="FW421">
        <v>0</v>
      </c>
      <c r="FX421">
        <v>-1</v>
      </c>
      <c r="FY421">
        <v>0</v>
      </c>
      <c r="FZ421">
        <v>0</v>
      </c>
      <c r="GA421" t="s">
        <v>420</v>
      </c>
      <c r="GB421">
        <v>2.98143</v>
      </c>
      <c r="GC421">
        <v>2.70621</v>
      </c>
      <c r="GD421">
        <v>0.171362</v>
      </c>
      <c r="GE421">
        <v>0.176191</v>
      </c>
      <c r="GF421">
        <v>0.08861869999999999</v>
      </c>
      <c r="GG421">
        <v>0.0509399</v>
      </c>
      <c r="GH421">
        <v>26185.6</v>
      </c>
      <c r="GI421">
        <v>26089.5</v>
      </c>
      <c r="GJ421">
        <v>29378.4</v>
      </c>
      <c r="GK421">
        <v>29293.6</v>
      </c>
      <c r="GL421">
        <v>35452.7</v>
      </c>
      <c r="GM421">
        <v>37035.8</v>
      </c>
      <c r="GN421">
        <v>41350.8</v>
      </c>
      <c r="GO421">
        <v>41813.5</v>
      </c>
      <c r="GP421">
        <v>1.96747</v>
      </c>
      <c r="GQ421">
        <v>1.85662</v>
      </c>
      <c r="GR421">
        <v>-0.00571832</v>
      </c>
      <c r="GS421">
        <v>0</v>
      </c>
      <c r="GT421">
        <v>25.0972</v>
      </c>
      <c r="GU421">
        <v>999.9</v>
      </c>
      <c r="GV421">
        <v>29.5</v>
      </c>
      <c r="GW421">
        <v>34.2</v>
      </c>
      <c r="GX421">
        <v>17.7271</v>
      </c>
      <c r="GY421">
        <v>62.5676</v>
      </c>
      <c r="GZ421">
        <v>35.4968</v>
      </c>
      <c r="HA421">
        <v>1</v>
      </c>
      <c r="HB421">
        <v>0.040935</v>
      </c>
      <c r="HC421">
        <v>1.45717</v>
      </c>
      <c r="HD421">
        <v>20.3282</v>
      </c>
      <c r="HE421">
        <v>5.21654</v>
      </c>
      <c r="HF421">
        <v>12.0099</v>
      </c>
      <c r="HG421">
        <v>4.98905</v>
      </c>
      <c r="HH421">
        <v>3.28858</v>
      </c>
      <c r="HI421">
        <v>1035.8</v>
      </c>
      <c r="HJ421">
        <v>9764.700000000001</v>
      </c>
      <c r="HK421">
        <v>5139.4</v>
      </c>
      <c r="HL421">
        <v>25.4</v>
      </c>
      <c r="HM421">
        <v>1.86746</v>
      </c>
      <c r="HN421">
        <v>1.86646</v>
      </c>
      <c r="HO421">
        <v>1.866</v>
      </c>
      <c r="HP421">
        <v>1.86584</v>
      </c>
      <c r="HQ421">
        <v>1.86768</v>
      </c>
      <c r="HR421">
        <v>1.87019</v>
      </c>
      <c r="HS421">
        <v>1.8689</v>
      </c>
      <c r="HT421">
        <v>1.87022</v>
      </c>
      <c r="HU421">
        <v>0</v>
      </c>
      <c r="HV421">
        <v>0</v>
      </c>
      <c r="HW421">
        <v>0</v>
      </c>
      <c r="HX421">
        <v>0</v>
      </c>
      <c r="HY421" t="s">
        <v>421</v>
      </c>
      <c r="HZ421" t="s">
        <v>422</v>
      </c>
      <c r="IA421" t="s">
        <v>423</v>
      </c>
      <c r="IB421" t="s">
        <v>423</v>
      </c>
      <c r="IC421" t="s">
        <v>423</v>
      </c>
      <c r="ID421" t="s">
        <v>423</v>
      </c>
      <c r="IE421">
        <v>0</v>
      </c>
      <c r="IF421">
        <v>100</v>
      </c>
      <c r="IG421">
        <v>100</v>
      </c>
      <c r="IH421">
        <v>-1.96</v>
      </c>
      <c r="II421">
        <v>0.024</v>
      </c>
      <c r="IJ421">
        <v>-0.1559367209035702</v>
      </c>
      <c r="IK421">
        <v>-0.002077099775823331</v>
      </c>
      <c r="IL421">
        <v>4.593143279902166E-07</v>
      </c>
      <c r="IM421">
        <v>-1.865383991892071E-10</v>
      </c>
      <c r="IN421">
        <v>-0.0607165066849496</v>
      </c>
      <c r="IO421">
        <v>-0.01129461987421345</v>
      </c>
      <c r="IP421">
        <v>0.00116580895745559</v>
      </c>
      <c r="IQ421">
        <v>-1.679085872906199E-05</v>
      </c>
      <c r="IR421">
        <v>2</v>
      </c>
      <c r="IS421">
        <v>2290</v>
      </c>
      <c r="IT421">
        <v>0</v>
      </c>
      <c r="IU421">
        <v>32</v>
      </c>
      <c r="IV421">
        <v>17.8</v>
      </c>
      <c r="IW421">
        <v>17.6</v>
      </c>
      <c r="IX421">
        <v>2.21069</v>
      </c>
      <c r="IY421">
        <v>2.18384</v>
      </c>
      <c r="IZ421">
        <v>1.39648</v>
      </c>
      <c r="JA421">
        <v>2.35474</v>
      </c>
      <c r="JB421">
        <v>1.49536</v>
      </c>
      <c r="JC421">
        <v>2.37183</v>
      </c>
      <c r="JD421">
        <v>38.0134</v>
      </c>
      <c r="JE421">
        <v>24.0437</v>
      </c>
      <c r="JF421">
        <v>18</v>
      </c>
      <c r="JG421">
        <v>512.234</v>
      </c>
      <c r="JH421">
        <v>427.105</v>
      </c>
      <c r="JI421">
        <v>23.1758</v>
      </c>
      <c r="JJ421">
        <v>27.8444</v>
      </c>
      <c r="JK421">
        <v>30</v>
      </c>
      <c r="JL421">
        <v>27.8536</v>
      </c>
      <c r="JM421">
        <v>27.7971</v>
      </c>
      <c r="JN421">
        <v>44.2934</v>
      </c>
      <c r="JO421">
        <v>46.9143</v>
      </c>
      <c r="JP421">
        <v>0</v>
      </c>
      <c r="JQ421">
        <v>23.1795</v>
      </c>
      <c r="JR421">
        <v>1081.83</v>
      </c>
      <c r="JS421">
        <v>9.03706</v>
      </c>
      <c r="JT421">
        <v>100.42</v>
      </c>
      <c r="JU421">
        <v>100.353</v>
      </c>
    </row>
    <row r="422" spans="1:281">
      <c r="A422">
        <v>406</v>
      </c>
      <c r="B422">
        <v>1651866575.5</v>
      </c>
      <c r="C422">
        <v>2354.900000095367</v>
      </c>
      <c r="D422" t="s">
        <v>1235</v>
      </c>
      <c r="E422" t="s">
        <v>1236</v>
      </c>
      <c r="F422">
        <v>2</v>
      </c>
      <c r="G422" t="s">
        <v>908</v>
      </c>
      <c r="H422" t="s">
        <v>414</v>
      </c>
      <c r="I422">
        <v>1651866574.125</v>
      </c>
      <c r="J422">
        <f>(K422)/1000</f>
        <v>0</v>
      </c>
      <c r="K422">
        <f>IF(CZ422, AN422, AH422)</f>
        <v>0</v>
      </c>
      <c r="L422">
        <f>IF(CZ422, AI422, AG422)</f>
        <v>0</v>
      </c>
      <c r="M422">
        <f>DB422 - IF(AU422&gt;1, L422*CV422*100.0/(AW422*DP422), 0)</f>
        <v>0</v>
      </c>
      <c r="N422">
        <f>((T422-J422/2)*M422-L422)/(T422+J422/2)</f>
        <v>0</v>
      </c>
      <c r="O422">
        <f>N422*(DI422+DJ422)/1000.0</f>
        <v>0</v>
      </c>
      <c r="P422">
        <f>(DB422 - IF(AU422&gt;1, L422*CV422*100.0/(AW422*DP422), 0))*(DI422+DJ422)/1000.0</f>
        <v>0</v>
      </c>
      <c r="Q422">
        <f>2.0/((1/S422-1/R422)+SIGN(S422)*SQRT((1/S422-1/R422)*(1/S422-1/R422) + 4*CW422/((CW422+1)*(CW422+1))*(2*1/S422*1/R422-1/R422*1/R422)))</f>
        <v>0</v>
      </c>
      <c r="R422">
        <f>IF(LEFT(CX422,1)&lt;&gt;"0",IF(LEFT(CX422,1)="1",3.0,CY422),$D$5+$E$5*(DP422*DI422/($K$5*1000))+$F$5*(DP422*DI422/($K$5*1000))*MAX(MIN(CV422,$J$5),$I$5)*MAX(MIN(CV422,$J$5),$I$5)+$G$5*MAX(MIN(CV422,$J$5),$I$5)*(DP422*DI422/($K$5*1000))+$H$5*(DP422*DI422/($K$5*1000))*(DP422*DI422/($K$5*1000)))</f>
        <v>0</v>
      </c>
      <c r="S422">
        <f>J422*(1000-(1000*0.61365*exp(17.502*W422/(240.97+W422))/(DI422+DJ422)+DD422)/2)/(1000*0.61365*exp(17.502*W422/(240.97+W422))/(DI422+DJ422)-DD422)</f>
        <v>0</v>
      </c>
      <c r="T422">
        <f>1/((CW422+1)/(Q422/1.6)+1/(R422/1.37)) + CW422/((CW422+1)/(Q422/1.6) + CW422/(R422/1.37))</f>
        <v>0</v>
      </c>
      <c r="U422">
        <f>(CR422*CU422)</f>
        <v>0</v>
      </c>
      <c r="V422">
        <f>(DK422+(U422+2*0.95*5.67E-8*(((DK422+$B$7)+273)^4-(DK422+273)^4)-44100*J422)/(1.84*29.3*R422+8*0.95*5.67E-8*(DK422+273)^3))</f>
        <v>0</v>
      </c>
      <c r="W422">
        <f>($C$7*DL422+$D$7*DM422+$E$7*V422)</f>
        <v>0</v>
      </c>
      <c r="X422">
        <f>0.61365*exp(17.502*W422/(240.97+W422))</f>
        <v>0</v>
      </c>
      <c r="Y422">
        <f>(Z422/AA422*100)</f>
        <v>0</v>
      </c>
      <c r="Z422">
        <f>DD422*(DI422+DJ422)/1000</f>
        <v>0</v>
      </c>
      <c r="AA422">
        <f>0.61365*exp(17.502*DK422/(240.97+DK422))</f>
        <v>0</v>
      </c>
      <c r="AB422">
        <f>(X422-DD422*(DI422+DJ422)/1000)</f>
        <v>0</v>
      </c>
      <c r="AC422">
        <f>(-J422*44100)</f>
        <v>0</v>
      </c>
      <c r="AD422">
        <f>2*29.3*R422*0.92*(DK422-W422)</f>
        <v>0</v>
      </c>
      <c r="AE422">
        <f>2*0.95*5.67E-8*(((DK422+$B$7)+273)^4-(W422+273)^4)</f>
        <v>0</v>
      </c>
      <c r="AF422">
        <f>U422+AE422+AC422+AD422</f>
        <v>0</v>
      </c>
      <c r="AG422">
        <f>DH422*AU422*(DC422-DB422*(1000-AU422*DE422)/(1000-AU422*DD422))/(100*CV422)</f>
        <v>0</v>
      </c>
      <c r="AH422">
        <f>1000*DH422*AU422*(DD422-DE422)/(100*CV422*(1000-AU422*DD422))</f>
        <v>0</v>
      </c>
      <c r="AI422">
        <f>(AJ422 - AK422 - DI422*1E3/(8.314*(DK422+273.15)) * AM422/DH422 * AL422) * DH422/(100*CV422) * (1000 - DE422)/1000</f>
        <v>0</v>
      </c>
      <c r="AJ422">
        <v>1071.800535678858</v>
      </c>
      <c r="AK422">
        <v>1024.718303030302</v>
      </c>
      <c r="AL422">
        <v>3.383751790056408</v>
      </c>
      <c r="AM422">
        <v>66.38195617057868</v>
      </c>
      <c r="AN422">
        <f>(AP422 - AO422 + DI422*1E3/(8.314*(DK422+273.15)) * AR422/DH422 * AQ422) * DH422/(100*CV422) * 1000/(1000 - AP422)</f>
        <v>0</v>
      </c>
      <c r="AO422">
        <v>8.957250023432891</v>
      </c>
      <c r="AP422">
        <v>18.58567705882353</v>
      </c>
      <c r="AQ422">
        <v>-0.0002991585477878058</v>
      </c>
      <c r="AR422">
        <v>80.47178418790507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MAX(0,($B$13+$C$13*DP422)/(1+$D$13*DP422)*DI422/(DK422+273)*$E$13)</f>
        <v>0</v>
      </c>
      <c r="AX422" t="s">
        <v>417</v>
      </c>
      <c r="AY422" t="s">
        <v>417</v>
      </c>
      <c r="AZ422">
        <v>0</v>
      </c>
      <c r="BA422">
        <v>0</v>
      </c>
      <c r="BB422">
        <f>1-AZ422/BA422</f>
        <v>0</v>
      </c>
      <c r="BC422">
        <v>0</v>
      </c>
      <c r="BD422" t="s">
        <v>417</v>
      </c>
      <c r="BE422" t="s">
        <v>417</v>
      </c>
      <c r="BF422">
        <v>0</v>
      </c>
      <c r="BG422">
        <v>0</v>
      </c>
      <c r="BH422">
        <f>1-BF422/BG422</f>
        <v>0</v>
      </c>
      <c r="BI422">
        <v>0.5</v>
      </c>
      <c r="BJ422">
        <f>CS422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417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BZ422">
        <v>1249</v>
      </c>
      <c r="CA422">
        <v>300</v>
      </c>
      <c r="CB422">
        <v>300</v>
      </c>
      <c r="CC422">
        <v>300</v>
      </c>
      <c r="CD422">
        <v>10442.4</v>
      </c>
      <c r="CE422">
        <v>1239.69</v>
      </c>
      <c r="CF422">
        <v>-0.00735276</v>
      </c>
      <c r="CG422">
        <v>0.07000000000000001</v>
      </c>
      <c r="CH422" t="s">
        <v>417</v>
      </c>
      <c r="CI422" t="s">
        <v>417</v>
      </c>
      <c r="CJ422" t="s">
        <v>417</v>
      </c>
      <c r="CK422" t="s">
        <v>417</v>
      </c>
      <c r="CL422" t="s">
        <v>417</v>
      </c>
      <c r="CM422" t="s">
        <v>417</v>
      </c>
      <c r="CN422" t="s">
        <v>417</v>
      </c>
      <c r="CO422" t="s">
        <v>417</v>
      </c>
      <c r="CP422" t="s">
        <v>417</v>
      </c>
      <c r="CQ422" t="s">
        <v>417</v>
      </c>
      <c r="CR422">
        <f>$B$11*DQ422+$C$11*DR422+$F$11*EC422*(1-EF422)</f>
        <v>0</v>
      </c>
      <c r="CS422">
        <f>CR422*CT422</f>
        <v>0</v>
      </c>
      <c r="CT422">
        <f>($B$11*$D$9+$C$11*$D$9+$F$11*((EP422+EH422)/MAX(EP422+EH422+EQ422, 0.1)*$I$9+EQ422/MAX(EP422+EH422+EQ422, 0.1)*$J$9))/($B$11+$C$11+$F$11)</f>
        <v>0</v>
      </c>
      <c r="CU422">
        <f>($B$11*$K$9+$C$11*$K$9+$F$11*((EP422+EH422)/MAX(EP422+EH422+EQ422, 0.1)*$P$9+EQ422/MAX(EP422+EH422+EQ422, 0.1)*$Q$9))/($B$11+$C$11+$F$11)</f>
        <v>0</v>
      </c>
      <c r="CV422">
        <v>6</v>
      </c>
      <c r="CW422">
        <v>0.5</v>
      </c>
      <c r="CX422" t="s">
        <v>418</v>
      </c>
      <c r="CY422">
        <v>2</v>
      </c>
      <c r="CZ422" t="b">
        <v>1</v>
      </c>
      <c r="DA422">
        <v>1651866574.125</v>
      </c>
      <c r="DB422">
        <v>1002.7805</v>
      </c>
      <c r="DC422">
        <v>1066.765</v>
      </c>
      <c r="DD422">
        <v>18.58985</v>
      </c>
      <c r="DE422">
        <v>8.956885</v>
      </c>
      <c r="DF422">
        <v>1004.7475</v>
      </c>
      <c r="DG422">
        <v>18.5659</v>
      </c>
      <c r="DH422">
        <v>500.0345</v>
      </c>
      <c r="DI422">
        <v>89.90844999999999</v>
      </c>
      <c r="DJ422">
        <v>0.1001505</v>
      </c>
      <c r="DK422">
        <v>25.933075</v>
      </c>
      <c r="DL422">
        <v>25.0027</v>
      </c>
      <c r="DM422">
        <v>999.9</v>
      </c>
      <c r="DN422">
        <v>0</v>
      </c>
      <c r="DO422">
        <v>0</v>
      </c>
      <c r="DP422">
        <v>9985</v>
      </c>
      <c r="DQ422">
        <v>0</v>
      </c>
      <c r="DR422">
        <v>3.20383</v>
      </c>
      <c r="DS422">
        <v>-63.98485</v>
      </c>
      <c r="DT422">
        <v>1021.775</v>
      </c>
      <c r="DU422">
        <v>1076.4075</v>
      </c>
      <c r="DV422">
        <v>9.63297</v>
      </c>
      <c r="DW422">
        <v>1066.765</v>
      </c>
      <c r="DX422">
        <v>8.956885</v>
      </c>
      <c r="DY422">
        <v>1.671385</v>
      </c>
      <c r="DZ422">
        <v>0.8053</v>
      </c>
      <c r="EA422">
        <v>14.6332</v>
      </c>
      <c r="EB422">
        <v>3.801075</v>
      </c>
      <c r="EC422">
        <v>1500.0775</v>
      </c>
      <c r="ED422">
        <v>0.9729945</v>
      </c>
      <c r="EE422">
        <v>0.02700535</v>
      </c>
      <c r="EF422">
        <v>0</v>
      </c>
      <c r="EG422">
        <v>909.26625</v>
      </c>
      <c r="EH422">
        <v>5.00097</v>
      </c>
      <c r="EI422">
        <v>13531.55</v>
      </c>
      <c r="EJ422">
        <v>12492.225</v>
      </c>
      <c r="EK422">
        <v>37.875</v>
      </c>
      <c r="EL422">
        <v>39.125</v>
      </c>
      <c r="EM422">
        <v>38.25</v>
      </c>
      <c r="EN422">
        <v>38.75</v>
      </c>
      <c r="EO422">
        <v>38.75</v>
      </c>
      <c r="EP422">
        <v>1454.6975</v>
      </c>
      <c r="EQ422">
        <v>40.3775</v>
      </c>
      <c r="ER422">
        <v>0</v>
      </c>
      <c r="ES422">
        <v>1092.799999952316</v>
      </c>
      <c r="ET422">
        <v>0</v>
      </c>
      <c r="EU422">
        <v>910.529</v>
      </c>
      <c r="EV422">
        <v>-11.5173333344663</v>
      </c>
      <c r="EW422">
        <v>-160.085470045769</v>
      </c>
      <c r="EX422">
        <v>13547.60384615385</v>
      </c>
      <c r="EY422">
        <v>15</v>
      </c>
      <c r="EZ422">
        <v>1651865518.1</v>
      </c>
      <c r="FA422" t="s">
        <v>910</v>
      </c>
      <c r="FB422">
        <v>1651865507.1</v>
      </c>
      <c r="FC422">
        <v>1651865518.1</v>
      </c>
      <c r="FD422">
        <v>8</v>
      </c>
      <c r="FE422">
        <v>0.06</v>
      </c>
      <c r="FF422">
        <v>0</v>
      </c>
      <c r="FG422">
        <v>-0.927</v>
      </c>
      <c r="FH422">
        <v>-0.062</v>
      </c>
      <c r="FI422">
        <v>400</v>
      </c>
      <c r="FJ422">
        <v>11</v>
      </c>
      <c r="FK422">
        <v>0.11</v>
      </c>
      <c r="FL422">
        <v>0.01</v>
      </c>
      <c r="FM422">
        <v>-63.93544999999999</v>
      </c>
      <c r="FN422">
        <v>-0.7029681050654859</v>
      </c>
      <c r="FO422">
        <v>0.1041405660633739</v>
      </c>
      <c r="FP422">
        <v>-1</v>
      </c>
      <c r="FQ422">
        <v>9.663027500000002</v>
      </c>
      <c r="FR422">
        <v>-0.133498536585399</v>
      </c>
      <c r="FS422">
        <v>0.0133865504798659</v>
      </c>
      <c r="FT422">
        <v>-1</v>
      </c>
      <c r="FU422">
        <v>0</v>
      </c>
      <c r="FV422">
        <v>0</v>
      </c>
      <c r="FW422">
        <v>0</v>
      </c>
      <c r="FX422">
        <v>-1</v>
      </c>
      <c r="FY422">
        <v>0</v>
      </c>
      <c r="FZ422">
        <v>0</v>
      </c>
      <c r="GA422" t="s">
        <v>420</v>
      </c>
      <c r="GB422">
        <v>2.98155</v>
      </c>
      <c r="GC422">
        <v>2.70613</v>
      </c>
      <c r="GD422">
        <v>0.172087</v>
      </c>
      <c r="GE422">
        <v>0.176879</v>
      </c>
      <c r="GF422">
        <v>0.0886052</v>
      </c>
      <c r="GG422">
        <v>0.0509376</v>
      </c>
      <c r="GH422">
        <v>26163</v>
      </c>
      <c r="GI422">
        <v>26067.5</v>
      </c>
      <c r="GJ422">
        <v>29378.7</v>
      </c>
      <c r="GK422">
        <v>29293.4</v>
      </c>
      <c r="GL422">
        <v>35453.7</v>
      </c>
      <c r="GM422">
        <v>37035.6</v>
      </c>
      <c r="GN422">
        <v>41351.4</v>
      </c>
      <c r="GO422">
        <v>41813.2</v>
      </c>
      <c r="GP422">
        <v>1.96767</v>
      </c>
      <c r="GQ422">
        <v>1.85655</v>
      </c>
      <c r="GR422">
        <v>-0.00583008</v>
      </c>
      <c r="GS422">
        <v>0</v>
      </c>
      <c r="GT422">
        <v>25.0962</v>
      </c>
      <c r="GU422">
        <v>999.9</v>
      </c>
      <c r="GV422">
        <v>29.4</v>
      </c>
      <c r="GW422">
        <v>34.2</v>
      </c>
      <c r="GX422">
        <v>17.6674</v>
      </c>
      <c r="GY422">
        <v>62.5476</v>
      </c>
      <c r="GZ422">
        <v>35.2644</v>
      </c>
      <c r="HA422">
        <v>1</v>
      </c>
      <c r="HB422">
        <v>0.0408892</v>
      </c>
      <c r="HC422">
        <v>1.47323</v>
      </c>
      <c r="HD422">
        <v>20.328</v>
      </c>
      <c r="HE422">
        <v>5.21639</v>
      </c>
      <c r="HF422">
        <v>12.0099</v>
      </c>
      <c r="HG422">
        <v>4.98895</v>
      </c>
      <c r="HH422">
        <v>3.28858</v>
      </c>
      <c r="HI422">
        <v>1035.8</v>
      </c>
      <c r="HJ422">
        <v>9764.700000000001</v>
      </c>
      <c r="HK422">
        <v>5139.4</v>
      </c>
      <c r="HL422">
        <v>25.4</v>
      </c>
      <c r="HM422">
        <v>1.86742</v>
      </c>
      <c r="HN422">
        <v>1.86646</v>
      </c>
      <c r="HO422">
        <v>1.866</v>
      </c>
      <c r="HP422">
        <v>1.86584</v>
      </c>
      <c r="HQ422">
        <v>1.86768</v>
      </c>
      <c r="HR422">
        <v>1.8702</v>
      </c>
      <c r="HS422">
        <v>1.8689</v>
      </c>
      <c r="HT422">
        <v>1.87022</v>
      </c>
      <c r="HU422">
        <v>0</v>
      </c>
      <c r="HV422">
        <v>0</v>
      </c>
      <c r="HW422">
        <v>0</v>
      </c>
      <c r="HX422">
        <v>0</v>
      </c>
      <c r="HY422" t="s">
        <v>421</v>
      </c>
      <c r="HZ422" t="s">
        <v>422</v>
      </c>
      <c r="IA422" t="s">
        <v>423</v>
      </c>
      <c r="IB422" t="s">
        <v>423</v>
      </c>
      <c r="IC422" t="s">
        <v>423</v>
      </c>
      <c r="ID422" t="s">
        <v>423</v>
      </c>
      <c r="IE422">
        <v>0</v>
      </c>
      <c r="IF422">
        <v>100</v>
      </c>
      <c r="IG422">
        <v>100</v>
      </c>
      <c r="IH422">
        <v>-1.97</v>
      </c>
      <c r="II422">
        <v>0.0239</v>
      </c>
      <c r="IJ422">
        <v>-0.1559367209035702</v>
      </c>
      <c r="IK422">
        <v>-0.002077099775823331</v>
      </c>
      <c r="IL422">
        <v>4.593143279902166E-07</v>
      </c>
      <c r="IM422">
        <v>-1.865383991892071E-10</v>
      </c>
      <c r="IN422">
        <v>-0.0607165066849496</v>
      </c>
      <c r="IO422">
        <v>-0.01129461987421345</v>
      </c>
      <c r="IP422">
        <v>0.00116580895745559</v>
      </c>
      <c r="IQ422">
        <v>-1.679085872906199E-05</v>
      </c>
      <c r="IR422">
        <v>2</v>
      </c>
      <c r="IS422">
        <v>2290</v>
      </c>
      <c r="IT422">
        <v>0</v>
      </c>
      <c r="IU422">
        <v>32</v>
      </c>
      <c r="IV422">
        <v>17.8</v>
      </c>
      <c r="IW422">
        <v>17.6</v>
      </c>
      <c r="IX422">
        <v>2.2229</v>
      </c>
      <c r="IY422">
        <v>2.18506</v>
      </c>
      <c r="IZ422">
        <v>1.39648</v>
      </c>
      <c r="JA422">
        <v>2.35474</v>
      </c>
      <c r="JB422">
        <v>1.49536</v>
      </c>
      <c r="JC422">
        <v>2.35352</v>
      </c>
      <c r="JD422">
        <v>38.0134</v>
      </c>
      <c r="JE422">
        <v>24.035</v>
      </c>
      <c r="JF422">
        <v>18</v>
      </c>
      <c r="JG422">
        <v>512.3630000000001</v>
      </c>
      <c r="JH422">
        <v>427.055</v>
      </c>
      <c r="JI422">
        <v>23.1777</v>
      </c>
      <c r="JJ422">
        <v>27.8444</v>
      </c>
      <c r="JK422">
        <v>29.9999</v>
      </c>
      <c r="JL422">
        <v>27.8533</v>
      </c>
      <c r="JM422">
        <v>27.7963</v>
      </c>
      <c r="JN422">
        <v>44.5183</v>
      </c>
      <c r="JO422">
        <v>46.6381</v>
      </c>
      <c r="JP422">
        <v>0</v>
      </c>
      <c r="JQ422">
        <v>23.1545</v>
      </c>
      <c r="JR422">
        <v>1088.51</v>
      </c>
      <c r="JS422">
        <v>9.04903</v>
      </c>
      <c r="JT422">
        <v>100.422</v>
      </c>
      <c r="JU422">
        <v>100.352</v>
      </c>
    </row>
    <row r="423" spans="1:281">
      <c r="A423">
        <v>407</v>
      </c>
      <c r="B423">
        <v>1651866577.5</v>
      </c>
      <c r="C423">
        <v>2356.900000095367</v>
      </c>
      <c r="D423" t="s">
        <v>1237</v>
      </c>
      <c r="E423" t="s">
        <v>1238</v>
      </c>
      <c r="F423">
        <v>2</v>
      </c>
      <c r="G423" t="s">
        <v>908</v>
      </c>
      <c r="H423" t="s">
        <v>414</v>
      </c>
      <c r="I423">
        <v>1651866576.5</v>
      </c>
      <c r="J423">
        <f>(K423)/1000</f>
        <v>0</v>
      </c>
      <c r="K423">
        <f>IF(CZ423, AN423, AH423)</f>
        <v>0</v>
      </c>
      <c r="L423">
        <f>IF(CZ423, AI423, AG423)</f>
        <v>0</v>
      </c>
      <c r="M423">
        <f>DB423 - IF(AU423&gt;1, L423*CV423*100.0/(AW423*DP423), 0)</f>
        <v>0</v>
      </c>
      <c r="N423">
        <f>((T423-J423/2)*M423-L423)/(T423+J423/2)</f>
        <v>0</v>
      </c>
      <c r="O423">
        <f>N423*(DI423+DJ423)/1000.0</f>
        <v>0</v>
      </c>
      <c r="P423">
        <f>(DB423 - IF(AU423&gt;1, L423*CV423*100.0/(AW423*DP423), 0))*(DI423+DJ423)/1000.0</f>
        <v>0</v>
      </c>
      <c r="Q423">
        <f>2.0/((1/S423-1/R423)+SIGN(S423)*SQRT((1/S423-1/R423)*(1/S423-1/R423) + 4*CW423/((CW423+1)*(CW423+1))*(2*1/S423*1/R423-1/R423*1/R423)))</f>
        <v>0</v>
      </c>
      <c r="R423">
        <f>IF(LEFT(CX423,1)&lt;&gt;"0",IF(LEFT(CX423,1)="1",3.0,CY423),$D$5+$E$5*(DP423*DI423/($K$5*1000))+$F$5*(DP423*DI423/($K$5*1000))*MAX(MIN(CV423,$J$5),$I$5)*MAX(MIN(CV423,$J$5),$I$5)+$G$5*MAX(MIN(CV423,$J$5),$I$5)*(DP423*DI423/($K$5*1000))+$H$5*(DP423*DI423/($K$5*1000))*(DP423*DI423/($K$5*1000)))</f>
        <v>0</v>
      </c>
      <c r="S423">
        <f>J423*(1000-(1000*0.61365*exp(17.502*W423/(240.97+W423))/(DI423+DJ423)+DD423)/2)/(1000*0.61365*exp(17.502*W423/(240.97+W423))/(DI423+DJ423)-DD423)</f>
        <v>0</v>
      </c>
      <c r="T423">
        <f>1/((CW423+1)/(Q423/1.6)+1/(R423/1.37)) + CW423/((CW423+1)/(Q423/1.6) + CW423/(R423/1.37))</f>
        <v>0</v>
      </c>
      <c r="U423">
        <f>(CR423*CU423)</f>
        <v>0</v>
      </c>
      <c r="V423">
        <f>(DK423+(U423+2*0.95*5.67E-8*(((DK423+$B$7)+273)^4-(DK423+273)^4)-44100*J423)/(1.84*29.3*R423+8*0.95*5.67E-8*(DK423+273)^3))</f>
        <v>0</v>
      </c>
      <c r="W423">
        <f>($C$7*DL423+$D$7*DM423+$E$7*V423)</f>
        <v>0</v>
      </c>
      <c r="X423">
        <f>0.61365*exp(17.502*W423/(240.97+W423))</f>
        <v>0</v>
      </c>
      <c r="Y423">
        <f>(Z423/AA423*100)</f>
        <v>0</v>
      </c>
      <c r="Z423">
        <f>DD423*(DI423+DJ423)/1000</f>
        <v>0</v>
      </c>
      <c r="AA423">
        <f>0.61365*exp(17.502*DK423/(240.97+DK423))</f>
        <v>0</v>
      </c>
      <c r="AB423">
        <f>(X423-DD423*(DI423+DJ423)/1000)</f>
        <v>0</v>
      </c>
      <c r="AC423">
        <f>(-J423*44100)</f>
        <v>0</v>
      </c>
      <c r="AD423">
        <f>2*29.3*R423*0.92*(DK423-W423)</f>
        <v>0</v>
      </c>
      <c r="AE423">
        <f>2*0.95*5.67E-8*(((DK423+$B$7)+273)^4-(W423+273)^4)</f>
        <v>0</v>
      </c>
      <c r="AF423">
        <f>U423+AE423+AC423+AD423</f>
        <v>0</v>
      </c>
      <c r="AG423">
        <f>DH423*AU423*(DC423-DB423*(1000-AU423*DE423)/(1000-AU423*DD423))/(100*CV423)</f>
        <v>0</v>
      </c>
      <c r="AH423">
        <f>1000*DH423*AU423*(DD423-DE423)/(100*CV423*(1000-AU423*DD423))</f>
        <v>0</v>
      </c>
      <c r="AI423">
        <f>(AJ423 - AK423 - DI423*1E3/(8.314*(DK423+273.15)) * AM423/DH423 * AL423) * DH423/(100*CV423) * (1000 - DE423)/1000</f>
        <v>0</v>
      </c>
      <c r="AJ423">
        <v>1078.393860903484</v>
      </c>
      <c r="AK423">
        <v>1031.402606060606</v>
      </c>
      <c r="AL423">
        <v>3.349512512423517</v>
      </c>
      <c r="AM423">
        <v>66.38195617057868</v>
      </c>
      <c r="AN423">
        <f>(AP423 - AO423 + DI423*1E3/(8.314*(DK423+273.15)) * AR423/DH423 * AQ423) * DH423/(100*CV423) * 1000/(1000 - AP423)</f>
        <v>0</v>
      </c>
      <c r="AO423">
        <v>8.957095520172691</v>
      </c>
      <c r="AP423">
        <v>18.58643882352941</v>
      </c>
      <c r="AQ423">
        <v>-0.007154852573107475</v>
      </c>
      <c r="AR423">
        <v>80.47178418790507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MAX(0,($B$13+$C$13*DP423)/(1+$D$13*DP423)*DI423/(DK423+273)*$E$13)</f>
        <v>0</v>
      </c>
      <c r="AX423" t="s">
        <v>417</v>
      </c>
      <c r="AY423" t="s">
        <v>417</v>
      </c>
      <c r="AZ423">
        <v>0</v>
      </c>
      <c r="BA423">
        <v>0</v>
      </c>
      <c r="BB423">
        <f>1-AZ423/BA423</f>
        <v>0</v>
      </c>
      <c r="BC423">
        <v>0</v>
      </c>
      <c r="BD423" t="s">
        <v>417</v>
      </c>
      <c r="BE423" t="s">
        <v>417</v>
      </c>
      <c r="BF423">
        <v>0</v>
      </c>
      <c r="BG423">
        <v>0</v>
      </c>
      <c r="BH423">
        <f>1-BF423/BG423</f>
        <v>0</v>
      </c>
      <c r="BI423">
        <v>0.5</v>
      </c>
      <c r="BJ423">
        <f>CS423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417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BZ423">
        <v>1249</v>
      </c>
      <c r="CA423">
        <v>300</v>
      </c>
      <c r="CB423">
        <v>300</v>
      </c>
      <c r="CC423">
        <v>300</v>
      </c>
      <c r="CD423">
        <v>10442.4</v>
      </c>
      <c r="CE423">
        <v>1239.69</v>
      </c>
      <c r="CF423">
        <v>-0.00735276</v>
      </c>
      <c r="CG423">
        <v>0.07000000000000001</v>
      </c>
      <c r="CH423" t="s">
        <v>417</v>
      </c>
      <c r="CI423" t="s">
        <v>417</v>
      </c>
      <c r="CJ423" t="s">
        <v>417</v>
      </c>
      <c r="CK423" t="s">
        <v>417</v>
      </c>
      <c r="CL423" t="s">
        <v>417</v>
      </c>
      <c r="CM423" t="s">
        <v>417</v>
      </c>
      <c r="CN423" t="s">
        <v>417</v>
      </c>
      <c r="CO423" t="s">
        <v>417</v>
      </c>
      <c r="CP423" t="s">
        <v>417</v>
      </c>
      <c r="CQ423" t="s">
        <v>417</v>
      </c>
      <c r="CR423">
        <f>$B$11*DQ423+$C$11*DR423+$F$11*EC423*(1-EF423)</f>
        <v>0</v>
      </c>
      <c r="CS423">
        <f>CR423*CT423</f>
        <v>0</v>
      </c>
      <c r="CT423">
        <f>($B$11*$D$9+$C$11*$D$9+$F$11*((EP423+EH423)/MAX(EP423+EH423+EQ423, 0.1)*$I$9+EQ423/MAX(EP423+EH423+EQ423, 0.1)*$J$9))/($B$11+$C$11+$F$11)</f>
        <v>0</v>
      </c>
      <c r="CU423">
        <f>($B$11*$K$9+$C$11*$K$9+$F$11*((EP423+EH423)/MAX(EP423+EH423+EQ423, 0.1)*$P$9+EQ423/MAX(EP423+EH423+EQ423, 0.1)*$Q$9))/($B$11+$C$11+$F$11)</f>
        <v>0</v>
      </c>
      <c r="CV423">
        <v>6</v>
      </c>
      <c r="CW423">
        <v>0.5</v>
      </c>
      <c r="CX423" t="s">
        <v>418</v>
      </c>
      <c r="CY423">
        <v>2</v>
      </c>
      <c r="CZ423" t="b">
        <v>1</v>
      </c>
      <c r="DA423">
        <v>1651866576.5</v>
      </c>
      <c r="DB423">
        <v>1010.593333333333</v>
      </c>
      <c r="DC423">
        <v>1074.536666666667</v>
      </c>
      <c r="DD423">
        <v>18.58646666666667</v>
      </c>
      <c r="DE423">
        <v>8.956036666666668</v>
      </c>
      <c r="DF423">
        <v>1012.576666666667</v>
      </c>
      <c r="DG423">
        <v>18.56253333333333</v>
      </c>
      <c r="DH423">
        <v>500.036</v>
      </c>
      <c r="DI423">
        <v>89.90863333333334</v>
      </c>
      <c r="DJ423">
        <v>0.0998786</v>
      </c>
      <c r="DK423">
        <v>25.93253333333334</v>
      </c>
      <c r="DL423">
        <v>25.00076666666666</v>
      </c>
      <c r="DM423">
        <v>999.9</v>
      </c>
      <c r="DN423">
        <v>0</v>
      </c>
      <c r="DO423">
        <v>0</v>
      </c>
      <c r="DP423">
        <v>10006.66666666667</v>
      </c>
      <c r="DQ423">
        <v>0</v>
      </c>
      <c r="DR423">
        <v>3.20383</v>
      </c>
      <c r="DS423">
        <v>-63.94243333333333</v>
      </c>
      <c r="DT423">
        <v>1029.733333333333</v>
      </c>
      <c r="DU423">
        <v>1084.246666666667</v>
      </c>
      <c r="DV423">
        <v>9.630443333333332</v>
      </c>
      <c r="DW423">
        <v>1074.536666666667</v>
      </c>
      <c r="DX423">
        <v>8.956036666666668</v>
      </c>
      <c r="DY423">
        <v>1.671083333333333</v>
      </c>
      <c r="DZ423">
        <v>0.8052250000000001</v>
      </c>
      <c r="EA423">
        <v>14.63043333333333</v>
      </c>
      <c r="EB423">
        <v>3.79975</v>
      </c>
      <c r="EC423">
        <v>1499.936666666666</v>
      </c>
      <c r="ED423">
        <v>0.972992</v>
      </c>
      <c r="EE423">
        <v>0.027008</v>
      </c>
      <c r="EF423">
        <v>0</v>
      </c>
      <c r="EG423">
        <v>909.0013333333333</v>
      </c>
      <c r="EH423">
        <v>5.00097</v>
      </c>
      <c r="EI423">
        <v>13523.4</v>
      </c>
      <c r="EJ423">
        <v>12491.03333333333</v>
      </c>
      <c r="EK423">
        <v>37.875</v>
      </c>
      <c r="EL423">
        <v>39.125</v>
      </c>
      <c r="EM423">
        <v>38.25</v>
      </c>
      <c r="EN423">
        <v>38.75</v>
      </c>
      <c r="EO423">
        <v>38.708</v>
      </c>
      <c r="EP423">
        <v>1454.556666666667</v>
      </c>
      <c r="EQ423">
        <v>40.38</v>
      </c>
      <c r="ER423">
        <v>0</v>
      </c>
      <c r="ES423">
        <v>1095.200000047684</v>
      </c>
      <c r="ET423">
        <v>0</v>
      </c>
      <c r="EU423">
        <v>910.0710384615384</v>
      </c>
      <c r="EV423">
        <v>-11.3331623794023</v>
      </c>
      <c r="EW423">
        <v>-161.9350425200066</v>
      </c>
      <c r="EX423">
        <v>13541.26153846154</v>
      </c>
      <c r="EY423">
        <v>15</v>
      </c>
      <c r="EZ423">
        <v>1651865518.1</v>
      </c>
      <c r="FA423" t="s">
        <v>910</v>
      </c>
      <c r="FB423">
        <v>1651865507.1</v>
      </c>
      <c r="FC423">
        <v>1651865518.1</v>
      </c>
      <c r="FD423">
        <v>8</v>
      </c>
      <c r="FE423">
        <v>0.06</v>
      </c>
      <c r="FF423">
        <v>0</v>
      </c>
      <c r="FG423">
        <v>-0.927</v>
      </c>
      <c r="FH423">
        <v>-0.062</v>
      </c>
      <c r="FI423">
        <v>400</v>
      </c>
      <c r="FJ423">
        <v>11</v>
      </c>
      <c r="FK423">
        <v>0.11</v>
      </c>
      <c r="FL423">
        <v>0.01</v>
      </c>
      <c r="FM423">
        <v>-63.96478500000001</v>
      </c>
      <c r="FN423">
        <v>-0.1324818011255385</v>
      </c>
      <c r="FO423">
        <v>0.06502210989348166</v>
      </c>
      <c r="FP423">
        <v>-1</v>
      </c>
      <c r="FQ423">
        <v>9.656029500000001</v>
      </c>
      <c r="FR423">
        <v>-0.1619853658536775</v>
      </c>
      <c r="FS423">
        <v>0.01591152254656976</v>
      </c>
      <c r="FT423">
        <v>-1</v>
      </c>
      <c r="FU423">
        <v>0</v>
      </c>
      <c r="FV423">
        <v>0</v>
      </c>
      <c r="FW423">
        <v>0</v>
      </c>
      <c r="FX423">
        <v>-1</v>
      </c>
      <c r="FY423">
        <v>0</v>
      </c>
      <c r="FZ423">
        <v>0</v>
      </c>
      <c r="GA423" t="s">
        <v>420</v>
      </c>
      <c r="GB423">
        <v>2.98169</v>
      </c>
      <c r="GC423">
        <v>2.70611</v>
      </c>
      <c r="GD423">
        <v>0.172809</v>
      </c>
      <c r="GE423">
        <v>0.177578</v>
      </c>
      <c r="GF423">
        <v>0.08859019999999999</v>
      </c>
      <c r="GG423">
        <v>0.0509461</v>
      </c>
      <c r="GH423">
        <v>26140.3</v>
      </c>
      <c r="GI423">
        <v>26045.6</v>
      </c>
      <c r="GJ423">
        <v>29378.8</v>
      </c>
      <c r="GK423">
        <v>29293.7</v>
      </c>
      <c r="GL423">
        <v>35454.3</v>
      </c>
      <c r="GM423">
        <v>37035.6</v>
      </c>
      <c r="GN423">
        <v>41351.3</v>
      </c>
      <c r="GO423">
        <v>41813.6</v>
      </c>
      <c r="GP423">
        <v>1.96767</v>
      </c>
      <c r="GQ423">
        <v>1.8566</v>
      </c>
      <c r="GR423">
        <v>-0.00569969</v>
      </c>
      <c r="GS423">
        <v>0</v>
      </c>
      <c r="GT423">
        <v>25.0953</v>
      </c>
      <c r="GU423">
        <v>999.9</v>
      </c>
      <c r="GV423">
        <v>29.4</v>
      </c>
      <c r="GW423">
        <v>34.2</v>
      </c>
      <c r="GX423">
        <v>17.6684</v>
      </c>
      <c r="GY423">
        <v>62.4076</v>
      </c>
      <c r="GZ423">
        <v>35.0721</v>
      </c>
      <c r="HA423">
        <v>1</v>
      </c>
      <c r="HB423">
        <v>0.0408537</v>
      </c>
      <c r="HC423">
        <v>1.54303</v>
      </c>
      <c r="HD423">
        <v>20.3274</v>
      </c>
      <c r="HE423">
        <v>5.21654</v>
      </c>
      <c r="HF423">
        <v>12.0099</v>
      </c>
      <c r="HG423">
        <v>4.98905</v>
      </c>
      <c r="HH423">
        <v>3.28865</v>
      </c>
      <c r="HI423">
        <v>1035.8</v>
      </c>
      <c r="HJ423">
        <v>9764.700000000001</v>
      </c>
      <c r="HK423">
        <v>5139.4</v>
      </c>
      <c r="HL423">
        <v>25.4</v>
      </c>
      <c r="HM423">
        <v>1.86743</v>
      </c>
      <c r="HN423">
        <v>1.86646</v>
      </c>
      <c r="HO423">
        <v>1.866</v>
      </c>
      <c r="HP423">
        <v>1.86584</v>
      </c>
      <c r="HQ423">
        <v>1.86768</v>
      </c>
      <c r="HR423">
        <v>1.8702</v>
      </c>
      <c r="HS423">
        <v>1.8689</v>
      </c>
      <c r="HT423">
        <v>1.87022</v>
      </c>
      <c r="HU423">
        <v>0</v>
      </c>
      <c r="HV423">
        <v>0</v>
      </c>
      <c r="HW423">
        <v>0</v>
      </c>
      <c r="HX423">
        <v>0</v>
      </c>
      <c r="HY423" t="s">
        <v>421</v>
      </c>
      <c r="HZ423" t="s">
        <v>422</v>
      </c>
      <c r="IA423" t="s">
        <v>423</v>
      </c>
      <c r="IB423" t="s">
        <v>423</v>
      </c>
      <c r="IC423" t="s">
        <v>423</v>
      </c>
      <c r="ID423" t="s">
        <v>423</v>
      </c>
      <c r="IE423">
        <v>0</v>
      </c>
      <c r="IF423">
        <v>100</v>
      </c>
      <c r="IG423">
        <v>100</v>
      </c>
      <c r="IH423">
        <v>-1.99</v>
      </c>
      <c r="II423">
        <v>0.0239</v>
      </c>
      <c r="IJ423">
        <v>-0.1559367209035702</v>
      </c>
      <c r="IK423">
        <v>-0.002077099775823331</v>
      </c>
      <c r="IL423">
        <v>4.593143279902166E-07</v>
      </c>
      <c r="IM423">
        <v>-1.865383991892071E-10</v>
      </c>
      <c r="IN423">
        <v>-0.0607165066849496</v>
      </c>
      <c r="IO423">
        <v>-0.01129461987421345</v>
      </c>
      <c r="IP423">
        <v>0.00116580895745559</v>
      </c>
      <c r="IQ423">
        <v>-1.679085872906199E-05</v>
      </c>
      <c r="IR423">
        <v>2</v>
      </c>
      <c r="IS423">
        <v>2290</v>
      </c>
      <c r="IT423">
        <v>0</v>
      </c>
      <c r="IU423">
        <v>32</v>
      </c>
      <c r="IV423">
        <v>17.8</v>
      </c>
      <c r="IW423">
        <v>17.7</v>
      </c>
      <c r="IX423">
        <v>2.23389</v>
      </c>
      <c r="IY423">
        <v>2.1875</v>
      </c>
      <c r="IZ423">
        <v>1.39648</v>
      </c>
      <c r="JA423">
        <v>2.35474</v>
      </c>
      <c r="JB423">
        <v>1.49536</v>
      </c>
      <c r="JC423">
        <v>2.2876</v>
      </c>
      <c r="JD423">
        <v>38.0134</v>
      </c>
      <c r="JE423">
        <v>24.035</v>
      </c>
      <c r="JF423">
        <v>18</v>
      </c>
      <c r="JG423">
        <v>512.353</v>
      </c>
      <c r="JH423">
        <v>427.076</v>
      </c>
      <c r="JI423">
        <v>23.1769</v>
      </c>
      <c r="JJ423">
        <v>27.8435</v>
      </c>
      <c r="JK423">
        <v>29.9999</v>
      </c>
      <c r="JL423">
        <v>27.8521</v>
      </c>
      <c r="JM423">
        <v>27.7952</v>
      </c>
      <c r="JN423">
        <v>44.7387</v>
      </c>
      <c r="JO423">
        <v>46.6381</v>
      </c>
      <c r="JP423">
        <v>0</v>
      </c>
      <c r="JQ423">
        <v>23.1545</v>
      </c>
      <c r="JR423">
        <v>1095.19</v>
      </c>
      <c r="JS423">
        <v>9.0648</v>
      </c>
      <c r="JT423">
        <v>100.422</v>
      </c>
      <c r="JU423">
        <v>100.353</v>
      </c>
    </row>
    <row r="424" spans="1:281">
      <c r="A424">
        <v>408</v>
      </c>
      <c r="B424">
        <v>1651866579.5</v>
      </c>
      <c r="C424">
        <v>2358.900000095367</v>
      </c>
      <c r="D424" t="s">
        <v>1239</v>
      </c>
      <c r="E424" t="s">
        <v>1240</v>
      </c>
      <c r="F424">
        <v>2</v>
      </c>
      <c r="G424" t="s">
        <v>908</v>
      </c>
      <c r="H424" t="s">
        <v>414</v>
      </c>
      <c r="I424">
        <v>1651866578.125</v>
      </c>
      <c r="J424">
        <f>(K424)/1000</f>
        <v>0</v>
      </c>
      <c r="K424">
        <f>IF(CZ424, AN424, AH424)</f>
        <v>0</v>
      </c>
      <c r="L424">
        <f>IF(CZ424, AI424, AG424)</f>
        <v>0</v>
      </c>
      <c r="M424">
        <f>DB424 - IF(AU424&gt;1, L424*CV424*100.0/(AW424*DP424), 0)</f>
        <v>0</v>
      </c>
      <c r="N424">
        <f>((T424-J424/2)*M424-L424)/(T424+J424/2)</f>
        <v>0</v>
      </c>
      <c r="O424">
        <f>N424*(DI424+DJ424)/1000.0</f>
        <v>0</v>
      </c>
      <c r="P424">
        <f>(DB424 - IF(AU424&gt;1, L424*CV424*100.0/(AW424*DP424), 0))*(DI424+DJ424)/1000.0</f>
        <v>0</v>
      </c>
      <c r="Q424">
        <f>2.0/((1/S424-1/R424)+SIGN(S424)*SQRT((1/S424-1/R424)*(1/S424-1/R424) + 4*CW424/((CW424+1)*(CW424+1))*(2*1/S424*1/R424-1/R424*1/R424)))</f>
        <v>0</v>
      </c>
      <c r="R424">
        <f>IF(LEFT(CX424,1)&lt;&gt;"0",IF(LEFT(CX424,1)="1",3.0,CY424),$D$5+$E$5*(DP424*DI424/($K$5*1000))+$F$5*(DP424*DI424/($K$5*1000))*MAX(MIN(CV424,$J$5),$I$5)*MAX(MIN(CV424,$J$5),$I$5)+$G$5*MAX(MIN(CV424,$J$5),$I$5)*(DP424*DI424/($K$5*1000))+$H$5*(DP424*DI424/($K$5*1000))*(DP424*DI424/($K$5*1000)))</f>
        <v>0</v>
      </c>
      <c r="S424">
        <f>J424*(1000-(1000*0.61365*exp(17.502*W424/(240.97+W424))/(DI424+DJ424)+DD424)/2)/(1000*0.61365*exp(17.502*W424/(240.97+W424))/(DI424+DJ424)-DD424)</f>
        <v>0</v>
      </c>
      <c r="T424">
        <f>1/((CW424+1)/(Q424/1.6)+1/(R424/1.37)) + CW424/((CW424+1)/(Q424/1.6) + CW424/(R424/1.37))</f>
        <v>0</v>
      </c>
      <c r="U424">
        <f>(CR424*CU424)</f>
        <v>0</v>
      </c>
      <c r="V424">
        <f>(DK424+(U424+2*0.95*5.67E-8*(((DK424+$B$7)+273)^4-(DK424+273)^4)-44100*J424)/(1.84*29.3*R424+8*0.95*5.67E-8*(DK424+273)^3))</f>
        <v>0</v>
      </c>
      <c r="W424">
        <f>($C$7*DL424+$D$7*DM424+$E$7*V424)</f>
        <v>0</v>
      </c>
      <c r="X424">
        <f>0.61365*exp(17.502*W424/(240.97+W424))</f>
        <v>0</v>
      </c>
      <c r="Y424">
        <f>(Z424/AA424*100)</f>
        <v>0</v>
      </c>
      <c r="Z424">
        <f>DD424*(DI424+DJ424)/1000</f>
        <v>0</v>
      </c>
      <c r="AA424">
        <f>0.61365*exp(17.502*DK424/(240.97+DK424))</f>
        <v>0</v>
      </c>
      <c r="AB424">
        <f>(X424-DD424*(DI424+DJ424)/1000)</f>
        <v>0</v>
      </c>
      <c r="AC424">
        <f>(-J424*44100)</f>
        <v>0</v>
      </c>
      <c r="AD424">
        <f>2*29.3*R424*0.92*(DK424-W424)</f>
        <v>0</v>
      </c>
      <c r="AE424">
        <f>2*0.95*5.67E-8*(((DK424+$B$7)+273)^4-(W424+273)^4)</f>
        <v>0</v>
      </c>
      <c r="AF424">
        <f>U424+AE424+AC424+AD424</f>
        <v>0</v>
      </c>
      <c r="AG424">
        <f>DH424*AU424*(DC424-DB424*(1000-AU424*DE424)/(1000-AU424*DD424))/(100*CV424)</f>
        <v>0</v>
      </c>
      <c r="AH424">
        <f>1000*DH424*AU424*(DD424-DE424)/(100*CV424*(1000-AU424*DD424))</f>
        <v>0</v>
      </c>
      <c r="AI424">
        <f>(AJ424 - AK424 - DI424*1E3/(8.314*(DK424+273.15)) * AM424/DH424 * AL424) * DH424/(100*CV424) * (1000 - DE424)/1000</f>
        <v>0</v>
      </c>
      <c r="AJ424">
        <v>1085.021125482911</v>
      </c>
      <c r="AK424">
        <v>1038.124848484848</v>
      </c>
      <c r="AL424">
        <v>3.354124663240921</v>
      </c>
      <c r="AM424">
        <v>66.38195617057868</v>
      </c>
      <c r="AN424">
        <f>(AP424 - AO424 + DI424*1E3/(8.314*(DK424+273.15)) * AR424/DH424 * AQ424) * DH424/(100*CV424) * 1000/(1000 - AP424)</f>
        <v>0</v>
      </c>
      <c r="AO424">
        <v>8.955749747597737</v>
      </c>
      <c r="AP424">
        <v>18.57749647058824</v>
      </c>
      <c r="AQ424">
        <v>-0.001624201988611658</v>
      </c>
      <c r="AR424">
        <v>80.47178418790507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MAX(0,($B$13+$C$13*DP424)/(1+$D$13*DP424)*DI424/(DK424+273)*$E$13)</f>
        <v>0</v>
      </c>
      <c r="AX424" t="s">
        <v>417</v>
      </c>
      <c r="AY424" t="s">
        <v>417</v>
      </c>
      <c r="AZ424">
        <v>0</v>
      </c>
      <c r="BA424">
        <v>0</v>
      </c>
      <c r="BB424">
        <f>1-AZ424/BA424</f>
        <v>0</v>
      </c>
      <c r="BC424">
        <v>0</v>
      </c>
      <c r="BD424" t="s">
        <v>417</v>
      </c>
      <c r="BE424" t="s">
        <v>417</v>
      </c>
      <c r="BF424">
        <v>0</v>
      </c>
      <c r="BG424">
        <v>0</v>
      </c>
      <c r="BH424">
        <f>1-BF424/BG424</f>
        <v>0</v>
      </c>
      <c r="BI424">
        <v>0.5</v>
      </c>
      <c r="BJ424">
        <f>CS424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417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BZ424">
        <v>1249</v>
      </c>
      <c r="CA424">
        <v>300</v>
      </c>
      <c r="CB424">
        <v>300</v>
      </c>
      <c r="CC424">
        <v>300</v>
      </c>
      <c r="CD424">
        <v>10442.4</v>
      </c>
      <c r="CE424">
        <v>1239.69</v>
      </c>
      <c r="CF424">
        <v>-0.00735276</v>
      </c>
      <c r="CG424">
        <v>0.07000000000000001</v>
      </c>
      <c r="CH424" t="s">
        <v>417</v>
      </c>
      <c r="CI424" t="s">
        <v>417</v>
      </c>
      <c r="CJ424" t="s">
        <v>417</v>
      </c>
      <c r="CK424" t="s">
        <v>417</v>
      </c>
      <c r="CL424" t="s">
        <v>417</v>
      </c>
      <c r="CM424" t="s">
        <v>417</v>
      </c>
      <c r="CN424" t="s">
        <v>417</v>
      </c>
      <c r="CO424" t="s">
        <v>417</v>
      </c>
      <c r="CP424" t="s">
        <v>417</v>
      </c>
      <c r="CQ424" t="s">
        <v>417</v>
      </c>
      <c r="CR424">
        <f>$B$11*DQ424+$C$11*DR424+$F$11*EC424*(1-EF424)</f>
        <v>0</v>
      </c>
      <c r="CS424">
        <f>CR424*CT424</f>
        <v>0</v>
      </c>
      <c r="CT424">
        <f>($B$11*$D$9+$C$11*$D$9+$F$11*((EP424+EH424)/MAX(EP424+EH424+EQ424, 0.1)*$I$9+EQ424/MAX(EP424+EH424+EQ424, 0.1)*$J$9))/($B$11+$C$11+$F$11)</f>
        <v>0</v>
      </c>
      <c r="CU424">
        <f>($B$11*$K$9+$C$11*$K$9+$F$11*((EP424+EH424)/MAX(EP424+EH424+EQ424, 0.1)*$P$9+EQ424/MAX(EP424+EH424+EQ424, 0.1)*$Q$9))/($B$11+$C$11+$F$11)</f>
        <v>0</v>
      </c>
      <c r="CV424">
        <v>6</v>
      </c>
      <c r="CW424">
        <v>0.5</v>
      </c>
      <c r="CX424" t="s">
        <v>418</v>
      </c>
      <c r="CY424">
        <v>2</v>
      </c>
      <c r="CZ424" t="b">
        <v>1</v>
      </c>
      <c r="DA424">
        <v>1651866578.125</v>
      </c>
      <c r="DB424">
        <v>1015.9425</v>
      </c>
      <c r="DC424">
        <v>1080.07</v>
      </c>
      <c r="DD424">
        <v>18.580025</v>
      </c>
      <c r="DE424">
        <v>8.96237</v>
      </c>
      <c r="DF424">
        <v>1017.935</v>
      </c>
      <c r="DG424">
        <v>18.5562</v>
      </c>
      <c r="DH424">
        <v>500.0515</v>
      </c>
      <c r="DI424">
        <v>89.90935</v>
      </c>
      <c r="DJ424">
        <v>0.09997252499999999</v>
      </c>
      <c r="DK424">
        <v>25.929875</v>
      </c>
      <c r="DL424">
        <v>25.0019</v>
      </c>
      <c r="DM424">
        <v>999.9</v>
      </c>
      <c r="DN424">
        <v>0</v>
      </c>
      <c r="DO424">
        <v>0</v>
      </c>
      <c r="DP424">
        <v>9994.064999999999</v>
      </c>
      <c r="DQ424">
        <v>0</v>
      </c>
      <c r="DR424">
        <v>3.20383</v>
      </c>
      <c r="DS424">
        <v>-64.125075</v>
      </c>
      <c r="DT424">
        <v>1035.18</v>
      </c>
      <c r="DU424">
        <v>1089.84</v>
      </c>
      <c r="DV424">
        <v>9.61767</v>
      </c>
      <c r="DW424">
        <v>1080.07</v>
      </c>
      <c r="DX424">
        <v>8.96237</v>
      </c>
      <c r="DY424">
        <v>1.67052</v>
      </c>
      <c r="DZ424">
        <v>0.8058005</v>
      </c>
      <c r="EA424">
        <v>14.62515</v>
      </c>
      <c r="EB424">
        <v>3.8098975</v>
      </c>
      <c r="EC424">
        <v>1500.0925</v>
      </c>
      <c r="ED424">
        <v>0.9729945</v>
      </c>
      <c r="EE424">
        <v>0.02700535</v>
      </c>
      <c r="EF424">
        <v>0</v>
      </c>
      <c r="EG424">
        <v>908.9930000000001</v>
      </c>
      <c r="EH424">
        <v>5.00097</v>
      </c>
      <c r="EI424">
        <v>13520.95</v>
      </c>
      <c r="EJ424">
        <v>12492.325</v>
      </c>
      <c r="EK424">
        <v>37.875</v>
      </c>
      <c r="EL424">
        <v>39.125</v>
      </c>
      <c r="EM424">
        <v>38.25</v>
      </c>
      <c r="EN424">
        <v>38.75</v>
      </c>
      <c r="EO424">
        <v>38.70274999999999</v>
      </c>
      <c r="EP424">
        <v>1454.7125</v>
      </c>
      <c r="EQ424">
        <v>40.38</v>
      </c>
      <c r="ER424">
        <v>0</v>
      </c>
      <c r="ES424">
        <v>1097</v>
      </c>
      <c r="ET424">
        <v>0</v>
      </c>
      <c r="EU424">
        <v>909.7392399999999</v>
      </c>
      <c r="EV424">
        <v>-10.85892309896057</v>
      </c>
      <c r="EW424">
        <v>-161.2000002964735</v>
      </c>
      <c r="EX424">
        <v>13535.672</v>
      </c>
      <c r="EY424">
        <v>15</v>
      </c>
      <c r="EZ424">
        <v>1651865518.1</v>
      </c>
      <c r="FA424" t="s">
        <v>910</v>
      </c>
      <c r="FB424">
        <v>1651865507.1</v>
      </c>
      <c r="FC424">
        <v>1651865518.1</v>
      </c>
      <c r="FD424">
        <v>8</v>
      </c>
      <c r="FE424">
        <v>0.06</v>
      </c>
      <c r="FF424">
        <v>0</v>
      </c>
      <c r="FG424">
        <v>-0.927</v>
      </c>
      <c r="FH424">
        <v>-0.062</v>
      </c>
      <c r="FI424">
        <v>400</v>
      </c>
      <c r="FJ424">
        <v>11</v>
      </c>
      <c r="FK424">
        <v>0.11</v>
      </c>
      <c r="FL424">
        <v>0.01</v>
      </c>
      <c r="FM424">
        <v>-63.97061500000001</v>
      </c>
      <c r="FN424">
        <v>-0.1886318949343071</v>
      </c>
      <c r="FO424">
        <v>0.0679662326085534</v>
      </c>
      <c r="FP424">
        <v>-1</v>
      </c>
      <c r="FQ424">
        <v>9.653362000000001</v>
      </c>
      <c r="FR424">
        <v>-0.1722923076923285</v>
      </c>
      <c r="FS424">
        <v>0.01684872698455283</v>
      </c>
      <c r="FT424">
        <v>-1</v>
      </c>
      <c r="FU424">
        <v>0</v>
      </c>
      <c r="FV424">
        <v>0</v>
      </c>
      <c r="FW424">
        <v>0</v>
      </c>
      <c r="FX424">
        <v>-1</v>
      </c>
      <c r="FY424">
        <v>0</v>
      </c>
      <c r="FZ424">
        <v>0</v>
      </c>
      <c r="GA424" t="s">
        <v>420</v>
      </c>
      <c r="GB424">
        <v>2.98155</v>
      </c>
      <c r="GC424">
        <v>2.70612</v>
      </c>
      <c r="GD424">
        <v>0.173535</v>
      </c>
      <c r="GE424">
        <v>0.178296</v>
      </c>
      <c r="GF424">
        <v>0.08856</v>
      </c>
      <c r="GG424">
        <v>0.051007</v>
      </c>
      <c r="GH424">
        <v>26117.2</v>
      </c>
      <c r="GI424">
        <v>26023.1</v>
      </c>
      <c r="GJ424">
        <v>29378.7</v>
      </c>
      <c r="GK424">
        <v>29293.9</v>
      </c>
      <c r="GL424">
        <v>35455.2</v>
      </c>
      <c r="GM424">
        <v>37033.4</v>
      </c>
      <c r="GN424">
        <v>41351</v>
      </c>
      <c r="GO424">
        <v>41813.8</v>
      </c>
      <c r="GP424">
        <v>1.9676</v>
      </c>
      <c r="GQ424">
        <v>1.85667</v>
      </c>
      <c r="GR424">
        <v>-0.00568107</v>
      </c>
      <c r="GS424">
        <v>0</v>
      </c>
      <c r="GT424">
        <v>25.0946</v>
      </c>
      <c r="GU424">
        <v>999.9</v>
      </c>
      <c r="GV424">
        <v>29.4</v>
      </c>
      <c r="GW424">
        <v>34.2</v>
      </c>
      <c r="GX424">
        <v>17.6663</v>
      </c>
      <c r="GY424">
        <v>62.5076</v>
      </c>
      <c r="GZ424">
        <v>35.1683</v>
      </c>
      <c r="HA424">
        <v>1</v>
      </c>
      <c r="HB424">
        <v>0.0408918</v>
      </c>
      <c r="HC424">
        <v>1.5776</v>
      </c>
      <c r="HD424">
        <v>20.3269</v>
      </c>
      <c r="HE424">
        <v>5.21669</v>
      </c>
      <c r="HF424">
        <v>12.0099</v>
      </c>
      <c r="HG424">
        <v>4.9891</v>
      </c>
      <c r="HH424">
        <v>3.28865</v>
      </c>
      <c r="HI424">
        <v>1036</v>
      </c>
      <c r="HJ424">
        <v>9766.1</v>
      </c>
      <c r="HK424">
        <v>5139.4</v>
      </c>
      <c r="HL424">
        <v>25.4</v>
      </c>
      <c r="HM424">
        <v>1.86747</v>
      </c>
      <c r="HN424">
        <v>1.86646</v>
      </c>
      <c r="HO424">
        <v>1.866</v>
      </c>
      <c r="HP424">
        <v>1.86584</v>
      </c>
      <c r="HQ424">
        <v>1.86768</v>
      </c>
      <c r="HR424">
        <v>1.87018</v>
      </c>
      <c r="HS424">
        <v>1.8689</v>
      </c>
      <c r="HT424">
        <v>1.87022</v>
      </c>
      <c r="HU424">
        <v>0</v>
      </c>
      <c r="HV424">
        <v>0</v>
      </c>
      <c r="HW424">
        <v>0</v>
      </c>
      <c r="HX424">
        <v>0</v>
      </c>
      <c r="HY424" t="s">
        <v>421</v>
      </c>
      <c r="HZ424" t="s">
        <v>422</v>
      </c>
      <c r="IA424" t="s">
        <v>423</v>
      </c>
      <c r="IB424" t="s">
        <v>423</v>
      </c>
      <c r="IC424" t="s">
        <v>423</v>
      </c>
      <c r="ID424" t="s">
        <v>423</v>
      </c>
      <c r="IE424">
        <v>0</v>
      </c>
      <c r="IF424">
        <v>100</v>
      </c>
      <c r="IG424">
        <v>100</v>
      </c>
      <c r="IH424">
        <v>-2</v>
      </c>
      <c r="II424">
        <v>0.0238</v>
      </c>
      <c r="IJ424">
        <v>-0.1559367209035702</v>
      </c>
      <c r="IK424">
        <v>-0.002077099775823331</v>
      </c>
      <c r="IL424">
        <v>4.593143279902166E-07</v>
      </c>
      <c r="IM424">
        <v>-1.865383991892071E-10</v>
      </c>
      <c r="IN424">
        <v>-0.0607165066849496</v>
      </c>
      <c r="IO424">
        <v>-0.01129461987421345</v>
      </c>
      <c r="IP424">
        <v>0.00116580895745559</v>
      </c>
      <c r="IQ424">
        <v>-1.679085872906199E-05</v>
      </c>
      <c r="IR424">
        <v>2</v>
      </c>
      <c r="IS424">
        <v>2290</v>
      </c>
      <c r="IT424">
        <v>0</v>
      </c>
      <c r="IU424">
        <v>32</v>
      </c>
      <c r="IV424">
        <v>17.9</v>
      </c>
      <c r="IW424">
        <v>17.7</v>
      </c>
      <c r="IX424">
        <v>2.24487</v>
      </c>
      <c r="IY424">
        <v>2.1875</v>
      </c>
      <c r="IZ424">
        <v>1.39648</v>
      </c>
      <c r="JA424">
        <v>2.35474</v>
      </c>
      <c r="JB424">
        <v>1.49536</v>
      </c>
      <c r="JC424">
        <v>2.30835</v>
      </c>
      <c r="JD424">
        <v>38.0134</v>
      </c>
      <c r="JE424">
        <v>24.0437</v>
      </c>
      <c r="JF424">
        <v>18</v>
      </c>
      <c r="JG424">
        <v>512.296</v>
      </c>
      <c r="JH424">
        <v>427.117</v>
      </c>
      <c r="JI424">
        <v>23.1687</v>
      </c>
      <c r="JJ424">
        <v>27.8423</v>
      </c>
      <c r="JK424">
        <v>30</v>
      </c>
      <c r="JL424">
        <v>27.8513</v>
      </c>
      <c r="JM424">
        <v>27.7946</v>
      </c>
      <c r="JN424">
        <v>44.961</v>
      </c>
      <c r="JO424">
        <v>46.6381</v>
      </c>
      <c r="JP424">
        <v>0</v>
      </c>
      <c r="JQ424">
        <v>23.1545</v>
      </c>
      <c r="JR424">
        <v>1101.87</v>
      </c>
      <c r="JS424">
        <v>9.07611</v>
      </c>
      <c r="JT424">
        <v>100.421</v>
      </c>
      <c r="JU424">
        <v>100.354</v>
      </c>
    </row>
    <row r="425" spans="1:281">
      <c r="A425">
        <v>409</v>
      </c>
      <c r="B425">
        <v>1651866581.5</v>
      </c>
      <c r="C425">
        <v>2360.900000095367</v>
      </c>
      <c r="D425" t="s">
        <v>1241</v>
      </c>
      <c r="E425" t="s">
        <v>1242</v>
      </c>
      <c r="F425">
        <v>2</v>
      </c>
      <c r="G425" t="s">
        <v>908</v>
      </c>
      <c r="H425" t="s">
        <v>414</v>
      </c>
      <c r="I425">
        <v>1651866580.5</v>
      </c>
      <c r="J425">
        <f>(K425)/1000</f>
        <v>0</v>
      </c>
      <c r="K425">
        <f>IF(CZ425, AN425, AH425)</f>
        <v>0</v>
      </c>
      <c r="L425">
        <f>IF(CZ425, AI425, AG425)</f>
        <v>0</v>
      </c>
      <c r="M425">
        <f>DB425 - IF(AU425&gt;1, L425*CV425*100.0/(AW425*DP425), 0)</f>
        <v>0</v>
      </c>
      <c r="N425">
        <f>((T425-J425/2)*M425-L425)/(T425+J425/2)</f>
        <v>0</v>
      </c>
      <c r="O425">
        <f>N425*(DI425+DJ425)/1000.0</f>
        <v>0</v>
      </c>
      <c r="P425">
        <f>(DB425 - IF(AU425&gt;1, L425*CV425*100.0/(AW425*DP425), 0))*(DI425+DJ425)/1000.0</f>
        <v>0</v>
      </c>
      <c r="Q425">
        <f>2.0/((1/S425-1/R425)+SIGN(S425)*SQRT((1/S425-1/R425)*(1/S425-1/R425) + 4*CW425/((CW425+1)*(CW425+1))*(2*1/S425*1/R425-1/R425*1/R425)))</f>
        <v>0</v>
      </c>
      <c r="R425">
        <f>IF(LEFT(CX425,1)&lt;&gt;"0",IF(LEFT(CX425,1)="1",3.0,CY425),$D$5+$E$5*(DP425*DI425/($K$5*1000))+$F$5*(DP425*DI425/($K$5*1000))*MAX(MIN(CV425,$J$5),$I$5)*MAX(MIN(CV425,$J$5),$I$5)+$G$5*MAX(MIN(CV425,$J$5),$I$5)*(DP425*DI425/($K$5*1000))+$H$5*(DP425*DI425/($K$5*1000))*(DP425*DI425/($K$5*1000)))</f>
        <v>0</v>
      </c>
      <c r="S425">
        <f>J425*(1000-(1000*0.61365*exp(17.502*W425/(240.97+W425))/(DI425+DJ425)+DD425)/2)/(1000*0.61365*exp(17.502*W425/(240.97+W425))/(DI425+DJ425)-DD425)</f>
        <v>0</v>
      </c>
      <c r="T425">
        <f>1/((CW425+1)/(Q425/1.6)+1/(R425/1.37)) + CW425/((CW425+1)/(Q425/1.6) + CW425/(R425/1.37))</f>
        <v>0</v>
      </c>
      <c r="U425">
        <f>(CR425*CU425)</f>
        <v>0</v>
      </c>
      <c r="V425">
        <f>(DK425+(U425+2*0.95*5.67E-8*(((DK425+$B$7)+273)^4-(DK425+273)^4)-44100*J425)/(1.84*29.3*R425+8*0.95*5.67E-8*(DK425+273)^3))</f>
        <v>0</v>
      </c>
      <c r="W425">
        <f>($C$7*DL425+$D$7*DM425+$E$7*V425)</f>
        <v>0</v>
      </c>
      <c r="X425">
        <f>0.61365*exp(17.502*W425/(240.97+W425))</f>
        <v>0</v>
      </c>
      <c r="Y425">
        <f>(Z425/AA425*100)</f>
        <v>0</v>
      </c>
      <c r="Z425">
        <f>DD425*(DI425+DJ425)/1000</f>
        <v>0</v>
      </c>
      <c r="AA425">
        <f>0.61365*exp(17.502*DK425/(240.97+DK425))</f>
        <v>0</v>
      </c>
      <c r="AB425">
        <f>(X425-DD425*(DI425+DJ425)/1000)</f>
        <v>0</v>
      </c>
      <c r="AC425">
        <f>(-J425*44100)</f>
        <v>0</v>
      </c>
      <c r="AD425">
        <f>2*29.3*R425*0.92*(DK425-W425)</f>
        <v>0</v>
      </c>
      <c r="AE425">
        <f>2*0.95*5.67E-8*(((DK425+$B$7)+273)^4-(W425+273)^4)</f>
        <v>0</v>
      </c>
      <c r="AF425">
        <f>U425+AE425+AC425+AD425</f>
        <v>0</v>
      </c>
      <c r="AG425">
        <f>DH425*AU425*(DC425-DB425*(1000-AU425*DE425)/(1000-AU425*DD425))/(100*CV425)</f>
        <v>0</v>
      </c>
      <c r="AH425">
        <f>1000*DH425*AU425*(DD425-DE425)/(100*CV425*(1000-AU425*DD425))</f>
        <v>0</v>
      </c>
      <c r="AI425">
        <f>(AJ425 - AK425 - DI425*1E3/(8.314*(DK425+273.15)) * AM425/DH425 * AL425) * DH425/(100*CV425) * (1000 - DE425)/1000</f>
        <v>0</v>
      </c>
      <c r="AJ425">
        <v>1091.933032222149</v>
      </c>
      <c r="AK425">
        <v>1044.919939393939</v>
      </c>
      <c r="AL425">
        <v>3.386185878322592</v>
      </c>
      <c r="AM425">
        <v>66.38195617057868</v>
      </c>
      <c r="AN425">
        <f>(AP425 - AO425 + DI425*1E3/(8.314*(DK425+273.15)) * AR425/DH425 * AQ425) * DH425/(100*CV425) * 1000/(1000 - AP425)</f>
        <v>0</v>
      </c>
      <c r="AO425">
        <v>8.957164434691112</v>
      </c>
      <c r="AP425">
        <v>18.56964794117646</v>
      </c>
      <c r="AQ425">
        <v>-0.0006409922353430308</v>
      </c>
      <c r="AR425">
        <v>80.47178418790507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MAX(0,($B$13+$C$13*DP425)/(1+$D$13*DP425)*DI425/(DK425+273)*$E$13)</f>
        <v>0</v>
      </c>
      <c r="AX425" t="s">
        <v>417</v>
      </c>
      <c r="AY425" t="s">
        <v>417</v>
      </c>
      <c r="AZ425">
        <v>0</v>
      </c>
      <c r="BA425">
        <v>0</v>
      </c>
      <c r="BB425">
        <f>1-AZ425/BA425</f>
        <v>0</v>
      </c>
      <c r="BC425">
        <v>0</v>
      </c>
      <c r="BD425" t="s">
        <v>417</v>
      </c>
      <c r="BE425" t="s">
        <v>417</v>
      </c>
      <c r="BF425">
        <v>0</v>
      </c>
      <c r="BG425">
        <v>0</v>
      </c>
      <c r="BH425">
        <f>1-BF425/BG425</f>
        <v>0</v>
      </c>
      <c r="BI425">
        <v>0.5</v>
      </c>
      <c r="BJ425">
        <f>CS425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417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BZ425">
        <v>1249</v>
      </c>
      <c r="CA425">
        <v>300</v>
      </c>
      <c r="CB425">
        <v>300</v>
      </c>
      <c r="CC425">
        <v>300</v>
      </c>
      <c r="CD425">
        <v>10442.4</v>
      </c>
      <c r="CE425">
        <v>1239.69</v>
      </c>
      <c r="CF425">
        <v>-0.00735276</v>
      </c>
      <c r="CG425">
        <v>0.07000000000000001</v>
      </c>
      <c r="CH425" t="s">
        <v>417</v>
      </c>
      <c r="CI425" t="s">
        <v>417</v>
      </c>
      <c r="CJ425" t="s">
        <v>417</v>
      </c>
      <c r="CK425" t="s">
        <v>417</v>
      </c>
      <c r="CL425" t="s">
        <v>417</v>
      </c>
      <c r="CM425" t="s">
        <v>417</v>
      </c>
      <c r="CN425" t="s">
        <v>417</v>
      </c>
      <c r="CO425" t="s">
        <v>417</v>
      </c>
      <c r="CP425" t="s">
        <v>417</v>
      </c>
      <c r="CQ425" t="s">
        <v>417</v>
      </c>
      <c r="CR425">
        <f>$B$11*DQ425+$C$11*DR425+$F$11*EC425*(1-EF425)</f>
        <v>0</v>
      </c>
      <c r="CS425">
        <f>CR425*CT425</f>
        <v>0</v>
      </c>
      <c r="CT425">
        <f>($B$11*$D$9+$C$11*$D$9+$F$11*((EP425+EH425)/MAX(EP425+EH425+EQ425, 0.1)*$I$9+EQ425/MAX(EP425+EH425+EQ425, 0.1)*$J$9))/($B$11+$C$11+$F$11)</f>
        <v>0</v>
      </c>
      <c r="CU425">
        <f>($B$11*$K$9+$C$11*$K$9+$F$11*((EP425+EH425)/MAX(EP425+EH425+EQ425, 0.1)*$P$9+EQ425/MAX(EP425+EH425+EQ425, 0.1)*$Q$9))/($B$11+$C$11+$F$11)</f>
        <v>0</v>
      </c>
      <c r="CV425">
        <v>6</v>
      </c>
      <c r="CW425">
        <v>0.5</v>
      </c>
      <c r="CX425" t="s">
        <v>418</v>
      </c>
      <c r="CY425">
        <v>2</v>
      </c>
      <c r="CZ425" t="b">
        <v>1</v>
      </c>
      <c r="DA425">
        <v>1651866580.5</v>
      </c>
      <c r="DB425">
        <v>1023.846666666667</v>
      </c>
      <c r="DC425">
        <v>1088.126666666667</v>
      </c>
      <c r="DD425">
        <v>18.57236666666667</v>
      </c>
      <c r="DE425">
        <v>8.980226666666667</v>
      </c>
      <c r="DF425">
        <v>1025.85</v>
      </c>
      <c r="DG425">
        <v>18.54863333333333</v>
      </c>
      <c r="DH425">
        <v>500.048</v>
      </c>
      <c r="DI425">
        <v>89.90946666666666</v>
      </c>
      <c r="DJ425">
        <v>0.09994313333333334</v>
      </c>
      <c r="DK425">
        <v>25.92733333333333</v>
      </c>
      <c r="DL425">
        <v>24.99723333333333</v>
      </c>
      <c r="DM425">
        <v>999.9</v>
      </c>
      <c r="DN425">
        <v>0</v>
      </c>
      <c r="DO425">
        <v>0</v>
      </c>
      <c r="DP425">
        <v>9991.040000000001</v>
      </c>
      <c r="DQ425">
        <v>0</v>
      </c>
      <c r="DR425">
        <v>3.20383</v>
      </c>
      <c r="DS425">
        <v>-64.27806666666667</v>
      </c>
      <c r="DT425">
        <v>1043.22</v>
      </c>
      <c r="DU425">
        <v>1097.983333333333</v>
      </c>
      <c r="DV425">
        <v>9.592136666666667</v>
      </c>
      <c r="DW425">
        <v>1088.126666666667</v>
      </c>
      <c r="DX425">
        <v>8.980226666666667</v>
      </c>
      <c r="DY425">
        <v>1.669833333333333</v>
      </c>
      <c r="DZ425">
        <v>0.8074073333333333</v>
      </c>
      <c r="EA425">
        <v>14.6188</v>
      </c>
      <c r="EB425">
        <v>3.838203333333333</v>
      </c>
      <c r="EC425">
        <v>1499.95</v>
      </c>
      <c r="ED425">
        <v>0.972992</v>
      </c>
      <c r="EE425">
        <v>0.027008</v>
      </c>
      <c r="EF425">
        <v>0</v>
      </c>
      <c r="EG425">
        <v>908.2373333333334</v>
      </c>
      <c r="EH425">
        <v>5.00097</v>
      </c>
      <c r="EI425">
        <v>13511.9</v>
      </c>
      <c r="EJ425">
        <v>12491.1</v>
      </c>
      <c r="EK425">
        <v>37.875</v>
      </c>
      <c r="EL425">
        <v>39.125</v>
      </c>
      <c r="EM425">
        <v>38.25</v>
      </c>
      <c r="EN425">
        <v>38.75</v>
      </c>
      <c r="EO425">
        <v>38.687</v>
      </c>
      <c r="EP425">
        <v>1454.57</v>
      </c>
      <c r="EQ425">
        <v>40.38</v>
      </c>
      <c r="ER425">
        <v>0</v>
      </c>
      <c r="ES425">
        <v>1098.799999952316</v>
      </c>
      <c r="ET425">
        <v>0</v>
      </c>
      <c r="EU425">
        <v>909.4505384615385</v>
      </c>
      <c r="EV425">
        <v>-10.30735043936999</v>
      </c>
      <c r="EW425">
        <v>-163.6991453292419</v>
      </c>
      <c r="EX425">
        <v>13531.48461538461</v>
      </c>
      <c r="EY425">
        <v>15</v>
      </c>
      <c r="EZ425">
        <v>1651865518.1</v>
      </c>
      <c r="FA425" t="s">
        <v>910</v>
      </c>
      <c r="FB425">
        <v>1651865507.1</v>
      </c>
      <c r="FC425">
        <v>1651865518.1</v>
      </c>
      <c r="FD425">
        <v>8</v>
      </c>
      <c r="FE425">
        <v>0.06</v>
      </c>
      <c r="FF425">
        <v>0</v>
      </c>
      <c r="FG425">
        <v>-0.927</v>
      </c>
      <c r="FH425">
        <v>-0.062</v>
      </c>
      <c r="FI425">
        <v>400</v>
      </c>
      <c r="FJ425">
        <v>11</v>
      </c>
      <c r="FK425">
        <v>0.11</v>
      </c>
      <c r="FL425">
        <v>0.01</v>
      </c>
      <c r="FM425">
        <v>-64.01712499999999</v>
      </c>
      <c r="FN425">
        <v>-0.7547121951217931</v>
      </c>
      <c r="FO425">
        <v>0.1184113629471424</v>
      </c>
      <c r="FP425">
        <v>-1</v>
      </c>
      <c r="FQ425">
        <v>9.64206025</v>
      </c>
      <c r="FR425">
        <v>-0.2278780863039427</v>
      </c>
      <c r="FS425">
        <v>0.02282663690598115</v>
      </c>
      <c r="FT425">
        <v>-1</v>
      </c>
      <c r="FU425">
        <v>0</v>
      </c>
      <c r="FV425">
        <v>0</v>
      </c>
      <c r="FW425">
        <v>0</v>
      </c>
      <c r="FX425">
        <v>-1</v>
      </c>
      <c r="FY425">
        <v>0</v>
      </c>
      <c r="FZ425">
        <v>0</v>
      </c>
      <c r="GA425" t="s">
        <v>420</v>
      </c>
      <c r="GB425">
        <v>2.9814</v>
      </c>
      <c r="GC425">
        <v>2.70602</v>
      </c>
      <c r="GD425">
        <v>0.174258</v>
      </c>
      <c r="GE425">
        <v>0.178994</v>
      </c>
      <c r="GF425">
        <v>0.0885497</v>
      </c>
      <c r="GG425">
        <v>0.051067</v>
      </c>
      <c r="GH425">
        <v>26094.9</v>
      </c>
      <c r="GI425">
        <v>26000.8</v>
      </c>
      <c r="GJ425">
        <v>29379.3</v>
      </c>
      <c r="GK425">
        <v>29293.7</v>
      </c>
      <c r="GL425">
        <v>35456.4</v>
      </c>
      <c r="GM425">
        <v>37030.9</v>
      </c>
      <c r="GN425">
        <v>41351.9</v>
      </c>
      <c r="GO425">
        <v>41813.6</v>
      </c>
      <c r="GP425">
        <v>1.96763</v>
      </c>
      <c r="GQ425">
        <v>1.85672</v>
      </c>
      <c r="GR425">
        <v>-0.00620261</v>
      </c>
      <c r="GS425">
        <v>0</v>
      </c>
      <c r="GT425">
        <v>25.0934</v>
      </c>
      <c r="GU425">
        <v>999.9</v>
      </c>
      <c r="GV425">
        <v>29.4</v>
      </c>
      <c r="GW425">
        <v>34.2</v>
      </c>
      <c r="GX425">
        <v>17.6679</v>
      </c>
      <c r="GY425">
        <v>62.5476</v>
      </c>
      <c r="GZ425">
        <v>35.5168</v>
      </c>
      <c r="HA425">
        <v>1</v>
      </c>
      <c r="HB425">
        <v>0.0409451</v>
      </c>
      <c r="HC425">
        <v>1.55372</v>
      </c>
      <c r="HD425">
        <v>20.3271</v>
      </c>
      <c r="HE425">
        <v>5.21669</v>
      </c>
      <c r="HF425">
        <v>12.0099</v>
      </c>
      <c r="HG425">
        <v>4.9888</v>
      </c>
      <c r="HH425">
        <v>3.28858</v>
      </c>
      <c r="HI425">
        <v>1036</v>
      </c>
      <c r="HJ425">
        <v>9766.1</v>
      </c>
      <c r="HK425">
        <v>5139.4</v>
      </c>
      <c r="HL425">
        <v>25.4</v>
      </c>
      <c r="HM425">
        <v>1.86746</v>
      </c>
      <c r="HN425">
        <v>1.86646</v>
      </c>
      <c r="HO425">
        <v>1.86599</v>
      </c>
      <c r="HP425">
        <v>1.86584</v>
      </c>
      <c r="HQ425">
        <v>1.86768</v>
      </c>
      <c r="HR425">
        <v>1.87018</v>
      </c>
      <c r="HS425">
        <v>1.8689</v>
      </c>
      <c r="HT425">
        <v>1.87021</v>
      </c>
      <c r="HU425">
        <v>0</v>
      </c>
      <c r="HV425">
        <v>0</v>
      </c>
      <c r="HW425">
        <v>0</v>
      </c>
      <c r="HX425">
        <v>0</v>
      </c>
      <c r="HY425" t="s">
        <v>421</v>
      </c>
      <c r="HZ425" t="s">
        <v>422</v>
      </c>
      <c r="IA425" t="s">
        <v>423</v>
      </c>
      <c r="IB425" t="s">
        <v>423</v>
      </c>
      <c r="IC425" t="s">
        <v>423</v>
      </c>
      <c r="ID425" t="s">
        <v>423</v>
      </c>
      <c r="IE425">
        <v>0</v>
      </c>
      <c r="IF425">
        <v>100</v>
      </c>
      <c r="IG425">
        <v>100</v>
      </c>
      <c r="IH425">
        <v>-2.01</v>
      </c>
      <c r="II425">
        <v>0.0238</v>
      </c>
      <c r="IJ425">
        <v>-0.1559367209035702</v>
      </c>
      <c r="IK425">
        <v>-0.002077099775823331</v>
      </c>
      <c r="IL425">
        <v>4.593143279902166E-07</v>
      </c>
      <c r="IM425">
        <v>-1.865383991892071E-10</v>
      </c>
      <c r="IN425">
        <v>-0.0607165066849496</v>
      </c>
      <c r="IO425">
        <v>-0.01129461987421345</v>
      </c>
      <c r="IP425">
        <v>0.00116580895745559</v>
      </c>
      <c r="IQ425">
        <v>-1.679085872906199E-05</v>
      </c>
      <c r="IR425">
        <v>2</v>
      </c>
      <c r="IS425">
        <v>2290</v>
      </c>
      <c r="IT425">
        <v>0</v>
      </c>
      <c r="IU425">
        <v>32</v>
      </c>
      <c r="IV425">
        <v>17.9</v>
      </c>
      <c r="IW425">
        <v>17.7</v>
      </c>
      <c r="IX425">
        <v>2.25464</v>
      </c>
      <c r="IY425">
        <v>2.18506</v>
      </c>
      <c r="IZ425">
        <v>1.39648</v>
      </c>
      <c r="JA425">
        <v>2.35474</v>
      </c>
      <c r="JB425">
        <v>1.49536</v>
      </c>
      <c r="JC425">
        <v>2.37427</v>
      </c>
      <c r="JD425">
        <v>38.0377</v>
      </c>
      <c r="JE425">
        <v>24.0437</v>
      </c>
      <c r="JF425">
        <v>18</v>
      </c>
      <c r="JG425">
        <v>512.3099999999999</v>
      </c>
      <c r="JH425">
        <v>427.138</v>
      </c>
      <c r="JI425">
        <v>23.1595</v>
      </c>
      <c r="JJ425">
        <v>27.842</v>
      </c>
      <c r="JK425">
        <v>30</v>
      </c>
      <c r="JL425">
        <v>27.851</v>
      </c>
      <c r="JM425">
        <v>27.7934</v>
      </c>
      <c r="JN425">
        <v>45.1795</v>
      </c>
      <c r="JO425">
        <v>46.3504</v>
      </c>
      <c r="JP425">
        <v>0</v>
      </c>
      <c r="JQ425">
        <v>23.1533</v>
      </c>
      <c r="JR425">
        <v>1108.55</v>
      </c>
      <c r="JS425">
        <v>9.0825</v>
      </c>
      <c r="JT425">
        <v>100.423</v>
      </c>
      <c r="JU425">
        <v>100.353</v>
      </c>
    </row>
    <row r="426" spans="1:281">
      <c r="A426">
        <v>410</v>
      </c>
      <c r="B426">
        <v>1651866583.5</v>
      </c>
      <c r="C426">
        <v>2362.900000095367</v>
      </c>
      <c r="D426" t="s">
        <v>1243</v>
      </c>
      <c r="E426" t="s">
        <v>1244</v>
      </c>
      <c r="F426">
        <v>2</v>
      </c>
      <c r="G426" t="s">
        <v>908</v>
      </c>
      <c r="H426" t="s">
        <v>414</v>
      </c>
      <c r="I426">
        <v>1651866582.125</v>
      </c>
      <c r="J426">
        <f>(K426)/1000</f>
        <v>0</v>
      </c>
      <c r="K426">
        <f>IF(CZ426, AN426, AH426)</f>
        <v>0</v>
      </c>
      <c r="L426">
        <f>IF(CZ426, AI426, AG426)</f>
        <v>0</v>
      </c>
      <c r="M426">
        <f>DB426 - IF(AU426&gt;1, L426*CV426*100.0/(AW426*DP426), 0)</f>
        <v>0</v>
      </c>
      <c r="N426">
        <f>((T426-J426/2)*M426-L426)/(T426+J426/2)</f>
        <v>0</v>
      </c>
      <c r="O426">
        <f>N426*(DI426+DJ426)/1000.0</f>
        <v>0</v>
      </c>
      <c r="P426">
        <f>(DB426 - IF(AU426&gt;1, L426*CV426*100.0/(AW426*DP426), 0))*(DI426+DJ426)/1000.0</f>
        <v>0</v>
      </c>
      <c r="Q426">
        <f>2.0/((1/S426-1/R426)+SIGN(S426)*SQRT((1/S426-1/R426)*(1/S426-1/R426) + 4*CW426/((CW426+1)*(CW426+1))*(2*1/S426*1/R426-1/R426*1/R426)))</f>
        <v>0</v>
      </c>
      <c r="R426">
        <f>IF(LEFT(CX426,1)&lt;&gt;"0",IF(LEFT(CX426,1)="1",3.0,CY426),$D$5+$E$5*(DP426*DI426/($K$5*1000))+$F$5*(DP426*DI426/($K$5*1000))*MAX(MIN(CV426,$J$5),$I$5)*MAX(MIN(CV426,$J$5),$I$5)+$G$5*MAX(MIN(CV426,$J$5),$I$5)*(DP426*DI426/($K$5*1000))+$H$5*(DP426*DI426/($K$5*1000))*(DP426*DI426/($K$5*1000)))</f>
        <v>0</v>
      </c>
      <c r="S426">
        <f>J426*(1000-(1000*0.61365*exp(17.502*W426/(240.97+W426))/(DI426+DJ426)+DD426)/2)/(1000*0.61365*exp(17.502*W426/(240.97+W426))/(DI426+DJ426)-DD426)</f>
        <v>0</v>
      </c>
      <c r="T426">
        <f>1/((CW426+1)/(Q426/1.6)+1/(R426/1.37)) + CW426/((CW426+1)/(Q426/1.6) + CW426/(R426/1.37))</f>
        <v>0</v>
      </c>
      <c r="U426">
        <f>(CR426*CU426)</f>
        <v>0</v>
      </c>
      <c r="V426">
        <f>(DK426+(U426+2*0.95*5.67E-8*(((DK426+$B$7)+273)^4-(DK426+273)^4)-44100*J426)/(1.84*29.3*R426+8*0.95*5.67E-8*(DK426+273)^3))</f>
        <v>0</v>
      </c>
      <c r="W426">
        <f>($C$7*DL426+$D$7*DM426+$E$7*V426)</f>
        <v>0</v>
      </c>
      <c r="X426">
        <f>0.61365*exp(17.502*W426/(240.97+W426))</f>
        <v>0</v>
      </c>
      <c r="Y426">
        <f>(Z426/AA426*100)</f>
        <v>0</v>
      </c>
      <c r="Z426">
        <f>DD426*(DI426+DJ426)/1000</f>
        <v>0</v>
      </c>
      <c r="AA426">
        <f>0.61365*exp(17.502*DK426/(240.97+DK426))</f>
        <v>0</v>
      </c>
      <c r="AB426">
        <f>(X426-DD426*(DI426+DJ426)/1000)</f>
        <v>0</v>
      </c>
      <c r="AC426">
        <f>(-J426*44100)</f>
        <v>0</v>
      </c>
      <c r="AD426">
        <f>2*29.3*R426*0.92*(DK426-W426)</f>
        <v>0</v>
      </c>
      <c r="AE426">
        <f>2*0.95*5.67E-8*(((DK426+$B$7)+273)^4-(W426+273)^4)</f>
        <v>0</v>
      </c>
      <c r="AF426">
        <f>U426+AE426+AC426+AD426</f>
        <v>0</v>
      </c>
      <c r="AG426">
        <f>DH426*AU426*(DC426-DB426*(1000-AU426*DE426)/(1000-AU426*DD426))/(100*CV426)</f>
        <v>0</v>
      </c>
      <c r="AH426">
        <f>1000*DH426*AU426*(DD426-DE426)/(100*CV426*(1000-AU426*DD426))</f>
        <v>0</v>
      </c>
      <c r="AI426">
        <f>(AJ426 - AK426 - DI426*1E3/(8.314*(DK426+273.15)) * AM426/DH426 * AL426) * DH426/(100*CV426) * (1000 - DE426)/1000</f>
        <v>0</v>
      </c>
      <c r="AJ426">
        <v>1098.748325162362</v>
      </c>
      <c r="AK426">
        <v>1051.697272727273</v>
      </c>
      <c r="AL426">
        <v>3.391513628962163</v>
      </c>
      <c r="AM426">
        <v>66.38195617057868</v>
      </c>
      <c r="AN426">
        <f>(AP426 - AO426 + DI426*1E3/(8.314*(DK426+273.15)) * AR426/DH426 * AQ426) * DH426/(100*CV426) * 1000/(1000 - AP426)</f>
        <v>0</v>
      </c>
      <c r="AO426">
        <v>8.968752075163701</v>
      </c>
      <c r="AP426">
        <v>18.57074323529412</v>
      </c>
      <c r="AQ426">
        <v>-0.001421460562669746</v>
      </c>
      <c r="AR426">
        <v>80.47178418790507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MAX(0,($B$13+$C$13*DP426)/(1+$D$13*DP426)*DI426/(DK426+273)*$E$13)</f>
        <v>0</v>
      </c>
      <c r="AX426" t="s">
        <v>417</v>
      </c>
      <c r="AY426" t="s">
        <v>417</v>
      </c>
      <c r="AZ426">
        <v>0</v>
      </c>
      <c r="BA426">
        <v>0</v>
      </c>
      <c r="BB426">
        <f>1-AZ426/BA426</f>
        <v>0</v>
      </c>
      <c r="BC426">
        <v>0</v>
      </c>
      <c r="BD426" t="s">
        <v>417</v>
      </c>
      <c r="BE426" t="s">
        <v>417</v>
      </c>
      <c r="BF426">
        <v>0</v>
      </c>
      <c r="BG426">
        <v>0</v>
      </c>
      <c r="BH426">
        <f>1-BF426/BG426</f>
        <v>0</v>
      </c>
      <c r="BI426">
        <v>0.5</v>
      </c>
      <c r="BJ426">
        <f>CS426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417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BZ426">
        <v>1249</v>
      </c>
      <c r="CA426">
        <v>300</v>
      </c>
      <c r="CB426">
        <v>300</v>
      </c>
      <c r="CC426">
        <v>300</v>
      </c>
      <c r="CD426">
        <v>10442.4</v>
      </c>
      <c r="CE426">
        <v>1239.69</v>
      </c>
      <c r="CF426">
        <v>-0.00735276</v>
      </c>
      <c r="CG426">
        <v>0.07000000000000001</v>
      </c>
      <c r="CH426" t="s">
        <v>417</v>
      </c>
      <c r="CI426" t="s">
        <v>417</v>
      </c>
      <c r="CJ426" t="s">
        <v>417</v>
      </c>
      <c r="CK426" t="s">
        <v>417</v>
      </c>
      <c r="CL426" t="s">
        <v>417</v>
      </c>
      <c r="CM426" t="s">
        <v>417</v>
      </c>
      <c r="CN426" t="s">
        <v>417</v>
      </c>
      <c r="CO426" t="s">
        <v>417</v>
      </c>
      <c r="CP426" t="s">
        <v>417</v>
      </c>
      <c r="CQ426" t="s">
        <v>417</v>
      </c>
      <c r="CR426">
        <f>$B$11*DQ426+$C$11*DR426+$F$11*EC426*(1-EF426)</f>
        <v>0</v>
      </c>
      <c r="CS426">
        <f>CR426*CT426</f>
        <v>0</v>
      </c>
      <c r="CT426">
        <f>($B$11*$D$9+$C$11*$D$9+$F$11*((EP426+EH426)/MAX(EP426+EH426+EQ426, 0.1)*$I$9+EQ426/MAX(EP426+EH426+EQ426, 0.1)*$J$9))/($B$11+$C$11+$F$11)</f>
        <v>0</v>
      </c>
      <c r="CU426">
        <f>($B$11*$K$9+$C$11*$K$9+$F$11*((EP426+EH426)/MAX(EP426+EH426+EQ426, 0.1)*$P$9+EQ426/MAX(EP426+EH426+EQ426, 0.1)*$Q$9))/($B$11+$C$11+$F$11)</f>
        <v>0</v>
      </c>
      <c r="CV426">
        <v>6</v>
      </c>
      <c r="CW426">
        <v>0.5</v>
      </c>
      <c r="CX426" t="s">
        <v>418</v>
      </c>
      <c r="CY426">
        <v>2</v>
      </c>
      <c r="CZ426" t="b">
        <v>1</v>
      </c>
      <c r="DA426">
        <v>1651866582.125</v>
      </c>
      <c r="DB426">
        <v>1029.255</v>
      </c>
      <c r="DC426">
        <v>1093.6</v>
      </c>
      <c r="DD426">
        <v>18.57125</v>
      </c>
      <c r="DE426">
        <v>8.987675000000001</v>
      </c>
      <c r="DF426">
        <v>1031.2725</v>
      </c>
      <c r="DG426">
        <v>18.547525</v>
      </c>
      <c r="DH426">
        <v>500.02775</v>
      </c>
      <c r="DI426">
        <v>89.90902499999999</v>
      </c>
      <c r="DJ426">
        <v>0.0998872</v>
      </c>
      <c r="DK426">
        <v>25.925925</v>
      </c>
      <c r="DL426">
        <v>24.989825</v>
      </c>
      <c r="DM426">
        <v>999.9</v>
      </c>
      <c r="DN426">
        <v>0</v>
      </c>
      <c r="DO426">
        <v>0</v>
      </c>
      <c r="DP426">
        <v>10002.035</v>
      </c>
      <c r="DQ426">
        <v>0</v>
      </c>
      <c r="DR426">
        <v>3.20383</v>
      </c>
      <c r="DS426">
        <v>-64.3426</v>
      </c>
      <c r="DT426">
        <v>1048.7325</v>
      </c>
      <c r="DU426">
        <v>1103.515</v>
      </c>
      <c r="DV426">
        <v>9.583590000000001</v>
      </c>
      <c r="DW426">
        <v>1093.6</v>
      </c>
      <c r="DX426">
        <v>8.987675000000001</v>
      </c>
      <c r="DY426">
        <v>1.6697225</v>
      </c>
      <c r="DZ426">
        <v>0.808073</v>
      </c>
      <c r="EA426">
        <v>14.6178</v>
      </c>
      <c r="EB426">
        <v>3.8499175</v>
      </c>
      <c r="EC426">
        <v>1500.1</v>
      </c>
      <c r="ED426">
        <v>0.9729932499999999</v>
      </c>
      <c r="EE426">
        <v>0.027006675</v>
      </c>
      <c r="EF426">
        <v>0</v>
      </c>
      <c r="EG426">
        <v>908.1555000000001</v>
      </c>
      <c r="EH426">
        <v>5.00097</v>
      </c>
      <c r="EI426">
        <v>13509.5</v>
      </c>
      <c r="EJ426">
        <v>12492.35</v>
      </c>
      <c r="EK426">
        <v>37.875</v>
      </c>
      <c r="EL426">
        <v>39.125</v>
      </c>
      <c r="EM426">
        <v>38.25</v>
      </c>
      <c r="EN426">
        <v>38.7185</v>
      </c>
      <c r="EO426">
        <v>38.687</v>
      </c>
      <c r="EP426">
        <v>1454.72</v>
      </c>
      <c r="EQ426">
        <v>40.38</v>
      </c>
      <c r="ER426">
        <v>0</v>
      </c>
      <c r="ES426">
        <v>1101.200000047684</v>
      </c>
      <c r="ET426">
        <v>0</v>
      </c>
      <c r="EU426">
        <v>909.0483076923077</v>
      </c>
      <c r="EV426">
        <v>-9.999316237007115</v>
      </c>
      <c r="EW426">
        <v>-159.5658117669813</v>
      </c>
      <c r="EX426">
        <v>13525.05</v>
      </c>
      <c r="EY426">
        <v>15</v>
      </c>
      <c r="EZ426">
        <v>1651865518.1</v>
      </c>
      <c r="FA426" t="s">
        <v>910</v>
      </c>
      <c r="FB426">
        <v>1651865507.1</v>
      </c>
      <c r="FC426">
        <v>1651865518.1</v>
      </c>
      <c r="FD426">
        <v>8</v>
      </c>
      <c r="FE426">
        <v>0.06</v>
      </c>
      <c r="FF426">
        <v>0</v>
      </c>
      <c r="FG426">
        <v>-0.927</v>
      </c>
      <c r="FH426">
        <v>-0.062</v>
      </c>
      <c r="FI426">
        <v>400</v>
      </c>
      <c r="FJ426">
        <v>11</v>
      </c>
      <c r="FK426">
        <v>0.11</v>
      </c>
      <c r="FL426">
        <v>0.01</v>
      </c>
      <c r="FM426">
        <v>-64.0368325</v>
      </c>
      <c r="FN426">
        <v>-0.8703906191367848</v>
      </c>
      <c r="FO426">
        <v>0.1286595165300645</v>
      </c>
      <c r="FP426">
        <v>-1</v>
      </c>
      <c r="FQ426">
        <v>9.637742249999999</v>
      </c>
      <c r="FR426">
        <v>-0.249204765478462</v>
      </c>
      <c r="FS426">
        <v>0.02496584762105027</v>
      </c>
      <c r="FT426">
        <v>-1</v>
      </c>
      <c r="FU426">
        <v>0</v>
      </c>
      <c r="FV426">
        <v>0</v>
      </c>
      <c r="FW426">
        <v>0</v>
      </c>
      <c r="FX426">
        <v>-1</v>
      </c>
      <c r="FY426">
        <v>0</v>
      </c>
      <c r="FZ426">
        <v>0</v>
      </c>
      <c r="GA426" t="s">
        <v>420</v>
      </c>
      <c r="GB426">
        <v>2.98152</v>
      </c>
      <c r="GC426">
        <v>2.70617</v>
      </c>
      <c r="GD426">
        <v>0.17498</v>
      </c>
      <c r="GE426">
        <v>0.179707</v>
      </c>
      <c r="GF426">
        <v>0.0885421</v>
      </c>
      <c r="GG426">
        <v>0.0511157</v>
      </c>
      <c r="GH426">
        <v>26072.3</v>
      </c>
      <c r="GI426">
        <v>25978.2</v>
      </c>
      <c r="GJ426">
        <v>29379.5</v>
      </c>
      <c r="GK426">
        <v>29293.6</v>
      </c>
      <c r="GL426">
        <v>35456.8</v>
      </c>
      <c r="GM426">
        <v>37029.1</v>
      </c>
      <c r="GN426">
        <v>41352</v>
      </c>
      <c r="GO426">
        <v>41813.7</v>
      </c>
      <c r="GP426">
        <v>1.96755</v>
      </c>
      <c r="GQ426">
        <v>1.85675</v>
      </c>
      <c r="GR426">
        <v>-0.00651926</v>
      </c>
      <c r="GS426">
        <v>0</v>
      </c>
      <c r="GT426">
        <v>25.0918</v>
      </c>
      <c r="GU426">
        <v>999.9</v>
      </c>
      <c r="GV426">
        <v>29.4</v>
      </c>
      <c r="GW426">
        <v>34.2</v>
      </c>
      <c r="GX426">
        <v>17.6665</v>
      </c>
      <c r="GY426">
        <v>62.5576</v>
      </c>
      <c r="GZ426">
        <v>35.3806</v>
      </c>
      <c r="HA426">
        <v>1</v>
      </c>
      <c r="HB426">
        <v>0.0409096</v>
      </c>
      <c r="HC426">
        <v>1.54136</v>
      </c>
      <c r="HD426">
        <v>20.3273</v>
      </c>
      <c r="HE426">
        <v>5.21654</v>
      </c>
      <c r="HF426">
        <v>12.0099</v>
      </c>
      <c r="HG426">
        <v>4.9888</v>
      </c>
      <c r="HH426">
        <v>3.28858</v>
      </c>
      <c r="HI426">
        <v>1036</v>
      </c>
      <c r="HJ426">
        <v>9766.1</v>
      </c>
      <c r="HK426">
        <v>5139.4</v>
      </c>
      <c r="HL426">
        <v>25.4</v>
      </c>
      <c r="HM426">
        <v>1.86744</v>
      </c>
      <c r="HN426">
        <v>1.86646</v>
      </c>
      <c r="HO426">
        <v>1.86599</v>
      </c>
      <c r="HP426">
        <v>1.86584</v>
      </c>
      <c r="HQ426">
        <v>1.86768</v>
      </c>
      <c r="HR426">
        <v>1.87019</v>
      </c>
      <c r="HS426">
        <v>1.8689</v>
      </c>
      <c r="HT426">
        <v>1.8702</v>
      </c>
      <c r="HU426">
        <v>0</v>
      </c>
      <c r="HV426">
        <v>0</v>
      </c>
      <c r="HW426">
        <v>0</v>
      </c>
      <c r="HX426">
        <v>0</v>
      </c>
      <c r="HY426" t="s">
        <v>421</v>
      </c>
      <c r="HZ426" t="s">
        <v>422</v>
      </c>
      <c r="IA426" t="s">
        <v>423</v>
      </c>
      <c r="IB426" t="s">
        <v>423</v>
      </c>
      <c r="IC426" t="s">
        <v>423</v>
      </c>
      <c r="ID426" t="s">
        <v>423</v>
      </c>
      <c r="IE426">
        <v>0</v>
      </c>
      <c r="IF426">
        <v>100</v>
      </c>
      <c r="IG426">
        <v>100</v>
      </c>
      <c r="IH426">
        <v>-2.03</v>
      </c>
      <c r="II426">
        <v>0.0237</v>
      </c>
      <c r="IJ426">
        <v>-0.1559367209035702</v>
      </c>
      <c r="IK426">
        <v>-0.002077099775823331</v>
      </c>
      <c r="IL426">
        <v>4.593143279902166E-07</v>
      </c>
      <c r="IM426">
        <v>-1.865383991892071E-10</v>
      </c>
      <c r="IN426">
        <v>-0.0607165066849496</v>
      </c>
      <c r="IO426">
        <v>-0.01129461987421345</v>
      </c>
      <c r="IP426">
        <v>0.00116580895745559</v>
      </c>
      <c r="IQ426">
        <v>-1.679085872906199E-05</v>
      </c>
      <c r="IR426">
        <v>2</v>
      </c>
      <c r="IS426">
        <v>2290</v>
      </c>
      <c r="IT426">
        <v>0</v>
      </c>
      <c r="IU426">
        <v>32</v>
      </c>
      <c r="IV426">
        <v>17.9</v>
      </c>
      <c r="IW426">
        <v>17.8</v>
      </c>
      <c r="IX426">
        <v>2.26562</v>
      </c>
      <c r="IY426">
        <v>2.18262</v>
      </c>
      <c r="IZ426">
        <v>1.39648</v>
      </c>
      <c r="JA426">
        <v>2.35474</v>
      </c>
      <c r="JB426">
        <v>1.49536</v>
      </c>
      <c r="JC426">
        <v>2.36084</v>
      </c>
      <c r="JD426">
        <v>38.0134</v>
      </c>
      <c r="JE426">
        <v>24.0437</v>
      </c>
      <c r="JF426">
        <v>18</v>
      </c>
      <c r="JG426">
        <v>512.251</v>
      </c>
      <c r="JH426">
        <v>427.145</v>
      </c>
      <c r="JI426">
        <v>23.155</v>
      </c>
      <c r="JJ426">
        <v>27.842</v>
      </c>
      <c r="JK426">
        <v>30</v>
      </c>
      <c r="JL426">
        <v>27.8498</v>
      </c>
      <c r="JM426">
        <v>27.7924</v>
      </c>
      <c r="JN426">
        <v>45.3949</v>
      </c>
      <c r="JO426">
        <v>46.3504</v>
      </c>
      <c r="JP426">
        <v>0</v>
      </c>
      <c r="JQ426">
        <v>23.1533</v>
      </c>
      <c r="JR426">
        <v>1115.24</v>
      </c>
      <c r="JS426">
        <v>9.10304</v>
      </c>
      <c r="JT426">
        <v>100.424</v>
      </c>
      <c r="JU426">
        <v>100.353</v>
      </c>
    </row>
    <row r="427" spans="1:281">
      <c r="A427">
        <v>411</v>
      </c>
      <c r="B427">
        <v>1651866585</v>
      </c>
      <c r="C427">
        <v>2364.400000095367</v>
      </c>
      <c r="D427" t="s">
        <v>1245</v>
      </c>
      <c r="E427" t="s">
        <v>1246</v>
      </c>
      <c r="F427">
        <v>2</v>
      </c>
      <c r="G427" t="s">
        <v>908</v>
      </c>
      <c r="H427" t="s">
        <v>414</v>
      </c>
      <c r="I427">
        <v>1651866583.5</v>
      </c>
      <c r="J427">
        <f>(K427)/1000</f>
        <v>0</v>
      </c>
      <c r="K427">
        <f>IF(CZ427, AN427, AH427)</f>
        <v>0</v>
      </c>
      <c r="L427">
        <f>IF(CZ427, AI427, AG427)</f>
        <v>0</v>
      </c>
      <c r="M427">
        <f>DB427 - IF(AU427&gt;1, L427*CV427*100.0/(AW427*DP427), 0)</f>
        <v>0</v>
      </c>
      <c r="N427">
        <f>((T427-J427/2)*M427-L427)/(T427+J427/2)</f>
        <v>0</v>
      </c>
      <c r="O427">
        <f>N427*(DI427+DJ427)/1000.0</f>
        <v>0</v>
      </c>
      <c r="P427">
        <f>(DB427 - IF(AU427&gt;1, L427*CV427*100.0/(AW427*DP427), 0))*(DI427+DJ427)/1000.0</f>
        <v>0</v>
      </c>
      <c r="Q427">
        <f>2.0/((1/S427-1/R427)+SIGN(S427)*SQRT((1/S427-1/R427)*(1/S427-1/R427) + 4*CW427/((CW427+1)*(CW427+1))*(2*1/S427*1/R427-1/R427*1/R427)))</f>
        <v>0</v>
      </c>
      <c r="R427">
        <f>IF(LEFT(CX427,1)&lt;&gt;"0",IF(LEFT(CX427,1)="1",3.0,CY427),$D$5+$E$5*(DP427*DI427/($K$5*1000))+$F$5*(DP427*DI427/($K$5*1000))*MAX(MIN(CV427,$J$5),$I$5)*MAX(MIN(CV427,$J$5),$I$5)+$G$5*MAX(MIN(CV427,$J$5),$I$5)*(DP427*DI427/($K$5*1000))+$H$5*(DP427*DI427/($K$5*1000))*(DP427*DI427/($K$5*1000)))</f>
        <v>0</v>
      </c>
      <c r="S427">
        <f>J427*(1000-(1000*0.61365*exp(17.502*W427/(240.97+W427))/(DI427+DJ427)+DD427)/2)/(1000*0.61365*exp(17.502*W427/(240.97+W427))/(DI427+DJ427)-DD427)</f>
        <v>0</v>
      </c>
      <c r="T427">
        <f>1/((CW427+1)/(Q427/1.6)+1/(R427/1.37)) + CW427/((CW427+1)/(Q427/1.6) + CW427/(R427/1.37))</f>
        <v>0</v>
      </c>
      <c r="U427">
        <f>(CR427*CU427)</f>
        <v>0</v>
      </c>
      <c r="V427">
        <f>(DK427+(U427+2*0.95*5.67E-8*(((DK427+$B$7)+273)^4-(DK427+273)^4)-44100*J427)/(1.84*29.3*R427+8*0.95*5.67E-8*(DK427+273)^3))</f>
        <v>0</v>
      </c>
      <c r="W427">
        <f>($C$7*DL427+$D$7*DM427+$E$7*V427)</f>
        <v>0</v>
      </c>
      <c r="X427">
        <f>0.61365*exp(17.502*W427/(240.97+W427))</f>
        <v>0</v>
      </c>
      <c r="Y427">
        <f>(Z427/AA427*100)</f>
        <v>0</v>
      </c>
      <c r="Z427">
        <f>DD427*(DI427+DJ427)/1000</f>
        <v>0</v>
      </c>
      <c r="AA427">
        <f>0.61365*exp(17.502*DK427/(240.97+DK427))</f>
        <v>0</v>
      </c>
      <c r="AB427">
        <f>(X427-DD427*(DI427+DJ427)/1000)</f>
        <v>0</v>
      </c>
      <c r="AC427">
        <f>(-J427*44100)</f>
        <v>0</v>
      </c>
      <c r="AD427">
        <f>2*29.3*R427*0.92*(DK427-W427)</f>
        <v>0</v>
      </c>
      <c r="AE427">
        <f>2*0.95*5.67E-8*(((DK427+$B$7)+273)^4-(W427+273)^4)</f>
        <v>0</v>
      </c>
      <c r="AF427">
        <f>U427+AE427+AC427+AD427</f>
        <v>0</v>
      </c>
      <c r="AG427">
        <f>DH427*AU427*(DC427-DB427*(1000-AU427*DE427)/(1000-AU427*DD427))/(100*CV427)</f>
        <v>0</v>
      </c>
      <c r="AH427">
        <f>1000*DH427*AU427*(DD427-DE427)/(100*CV427*(1000-AU427*DD427))</f>
        <v>0</v>
      </c>
      <c r="AI427">
        <f>(AJ427 - AK427 - DI427*1E3/(8.314*(DK427+273.15)) * AM427/DH427 * AL427) * DH427/(100*CV427) * (1000 - DE427)/1000</f>
        <v>0</v>
      </c>
      <c r="AJ427">
        <v>1103.881307664005</v>
      </c>
      <c r="AK427">
        <v>1056.72503030303</v>
      </c>
      <c r="AL427">
        <v>3.370237602824952</v>
      </c>
      <c r="AM427">
        <v>66.38195617057868</v>
      </c>
      <c r="AN427">
        <f>(AP427 - AO427 + DI427*1E3/(8.314*(DK427+273.15)) * AR427/DH427 * AQ427) * DH427/(100*CV427) * 1000/(1000 - AP427)</f>
        <v>0</v>
      </c>
      <c r="AO427">
        <v>8.978152357236134</v>
      </c>
      <c r="AP427">
        <v>18.56751117647059</v>
      </c>
      <c r="AQ427">
        <v>-0.0007609553390891007</v>
      </c>
      <c r="AR427">
        <v>80.47178418790507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MAX(0,($B$13+$C$13*DP427)/(1+$D$13*DP427)*DI427/(DK427+273)*$E$13)</f>
        <v>0</v>
      </c>
      <c r="AX427" t="s">
        <v>417</v>
      </c>
      <c r="AY427" t="s">
        <v>417</v>
      </c>
      <c r="AZ427">
        <v>0</v>
      </c>
      <c r="BA427">
        <v>0</v>
      </c>
      <c r="BB427">
        <f>1-AZ427/BA427</f>
        <v>0</v>
      </c>
      <c r="BC427">
        <v>0</v>
      </c>
      <c r="BD427" t="s">
        <v>417</v>
      </c>
      <c r="BE427" t="s">
        <v>417</v>
      </c>
      <c r="BF427">
        <v>0</v>
      </c>
      <c r="BG427">
        <v>0</v>
      </c>
      <c r="BH427">
        <f>1-BF427/BG427</f>
        <v>0</v>
      </c>
      <c r="BI427">
        <v>0.5</v>
      </c>
      <c r="BJ427">
        <f>CS427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417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BZ427">
        <v>1249</v>
      </c>
      <c r="CA427">
        <v>300</v>
      </c>
      <c r="CB427">
        <v>300</v>
      </c>
      <c r="CC427">
        <v>300</v>
      </c>
      <c r="CD427">
        <v>10442.4</v>
      </c>
      <c r="CE427">
        <v>1239.69</v>
      </c>
      <c r="CF427">
        <v>-0.00735276</v>
      </c>
      <c r="CG427">
        <v>0.07000000000000001</v>
      </c>
      <c r="CH427" t="s">
        <v>417</v>
      </c>
      <c r="CI427" t="s">
        <v>417</v>
      </c>
      <c r="CJ427" t="s">
        <v>417</v>
      </c>
      <c r="CK427" t="s">
        <v>417</v>
      </c>
      <c r="CL427" t="s">
        <v>417</v>
      </c>
      <c r="CM427" t="s">
        <v>417</v>
      </c>
      <c r="CN427" t="s">
        <v>417</v>
      </c>
      <c r="CO427" t="s">
        <v>417</v>
      </c>
      <c r="CP427" t="s">
        <v>417</v>
      </c>
      <c r="CQ427" t="s">
        <v>417</v>
      </c>
      <c r="CR427">
        <f>$B$11*DQ427+$C$11*DR427+$F$11*EC427*(1-EF427)</f>
        <v>0</v>
      </c>
      <c r="CS427">
        <f>CR427*CT427</f>
        <v>0</v>
      </c>
      <c r="CT427">
        <f>($B$11*$D$9+$C$11*$D$9+$F$11*((EP427+EH427)/MAX(EP427+EH427+EQ427, 0.1)*$I$9+EQ427/MAX(EP427+EH427+EQ427, 0.1)*$J$9))/($B$11+$C$11+$F$11)</f>
        <v>0</v>
      </c>
      <c r="CU427">
        <f>($B$11*$K$9+$C$11*$K$9+$F$11*((EP427+EH427)/MAX(EP427+EH427+EQ427, 0.1)*$P$9+EQ427/MAX(EP427+EH427+EQ427, 0.1)*$Q$9))/($B$11+$C$11+$F$11)</f>
        <v>0</v>
      </c>
      <c r="CV427">
        <v>6</v>
      </c>
      <c r="CW427">
        <v>0.5</v>
      </c>
      <c r="CX427" t="s">
        <v>418</v>
      </c>
      <c r="CY427">
        <v>2</v>
      </c>
      <c r="CZ427" t="b">
        <v>1</v>
      </c>
      <c r="DA427">
        <v>1651866583.5</v>
      </c>
      <c r="DB427">
        <v>1033.81</v>
      </c>
      <c r="DC427">
        <v>1098.2175</v>
      </c>
      <c r="DD427">
        <v>18.56865</v>
      </c>
      <c r="DE427">
        <v>8.999985000000001</v>
      </c>
      <c r="DF427">
        <v>1035.8325</v>
      </c>
      <c r="DG427">
        <v>18.545</v>
      </c>
      <c r="DH427">
        <v>500.03675</v>
      </c>
      <c r="DI427">
        <v>89.909825</v>
      </c>
      <c r="DJ427">
        <v>0.09992664999999999</v>
      </c>
      <c r="DK427">
        <v>25.9256</v>
      </c>
      <c r="DL427">
        <v>24.9855</v>
      </c>
      <c r="DM427">
        <v>999.9</v>
      </c>
      <c r="DN427">
        <v>0</v>
      </c>
      <c r="DO427">
        <v>0</v>
      </c>
      <c r="DP427">
        <v>10003.61</v>
      </c>
      <c r="DQ427">
        <v>0</v>
      </c>
      <c r="DR427">
        <v>3.20383</v>
      </c>
      <c r="DS427">
        <v>-64.40705</v>
      </c>
      <c r="DT427">
        <v>1053.37</v>
      </c>
      <c r="DU427">
        <v>1108.1925</v>
      </c>
      <c r="DV427">
        <v>9.568685</v>
      </c>
      <c r="DW427">
        <v>1098.2175</v>
      </c>
      <c r="DX427">
        <v>8.999985000000001</v>
      </c>
      <c r="DY427">
        <v>1.669505</v>
      </c>
      <c r="DZ427">
        <v>0.8091869999999999</v>
      </c>
      <c r="EA427">
        <v>14.615775</v>
      </c>
      <c r="EB427">
        <v>3.869485</v>
      </c>
      <c r="EC427">
        <v>1500.105</v>
      </c>
      <c r="ED427">
        <v>0.97299325</v>
      </c>
      <c r="EE427">
        <v>0.027006675</v>
      </c>
      <c r="EF427">
        <v>0</v>
      </c>
      <c r="EG427">
        <v>907.9250000000001</v>
      </c>
      <c r="EH427">
        <v>5.00097</v>
      </c>
      <c r="EI427">
        <v>13505.9</v>
      </c>
      <c r="EJ427">
        <v>12492.4</v>
      </c>
      <c r="EK427">
        <v>37.85925</v>
      </c>
      <c r="EL427">
        <v>39.10925</v>
      </c>
      <c r="EM427">
        <v>38.25</v>
      </c>
      <c r="EN427">
        <v>38.70274999999999</v>
      </c>
      <c r="EO427">
        <v>38.687</v>
      </c>
      <c r="EP427">
        <v>1454.725</v>
      </c>
      <c r="EQ427">
        <v>40.38</v>
      </c>
      <c r="ER427">
        <v>0</v>
      </c>
      <c r="ES427">
        <v>1102.400000095367</v>
      </c>
      <c r="ET427">
        <v>0</v>
      </c>
      <c r="EU427">
        <v>908.8485000000001</v>
      </c>
      <c r="EV427">
        <v>-9.74068378213428</v>
      </c>
      <c r="EW427">
        <v>-160.5606838896612</v>
      </c>
      <c r="EX427">
        <v>13521.7</v>
      </c>
      <c r="EY427">
        <v>15</v>
      </c>
      <c r="EZ427">
        <v>1651865518.1</v>
      </c>
      <c r="FA427" t="s">
        <v>910</v>
      </c>
      <c r="FB427">
        <v>1651865507.1</v>
      </c>
      <c r="FC427">
        <v>1651865518.1</v>
      </c>
      <c r="FD427">
        <v>8</v>
      </c>
      <c r="FE427">
        <v>0.06</v>
      </c>
      <c r="FF427">
        <v>0</v>
      </c>
      <c r="FG427">
        <v>-0.927</v>
      </c>
      <c r="FH427">
        <v>-0.062</v>
      </c>
      <c r="FI427">
        <v>400</v>
      </c>
      <c r="FJ427">
        <v>11</v>
      </c>
      <c r="FK427">
        <v>0.11</v>
      </c>
      <c r="FL427">
        <v>0.01</v>
      </c>
      <c r="FM427">
        <v>-64.07021219512194</v>
      </c>
      <c r="FN427">
        <v>-1.156657839721324</v>
      </c>
      <c r="FO427">
        <v>0.1581131829790509</v>
      </c>
      <c r="FP427">
        <v>-1</v>
      </c>
      <c r="FQ427">
        <v>9.63193756097561</v>
      </c>
      <c r="FR427">
        <v>-0.2758726829268328</v>
      </c>
      <c r="FS427">
        <v>0.02814687278739324</v>
      </c>
      <c r="FT427">
        <v>-1</v>
      </c>
      <c r="FU427">
        <v>0</v>
      </c>
      <c r="FV427">
        <v>0</v>
      </c>
      <c r="FW427">
        <v>0</v>
      </c>
      <c r="FX427">
        <v>-1</v>
      </c>
      <c r="FY427">
        <v>0</v>
      </c>
      <c r="FZ427">
        <v>0</v>
      </c>
      <c r="GA427" t="s">
        <v>420</v>
      </c>
      <c r="GB427">
        <v>2.98151</v>
      </c>
      <c r="GC427">
        <v>2.70624</v>
      </c>
      <c r="GD427">
        <v>0.175521</v>
      </c>
      <c r="GE427">
        <v>0.180222</v>
      </c>
      <c r="GF427">
        <v>0.0885291</v>
      </c>
      <c r="GG427">
        <v>0.0512467</v>
      </c>
      <c r="GH427">
        <v>26054.9</v>
      </c>
      <c r="GI427">
        <v>25962</v>
      </c>
      <c r="GJ427">
        <v>29379.2</v>
      </c>
      <c r="GK427">
        <v>29293.8</v>
      </c>
      <c r="GL427">
        <v>35457</v>
      </c>
      <c r="GM427">
        <v>37024.2</v>
      </c>
      <c r="GN427">
        <v>41351.6</v>
      </c>
      <c r="GO427">
        <v>41814</v>
      </c>
      <c r="GP427">
        <v>1.96747</v>
      </c>
      <c r="GQ427">
        <v>1.85685</v>
      </c>
      <c r="GR427">
        <v>-0.00648201</v>
      </c>
      <c r="GS427">
        <v>0</v>
      </c>
      <c r="GT427">
        <v>25.0902</v>
      </c>
      <c r="GU427">
        <v>999.9</v>
      </c>
      <c r="GV427">
        <v>29.4</v>
      </c>
      <c r="GW427">
        <v>34.2</v>
      </c>
      <c r="GX427">
        <v>17.6685</v>
      </c>
      <c r="GY427">
        <v>62.4776</v>
      </c>
      <c r="GZ427">
        <v>35.2043</v>
      </c>
      <c r="HA427">
        <v>1</v>
      </c>
      <c r="HB427">
        <v>0.0408791</v>
      </c>
      <c r="HC427">
        <v>1.53395</v>
      </c>
      <c r="HD427">
        <v>20.3274</v>
      </c>
      <c r="HE427">
        <v>5.21624</v>
      </c>
      <c r="HF427">
        <v>12.0099</v>
      </c>
      <c r="HG427">
        <v>4.9891</v>
      </c>
      <c r="HH427">
        <v>3.28858</v>
      </c>
      <c r="HI427">
        <v>1036</v>
      </c>
      <c r="HJ427">
        <v>9766.1</v>
      </c>
      <c r="HK427">
        <v>5139.4</v>
      </c>
      <c r="HL427">
        <v>25.4</v>
      </c>
      <c r="HM427">
        <v>1.86743</v>
      </c>
      <c r="HN427">
        <v>1.86646</v>
      </c>
      <c r="HO427">
        <v>1.866</v>
      </c>
      <c r="HP427">
        <v>1.86584</v>
      </c>
      <c r="HQ427">
        <v>1.86768</v>
      </c>
      <c r="HR427">
        <v>1.87018</v>
      </c>
      <c r="HS427">
        <v>1.8689</v>
      </c>
      <c r="HT427">
        <v>1.87021</v>
      </c>
      <c r="HU427">
        <v>0</v>
      </c>
      <c r="HV427">
        <v>0</v>
      </c>
      <c r="HW427">
        <v>0</v>
      </c>
      <c r="HX427">
        <v>0</v>
      </c>
      <c r="HY427" t="s">
        <v>421</v>
      </c>
      <c r="HZ427" t="s">
        <v>422</v>
      </c>
      <c r="IA427" t="s">
        <v>423</v>
      </c>
      <c r="IB427" t="s">
        <v>423</v>
      </c>
      <c r="IC427" t="s">
        <v>423</v>
      </c>
      <c r="ID427" t="s">
        <v>423</v>
      </c>
      <c r="IE427">
        <v>0</v>
      </c>
      <c r="IF427">
        <v>100</v>
      </c>
      <c r="IG427">
        <v>100</v>
      </c>
      <c r="IH427">
        <v>-2.03</v>
      </c>
      <c r="II427">
        <v>0.0236</v>
      </c>
      <c r="IJ427">
        <v>-0.1559367209035702</v>
      </c>
      <c r="IK427">
        <v>-0.002077099775823331</v>
      </c>
      <c r="IL427">
        <v>4.593143279902166E-07</v>
      </c>
      <c r="IM427">
        <v>-1.865383991892071E-10</v>
      </c>
      <c r="IN427">
        <v>-0.0607165066849496</v>
      </c>
      <c r="IO427">
        <v>-0.01129461987421345</v>
      </c>
      <c r="IP427">
        <v>0.00116580895745559</v>
      </c>
      <c r="IQ427">
        <v>-1.679085872906199E-05</v>
      </c>
      <c r="IR427">
        <v>2</v>
      </c>
      <c r="IS427">
        <v>2290</v>
      </c>
      <c r="IT427">
        <v>0</v>
      </c>
      <c r="IU427">
        <v>32</v>
      </c>
      <c r="IV427">
        <v>18</v>
      </c>
      <c r="IW427">
        <v>17.8</v>
      </c>
      <c r="IX427">
        <v>2.27539</v>
      </c>
      <c r="IY427">
        <v>2.18628</v>
      </c>
      <c r="IZ427">
        <v>1.39648</v>
      </c>
      <c r="JA427">
        <v>2.35474</v>
      </c>
      <c r="JB427">
        <v>1.49536</v>
      </c>
      <c r="JC427">
        <v>2.31812</v>
      </c>
      <c r="JD427">
        <v>38.0134</v>
      </c>
      <c r="JE427">
        <v>24.035</v>
      </c>
      <c r="JF427">
        <v>18</v>
      </c>
      <c r="JG427">
        <v>512.1950000000001</v>
      </c>
      <c r="JH427">
        <v>427.205</v>
      </c>
      <c r="JI427">
        <v>23.153</v>
      </c>
      <c r="JJ427">
        <v>27.8415</v>
      </c>
      <c r="JK427">
        <v>29.9999</v>
      </c>
      <c r="JL427">
        <v>27.8489</v>
      </c>
      <c r="JM427">
        <v>27.7924</v>
      </c>
      <c r="JN427">
        <v>45.5822</v>
      </c>
      <c r="JO427">
        <v>46.3504</v>
      </c>
      <c r="JP427">
        <v>0</v>
      </c>
      <c r="JQ427">
        <v>23.1538</v>
      </c>
      <c r="JR427">
        <v>1121.92</v>
      </c>
      <c r="JS427">
        <v>9.104419999999999</v>
      </c>
      <c r="JT427">
        <v>100.423</v>
      </c>
      <c r="JU427">
        <v>100.354</v>
      </c>
    </row>
    <row r="428" spans="1:281">
      <c r="A428">
        <v>412</v>
      </c>
      <c r="B428">
        <v>1651866587.5</v>
      </c>
      <c r="C428">
        <v>2366.900000095367</v>
      </c>
      <c r="D428" t="s">
        <v>1247</v>
      </c>
      <c r="E428" t="s">
        <v>1248</v>
      </c>
      <c r="F428">
        <v>2</v>
      </c>
      <c r="G428" t="s">
        <v>908</v>
      </c>
      <c r="H428" t="s">
        <v>414</v>
      </c>
      <c r="I428">
        <v>1651866586.25</v>
      </c>
      <c r="J428">
        <f>(K428)/1000</f>
        <v>0</v>
      </c>
      <c r="K428">
        <f>IF(CZ428, AN428, AH428)</f>
        <v>0</v>
      </c>
      <c r="L428">
        <f>IF(CZ428, AI428, AG428)</f>
        <v>0</v>
      </c>
      <c r="M428">
        <f>DB428 - IF(AU428&gt;1, L428*CV428*100.0/(AW428*DP428), 0)</f>
        <v>0</v>
      </c>
      <c r="N428">
        <f>((T428-J428/2)*M428-L428)/(T428+J428/2)</f>
        <v>0</v>
      </c>
      <c r="O428">
        <f>N428*(DI428+DJ428)/1000.0</f>
        <v>0</v>
      </c>
      <c r="P428">
        <f>(DB428 - IF(AU428&gt;1, L428*CV428*100.0/(AW428*DP428), 0))*(DI428+DJ428)/1000.0</f>
        <v>0</v>
      </c>
      <c r="Q428">
        <f>2.0/((1/S428-1/R428)+SIGN(S428)*SQRT((1/S428-1/R428)*(1/S428-1/R428) + 4*CW428/((CW428+1)*(CW428+1))*(2*1/S428*1/R428-1/R428*1/R428)))</f>
        <v>0</v>
      </c>
      <c r="R428">
        <f>IF(LEFT(CX428,1)&lt;&gt;"0",IF(LEFT(CX428,1)="1",3.0,CY428),$D$5+$E$5*(DP428*DI428/($K$5*1000))+$F$5*(DP428*DI428/($K$5*1000))*MAX(MIN(CV428,$J$5),$I$5)*MAX(MIN(CV428,$J$5),$I$5)+$G$5*MAX(MIN(CV428,$J$5),$I$5)*(DP428*DI428/($K$5*1000))+$H$5*(DP428*DI428/($K$5*1000))*(DP428*DI428/($K$5*1000)))</f>
        <v>0</v>
      </c>
      <c r="S428">
        <f>J428*(1000-(1000*0.61365*exp(17.502*W428/(240.97+W428))/(DI428+DJ428)+DD428)/2)/(1000*0.61365*exp(17.502*W428/(240.97+W428))/(DI428+DJ428)-DD428)</f>
        <v>0</v>
      </c>
      <c r="T428">
        <f>1/((CW428+1)/(Q428/1.6)+1/(R428/1.37)) + CW428/((CW428+1)/(Q428/1.6) + CW428/(R428/1.37))</f>
        <v>0</v>
      </c>
      <c r="U428">
        <f>(CR428*CU428)</f>
        <v>0</v>
      </c>
      <c r="V428">
        <f>(DK428+(U428+2*0.95*5.67E-8*(((DK428+$B$7)+273)^4-(DK428+273)^4)-44100*J428)/(1.84*29.3*R428+8*0.95*5.67E-8*(DK428+273)^3))</f>
        <v>0</v>
      </c>
      <c r="W428">
        <f>($C$7*DL428+$D$7*DM428+$E$7*V428)</f>
        <v>0</v>
      </c>
      <c r="X428">
        <f>0.61365*exp(17.502*W428/(240.97+W428))</f>
        <v>0</v>
      </c>
      <c r="Y428">
        <f>(Z428/AA428*100)</f>
        <v>0</v>
      </c>
      <c r="Z428">
        <f>DD428*(DI428+DJ428)/1000</f>
        <v>0</v>
      </c>
      <c r="AA428">
        <f>0.61365*exp(17.502*DK428/(240.97+DK428))</f>
        <v>0</v>
      </c>
      <c r="AB428">
        <f>(X428-DD428*(DI428+DJ428)/1000)</f>
        <v>0</v>
      </c>
      <c r="AC428">
        <f>(-J428*44100)</f>
        <v>0</v>
      </c>
      <c r="AD428">
        <f>2*29.3*R428*0.92*(DK428-W428)</f>
        <v>0</v>
      </c>
      <c r="AE428">
        <f>2*0.95*5.67E-8*(((DK428+$B$7)+273)^4-(W428+273)^4)</f>
        <v>0</v>
      </c>
      <c r="AF428">
        <f>U428+AE428+AC428+AD428</f>
        <v>0</v>
      </c>
      <c r="AG428">
        <f>DH428*AU428*(DC428-DB428*(1000-AU428*DE428)/(1000-AU428*DD428))/(100*CV428)</f>
        <v>0</v>
      </c>
      <c r="AH428">
        <f>1000*DH428*AU428*(DD428-DE428)/(100*CV428*(1000-AU428*DD428))</f>
        <v>0</v>
      </c>
      <c r="AI428">
        <f>(AJ428 - AK428 - DI428*1E3/(8.314*(DK428+273.15)) * AM428/DH428 * AL428) * DH428/(100*CV428) * (1000 - DE428)/1000</f>
        <v>0</v>
      </c>
      <c r="AJ428">
        <v>1112.331676219083</v>
      </c>
      <c r="AK428">
        <v>1065.200848484848</v>
      </c>
      <c r="AL428">
        <v>3.38212605891454</v>
      </c>
      <c r="AM428">
        <v>66.38195617057868</v>
      </c>
      <c r="AN428">
        <f>(AP428 - AO428 + DI428*1E3/(8.314*(DK428+273.15)) * AR428/DH428 * AQ428) * DH428/(100*CV428) * 1000/(1000 - AP428)</f>
        <v>0</v>
      </c>
      <c r="AO428">
        <v>8.993155935173029</v>
      </c>
      <c r="AP428">
        <v>18.56336852941176</v>
      </c>
      <c r="AQ428">
        <v>-0.0003017167587716348</v>
      </c>
      <c r="AR428">
        <v>80.47178418790507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MAX(0,($B$13+$C$13*DP428)/(1+$D$13*DP428)*DI428/(DK428+273)*$E$13)</f>
        <v>0</v>
      </c>
      <c r="AX428" t="s">
        <v>417</v>
      </c>
      <c r="AY428" t="s">
        <v>417</v>
      </c>
      <c r="AZ428">
        <v>0</v>
      </c>
      <c r="BA428">
        <v>0</v>
      </c>
      <c r="BB428">
        <f>1-AZ428/BA428</f>
        <v>0</v>
      </c>
      <c r="BC428">
        <v>0</v>
      </c>
      <c r="BD428" t="s">
        <v>417</v>
      </c>
      <c r="BE428" t="s">
        <v>417</v>
      </c>
      <c r="BF428">
        <v>0</v>
      </c>
      <c r="BG428">
        <v>0</v>
      </c>
      <c r="BH428">
        <f>1-BF428/BG428</f>
        <v>0</v>
      </c>
      <c r="BI428">
        <v>0.5</v>
      </c>
      <c r="BJ428">
        <f>CS428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417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BZ428">
        <v>1249</v>
      </c>
      <c r="CA428">
        <v>300</v>
      </c>
      <c r="CB428">
        <v>300</v>
      </c>
      <c r="CC428">
        <v>300</v>
      </c>
      <c r="CD428">
        <v>10442.4</v>
      </c>
      <c r="CE428">
        <v>1239.69</v>
      </c>
      <c r="CF428">
        <v>-0.00735276</v>
      </c>
      <c r="CG428">
        <v>0.07000000000000001</v>
      </c>
      <c r="CH428" t="s">
        <v>417</v>
      </c>
      <c r="CI428" t="s">
        <v>417</v>
      </c>
      <c r="CJ428" t="s">
        <v>417</v>
      </c>
      <c r="CK428" t="s">
        <v>417</v>
      </c>
      <c r="CL428" t="s">
        <v>417</v>
      </c>
      <c r="CM428" t="s">
        <v>417</v>
      </c>
      <c r="CN428" t="s">
        <v>417</v>
      </c>
      <c r="CO428" t="s">
        <v>417</v>
      </c>
      <c r="CP428" t="s">
        <v>417</v>
      </c>
      <c r="CQ428" t="s">
        <v>417</v>
      </c>
      <c r="CR428">
        <f>$B$11*DQ428+$C$11*DR428+$F$11*EC428*(1-EF428)</f>
        <v>0</v>
      </c>
      <c r="CS428">
        <f>CR428*CT428</f>
        <v>0</v>
      </c>
      <c r="CT428">
        <f>($B$11*$D$9+$C$11*$D$9+$F$11*((EP428+EH428)/MAX(EP428+EH428+EQ428, 0.1)*$I$9+EQ428/MAX(EP428+EH428+EQ428, 0.1)*$J$9))/($B$11+$C$11+$F$11)</f>
        <v>0</v>
      </c>
      <c r="CU428">
        <f>($B$11*$K$9+$C$11*$K$9+$F$11*((EP428+EH428)/MAX(EP428+EH428+EQ428, 0.1)*$P$9+EQ428/MAX(EP428+EH428+EQ428, 0.1)*$Q$9))/($B$11+$C$11+$F$11)</f>
        <v>0</v>
      </c>
      <c r="CV428">
        <v>6</v>
      </c>
      <c r="CW428">
        <v>0.5</v>
      </c>
      <c r="CX428" t="s">
        <v>418</v>
      </c>
      <c r="CY428">
        <v>2</v>
      </c>
      <c r="CZ428" t="b">
        <v>1</v>
      </c>
      <c r="DA428">
        <v>1651866586.25</v>
      </c>
      <c r="DB428">
        <v>1042.92</v>
      </c>
      <c r="DC428">
        <v>1107.25</v>
      </c>
      <c r="DD428">
        <v>18.56435</v>
      </c>
      <c r="DE428">
        <v>9.05561</v>
      </c>
      <c r="DF428">
        <v>1044.96</v>
      </c>
      <c r="DG428">
        <v>18.54075</v>
      </c>
      <c r="DH428">
        <v>500.062</v>
      </c>
      <c r="DI428">
        <v>89.91160000000001</v>
      </c>
      <c r="DJ428">
        <v>0.10009245</v>
      </c>
      <c r="DK428">
        <v>25.926525</v>
      </c>
      <c r="DL428">
        <v>24.98365</v>
      </c>
      <c r="DM428">
        <v>999.9</v>
      </c>
      <c r="DN428">
        <v>0</v>
      </c>
      <c r="DO428">
        <v>0</v>
      </c>
      <c r="DP428">
        <v>9992.030000000001</v>
      </c>
      <c r="DQ428">
        <v>0</v>
      </c>
      <c r="DR428">
        <v>3.20383</v>
      </c>
      <c r="DS428">
        <v>-64.32550000000001</v>
      </c>
      <c r="DT428">
        <v>1062.65</v>
      </c>
      <c r="DU428">
        <v>1117.3625</v>
      </c>
      <c r="DV428">
        <v>9.5087525</v>
      </c>
      <c r="DW428">
        <v>1107.25</v>
      </c>
      <c r="DX428">
        <v>9.05561</v>
      </c>
      <c r="DY428">
        <v>1.6691525</v>
      </c>
      <c r="DZ428">
        <v>0.8142045</v>
      </c>
      <c r="EA428">
        <v>14.6125</v>
      </c>
      <c r="EB428">
        <v>3.957375</v>
      </c>
      <c r="EC428">
        <v>1499.97</v>
      </c>
      <c r="ED428">
        <v>0.972992</v>
      </c>
      <c r="EE428">
        <v>0.027008</v>
      </c>
      <c r="EF428">
        <v>0</v>
      </c>
      <c r="EG428">
        <v>907.2270000000001</v>
      </c>
      <c r="EH428">
        <v>5.00097</v>
      </c>
      <c r="EI428">
        <v>13496.65</v>
      </c>
      <c r="EJ428">
        <v>12491.35</v>
      </c>
      <c r="EK428">
        <v>37.812</v>
      </c>
      <c r="EL428">
        <v>39.0935</v>
      </c>
      <c r="EM428">
        <v>38.25</v>
      </c>
      <c r="EN428">
        <v>38.7185</v>
      </c>
      <c r="EO428">
        <v>38.687</v>
      </c>
      <c r="EP428">
        <v>1454.59</v>
      </c>
      <c r="EQ428">
        <v>40.38</v>
      </c>
      <c r="ER428">
        <v>0</v>
      </c>
      <c r="ES428">
        <v>1104.799999952316</v>
      </c>
      <c r="ET428">
        <v>0</v>
      </c>
      <c r="EU428">
        <v>908.4422307692309</v>
      </c>
      <c r="EV428">
        <v>-9.617982916694917</v>
      </c>
      <c r="EW428">
        <v>-165.0735042778297</v>
      </c>
      <c r="EX428">
        <v>13515.05384615385</v>
      </c>
      <c r="EY428">
        <v>15</v>
      </c>
      <c r="EZ428">
        <v>1651865518.1</v>
      </c>
      <c r="FA428" t="s">
        <v>910</v>
      </c>
      <c r="FB428">
        <v>1651865507.1</v>
      </c>
      <c r="FC428">
        <v>1651865518.1</v>
      </c>
      <c r="FD428">
        <v>8</v>
      </c>
      <c r="FE428">
        <v>0.06</v>
      </c>
      <c r="FF428">
        <v>0</v>
      </c>
      <c r="FG428">
        <v>-0.927</v>
      </c>
      <c r="FH428">
        <v>-0.062</v>
      </c>
      <c r="FI428">
        <v>400</v>
      </c>
      <c r="FJ428">
        <v>11</v>
      </c>
      <c r="FK428">
        <v>0.11</v>
      </c>
      <c r="FL428">
        <v>0.01</v>
      </c>
      <c r="FM428">
        <v>-64.12939024390245</v>
      </c>
      <c r="FN428">
        <v>-1.562228571428557</v>
      </c>
      <c r="FO428">
        <v>0.1848271846820748</v>
      </c>
      <c r="FP428">
        <v>-1</v>
      </c>
      <c r="FQ428">
        <v>9.612629268292684</v>
      </c>
      <c r="FR428">
        <v>-0.4049592334494533</v>
      </c>
      <c r="FS428">
        <v>0.04232201274607859</v>
      </c>
      <c r="FT428">
        <v>-1</v>
      </c>
      <c r="FU428">
        <v>0</v>
      </c>
      <c r="FV428">
        <v>0</v>
      </c>
      <c r="FW428">
        <v>0</v>
      </c>
      <c r="FX428">
        <v>-1</v>
      </c>
      <c r="FY428">
        <v>0</v>
      </c>
      <c r="FZ428">
        <v>0</v>
      </c>
      <c r="GA428" t="s">
        <v>420</v>
      </c>
      <c r="GB428">
        <v>2.98162</v>
      </c>
      <c r="GC428">
        <v>2.706</v>
      </c>
      <c r="GD428">
        <v>0.176415</v>
      </c>
      <c r="GE428">
        <v>0.18107</v>
      </c>
      <c r="GF428">
        <v>0.0885388</v>
      </c>
      <c r="GG428">
        <v>0.0514734</v>
      </c>
      <c r="GH428">
        <v>26026.8</v>
      </c>
      <c r="GI428">
        <v>25935.4</v>
      </c>
      <c r="GJ428">
        <v>29379.3</v>
      </c>
      <c r="GK428">
        <v>29294</v>
      </c>
      <c r="GL428">
        <v>35457.1</v>
      </c>
      <c r="GM428">
        <v>37015.7</v>
      </c>
      <c r="GN428">
        <v>41352.1</v>
      </c>
      <c r="GO428">
        <v>41814.3</v>
      </c>
      <c r="GP428">
        <v>1.96777</v>
      </c>
      <c r="GQ428">
        <v>1.85675</v>
      </c>
      <c r="GR428">
        <v>-0.00620261</v>
      </c>
      <c r="GS428">
        <v>0</v>
      </c>
      <c r="GT428">
        <v>25.087</v>
      </c>
      <c r="GU428">
        <v>999.9</v>
      </c>
      <c r="GV428">
        <v>29.4</v>
      </c>
      <c r="GW428">
        <v>34.2</v>
      </c>
      <c r="GX428">
        <v>17.6665</v>
      </c>
      <c r="GY428">
        <v>62.5776</v>
      </c>
      <c r="GZ428">
        <v>35.1482</v>
      </c>
      <c r="HA428">
        <v>1</v>
      </c>
      <c r="HB428">
        <v>0.0406758</v>
      </c>
      <c r="HC428">
        <v>1.52089</v>
      </c>
      <c r="HD428">
        <v>20.3275</v>
      </c>
      <c r="HE428">
        <v>5.21609</v>
      </c>
      <c r="HF428">
        <v>12.0099</v>
      </c>
      <c r="HG428">
        <v>4.98915</v>
      </c>
      <c r="HH428">
        <v>3.28858</v>
      </c>
      <c r="HI428">
        <v>1036</v>
      </c>
      <c r="HJ428">
        <v>9766.1</v>
      </c>
      <c r="HK428">
        <v>5139.4</v>
      </c>
      <c r="HL428">
        <v>25.4</v>
      </c>
      <c r="HM428">
        <v>1.86743</v>
      </c>
      <c r="HN428">
        <v>1.86646</v>
      </c>
      <c r="HO428">
        <v>1.866</v>
      </c>
      <c r="HP428">
        <v>1.86584</v>
      </c>
      <c r="HQ428">
        <v>1.86768</v>
      </c>
      <c r="HR428">
        <v>1.87019</v>
      </c>
      <c r="HS428">
        <v>1.8689</v>
      </c>
      <c r="HT428">
        <v>1.87021</v>
      </c>
      <c r="HU428">
        <v>0</v>
      </c>
      <c r="HV428">
        <v>0</v>
      </c>
      <c r="HW428">
        <v>0</v>
      </c>
      <c r="HX428">
        <v>0</v>
      </c>
      <c r="HY428" t="s">
        <v>421</v>
      </c>
      <c r="HZ428" t="s">
        <v>422</v>
      </c>
      <c r="IA428" t="s">
        <v>423</v>
      </c>
      <c r="IB428" t="s">
        <v>423</v>
      </c>
      <c r="IC428" t="s">
        <v>423</v>
      </c>
      <c r="ID428" t="s">
        <v>423</v>
      </c>
      <c r="IE428">
        <v>0</v>
      </c>
      <c r="IF428">
        <v>100</v>
      </c>
      <c r="IG428">
        <v>100</v>
      </c>
      <c r="IH428">
        <v>-2.04</v>
      </c>
      <c r="II428">
        <v>0.0237</v>
      </c>
      <c r="IJ428">
        <v>-0.1559367209035702</v>
      </c>
      <c r="IK428">
        <v>-0.002077099775823331</v>
      </c>
      <c r="IL428">
        <v>4.593143279902166E-07</v>
      </c>
      <c r="IM428">
        <v>-1.865383991892071E-10</v>
      </c>
      <c r="IN428">
        <v>-0.0607165066849496</v>
      </c>
      <c r="IO428">
        <v>-0.01129461987421345</v>
      </c>
      <c r="IP428">
        <v>0.00116580895745559</v>
      </c>
      <c r="IQ428">
        <v>-1.679085872906199E-05</v>
      </c>
      <c r="IR428">
        <v>2</v>
      </c>
      <c r="IS428">
        <v>2290</v>
      </c>
      <c r="IT428">
        <v>0</v>
      </c>
      <c r="IU428">
        <v>32</v>
      </c>
      <c r="IV428">
        <v>18</v>
      </c>
      <c r="IW428">
        <v>17.8</v>
      </c>
      <c r="IX428">
        <v>2.28882</v>
      </c>
      <c r="IY428">
        <v>2.18628</v>
      </c>
      <c r="IZ428">
        <v>1.39648</v>
      </c>
      <c r="JA428">
        <v>2.35474</v>
      </c>
      <c r="JB428">
        <v>1.49536</v>
      </c>
      <c r="JC428">
        <v>2.29126</v>
      </c>
      <c r="JD428">
        <v>38.0134</v>
      </c>
      <c r="JE428">
        <v>24.035</v>
      </c>
      <c r="JF428">
        <v>18</v>
      </c>
      <c r="JG428">
        <v>512.39</v>
      </c>
      <c r="JH428">
        <v>427.14</v>
      </c>
      <c r="JI428">
        <v>23.1513</v>
      </c>
      <c r="JJ428">
        <v>27.84</v>
      </c>
      <c r="JK428">
        <v>29.9999</v>
      </c>
      <c r="JL428">
        <v>27.8489</v>
      </c>
      <c r="JM428">
        <v>27.7916</v>
      </c>
      <c r="JN428">
        <v>45.8384</v>
      </c>
      <c r="JO428">
        <v>46.3504</v>
      </c>
      <c r="JP428">
        <v>0</v>
      </c>
      <c r="JQ428">
        <v>23.1538</v>
      </c>
      <c r="JR428">
        <v>1128.6</v>
      </c>
      <c r="JS428">
        <v>9.1098</v>
      </c>
      <c r="JT428">
        <v>100.424</v>
      </c>
      <c r="JU428">
        <v>100.355</v>
      </c>
    </row>
    <row r="429" spans="1:281">
      <c r="A429">
        <v>413</v>
      </c>
      <c r="B429">
        <v>1651866589</v>
      </c>
      <c r="C429">
        <v>2368.400000095367</v>
      </c>
      <c r="D429" t="s">
        <v>1249</v>
      </c>
      <c r="E429" t="s">
        <v>1250</v>
      </c>
      <c r="F429">
        <v>2</v>
      </c>
      <c r="G429" t="s">
        <v>908</v>
      </c>
      <c r="H429" t="s">
        <v>414</v>
      </c>
      <c r="I429">
        <v>1651866587.5</v>
      </c>
      <c r="J429">
        <f>(K429)/1000</f>
        <v>0</v>
      </c>
      <c r="K429">
        <f>IF(CZ429, AN429, AH429)</f>
        <v>0</v>
      </c>
      <c r="L429">
        <f>IF(CZ429, AI429, AG429)</f>
        <v>0</v>
      </c>
      <c r="M429">
        <f>DB429 - IF(AU429&gt;1, L429*CV429*100.0/(AW429*DP429), 0)</f>
        <v>0</v>
      </c>
      <c r="N429">
        <f>((T429-J429/2)*M429-L429)/(T429+J429/2)</f>
        <v>0</v>
      </c>
      <c r="O429">
        <f>N429*(DI429+DJ429)/1000.0</f>
        <v>0</v>
      </c>
      <c r="P429">
        <f>(DB429 - IF(AU429&gt;1, L429*CV429*100.0/(AW429*DP429), 0))*(DI429+DJ429)/1000.0</f>
        <v>0</v>
      </c>
      <c r="Q429">
        <f>2.0/((1/S429-1/R429)+SIGN(S429)*SQRT((1/S429-1/R429)*(1/S429-1/R429) + 4*CW429/((CW429+1)*(CW429+1))*(2*1/S429*1/R429-1/R429*1/R429)))</f>
        <v>0</v>
      </c>
      <c r="R429">
        <f>IF(LEFT(CX429,1)&lt;&gt;"0",IF(LEFT(CX429,1)="1",3.0,CY429),$D$5+$E$5*(DP429*DI429/($K$5*1000))+$F$5*(DP429*DI429/($K$5*1000))*MAX(MIN(CV429,$J$5),$I$5)*MAX(MIN(CV429,$J$5),$I$5)+$G$5*MAX(MIN(CV429,$J$5),$I$5)*(DP429*DI429/($K$5*1000))+$H$5*(DP429*DI429/($K$5*1000))*(DP429*DI429/($K$5*1000)))</f>
        <v>0</v>
      </c>
      <c r="S429">
        <f>J429*(1000-(1000*0.61365*exp(17.502*W429/(240.97+W429))/(DI429+DJ429)+DD429)/2)/(1000*0.61365*exp(17.502*W429/(240.97+W429))/(DI429+DJ429)-DD429)</f>
        <v>0</v>
      </c>
      <c r="T429">
        <f>1/((CW429+1)/(Q429/1.6)+1/(R429/1.37)) + CW429/((CW429+1)/(Q429/1.6) + CW429/(R429/1.37))</f>
        <v>0</v>
      </c>
      <c r="U429">
        <f>(CR429*CU429)</f>
        <v>0</v>
      </c>
      <c r="V429">
        <f>(DK429+(U429+2*0.95*5.67E-8*(((DK429+$B$7)+273)^4-(DK429+273)^4)-44100*J429)/(1.84*29.3*R429+8*0.95*5.67E-8*(DK429+273)^3))</f>
        <v>0</v>
      </c>
      <c r="W429">
        <f>($C$7*DL429+$D$7*DM429+$E$7*V429)</f>
        <v>0</v>
      </c>
      <c r="X429">
        <f>0.61365*exp(17.502*W429/(240.97+W429))</f>
        <v>0</v>
      </c>
      <c r="Y429">
        <f>(Z429/AA429*100)</f>
        <v>0</v>
      </c>
      <c r="Z429">
        <f>DD429*(DI429+DJ429)/1000</f>
        <v>0</v>
      </c>
      <c r="AA429">
        <f>0.61365*exp(17.502*DK429/(240.97+DK429))</f>
        <v>0</v>
      </c>
      <c r="AB429">
        <f>(X429-DD429*(DI429+DJ429)/1000)</f>
        <v>0</v>
      </c>
      <c r="AC429">
        <f>(-J429*44100)</f>
        <v>0</v>
      </c>
      <c r="AD429">
        <f>2*29.3*R429*0.92*(DK429-W429)</f>
        <v>0</v>
      </c>
      <c r="AE429">
        <f>2*0.95*5.67E-8*(((DK429+$B$7)+273)^4-(W429+273)^4)</f>
        <v>0</v>
      </c>
      <c r="AF429">
        <f>U429+AE429+AC429+AD429</f>
        <v>0</v>
      </c>
      <c r="AG429">
        <f>DH429*AU429*(DC429-DB429*(1000-AU429*DE429)/(1000-AU429*DD429))/(100*CV429)</f>
        <v>0</v>
      </c>
      <c r="AH429">
        <f>1000*DH429*AU429*(DD429-DE429)/(100*CV429*(1000-AU429*DD429))</f>
        <v>0</v>
      </c>
      <c r="AI429">
        <f>(AJ429 - AK429 - DI429*1E3/(8.314*(DK429+273.15)) * AM429/DH429 * AL429) * DH429/(100*CV429) * (1000 - DE429)/1000</f>
        <v>0</v>
      </c>
      <c r="AJ429">
        <v>1117.290567399233</v>
      </c>
      <c r="AK429">
        <v>1070.27</v>
      </c>
      <c r="AL429">
        <v>3.387333891602676</v>
      </c>
      <c r="AM429">
        <v>66.38195617057868</v>
      </c>
      <c r="AN429">
        <f>(AP429 - AO429 + DI429*1E3/(8.314*(DK429+273.15)) * AR429/DH429 * AQ429) * DH429/(100*CV429) * 1000/(1000 - AP429)</f>
        <v>0</v>
      </c>
      <c r="AO429">
        <v>9.017745298658262</v>
      </c>
      <c r="AP429">
        <v>18.5701094117647</v>
      </c>
      <c r="AQ429">
        <v>-0.0006292091111342228</v>
      </c>
      <c r="AR429">
        <v>80.47178418790507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MAX(0,($B$13+$C$13*DP429)/(1+$D$13*DP429)*DI429/(DK429+273)*$E$13)</f>
        <v>0</v>
      </c>
      <c r="AX429" t="s">
        <v>417</v>
      </c>
      <c r="AY429" t="s">
        <v>417</v>
      </c>
      <c r="AZ429">
        <v>0</v>
      </c>
      <c r="BA429">
        <v>0</v>
      </c>
      <c r="BB429">
        <f>1-AZ429/BA429</f>
        <v>0</v>
      </c>
      <c r="BC429">
        <v>0</v>
      </c>
      <c r="BD429" t="s">
        <v>417</v>
      </c>
      <c r="BE429" t="s">
        <v>417</v>
      </c>
      <c r="BF429">
        <v>0</v>
      </c>
      <c r="BG429">
        <v>0</v>
      </c>
      <c r="BH429">
        <f>1-BF429/BG429</f>
        <v>0</v>
      </c>
      <c r="BI429">
        <v>0.5</v>
      </c>
      <c r="BJ429">
        <f>CS429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417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BZ429">
        <v>1249</v>
      </c>
      <c r="CA429">
        <v>300</v>
      </c>
      <c r="CB429">
        <v>300</v>
      </c>
      <c r="CC429">
        <v>300</v>
      </c>
      <c r="CD429">
        <v>10442.4</v>
      </c>
      <c r="CE429">
        <v>1239.69</v>
      </c>
      <c r="CF429">
        <v>-0.00735276</v>
      </c>
      <c r="CG429">
        <v>0.07000000000000001</v>
      </c>
      <c r="CH429" t="s">
        <v>417</v>
      </c>
      <c r="CI429" t="s">
        <v>417</v>
      </c>
      <c r="CJ429" t="s">
        <v>417</v>
      </c>
      <c r="CK429" t="s">
        <v>417</v>
      </c>
      <c r="CL429" t="s">
        <v>417</v>
      </c>
      <c r="CM429" t="s">
        <v>417</v>
      </c>
      <c r="CN429" t="s">
        <v>417</v>
      </c>
      <c r="CO429" t="s">
        <v>417</v>
      </c>
      <c r="CP429" t="s">
        <v>417</v>
      </c>
      <c r="CQ429" t="s">
        <v>417</v>
      </c>
      <c r="CR429">
        <f>$B$11*DQ429+$C$11*DR429+$F$11*EC429*(1-EF429)</f>
        <v>0</v>
      </c>
      <c r="CS429">
        <f>CR429*CT429</f>
        <v>0</v>
      </c>
      <c r="CT429">
        <f>($B$11*$D$9+$C$11*$D$9+$F$11*((EP429+EH429)/MAX(EP429+EH429+EQ429, 0.1)*$I$9+EQ429/MAX(EP429+EH429+EQ429, 0.1)*$J$9))/($B$11+$C$11+$F$11)</f>
        <v>0</v>
      </c>
      <c r="CU429">
        <f>($B$11*$K$9+$C$11*$K$9+$F$11*((EP429+EH429)/MAX(EP429+EH429+EQ429, 0.1)*$P$9+EQ429/MAX(EP429+EH429+EQ429, 0.1)*$Q$9))/($B$11+$C$11+$F$11)</f>
        <v>0</v>
      </c>
      <c r="CV429">
        <v>6</v>
      </c>
      <c r="CW429">
        <v>0.5</v>
      </c>
      <c r="CX429" t="s">
        <v>418</v>
      </c>
      <c r="CY429">
        <v>2</v>
      </c>
      <c r="CZ429" t="b">
        <v>1</v>
      </c>
      <c r="DA429">
        <v>1651866587.5</v>
      </c>
      <c r="DB429">
        <v>1047.0725</v>
      </c>
      <c r="DC429">
        <v>1111.3975</v>
      </c>
      <c r="DD429">
        <v>18.56755</v>
      </c>
      <c r="DE429">
        <v>9.07546</v>
      </c>
      <c r="DF429">
        <v>1049.1175</v>
      </c>
      <c r="DG429">
        <v>18.543875</v>
      </c>
      <c r="DH429">
        <v>500.0555</v>
      </c>
      <c r="DI429">
        <v>89.91092499999999</v>
      </c>
      <c r="DJ429">
        <v>0.099946225</v>
      </c>
      <c r="DK429">
        <v>25.925825</v>
      </c>
      <c r="DL429">
        <v>24.985425</v>
      </c>
      <c r="DM429">
        <v>999.9</v>
      </c>
      <c r="DN429">
        <v>0</v>
      </c>
      <c r="DO429">
        <v>0</v>
      </c>
      <c r="DP429">
        <v>9999.530000000001</v>
      </c>
      <c r="DQ429">
        <v>0</v>
      </c>
      <c r="DR429">
        <v>3.20383</v>
      </c>
      <c r="DS429">
        <v>-64.322675</v>
      </c>
      <c r="DT429">
        <v>1066.885</v>
      </c>
      <c r="DU429">
        <v>1121.575</v>
      </c>
      <c r="DV429">
        <v>9.492077500000001</v>
      </c>
      <c r="DW429">
        <v>1111.3975</v>
      </c>
      <c r="DX429">
        <v>9.07546</v>
      </c>
      <c r="DY429">
        <v>1.669425</v>
      </c>
      <c r="DZ429">
        <v>0.815983</v>
      </c>
      <c r="EA429">
        <v>14.615025</v>
      </c>
      <c r="EB429">
        <v>3.988420000000001</v>
      </c>
      <c r="EC429">
        <v>1500.045</v>
      </c>
      <c r="ED429">
        <v>0.9729932499999999</v>
      </c>
      <c r="EE429">
        <v>0.027006675</v>
      </c>
      <c r="EF429">
        <v>0</v>
      </c>
      <c r="EG429">
        <v>907.06025</v>
      </c>
      <c r="EH429">
        <v>5.00097</v>
      </c>
      <c r="EI429">
        <v>13494.175</v>
      </c>
      <c r="EJ429">
        <v>12491.975</v>
      </c>
      <c r="EK429">
        <v>37.812</v>
      </c>
      <c r="EL429">
        <v>39.062</v>
      </c>
      <c r="EM429">
        <v>38.25</v>
      </c>
      <c r="EN429">
        <v>38.7185</v>
      </c>
      <c r="EO429">
        <v>38.687</v>
      </c>
      <c r="EP429">
        <v>1454.665</v>
      </c>
      <c r="EQ429">
        <v>40.38</v>
      </c>
      <c r="ER429">
        <v>0</v>
      </c>
      <c r="ES429">
        <v>1106.600000143051</v>
      </c>
      <c r="ET429">
        <v>0</v>
      </c>
      <c r="EU429">
        <v>908.1073600000001</v>
      </c>
      <c r="EV429">
        <v>-9.448923066861054</v>
      </c>
      <c r="EW429">
        <v>-168.1769228642172</v>
      </c>
      <c r="EX429">
        <v>13509.464</v>
      </c>
      <c r="EY429">
        <v>15</v>
      </c>
      <c r="EZ429">
        <v>1651865518.1</v>
      </c>
      <c r="FA429" t="s">
        <v>910</v>
      </c>
      <c r="FB429">
        <v>1651865507.1</v>
      </c>
      <c r="FC429">
        <v>1651865518.1</v>
      </c>
      <c r="FD429">
        <v>8</v>
      </c>
      <c r="FE429">
        <v>0.06</v>
      </c>
      <c r="FF429">
        <v>0</v>
      </c>
      <c r="FG429">
        <v>-0.927</v>
      </c>
      <c r="FH429">
        <v>-0.062</v>
      </c>
      <c r="FI429">
        <v>400</v>
      </c>
      <c r="FJ429">
        <v>11</v>
      </c>
      <c r="FK429">
        <v>0.11</v>
      </c>
      <c r="FL429">
        <v>0.01</v>
      </c>
      <c r="FM429">
        <v>-64.13890243902441</v>
      </c>
      <c r="FN429">
        <v>-1.649057142857252</v>
      </c>
      <c r="FO429">
        <v>0.1874332381797296</v>
      </c>
      <c r="FP429">
        <v>-1</v>
      </c>
      <c r="FQ429">
        <v>9.604345121951219</v>
      </c>
      <c r="FR429">
        <v>-0.4609377700348269</v>
      </c>
      <c r="FS429">
        <v>0.04829056778689032</v>
      </c>
      <c r="FT429">
        <v>-1</v>
      </c>
      <c r="FU429">
        <v>0</v>
      </c>
      <c r="FV429">
        <v>0</v>
      </c>
      <c r="FW429">
        <v>0</v>
      </c>
      <c r="FX429">
        <v>-1</v>
      </c>
      <c r="FY429">
        <v>0</v>
      </c>
      <c r="FZ429">
        <v>0</v>
      </c>
      <c r="GA429" t="s">
        <v>420</v>
      </c>
      <c r="GB429">
        <v>2.98154</v>
      </c>
      <c r="GC429">
        <v>2.70612</v>
      </c>
      <c r="GD429">
        <v>0.176948</v>
      </c>
      <c r="GE429">
        <v>0.18159</v>
      </c>
      <c r="GF429">
        <v>0.0885548</v>
      </c>
      <c r="GG429">
        <v>0.0515055</v>
      </c>
      <c r="GH429">
        <v>26010.1</v>
      </c>
      <c r="GI429">
        <v>25919</v>
      </c>
      <c r="GJ429">
        <v>29379.4</v>
      </c>
      <c r="GK429">
        <v>29294.1</v>
      </c>
      <c r="GL429">
        <v>35456.5</v>
      </c>
      <c r="GM429">
        <v>37014.5</v>
      </c>
      <c r="GN429">
        <v>41352.1</v>
      </c>
      <c r="GO429">
        <v>41814.4</v>
      </c>
      <c r="GP429">
        <v>1.96785</v>
      </c>
      <c r="GQ429">
        <v>1.8569</v>
      </c>
      <c r="GR429">
        <v>-0.00584871</v>
      </c>
      <c r="GS429">
        <v>0</v>
      </c>
      <c r="GT429">
        <v>25.085</v>
      </c>
      <c r="GU429">
        <v>999.9</v>
      </c>
      <c r="GV429">
        <v>29.4</v>
      </c>
      <c r="GW429">
        <v>34.2</v>
      </c>
      <c r="GX429">
        <v>17.667</v>
      </c>
      <c r="GY429">
        <v>62.5276</v>
      </c>
      <c r="GZ429">
        <v>35.4567</v>
      </c>
      <c r="HA429">
        <v>1</v>
      </c>
      <c r="HB429">
        <v>0.0404395</v>
      </c>
      <c r="HC429">
        <v>1.51441</v>
      </c>
      <c r="HD429">
        <v>20.3275</v>
      </c>
      <c r="HE429">
        <v>5.21594</v>
      </c>
      <c r="HF429">
        <v>12.0099</v>
      </c>
      <c r="HG429">
        <v>4.98905</v>
      </c>
      <c r="HH429">
        <v>3.28858</v>
      </c>
      <c r="HI429">
        <v>1036</v>
      </c>
      <c r="HJ429">
        <v>9766.1</v>
      </c>
      <c r="HK429">
        <v>5139.4</v>
      </c>
      <c r="HL429">
        <v>25.4</v>
      </c>
      <c r="HM429">
        <v>1.86744</v>
      </c>
      <c r="HN429">
        <v>1.86646</v>
      </c>
      <c r="HO429">
        <v>1.866</v>
      </c>
      <c r="HP429">
        <v>1.86584</v>
      </c>
      <c r="HQ429">
        <v>1.86768</v>
      </c>
      <c r="HR429">
        <v>1.8702</v>
      </c>
      <c r="HS429">
        <v>1.8689</v>
      </c>
      <c r="HT429">
        <v>1.87022</v>
      </c>
      <c r="HU429">
        <v>0</v>
      </c>
      <c r="HV429">
        <v>0</v>
      </c>
      <c r="HW429">
        <v>0</v>
      </c>
      <c r="HX429">
        <v>0</v>
      </c>
      <c r="HY429" t="s">
        <v>421</v>
      </c>
      <c r="HZ429" t="s">
        <v>422</v>
      </c>
      <c r="IA429" t="s">
        <v>423</v>
      </c>
      <c r="IB429" t="s">
        <v>423</v>
      </c>
      <c r="IC429" t="s">
        <v>423</v>
      </c>
      <c r="ID429" t="s">
        <v>423</v>
      </c>
      <c r="IE429">
        <v>0</v>
      </c>
      <c r="IF429">
        <v>100</v>
      </c>
      <c r="IG429">
        <v>100</v>
      </c>
      <c r="IH429">
        <v>-2.05</v>
      </c>
      <c r="II429">
        <v>0.0238</v>
      </c>
      <c r="IJ429">
        <v>-0.1559367209035702</v>
      </c>
      <c r="IK429">
        <v>-0.002077099775823331</v>
      </c>
      <c r="IL429">
        <v>4.593143279902166E-07</v>
      </c>
      <c r="IM429">
        <v>-1.865383991892071E-10</v>
      </c>
      <c r="IN429">
        <v>-0.0607165066849496</v>
      </c>
      <c r="IO429">
        <v>-0.01129461987421345</v>
      </c>
      <c r="IP429">
        <v>0.00116580895745559</v>
      </c>
      <c r="IQ429">
        <v>-1.679085872906199E-05</v>
      </c>
      <c r="IR429">
        <v>2</v>
      </c>
      <c r="IS429">
        <v>2290</v>
      </c>
      <c r="IT429">
        <v>0</v>
      </c>
      <c r="IU429">
        <v>32</v>
      </c>
      <c r="IV429">
        <v>18</v>
      </c>
      <c r="IW429">
        <v>17.8</v>
      </c>
      <c r="IX429">
        <v>2.29736</v>
      </c>
      <c r="IY429">
        <v>2.18506</v>
      </c>
      <c r="IZ429">
        <v>1.39648</v>
      </c>
      <c r="JA429">
        <v>2.35596</v>
      </c>
      <c r="JB429">
        <v>1.49536</v>
      </c>
      <c r="JC429">
        <v>2.33032</v>
      </c>
      <c r="JD429">
        <v>38.0134</v>
      </c>
      <c r="JE429">
        <v>24.0437</v>
      </c>
      <c r="JF429">
        <v>18</v>
      </c>
      <c r="JG429">
        <v>512.434</v>
      </c>
      <c r="JH429">
        <v>427.223</v>
      </c>
      <c r="JI429">
        <v>23.1509</v>
      </c>
      <c r="JJ429">
        <v>27.8397</v>
      </c>
      <c r="JK429">
        <v>29.9999</v>
      </c>
      <c r="JL429">
        <v>27.8483</v>
      </c>
      <c r="JM429">
        <v>27.7908</v>
      </c>
      <c r="JN429">
        <v>46.024</v>
      </c>
      <c r="JO429">
        <v>46.3504</v>
      </c>
      <c r="JP429">
        <v>0</v>
      </c>
      <c r="JQ429">
        <v>23.1538</v>
      </c>
      <c r="JR429">
        <v>1135.28</v>
      </c>
      <c r="JS429">
        <v>9.11341</v>
      </c>
      <c r="JT429">
        <v>100.424</v>
      </c>
      <c r="JU429">
        <v>100.355</v>
      </c>
    </row>
    <row r="430" spans="1:281">
      <c r="A430">
        <v>414</v>
      </c>
      <c r="B430">
        <v>1651866591.5</v>
      </c>
      <c r="C430">
        <v>2370.900000095367</v>
      </c>
      <c r="D430" t="s">
        <v>1251</v>
      </c>
      <c r="E430" t="s">
        <v>1252</v>
      </c>
      <c r="F430">
        <v>2</v>
      </c>
      <c r="G430" t="s">
        <v>908</v>
      </c>
      <c r="H430" t="s">
        <v>414</v>
      </c>
      <c r="I430">
        <v>1651866590.25</v>
      </c>
      <c r="J430">
        <f>(K430)/1000</f>
        <v>0</v>
      </c>
      <c r="K430">
        <f>IF(CZ430, AN430, AH430)</f>
        <v>0</v>
      </c>
      <c r="L430">
        <f>IF(CZ430, AI430, AG430)</f>
        <v>0</v>
      </c>
      <c r="M430">
        <f>DB430 - IF(AU430&gt;1, L430*CV430*100.0/(AW430*DP430), 0)</f>
        <v>0</v>
      </c>
      <c r="N430">
        <f>((T430-J430/2)*M430-L430)/(T430+J430/2)</f>
        <v>0</v>
      </c>
      <c r="O430">
        <f>N430*(DI430+DJ430)/1000.0</f>
        <v>0</v>
      </c>
      <c r="P430">
        <f>(DB430 - IF(AU430&gt;1, L430*CV430*100.0/(AW430*DP430), 0))*(DI430+DJ430)/1000.0</f>
        <v>0</v>
      </c>
      <c r="Q430">
        <f>2.0/((1/S430-1/R430)+SIGN(S430)*SQRT((1/S430-1/R430)*(1/S430-1/R430) + 4*CW430/((CW430+1)*(CW430+1))*(2*1/S430*1/R430-1/R430*1/R430)))</f>
        <v>0</v>
      </c>
      <c r="R430">
        <f>IF(LEFT(CX430,1)&lt;&gt;"0",IF(LEFT(CX430,1)="1",3.0,CY430),$D$5+$E$5*(DP430*DI430/($K$5*1000))+$F$5*(DP430*DI430/($K$5*1000))*MAX(MIN(CV430,$J$5),$I$5)*MAX(MIN(CV430,$J$5),$I$5)+$G$5*MAX(MIN(CV430,$J$5),$I$5)*(DP430*DI430/($K$5*1000))+$H$5*(DP430*DI430/($K$5*1000))*(DP430*DI430/($K$5*1000)))</f>
        <v>0</v>
      </c>
      <c r="S430">
        <f>J430*(1000-(1000*0.61365*exp(17.502*W430/(240.97+W430))/(DI430+DJ430)+DD430)/2)/(1000*0.61365*exp(17.502*W430/(240.97+W430))/(DI430+DJ430)-DD430)</f>
        <v>0</v>
      </c>
      <c r="T430">
        <f>1/((CW430+1)/(Q430/1.6)+1/(R430/1.37)) + CW430/((CW430+1)/(Q430/1.6) + CW430/(R430/1.37))</f>
        <v>0</v>
      </c>
      <c r="U430">
        <f>(CR430*CU430)</f>
        <v>0</v>
      </c>
      <c r="V430">
        <f>(DK430+(U430+2*0.95*5.67E-8*(((DK430+$B$7)+273)^4-(DK430+273)^4)-44100*J430)/(1.84*29.3*R430+8*0.95*5.67E-8*(DK430+273)^3))</f>
        <v>0</v>
      </c>
      <c r="W430">
        <f>($C$7*DL430+$D$7*DM430+$E$7*V430)</f>
        <v>0</v>
      </c>
      <c r="X430">
        <f>0.61365*exp(17.502*W430/(240.97+W430))</f>
        <v>0</v>
      </c>
      <c r="Y430">
        <f>(Z430/AA430*100)</f>
        <v>0</v>
      </c>
      <c r="Z430">
        <f>DD430*(DI430+DJ430)/1000</f>
        <v>0</v>
      </c>
      <c r="AA430">
        <f>0.61365*exp(17.502*DK430/(240.97+DK430))</f>
        <v>0</v>
      </c>
      <c r="AB430">
        <f>(X430-DD430*(DI430+DJ430)/1000)</f>
        <v>0</v>
      </c>
      <c r="AC430">
        <f>(-J430*44100)</f>
        <v>0</v>
      </c>
      <c r="AD430">
        <f>2*29.3*R430*0.92*(DK430-W430)</f>
        <v>0</v>
      </c>
      <c r="AE430">
        <f>2*0.95*5.67E-8*(((DK430+$B$7)+273)^4-(W430+273)^4)</f>
        <v>0</v>
      </c>
      <c r="AF430">
        <f>U430+AE430+AC430+AD430</f>
        <v>0</v>
      </c>
      <c r="AG430">
        <f>DH430*AU430*(DC430-DB430*(1000-AU430*DE430)/(1000-AU430*DD430))/(100*CV430)</f>
        <v>0</v>
      </c>
      <c r="AH430">
        <f>1000*DH430*AU430*(DD430-DE430)/(100*CV430*(1000-AU430*DD430))</f>
        <v>0</v>
      </c>
      <c r="AI430">
        <f>(AJ430 - AK430 - DI430*1E3/(8.314*(DK430+273.15)) * AM430/DH430 * AL430) * DH430/(100*CV430) * (1000 - DE430)/1000</f>
        <v>0</v>
      </c>
      <c r="AJ430">
        <v>1125.775472619975</v>
      </c>
      <c r="AK430">
        <v>1078.69703030303</v>
      </c>
      <c r="AL430">
        <v>3.374241510710566</v>
      </c>
      <c r="AM430">
        <v>66.38195617057868</v>
      </c>
      <c r="AN430">
        <f>(AP430 - AO430 + DI430*1E3/(8.314*(DK430+273.15)) * AR430/DH430 * AQ430) * DH430/(100*CV430) * 1000/(1000 - AP430)</f>
        <v>0</v>
      </c>
      <c r="AO430">
        <v>9.069310008365898</v>
      </c>
      <c r="AP430">
        <v>18.57654647058824</v>
      </c>
      <c r="AQ430">
        <v>7.881772576622617E-06</v>
      </c>
      <c r="AR430">
        <v>80.47178418790507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MAX(0,($B$13+$C$13*DP430)/(1+$D$13*DP430)*DI430/(DK430+273)*$E$13)</f>
        <v>0</v>
      </c>
      <c r="AX430" t="s">
        <v>417</v>
      </c>
      <c r="AY430" t="s">
        <v>417</v>
      </c>
      <c r="AZ430">
        <v>0</v>
      </c>
      <c r="BA430">
        <v>0</v>
      </c>
      <c r="BB430">
        <f>1-AZ430/BA430</f>
        <v>0</v>
      </c>
      <c r="BC430">
        <v>0</v>
      </c>
      <c r="BD430" t="s">
        <v>417</v>
      </c>
      <c r="BE430" t="s">
        <v>417</v>
      </c>
      <c r="BF430">
        <v>0</v>
      </c>
      <c r="BG430">
        <v>0</v>
      </c>
      <c r="BH430">
        <f>1-BF430/BG430</f>
        <v>0</v>
      </c>
      <c r="BI430">
        <v>0.5</v>
      </c>
      <c r="BJ430">
        <f>CS430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417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BZ430">
        <v>1249</v>
      </c>
      <c r="CA430">
        <v>300</v>
      </c>
      <c r="CB430">
        <v>300</v>
      </c>
      <c r="CC430">
        <v>300</v>
      </c>
      <c r="CD430">
        <v>10442.4</v>
      </c>
      <c r="CE430">
        <v>1239.69</v>
      </c>
      <c r="CF430">
        <v>-0.00735276</v>
      </c>
      <c r="CG430">
        <v>0.07000000000000001</v>
      </c>
      <c r="CH430" t="s">
        <v>417</v>
      </c>
      <c r="CI430" t="s">
        <v>417</v>
      </c>
      <c r="CJ430" t="s">
        <v>417</v>
      </c>
      <c r="CK430" t="s">
        <v>417</v>
      </c>
      <c r="CL430" t="s">
        <v>417</v>
      </c>
      <c r="CM430" t="s">
        <v>417</v>
      </c>
      <c r="CN430" t="s">
        <v>417</v>
      </c>
      <c r="CO430" t="s">
        <v>417</v>
      </c>
      <c r="CP430" t="s">
        <v>417</v>
      </c>
      <c r="CQ430" t="s">
        <v>417</v>
      </c>
      <c r="CR430">
        <f>$B$11*DQ430+$C$11*DR430+$F$11*EC430*(1-EF430)</f>
        <v>0</v>
      </c>
      <c r="CS430">
        <f>CR430*CT430</f>
        <v>0</v>
      </c>
      <c r="CT430">
        <f>($B$11*$D$9+$C$11*$D$9+$F$11*((EP430+EH430)/MAX(EP430+EH430+EQ430, 0.1)*$I$9+EQ430/MAX(EP430+EH430+EQ430, 0.1)*$J$9))/($B$11+$C$11+$F$11)</f>
        <v>0</v>
      </c>
      <c r="CU430">
        <f>($B$11*$K$9+$C$11*$K$9+$F$11*((EP430+EH430)/MAX(EP430+EH430+EQ430, 0.1)*$P$9+EQ430/MAX(EP430+EH430+EQ430, 0.1)*$Q$9))/($B$11+$C$11+$F$11)</f>
        <v>0</v>
      </c>
      <c r="CV430">
        <v>6</v>
      </c>
      <c r="CW430">
        <v>0.5</v>
      </c>
      <c r="CX430" t="s">
        <v>418</v>
      </c>
      <c r="CY430">
        <v>2</v>
      </c>
      <c r="CZ430" t="b">
        <v>1</v>
      </c>
      <c r="DA430">
        <v>1651866590.25</v>
      </c>
      <c r="DB430">
        <v>1056.1775</v>
      </c>
      <c r="DC430">
        <v>1120.7075</v>
      </c>
      <c r="DD430">
        <v>18.573925</v>
      </c>
      <c r="DE430">
        <v>9.087512499999999</v>
      </c>
      <c r="DF430">
        <v>1058.24</v>
      </c>
      <c r="DG430">
        <v>18.550175</v>
      </c>
      <c r="DH430">
        <v>500.0095</v>
      </c>
      <c r="DI430">
        <v>89.909475</v>
      </c>
      <c r="DJ430">
        <v>0.0998612</v>
      </c>
      <c r="DK430">
        <v>25.924275</v>
      </c>
      <c r="DL430">
        <v>24.98825</v>
      </c>
      <c r="DM430">
        <v>999.9</v>
      </c>
      <c r="DN430">
        <v>0</v>
      </c>
      <c r="DO430">
        <v>0</v>
      </c>
      <c r="DP430">
        <v>10003.1</v>
      </c>
      <c r="DQ430">
        <v>0</v>
      </c>
      <c r="DR430">
        <v>3.20383</v>
      </c>
      <c r="DS430">
        <v>-64.527575</v>
      </c>
      <c r="DT430">
        <v>1076.1675</v>
      </c>
      <c r="DU430">
        <v>1130.9825</v>
      </c>
      <c r="DV430">
        <v>9.4864175</v>
      </c>
      <c r="DW430">
        <v>1120.7075</v>
      </c>
      <c r="DX430">
        <v>9.087512499999999</v>
      </c>
      <c r="DY430">
        <v>1.6699725</v>
      </c>
      <c r="DZ430">
        <v>0.8170535</v>
      </c>
      <c r="EA430">
        <v>14.6201</v>
      </c>
      <c r="EB430">
        <v>4.007082499999999</v>
      </c>
      <c r="EC430">
        <v>1499.9725</v>
      </c>
      <c r="ED430">
        <v>0.972992</v>
      </c>
      <c r="EE430">
        <v>0.027008</v>
      </c>
      <c r="EF430">
        <v>0</v>
      </c>
      <c r="EG430">
        <v>906.7547500000001</v>
      </c>
      <c r="EH430">
        <v>5.00097</v>
      </c>
      <c r="EI430">
        <v>13485.3</v>
      </c>
      <c r="EJ430">
        <v>12491.325</v>
      </c>
      <c r="EK430">
        <v>37.812</v>
      </c>
      <c r="EL430">
        <v>39.062</v>
      </c>
      <c r="EM430">
        <v>38.187</v>
      </c>
      <c r="EN430">
        <v>38.687</v>
      </c>
      <c r="EO430">
        <v>38.687</v>
      </c>
      <c r="EP430">
        <v>1454.5925</v>
      </c>
      <c r="EQ430">
        <v>40.38</v>
      </c>
      <c r="ER430">
        <v>0</v>
      </c>
      <c r="ES430">
        <v>1109</v>
      </c>
      <c r="ET430">
        <v>0</v>
      </c>
      <c r="EU430">
        <v>907.71456</v>
      </c>
      <c r="EV430">
        <v>-10.18038464334221</v>
      </c>
      <c r="EW430">
        <v>-171.5615387738149</v>
      </c>
      <c r="EX430">
        <v>13502.748</v>
      </c>
      <c r="EY430">
        <v>15</v>
      </c>
      <c r="EZ430">
        <v>1651865518.1</v>
      </c>
      <c r="FA430" t="s">
        <v>910</v>
      </c>
      <c r="FB430">
        <v>1651865507.1</v>
      </c>
      <c r="FC430">
        <v>1651865518.1</v>
      </c>
      <c r="FD430">
        <v>8</v>
      </c>
      <c r="FE430">
        <v>0.06</v>
      </c>
      <c r="FF430">
        <v>0</v>
      </c>
      <c r="FG430">
        <v>-0.927</v>
      </c>
      <c r="FH430">
        <v>-0.062</v>
      </c>
      <c r="FI430">
        <v>400</v>
      </c>
      <c r="FJ430">
        <v>11</v>
      </c>
      <c r="FK430">
        <v>0.11</v>
      </c>
      <c r="FL430">
        <v>0.01</v>
      </c>
      <c r="FM430">
        <v>-64.2088512195122</v>
      </c>
      <c r="FN430">
        <v>-1.815361672473923</v>
      </c>
      <c r="FO430">
        <v>0.1986128150532868</v>
      </c>
      <c r="FP430">
        <v>-1</v>
      </c>
      <c r="FQ430">
        <v>9.579414634146342</v>
      </c>
      <c r="FR430">
        <v>-0.5647511498257685</v>
      </c>
      <c r="FS430">
        <v>0.05781256687157905</v>
      </c>
      <c r="FT430">
        <v>-1</v>
      </c>
      <c r="FU430">
        <v>0</v>
      </c>
      <c r="FV430">
        <v>0</v>
      </c>
      <c r="FW430">
        <v>0</v>
      </c>
      <c r="FX430">
        <v>-1</v>
      </c>
      <c r="FY430">
        <v>0</v>
      </c>
      <c r="FZ430">
        <v>0</v>
      </c>
      <c r="GA430" t="s">
        <v>420</v>
      </c>
      <c r="GB430">
        <v>2.98143</v>
      </c>
      <c r="GC430">
        <v>2.70612</v>
      </c>
      <c r="GD430">
        <v>0.177838</v>
      </c>
      <c r="GE430">
        <v>0.182461</v>
      </c>
      <c r="GF430">
        <v>0.0885592</v>
      </c>
      <c r="GG430">
        <v>0.0515164</v>
      </c>
      <c r="GH430">
        <v>25981.8</v>
      </c>
      <c r="GI430">
        <v>25891.5</v>
      </c>
      <c r="GJ430">
        <v>29379.3</v>
      </c>
      <c r="GK430">
        <v>29294.2</v>
      </c>
      <c r="GL430">
        <v>35456</v>
      </c>
      <c r="GM430">
        <v>37014.4</v>
      </c>
      <c r="GN430">
        <v>41351.8</v>
      </c>
      <c r="GO430">
        <v>41814.7</v>
      </c>
      <c r="GP430">
        <v>1.96765</v>
      </c>
      <c r="GQ430">
        <v>1.85705</v>
      </c>
      <c r="GR430">
        <v>-0.00562519</v>
      </c>
      <c r="GS430">
        <v>0</v>
      </c>
      <c r="GT430">
        <v>25.0816</v>
      </c>
      <c r="GU430">
        <v>999.9</v>
      </c>
      <c r="GV430">
        <v>29.4</v>
      </c>
      <c r="GW430">
        <v>34.2</v>
      </c>
      <c r="GX430">
        <v>17.6671</v>
      </c>
      <c r="GY430">
        <v>62.5976</v>
      </c>
      <c r="GZ430">
        <v>35.3886</v>
      </c>
      <c r="HA430">
        <v>1</v>
      </c>
      <c r="HB430">
        <v>0.0402896</v>
      </c>
      <c r="HC430">
        <v>1.49005</v>
      </c>
      <c r="HD430">
        <v>20.3278</v>
      </c>
      <c r="HE430">
        <v>5.21579</v>
      </c>
      <c r="HF430">
        <v>12.0099</v>
      </c>
      <c r="HG430">
        <v>4.98895</v>
      </c>
      <c r="HH430">
        <v>3.28858</v>
      </c>
      <c r="HI430">
        <v>1036.2</v>
      </c>
      <c r="HJ430">
        <v>9767.5</v>
      </c>
      <c r="HK430">
        <v>5139.4</v>
      </c>
      <c r="HL430">
        <v>25.4</v>
      </c>
      <c r="HM430">
        <v>1.86744</v>
      </c>
      <c r="HN430">
        <v>1.86646</v>
      </c>
      <c r="HO430">
        <v>1.866</v>
      </c>
      <c r="HP430">
        <v>1.86584</v>
      </c>
      <c r="HQ430">
        <v>1.86768</v>
      </c>
      <c r="HR430">
        <v>1.87018</v>
      </c>
      <c r="HS430">
        <v>1.8689</v>
      </c>
      <c r="HT430">
        <v>1.87022</v>
      </c>
      <c r="HU430">
        <v>0</v>
      </c>
      <c r="HV430">
        <v>0</v>
      </c>
      <c r="HW430">
        <v>0</v>
      </c>
      <c r="HX430">
        <v>0</v>
      </c>
      <c r="HY430" t="s">
        <v>421</v>
      </c>
      <c r="HZ430" t="s">
        <v>422</v>
      </c>
      <c r="IA430" t="s">
        <v>423</v>
      </c>
      <c r="IB430" t="s">
        <v>423</v>
      </c>
      <c r="IC430" t="s">
        <v>423</v>
      </c>
      <c r="ID430" t="s">
        <v>423</v>
      </c>
      <c r="IE430">
        <v>0</v>
      </c>
      <c r="IF430">
        <v>100</v>
      </c>
      <c r="IG430">
        <v>100</v>
      </c>
      <c r="IH430">
        <v>-2.07</v>
      </c>
      <c r="II430">
        <v>0.0238</v>
      </c>
      <c r="IJ430">
        <v>-0.1559367209035702</v>
      </c>
      <c r="IK430">
        <v>-0.002077099775823331</v>
      </c>
      <c r="IL430">
        <v>4.593143279902166E-07</v>
      </c>
      <c r="IM430">
        <v>-1.865383991892071E-10</v>
      </c>
      <c r="IN430">
        <v>-0.0607165066849496</v>
      </c>
      <c r="IO430">
        <v>-0.01129461987421345</v>
      </c>
      <c r="IP430">
        <v>0.00116580895745559</v>
      </c>
      <c r="IQ430">
        <v>-1.679085872906199E-05</v>
      </c>
      <c r="IR430">
        <v>2</v>
      </c>
      <c r="IS430">
        <v>2290</v>
      </c>
      <c r="IT430">
        <v>0</v>
      </c>
      <c r="IU430">
        <v>32</v>
      </c>
      <c r="IV430">
        <v>18.1</v>
      </c>
      <c r="IW430">
        <v>17.9</v>
      </c>
      <c r="IX430">
        <v>2.31079</v>
      </c>
      <c r="IY430">
        <v>2.18262</v>
      </c>
      <c r="IZ430">
        <v>1.39648</v>
      </c>
      <c r="JA430">
        <v>2.35596</v>
      </c>
      <c r="JB430">
        <v>1.49536</v>
      </c>
      <c r="JC430">
        <v>2.3645</v>
      </c>
      <c r="JD430">
        <v>38.0134</v>
      </c>
      <c r="JE430">
        <v>24.0437</v>
      </c>
      <c r="JF430">
        <v>18</v>
      </c>
      <c r="JG430">
        <v>512.2910000000001</v>
      </c>
      <c r="JH430">
        <v>427.307</v>
      </c>
      <c r="JI430">
        <v>23.151</v>
      </c>
      <c r="JJ430">
        <v>27.8397</v>
      </c>
      <c r="JK430">
        <v>29.9999</v>
      </c>
      <c r="JL430">
        <v>27.8468</v>
      </c>
      <c r="JM430">
        <v>27.7901</v>
      </c>
      <c r="JN430">
        <v>46.2768</v>
      </c>
      <c r="JO430">
        <v>46.3504</v>
      </c>
      <c r="JP430">
        <v>0</v>
      </c>
      <c r="JQ430">
        <v>23.1636</v>
      </c>
      <c r="JR430">
        <v>1141.96</v>
      </c>
      <c r="JS430">
        <v>9.13003</v>
      </c>
      <c r="JT430">
        <v>100.423</v>
      </c>
      <c r="JU430">
        <v>100.356</v>
      </c>
    </row>
    <row r="431" spans="1:281">
      <c r="A431">
        <v>415</v>
      </c>
      <c r="B431">
        <v>1651866593</v>
      </c>
      <c r="C431">
        <v>2372.400000095367</v>
      </c>
      <c r="D431" t="s">
        <v>1253</v>
      </c>
      <c r="E431" t="s">
        <v>1254</v>
      </c>
      <c r="F431">
        <v>2</v>
      </c>
      <c r="G431" t="s">
        <v>908</v>
      </c>
      <c r="H431" t="s">
        <v>414</v>
      </c>
      <c r="I431">
        <v>1651866591.5</v>
      </c>
      <c r="J431">
        <f>(K431)/1000</f>
        <v>0</v>
      </c>
      <c r="K431">
        <f>IF(CZ431, AN431, AH431)</f>
        <v>0</v>
      </c>
      <c r="L431">
        <f>IF(CZ431, AI431, AG431)</f>
        <v>0</v>
      </c>
      <c r="M431">
        <f>DB431 - IF(AU431&gt;1, L431*CV431*100.0/(AW431*DP431), 0)</f>
        <v>0</v>
      </c>
      <c r="N431">
        <f>((T431-J431/2)*M431-L431)/(T431+J431/2)</f>
        <v>0</v>
      </c>
      <c r="O431">
        <f>N431*(DI431+DJ431)/1000.0</f>
        <v>0</v>
      </c>
      <c r="P431">
        <f>(DB431 - IF(AU431&gt;1, L431*CV431*100.0/(AW431*DP431), 0))*(DI431+DJ431)/1000.0</f>
        <v>0</v>
      </c>
      <c r="Q431">
        <f>2.0/((1/S431-1/R431)+SIGN(S431)*SQRT((1/S431-1/R431)*(1/S431-1/R431) + 4*CW431/((CW431+1)*(CW431+1))*(2*1/S431*1/R431-1/R431*1/R431)))</f>
        <v>0</v>
      </c>
      <c r="R431">
        <f>IF(LEFT(CX431,1)&lt;&gt;"0",IF(LEFT(CX431,1)="1",3.0,CY431),$D$5+$E$5*(DP431*DI431/($K$5*1000))+$F$5*(DP431*DI431/($K$5*1000))*MAX(MIN(CV431,$J$5),$I$5)*MAX(MIN(CV431,$J$5),$I$5)+$G$5*MAX(MIN(CV431,$J$5),$I$5)*(DP431*DI431/($K$5*1000))+$H$5*(DP431*DI431/($K$5*1000))*(DP431*DI431/($K$5*1000)))</f>
        <v>0</v>
      </c>
      <c r="S431">
        <f>J431*(1000-(1000*0.61365*exp(17.502*W431/(240.97+W431))/(DI431+DJ431)+DD431)/2)/(1000*0.61365*exp(17.502*W431/(240.97+W431))/(DI431+DJ431)-DD431)</f>
        <v>0</v>
      </c>
      <c r="T431">
        <f>1/((CW431+1)/(Q431/1.6)+1/(R431/1.37)) + CW431/((CW431+1)/(Q431/1.6) + CW431/(R431/1.37))</f>
        <v>0</v>
      </c>
      <c r="U431">
        <f>(CR431*CU431)</f>
        <v>0</v>
      </c>
      <c r="V431">
        <f>(DK431+(U431+2*0.95*5.67E-8*(((DK431+$B$7)+273)^4-(DK431+273)^4)-44100*J431)/(1.84*29.3*R431+8*0.95*5.67E-8*(DK431+273)^3))</f>
        <v>0</v>
      </c>
      <c r="W431">
        <f>($C$7*DL431+$D$7*DM431+$E$7*V431)</f>
        <v>0</v>
      </c>
      <c r="X431">
        <f>0.61365*exp(17.502*W431/(240.97+W431))</f>
        <v>0</v>
      </c>
      <c r="Y431">
        <f>(Z431/AA431*100)</f>
        <v>0</v>
      </c>
      <c r="Z431">
        <f>DD431*(DI431+DJ431)/1000</f>
        <v>0</v>
      </c>
      <c r="AA431">
        <f>0.61365*exp(17.502*DK431/(240.97+DK431))</f>
        <v>0</v>
      </c>
      <c r="AB431">
        <f>(X431-DD431*(DI431+DJ431)/1000)</f>
        <v>0</v>
      </c>
      <c r="AC431">
        <f>(-J431*44100)</f>
        <v>0</v>
      </c>
      <c r="AD431">
        <f>2*29.3*R431*0.92*(DK431-W431)</f>
        <v>0</v>
      </c>
      <c r="AE431">
        <f>2*0.95*5.67E-8*(((DK431+$B$7)+273)^4-(W431+273)^4)</f>
        <v>0</v>
      </c>
      <c r="AF431">
        <f>U431+AE431+AC431+AD431</f>
        <v>0</v>
      </c>
      <c r="AG431">
        <f>DH431*AU431*(DC431-DB431*(1000-AU431*DE431)/(1000-AU431*DD431))/(100*CV431)</f>
        <v>0</v>
      </c>
      <c r="AH431">
        <f>1000*DH431*AU431*(DD431-DE431)/(100*CV431*(1000-AU431*DD431))</f>
        <v>0</v>
      </c>
      <c r="AI431">
        <f>(AJ431 - AK431 - DI431*1E3/(8.314*(DK431+273.15)) * AM431/DH431 * AL431) * DH431/(100*CV431) * (1000 - DE431)/1000</f>
        <v>0</v>
      </c>
      <c r="AJ431">
        <v>1130.902439838297</v>
      </c>
      <c r="AK431">
        <v>1083.817818181818</v>
      </c>
      <c r="AL431">
        <v>3.390550377466348</v>
      </c>
      <c r="AM431">
        <v>66.38195617057868</v>
      </c>
      <c r="AN431">
        <f>(AP431 - AO431 + DI431*1E3/(8.314*(DK431+273.15)) * AR431/DH431 * AQ431) * DH431/(100*CV431) * 1000/(1000 - AP431)</f>
        <v>0</v>
      </c>
      <c r="AO431">
        <v>9.083772307302347</v>
      </c>
      <c r="AP431">
        <v>18.57290352941176</v>
      </c>
      <c r="AQ431">
        <v>0.0004662340853217693</v>
      </c>
      <c r="AR431">
        <v>80.47178418790507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MAX(0,($B$13+$C$13*DP431)/(1+$D$13*DP431)*DI431/(DK431+273)*$E$13)</f>
        <v>0</v>
      </c>
      <c r="AX431" t="s">
        <v>417</v>
      </c>
      <c r="AY431" t="s">
        <v>417</v>
      </c>
      <c r="AZ431">
        <v>0</v>
      </c>
      <c r="BA431">
        <v>0</v>
      </c>
      <c r="BB431">
        <f>1-AZ431/BA431</f>
        <v>0</v>
      </c>
      <c r="BC431">
        <v>0</v>
      </c>
      <c r="BD431" t="s">
        <v>417</v>
      </c>
      <c r="BE431" t="s">
        <v>417</v>
      </c>
      <c r="BF431">
        <v>0</v>
      </c>
      <c r="BG431">
        <v>0</v>
      </c>
      <c r="BH431">
        <f>1-BF431/BG431</f>
        <v>0</v>
      </c>
      <c r="BI431">
        <v>0.5</v>
      </c>
      <c r="BJ431">
        <f>CS431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417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BZ431">
        <v>1249</v>
      </c>
      <c r="CA431">
        <v>300</v>
      </c>
      <c r="CB431">
        <v>300</v>
      </c>
      <c r="CC431">
        <v>300</v>
      </c>
      <c r="CD431">
        <v>10442.4</v>
      </c>
      <c r="CE431">
        <v>1239.69</v>
      </c>
      <c r="CF431">
        <v>-0.00735276</v>
      </c>
      <c r="CG431">
        <v>0.07000000000000001</v>
      </c>
      <c r="CH431" t="s">
        <v>417</v>
      </c>
      <c r="CI431" t="s">
        <v>417</v>
      </c>
      <c r="CJ431" t="s">
        <v>417</v>
      </c>
      <c r="CK431" t="s">
        <v>417</v>
      </c>
      <c r="CL431" t="s">
        <v>417</v>
      </c>
      <c r="CM431" t="s">
        <v>417</v>
      </c>
      <c r="CN431" t="s">
        <v>417</v>
      </c>
      <c r="CO431" t="s">
        <v>417</v>
      </c>
      <c r="CP431" t="s">
        <v>417</v>
      </c>
      <c r="CQ431" t="s">
        <v>417</v>
      </c>
      <c r="CR431">
        <f>$B$11*DQ431+$C$11*DR431+$F$11*EC431*(1-EF431)</f>
        <v>0</v>
      </c>
      <c r="CS431">
        <f>CR431*CT431</f>
        <v>0</v>
      </c>
      <c r="CT431">
        <f>($B$11*$D$9+$C$11*$D$9+$F$11*((EP431+EH431)/MAX(EP431+EH431+EQ431, 0.1)*$I$9+EQ431/MAX(EP431+EH431+EQ431, 0.1)*$J$9))/($B$11+$C$11+$F$11)</f>
        <v>0</v>
      </c>
      <c r="CU431">
        <f>($B$11*$K$9+$C$11*$K$9+$F$11*((EP431+EH431)/MAX(EP431+EH431+EQ431, 0.1)*$P$9+EQ431/MAX(EP431+EH431+EQ431, 0.1)*$Q$9))/($B$11+$C$11+$F$11)</f>
        <v>0</v>
      </c>
      <c r="CV431">
        <v>6</v>
      </c>
      <c r="CW431">
        <v>0.5</v>
      </c>
      <c r="CX431" t="s">
        <v>418</v>
      </c>
      <c r="CY431">
        <v>2</v>
      </c>
      <c r="CZ431" t="b">
        <v>1</v>
      </c>
      <c r="DA431">
        <v>1651866591.5</v>
      </c>
      <c r="DB431">
        <v>1060.3425</v>
      </c>
      <c r="DC431">
        <v>1124.96</v>
      </c>
      <c r="DD431">
        <v>18.57335</v>
      </c>
      <c r="DE431">
        <v>9.08858</v>
      </c>
      <c r="DF431">
        <v>1062.41</v>
      </c>
      <c r="DG431">
        <v>18.5496</v>
      </c>
      <c r="DH431">
        <v>499.99475</v>
      </c>
      <c r="DI431">
        <v>89.90965000000001</v>
      </c>
      <c r="DJ431">
        <v>0.09996037499999999</v>
      </c>
      <c r="DK431">
        <v>25.923075</v>
      </c>
      <c r="DL431">
        <v>24.98845</v>
      </c>
      <c r="DM431">
        <v>999.9</v>
      </c>
      <c r="DN431">
        <v>0</v>
      </c>
      <c r="DO431">
        <v>0</v>
      </c>
      <c r="DP431">
        <v>10000.625</v>
      </c>
      <c r="DQ431">
        <v>0</v>
      </c>
      <c r="DR431">
        <v>3.20383</v>
      </c>
      <c r="DS431">
        <v>-64.618875</v>
      </c>
      <c r="DT431">
        <v>1080.41</v>
      </c>
      <c r="DU431">
        <v>1135.2775</v>
      </c>
      <c r="DV431">
        <v>9.4847825</v>
      </c>
      <c r="DW431">
        <v>1124.96</v>
      </c>
      <c r="DX431">
        <v>9.08858</v>
      </c>
      <c r="DY431">
        <v>1.6699225</v>
      </c>
      <c r="DZ431">
        <v>0.81715075</v>
      </c>
      <c r="EA431">
        <v>14.619625</v>
      </c>
      <c r="EB431">
        <v>4.00878</v>
      </c>
      <c r="EC431">
        <v>1499.9825</v>
      </c>
      <c r="ED431">
        <v>0.972992</v>
      </c>
      <c r="EE431">
        <v>0.027008</v>
      </c>
      <c r="EF431">
        <v>0</v>
      </c>
      <c r="EG431">
        <v>906.369</v>
      </c>
      <c r="EH431">
        <v>5.00097</v>
      </c>
      <c r="EI431">
        <v>13481.975</v>
      </c>
      <c r="EJ431">
        <v>12491.425</v>
      </c>
      <c r="EK431">
        <v>37.812</v>
      </c>
      <c r="EL431">
        <v>39.062</v>
      </c>
      <c r="EM431">
        <v>38.187</v>
      </c>
      <c r="EN431">
        <v>38.687</v>
      </c>
      <c r="EO431">
        <v>38.687</v>
      </c>
      <c r="EP431">
        <v>1454.6025</v>
      </c>
      <c r="EQ431">
        <v>40.38</v>
      </c>
      <c r="ER431">
        <v>0</v>
      </c>
      <c r="ES431">
        <v>1110.200000047684</v>
      </c>
      <c r="ET431">
        <v>0</v>
      </c>
      <c r="EU431">
        <v>907.5116399999999</v>
      </c>
      <c r="EV431">
        <v>-10.99323076868568</v>
      </c>
      <c r="EW431">
        <v>-171.1538459272483</v>
      </c>
      <c r="EX431">
        <v>13499.26</v>
      </c>
      <c r="EY431">
        <v>15</v>
      </c>
      <c r="EZ431">
        <v>1651865518.1</v>
      </c>
      <c r="FA431" t="s">
        <v>910</v>
      </c>
      <c r="FB431">
        <v>1651865507.1</v>
      </c>
      <c r="FC431">
        <v>1651865518.1</v>
      </c>
      <c r="FD431">
        <v>8</v>
      </c>
      <c r="FE431">
        <v>0.06</v>
      </c>
      <c r="FF431">
        <v>0</v>
      </c>
      <c r="FG431">
        <v>-0.927</v>
      </c>
      <c r="FH431">
        <v>-0.062</v>
      </c>
      <c r="FI431">
        <v>400</v>
      </c>
      <c r="FJ431">
        <v>11</v>
      </c>
      <c r="FK431">
        <v>0.11</v>
      </c>
      <c r="FL431">
        <v>0.01</v>
      </c>
      <c r="FM431">
        <v>-64.24231951219512</v>
      </c>
      <c r="FN431">
        <v>-1.830625087108026</v>
      </c>
      <c r="FO431">
        <v>0.2001376138993447</v>
      </c>
      <c r="FP431">
        <v>-1</v>
      </c>
      <c r="FQ431">
        <v>9.571402926829268</v>
      </c>
      <c r="FR431">
        <v>-0.5775917770034728</v>
      </c>
      <c r="FS431">
        <v>0.05884229647836935</v>
      </c>
      <c r="FT431">
        <v>-1</v>
      </c>
      <c r="FU431">
        <v>0</v>
      </c>
      <c r="FV431">
        <v>0</v>
      </c>
      <c r="FW431">
        <v>0</v>
      </c>
      <c r="FX431">
        <v>-1</v>
      </c>
      <c r="FY431">
        <v>0</v>
      </c>
      <c r="FZ431">
        <v>0</v>
      </c>
      <c r="GA431" t="s">
        <v>420</v>
      </c>
      <c r="GB431">
        <v>2.98162</v>
      </c>
      <c r="GC431">
        <v>2.70619</v>
      </c>
      <c r="GD431">
        <v>0.178373</v>
      </c>
      <c r="GE431">
        <v>0.182994</v>
      </c>
      <c r="GF431">
        <v>0.08854579999999999</v>
      </c>
      <c r="GG431">
        <v>0.0515214</v>
      </c>
      <c r="GH431">
        <v>25965</v>
      </c>
      <c r="GI431">
        <v>25874.6</v>
      </c>
      <c r="GJ431">
        <v>29379.4</v>
      </c>
      <c r="GK431">
        <v>29294.2</v>
      </c>
      <c r="GL431">
        <v>35456.5</v>
      </c>
      <c r="GM431">
        <v>37014.2</v>
      </c>
      <c r="GN431">
        <v>41351.7</v>
      </c>
      <c r="GO431">
        <v>41814.7</v>
      </c>
      <c r="GP431">
        <v>1.96758</v>
      </c>
      <c r="GQ431">
        <v>1.85695</v>
      </c>
      <c r="GR431">
        <v>-0.00573695</v>
      </c>
      <c r="GS431">
        <v>0</v>
      </c>
      <c r="GT431">
        <v>25.0792</v>
      </c>
      <c r="GU431">
        <v>999.9</v>
      </c>
      <c r="GV431">
        <v>29.4</v>
      </c>
      <c r="GW431">
        <v>34.2</v>
      </c>
      <c r="GX431">
        <v>17.667</v>
      </c>
      <c r="GY431">
        <v>62.3076</v>
      </c>
      <c r="GZ431">
        <v>35.1402</v>
      </c>
      <c r="HA431">
        <v>1</v>
      </c>
      <c r="HB431">
        <v>0.0403176</v>
      </c>
      <c r="HC431">
        <v>1.4706</v>
      </c>
      <c r="HD431">
        <v>20.3281</v>
      </c>
      <c r="HE431">
        <v>5.21579</v>
      </c>
      <c r="HF431">
        <v>12.0099</v>
      </c>
      <c r="HG431">
        <v>4.9887</v>
      </c>
      <c r="HH431">
        <v>3.28855</v>
      </c>
      <c r="HI431">
        <v>1036.2</v>
      </c>
      <c r="HJ431">
        <v>9767.5</v>
      </c>
      <c r="HK431">
        <v>5139.4</v>
      </c>
      <c r="HL431">
        <v>25.4</v>
      </c>
      <c r="HM431">
        <v>1.86744</v>
      </c>
      <c r="HN431">
        <v>1.86646</v>
      </c>
      <c r="HO431">
        <v>1.866</v>
      </c>
      <c r="HP431">
        <v>1.86584</v>
      </c>
      <c r="HQ431">
        <v>1.86768</v>
      </c>
      <c r="HR431">
        <v>1.87016</v>
      </c>
      <c r="HS431">
        <v>1.8689</v>
      </c>
      <c r="HT431">
        <v>1.87022</v>
      </c>
      <c r="HU431">
        <v>0</v>
      </c>
      <c r="HV431">
        <v>0</v>
      </c>
      <c r="HW431">
        <v>0</v>
      </c>
      <c r="HX431">
        <v>0</v>
      </c>
      <c r="HY431" t="s">
        <v>421</v>
      </c>
      <c r="HZ431" t="s">
        <v>422</v>
      </c>
      <c r="IA431" t="s">
        <v>423</v>
      </c>
      <c r="IB431" t="s">
        <v>423</v>
      </c>
      <c r="IC431" t="s">
        <v>423</v>
      </c>
      <c r="ID431" t="s">
        <v>423</v>
      </c>
      <c r="IE431">
        <v>0</v>
      </c>
      <c r="IF431">
        <v>100</v>
      </c>
      <c r="IG431">
        <v>100</v>
      </c>
      <c r="IH431">
        <v>-2.08</v>
      </c>
      <c r="II431">
        <v>0.0236</v>
      </c>
      <c r="IJ431">
        <v>-0.1559367209035702</v>
      </c>
      <c r="IK431">
        <v>-0.002077099775823331</v>
      </c>
      <c r="IL431">
        <v>4.593143279902166E-07</v>
      </c>
      <c r="IM431">
        <v>-1.865383991892071E-10</v>
      </c>
      <c r="IN431">
        <v>-0.0607165066849496</v>
      </c>
      <c r="IO431">
        <v>-0.01129461987421345</v>
      </c>
      <c r="IP431">
        <v>0.00116580895745559</v>
      </c>
      <c r="IQ431">
        <v>-1.679085872906199E-05</v>
      </c>
      <c r="IR431">
        <v>2</v>
      </c>
      <c r="IS431">
        <v>2290</v>
      </c>
      <c r="IT431">
        <v>0</v>
      </c>
      <c r="IU431">
        <v>32</v>
      </c>
      <c r="IV431">
        <v>18.1</v>
      </c>
      <c r="IW431">
        <v>17.9</v>
      </c>
      <c r="IX431">
        <v>2.31934</v>
      </c>
      <c r="IY431">
        <v>2.18506</v>
      </c>
      <c r="IZ431">
        <v>1.39771</v>
      </c>
      <c r="JA431">
        <v>2.35474</v>
      </c>
      <c r="JB431">
        <v>1.49536</v>
      </c>
      <c r="JC431">
        <v>2.31445</v>
      </c>
      <c r="JD431">
        <v>38.0134</v>
      </c>
      <c r="JE431">
        <v>24.035</v>
      </c>
      <c r="JF431">
        <v>18</v>
      </c>
      <c r="JG431">
        <v>512.239</v>
      </c>
      <c r="JH431">
        <v>427.244</v>
      </c>
      <c r="JI431">
        <v>23.1528</v>
      </c>
      <c r="JJ431">
        <v>27.8391</v>
      </c>
      <c r="JK431">
        <v>30</v>
      </c>
      <c r="JL431">
        <v>27.8465</v>
      </c>
      <c r="JM431">
        <v>27.7896</v>
      </c>
      <c r="JN431">
        <v>46.455</v>
      </c>
      <c r="JO431">
        <v>46.3504</v>
      </c>
      <c r="JP431">
        <v>0</v>
      </c>
      <c r="JQ431">
        <v>23.1636</v>
      </c>
      <c r="JR431">
        <v>1148.64</v>
      </c>
      <c r="JS431">
        <v>9.14171</v>
      </c>
      <c r="JT431">
        <v>100.423</v>
      </c>
      <c r="JU431">
        <v>100.356</v>
      </c>
    </row>
    <row r="432" spans="1:281">
      <c r="A432">
        <v>416</v>
      </c>
      <c r="B432">
        <v>1651866595</v>
      </c>
      <c r="C432">
        <v>2374.400000095367</v>
      </c>
      <c r="D432" t="s">
        <v>1255</v>
      </c>
      <c r="E432" t="s">
        <v>1256</v>
      </c>
      <c r="F432">
        <v>2</v>
      </c>
      <c r="G432" t="s">
        <v>908</v>
      </c>
      <c r="H432" t="s">
        <v>414</v>
      </c>
      <c r="I432">
        <v>1651866594</v>
      </c>
      <c r="J432">
        <f>(K432)/1000</f>
        <v>0</v>
      </c>
      <c r="K432">
        <f>IF(CZ432, AN432, AH432)</f>
        <v>0</v>
      </c>
      <c r="L432">
        <f>IF(CZ432, AI432, AG432)</f>
        <v>0</v>
      </c>
      <c r="M432">
        <f>DB432 - IF(AU432&gt;1, L432*CV432*100.0/(AW432*DP432), 0)</f>
        <v>0</v>
      </c>
      <c r="N432">
        <f>((T432-J432/2)*M432-L432)/(T432+J432/2)</f>
        <v>0</v>
      </c>
      <c r="O432">
        <f>N432*(DI432+DJ432)/1000.0</f>
        <v>0</v>
      </c>
      <c r="P432">
        <f>(DB432 - IF(AU432&gt;1, L432*CV432*100.0/(AW432*DP432), 0))*(DI432+DJ432)/1000.0</f>
        <v>0</v>
      </c>
      <c r="Q432">
        <f>2.0/((1/S432-1/R432)+SIGN(S432)*SQRT((1/S432-1/R432)*(1/S432-1/R432) + 4*CW432/((CW432+1)*(CW432+1))*(2*1/S432*1/R432-1/R432*1/R432)))</f>
        <v>0</v>
      </c>
      <c r="R432">
        <f>IF(LEFT(CX432,1)&lt;&gt;"0",IF(LEFT(CX432,1)="1",3.0,CY432),$D$5+$E$5*(DP432*DI432/($K$5*1000))+$F$5*(DP432*DI432/($K$5*1000))*MAX(MIN(CV432,$J$5),$I$5)*MAX(MIN(CV432,$J$5),$I$5)+$G$5*MAX(MIN(CV432,$J$5),$I$5)*(DP432*DI432/($K$5*1000))+$H$5*(DP432*DI432/($K$5*1000))*(DP432*DI432/($K$5*1000)))</f>
        <v>0</v>
      </c>
      <c r="S432">
        <f>J432*(1000-(1000*0.61365*exp(17.502*W432/(240.97+W432))/(DI432+DJ432)+DD432)/2)/(1000*0.61365*exp(17.502*W432/(240.97+W432))/(DI432+DJ432)-DD432)</f>
        <v>0</v>
      </c>
      <c r="T432">
        <f>1/((CW432+1)/(Q432/1.6)+1/(R432/1.37)) + CW432/((CW432+1)/(Q432/1.6) + CW432/(R432/1.37))</f>
        <v>0</v>
      </c>
      <c r="U432">
        <f>(CR432*CU432)</f>
        <v>0</v>
      </c>
      <c r="V432">
        <f>(DK432+(U432+2*0.95*5.67E-8*(((DK432+$B$7)+273)^4-(DK432+273)^4)-44100*J432)/(1.84*29.3*R432+8*0.95*5.67E-8*(DK432+273)^3))</f>
        <v>0</v>
      </c>
      <c r="W432">
        <f>($C$7*DL432+$D$7*DM432+$E$7*V432)</f>
        <v>0</v>
      </c>
      <c r="X432">
        <f>0.61365*exp(17.502*W432/(240.97+W432))</f>
        <v>0</v>
      </c>
      <c r="Y432">
        <f>(Z432/AA432*100)</f>
        <v>0</v>
      </c>
      <c r="Z432">
        <f>DD432*(DI432+DJ432)/1000</f>
        <v>0</v>
      </c>
      <c r="AA432">
        <f>0.61365*exp(17.502*DK432/(240.97+DK432))</f>
        <v>0</v>
      </c>
      <c r="AB432">
        <f>(X432-DD432*(DI432+DJ432)/1000)</f>
        <v>0</v>
      </c>
      <c r="AC432">
        <f>(-J432*44100)</f>
        <v>0</v>
      </c>
      <c r="AD432">
        <f>2*29.3*R432*0.92*(DK432-W432)</f>
        <v>0</v>
      </c>
      <c r="AE432">
        <f>2*0.95*5.67E-8*(((DK432+$B$7)+273)^4-(W432+273)^4)</f>
        <v>0</v>
      </c>
      <c r="AF432">
        <f>U432+AE432+AC432+AD432</f>
        <v>0</v>
      </c>
      <c r="AG432">
        <f>DH432*AU432*(DC432-DB432*(1000-AU432*DE432)/(1000-AU432*DD432))/(100*CV432)</f>
        <v>0</v>
      </c>
      <c r="AH432">
        <f>1000*DH432*AU432*(DD432-DE432)/(100*CV432*(1000-AU432*DD432))</f>
        <v>0</v>
      </c>
      <c r="AI432">
        <f>(AJ432 - AK432 - DI432*1E3/(8.314*(DK432+273.15)) * AM432/DH432 * AL432) * DH432/(100*CV432) * (1000 - DE432)/1000</f>
        <v>0</v>
      </c>
      <c r="AJ432">
        <v>1137.783897840479</v>
      </c>
      <c r="AK432">
        <v>1090.642242424242</v>
      </c>
      <c r="AL432">
        <v>3.409941576265073</v>
      </c>
      <c r="AM432">
        <v>66.38195617057868</v>
      </c>
      <c r="AN432">
        <f>(AP432 - AO432 + DI432*1E3/(8.314*(DK432+273.15)) * AR432/DH432 * AQ432) * DH432/(100*CV432) * 1000/(1000 - AP432)</f>
        <v>0</v>
      </c>
      <c r="AO432">
        <v>9.087767665493404</v>
      </c>
      <c r="AP432">
        <v>18.56478911764705</v>
      </c>
      <c r="AQ432">
        <v>0.0003647131951062814</v>
      </c>
      <c r="AR432">
        <v>80.47178418790507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MAX(0,($B$13+$C$13*DP432)/(1+$D$13*DP432)*DI432/(DK432+273)*$E$13)</f>
        <v>0</v>
      </c>
      <c r="AX432" t="s">
        <v>417</v>
      </c>
      <c r="AY432" t="s">
        <v>417</v>
      </c>
      <c r="AZ432">
        <v>0</v>
      </c>
      <c r="BA432">
        <v>0</v>
      </c>
      <c r="BB432">
        <f>1-AZ432/BA432</f>
        <v>0</v>
      </c>
      <c r="BC432">
        <v>0</v>
      </c>
      <c r="BD432" t="s">
        <v>417</v>
      </c>
      <c r="BE432" t="s">
        <v>417</v>
      </c>
      <c r="BF432">
        <v>0</v>
      </c>
      <c r="BG432">
        <v>0</v>
      </c>
      <c r="BH432">
        <f>1-BF432/BG432</f>
        <v>0</v>
      </c>
      <c r="BI432">
        <v>0.5</v>
      </c>
      <c r="BJ432">
        <f>CS432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417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BZ432">
        <v>1249</v>
      </c>
      <c r="CA432">
        <v>300</v>
      </c>
      <c r="CB432">
        <v>300</v>
      </c>
      <c r="CC432">
        <v>300</v>
      </c>
      <c r="CD432">
        <v>10442.4</v>
      </c>
      <c r="CE432">
        <v>1239.69</v>
      </c>
      <c r="CF432">
        <v>-0.00735276</v>
      </c>
      <c r="CG432">
        <v>0.07000000000000001</v>
      </c>
      <c r="CH432" t="s">
        <v>417</v>
      </c>
      <c r="CI432" t="s">
        <v>417</v>
      </c>
      <c r="CJ432" t="s">
        <v>417</v>
      </c>
      <c r="CK432" t="s">
        <v>417</v>
      </c>
      <c r="CL432" t="s">
        <v>417</v>
      </c>
      <c r="CM432" t="s">
        <v>417</v>
      </c>
      <c r="CN432" t="s">
        <v>417</v>
      </c>
      <c r="CO432" t="s">
        <v>417</v>
      </c>
      <c r="CP432" t="s">
        <v>417</v>
      </c>
      <c r="CQ432" t="s">
        <v>417</v>
      </c>
      <c r="CR432">
        <f>$B$11*DQ432+$C$11*DR432+$F$11*EC432*(1-EF432)</f>
        <v>0</v>
      </c>
      <c r="CS432">
        <f>CR432*CT432</f>
        <v>0</v>
      </c>
      <c r="CT432">
        <f>($B$11*$D$9+$C$11*$D$9+$F$11*((EP432+EH432)/MAX(EP432+EH432+EQ432, 0.1)*$I$9+EQ432/MAX(EP432+EH432+EQ432, 0.1)*$J$9))/($B$11+$C$11+$F$11)</f>
        <v>0</v>
      </c>
      <c r="CU432">
        <f>($B$11*$K$9+$C$11*$K$9+$F$11*((EP432+EH432)/MAX(EP432+EH432+EQ432, 0.1)*$P$9+EQ432/MAX(EP432+EH432+EQ432, 0.1)*$Q$9))/($B$11+$C$11+$F$11)</f>
        <v>0</v>
      </c>
      <c r="CV432">
        <v>6</v>
      </c>
      <c r="CW432">
        <v>0.5</v>
      </c>
      <c r="CX432" t="s">
        <v>418</v>
      </c>
      <c r="CY432">
        <v>2</v>
      </c>
      <c r="CZ432" t="b">
        <v>1</v>
      </c>
      <c r="DA432">
        <v>1651866594</v>
      </c>
      <c r="DB432">
        <v>1068.713333333333</v>
      </c>
      <c r="DC432">
        <v>1133.476666666667</v>
      </c>
      <c r="DD432">
        <v>18.56713333333333</v>
      </c>
      <c r="DE432">
        <v>9.089986666666666</v>
      </c>
      <c r="DF432">
        <v>1070.796666666667</v>
      </c>
      <c r="DG432">
        <v>18.54346666666666</v>
      </c>
      <c r="DH432">
        <v>500.0533333333333</v>
      </c>
      <c r="DI432">
        <v>89.91070000000001</v>
      </c>
      <c r="DJ432">
        <v>0.09995026666666666</v>
      </c>
      <c r="DK432">
        <v>25.9205</v>
      </c>
      <c r="DL432">
        <v>24.9871</v>
      </c>
      <c r="DM432">
        <v>999.9</v>
      </c>
      <c r="DN432">
        <v>0</v>
      </c>
      <c r="DO432">
        <v>0</v>
      </c>
      <c r="DP432">
        <v>10011.63333333333</v>
      </c>
      <c r="DQ432">
        <v>0</v>
      </c>
      <c r="DR432">
        <v>3.20383</v>
      </c>
      <c r="DS432">
        <v>-64.7608</v>
      </c>
      <c r="DT432">
        <v>1088.933333333333</v>
      </c>
      <c r="DU432">
        <v>1143.873333333333</v>
      </c>
      <c r="DV432">
        <v>9.477113333333334</v>
      </c>
      <c r="DW432">
        <v>1133.476666666667</v>
      </c>
      <c r="DX432">
        <v>9.089986666666666</v>
      </c>
      <c r="DY432">
        <v>1.66938</v>
      </c>
      <c r="DZ432">
        <v>0.8172873333333334</v>
      </c>
      <c r="EA432">
        <v>14.61456666666667</v>
      </c>
      <c r="EB432">
        <v>4.011153333333333</v>
      </c>
      <c r="EC432">
        <v>1499.993333333333</v>
      </c>
      <c r="ED432">
        <v>0.972992</v>
      </c>
      <c r="EE432">
        <v>0.027008</v>
      </c>
      <c r="EF432">
        <v>0</v>
      </c>
      <c r="EG432">
        <v>905.9290000000001</v>
      </c>
      <c r="EH432">
        <v>5.00097</v>
      </c>
      <c r="EI432">
        <v>13475.43333333333</v>
      </c>
      <c r="EJ432">
        <v>12491.46666666667</v>
      </c>
      <c r="EK432">
        <v>37.812</v>
      </c>
      <c r="EL432">
        <v>39.062</v>
      </c>
      <c r="EM432">
        <v>38.187</v>
      </c>
      <c r="EN432">
        <v>38.687</v>
      </c>
      <c r="EO432">
        <v>38.66633333333333</v>
      </c>
      <c r="EP432">
        <v>1454.613333333333</v>
      </c>
      <c r="EQ432">
        <v>40.38</v>
      </c>
      <c r="ER432">
        <v>0</v>
      </c>
      <c r="ES432">
        <v>1112.600000143051</v>
      </c>
      <c r="ET432">
        <v>0</v>
      </c>
      <c r="EU432">
        <v>907.0836400000001</v>
      </c>
      <c r="EV432">
        <v>-10.81684613955507</v>
      </c>
      <c r="EW432">
        <v>-170.6999997307043</v>
      </c>
      <c r="EX432">
        <v>13492.44</v>
      </c>
      <c r="EY432">
        <v>15</v>
      </c>
      <c r="EZ432">
        <v>1651865518.1</v>
      </c>
      <c r="FA432" t="s">
        <v>910</v>
      </c>
      <c r="FB432">
        <v>1651865507.1</v>
      </c>
      <c r="FC432">
        <v>1651865518.1</v>
      </c>
      <c r="FD432">
        <v>8</v>
      </c>
      <c r="FE432">
        <v>0.06</v>
      </c>
      <c r="FF432">
        <v>0</v>
      </c>
      <c r="FG432">
        <v>-0.927</v>
      </c>
      <c r="FH432">
        <v>-0.062</v>
      </c>
      <c r="FI432">
        <v>400</v>
      </c>
      <c r="FJ432">
        <v>11</v>
      </c>
      <c r="FK432">
        <v>0.11</v>
      </c>
      <c r="FL432">
        <v>0.01</v>
      </c>
      <c r="FM432">
        <v>-64.34554390243903</v>
      </c>
      <c r="FN432">
        <v>-2.259604181184828</v>
      </c>
      <c r="FO432">
        <v>0.2391594498714613</v>
      </c>
      <c r="FP432">
        <v>-1</v>
      </c>
      <c r="FQ432">
        <v>9.548211463414635</v>
      </c>
      <c r="FR432">
        <v>-0.5823286411149715</v>
      </c>
      <c r="FS432">
        <v>0.05921090874941532</v>
      </c>
      <c r="FT432">
        <v>-1</v>
      </c>
      <c r="FU432">
        <v>0</v>
      </c>
      <c r="FV432">
        <v>0</v>
      </c>
      <c r="FW432">
        <v>0</v>
      </c>
      <c r="FX432">
        <v>-1</v>
      </c>
      <c r="FY432">
        <v>0</v>
      </c>
      <c r="FZ432">
        <v>0</v>
      </c>
      <c r="GA432" t="s">
        <v>420</v>
      </c>
      <c r="GB432">
        <v>2.98165</v>
      </c>
      <c r="GC432">
        <v>2.70626</v>
      </c>
      <c r="GD432">
        <v>0.179087</v>
      </c>
      <c r="GE432">
        <v>0.183691</v>
      </c>
      <c r="GF432">
        <v>0.0885304</v>
      </c>
      <c r="GG432">
        <v>0.0515254</v>
      </c>
      <c r="GH432">
        <v>25942.6</v>
      </c>
      <c r="GI432">
        <v>25852.4</v>
      </c>
      <c r="GJ432">
        <v>29379.7</v>
      </c>
      <c r="GK432">
        <v>29294.1</v>
      </c>
      <c r="GL432">
        <v>35457.3</v>
      </c>
      <c r="GM432">
        <v>37013.8</v>
      </c>
      <c r="GN432">
        <v>41351.9</v>
      </c>
      <c r="GO432">
        <v>41814.4</v>
      </c>
      <c r="GP432">
        <v>1.96752</v>
      </c>
      <c r="GQ432">
        <v>1.85695</v>
      </c>
      <c r="GR432">
        <v>-0.00525266</v>
      </c>
      <c r="GS432">
        <v>0</v>
      </c>
      <c r="GT432">
        <v>25.0766</v>
      </c>
      <c r="GU432">
        <v>999.9</v>
      </c>
      <c r="GV432">
        <v>29.4</v>
      </c>
      <c r="GW432">
        <v>34.2</v>
      </c>
      <c r="GX432">
        <v>17.6666</v>
      </c>
      <c r="GY432">
        <v>62.3776</v>
      </c>
      <c r="GZ432">
        <v>35.1282</v>
      </c>
      <c r="HA432">
        <v>1</v>
      </c>
      <c r="HB432">
        <v>0.0402947</v>
      </c>
      <c r="HC432">
        <v>1.46248</v>
      </c>
      <c r="HD432">
        <v>20.3284</v>
      </c>
      <c r="HE432">
        <v>5.21579</v>
      </c>
      <c r="HF432">
        <v>12.0099</v>
      </c>
      <c r="HG432">
        <v>4.98875</v>
      </c>
      <c r="HH432">
        <v>3.28855</v>
      </c>
      <c r="HI432">
        <v>1036.2</v>
      </c>
      <c r="HJ432">
        <v>9767.5</v>
      </c>
      <c r="HK432">
        <v>5139.4</v>
      </c>
      <c r="HL432">
        <v>25.4</v>
      </c>
      <c r="HM432">
        <v>1.86743</v>
      </c>
      <c r="HN432">
        <v>1.86646</v>
      </c>
      <c r="HO432">
        <v>1.866</v>
      </c>
      <c r="HP432">
        <v>1.86584</v>
      </c>
      <c r="HQ432">
        <v>1.86768</v>
      </c>
      <c r="HR432">
        <v>1.87017</v>
      </c>
      <c r="HS432">
        <v>1.8689</v>
      </c>
      <c r="HT432">
        <v>1.87022</v>
      </c>
      <c r="HU432">
        <v>0</v>
      </c>
      <c r="HV432">
        <v>0</v>
      </c>
      <c r="HW432">
        <v>0</v>
      </c>
      <c r="HX432">
        <v>0</v>
      </c>
      <c r="HY432" t="s">
        <v>421</v>
      </c>
      <c r="HZ432" t="s">
        <v>422</v>
      </c>
      <c r="IA432" t="s">
        <v>423</v>
      </c>
      <c r="IB432" t="s">
        <v>423</v>
      </c>
      <c r="IC432" t="s">
        <v>423</v>
      </c>
      <c r="ID432" t="s">
        <v>423</v>
      </c>
      <c r="IE432">
        <v>0</v>
      </c>
      <c r="IF432">
        <v>100</v>
      </c>
      <c r="IG432">
        <v>100</v>
      </c>
      <c r="IH432">
        <v>-2.08</v>
      </c>
      <c r="II432">
        <v>0.0236</v>
      </c>
      <c r="IJ432">
        <v>-0.1559367209035702</v>
      </c>
      <c r="IK432">
        <v>-0.002077099775823331</v>
      </c>
      <c r="IL432">
        <v>4.593143279902166E-07</v>
      </c>
      <c r="IM432">
        <v>-1.865383991892071E-10</v>
      </c>
      <c r="IN432">
        <v>-0.0607165066849496</v>
      </c>
      <c r="IO432">
        <v>-0.01129461987421345</v>
      </c>
      <c r="IP432">
        <v>0.00116580895745559</v>
      </c>
      <c r="IQ432">
        <v>-1.679085872906199E-05</v>
      </c>
      <c r="IR432">
        <v>2</v>
      </c>
      <c r="IS432">
        <v>2290</v>
      </c>
      <c r="IT432">
        <v>0</v>
      </c>
      <c r="IU432">
        <v>32</v>
      </c>
      <c r="IV432">
        <v>18.1</v>
      </c>
      <c r="IW432">
        <v>17.9</v>
      </c>
      <c r="IX432">
        <v>2.33032</v>
      </c>
      <c r="IY432">
        <v>2.18506</v>
      </c>
      <c r="IZ432">
        <v>1.39648</v>
      </c>
      <c r="JA432">
        <v>2.35596</v>
      </c>
      <c r="JB432">
        <v>1.49536</v>
      </c>
      <c r="JC432">
        <v>2.29858</v>
      </c>
      <c r="JD432">
        <v>38.0377</v>
      </c>
      <c r="JE432">
        <v>24.035</v>
      </c>
      <c r="JF432">
        <v>18</v>
      </c>
      <c r="JG432">
        <v>512.202</v>
      </c>
      <c r="JH432">
        <v>427.235</v>
      </c>
      <c r="JI432">
        <v>23.1571</v>
      </c>
      <c r="JJ432">
        <v>27.8379</v>
      </c>
      <c r="JK432">
        <v>30</v>
      </c>
      <c r="JL432">
        <v>27.8459</v>
      </c>
      <c r="JM432">
        <v>27.7884</v>
      </c>
      <c r="JN432">
        <v>46.6721</v>
      </c>
      <c r="JO432">
        <v>46.3504</v>
      </c>
      <c r="JP432">
        <v>0</v>
      </c>
      <c r="JQ432">
        <v>23.172</v>
      </c>
      <c r="JR432">
        <v>1155.32</v>
      </c>
      <c r="JS432">
        <v>9.14981</v>
      </c>
      <c r="JT432">
        <v>100.424</v>
      </c>
      <c r="JU432">
        <v>100.355</v>
      </c>
    </row>
    <row r="433" spans="1:281">
      <c r="A433">
        <v>417</v>
      </c>
      <c r="B433">
        <v>1651866597</v>
      </c>
      <c r="C433">
        <v>2376.400000095367</v>
      </c>
      <c r="D433" t="s">
        <v>1257</v>
      </c>
      <c r="E433" t="s">
        <v>1258</v>
      </c>
      <c r="F433">
        <v>2</v>
      </c>
      <c r="G433" t="s">
        <v>908</v>
      </c>
      <c r="H433" t="s">
        <v>414</v>
      </c>
      <c r="I433">
        <v>1651866595.625</v>
      </c>
      <c r="J433">
        <f>(K433)/1000</f>
        <v>0</v>
      </c>
      <c r="K433">
        <f>IF(CZ433, AN433, AH433)</f>
        <v>0</v>
      </c>
      <c r="L433">
        <f>IF(CZ433, AI433, AG433)</f>
        <v>0</v>
      </c>
      <c r="M433">
        <f>DB433 - IF(AU433&gt;1, L433*CV433*100.0/(AW433*DP433), 0)</f>
        <v>0</v>
      </c>
      <c r="N433">
        <f>((T433-J433/2)*M433-L433)/(T433+J433/2)</f>
        <v>0</v>
      </c>
      <c r="O433">
        <f>N433*(DI433+DJ433)/1000.0</f>
        <v>0</v>
      </c>
      <c r="P433">
        <f>(DB433 - IF(AU433&gt;1, L433*CV433*100.0/(AW433*DP433), 0))*(DI433+DJ433)/1000.0</f>
        <v>0</v>
      </c>
      <c r="Q433">
        <f>2.0/((1/S433-1/R433)+SIGN(S433)*SQRT((1/S433-1/R433)*(1/S433-1/R433) + 4*CW433/((CW433+1)*(CW433+1))*(2*1/S433*1/R433-1/R433*1/R433)))</f>
        <v>0</v>
      </c>
      <c r="R433">
        <f>IF(LEFT(CX433,1)&lt;&gt;"0",IF(LEFT(CX433,1)="1",3.0,CY433),$D$5+$E$5*(DP433*DI433/($K$5*1000))+$F$5*(DP433*DI433/($K$5*1000))*MAX(MIN(CV433,$J$5),$I$5)*MAX(MIN(CV433,$J$5),$I$5)+$G$5*MAX(MIN(CV433,$J$5),$I$5)*(DP433*DI433/($K$5*1000))+$H$5*(DP433*DI433/($K$5*1000))*(DP433*DI433/($K$5*1000)))</f>
        <v>0</v>
      </c>
      <c r="S433">
        <f>J433*(1000-(1000*0.61365*exp(17.502*W433/(240.97+W433))/(DI433+DJ433)+DD433)/2)/(1000*0.61365*exp(17.502*W433/(240.97+W433))/(DI433+DJ433)-DD433)</f>
        <v>0</v>
      </c>
      <c r="T433">
        <f>1/((CW433+1)/(Q433/1.6)+1/(R433/1.37)) + CW433/((CW433+1)/(Q433/1.6) + CW433/(R433/1.37))</f>
        <v>0</v>
      </c>
      <c r="U433">
        <f>(CR433*CU433)</f>
        <v>0</v>
      </c>
      <c r="V433">
        <f>(DK433+(U433+2*0.95*5.67E-8*(((DK433+$B$7)+273)^4-(DK433+273)^4)-44100*J433)/(1.84*29.3*R433+8*0.95*5.67E-8*(DK433+273)^3))</f>
        <v>0</v>
      </c>
      <c r="W433">
        <f>($C$7*DL433+$D$7*DM433+$E$7*V433)</f>
        <v>0</v>
      </c>
      <c r="X433">
        <f>0.61365*exp(17.502*W433/(240.97+W433))</f>
        <v>0</v>
      </c>
      <c r="Y433">
        <f>(Z433/AA433*100)</f>
        <v>0</v>
      </c>
      <c r="Z433">
        <f>DD433*(DI433+DJ433)/1000</f>
        <v>0</v>
      </c>
      <c r="AA433">
        <f>0.61365*exp(17.502*DK433/(240.97+DK433))</f>
        <v>0</v>
      </c>
      <c r="AB433">
        <f>(X433-DD433*(DI433+DJ433)/1000)</f>
        <v>0</v>
      </c>
      <c r="AC433">
        <f>(-J433*44100)</f>
        <v>0</v>
      </c>
      <c r="AD433">
        <f>2*29.3*R433*0.92*(DK433-W433)</f>
        <v>0</v>
      </c>
      <c r="AE433">
        <f>2*0.95*5.67E-8*(((DK433+$B$7)+273)^4-(W433+273)^4)</f>
        <v>0</v>
      </c>
      <c r="AF433">
        <f>U433+AE433+AC433+AD433</f>
        <v>0</v>
      </c>
      <c r="AG433">
        <f>DH433*AU433*(DC433-DB433*(1000-AU433*DE433)/(1000-AU433*DD433))/(100*CV433)</f>
        <v>0</v>
      </c>
      <c r="AH433">
        <f>1000*DH433*AU433*(DD433-DE433)/(100*CV433*(1000-AU433*DD433))</f>
        <v>0</v>
      </c>
      <c r="AI433">
        <f>(AJ433 - AK433 - DI433*1E3/(8.314*(DK433+273.15)) * AM433/DH433 * AL433) * DH433/(100*CV433) * (1000 - DE433)/1000</f>
        <v>0</v>
      </c>
      <c r="AJ433">
        <v>1144.67774042252</v>
      </c>
      <c r="AK433">
        <v>1097.367818181818</v>
      </c>
      <c r="AL433">
        <v>3.383873941085595</v>
      </c>
      <c r="AM433">
        <v>66.38195617057868</v>
      </c>
      <c r="AN433">
        <f>(AP433 - AO433 + DI433*1E3/(8.314*(DK433+273.15)) * AR433/DH433 * AQ433) * DH433/(100*CV433) * 1000/(1000 - AP433)</f>
        <v>0</v>
      </c>
      <c r="AO433">
        <v>9.089334243783592</v>
      </c>
      <c r="AP433">
        <v>18.56160705882353</v>
      </c>
      <c r="AQ433">
        <v>-8.816318570775128E-05</v>
      </c>
      <c r="AR433">
        <v>80.47178418790507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MAX(0,($B$13+$C$13*DP433)/(1+$D$13*DP433)*DI433/(DK433+273)*$E$13)</f>
        <v>0</v>
      </c>
      <c r="AX433" t="s">
        <v>417</v>
      </c>
      <c r="AY433" t="s">
        <v>417</v>
      </c>
      <c r="AZ433">
        <v>0</v>
      </c>
      <c r="BA433">
        <v>0</v>
      </c>
      <c r="BB433">
        <f>1-AZ433/BA433</f>
        <v>0</v>
      </c>
      <c r="BC433">
        <v>0</v>
      </c>
      <c r="BD433" t="s">
        <v>417</v>
      </c>
      <c r="BE433" t="s">
        <v>417</v>
      </c>
      <c r="BF433">
        <v>0</v>
      </c>
      <c r="BG433">
        <v>0</v>
      </c>
      <c r="BH433">
        <f>1-BF433/BG433</f>
        <v>0</v>
      </c>
      <c r="BI433">
        <v>0.5</v>
      </c>
      <c r="BJ433">
        <f>CS433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417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BZ433">
        <v>1249</v>
      </c>
      <c r="CA433">
        <v>300</v>
      </c>
      <c r="CB433">
        <v>300</v>
      </c>
      <c r="CC433">
        <v>300</v>
      </c>
      <c r="CD433">
        <v>10442.4</v>
      </c>
      <c r="CE433">
        <v>1239.69</v>
      </c>
      <c r="CF433">
        <v>-0.00735276</v>
      </c>
      <c r="CG433">
        <v>0.07000000000000001</v>
      </c>
      <c r="CH433" t="s">
        <v>417</v>
      </c>
      <c r="CI433" t="s">
        <v>417</v>
      </c>
      <c r="CJ433" t="s">
        <v>417</v>
      </c>
      <c r="CK433" t="s">
        <v>417</v>
      </c>
      <c r="CL433" t="s">
        <v>417</v>
      </c>
      <c r="CM433" t="s">
        <v>417</v>
      </c>
      <c r="CN433" t="s">
        <v>417</v>
      </c>
      <c r="CO433" t="s">
        <v>417</v>
      </c>
      <c r="CP433" t="s">
        <v>417</v>
      </c>
      <c r="CQ433" t="s">
        <v>417</v>
      </c>
      <c r="CR433">
        <f>$B$11*DQ433+$C$11*DR433+$F$11*EC433*(1-EF433)</f>
        <v>0</v>
      </c>
      <c r="CS433">
        <f>CR433*CT433</f>
        <v>0</v>
      </c>
      <c r="CT433">
        <f>($B$11*$D$9+$C$11*$D$9+$F$11*((EP433+EH433)/MAX(EP433+EH433+EQ433, 0.1)*$I$9+EQ433/MAX(EP433+EH433+EQ433, 0.1)*$J$9))/($B$11+$C$11+$F$11)</f>
        <v>0</v>
      </c>
      <c r="CU433">
        <f>($B$11*$K$9+$C$11*$K$9+$F$11*((EP433+EH433)/MAX(EP433+EH433+EQ433, 0.1)*$P$9+EQ433/MAX(EP433+EH433+EQ433, 0.1)*$Q$9))/($B$11+$C$11+$F$11)</f>
        <v>0</v>
      </c>
      <c r="CV433">
        <v>6</v>
      </c>
      <c r="CW433">
        <v>0.5</v>
      </c>
      <c r="CX433" t="s">
        <v>418</v>
      </c>
      <c r="CY433">
        <v>2</v>
      </c>
      <c r="CZ433" t="b">
        <v>1</v>
      </c>
      <c r="DA433">
        <v>1651866595.625</v>
      </c>
      <c r="DB433">
        <v>1074.105</v>
      </c>
      <c r="DC433">
        <v>1138.9075</v>
      </c>
      <c r="DD433">
        <v>18.56405</v>
      </c>
      <c r="DE433">
        <v>9.09029</v>
      </c>
      <c r="DF433">
        <v>1076.1975</v>
      </c>
      <c r="DG433">
        <v>18.54045</v>
      </c>
      <c r="DH433">
        <v>500.07925</v>
      </c>
      <c r="DI433">
        <v>89.91045</v>
      </c>
      <c r="DJ433">
        <v>0.10004015</v>
      </c>
      <c r="DK433">
        <v>25.92095</v>
      </c>
      <c r="DL433">
        <v>24.9895</v>
      </c>
      <c r="DM433">
        <v>999.9</v>
      </c>
      <c r="DN433">
        <v>0</v>
      </c>
      <c r="DO433">
        <v>0</v>
      </c>
      <c r="DP433">
        <v>10003.425</v>
      </c>
      <c r="DQ433">
        <v>0</v>
      </c>
      <c r="DR433">
        <v>3.20383</v>
      </c>
      <c r="DS433">
        <v>-64.79927499999999</v>
      </c>
      <c r="DT433">
        <v>1094.4225</v>
      </c>
      <c r="DU433">
        <v>1149.3525</v>
      </c>
      <c r="DV433">
        <v>9.473745000000001</v>
      </c>
      <c r="DW433">
        <v>1138.9075</v>
      </c>
      <c r="DX433">
        <v>9.09029</v>
      </c>
      <c r="DY433">
        <v>1.6691</v>
      </c>
      <c r="DZ433">
        <v>0.8173122500000001</v>
      </c>
      <c r="EA433">
        <v>14.612</v>
      </c>
      <c r="EB433">
        <v>4.01159</v>
      </c>
      <c r="EC433">
        <v>1500.0025</v>
      </c>
      <c r="ED433">
        <v>0.972992</v>
      </c>
      <c r="EE433">
        <v>0.027008</v>
      </c>
      <c r="EF433">
        <v>0</v>
      </c>
      <c r="EG433">
        <v>905.7270000000001</v>
      </c>
      <c r="EH433">
        <v>5.00097</v>
      </c>
      <c r="EI433">
        <v>13470.15</v>
      </c>
      <c r="EJ433">
        <v>12491.575</v>
      </c>
      <c r="EK433">
        <v>37.781</v>
      </c>
      <c r="EL433">
        <v>39.062</v>
      </c>
      <c r="EM433">
        <v>38.187</v>
      </c>
      <c r="EN433">
        <v>38.687</v>
      </c>
      <c r="EO433">
        <v>38.625</v>
      </c>
      <c r="EP433">
        <v>1454.6225</v>
      </c>
      <c r="EQ433">
        <v>40.38</v>
      </c>
      <c r="ER433">
        <v>0</v>
      </c>
      <c r="ES433">
        <v>1114.400000095367</v>
      </c>
      <c r="ET433">
        <v>0</v>
      </c>
      <c r="EU433">
        <v>906.815846153846</v>
      </c>
      <c r="EV433">
        <v>-10.81107693083636</v>
      </c>
      <c r="EW433">
        <v>-172.9435898657828</v>
      </c>
      <c r="EX433">
        <v>13488.24615384616</v>
      </c>
      <c r="EY433">
        <v>15</v>
      </c>
      <c r="EZ433">
        <v>1651865518.1</v>
      </c>
      <c r="FA433" t="s">
        <v>910</v>
      </c>
      <c r="FB433">
        <v>1651865507.1</v>
      </c>
      <c r="FC433">
        <v>1651865518.1</v>
      </c>
      <c r="FD433">
        <v>8</v>
      </c>
      <c r="FE433">
        <v>0.06</v>
      </c>
      <c r="FF433">
        <v>0</v>
      </c>
      <c r="FG433">
        <v>-0.927</v>
      </c>
      <c r="FH433">
        <v>-0.062</v>
      </c>
      <c r="FI433">
        <v>400</v>
      </c>
      <c r="FJ433">
        <v>11</v>
      </c>
      <c r="FK433">
        <v>0.11</v>
      </c>
      <c r="FL433">
        <v>0.01</v>
      </c>
      <c r="FM433">
        <v>-64.39011463414634</v>
      </c>
      <c r="FN433">
        <v>-2.303730313588787</v>
      </c>
      <c r="FO433">
        <v>0.2438706410003864</v>
      </c>
      <c r="FP433">
        <v>-1</v>
      </c>
      <c r="FQ433">
        <v>9.54055243902439</v>
      </c>
      <c r="FR433">
        <v>-0.5679708710801368</v>
      </c>
      <c r="FS433">
        <v>0.05811710561257218</v>
      </c>
      <c r="FT433">
        <v>-1</v>
      </c>
      <c r="FU433">
        <v>0</v>
      </c>
      <c r="FV433">
        <v>0</v>
      </c>
      <c r="FW433">
        <v>0</v>
      </c>
      <c r="FX433">
        <v>-1</v>
      </c>
      <c r="FY433">
        <v>0</v>
      </c>
      <c r="FZ433">
        <v>0</v>
      </c>
      <c r="GA433" t="s">
        <v>420</v>
      </c>
      <c r="GB433">
        <v>2.98156</v>
      </c>
      <c r="GC433">
        <v>2.70618</v>
      </c>
      <c r="GD433">
        <v>0.179791</v>
      </c>
      <c r="GE433">
        <v>0.184362</v>
      </c>
      <c r="GF433">
        <v>0.0885199</v>
      </c>
      <c r="GG433">
        <v>0.0515248</v>
      </c>
      <c r="GH433">
        <v>25920.5</v>
      </c>
      <c r="GI433">
        <v>25831</v>
      </c>
      <c r="GJ433">
        <v>29379.8</v>
      </c>
      <c r="GK433">
        <v>29293.9</v>
      </c>
      <c r="GL433">
        <v>35458</v>
      </c>
      <c r="GM433">
        <v>37013.7</v>
      </c>
      <c r="GN433">
        <v>41352.2</v>
      </c>
      <c r="GO433">
        <v>41814.2</v>
      </c>
      <c r="GP433">
        <v>1.9676</v>
      </c>
      <c r="GQ433">
        <v>1.85705</v>
      </c>
      <c r="GR433">
        <v>-0.00495464</v>
      </c>
      <c r="GS433">
        <v>0</v>
      </c>
      <c r="GT433">
        <v>25.0738</v>
      </c>
      <c r="GU433">
        <v>999.9</v>
      </c>
      <c r="GV433">
        <v>29.4</v>
      </c>
      <c r="GW433">
        <v>34.2</v>
      </c>
      <c r="GX433">
        <v>17.6686</v>
      </c>
      <c r="GY433">
        <v>62.2376</v>
      </c>
      <c r="GZ433">
        <v>35.4207</v>
      </c>
      <c r="HA433">
        <v>1</v>
      </c>
      <c r="HB433">
        <v>0.0402439</v>
      </c>
      <c r="HC433">
        <v>1.44989</v>
      </c>
      <c r="HD433">
        <v>20.3285</v>
      </c>
      <c r="HE433">
        <v>5.21624</v>
      </c>
      <c r="HF433">
        <v>12.0099</v>
      </c>
      <c r="HG433">
        <v>4.98915</v>
      </c>
      <c r="HH433">
        <v>3.28865</v>
      </c>
      <c r="HI433">
        <v>1036.2</v>
      </c>
      <c r="HJ433">
        <v>9767.5</v>
      </c>
      <c r="HK433">
        <v>5139.4</v>
      </c>
      <c r="HL433">
        <v>25.4</v>
      </c>
      <c r="HM433">
        <v>1.86742</v>
      </c>
      <c r="HN433">
        <v>1.86646</v>
      </c>
      <c r="HO433">
        <v>1.866</v>
      </c>
      <c r="HP433">
        <v>1.86585</v>
      </c>
      <c r="HQ433">
        <v>1.86768</v>
      </c>
      <c r="HR433">
        <v>1.87017</v>
      </c>
      <c r="HS433">
        <v>1.8689</v>
      </c>
      <c r="HT433">
        <v>1.87022</v>
      </c>
      <c r="HU433">
        <v>0</v>
      </c>
      <c r="HV433">
        <v>0</v>
      </c>
      <c r="HW433">
        <v>0</v>
      </c>
      <c r="HX433">
        <v>0</v>
      </c>
      <c r="HY433" t="s">
        <v>421</v>
      </c>
      <c r="HZ433" t="s">
        <v>422</v>
      </c>
      <c r="IA433" t="s">
        <v>423</v>
      </c>
      <c r="IB433" t="s">
        <v>423</v>
      </c>
      <c r="IC433" t="s">
        <v>423</v>
      </c>
      <c r="ID433" t="s">
        <v>423</v>
      </c>
      <c r="IE433">
        <v>0</v>
      </c>
      <c r="IF433">
        <v>100</v>
      </c>
      <c r="IG433">
        <v>100</v>
      </c>
      <c r="IH433">
        <v>-2.1</v>
      </c>
      <c r="II433">
        <v>0.0236</v>
      </c>
      <c r="IJ433">
        <v>-0.1559367209035702</v>
      </c>
      <c r="IK433">
        <v>-0.002077099775823331</v>
      </c>
      <c r="IL433">
        <v>4.593143279902166E-07</v>
      </c>
      <c r="IM433">
        <v>-1.865383991892071E-10</v>
      </c>
      <c r="IN433">
        <v>-0.0607165066849496</v>
      </c>
      <c r="IO433">
        <v>-0.01129461987421345</v>
      </c>
      <c r="IP433">
        <v>0.00116580895745559</v>
      </c>
      <c r="IQ433">
        <v>-1.679085872906199E-05</v>
      </c>
      <c r="IR433">
        <v>2</v>
      </c>
      <c r="IS433">
        <v>2290</v>
      </c>
      <c r="IT433">
        <v>0</v>
      </c>
      <c r="IU433">
        <v>32</v>
      </c>
      <c r="IV433">
        <v>18.2</v>
      </c>
      <c r="IW433">
        <v>18</v>
      </c>
      <c r="IX433">
        <v>2.34131</v>
      </c>
      <c r="IY433">
        <v>2.1814</v>
      </c>
      <c r="IZ433">
        <v>1.39648</v>
      </c>
      <c r="JA433">
        <v>2.35474</v>
      </c>
      <c r="JB433">
        <v>1.49536</v>
      </c>
      <c r="JC433">
        <v>2.33887</v>
      </c>
      <c r="JD433">
        <v>38.0134</v>
      </c>
      <c r="JE433">
        <v>24.0437</v>
      </c>
      <c r="JF433">
        <v>18</v>
      </c>
      <c r="JG433">
        <v>512.241</v>
      </c>
      <c r="JH433">
        <v>427.289</v>
      </c>
      <c r="JI433">
        <v>23.1612</v>
      </c>
      <c r="JJ433">
        <v>27.8373</v>
      </c>
      <c r="JK433">
        <v>29.9999</v>
      </c>
      <c r="JL433">
        <v>27.8448</v>
      </c>
      <c r="JM433">
        <v>27.7877</v>
      </c>
      <c r="JN433">
        <v>46.8849</v>
      </c>
      <c r="JO433">
        <v>46.3504</v>
      </c>
      <c r="JP433">
        <v>0</v>
      </c>
      <c r="JQ433">
        <v>23.172</v>
      </c>
      <c r="JR433">
        <v>1162</v>
      </c>
      <c r="JS433">
        <v>9.167450000000001</v>
      </c>
      <c r="JT433">
        <v>100.424</v>
      </c>
      <c r="JU433">
        <v>100.354</v>
      </c>
    </row>
    <row r="434" spans="1:281">
      <c r="A434">
        <v>418</v>
      </c>
      <c r="B434">
        <v>1651866599</v>
      </c>
      <c r="C434">
        <v>2378.400000095367</v>
      </c>
      <c r="D434" t="s">
        <v>1259</v>
      </c>
      <c r="E434" t="s">
        <v>1260</v>
      </c>
      <c r="F434">
        <v>2</v>
      </c>
      <c r="G434" t="s">
        <v>908</v>
      </c>
      <c r="H434" t="s">
        <v>414</v>
      </c>
      <c r="I434">
        <v>1651866598</v>
      </c>
      <c r="J434">
        <f>(K434)/1000</f>
        <v>0</v>
      </c>
      <c r="K434">
        <f>IF(CZ434, AN434, AH434)</f>
        <v>0</v>
      </c>
      <c r="L434">
        <f>IF(CZ434, AI434, AG434)</f>
        <v>0</v>
      </c>
      <c r="M434">
        <f>DB434 - IF(AU434&gt;1, L434*CV434*100.0/(AW434*DP434), 0)</f>
        <v>0</v>
      </c>
      <c r="N434">
        <f>((T434-J434/2)*M434-L434)/(T434+J434/2)</f>
        <v>0</v>
      </c>
      <c r="O434">
        <f>N434*(DI434+DJ434)/1000.0</f>
        <v>0</v>
      </c>
      <c r="P434">
        <f>(DB434 - IF(AU434&gt;1, L434*CV434*100.0/(AW434*DP434), 0))*(DI434+DJ434)/1000.0</f>
        <v>0</v>
      </c>
      <c r="Q434">
        <f>2.0/((1/S434-1/R434)+SIGN(S434)*SQRT((1/S434-1/R434)*(1/S434-1/R434) + 4*CW434/((CW434+1)*(CW434+1))*(2*1/S434*1/R434-1/R434*1/R434)))</f>
        <v>0</v>
      </c>
      <c r="R434">
        <f>IF(LEFT(CX434,1)&lt;&gt;"0",IF(LEFT(CX434,1)="1",3.0,CY434),$D$5+$E$5*(DP434*DI434/($K$5*1000))+$F$5*(DP434*DI434/($K$5*1000))*MAX(MIN(CV434,$J$5),$I$5)*MAX(MIN(CV434,$J$5),$I$5)+$G$5*MAX(MIN(CV434,$J$5),$I$5)*(DP434*DI434/($K$5*1000))+$H$5*(DP434*DI434/($K$5*1000))*(DP434*DI434/($K$5*1000)))</f>
        <v>0</v>
      </c>
      <c r="S434">
        <f>J434*(1000-(1000*0.61365*exp(17.502*W434/(240.97+W434))/(DI434+DJ434)+DD434)/2)/(1000*0.61365*exp(17.502*W434/(240.97+W434))/(DI434+DJ434)-DD434)</f>
        <v>0</v>
      </c>
      <c r="T434">
        <f>1/((CW434+1)/(Q434/1.6)+1/(R434/1.37)) + CW434/((CW434+1)/(Q434/1.6) + CW434/(R434/1.37))</f>
        <v>0</v>
      </c>
      <c r="U434">
        <f>(CR434*CU434)</f>
        <v>0</v>
      </c>
      <c r="V434">
        <f>(DK434+(U434+2*0.95*5.67E-8*(((DK434+$B$7)+273)^4-(DK434+273)^4)-44100*J434)/(1.84*29.3*R434+8*0.95*5.67E-8*(DK434+273)^3))</f>
        <v>0</v>
      </c>
      <c r="W434">
        <f>($C$7*DL434+$D$7*DM434+$E$7*V434)</f>
        <v>0</v>
      </c>
      <c r="X434">
        <f>0.61365*exp(17.502*W434/(240.97+W434))</f>
        <v>0</v>
      </c>
      <c r="Y434">
        <f>(Z434/AA434*100)</f>
        <v>0</v>
      </c>
      <c r="Z434">
        <f>DD434*(DI434+DJ434)/1000</f>
        <v>0</v>
      </c>
      <c r="AA434">
        <f>0.61365*exp(17.502*DK434/(240.97+DK434))</f>
        <v>0</v>
      </c>
      <c r="AB434">
        <f>(X434-DD434*(DI434+DJ434)/1000)</f>
        <v>0</v>
      </c>
      <c r="AC434">
        <f>(-J434*44100)</f>
        <v>0</v>
      </c>
      <c r="AD434">
        <f>2*29.3*R434*0.92*(DK434-W434)</f>
        <v>0</v>
      </c>
      <c r="AE434">
        <f>2*0.95*5.67E-8*(((DK434+$B$7)+273)^4-(W434+273)^4)</f>
        <v>0</v>
      </c>
      <c r="AF434">
        <f>U434+AE434+AC434+AD434</f>
        <v>0</v>
      </c>
      <c r="AG434">
        <f>DH434*AU434*(DC434-DB434*(1000-AU434*DE434)/(1000-AU434*DD434))/(100*CV434)</f>
        <v>0</v>
      </c>
      <c r="AH434">
        <f>1000*DH434*AU434*(DD434-DE434)/(100*CV434*(1000-AU434*DD434))</f>
        <v>0</v>
      </c>
      <c r="AI434">
        <f>(AJ434 - AK434 - DI434*1E3/(8.314*(DK434+273.15)) * AM434/DH434 * AL434) * DH434/(100*CV434) * (1000 - DE434)/1000</f>
        <v>0</v>
      </c>
      <c r="AJ434">
        <v>1151.393612889132</v>
      </c>
      <c r="AK434">
        <v>1104.115939393939</v>
      </c>
      <c r="AL434">
        <v>3.372181412167729</v>
      </c>
      <c r="AM434">
        <v>66.38195617057868</v>
      </c>
      <c r="AN434">
        <f>(AP434 - AO434 + DI434*1E3/(8.314*(DK434+273.15)) * AR434/DH434 * AQ434) * DH434/(100*CV434) * 1000/(1000 - AP434)</f>
        <v>0</v>
      </c>
      <c r="AO434">
        <v>9.090080593300245</v>
      </c>
      <c r="AP434">
        <v>18.55874676470589</v>
      </c>
      <c r="AQ434">
        <v>-0.0002407337245363185</v>
      </c>
      <c r="AR434">
        <v>80.47178418790507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MAX(0,($B$13+$C$13*DP434)/(1+$D$13*DP434)*DI434/(DK434+273)*$E$13)</f>
        <v>0</v>
      </c>
      <c r="AX434" t="s">
        <v>417</v>
      </c>
      <c r="AY434" t="s">
        <v>417</v>
      </c>
      <c r="AZ434">
        <v>0</v>
      </c>
      <c r="BA434">
        <v>0</v>
      </c>
      <c r="BB434">
        <f>1-AZ434/BA434</f>
        <v>0</v>
      </c>
      <c r="BC434">
        <v>0</v>
      </c>
      <c r="BD434" t="s">
        <v>417</v>
      </c>
      <c r="BE434" t="s">
        <v>417</v>
      </c>
      <c r="BF434">
        <v>0</v>
      </c>
      <c r="BG434">
        <v>0</v>
      </c>
      <c r="BH434">
        <f>1-BF434/BG434</f>
        <v>0</v>
      </c>
      <c r="BI434">
        <v>0.5</v>
      </c>
      <c r="BJ434">
        <f>CS434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417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BZ434">
        <v>1249</v>
      </c>
      <c r="CA434">
        <v>300</v>
      </c>
      <c r="CB434">
        <v>300</v>
      </c>
      <c r="CC434">
        <v>300</v>
      </c>
      <c r="CD434">
        <v>10442.4</v>
      </c>
      <c r="CE434">
        <v>1239.69</v>
      </c>
      <c r="CF434">
        <v>-0.00735276</v>
      </c>
      <c r="CG434">
        <v>0.07000000000000001</v>
      </c>
      <c r="CH434" t="s">
        <v>417</v>
      </c>
      <c r="CI434" t="s">
        <v>417</v>
      </c>
      <c r="CJ434" t="s">
        <v>417</v>
      </c>
      <c r="CK434" t="s">
        <v>417</v>
      </c>
      <c r="CL434" t="s">
        <v>417</v>
      </c>
      <c r="CM434" t="s">
        <v>417</v>
      </c>
      <c r="CN434" t="s">
        <v>417</v>
      </c>
      <c r="CO434" t="s">
        <v>417</v>
      </c>
      <c r="CP434" t="s">
        <v>417</v>
      </c>
      <c r="CQ434" t="s">
        <v>417</v>
      </c>
      <c r="CR434">
        <f>$B$11*DQ434+$C$11*DR434+$F$11*EC434*(1-EF434)</f>
        <v>0</v>
      </c>
      <c r="CS434">
        <f>CR434*CT434</f>
        <v>0</v>
      </c>
      <c r="CT434">
        <f>($B$11*$D$9+$C$11*$D$9+$F$11*((EP434+EH434)/MAX(EP434+EH434+EQ434, 0.1)*$I$9+EQ434/MAX(EP434+EH434+EQ434, 0.1)*$J$9))/($B$11+$C$11+$F$11)</f>
        <v>0</v>
      </c>
      <c r="CU434">
        <f>($B$11*$K$9+$C$11*$K$9+$F$11*((EP434+EH434)/MAX(EP434+EH434+EQ434, 0.1)*$P$9+EQ434/MAX(EP434+EH434+EQ434, 0.1)*$Q$9))/($B$11+$C$11+$F$11)</f>
        <v>0</v>
      </c>
      <c r="CV434">
        <v>6</v>
      </c>
      <c r="CW434">
        <v>0.5</v>
      </c>
      <c r="CX434" t="s">
        <v>418</v>
      </c>
      <c r="CY434">
        <v>2</v>
      </c>
      <c r="CZ434" t="b">
        <v>1</v>
      </c>
      <c r="DA434">
        <v>1651866598</v>
      </c>
      <c r="DB434">
        <v>1081.97</v>
      </c>
      <c r="DC434">
        <v>1146.826666666667</v>
      </c>
      <c r="DD434">
        <v>18.5594</v>
      </c>
      <c r="DE434">
        <v>9.090663333333334</v>
      </c>
      <c r="DF434">
        <v>1084.076666666667</v>
      </c>
      <c r="DG434">
        <v>18.53583333333333</v>
      </c>
      <c r="DH434">
        <v>500.0323333333333</v>
      </c>
      <c r="DI434">
        <v>89.90953333333333</v>
      </c>
      <c r="DJ434">
        <v>0.09998619999999998</v>
      </c>
      <c r="DK434">
        <v>25.9218</v>
      </c>
      <c r="DL434">
        <v>24.99446666666666</v>
      </c>
      <c r="DM434">
        <v>999.9</v>
      </c>
      <c r="DN434">
        <v>0</v>
      </c>
      <c r="DO434">
        <v>0</v>
      </c>
      <c r="DP434">
        <v>10003.33333333333</v>
      </c>
      <c r="DQ434">
        <v>0</v>
      </c>
      <c r="DR434">
        <v>3.20383</v>
      </c>
      <c r="DS434">
        <v>-64.85523333333335</v>
      </c>
      <c r="DT434">
        <v>1102.43</v>
      </c>
      <c r="DU434">
        <v>1157.35</v>
      </c>
      <c r="DV434">
        <v>9.468733333333333</v>
      </c>
      <c r="DW434">
        <v>1146.826666666667</v>
      </c>
      <c r="DX434">
        <v>9.090663333333334</v>
      </c>
      <c r="DY434">
        <v>1.668666666666667</v>
      </c>
      <c r="DZ434">
        <v>0.8173373333333332</v>
      </c>
      <c r="EA434">
        <v>14.608</v>
      </c>
      <c r="EB434">
        <v>4.012026666666666</v>
      </c>
      <c r="EC434">
        <v>1500.02</v>
      </c>
      <c r="ED434">
        <v>0.972992</v>
      </c>
      <c r="EE434">
        <v>0.027008</v>
      </c>
      <c r="EF434">
        <v>0</v>
      </c>
      <c r="EG434">
        <v>905.335</v>
      </c>
      <c r="EH434">
        <v>5.00097</v>
      </c>
      <c r="EI434">
        <v>13463.4</v>
      </c>
      <c r="EJ434">
        <v>12491.7</v>
      </c>
      <c r="EK434">
        <v>37.75</v>
      </c>
      <c r="EL434">
        <v>39.062</v>
      </c>
      <c r="EM434">
        <v>38.187</v>
      </c>
      <c r="EN434">
        <v>38.687</v>
      </c>
      <c r="EO434">
        <v>38.625</v>
      </c>
      <c r="EP434">
        <v>1454.64</v>
      </c>
      <c r="EQ434">
        <v>40.38</v>
      </c>
      <c r="ER434">
        <v>0</v>
      </c>
      <c r="ES434">
        <v>1116.200000047684</v>
      </c>
      <c r="ET434">
        <v>0</v>
      </c>
      <c r="EU434">
        <v>906.45024</v>
      </c>
      <c r="EV434">
        <v>-10.61246152875172</v>
      </c>
      <c r="EW434">
        <v>-169.4846151404859</v>
      </c>
      <c r="EX434">
        <v>13482.116</v>
      </c>
      <c r="EY434">
        <v>15</v>
      </c>
      <c r="EZ434">
        <v>1651865518.1</v>
      </c>
      <c r="FA434" t="s">
        <v>910</v>
      </c>
      <c r="FB434">
        <v>1651865507.1</v>
      </c>
      <c r="FC434">
        <v>1651865518.1</v>
      </c>
      <c r="FD434">
        <v>8</v>
      </c>
      <c r="FE434">
        <v>0.06</v>
      </c>
      <c r="FF434">
        <v>0</v>
      </c>
      <c r="FG434">
        <v>-0.927</v>
      </c>
      <c r="FH434">
        <v>-0.062</v>
      </c>
      <c r="FI434">
        <v>400</v>
      </c>
      <c r="FJ434">
        <v>11</v>
      </c>
      <c r="FK434">
        <v>0.11</v>
      </c>
      <c r="FL434">
        <v>0.01</v>
      </c>
      <c r="FM434">
        <v>-64.51237073170732</v>
      </c>
      <c r="FN434">
        <v>-2.050701742160215</v>
      </c>
      <c r="FO434">
        <v>0.2179198770234229</v>
      </c>
      <c r="FP434">
        <v>-1</v>
      </c>
      <c r="FQ434">
        <v>9.517528536585367</v>
      </c>
      <c r="FR434">
        <v>-0.4635593728222977</v>
      </c>
      <c r="FS434">
        <v>0.04943836914988072</v>
      </c>
      <c r="FT434">
        <v>-1</v>
      </c>
      <c r="FU434">
        <v>0</v>
      </c>
      <c r="FV434">
        <v>0</v>
      </c>
      <c r="FW434">
        <v>0</v>
      </c>
      <c r="FX434">
        <v>-1</v>
      </c>
      <c r="FY434">
        <v>0</v>
      </c>
      <c r="FZ434">
        <v>0</v>
      </c>
      <c r="GA434" t="s">
        <v>420</v>
      </c>
      <c r="GB434">
        <v>2.98147</v>
      </c>
      <c r="GC434">
        <v>2.70613</v>
      </c>
      <c r="GD434">
        <v>0.180494</v>
      </c>
      <c r="GE434">
        <v>0.185031</v>
      </c>
      <c r="GF434">
        <v>0.088495</v>
      </c>
      <c r="GG434">
        <v>0.0515265</v>
      </c>
      <c r="GH434">
        <v>25898.1</v>
      </c>
      <c r="GI434">
        <v>25809.8</v>
      </c>
      <c r="GJ434">
        <v>29379.6</v>
      </c>
      <c r="GK434">
        <v>29293.9</v>
      </c>
      <c r="GL434">
        <v>35458.9</v>
      </c>
      <c r="GM434">
        <v>37013.8</v>
      </c>
      <c r="GN434">
        <v>41352.1</v>
      </c>
      <c r="GO434">
        <v>41814.4</v>
      </c>
      <c r="GP434">
        <v>1.9676</v>
      </c>
      <c r="GQ434">
        <v>1.85718</v>
      </c>
      <c r="GR434">
        <v>-0.00484288</v>
      </c>
      <c r="GS434">
        <v>0</v>
      </c>
      <c r="GT434">
        <v>25.0712</v>
      </c>
      <c r="GU434">
        <v>999.9</v>
      </c>
      <c r="GV434">
        <v>29.4</v>
      </c>
      <c r="GW434">
        <v>34.2</v>
      </c>
      <c r="GX434">
        <v>17.6657</v>
      </c>
      <c r="GY434">
        <v>62.4576</v>
      </c>
      <c r="GZ434">
        <v>35.5088</v>
      </c>
      <c r="HA434">
        <v>1</v>
      </c>
      <c r="HB434">
        <v>0.0401982</v>
      </c>
      <c r="HC434">
        <v>1.4389</v>
      </c>
      <c r="HD434">
        <v>20.3284</v>
      </c>
      <c r="HE434">
        <v>5.21609</v>
      </c>
      <c r="HF434">
        <v>12.0099</v>
      </c>
      <c r="HG434">
        <v>4.98895</v>
      </c>
      <c r="HH434">
        <v>3.28858</v>
      </c>
      <c r="HI434">
        <v>1036.2</v>
      </c>
      <c r="HJ434">
        <v>9767.5</v>
      </c>
      <c r="HK434">
        <v>5139.4</v>
      </c>
      <c r="HL434">
        <v>25.4</v>
      </c>
      <c r="HM434">
        <v>1.86743</v>
      </c>
      <c r="HN434">
        <v>1.86646</v>
      </c>
      <c r="HO434">
        <v>1.866</v>
      </c>
      <c r="HP434">
        <v>1.86584</v>
      </c>
      <c r="HQ434">
        <v>1.86768</v>
      </c>
      <c r="HR434">
        <v>1.87017</v>
      </c>
      <c r="HS434">
        <v>1.8689</v>
      </c>
      <c r="HT434">
        <v>1.87024</v>
      </c>
      <c r="HU434">
        <v>0</v>
      </c>
      <c r="HV434">
        <v>0</v>
      </c>
      <c r="HW434">
        <v>0</v>
      </c>
      <c r="HX434">
        <v>0</v>
      </c>
      <c r="HY434" t="s">
        <v>421</v>
      </c>
      <c r="HZ434" t="s">
        <v>422</v>
      </c>
      <c r="IA434" t="s">
        <v>423</v>
      </c>
      <c r="IB434" t="s">
        <v>423</v>
      </c>
      <c r="IC434" t="s">
        <v>423</v>
      </c>
      <c r="ID434" t="s">
        <v>423</v>
      </c>
      <c r="IE434">
        <v>0</v>
      </c>
      <c r="IF434">
        <v>100</v>
      </c>
      <c r="IG434">
        <v>100</v>
      </c>
      <c r="IH434">
        <v>-2.11</v>
      </c>
      <c r="II434">
        <v>0.0234</v>
      </c>
      <c r="IJ434">
        <v>-0.1559367209035702</v>
      </c>
      <c r="IK434">
        <v>-0.002077099775823331</v>
      </c>
      <c r="IL434">
        <v>4.593143279902166E-07</v>
      </c>
      <c r="IM434">
        <v>-1.865383991892071E-10</v>
      </c>
      <c r="IN434">
        <v>-0.0607165066849496</v>
      </c>
      <c r="IO434">
        <v>-0.01129461987421345</v>
      </c>
      <c r="IP434">
        <v>0.00116580895745559</v>
      </c>
      <c r="IQ434">
        <v>-1.679085872906199E-05</v>
      </c>
      <c r="IR434">
        <v>2</v>
      </c>
      <c r="IS434">
        <v>2290</v>
      </c>
      <c r="IT434">
        <v>0</v>
      </c>
      <c r="IU434">
        <v>32</v>
      </c>
      <c r="IV434">
        <v>18.2</v>
      </c>
      <c r="IW434">
        <v>18</v>
      </c>
      <c r="IX434">
        <v>2.35229</v>
      </c>
      <c r="IY434">
        <v>2.18384</v>
      </c>
      <c r="IZ434">
        <v>1.39648</v>
      </c>
      <c r="JA434">
        <v>2.35474</v>
      </c>
      <c r="JB434">
        <v>1.49536</v>
      </c>
      <c r="JC434">
        <v>2.3645</v>
      </c>
      <c r="JD434">
        <v>38.0134</v>
      </c>
      <c r="JE434">
        <v>24.0437</v>
      </c>
      <c r="JF434">
        <v>18</v>
      </c>
      <c r="JG434">
        <v>512.235</v>
      </c>
      <c r="JH434">
        <v>427.357</v>
      </c>
      <c r="JI434">
        <v>23.1657</v>
      </c>
      <c r="JJ434">
        <v>27.8373</v>
      </c>
      <c r="JK434">
        <v>29.9999</v>
      </c>
      <c r="JL434">
        <v>27.8442</v>
      </c>
      <c r="JM434">
        <v>27.7867</v>
      </c>
      <c r="JN434">
        <v>47.1097</v>
      </c>
      <c r="JO434">
        <v>46.0575</v>
      </c>
      <c r="JP434">
        <v>0</v>
      </c>
      <c r="JQ434">
        <v>23.172</v>
      </c>
      <c r="JR434">
        <v>1168.68</v>
      </c>
      <c r="JS434">
        <v>9.19018</v>
      </c>
      <c r="JT434">
        <v>100.424</v>
      </c>
      <c r="JU434">
        <v>100.355</v>
      </c>
    </row>
    <row r="435" spans="1:281">
      <c r="A435">
        <v>419</v>
      </c>
      <c r="B435">
        <v>1651866601</v>
      </c>
      <c r="C435">
        <v>2380.400000095367</v>
      </c>
      <c r="D435" t="s">
        <v>1261</v>
      </c>
      <c r="E435" t="s">
        <v>1262</v>
      </c>
      <c r="F435">
        <v>2</v>
      </c>
      <c r="G435" t="s">
        <v>908</v>
      </c>
      <c r="H435" t="s">
        <v>414</v>
      </c>
      <c r="I435">
        <v>1651866599.625</v>
      </c>
      <c r="J435">
        <f>(K435)/1000</f>
        <v>0</v>
      </c>
      <c r="K435">
        <f>IF(CZ435, AN435, AH435)</f>
        <v>0</v>
      </c>
      <c r="L435">
        <f>IF(CZ435, AI435, AG435)</f>
        <v>0</v>
      </c>
      <c r="M435">
        <f>DB435 - IF(AU435&gt;1, L435*CV435*100.0/(AW435*DP435), 0)</f>
        <v>0</v>
      </c>
      <c r="N435">
        <f>((T435-J435/2)*M435-L435)/(T435+J435/2)</f>
        <v>0</v>
      </c>
      <c r="O435">
        <f>N435*(DI435+DJ435)/1000.0</f>
        <v>0</v>
      </c>
      <c r="P435">
        <f>(DB435 - IF(AU435&gt;1, L435*CV435*100.0/(AW435*DP435), 0))*(DI435+DJ435)/1000.0</f>
        <v>0</v>
      </c>
      <c r="Q435">
        <f>2.0/((1/S435-1/R435)+SIGN(S435)*SQRT((1/S435-1/R435)*(1/S435-1/R435) + 4*CW435/((CW435+1)*(CW435+1))*(2*1/S435*1/R435-1/R435*1/R435)))</f>
        <v>0</v>
      </c>
      <c r="R435">
        <f>IF(LEFT(CX435,1)&lt;&gt;"0",IF(LEFT(CX435,1)="1",3.0,CY435),$D$5+$E$5*(DP435*DI435/($K$5*1000))+$F$5*(DP435*DI435/($K$5*1000))*MAX(MIN(CV435,$J$5),$I$5)*MAX(MIN(CV435,$J$5),$I$5)+$G$5*MAX(MIN(CV435,$J$5),$I$5)*(DP435*DI435/($K$5*1000))+$H$5*(DP435*DI435/($K$5*1000))*(DP435*DI435/($K$5*1000)))</f>
        <v>0</v>
      </c>
      <c r="S435">
        <f>J435*(1000-(1000*0.61365*exp(17.502*W435/(240.97+W435))/(DI435+DJ435)+DD435)/2)/(1000*0.61365*exp(17.502*W435/(240.97+W435))/(DI435+DJ435)-DD435)</f>
        <v>0</v>
      </c>
      <c r="T435">
        <f>1/((CW435+1)/(Q435/1.6)+1/(R435/1.37)) + CW435/((CW435+1)/(Q435/1.6) + CW435/(R435/1.37))</f>
        <v>0</v>
      </c>
      <c r="U435">
        <f>(CR435*CU435)</f>
        <v>0</v>
      </c>
      <c r="V435">
        <f>(DK435+(U435+2*0.95*5.67E-8*(((DK435+$B$7)+273)^4-(DK435+273)^4)-44100*J435)/(1.84*29.3*R435+8*0.95*5.67E-8*(DK435+273)^3))</f>
        <v>0</v>
      </c>
      <c r="W435">
        <f>($C$7*DL435+$D$7*DM435+$E$7*V435)</f>
        <v>0</v>
      </c>
      <c r="X435">
        <f>0.61365*exp(17.502*W435/(240.97+W435))</f>
        <v>0</v>
      </c>
      <c r="Y435">
        <f>(Z435/AA435*100)</f>
        <v>0</v>
      </c>
      <c r="Z435">
        <f>DD435*(DI435+DJ435)/1000</f>
        <v>0</v>
      </c>
      <c r="AA435">
        <f>0.61365*exp(17.502*DK435/(240.97+DK435))</f>
        <v>0</v>
      </c>
      <c r="AB435">
        <f>(X435-DD435*(DI435+DJ435)/1000)</f>
        <v>0</v>
      </c>
      <c r="AC435">
        <f>(-J435*44100)</f>
        <v>0</v>
      </c>
      <c r="AD435">
        <f>2*29.3*R435*0.92*(DK435-W435)</f>
        <v>0</v>
      </c>
      <c r="AE435">
        <f>2*0.95*5.67E-8*(((DK435+$B$7)+273)^4-(W435+273)^4)</f>
        <v>0</v>
      </c>
      <c r="AF435">
        <f>U435+AE435+AC435+AD435</f>
        <v>0</v>
      </c>
      <c r="AG435">
        <f>DH435*AU435*(DC435-DB435*(1000-AU435*DE435)/(1000-AU435*DD435))/(100*CV435)</f>
        <v>0</v>
      </c>
      <c r="AH435">
        <f>1000*DH435*AU435*(DD435-DE435)/(100*CV435*(1000-AU435*DD435))</f>
        <v>0</v>
      </c>
      <c r="AI435">
        <f>(AJ435 - AK435 - DI435*1E3/(8.314*(DK435+273.15)) * AM435/DH435 * AL435) * DH435/(100*CV435) * (1000 - DE435)/1000</f>
        <v>0</v>
      </c>
      <c r="AJ435">
        <v>1158.093224190174</v>
      </c>
      <c r="AK435">
        <v>1110.888181818182</v>
      </c>
      <c r="AL435">
        <v>3.378121034490166</v>
      </c>
      <c r="AM435">
        <v>66.38195617057868</v>
      </c>
      <c r="AN435">
        <f>(AP435 - AO435 + DI435*1E3/(8.314*(DK435+273.15)) * AR435/DH435 * AQ435) * DH435/(100*CV435) * 1000/(1000 - AP435)</f>
        <v>0</v>
      </c>
      <c r="AO435">
        <v>9.090417354958447</v>
      </c>
      <c r="AP435">
        <v>18.54579970588235</v>
      </c>
      <c r="AQ435">
        <v>-3.301197222615908E-05</v>
      </c>
      <c r="AR435">
        <v>80.47178418790507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MAX(0,($B$13+$C$13*DP435)/(1+$D$13*DP435)*DI435/(DK435+273)*$E$13)</f>
        <v>0</v>
      </c>
      <c r="AX435" t="s">
        <v>417</v>
      </c>
      <c r="AY435" t="s">
        <v>417</v>
      </c>
      <c r="AZ435">
        <v>0</v>
      </c>
      <c r="BA435">
        <v>0</v>
      </c>
      <c r="BB435">
        <f>1-AZ435/BA435</f>
        <v>0</v>
      </c>
      <c r="BC435">
        <v>0</v>
      </c>
      <c r="BD435" t="s">
        <v>417</v>
      </c>
      <c r="BE435" t="s">
        <v>417</v>
      </c>
      <c r="BF435">
        <v>0</v>
      </c>
      <c r="BG435">
        <v>0</v>
      </c>
      <c r="BH435">
        <f>1-BF435/BG435</f>
        <v>0</v>
      </c>
      <c r="BI435">
        <v>0.5</v>
      </c>
      <c r="BJ435">
        <f>CS435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417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BZ435">
        <v>1249</v>
      </c>
      <c r="CA435">
        <v>300</v>
      </c>
      <c r="CB435">
        <v>300</v>
      </c>
      <c r="CC435">
        <v>300</v>
      </c>
      <c r="CD435">
        <v>10442.4</v>
      </c>
      <c r="CE435">
        <v>1239.69</v>
      </c>
      <c r="CF435">
        <v>-0.00735276</v>
      </c>
      <c r="CG435">
        <v>0.07000000000000001</v>
      </c>
      <c r="CH435" t="s">
        <v>417</v>
      </c>
      <c r="CI435" t="s">
        <v>417</v>
      </c>
      <c r="CJ435" t="s">
        <v>417</v>
      </c>
      <c r="CK435" t="s">
        <v>417</v>
      </c>
      <c r="CL435" t="s">
        <v>417</v>
      </c>
      <c r="CM435" t="s">
        <v>417</v>
      </c>
      <c r="CN435" t="s">
        <v>417</v>
      </c>
      <c r="CO435" t="s">
        <v>417</v>
      </c>
      <c r="CP435" t="s">
        <v>417</v>
      </c>
      <c r="CQ435" t="s">
        <v>417</v>
      </c>
      <c r="CR435">
        <f>$B$11*DQ435+$C$11*DR435+$F$11*EC435*(1-EF435)</f>
        <v>0</v>
      </c>
      <c r="CS435">
        <f>CR435*CT435</f>
        <v>0</v>
      </c>
      <c r="CT435">
        <f>($B$11*$D$9+$C$11*$D$9+$F$11*((EP435+EH435)/MAX(EP435+EH435+EQ435, 0.1)*$I$9+EQ435/MAX(EP435+EH435+EQ435, 0.1)*$J$9))/($B$11+$C$11+$F$11)</f>
        <v>0</v>
      </c>
      <c r="CU435">
        <f>($B$11*$K$9+$C$11*$K$9+$F$11*((EP435+EH435)/MAX(EP435+EH435+EQ435, 0.1)*$P$9+EQ435/MAX(EP435+EH435+EQ435, 0.1)*$Q$9))/($B$11+$C$11+$F$11)</f>
        <v>0</v>
      </c>
      <c r="CV435">
        <v>6</v>
      </c>
      <c r="CW435">
        <v>0.5</v>
      </c>
      <c r="CX435" t="s">
        <v>418</v>
      </c>
      <c r="CY435">
        <v>2</v>
      </c>
      <c r="CZ435" t="b">
        <v>1</v>
      </c>
      <c r="DA435">
        <v>1651866599.625</v>
      </c>
      <c r="DB435">
        <v>1087.375</v>
      </c>
      <c r="DC435">
        <v>1152.1725</v>
      </c>
      <c r="DD435">
        <v>18.550525</v>
      </c>
      <c r="DE435">
        <v>9.0905825</v>
      </c>
      <c r="DF435">
        <v>1089.4925</v>
      </c>
      <c r="DG435">
        <v>18.527075</v>
      </c>
      <c r="DH435">
        <v>500.025</v>
      </c>
      <c r="DI435">
        <v>89.91034999999999</v>
      </c>
      <c r="DJ435">
        <v>0.099971475</v>
      </c>
      <c r="DK435">
        <v>25.921775</v>
      </c>
      <c r="DL435">
        <v>24.9929</v>
      </c>
      <c r="DM435">
        <v>999.9</v>
      </c>
      <c r="DN435">
        <v>0</v>
      </c>
      <c r="DO435">
        <v>0</v>
      </c>
      <c r="DP435">
        <v>9995.299999999999</v>
      </c>
      <c r="DQ435">
        <v>0</v>
      </c>
      <c r="DR435">
        <v>3.20383</v>
      </c>
      <c r="DS435">
        <v>-64.79715</v>
      </c>
      <c r="DT435">
        <v>1107.93</v>
      </c>
      <c r="DU435">
        <v>1162.745</v>
      </c>
      <c r="DV435">
        <v>9.4599075</v>
      </c>
      <c r="DW435">
        <v>1152.1725</v>
      </c>
      <c r="DX435">
        <v>9.0905825</v>
      </c>
      <c r="DY435">
        <v>1.66788</v>
      </c>
      <c r="DZ435">
        <v>0.8173374999999999</v>
      </c>
      <c r="EA435">
        <v>14.6007</v>
      </c>
      <c r="EB435">
        <v>4.01203</v>
      </c>
      <c r="EC435">
        <v>1500.025</v>
      </c>
      <c r="ED435">
        <v>0.972992</v>
      </c>
      <c r="EE435">
        <v>0.027008</v>
      </c>
      <c r="EF435">
        <v>0</v>
      </c>
      <c r="EG435">
        <v>904.97425</v>
      </c>
      <c r="EH435">
        <v>5.00097</v>
      </c>
      <c r="EI435">
        <v>13459.2</v>
      </c>
      <c r="EJ435">
        <v>12491.775</v>
      </c>
      <c r="EK435">
        <v>37.75</v>
      </c>
      <c r="EL435">
        <v>39.062</v>
      </c>
      <c r="EM435">
        <v>38.187</v>
      </c>
      <c r="EN435">
        <v>38.6405</v>
      </c>
      <c r="EO435">
        <v>38.625</v>
      </c>
      <c r="EP435">
        <v>1454.645</v>
      </c>
      <c r="EQ435">
        <v>40.38</v>
      </c>
      <c r="ER435">
        <v>0</v>
      </c>
      <c r="ES435">
        <v>1118.600000143051</v>
      </c>
      <c r="ET435">
        <v>0</v>
      </c>
      <c r="EU435">
        <v>905.9982800000001</v>
      </c>
      <c r="EV435">
        <v>-11.04307691391402</v>
      </c>
      <c r="EW435">
        <v>-170.5923074373617</v>
      </c>
      <c r="EX435">
        <v>13475.4</v>
      </c>
      <c r="EY435">
        <v>15</v>
      </c>
      <c r="EZ435">
        <v>1651865518.1</v>
      </c>
      <c r="FA435" t="s">
        <v>910</v>
      </c>
      <c r="FB435">
        <v>1651865507.1</v>
      </c>
      <c r="FC435">
        <v>1651865518.1</v>
      </c>
      <c r="FD435">
        <v>8</v>
      </c>
      <c r="FE435">
        <v>0.06</v>
      </c>
      <c r="FF435">
        <v>0</v>
      </c>
      <c r="FG435">
        <v>-0.927</v>
      </c>
      <c r="FH435">
        <v>-0.062</v>
      </c>
      <c r="FI435">
        <v>400</v>
      </c>
      <c r="FJ435">
        <v>11</v>
      </c>
      <c r="FK435">
        <v>0.11</v>
      </c>
      <c r="FL435">
        <v>0.01</v>
      </c>
      <c r="FM435">
        <v>-64.55960250000001</v>
      </c>
      <c r="FN435">
        <v>-1.968503189493379</v>
      </c>
      <c r="FO435">
        <v>0.2082174037964888</v>
      </c>
      <c r="FP435">
        <v>-1</v>
      </c>
      <c r="FQ435">
        <v>9.504476499999999</v>
      </c>
      <c r="FR435">
        <v>-0.395934934333978</v>
      </c>
      <c r="FS435">
        <v>0.04247109479104583</v>
      </c>
      <c r="FT435">
        <v>-1</v>
      </c>
      <c r="FU435">
        <v>0</v>
      </c>
      <c r="FV435">
        <v>0</v>
      </c>
      <c r="FW435">
        <v>0</v>
      </c>
      <c r="FX435">
        <v>-1</v>
      </c>
      <c r="FY435">
        <v>0</v>
      </c>
      <c r="FZ435">
        <v>0</v>
      </c>
      <c r="GA435" t="s">
        <v>420</v>
      </c>
      <c r="GB435">
        <v>2.98151</v>
      </c>
      <c r="GC435">
        <v>2.70599</v>
      </c>
      <c r="GD435">
        <v>0.181192</v>
      </c>
      <c r="GE435">
        <v>0.185706</v>
      </c>
      <c r="GF435">
        <v>0.0884535</v>
      </c>
      <c r="GG435">
        <v>0.0515268</v>
      </c>
      <c r="GH435">
        <v>25875.7</v>
      </c>
      <c r="GI435">
        <v>25788.4</v>
      </c>
      <c r="GJ435">
        <v>29379.2</v>
      </c>
      <c r="GK435">
        <v>29293.8</v>
      </c>
      <c r="GL435">
        <v>35460.2</v>
      </c>
      <c r="GM435">
        <v>37013.8</v>
      </c>
      <c r="GN435">
        <v>41351.7</v>
      </c>
      <c r="GO435">
        <v>41814.4</v>
      </c>
      <c r="GP435">
        <v>1.9675</v>
      </c>
      <c r="GQ435">
        <v>1.85718</v>
      </c>
      <c r="GR435">
        <v>-0.00469387</v>
      </c>
      <c r="GS435">
        <v>0</v>
      </c>
      <c r="GT435">
        <v>25.0691</v>
      </c>
      <c r="GU435">
        <v>999.9</v>
      </c>
      <c r="GV435">
        <v>29.4</v>
      </c>
      <c r="GW435">
        <v>34.2</v>
      </c>
      <c r="GX435">
        <v>17.6669</v>
      </c>
      <c r="GY435">
        <v>62.3476</v>
      </c>
      <c r="GZ435">
        <v>35.2204</v>
      </c>
      <c r="HA435">
        <v>1</v>
      </c>
      <c r="HB435">
        <v>0.0401524</v>
      </c>
      <c r="HC435">
        <v>1.446</v>
      </c>
      <c r="HD435">
        <v>20.3283</v>
      </c>
      <c r="HE435">
        <v>5.21579</v>
      </c>
      <c r="HF435">
        <v>12.0099</v>
      </c>
      <c r="HG435">
        <v>4.9888</v>
      </c>
      <c r="HH435">
        <v>3.2885</v>
      </c>
      <c r="HI435">
        <v>1036.4</v>
      </c>
      <c r="HJ435">
        <v>9769</v>
      </c>
      <c r="HK435">
        <v>5139.4</v>
      </c>
      <c r="HL435">
        <v>25.4</v>
      </c>
      <c r="HM435">
        <v>1.86745</v>
      </c>
      <c r="HN435">
        <v>1.86646</v>
      </c>
      <c r="HO435">
        <v>1.866</v>
      </c>
      <c r="HP435">
        <v>1.86584</v>
      </c>
      <c r="HQ435">
        <v>1.86768</v>
      </c>
      <c r="HR435">
        <v>1.87019</v>
      </c>
      <c r="HS435">
        <v>1.8689</v>
      </c>
      <c r="HT435">
        <v>1.87025</v>
      </c>
      <c r="HU435">
        <v>0</v>
      </c>
      <c r="HV435">
        <v>0</v>
      </c>
      <c r="HW435">
        <v>0</v>
      </c>
      <c r="HX435">
        <v>0</v>
      </c>
      <c r="HY435" t="s">
        <v>421</v>
      </c>
      <c r="HZ435" t="s">
        <v>422</v>
      </c>
      <c r="IA435" t="s">
        <v>423</v>
      </c>
      <c r="IB435" t="s">
        <v>423</v>
      </c>
      <c r="IC435" t="s">
        <v>423</v>
      </c>
      <c r="ID435" t="s">
        <v>423</v>
      </c>
      <c r="IE435">
        <v>0</v>
      </c>
      <c r="IF435">
        <v>100</v>
      </c>
      <c r="IG435">
        <v>100</v>
      </c>
      <c r="IH435">
        <v>-2.12</v>
      </c>
      <c r="II435">
        <v>0.0233</v>
      </c>
      <c r="IJ435">
        <v>-0.1559367209035702</v>
      </c>
      <c r="IK435">
        <v>-0.002077099775823331</v>
      </c>
      <c r="IL435">
        <v>4.593143279902166E-07</v>
      </c>
      <c r="IM435">
        <v>-1.865383991892071E-10</v>
      </c>
      <c r="IN435">
        <v>-0.0607165066849496</v>
      </c>
      <c r="IO435">
        <v>-0.01129461987421345</v>
      </c>
      <c r="IP435">
        <v>0.00116580895745559</v>
      </c>
      <c r="IQ435">
        <v>-1.679085872906199E-05</v>
      </c>
      <c r="IR435">
        <v>2</v>
      </c>
      <c r="IS435">
        <v>2290</v>
      </c>
      <c r="IT435">
        <v>0</v>
      </c>
      <c r="IU435">
        <v>32</v>
      </c>
      <c r="IV435">
        <v>18.2</v>
      </c>
      <c r="IW435">
        <v>18</v>
      </c>
      <c r="IX435">
        <v>2.36328</v>
      </c>
      <c r="IY435">
        <v>2.18262</v>
      </c>
      <c r="IZ435">
        <v>1.39648</v>
      </c>
      <c r="JA435">
        <v>2.35474</v>
      </c>
      <c r="JB435">
        <v>1.49536</v>
      </c>
      <c r="JC435">
        <v>2.32666</v>
      </c>
      <c r="JD435">
        <v>38.0134</v>
      </c>
      <c r="JE435">
        <v>24.035</v>
      </c>
      <c r="JF435">
        <v>18</v>
      </c>
      <c r="JG435">
        <v>512.165</v>
      </c>
      <c r="JH435">
        <v>427.348</v>
      </c>
      <c r="JI435">
        <v>23.17</v>
      </c>
      <c r="JJ435">
        <v>27.8367</v>
      </c>
      <c r="JK435">
        <v>29.9998</v>
      </c>
      <c r="JL435">
        <v>27.8436</v>
      </c>
      <c r="JM435">
        <v>27.7855</v>
      </c>
      <c r="JN435">
        <v>47.3275</v>
      </c>
      <c r="JO435">
        <v>46.0575</v>
      </c>
      <c r="JP435">
        <v>0</v>
      </c>
      <c r="JQ435">
        <v>23.1775</v>
      </c>
      <c r="JR435">
        <v>1175.36</v>
      </c>
      <c r="JS435">
        <v>9.210509999999999</v>
      </c>
      <c r="JT435">
        <v>100.423</v>
      </c>
      <c r="JU435">
        <v>100.355</v>
      </c>
    </row>
    <row r="436" spans="1:281">
      <c r="A436">
        <v>420</v>
      </c>
      <c r="B436">
        <v>1651866603</v>
      </c>
      <c r="C436">
        <v>2382.400000095367</v>
      </c>
      <c r="D436" t="s">
        <v>1263</v>
      </c>
      <c r="E436" t="s">
        <v>1264</v>
      </c>
      <c r="F436">
        <v>2</v>
      </c>
      <c r="G436" t="s">
        <v>908</v>
      </c>
      <c r="H436" t="s">
        <v>414</v>
      </c>
      <c r="I436">
        <v>1651866602</v>
      </c>
      <c r="J436">
        <f>(K436)/1000</f>
        <v>0</v>
      </c>
      <c r="K436">
        <f>IF(CZ436, AN436, AH436)</f>
        <v>0</v>
      </c>
      <c r="L436">
        <f>IF(CZ436, AI436, AG436)</f>
        <v>0</v>
      </c>
      <c r="M436">
        <f>DB436 - IF(AU436&gt;1, L436*CV436*100.0/(AW436*DP436), 0)</f>
        <v>0</v>
      </c>
      <c r="N436">
        <f>((T436-J436/2)*M436-L436)/(T436+J436/2)</f>
        <v>0</v>
      </c>
      <c r="O436">
        <f>N436*(DI436+DJ436)/1000.0</f>
        <v>0</v>
      </c>
      <c r="P436">
        <f>(DB436 - IF(AU436&gt;1, L436*CV436*100.0/(AW436*DP436), 0))*(DI436+DJ436)/1000.0</f>
        <v>0</v>
      </c>
      <c r="Q436">
        <f>2.0/((1/S436-1/R436)+SIGN(S436)*SQRT((1/S436-1/R436)*(1/S436-1/R436) + 4*CW436/((CW436+1)*(CW436+1))*(2*1/S436*1/R436-1/R436*1/R436)))</f>
        <v>0</v>
      </c>
      <c r="R436">
        <f>IF(LEFT(CX436,1)&lt;&gt;"0",IF(LEFT(CX436,1)="1",3.0,CY436),$D$5+$E$5*(DP436*DI436/($K$5*1000))+$F$5*(DP436*DI436/($K$5*1000))*MAX(MIN(CV436,$J$5),$I$5)*MAX(MIN(CV436,$J$5),$I$5)+$G$5*MAX(MIN(CV436,$J$5),$I$5)*(DP436*DI436/($K$5*1000))+$H$5*(DP436*DI436/($K$5*1000))*(DP436*DI436/($K$5*1000)))</f>
        <v>0</v>
      </c>
      <c r="S436">
        <f>J436*(1000-(1000*0.61365*exp(17.502*W436/(240.97+W436))/(DI436+DJ436)+DD436)/2)/(1000*0.61365*exp(17.502*W436/(240.97+W436))/(DI436+DJ436)-DD436)</f>
        <v>0</v>
      </c>
      <c r="T436">
        <f>1/((CW436+1)/(Q436/1.6)+1/(R436/1.37)) + CW436/((CW436+1)/(Q436/1.6) + CW436/(R436/1.37))</f>
        <v>0</v>
      </c>
      <c r="U436">
        <f>(CR436*CU436)</f>
        <v>0</v>
      </c>
      <c r="V436">
        <f>(DK436+(U436+2*0.95*5.67E-8*(((DK436+$B$7)+273)^4-(DK436+273)^4)-44100*J436)/(1.84*29.3*R436+8*0.95*5.67E-8*(DK436+273)^3))</f>
        <v>0</v>
      </c>
      <c r="W436">
        <f>($C$7*DL436+$D$7*DM436+$E$7*V436)</f>
        <v>0</v>
      </c>
      <c r="X436">
        <f>0.61365*exp(17.502*W436/(240.97+W436))</f>
        <v>0</v>
      </c>
      <c r="Y436">
        <f>(Z436/AA436*100)</f>
        <v>0</v>
      </c>
      <c r="Z436">
        <f>DD436*(DI436+DJ436)/1000</f>
        <v>0</v>
      </c>
      <c r="AA436">
        <f>0.61365*exp(17.502*DK436/(240.97+DK436))</f>
        <v>0</v>
      </c>
      <c r="AB436">
        <f>(X436-DD436*(DI436+DJ436)/1000)</f>
        <v>0</v>
      </c>
      <c r="AC436">
        <f>(-J436*44100)</f>
        <v>0</v>
      </c>
      <c r="AD436">
        <f>2*29.3*R436*0.92*(DK436-W436)</f>
        <v>0</v>
      </c>
      <c r="AE436">
        <f>2*0.95*5.67E-8*(((DK436+$B$7)+273)^4-(W436+273)^4)</f>
        <v>0</v>
      </c>
      <c r="AF436">
        <f>U436+AE436+AC436+AD436</f>
        <v>0</v>
      </c>
      <c r="AG436">
        <f>DH436*AU436*(DC436-DB436*(1000-AU436*DE436)/(1000-AU436*DD436))/(100*CV436)</f>
        <v>0</v>
      </c>
      <c r="AH436">
        <f>1000*DH436*AU436*(DD436-DE436)/(100*CV436*(1000-AU436*DD436))</f>
        <v>0</v>
      </c>
      <c r="AI436">
        <f>(AJ436 - AK436 - DI436*1E3/(8.314*(DK436+273.15)) * AM436/DH436 * AL436) * DH436/(100*CV436) * (1000 - DE436)/1000</f>
        <v>0</v>
      </c>
      <c r="AJ436">
        <v>1164.752605038986</v>
      </c>
      <c r="AK436">
        <v>1117.578363636363</v>
      </c>
      <c r="AL436">
        <v>3.357572890101069</v>
      </c>
      <c r="AM436">
        <v>66.38195617057868</v>
      </c>
      <c r="AN436">
        <f>(AP436 - AO436 + DI436*1E3/(8.314*(DK436+273.15)) * AR436/DH436 * AQ436) * DH436/(100*CV436) * 1000/(1000 - AP436)</f>
        <v>0</v>
      </c>
      <c r="AO436">
        <v>9.09011101901501</v>
      </c>
      <c r="AP436">
        <v>18.53068411764705</v>
      </c>
      <c r="AQ436">
        <v>-0.0001220296563213521</v>
      </c>
      <c r="AR436">
        <v>80.47178418790507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MAX(0,($B$13+$C$13*DP436)/(1+$D$13*DP436)*DI436/(DK436+273)*$E$13)</f>
        <v>0</v>
      </c>
      <c r="AX436" t="s">
        <v>417</v>
      </c>
      <c r="AY436" t="s">
        <v>417</v>
      </c>
      <c r="AZ436">
        <v>0</v>
      </c>
      <c r="BA436">
        <v>0</v>
      </c>
      <c r="BB436">
        <f>1-AZ436/BA436</f>
        <v>0</v>
      </c>
      <c r="BC436">
        <v>0</v>
      </c>
      <c r="BD436" t="s">
        <v>417</v>
      </c>
      <c r="BE436" t="s">
        <v>417</v>
      </c>
      <c r="BF436">
        <v>0</v>
      </c>
      <c r="BG436">
        <v>0</v>
      </c>
      <c r="BH436">
        <f>1-BF436/BG436</f>
        <v>0</v>
      </c>
      <c r="BI436">
        <v>0.5</v>
      </c>
      <c r="BJ436">
        <f>CS436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417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BZ436">
        <v>1249</v>
      </c>
      <c r="CA436">
        <v>300</v>
      </c>
      <c r="CB436">
        <v>300</v>
      </c>
      <c r="CC436">
        <v>300</v>
      </c>
      <c r="CD436">
        <v>10442.4</v>
      </c>
      <c r="CE436">
        <v>1239.69</v>
      </c>
      <c r="CF436">
        <v>-0.00735276</v>
      </c>
      <c r="CG436">
        <v>0.07000000000000001</v>
      </c>
      <c r="CH436" t="s">
        <v>417</v>
      </c>
      <c r="CI436" t="s">
        <v>417</v>
      </c>
      <c r="CJ436" t="s">
        <v>417</v>
      </c>
      <c r="CK436" t="s">
        <v>417</v>
      </c>
      <c r="CL436" t="s">
        <v>417</v>
      </c>
      <c r="CM436" t="s">
        <v>417</v>
      </c>
      <c r="CN436" t="s">
        <v>417</v>
      </c>
      <c r="CO436" t="s">
        <v>417</v>
      </c>
      <c r="CP436" t="s">
        <v>417</v>
      </c>
      <c r="CQ436" t="s">
        <v>417</v>
      </c>
      <c r="CR436">
        <f>$B$11*DQ436+$C$11*DR436+$F$11*EC436*(1-EF436)</f>
        <v>0</v>
      </c>
      <c r="CS436">
        <f>CR436*CT436</f>
        <v>0</v>
      </c>
      <c r="CT436">
        <f>($B$11*$D$9+$C$11*$D$9+$F$11*((EP436+EH436)/MAX(EP436+EH436+EQ436, 0.1)*$I$9+EQ436/MAX(EP436+EH436+EQ436, 0.1)*$J$9))/($B$11+$C$11+$F$11)</f>
        <v>0</v>
      </c>
      <c r="CU436">
        <f>($B$11*$K$9+$C$11*$K$9+$F$11*((EP436+EH436)/MAX(EP436+EH436+EQ436, 0.1)*$P$9+EQ436/MAX(EP436+EH436+EQ436, 0.1)*$Q$9))/($B$11+$C$11+$F$11)</f>
        <v>0</v>
      </c>
      <c r="CV436">
        <v>6</v>
      </c>
      <c r="CW436">
        <v>0.5</v>
      </c>
      <c r="CX436" t="s">
        <v>418</v>
      </c>
      <c r="CY436">
        <v>2</v>
      </c>
      <c r="CZ436" t="b">
        <v>1</v>
      </c>
      <c r="DA436">
        <v>1651866602</v>
      </c>
      <c r="DB436">
        <v>1095.226666666667</v>
      </c>
      <c r="DC436">
        <v>1160.083333333333</v>
      </c>
      <c r="DD436">
        <v>18.53506666666667</v>
      </c>
      <c r="DE436">
        <v>9.095080000000001</v>
      </c>
      <c r="DF436">
        <v>1097.353333333333</v>
      </c>
      <c r="DG436">
        <v>18.51186666666667</v>
      </c>
      <c r="DH436">
        <v>500.0766666666667</v>
      </c>
      <c r="DI436">
        <v>89.91126666666666</v>
      </c>
      <c r="DJ436">
        <v>0.1000493333333333</v>
      </c>
      <c r="DK436">
        <v>25.9223</v>
      </c>
      <c r="DL436">
        <v>24.99243333333333</v>
      </c>
      <c r="DM436">
        <v>999.9</v>
      </c>
      <c r="DN436">
        <v>0</v>
      </c>
      <c r="DO436">
        <v>0</v>
      </c>
      <c r="DP436">
        <v>9980</v>
      </c>
      <c r="DQ436">
        <v>0</v>
      </c>
      <c r="DR436">
        <v>3.20383</v>
      </c>
      <c r="DS436">
        <v>-64.85953333333333</v>
      </c>
      <c r="DT436">
        <v>1115.906666666667</v>
      </c>
      <c r="DU436">
        <v>1170.73</v>
      </c>
      <c r="DV436">
        <v>9.439970000000001</v>
      </c>
      <c r="DW436">
        <v>1160.083333333333</v>
      </c>
      <c r="DX436">
        <v>9.095080000000001</v>
      </c>
      <c r="DY436">
        <v>1.66651</v>
      </c>
      <c r="DZ436">
        <v>0.8177503333333332</v>
      </c>
      <c r="EA436">
        <v>14.58796666666667</v>
      </c>
      <c r="EB436">
        <v>4.019216666666666</v>
      </c>
      <c r="EC436">
        <v>1500.036666666667</v>
      </c>
      <c r="ED436">
        <v>0.972992</v>
      </c>
      <c r="EE436">
        <v>0.027008</v>
      </c>
      <c r="EF436">
        <v>0</v>
      </c>
      <c r="EG436">
        <v>904.5506666666666</v>
      </c>
      <c r="EH436">
        <v>5.00097</v>
      </c>
      <c r="EI436">
        <v>13452.13333333333</v>
      </c>
      <c r="EJ436">
        <v>12491.86666666667</v>
      </c>
      <c r="EK436">
        <v>37.75</v>
      </c>
      <c r="EL436">
        <v>39.062</v>
      </c>
      <c r="EM436">
        <v>38.187</v>
      </c>
      <c r="EN436">
        <v>38.66633333333333</v>
      </c>
      <c r="EO436">
        <v>38.625</v>
      </c>
      <c r="EP436">
        <v>1454.656666666667</v>
      </c>
      <c r="EQ436">
        <v>40.38</v>
      </c>
      <c r="ER436">
        <v>0</v>
      </c>
      <c r="ES436">
        <v>1120.400000095367</v>
      </c>
      <c r="ET436">
        <v>0</v>
      </c>
      <c r="EU436">
        <v>905.7266153846153</v>
      </c>
      <c r="EV436">
        <v>-11.11514531210646</v>
      </c>
      <c r="EW436">
        <v>-170.9641026887928</v>
      </c>
      <c r="EX436">
        <v>13471.20384615385</v>
      </c>
      <c r="EY436">
        <v>15</v>
      </c>
      <c r="EZ436">
        <v>1651865518.1</v>
      </c>
      <c r="FA436" t="s">
        <v>910</v>
      </c>
      <c r="FB436">
        <v>1651865507.1</v>
      </c>
      <c r="FC436">
        <v>1651865518.1</v>
      </c>
      <c r="FD436">
        <v>8</v>
      </c>
      <c r="FE436">
        <v>0.06</v>
      </c>
      <c r="FF436">
        <v>0</v>
      </c>
      <c r="FG436">
        <v>-0.927</v>
      </c>
      <c r="FH436">
        <v>-0.062</v>
      </c>
      <c r="FI436">
        <v>400</v>
      </c>
      <c r="FJ436">
        <v>11</v>
      </c>
      <c r="FK436">
        <v>0.11</v>
      </c>
      <c r="FL436">
        <v>0.01</v>
      </c>
      <c r="FM436">
        <v>-64.61993902439025</v>
      </c>
      <c r="FN436">
        <v>-1.852191637630807</v>
      </c>
      <c r="FO436">
        <v>0.203392737810793</v>
      </c>
      <c r="FP436">
        <v>-1</v>
      </c>
      <c r="FQ436">
        <v>9.489172926829269</v>
      </c>
      <c r="FR436">
        <v>-0.3244049477351739</v>
      </c>
      <c r="FS436">
        <v>0.03595561662721732</v>
      </c>
      <c r="FT436">
        <v>-1</v>
      </c>
      <c r="FU436">
        <v>0</v>
      </c>
      <c r="FV436">
        <v>0</v>
      </c>
      <c r="FW436">
        <v>0</v>
      </c>
      <c r="FX436">
        <v>-1</v>
      </c>
      <c r="FY436">
        <v>0</v>
      </c>
      <c r="FZ436">
        <v>0</v>
      </c>
      <c r="GA436" t="s">
        <v>420</v>
      </c>
      <c r="GB436">
        <v>2.9817</v>
      </c>
      <c r="GC436">
        <v>2.70606</v>
      </c>
      <c r="GD436">
        <v>0.181889</v>
      </c>
      <c r="GE436">
        <v>0.186383</v>
      </c>
      <c r="GF436">
        <v>0.0884076</v>
      </c>
      <c r="GG436">
        <v>0.051571</v>
      </c>
      <c r="GH436">
        <v>25853.7</v>
      </c>
      <c r="GI436">
        <v>25767</v>
      </c>
      <c r="GJ436">
        <v>29379.2</v>
      </c>
      <c r="GK436">
        <v>29294</v>
      </c>
      <c r="GL436">
        <v>35462.1</v>
      </c>
      <c r="GM436">
        <v>37012.2</v>
      </c>
      <c r="GN436">
        <v>41351.8</v>
      </c>
      <c r="GO436">
        <v>41814.5</v>
      </c>
      <c r="GP436">
        <v>1.96747</v>
      </c>
      <c r="GQ436">
        <v>1.8572</v>
      </c>
      <c r="GR436">
        <v>-0.00447035</v>
      </c>
      <c r="GS436">
        <v>0</v>
      </c>
      <c r="GT436">
        <v>25.067</v>
      </c>
      <c r="GU436">
        <v>999.9</v>
      </c>
      <c r="GV436">
        <v>29.4</v>
      </c>
      <c r="GW436">
        <v>34.2</v>
      </c>
      <c r="GX436">
        <v>17.6688</v>
      </c>
      <c r="GY436">
        <v>62.5976</v>
      </c>
      <c r="GZ436">
        <v>35.0801</v>
      </c>
      <c r="HA436">
        <v>1</v>
      </c>
      <c r="HB436">
        <v>0.0398882</v>
      </c>
      <c r="HC436">
        <v>1.44228</v>
      </c>
      <c r="HD436">
        <v>20.3282</v>
      </c>
      <c r="HE436">
        <v>5.21594</v>
      </c>
      <c r="HF436">
        <v>12.0099</v>
      </c>
      <c r="HG436">
        <v>4.98895</v>
      </c>
      <c r="HH436">
        <v>3.2885</v>
      </c>
      <c r="HI436">
        <v>1036.4</v>
      </c>
      <c r="HJ436">
        <v>9769</v>
      </c>
      <c r="HK436">
        <v>5139.4</v>
      </c>
      <c r="HL436">
        <v>25.4</v>
      </c>
      <c r="HM436">
        <v>1.86746</v>
      </c>
      <c r="HN436">
        <v>1.86646</v>
      </c>
      <c r="HO436">
        <v>1.866</v>
      </c>
      <c r="HP436">
        <v>1.86584</v>
      </c>
      <c r="HQ436">
        <v>1.86768</v>
      </c>
      <c r="HR436">
        <v>1.87018</v>
      </c>
      <c r="HS436">
        <v>1.8689</v>
      </c>
      <c r="HT436">
        <v>1.87023</v>
      </c>
      <c r="HU436">
        <v>0</v>
      </c>
      <c r="HV436">
        <v>0</v>
      </c>
      <c r="HW436">
        <v>0</v>
      </c>
      <c r="HX436">
        <v>0</v>
      </c>
      <c r="HY436" t="s">
        <v>421</v>
      </c>
      <c r="HZ436" t="s">
        <v>422</v>
      </c>
      <c r="IA436" t="s">
        <v>423</v>
      </c>
      <c r="IB436" t="s">
        <v>423</v>
      </c>
      <c r="IC436" t="s">
        <v>423</v>
      </c>
      <c r="ID436" t="s">
        <v>423</v>
      </c>
      <c r="IE436">
        <v>0</v>
      </c>
      <c r="IF436">
        <v>100</v>
      </c>
      <c r="IG436">
        <v>100</v>
      </c>
      <c r="IH436">
        <v>-2.13</v>
      </c>
      <c r="II436">
        <v>0.0231</v>
      </c>
      <c r="IJ436">
        <v>-0.1559367209035702</v>
      </c>
      <c r="IK436">
        <v>-0.002077099775823331</v>
      </c>
      <c r="IL436">
        <v>4.593143279902166E-07</v>
      </c>
      <c r="IM436">
        <v>-1.865383991892071E-10</v>
      </c>
      <c r="IN436">
        <v>-0.0607165066849496</v>
      </c>
      <c r="IO436">
        <v>-0.01129461987421345</v>
      </c>
      <c r="IP436">
        <v>0.00116580895745559</v>
      </c>
      <c r="IQ436">
        <v>-1.679085872906199E-05</v>
      </c>
      <c r="IR436">
        <v>2</v>
      </c>
      <c r="IS436">
        <v>2290</v>
      </c>
      <c r="IT436">
        <v>0</v>
      </c>
      <c r="IU436">
        <v>32</v>
      </c>
      <c r="IV436">
        <v>18.3</v>
      </c>
      <c r="IW436">
        <v>18.1</v>
      </c>
      <c r="IX436">
        <v>2.37427</v>
      </c>
      <c r="IY436">
        <v>2.18994</v>
      </c>
      <c r="IZ436">
        <v>1.39648</v>
      </c>
      <c r="JA436">
        <v>2.35474</v>
      </c>
      <c r="JB436">
        <v>1.49536</v>
      </c>
      <c r="JC436">
        <v>2.29248</v>
      </c>
      <c r="JD436">
        <v>38.0134</v>
      </c>
      <c r="JE436">
        <v>24.035</v>
      </c>
      <c r="JF436">
        <v>18</v>
      </c>
      <c r="JG436">
        <v>512.139</v>
      </c>
      <c r="JH436">
        <v>427.362</v>
      </c>
      <c r="JI436">
        <v>23.1731</v>
      </c>
      <c r="JJ436">
        <v>27.8355</v>
      </c>
      <c r="JK436">
        <v>29.9998</v>
      </c>
      <c r="JL436">
        <v>27.8424</v>
      </c>
      <c r="JM436">
        <v>27.7854</v>
      </c>
      <c r="JN436">
        <v>47.5492</v>
      </c>
      <c r="JO436">
        <v>45.762</v>
      </c>
      <c r="JP436">
        <v>0</v>
      </c>
      <c r="JQ436">
        <v>23.1775</v>
      </c>
      <c r="JR436">
        <v>1182.04</v>
      </c>
      <c r="JS436">
        <v>9.2346</v>
      </c>
      <c r="JT436">
        <v>100.423</v>
      </c>
      <c r="JU436">
        <v>100.355</v>
      </c>
    </row>
    <row r="437" spans="1:281">
      <c r="A437">
        <v>421</v>
      </c>
      <c r="B437">
        <v>1651866605</v>
      </c>
      <c r="C437">
        <v>2384.400000095367</v>
      </c>
      <c r="D437" t="s">
        <v>1265</v>
      </c>
      <c r="E437" t="s">
        <v>1266</v>
      </c>
      <c r="F437">
        <v>2</v>
      </c>
      <c r="G437" t="s">
        <v>908</v>
      </c>
      <c r="H437" t="s">
        <v>414</v>
      </c>
      <c r="I437">
        <v>1651866603.625</v>
      </c>
      <c r="J437">
        <f>(K437)/1000</f>
        <v>0</v>
      </c>
      <c r="K437">
        <f>IF(CZ437, AN437, AH437)</f>
        <v>0</v>
      </c>
      <c r="L437">
        <f>IF(CZ437, AI437, AG437)</f>
        <v>0</v>
      </c>
      <c r="M437">
        <f>DB437 - IF(AU437&gt;1, L437*CV437*100.0/(AW437*DP437), 0)</f>
        <v>0</v>
      </c>
      <c r="N437">
        <f>((T437-J437/2)*M437-L437)/(T437+J437/2)</f>
        <v>0</v>
      </c>
      <c r="O437">
        <f>N437*(DI437+DJ437)/1000.0</f>
        <v>0</v>
      </c>
      <c r="P437">
        <f>(DB437 - IF(AU437&gt;1, L437*CV437*100.0/(AW437*DP437), 0))*(DI437+DJ437)/1000.0</f>
        <v>0</v>
      </c>
      <c r="Q437">
        <f>2.0/((1/S437-1/R437)+SIGN(S437)*SQRT((1/S437-1/R437)*(1/S437-1/R437) + 4*CW437/((CW437+1)*(CW437+1))*(2*1/S437*1/R437-1/R437*1/R437)))</f>
        <v>0</v>
      </c>
      <c r="R437">
        <f>IF(LEFT(CX437,1)&lt;&gt;"0",IF(LEFT(CX437,1)="1",3.0,CY437),$D$5+$E$5*(DP437*DI437/($K$5*1000))+$F$5*(DP437*DI437/($K$5*1000))*MAX(MIN(CV437,$J$5),$I$5)*MAX(MIN(CV437,$J$5),$I$5)+$G$5*MAX(MIN(CV437,$J$5),$I$5)*(DP437*DI437/($K$5*1000))+$H$5*(DP437*DI437/($K$5*1000))*(DP437*DI437/($K$5*1000)))</f>
        <v>0</v>
      </c>
      <c r="S437">
        <f>J437*(1000-(1000*0.61365*exp(17.502*W437/(240.97+W437))/(DI437+DJ437)+DD437)/2)/(1000*0.61365*exp(17.502*W437/(240.97+W437))/(DI437+DJ437)-DD437)</f>
        <v>0</v>
      </c>
      <c r="T437">
        <f>1/((CW437+1)/(Q437/1.6)+1/(R437/1.37)) + CW437/((CW437+1)/(Q437/1.6) + CW437/(R437/1.37))</f>
        <v>0</v>
      </c>
      <c r="U437">
        <f>(CR437*CU437)</f>
        <v>0</v>
      </c>
      <c r="V437">
        <f>(DK437+(U437+2*0.95*5.67E-8*(((DK437+$B$7)+273)^4-(DK437+273)^4)-44100*J437)/(1.84*29.3*R437+8*0.95*5.67E-8*(DK437+273)^3))</f>
        <v>0</v>
      </c>
      <c r="W437">
        <f>($C$7*DL437+$D$7*DM437+$E$7*V437)</f>
        <v>0</v>
      </c>
      <c r="X437">
        <f>0.61365*exp(17.502*W437/(240.97+W437))</f>
        <v>0</v>
      </c>
      <c r="Y437">
        <f>(Z437/AA437*100)</f>
        <v>0</v>
      </c>
      <c r="Z437">
        <f>DD437*(DI437+DJ437)/1000</f>
        <v>0</v>
      </c>
      <c r="AA437">
        <f>0.61365*exp(17.502*DK437/(240.97+DK437))</f>
        <v>0</v>
      </c>
      <c r="AB437">
        <f>(X437-DD437*(DI437+DJ437)/1000)</f>
        <v>0</v>
      </c>
      <c r="AC437">
        <f>(-J437*44100)</f>
        <v>0</v>
      </c>
      <c r="AD437">
        <f>2*29.3*R437*0.92*(DK437-W437)</f>
        <v>0</v>
      </c>
      <c r="AE437">
        <f>2*0.95*5.67E-8*(((DK437+$B$7)+273)^4-(W437+273)^4)</f>
        <v>0</v>
      </c>
      <c r="AF437">
        <f>U437+AE437+AC437+AD437</f>
        <v>0</v>
      </c>
      <c r="AG437">
        <f>DH437*AU437*(DC437-DB437*(1000-AU437*DE437)/(1000-AU437*DD437))/(100*CV437)</f>
        <v>0</v>
      </c>
      <c r="AH437">
        <f>1000*DH437*AU437*(DD437-DE437)/(100*CV437*(1000-AU437*DD437))</f>
        <v>0</v>
      </c>
      <c r="AI437">
        <f>(AJ437 - AK437 - DI437*1E3/(8.314*(DK437+273.15)) * AM437/DH437 * AL437) * DH437/(100*CV437) * (1000 - DE437)/1000</f>
        <v>0</v>
      </c>
      <c r="AJ437">
        <v>1171.49700580986</v>
      </c>
      <c r="AK437">
        <v>1124.37296969697</v>
      </c>
      <c r="AL437">
        <v>3.381760722366698</v>
      </c>
      <c r="AM437">
        <v>66.38195617057868</v>
      </c>
      <c r="AN437">
        <f>(AP437 - AO437 + DI437*1E3/(8.314*(DK437+273.15)) * AR437/DH437 * AQ437) * DH437/(100*CV437) * 1000/(1000 - AP437)</f>
        <v>0</v>
      </c>
      <c r="AO437">
        <v>9.090397629802403</v>
      </c>
      <c r="AP437">
        <v>18.51917735294118</v>
      </c>
      <c r="AQ437">
        <v>-0.005600491450434375</v>
      </c>
      <c r="AR437">
        <v>80.47178418790507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MAX(0,($B$13+$C$13*DP437)/(1+$D$13*DP437)*DI437/(DK437+273)*$E$13)</f>
        <v>0</v>
      </c>
      <c r="AX437" t="s">
        <v>417</v>
      </c>
      <c r="AY437" t="s">
        <v>417</v>
      </c>
      <c r="AZ437">
        <v>0</v>
      </c>
      <c r="BA437">
        <v>0</v>
      </c>
      <c r="BB437">
        <f>1-AZ437/BA437</f>
        <v>0</v>
      </c>
      <c r="BC437">
        <v>0</v>
      </c>
      <c r="BD437" t="s">
        <v>417</v>
      </c>
      <c r="BE437" t="s">
        <v>417</v>
      </c>
      <c r="BF437">
        <v>0</v>
      </c>
      <c r="BG437">
        <v>0</v>
      </c>
      <c r="BH437">
        <f>1-BF437/BG437</f>
        <v>0</v>
      </c>
      <c r="BI437">
        <v>0.5</v>
      </c>
      <c r="BJ437">
        <f>CS437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417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BZ437">
        <v>1249</v>
      </c>
      <c r="CA437">
        <v>300</v>
      </c>
      <c r="CB437">
        <v>300</v>
      </c>
      <c r="CC437">
        <v>300</v>
      </c>
      <c r="CD437">
        <v>10442.4</v>
      </c>
      <c r="CE437">
        <v>1239.69</v>
      </c>
      <c r="CF437">
        <v>-0.00735276</v>
      </c>
      <c r="CG437">
        <v>0.07000000000000001</v>
      </c>
      <c r="CH437" t="s">
        <v>417</v>
      </c>
      <c r="CI437" t="s">
        <v>417</v>
      </c>
      <c r="CJ437" t="s">
        <v>417</v>
      </c>
      <c r="CK437" t="s">
        <v>417</v>
      </c>
      <c r="CL437" t="s">
        <v>417</v>
      </c>
      <c r="CM437" t="s">
        <v>417</v>
      </c>
      <c r="CN437" t="s">
        <v>417</v>
      </c>
      <c r="CO437" t="s">
        <v>417</v>
      </c>
      <c r="CP437" t="s">
        <v>417</v>
      </c>
      <c r="CQ437" t="s">
        <v>417</v>
      </c>
      <c r="CR437">
        <f>$B$11*DQ437+$C$11*DR437+$F$11*EC437*(1-EF437)</f>
        <v>0</v>
      </c>
      <c r="CS437">
        <f>CR437*CT437</f>
        <v>0</v>
      </c>
      <c r="CT437">
        <f>($B$11*$D$9+$C$11*$D$9+$F$11*((EP437+EH437)/MAX(EP437+EH437+EQ437, 0.1)*$I$9+EQ437/MAX(EP437+EH437+EQ437, 0.1)*$J$9))/($B$11+$C$11+$F$11)</f>
        <v>0</v>
      </c>
      <c r="CU437">
        <f>($B$11*$K$9+$C$11*$K$9+$F$11*((EP437+EH437)/MAX(EP437+EH437+EQ437, 0.1)*$P$9+EQ437/MAX(EP437+EH437+EQ437, 0.1)*$Q$9))/($B$11+$C$11+$F$11)</f>
        <v>0</v>
      </c>
      <c r="CV437">
        <v>6</v>
      </c>
      <c r="CW437">
        <v>0.5</v>
      </c>
      <c r="CX437" t="s">
        <v>418</v>
      </c>
      <c r="CY437">
        <v>2</v>
      </c>
      <c r="CZ437" t="b">
        <v>1</v>
      </c>
      <c r="DA437">
        <v>1651866603.625</v>
      </c>
      <c r="DB437">
        <v>1100.63</v>
      </c>
      <c r="DC437">
        <v>1165.5275</v>
      </c>
      <c r="DD437">
        <v>18.524975</v>
      </c>
      <c r="DE437">
        <v>9.106594999999999</v>
      </c>
      <c r="DF437">
        <v>1102.7675</v>
      </c>
      <c r="DG437">
        <v>18.501925</v>
      </c>
      <c r="DH437">
        <v>500.063</v>
      </c>
      <c r="DI437">
        <v>89.91070000000001</v>
      </c>
      <c r="DJ437">
        <v>0.1000665</v>
      </c>
      <c r="DK437">
        <v>25.92275</v>
      </c>
      <c r="DL437">
        <v>24.99345</v>
      </c>
      <c r="DM437">
        <v>999.9</v>
      </c>
      <c r="DN437">
        <v>0</v>
      </c>
      <c r="DO437">
        <v>0</v>
      </c>
      <c r="DP437">
        <v>9990</v>
      </c>
      <c r="DQ437">
        <v>0</v>
      </c>
      <c r="DR437">
        <v>3.20383</v>
      </c>
      <c r="DS437">
        <v>-64.8973</v>
      </c>
      <c r="DT437">
        <v>1121.405</v>
      </c>
      <c r="DU437">
        <v>1176.24</v>
      </c>
      <c r="DV437">
        <v>9.418369999999999</v>
      </c>
      <c r="DW437">
        <v>1165.5275</v>
      </c>
      <c r="DX437">
        <v>9.106594999999999</v>
      </c>
      <c r="DY437">
        <v>1.6655925</v>
      </c>
      <c r="DZ437">
        <v>0.81878025</v>
      </c>
      <c r="EA437">
        <v>14.579425</v>
      </c>
      <c r="EB437">
        <v>4.037125</v>
      </c>
      <c r="EC437">
        <v>1500.0375</v>
      </c>
      <c r="ED437">
        <v>0.972992</v>
      </c>
      <c r="EE437">
        <v>0.027008</v>
      </c>
      <c r="EF437">
        <v>0</v>
      </c>
      <c r="EG437">
        <v>904.374</v>
      </c>
      <c r="EH437">
        <v>5.00097</v>
      </c>
      <c r="EI437">
        <v>13447.875</v>
      </c>
      <c r="EJ437">
        <v>12491.875</v>
      </c>
      <c r="EK437">
        <v>37.75</v>
      </c>
      <c r="EL437">
        <v>39.031</v>
      </c>
      <c r="EM437">
        <v>38.156</v>
      </c>
      <c r="EN437">
        <v>38.6405</v>
      </c>
      <c r="EO437">
        <v>38.625</v>
      </c>
      <c r="EP437">
        <v>1454.6575</v>
      </c>
      <c r="EQ437">
        <v>40.38</v>
      </c>
      <c r="ER437">
        <v>0</v>
      </c>
      <c r="ES437">
        <v>1122.799999952316</v>
      </c>
      <c r="ET437">
        <v>0</v>
      </c>
      <c r="EU437">
        <v>905.295576923077</v>
      </c>
      <c r="EV437">
        <v>-10.51333333805492</v>
      </c>
      <c r="EW437">
        <v>-168.7487179287488</v>
      </c>
      <c r="EX437">
        <v>13464.33461538462</v>
      </c>
      <c r="EY437">
        <v>15</v>
      </c>
      <c r="EZ437">
        <v>1651865518.1</v>
      </c>
      <c r="FA437" t="s">
        <v>910</v>
      </c>
      <c r="FB437">
        <v>1651865507.1</v>
      </c>
      <c r="FC437">
        <v>1651865518.1</v>
      </c>
      <c r="FD437">
        <v>8</v>
      </c>
      <c r="FE437">
        <v>0.06</v>
      </c>
      <c r="FF437">
        <v>0</v>
      </c>
      <c r="FG437">
        <v>-0.927</v>
      </c>
      <c r="FH437">
        <v>-0.062</v>
      </c>
      <c r="FI437">
        <v>400</v>
      </c>
      <c r="FJ437">
        <v>11</v>
      </c>
      <c r="FK437">
        <v>0.11</v>
      </c>
      <c r="FL437">
        <v>0.01</v>
      </c>
      <c r="FM437">
        <v>-64.659285</v>
      </c>
      <c r="FN437">
        <v>-1.918079549718519</v>
      </c>
      <c r="FO437">
        <v>0.2042494082610763</v>
      </c>
      <c r="FP437">
        <v>-1</v>
      </c>
      <c r="FQ437">
        <v>9.4755585</v>
      </c>
      <c r="FR437">
        <v>-0.2661773358349216</v>
      </c>
      <c r="FS437">
        <v>0.02767600906471169</v>
      </c>
      <c r="FT437">
        <v>-1</v>
      </c>
      <c r="FU437">
        <v>0</v>
      </c>
      <c r="FV437">
        <v>0</v>
      </c>
      <c r="FW437">
        <v>0</v>
      </c>
      <c r="FX437">
        <v>-1</v>
      </c>
      <c r="FY437">
        <v>0</v>
      </c>
      <c r="FZ437">
        <v>0</v>
      </c>
      <c r="GA437" t="s">
        <v>420</v>
      </c>
      <c r="GB437">
        <v>2.98159</v>
      </c>
      <c r="GC437">
        <v>2.70627</v>
      </c>
      <c r="GD437">
        <v>0.182591</v>
      </c>
      <c r="GE437">
        <v>0.187066</v>
      </c>
      <c r="GF437">
        <v>0.08836769999999999</v>
      </c>
      <c r="GG437">
        <v>0.0516642</v>
      </c>
      <c r="GH437">
        <v>25831.8</v>
      </c>
      <c r="GI437">
        <v>25745.7</v>
      </c>
      <c r="GJ437">
        <v>29379.5</v>
      </c>
      <c r="GK437">
        <v>29294.3</v>
      </c>
      <c r="GL437">
        <v>35463.9</v>
      </c>
      <c r="GM437">
        <v>37009</v>
      </c>
      <c r="GN437">
        <v>41352.1</v>
      </c>
      <c r="GO437">
        <v>41815</v>
      </c>
      <c r="GP437">
        <v>1.96735</v>
      </c>
      <c r="GQ437">
        <v>1.8573</v>
      </c>
      <c r="GR437">
        <v>-0.00424683</v>
      </c>
      <c r="GS437">
        <v>0</v>
      </c>
      <c r="GT437">
        <v>25.0648</v>
      </c>
      <c r="GU437">
        <v>999.9</v>
      </c>
      <c r="GV437">
        <v>29.4</v>
      </c>
      <c r="GW437">
        <v>34.2</v>
      </c>
      <c r="GX437">
        <v>17.666</v>
      </c>
      <c r="GY437">
        <v>62.4276</v>
      </c>
      <c r="GZ437">
        <v>35.3365</v>
      </c>
      <c r="HA437">
        <v>1</v>
      </c>
      <c r="HB437">
        <v>0.0396392</v>
      </c>
      <c r="HC437">
        <v>1.44251</v>
      </c>
      <c r="HD437">
        <v>20.3282</v>
      </c>
      <c r="HE437">
        <v>5.21579</v>
      </c>
      <c r="HF437">
        <v>12.0099</v>
      </c>
      <c r="HG437">
        <v>4.9889</v>
      </c>
      <c r="HH437">
        <v>3.2885</v>
      </c>
      <c r="HI437">
        <v>1036.4</v>
      </c>
      <c r="HJ437">
        <v>9769</v>
      </c>
      <c r="HK437">
        <v>5139.4</v>
      </c>
      <c r="HL437">
        <v>25.4</v>
      </c>
      <c r="HM437">
        <v>1.86744</v>
      </c>
      <c r="HN437">
        <v>1.86646</v>
      </c>
      <c r="HO437">
        <v>1.86599</v>
      </c>
      <c r="HP437">
        <v>1.86584</v>
      </c>
      <c r="HQ437">
        <v>1.86768</v>
      </c>
      <c r="HR437">
        <v>1.87018</v>
      </c>
      <c r="HS437">
        <v>1.8689</v>
      </c>
      <c r="HT437">
        <v>1.87021</v>
      </c>
      <c r="HU437">
        <v>0</v>
      </c>
      <c r="HV437">
        <v>0</v>
      </c>
      <c r="HW437">
        <v>0</v>
      </c>
      <c r="HX437">
        <v>0</v>
      </c>
      <c r="HY437" t="s">
        <v>421</v>
      </c>
      <c r="HZ437" t="s">
        <v>422</v>
      </c>
      <c r="IA437" t="s">
        <v>423</v>
      </c>
      <c r="IB437" t="s">
        <v>423</v>
      </c>
      <c r="IC437" t="s">
        <v>423</v>
      </c>
      <c r="ID437" t="s">
        <v>423</v>
      </c>
      <c r="IE437">
        <v>0</v>
      </c>
      <c r="IF437">
        <v>100</v>
      </c>
      <c r="IG437">
        <v>100</v>
      </c>
      <c r="IH437">
        <v>-2.14</v>
      </c>
      <c r="II437">
        <v>0.0229</v>
      </c>
      <c r="IJ437">
        <v>-0.1559367209035702</v>
      </c>
      <c r="IK437">
        <v>-0.002077099775823331</v>
      </c>
      <c r="IL437">
        <v>4.593143279902166E-07</v>
      </c>
      <c r="IM437">
        <v>-1.865383991892071E-10</v>
      </c>
      <c r="IN437">
        <v>-0.0607165066849496</v>
      </c>
      <c r="IO437">
        <v>-0.01129461987421345</v>
      </c>
      <c r="IP437">
        <v>0.00116580895745559</v>
      </c>
      <c r="IQ437">
        <v>-1.679085872906199E-05</v>
      </c>
      <c r="IR437">
        <v>2</v>
      </c>
      <c r="IS437">
        <v>2290</v>
      </c>
      <c r="IT437">
        <v>0</v>
      </c>
      <c r="IU437">
        <v>32</v>
      </c>
      <c r="IV437">
        <v>18.3</v>
      </c>
      <c r="IW437">
        <v>18.1</v>
      </c>
      <c r="IX437">
        <v>2.38525</v>
      </c>
      <c r="IY437">
        <v>2.18018</v>
      </c>
      <c r="IZ437">
        <v>1.39648</v>
      </c>
      <c r="JA437">
        <v>2.35474</v>
      </c>
      <c r="JB437">
        <v>1.49536</v>
      </c>
      <c r="JC437">
        <v>2.34619</v>
      </c>
      <c r="JD437">
        <v>38.0134</v>
      </c>
      <c r="JE437">
        <v>24.0437</v>
      </c>
      <c r="JF437">
        <v>18</v>
      </c>
      <c r="JG437">
        <v>512.052</v>
      </c>
      <c r="JH437">
        <v>427.414</v>
      </c>
      <c r="JI437">
        <v>23.1758</v>
      </c>
      <c r="JJ437">
        <v>27.835</v>
      </c>
      <c r="JK437">
        <v>29.9999</v>
      </c>
      <c r="JL437">
        <v>27.8418</v>
      </c>
      <c r="JM437">
        <v>27.7843</v>
      </c>
      <c r="JN437">
        <v>47.7579</v>
      </c>
      <c r="JO437">
        <v>45.762</v>
      </c>
      <c r="JP437">
        <v>0</v>
      </c>
      <c r="JQ437">
        <v>23.1823</v>
      </c>
      <c r="JR437">
        <v>1188.72</v>
      </c>
      <c r="JS437">
        <v>9.26022</v>
      </c>
      <c r="JT437">
        <v>100.424</v>
      </c>
      <c r="JU437">
        <v>100.356</v>
      </c>
    </row>
    <row r="438" spans="1:281">
      <c r="A438">
        <v>422</v>
      </c>
      <c r="B438">
        <v>1651866607</v>
      </c>
      <c r="C438">
        <v>2386.400000095367</v>
      </c>
      <c r="D438" t="s">
        <v>1267</v>
      </c>
      <c r="E438" t="s">
        <v>1268</v>
      </c>
      <c r="F438">
        <v>2</v>
      </c>
      <c r="G438" t="s">
        <v>908</v>
      </c>
      <c r="H438" t="s">
        <v>414</v>
      </c>
      <c r="I438">
        <v>1651866606</v>
      </c>
      <c r="J438">
        <f>(K438)/1000</f>
        <v>0</v>
      </c>
      <c r="K438">
        <f>IF(CZ438, AN438, AH438)</f>
        <v>0</v>
      </c>
      <c r="L438">
        <f>IF(CZ438, AI438, AG438)</f>
        <v>0</v>
      </c>
      <c r="M438">
        <f>DB438 - IF(AU438&gt;1, L438*CV438*100.0/(AW438*DP438), 0)</f>
        <v>0</v>
      </c>
      <c r="N438">
        <f>((T438-J438/2)*M438-L438)/(T438+J438/2)</f>
        <v>0</v>
      </c>
      <c r="O438">
        <f>N438*(DI438+DJ438)/1000.0</f>
        <v>0</v>
      </c>
      <c r="P438">
        <f>(DB438 - IF(AU438&gt;1, L438*CV438*100.0/(AW438*DP438), 0))*(DI438+DJ438)/1000.0</f>
        <v>0</v>
      </c>
      <c r="Q438">
        <f>2.0/((1/S438-1/R438)+SIGN(S438)*SQRT((1/S438-1/R438)*(1/S438-1/R438) + 4*CW438/((CW438+1)*(CW438+1))*(2*1/S438*1/R438-1/R438*1/R438)))</f>
        <v>0</v>
      </c>
      <c r="R438">
        <f>IF(LEFT(CX438,1)&lt;&gt;"0",IF(LEFT(CX438,1)="1",3.0,CY438),$D$5+$E$5*(DP438*DI438/($K$5*1000))+$F$5*(DP438*DI438/($K$5*1000))*MAX(MIN(CV438,$J$5),$I$5)*MAX(MIN(CV438,$J$5),$I$5)+$G$5*MAX(MIN(CV438,$J$5),$I$5)*(DP438*DI438/($K$5*1000))+$H$5*(DP438*DI438/($K$5*1000))*(DP438*DI438/($K$5*1000)))</f>
        <v>0</v>
      </c>
      <c r="S438">
        <f>J438*(1000-(1000*0.61365*exp(17.502*W438/(240.97+W438))/(DI438+DJ438)+DD438)/2)/(1000*0.61365*exp(17.502*W438/(240.97+W438))/(DI438+DJ438)-DD438)</f>
        <v>0</v>
      </c>
      <c r="T438">
        <f>1/((CW438+1)/(Q438/1.6)+1/(R438/1.37)) + CW438/((CW438+1)/(Q438/1.6) + CW438/(R438/1.37))</f>
        <v>0</v>
      </c>
      <c r="U438">
        <f>(CR438*CU438)</f>
        <v>0</v>
      </c>
      <c r="V438">
        <f>(DK438+(U438+2*0.95*5.67E-8*(((DK438+$B$7)+273)^4-(DK438+273)^4)-44100*J438)/(1.84*29.3*R438+8*0.95*5.67E-8*(DK438+273)^3))</f>
        <v>0</v>
      </c>
      <c r="W438">
        <f>($C$7*DL438+$D$7*DM438+$E$7*V438)</f>
        <v>0</v>
      </c>
      <c r="X438">
        <f>0.61365*exp(17.502*W438/(240.97+W438))</f>
        <v>0</v>
      </c>
      <c r="Y438">
        <f>(Z438/AA438*100)</f>
        <v>0</v>
      </c>
      <c r="Z438">
        <f>DD438*(DI438+DJ438)/1000</f>
        <v>0</v>
      </c>
      <c r="AA438">
        <f>0.61365*exp(17.502*DK438/(240.97+DK438))</f>
        <v>0</v>
      </c>
      <c r="AB438">
        <f>(X438-DD438*(DI438+DJ438)/1000)</f>
        <v>0</v>
      </c>
      <c r="AC438">
        <f>(-J438*44100)</f>
        <v>0</v>
      </c>
      <c r="AD438">
        <f>2*29.3*R438*0.92*(DK438-W438)</f>
        <v>0</v>
      </c>
      <c r="AE438">
        <f>2*0.95*5.67E-8*(((DK438+$B$7)+273)^4-(W438+273)^4)</f>
        <v>0</v>
      </c>
      <c r="AF438">
        <f>U438+AE438+AC438+AD438</f>
        <v>0</v>
      </c>
      <c r="AG438">
        <f>DH438*AU438*(DC438-DB438*(1000-AU438*DE438)/(1000-AU438*DD438))/(100*CV438)</f>
        <v>0</v>
      </c>
      <c r="AH438">
        <f>1000*DH438*AU438*(DD438-DE438)/(100*CV438*(1000-AU438*DD438))</f>
        <v>0</v>
      </c>
      <c r="AI438">
        <f>(AJ438 - AK438 - DI438*1E3/(8.314*(DK438+273.15)) * AM438/DH438 * AL438) * DH438/(100*CV438) * (1000 - DE438)/1000</f>
        <v>0</v>
      </c>
      <c r="AJ438">
        <v>1178.280699145045</v>
      </c>
      <c r="AK438">
        <v>1131.121939393939</v>
      </c>
      <c r="AL438">
        <v>3.37951139588461</v>
      </c>
      <c r="AM438">
        <v>66.38195617057868</v>
      </c>
      <c r="AN438">
        <f>(AP438 - AO438 + DI438*1E3/(8.314*(DK438+273.15)) * AR438/DH438 * AQ438) * DH438/(100*CV438) * 1000/(1000 - AP438)</f>
        <v>0</v>
      </c>
      <c r="AO438">
        <v>9.097027484939817</v>
      </c>
      <c r="AP438">
        <v>18.51136470588235</v>
      </c>
      <c r="AQ438">
        <v>-0.007353619076415031</v>
      </c>
      <c r="AR438">
        <v>80.47178418790507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MAX(0,($B$13+$C$13*DP438)/(1+$D$13*DP438)*DI438/(DK438+273)*$E$13)</f>
        <v>0</v>
      </c>
      <c r="AX438" t="s">
        <v>417</v>
      </c>
      <c r="AY438" t="s">
        <v>417</v>
      </c>
      <c r="AZ438">
        <v>0</v>
      </c>
      <c r="BA438">
        <v>0</v>
      </c>
      <c r="BB438">
        <f>1-AZ438/BA438</f>
        <v>0</v>
      </c>
      <c r="BC438">
        <v>0</v>
      </c>
      <c r="BD438" t="s">
        <v>417</v>
      </c>
      <c r="BE438" t="s">
        <v>417</v>
      </c>
      <c r="BF438">
        <v>0</v>
      </c>
      <c r="BG438">
        <v>0</v>
      </c>
      <c r="BH438">
        <f>1-BF438/BG438</f>
        <v>0</v>
      </c>
      <c r="BI438">
        <v>0.5</v>
      </c>
      <c r="BJ438">
        <f>CS438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417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BZ438">
        <v>1249</v>
      </c>
      <c r="CA438">
        <v>300</v>
      </c>
      <c r="CB438">
        <v>300</v>
      </c>
      <c r="CC438">
        <v>300</v>
      </c>
      <c r="CD438">
        <v>10442.4</v>
      </c>
      <c r="CE438">
        <v>1239.69</v>
      </c>
      <c r="CF438">
        <v>-0.00735276</v>
      </c>
      <c r="CG438">
        <v>0.07000000000000001</v>
      </c>
      <c r="CH438" t="s">
        <v>417</v>
      </c>
      <c r="CI438" t="s">
        <v>417</v>
      </c>
      <c r="CJ438" t="s">
        <v>417</v>
      </c>
      <c r="CK438" t="s">
        <v>417</v>
      </c>
      <c r="CL438" t="s">
        <v>417</v>
      </c>
      <c r="CM438" t="s">
        <v>417</v>
      </c>
      <c r="CN438" t="s">
        <v>417</v>
      </c>
      <c r="CO438" t="s">
        <v>417</v>
      </c>
      <c r="CP438" t="s">
        <v>417</v>
      </c>
      <c r="CQ438" t="s">
        <v>417</v>
      </c>
      <c r="CR438">
        <f>$B$11*DQ438+$C$11*DR438+$F$11*EC438*(1-EF438)</f>
        <v>0</v>
      </c>
      <c r="CS438">
        <f>CR438*CT438</f>
        <v>0</v>
      </c>
      <c r="CT438">
        <f>($B$11*$D$9+$C$11*$D$9+$F$11*((EP438+EH438)/MAX(EP438+EH438+EQ438, 0.1)*$I$9+EQ438/MAX(EP438+EH438+EQ438, 0.1)*$J$9))/($B$11+$C$11+$F$11)</f>
        <v>0</v>
      </c>
      <c r="CU438">
        <f>($B$11*$K$9+$C$11*$K$9+$F$11*((EP438+EH438)/MAX(EP438+EH438+EQ438, 0.1)*$P$9+EQ438/MAX(EP438+EH438+EQ438, 0.1)*$Q$9))/($B$11+$C$11+$F$11)</f>
        <v>0</v>
      </c>
      <c r="CV438">
        <v>6</v>
      </c>
      <c r="CW438">
        <v>0.5</v>
      </c>
      <c r="CX438" t="s">
        <v>418</v>
      </c>
      <c r="CY438">
        <v>2</v>
      </c>
      <c r="CZ438" t="b">
        <v>1</v>
      </c>
      <c r="DA438">
        <v>1651866606</v>
      </c>
      <c r="DB438">
        <v>1108.53</v>
      </c>
      <c r="DC438">
        <v>1173.423333333333</v>
      </c>
      <c r="DD438">
        <v>18.51366666666667</v>
      </c>
      <c r="DE438">
        <v>9.138953333333333</v>
      </c>
      <c r="DF438">
        <v>1110.68</v>
      </c>
      <c r="DG438">
        <v>18.49076666666667</v>
      </c>
      <c r="DH438">
        <v>500.0056666666667</v>
      </c>
      <c r="DI438">
        <v>89.91146666666667</v>
      </c>
      <c r="DJ438">
        <v>0.100065</v>
      </c>
      <c r="DK438">
        <v>25.92183333333334</v>
      </c>
      <c r="DL438">
        <v>24.99113333333333</v>
      </c>
      <c r="DM438">
        <v>999.9</v>
      </c>
      <c r="DN438">
        <v>0</v>
      </c>
      <c r="DO438">
        <v>0</v>
      </c>
      <c r="DP438">
        <v>10004.38333333333</v>
      </c>
      <c r="DQ438">
        <v>0</v>
      </c>
      <c r="DR438">
        <v>3.20383</v>
      </c>
      <c r="DS438">
        <v>-64.89476666666665</v>
      </c>
      <c r="DT438">
        <v>1129.44</v>
      </c>
      <c r="DU438">
        <v>1184.25</v>
      </c>
      <c r="DV438">
        <v>9.37471</v>
      </c>
      <c r="DW438">
        <v>1173.423333333333</v>
      </c>
      <c r="DX438">
        <v>9.138953333333333</v>
      </c>
      <c r="DY438">
        <v>1.664593333333333</v>
      </c>
      <c r="DZ438">
        <v>0.821697</v>
      </c>
      <c r="EA438">
        <v>14.5701</v>
      </c>
      <c r="EB438">
        <v>4.08775</v>
      </c>
      <c r="EC438">
        <v>1500.04</v>
      </c>
      <c r="ED438">
        <v>0.972992</v>
      </c>
      <c r="EE438">
        <v>0.027008</v>
      </c>
      <c r="EF438">
        <v>0</v>
      </c>
      <c r="EG438">
        <v>903.6329999999999</v>
      </c>
      <c r="EH438">
        <v>5.00097</v>
      </c>
      <c r="EI438">
        <v>13441.23333333333</v>
      </c>
      <c r="EJ438">
        <v>12491.86666666667</v>
      </c>
      <c r="EK438">
        <v>37.75</v>
      </c>
      <c r="EL438">
        <v>39</v>
      </c>
      <c r="EM438">
        <v>38.16633333333333</v>
      </c>
      <c r="EN438">
        <v>38.625</v>
      </c>
      <c r="EO438">
        <v>38.625</v>
      </c>
      <c r="EP438">
        <v>1454.66</v>
      </c>
      <c r="EQ438">
        <v>40.38</v>
      </c>
      <c r="ER438">
        <v>0</v>
      </c>
      <c r="ES438">
        <v>1124.600000143051</v>
      </c>
      <c r="ET438">
        <v>0</v>
      </c>
      <c r="EU438">
        <v>904.9037999999999</v>
      </c>
      <c r="EV438">
        <v>-11.26899998176176</v>
      </c>
      <c r="EW438">
        <v>-169.792307421464</v>
      </c>
      <c r="EX438">
        <v>13458.372</v>
      </c>
      <c r="EY438">
        <v>15</v>
      </c>
      <c r="EZ438">
        <v>1651865518.1</v>
      </c>
      <c r="FA438" t="s">
        <v>910</v>
      </c>
      <c r="FB438">
        <v>1651865507.1</v>
      </c>
      <c r="FC438">
        <v>1651865518.1</v>
      </c>
      <c r="FD438">
        <v>8</v>
      </c>
      <c r="FE438">
        <v>0.06</v>
      </c>
      <c r="FF438">
        <v>0</v>
      </c>
      <c r="FG438">
        <v>-0.927</v>
      </c>
      <c r="FH438">
        <v>-0.062</v>
      </c>
      <c r="FI438">
        <v>400</v>
      </c>
      <c r="FJ438">
        <v>11</v>
      </c>
      <c r="FK438">
        <v>0.11</v>
      </c>
      <c r="FL438">
        <v>0.01</v>
      </c>
      <c r="FM438">
        <v>-64.71491219512195</v>
      </c>
      <c r="FN438">
        <v>-1.742435540069901</v>
      </c>
      <c r="FO438">
        <v>0.1951868638061959</v>
      </c>
      <c r="FP438">
        <v>-1</v>
      </c>
      <c r="FQ438">
        <v>9.458987317073172</v>
      </c>
      <c r="FR438">
        <v>-0.3125734494773401</v>
      </c>
      <c r="FS438">
        <v>0.03424277207153887</v>
      </c>
      <c r="FT438">
        <v>-1</v>
      </c>
      <c r="FU438">
        <v>0</v>
      </c>
      <c r="FV438">
        <v>0</v>
      </c>
      <c r="FW438">
        <v>0</v>
      </c>
      <c r="FX438">
        <v>-1</v>
      </c>
      <c r="FY438">
        <v>0</v>
      </c>
      <c r="FZ438">
        <v>0</v>
      </c>
      <c r="GA438" t="s">
        <v>420</v>
      </c>
      <c r="GB438">
        <v>2.98145</v>
      </c>
      <c r="GC438">
        <v>2.70623</v>
      </c>
      <c r="GD438">
        <v>0.183283</v>
      </c>
      <c r="GE438">
        <v>0.187754</v>
      </c>
      <c r="GF438">
        <v>0.08835270000000001</v>
      </c>
      <c r="GG438">
        <v>0.0518151</v>
      </c>
      <c r="GH438">
        <v>25810.2</v>
      </c>
      <c r="GI438">
        <v>25724.1</v>
      </c>
      <c r="GJ438">
        <v>29379.8</v>
      </c>
      <c r="GK438">
        <v>29294.5</v>
      </c>
      <c r="GL438">
        <v>35465.1</v>
      </c>
      <c r="GM438">
        <v>37003.4</v>
      </c>
      <c r="GN438">
        <v>41352.8</v>
      </c>
      <c r="GO438">
        <v>41815.4</v>
      </c>
      <c r="GP438">
        <v>1.96753</v>
      </c>
      <c r="GQ438">
        <v>1.85735</v>
      </c>
      <c r="GR438">
        <v>-0.0044331</v>
      </c>
      <c r="GS438">
        <v>0</v>
      </c>
      <c r="GT438">
        <v>25.0633</v>
      </c>
      <c r="GU438">
        <v>999.9</v>
      </c>
      <c r="GV438">
        <v>29.4</v>
      </c>
      <c r="GW438">
        <v>34.2</v>
      </c>
      <c r="GX438">
        <v>17.6687</v>
      </c>
      <c r="GY438">
        <v>62.3776</v>
      </c>
      <c r="GZ438">
        <v>35.4607</v>
      </c>
      <c r="HA438">
        <v>1</v>
      </c>
      <c r="HB438">
        <v>0.039624</v>
      </c>
      <c r="HC438">
        <v>1.4376</v>
      </c>
      <c r="HD438">
        <v>20.3282</v>
      </c>
      <c r="HE438">
        <v>5.21579</v>
      </c>
      <c r="HF438">
        <v>12.0099</v>
      </c>
      <c r="HG438">
        <v>4.98885</v>
      </c>
      <c r="HH438">
        <v>3.2885</v>
      </c>
      <c r="HI438">
        <v>1036.4</v>
      </c>
      <c r="HJ438">
        <v>9769</v>
      </c>
      <c r="HK438">
        <v>5139.4</v>
      </c>
      <c r="HL438">
        <v>25.4</v>
      </c>
      <c r="HM438">
        <v>1.86744</v>
      </c>
      <c r="HN438">
        <v>1.86646</v>
      </c>
      <c r="HO438">
        <v>1.86598</v>
      </c>
      <c r="HP438">
        <v>1.86584</v>
      </c>
      <c r="HQ438">
        <v>1.86768</v>
      </c>
      <c r="HR438">
        <v>1.87018</v>
      </c>
      <c r="HS438">
        <v>1.8689</v>
      </c>
      <c r="HT438">
        <v>1.87022</v>
      </c>
      <c r="HU438">
        <v>0</v>
      </c>
      <c r="HV438">
        <v>0</v>
      </c>
      <c r="HW438">
        <v>0</v>
      </c>
      <c r="HX438">
        <v>0</v>
      </c>
      <c r="HY438" t="s">
        <v>421</v>
      </c>
      <c r="HZ438" t="s">
        <v>422</v>
      </c>
      <c r="IA438" t="s">
        <v>423</v>
      </c>
      <c r="IB438" t="s">
        <v>423</v>
      </c>
      <c r="IC438" t="s">
        <v>423</v>
      </c>
      <c r="ID438" t="s">
        <v>423</v>
      </c>
      <c r="IE438">
        <v>0</v>
      </c>
      <c r="IF438">
        <v>100</v>
      </c>
      <c r="IG438">
        <v>100</v>
      </c>
      <c r="IH438">
        <v>-2.16</v>
      </c>
      <c r="II438">
        <v>0.0229</v>
      </c>
      <c r="IJ438">
        <v>-0.1559367209035702</v>
      </c>
      <c r="IK438">
        <v>-0.002077099775823331</v>
      </c>
      <c r="IL438">
        <v>4.593143279902166E-07</v>
      </c>
      <c r="IM438">
        <v>-1.865383991892071E-10</v>
      </c>
      <c r="IN438">
        <v>-0.0607165066849496</v>
      </c>
      <c r="IO438">
        <v>-0.01129461987421345</v>
      </c>
      <c r="IP438">
        <v>0.00116580895745559</v>
      </c>
      <c r="IQ438">
        <v>-1.679085872906199E-05</v>
      </c>
      <c r="IR438">
        <v>2</v>
      </c>
      <c r="IS438">
        <v>2290</v>
      </c>
      <c r="IT438">
        <v>0</v>
      </c>
      <c r="IU438">
        <v>32</v>
      </c>
      <c r="IV438">
        <v>18.3</v>
      </c>
      <c r="IW438">
        <v>18.1</v>
      </c>
      <c r="IX438">
        <v>2.39624</v>
      </c>
      <c r="IY438">
        <v>2.18018</v>
      </c>
      <c r="IZ438">
        <v>1.39648</v>
      </c>
      <c r="JA438">
        <v>2.35474</v>
      </c>
      <c r="JB438">
        <v>1.49536</v>
      </c>
      <c r="JC438">
        <v>2.3584</v>
      </c>
      <c r="JD438">
        <v>38.0134</v>
      </c>
      <c r="JE438">
        <v>24.0437</v>
      </c>
      <c r="JF438">
        <v>18</v>
      </c>
      <c r="JG438">
        <v>512.1609999999999</v>
      </c>
      <c r="JH438">
        <v>427.435</v>
      </c>
      <c r="JI438">
        <v>23.1778</v>
      </c>
      <c r="JJ438">
        <v>27.835</v>
      </c>
      <c r="JK438">
        <v>29.9999</v>
      </c>
      <c r="JL438">
        <v>27.8412</v>
      </c>
      <c r="JM438">
        <v>27.7831</v>
      </c>
      <c r="JN438">
        <v>47.9676</v>
      </c>
      <c r="JO438">
        <v>45.762</v>
      </c>
      <c r="JP438">
        <v>0</v>
      </c>
      <c r="JQ438">
        <v>23.1823</v>
      </c>
      <c r="JR438">
        <v>1195.39</v>
      </c>
      <c r="JS438">
        <v>9.2737</v>
      </c>
      <c r="JT438">
        <v>100.425</v>
      </c>
      <c r="JU438">
        <v>100.357</v>
      </c>
    </row>
    <row r="439" spans="1:281">
      <c r="A439">
        <v>423</v>
      </c>
      <c r="B439">
        <v>1651866609</v>
      </c>
      <c r="C439">
        <v>2388.400000095367</v>
      </c>
      <c r="D439" t="s">
        <v>1269</v>
      </c>
      <c r="E439" t="s">
        <v>1270</v>
      </c>
      <c r="F439">
        <v>2</v>
      </c>
      <c r="G439" t="s">
        <v>908</v>
      </c>
      <c r="H439" t="s">
        <v>414</v>
      </c>
      <c r="I439">
        <v>1651866607.625</v>
      </c>
      <c r="J439">
        <f>(K439)/1000</f>
        <v>0</v>
      </c>
      <c r="K439">
        <f>IF(CZ439, AN439, AH439)</f>
        <v>0</v>
      </c>
      <c r="L439">
        <f>IF(CZ439, AI439, AG439)</f>
        <v>0</v>
      </c>
      <c r="M439">
        <f>DB439 - IF(AU439&gt;1, L439*CV439*100.0/(AW439*DP439), 0)</f>
        <v>0</v>
      </c>
      <c r="N439">
        <f>((T439-J439/2)*M439-L439)/(T439+J439/2)</f>
        <v>0</v>
      </c>
      <c r="O439">
        <f>N439*(DI439+DJ439)/1000.0</f>
        <v>0</v>
      </c>
      <c r="P439">
        <f>(DB439 - IF(AU439&gt;1, L439*CV439*100.0/(AW439*DP439), 0))*(DI439+DJ439)/1000.0</f>
        <v>0</v>
      </c>
      <c r="Q439">
        <f>2.0/((1/S439-1/R439)+SIGN(S439)*SQRT((1/S439-1/R439)*(1/S439-1/R439) + 4*CW439/((CW439+1)*(CW439+1))*(2*1/S439*1/R439-1/R439*1/R439)))</f>
        <v>0</v>
      </c>
      <c r="R439">
        <f>IF(LEFT(CX439,1)&lt;&gt;"0",IF(LEFT(CX439,1)="1",3.0,CY439),$D$5+$E$5*(DP439*DI439/($K$5*1000))+$F$5*(DP439*DI439/($K$5*1000))*MAX(MIN(CV439,$J$5),$I$5)*MAX(MIN(CV439,$J$5),$I$5)+$G$5*MAX(MIN(CV439,$J$5),$I$5)*(DP439*DI439/($K$5*1000))+$H$5*(DP439*DI439/($K$5*1000))*(DP439*DI439/($K$5*1000)))</f>
        <v>0</v>
      </c>
      <c r="S439">
        <f>J439*(1000-(1000*0.61365*exp(17.502*W439/(240.97+W439))/(DI439+DJ439)+DD439)/2)/(1000*0.61365*exp(17.502*W439/(240.97+W439))/(DI439+DJ439)-DD439)</f>
        <v>0</v>
      </c>
      <c r="T439">
        <f>1/((CW439+1)/(Q439/1.6)+1/(R439/1.37)) + CW439/((CW439+1)/(Q439/1.6) + CW439/(R439/1.37))</f>
        <v>0</v>
      </c>
      <c r="U439">
        <f>(CR439*CU439)</f>
        <v>0</v>
      </c>
      <c r="V439">
        <f>(DK439+(U439+2*0.95*5.67E-8*(((DK439+$B$7)+273)^4-(DK439+273)^4)-44100*J439)/(1.84*29.3*R439+8*0.95*5.67E-8*(DK439+273)^3))</f>
        <v>0</v>
      </c>
      <c r="W439">
        <f>($C$7*DL439+$D$7*DM439+$E$7*V439)</f>
        <v>0</v>
      </c>
      <c r="X439">
        <f>0.61365*exp(17.502*W439/(240.97+W439))</f>
        <v>0</v>
      </c>
      <c r="Y439">
        <f>(Z439/AA439*100)</f>
        <v>0</v>
      </c>
      <c r="Z439">
        <f>DD439*(DI439+DJ439)/1000</f>
        <v>0</v>
      </c>
      <c r="AA439">
        <f>0.61365*exp(17.502*DK439/(240.97+DK439))</f>
        <v>0</v>
      </c>
      <c r="AB439">
        <f>(X439-DD439*(DI439+DJ439)/1000)</f>
        <v>0</v>
      </c>
      <c r="AC439">
        <f>(-J439*44100)</f>
        <v>0</v>
      </c>
      <c r="AD439">
        <f>2*29.3*R439*0.92*(DK439-W439)</f>
        <v>0</v>
      </c>
      <c r="AE439">
        <f>2*0.95*5.67E-8*(((DK439+$B$7)+273)^4-(W439+273)^4)</f>
        <v>0</v>
      </c>
      <c r="AF439">
        <f>U439+AE439+AC439+AD439</f>
        <v>0</v>
      </c>
      <c r="AG439">
        <f>DH439*AU439*(DC439-DB439*(1000-AU439*DE439)/(1000-AU439*DD439))/(100*CV439)</f>
        <v>0</v>
      </c>
      <c r="AH439">
        <f>1000*DH439*AU439*(DD439-DE439)/(100*CV439*(1000-AU439*DD439))</f>
        <v>0</v>
      </c>
      <c r="AI439">
        <f>(AJ439 - AK439 - DI439*1E3/(8.314*(DK439+273.15)) * AM439/DH439 * AL439) * DH439/(100*CV439) * (1000 - DE439)/1000</f>
        <v>0</v>
      </c>
      <c r="AJ439">
        <v>1185.108134624358</v>
      </c>
      <c r="AK439">
        <v>1137.89896969697</v>
      </c>
      <c r="AL439">
        <v>3.38109517223894</v>
      </c>
      <c r="AM439">
        <v>66.38195617057868</v>
      </c>
      <c r="AN439">
        <f>(AP439 - AO439 + DI439*1E3/(8.314*(DK439+273.15)) * AR439/DH439 * AQ439) * DH439/(100*CV439) * 1000/(1000 - AP439)</f>
        <v>0</v>
      </c>
      <c r="AO439">
        <v>9.116014038814132</v>
      </c>
      <c r="AP439">
        <v>18.50968499999999</v>
      </c>
      <c r="AQ439">
        <v>-0.007421845187591726</v>
      </c>
      <c r="AR439">
        <v>80.47178418790507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MAX(0,($B$13+$C$13*DP439)/(1+$D$13*DP439)*DI439/(DK439+273)*$E$13)</f>
        <v>0</v>
      </c>
      <c r="AX439" t="s">
        <v>417</v>
      </c>
      <c r="AY439" t="s">
        <v>417</v>
      </c>
      <c r="AZ439">
        <v>0</v>
      </c>
      <c r="BA439">
        <v>0</v>
      </c>
      <c r="BB439">
        <f>1-AZ439/BA439</f>
        <v>0</v>
      </c>
      <c r="BC439">
        <v>0</v>
      </c>
      <c r="BD439" t="s">
        <v>417</v>
      </c>
      <c r="BE439" t="s">
        <v>417</v>
      </c>
      <c r="BF439">
        <v>0</v>
      </c>
      <c r="BG439">
        <v>0</v>
      </c>
      <c r="BH439">
        <f>1-BF439/BG439</f>
        <v>0</v>
      </c>
      <c r="BI439">
        <v>0.5</v>
      </c>
      <c r="BJ439">
        <f>CS439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417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BZ439">
        <v>1249</v>
      </c>
      <c r="CA439">
        <v>300</v>
      </c>
      <c r="CB439">
        <v>300</v>
      </c>
      <c r="CC439">
        <v>300</v>
      </c>
      <c r="CD439">
        <v>10442.4</v>
      </c>
      <c r="CE439">
        <v>1239.69</v>
      </c>
      <c r="CF439">
        <v>-0.00735276</v>
      </c>
      <c r="CG439">
        <v>0.07000000000000001</v>
      </c>
      <c r="CH439" t="s">
        <v>417</v>
      </c>
      <c r="CI439" t="s">
        <v>417</v>
      </c>
      <c r="CJ439" t="s">
        <v>417</v>
      </c>
      <c r="CK439" t="s">
        <v>417</v>
      </c>
      <c r="CL439" t="s">
        <v>417</v>
      </c>
      <c r="CM439" t="s">
        <v>417</v>
      </c>
      <c r="CN439" t="s">
        <v>417</v>
      </c>
      <c r="CO439" t="s">
        <v>417</v>
      </c>
      <c r="CP439" t="s">
        <v>417</v>
      </c>
      <c r="CQ439" t="s">
        <v>417</v>
      </c>
      <c r="CR439">
        <f>$B$11*DQ439+$C$11*DR439+$F$11*EC439*(1-EF439)</f>
        <v>0</v>
      </c>
      <c r="CS439">
        <f>CR439*CT439</f>
        <v>0</v>
      </c>
      <c r="CT439">
        <f>($B$11*$D$9+$C$11*$D$9+$F$11*((EP439+EH439)/MAX(EP439+EH439+EQ439, 0.1)*$I$9+EQ439/MAX(EP439+EH439+EQ439, 0.1)*$J$9))/($B$11+$C$11+$F$11)</f>
        <v>0</v>
      </c>
      <c r="CU439">
        <f>($B$11*$K$9+$C$11*$K$9+$F$11*((EP439+EH439)/MAX(EP439+EH439+EQ439, 0.1)*$P$9+EQ439/MAX(EP439+EH439+EQ439, 0.1)*$Q$9))/($B$11+$C$11+$F$11)</f>
        <v>0</v>
      </c>
      <c r="CV439">
        <v>6</v>
      </c>
      <c r="CW439">
        <v>0.5</v>
      </c>
      <c r="CX439" t="s">
        <v>418</v>
      </c>
      <c r="CY439">
        <v>2</v>
      </c>
      <c r="CZ439" t="b">
        <v>1</v>
      </c>
      <c r="DA439">
        <v>1651866607.625</v>
      </c>
      <c r="DB439">
        <v>1113.9175</v>
      </c>
      <c r="DC439">
        <v>1179.0075</v>
      </c>
      <c r="DD439">
        <v>18.510925</v>
      </c>
      <c r="DE439">
        <v>9.166857499999999</v>
      </c>
      <c r="DF439">
        <v>1116.0775</v>
      </c>
      <c r="DG439">
        <v>18.48805</v>
      </c>
      <c r="DH439">
        <v>500.02375</v>
      </c>
      <c r="DI439">
        <v>89.911025</v>
      </c>
      <c r="DJ439">
        <v>0.1000983</v>
      </c>
      <c r="DK439">
        <v>25.921825</v>
      </c>
      <c r="DL439">
        <v>24.98785</v>
      </c>
      <c r="DM439">
        <v>999.9</v>
      </c>
      <c r="DN439">
        <v>0</v>
      </c>
      <c r="DO439">
        <v>0</v>
      </c>
      <c r="DP439">
        <v>9996.7075</v>
      </c>
      <c r="DQ439">
        <v>0</v>
      </c>
      <c r="DR439">
        <v>3.20383</v>
      </c>
      <c r="DS439">
        <v>-65.08987499999999</v>
      </c>
      <c r="DT439">
        <v>1134.925</v>
      </c>
      <c r="DU439">
        <v>1189.915</v>
      </c>
      <c r="DV439">
        <v>9.3440675</v>
      </c>
      <c r="DW439">
        <v>1179.0075</v>
      </c>
      <c r="DX439">
        <v>9.166857499999999</v>
      </c>
      <c r="DY439">
        <v>1.6643375</v>
      </c>
      <c r="DZ439">
        <v>0.82420175</v>
      </c>
      <c r="EA439">
        <v>14.567725</v>
      </c>
      <c r="EB439">
        <v>4.131085</v>
      </c>
      <c r="EC439">
        <v>1500.0275</v>
      </c>
      <c r="ED439">
        <v>0.973007</v>
      </c>
      <c r="EE439">
        <v>0.026992775</v>
      </c>
      <c r="EF439">
        <v>0</v>
      </c>
      <c r="EG439">
        <v>903.1455000000001</v>
      </c>
      <c r="EH439">
        <v>5.00097</v>
      </c>
      <c r="EI439">
        <v>13435.925</v>
      </c>
      <c r="EJ439">
        <v>12491.825</v>
      </c>
      <c r="EK439">
        <v>37.75</v>
      </c>
      <c r="EL439">
        <v>39.0155</v>
      </c>
      <c r="EM439">
        <v>38.125</v>
      </c>
      <c r="EN439">
        <v>38.625</v>
      </c>
      <c r="EO439">
        <v>38.625</v>
      </c>
      <c r="EP439">
        <v>1454.67</v>
      </c>
      <c r="EQ439">
        <v>40.3575</v>
      </c>
      <c r="ER439">
        <v>0</v>
      </c>
      <c r="ES439">
        <v>1126.400000095367</v>
      </c>
      <c r="ET439">
        <v>0</v>
      </c>
      <c r="EU439">
        <v>904.5943846153846</v>
      </c>
      <c r="EV439">
        <v>-12.40888889832943</v>
      </c>
      <c r="EW439">
        <v>-173.186324904655</v>
      </c>
      <c r="EX439">
        <v>13453.97307692307</v>
      </c>
      <c r="EY439">
        <v>15</v>
      </c>
      <c r="EZ439">
        <v>1651865518.1</v>
      </c>
      <c r="FA439" t="s">
        <v>910</v>
      </c>
      <c r="FB439">
        <v>1651865507.1</v>
      </c>
      <c r="FC439">
        <v>1651865518.1</v>
      </c>
      <c r="FD439">
        <v>8</v>
      </c>
      <c r="FE439">
        <v>0.06</v>
      </c>
      <c r="FF439">
        <v>0</v>
      </c>
      <c r="FG439">
        <v>-0.927</v>
      </c>
      <c r="FH439">
        <v>-0.062</v>
      </c>
      <c r="FI439">
        <v>400</v>
      </c>
      <c r="FJ439">
        <v>11</v>
      </c>
      <c r="FK439">
        <v>0.11</v>
      </c>
      <c r="FL439">
        <v>0.01</v>
      </c>
      <c r="FM439">
        <v>-64.75863902439025</v>
      </c>
      <c r="FN439">
        <v>-1.730655052264994</v>
      </c>
      <c r="FO439">
        <v>0.1935019289978198</v>
      </c>
      <c r="FP439">
        <v>-1</v>
      </c>
      <c r="FQ439">
        <v>9.451815365853657</v>
      </c>
      <c r="FR439">
        <v>-0.3658691289198606</v>
      </c>
      <c r="FS439">
        <v>0.04022935532349726</v>
      </c>
      <c r="FT439">
        <v>-1</v>
      </c>
      <c r="FU439">
        <v>0</v>
      </c>
      <c r="FV439">
        <v>0</v>
      </c>
      <c r="FW439">
        <v>0</v>
      </c>
      <c r="FX439">
        <v>-1</v>
      </c>
      <c r="FY439">
        <v>0</v>
      </c>
      <c r="FZ439">
        <v>0</v>
      </c>
      <c r="GA439" t="s">
        <v>420</v>
      </c>
      <c r="GB439">
        <v>2.98159</v>
      </c>
      <c r="GC439">
        <v>2.70612</v>
      </c>
      <c r="GD439">
        <v>0.183978</v>
      </c>
      <c r="GE439">
        <v>0.188412</v>
      </c>
      <c r="GF439">
        <v>0.08833829999999999</v>
      </c>
      <c r="GG439">
        <v>0.0519387</v>
      </c>
      <c r="GH439">
        <v>25788.3</v>
      </c>
      <c r="GI439">
        <v>25703.3</v>
      </c>
      <c r="GJ439">
        <v>29379.9</v>
      </c>
      <c r="GK439">
        <v>29294.6</v>
      </c>
      <c r="GL439">
        <v>35465.8</v>
      </c>
      <c r="GM439">
        <v>36998.5</v>
      </c>
      <c r="GN439">
        <v>41353</v>
      </c>
      <c r="GO439">
        <v>41815.3</v>
      </c>
      <c r="GP439">
        <v>1.96763</v>
      </c>
      <c r="GQ439">
        <v>1.85742</v>
      </c>
      <c r="GR439">
        <v>-0.00465661</v>
      </c>
      <c r="GS439">
        <v>0</v>
      </c>
      <c r="GT439">
        <v>25.0621</v>
      </c>
      <c r="GU439">
        <v>999.9</v>
      </c>
      <c r="GV439">
        <v>29.4</v>
      </c>
      <c r="GW439">
        <v>34.2</v>
      </c>
      <c r="GX439">
        <v>17.6687</v>
      </c>
      <c r="GY439">
        <v>62.4176</v>
      </c>
      <c r="GZ439">
        <v>35.3125</v>
      </c>
      <c r="HA439">
        <v>1</v>
      </c>
      <c r="HB439">
        <v>0.0396519</v>
      </c>
      <c r="HC439">
        <v>1.43666</v>
      </c>
      <c r="HD439">
        <v>20.3282</v>
      </c>
      <c r="HE439">
        <v>5.21624</v>
      </c>
      <c r="HF439">
        <v>12.0099</v>
      </c>
      <c r="HG439">
        <v>4.98865</v>
      </c>
      <c r="HH439">
        <v>3.28848</v>
      </c>
      <c r="HI439">
        <v>1036.4</v>
      </c>
      <c r="HJ439">
        <v>9769</v>
      </c>
      <c r="HK439">
        <v>5139.4</v>
      </c>
      <c r="HL439">
        <v>25.4</v>
      </c>
      <c r="HM439">
        <v>1.86745</v>
      </c>
      <c r="HN439">
        <v>1.86646</v>
      </c>
      <c r="HO439">
        <v>1.86598</v>
      </c>
      <c r="HP439">
        <v>1.86585</v>
      </c>
      <c r="HQ439">
        <v>1.86768</v>
      </c>
      <c r="HR439">
        <v>1.87016</v>
      </c>
      <c r="HS439">
        <v>1.8689</v>
      </c>
      <c r="HT439">
        <v>1.87022</v>
      </c>
      <c r="HU439">
        <v>0</v>
      </c>
      <c r="HV439">
        <v>0</v>
      </c>
      <c r="HW439">
        <v>0</v>
      </c>
      <c r="HX439">
        <v>0</v>
      </c>
      <c r="HY439" t="s">
        <v>421</v>
      </c>
      <c r="HZ439" t="s">
        <v>422</v>
      </c>
      <c r="IA439" t="s">
        <v>423</v>
      </c>
      <c r="IB439" t="s">
        <v>423</v>
      </c>
      <c r="IC439" t="s">
        <v>423</v>
      </c>
      <c r="ID439" t="s">
        <v>423</v>
      </c>
      <c r="IE439">
        <v>0</v>
      </c>
      <c r="IF439">
        <v>100</v>
      </c>
      <c r="IG439">
        <v>100</v>
      </c>
      <c r="IH439">
        <v>-2.17</v>
      </c>
      <c r="II439">
        <v>0.0228</v>
      </c>
      <c r="IJ439">
        <v>-0.1559367209035702</v>
      </c>
      <c r="IK439">
        <v>-0.002077099775823331</v>
      </c>
      <c r="IL439">
        <v>4.593143279902166E-07</v>
      </c>
      <c r="IM439">
        <v>-1.865383991892071E-10</v>
      </c>
      <c r="IN439">
        <v>-0.0607165066849496</v>
      </c>
      <c r="IO439">
        <v>-0.01129461987421345</v>
      </c>
      <c r="IP439">
        <v>0.00116580895745559</v>
      </c>
      <c r="IQ439">
        <v>-1.679085872906199E-05</v>
      </c>
      <c r="IR439">
        <v>2</v>
      </c>
      <c r="IS439">
        <v>2290</v>
      </c>
      <c r="IT439">
        <v>0</v>
      </c>
      <c r="IU439">
        <v>32</v>
      </c>
      <c r="IV439">
        <v>18.4</v>
      </c>
      <c r="IW439">
        <v>18.2</v>
      </c>
      <c r="IX439">
        <v>2.40723</v>
      </c>
      <c r="IY439">
        <v>2.18018</v>
      </c>
      <c r="IZ439">
        <v>1.39648</v>
      </c>
      <c r="JA439">
        <v>2.35474</v>
      </c>
      <c r="JB439">
        <v>1.49536</v>
      </c>
      <c r="JC439">
        <v>2.34863</v>
      </c>
      <c r="JD439">
        <v>38.0134</v>
      </c>
      <c r="JE439">
        <v>24.0437</v>
      </c>
      <c r="JF439">
        <v>18</v>
      </c>
      <c r="JG439">
        <v>512.216</v>
      </c>
      <c r="JH439">
        <v>427.478</v>
      </c>
      <c r="JI439">
        <v>23.1807</v>
      </c>
      <c r="JJ439">
        <v>27.8338</v>
      </c>
      <c r="JK439">
        <v>29.9999</v>
      </c>
      <c r="JL439">
        <v>27.8401</v>
      </c>
      <c r="JM439">
        <v>27.783</v>
      </c>
      <c r="JN439">
        <v>48.1969</v>
      </c>
      <c r="JO439">
        <v>45.4379</v>
      </c>
      <c r="JP439">
        <v>0</v>
      </c>
      <c r="JQ439">
        <v>23.1823</v>
      </c>
      <c r="JR439">
        <v>1202.37</v>
      </c>
      <c r="JS439">
        <v>9.29982</v>
      </c>
      <c r="JT439">
        <v>100.426</v>
      </c>
      <c r="JU439">
        <v>100.357</v>
      </c>
    </row>
    <row r="440" spans="1:281">
      <c r="A440">
        <v>424</v>
      </c>
      <c r="B440">
        <v>1651866611</v>
      </c>
      <c r="C440">
        <v>2390.400000095367</v>
      </c>
      <c r="D440" t="s">
        <v>1271</v>
      </c>
      <c r="E440" t="s">
        <v>1272</v>
      </c>
      <c r="F440">
        <v>2</v>
      </c>
      <c r="G440" t="s">
        <v>908</v>
      </c>
      <c r="H440" t="s">
        <v>414</v>
      </c>
      <c r="I440">
        <v>1651866610</v>
      </c>
      <c r="J440">
        <f>(K440)/1000</f>
        <v>0</v>
      </c>
      <c r="K440">
        <f>IF(CZ440, AN440, AH440)</f>
        <v>0</v>
      </c>
      <c r="L440">
        <f>IF(CZ440, AI440, AG440)</f>
        <v>0</v>
      </c>
      <c r="M440">
        <f>DB440 - IF(AU440&gt;1, L440*CV440*100.0/(AW440*DP440), 0)</f>
        <v>0</v>
      </c>
      <c r="N440">
        <f>((T440-J440/2)*M440-L440)/(T440+J440/2)</f>
        <v>0</v>
      </c>
      <c r="O440">
        <f>N440*(DI440+DJ440)/1000.0</f>
        <v>0</v>
      </c>
      <c r="P440">
        <f>(DB440 - IF(AU440&gt;1, L440*CV440*100.0/(AW440*DP440), 0))*(DI440+DJ440)/1000.0</f>
        <v>0</v>
      </c>
      <c r="Q440">
        <f>2.0/((1/S440-1/R440)+SIGN(S440)*SQRT((1/S440-1/R440)*(1/S440-1/R440) + 4*CW440/((CW440+1)*(CW440+1))*(2*1/S440*1/R440-1/R440*1/R440)))</f>
        <v>0</v>
      </c>
      <c r="R440">
        <f>IF(LEFT(CX440,1)&lt;&gt;"0",IF(LEFT(CX440,1)="1",3.0,CY440),$D$5+$E$5*(DP440*DI440/($K$5*1000))+$F$5*(DP440*DI440/($K$5*1000))*MAX(MIN(CV440,$J$5),$I$5)*MAX(MIN(CV440,$J$5),$I$5)+$G$5*MAX(MIN(CV440,$J$5),$I$5)*(DP440*DI440/($K$5*1000))+$H$5*(DP440*DI440/($K$5*1000))*(DP440*DI440/($K$5*1000)))</f>
        <v>0</v>
      </c>
      <c r="S440">
        <f>J440*(1000-(1000*0.61365*exp(17.502*W440/(240.97+W440))/(DI440+DJ440)+DD440)/2)/(1000*0.61365*exp(17.502*W440/(240.97+W440))/(DI440+DJ440)-DD440)</f>
        <v>0</v>
      </c>
      <c r="T440">
        <f>1/((CW440+1)/(Q440/1.6)+1/(R440/1.37)) + CW440/((CW440+1)/(Q440/1.6) + CW440/(R440/1.37))</f>
        <v>0</v>
      </c>
      <c r="U440">
        <f>(CR440*CU440)</f>
        <v>0</v>
      </c>
      <c r="V440">
        <f>(DK440+(U440+2*0.95*5.67E-8*(((DK440+$B$7)+273)^4-(DK440+273)^4)-44100*J440)/(1.84*29.3*R440+8*0.95*5.67E-8*(DK440+273)^3))</f>
        <v>0</v>
      </c>
      <c r="W440">
        <f>($C$7*DL440+$D$7*DM440+$E$7*V440)</f>
        <v>0</v>
      </c>
      <c r="X440">
        <f>0.61365*exp(17.502*W440/(240.97+W440))</f>
        <v>0</v>
      </c>
      <c r="Y440">
        <f>(Z440/AA440*100)</f>
        <v>0</v>
      </c>
      <c r="Z440">
        <f>DD440*(DI440+DJ440)/1000</f>
        <v>0</v>
      </c>
      <c r="AA440">
        <f>0.61365*exp(17.502*DK440/(240.97+DK440))</f>
        <v>0</v>
      </c>
      <c r="AB440">
        <f>(X440-DD440*(DI440+DJ440)/1000)</f>
        <v>0</v>
      </c>
      <c r="AC440">
        <f>(-J440*44100)</f>
        <v>0</v>
      </c>
      <c r="AD440">
        <f>2*29.3*R440*0.92*(DK440-W440)</f>
        <v>0</v>
      </c>
      <c r="AE440">
        <f>2*0.95*5.67E-8*(((DK440+$B$7)+273)^4-(W440+273)^4)</f>
        <v>0</v>
      </c>
      <c r="AF440">
        <f>U440+AE440+AC440+AD440</f>
        <v>0</v>
      </c>
      <c r="AG440">
        <f>DH440*AU440*(DC440-DB440*(1000-AU440*DE440)/(1000-AU440*DD440))/(100*CV440)</f>
        <v>0</v>
      </c>
      <c r="AH440">
        <f>1000*DH440*AU440*(DD440-DE440)/(100*CV440*(1000-AU440*DD440))</f>
        <v>0</v>
      </c>
      <c r="AI440">
        <f>(AJ440 - AK440 - DI440*1E3/(8.314*(DK440+273.15)) * AM440/DH440 * AL440) * DH440/(100*CV440) * (1000 - DE440)/1000</f>
        <v>0</v>
      </c>
      <c r="AJ440">
        <v>1192.014255915568</v>
      </c>
      <c r="AK440">
        <v>1144.722545454545</v>
      </c>
      <c r="AL440">
        <v>3.405698390746301</v>
      </c>
      <c r="AM440">
        <v>66.38195617057868</v>
      </c>
      <c r="AN440">
        <f>(AP440 - AO440 + DI440*1E3/(8.314*(DK440+273.15)) * AR440/DH440 * AQ440) * DH440/(100*CV440) * 1000/(1000 - AP440)</f>
        <v>0</v>
      </c>
      <c r="AO440">
        <v>9.148992190249476</v>
      </c>
      <c r="AP440">
        <v>18.50581352941177</v>
      </c>
      <c r="AQ440">
        <v>-0.003532555729034192</v>
      </c>
      <c r="AR440">
        <v>80.47178418790507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MAX(0,($B$13+$C$13*DP440)/(1+$D$13*DP440)*DI440/(DK440+273)*$E$13)</f>
        <v>0</v>
      </c>
      <c r="AX440" t="s">
        <v>417</v>
      </c>
      <c r="AY440" t="s">
        <v>417</v>
      </c>
      <c r="AZ440">
        <v>0</v>
      </c>
      <c r="BA440">
        <v>0</v>
      </c>
      <c r="BB440">
        <f>1-AZ440/BA440</f>
        <v>0</v>
      </c>
      <c r="BC440">
        <v>0</v>
      </c>
      <c r="BD440" t="s">
        <v>417</v>
      </c>
      <c r="BE440" t="s">
        <v>417</v>
      </c>
      <c r="BF440">
        <v>0</v>
      </c>
      <c r="BG440">
        <v>0</v>
      </c>
      <c r="BH440">
        <f>1-BF440/BG440</f>
        <v>0</v>
      </c>
      <c r="BI440">
        <v>0.5</v>
      </c>
      <c r="BJ440">
        <f>CS440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417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BZ440">
        <v>1249</v>
      </c>
      <c r="CA440">
        <v>300</v>
      </c>
      <c r="CB440">
        <v>300</v>
      </c>
      <c r="CC440">
        <v>300</v>
      </c>
      <c r="CD440">
        <v>10442.4</v>
      </c>
      <c r="CE440">
        <v>1239.69</v>
      </c>
      <c r="CF440">
        <v>-0.00735276</v>
      </c>
      <c r="CG440">
        <v>0.07000000000000001</v>
      </c>
      <c r="CH440" t="s">
        <v>417</v>
      </c>
      <c r="CI440" t="s">
        <v>417</v>
      </c>
      <c r="CJ440" t="s">
        <v>417</v>
      </c>
      <c r="CK440" t="s">
        <v>417</v>
      </c>
      <c r="CL440" t="s">
        <v>417</v>
      </c>
      <c r="CM440" t="s">
        <v>417</v>
      </c>
      <c r="CN440" t="s">
        <v>417</v>
      </c>
      <c r="CO440" t="s">
        <v>417</v>
      </c>
      <c r="CP440" t="s">
        <v>417</v>
      </c>
      <c r="CQ440" t="s">
        <v>417</v>
      </c>
      <c r="CR440">
        <f>$B$11*DQ440+$C$11*DR440+$F$11*EC440*(1-EF440)</f>
        <v>0</v>
      </c>
      <c r="CS440">
        <f>CR440*CT440</f>
        <v>0</v>
      </c>
      <c r="CT440">
        <f>($B$11*$D$9+$C$11*$D$9+$F$11*((EP440+EH440)/MAX(EP440+EH440+EQ440, 0.1)*$I$9+EQ440/MAX(EP440+EH440+EQ440, 0.1)*$J$9))/($B$11+$C$11+$F$11)</f>
        <v>0</v>
      </c>
      <c r="CU440">
        <f>($B$11*$K$9+$C$11*$K$9+$F$11*((EP440+EH440)/MAX(EP440+EH440+EQ440, 0.1)*$P$9+EQ440/MAX(EP440+EH440+EQ440, 0.1)*$Q$9))/($B$11+$C$11+$F$11)</f>
        <v>0</v>
      </c>
      <c r="CV440">
        <v>6</v>
      </c>
      <c r="CW440">
        <v>0.5</v>
      </c>
      <c r="CX440" t="s">
        <v>418</v>
      </c>
      <c r="CY440">
        <v>2</v>
      </c>
      <c r="CZ440" t="b">
        <v>1</v>
      </c>
      <c r="DA440">
        <v>1651866610</v>
      </c>
      <c r="DB440">
        <v>1121.866666666667</v>
      </c>
      <c r="DC440">
        <v>1186.98</v>
      </c>
      <c r="DD440">
        <v>18.50573333333334</v>
      </c>
      <c r="DE440">
        <v>9.189793333333332</v>
      </c>
      <c r="DF440">
        <v>1124.036666666667</v>
      </c>
      <c r="DG440">
        <v>18.48293333333333</v>
      </c>
      <c r="DH440">
        <v>500.0786666666666</v>
      </c>
      <c r="DI440">
        <v>89.90836666666667</v>
      </c>
      <c r="DJ440">
        <v>0.100098</v>
      </c>
      <c r="DK440">
        <v>25.92243333333333</v>
      </c>
      <c r="DL440">
        <v>24.98816666666667</v>
      </c>
      <c r="DM440">
        <v>999.9</v>
      </c>
      <c r="DN440">
        <v>0</v>
      </c>
      <c r="DO440">
        <v>0</v>
      </c>
      <c r="DP440">
        <v>9990</v>
      </c>
      <c r="DQ440">
        <v>0</v>
      </c>
      <c r="DR440">
        <v>3.20383</v>
      </c>
      <c r="DS440">
        <v>-65.11990000000002</v>
      </c>
      <c r="DT440">
        <v>1143.016666666667</v>
      </c>
      <c r="DU440">
        <v>1197.993333333333</v>
      </c>
      <c r="DV440">
        <v>9.315926666666668</v>
      </c>
      <c r="DW440">
        <v>1186.98</v>
      </c>
      <c r="DX440">
        <v>9.189793333333332</v>
      </c>
      <c r="DY440">
        <v>1.663816666666667</v>
      </c>
      <c r="DZ440">
        <v>0.8262390000000001</v>
      </c>
      <c r="EA440">
        <v>14.56293333333333</v>
      </c>
      <c r="EB440">
        <v>4.16627</v>
      </c>
      <c r="EC440">
        <v>1499.943333333333</v>
      </c>
      <c r="ED440">
        <v>0.972997</v>
      </c>
      <c r="EE440">
        <v>0.02700303333333333</v>
      </c>
      <c r="EF440">
        <v>0</v>
      </c>
      <c r="EG440">
        <v>903.0106666666667</v>
      </c>
      <c r="EH440">
        <v>5.00097</v>
      </c>
      <c r="EI440">
        <v>13427.53333333333</v>
      </c>
      <c r="EJ440">
        <v>12491.1</v>
      </c>
      <c r="EK440">
        <v>37.75</v>
      </c>
      <c r="EL440">
        <v>39</v>
      </c>
      <c r="EM440">
        <v>38.125</v>
      </c>
      <c r="EN440">
        <v>38.625</v>
      </c>
      <c r="EO440">
        <v>38.625</v>
      </c>
      <c r="EP440">
        <v>1454.573333333333</v>
      </c>
      <c r="EQ440">
        <v>40.37</v>
      </c>
      <c r="ER440">
        <v>0</v>
      </c>
      <c r="ES440">
        <v>1128.200000047684</v>
      </c>
      <c r="ET440">
        <v>0</v>
      </c>
      <c r="EU440">
        <v>904.1866</v>
      </c>
      <c r="EV440">
        <v>-11.90123075292472</v>
      </c>
      <c r="EW440">
        <v>-177.4153843176751</v>
      </c>
      <c r="EX440">
        <v>13447.792</v>
      </c>
      <c r="EY440">
        <v>15</v>
      </c>
      <c r="EZ440">
        <v>1651865518.1</v>
      </c>
      <c r="FA440" t="s">
        <v>910</v>
      </c>
      <c r="FB440">
        <v>1651865507.1</v>
      </c>
      <c r="FC440">
        <v>1651865518.1</v>
      </c>
      <c r="FD440">
        <v>8</v>
      </c>
      <c r="FE440">
        <v>0.06</v>
      </c>
      <c r="FF440">
        <v>0</v>
      </c>
      <c r="FG440">
        <v>-0.927</v>
      </c>
      <c r="FH440">
        <v>-0.062</v>
      </c>
      <c r="FI440">
        <v>400</v>
      </c>
      <c r="FJ440">
        <v>11</v>
      </c>
      <c r="FK440">
        <v>0.11</v>
      </c>
      <c r="FL440">
        <v>0.01</v>
      </c>
      <c r="FM440">
        <v>-64.85626499999999</v>
      </c>
      <c r="FN440">
        <v>-1.441675046904125</v>
      </c>
      <c r="FO440">
        <v>0.1580585548934309</v>
      </c>
      <c r="FP440">
        <v>-1</v>
      </c>
      <c r="FQ440">
        <v>9.43061075</v>
      </c>
      <c r="FR440">
        <v>-0.537788780487813</v>
      </c>
      <c r="FS440">
        <v>0.05540053047523553</v>
      </c>
      <c r="FT440">
        <v>-1</v>
      </c>
      <c r="FU440">
        <v>0</v>
      </c>
      <c r="FV440">
        <v>0</v>
      </c>
      <c r="FW440">
        <v>0</v>
      </c>
      <c r="FX440">
        <v>-1</v>
      </c>
      <c r="FY440">
        <v>0</v>
      </c>
      <c r="FZ440">
        <v>0</v>
      </c>
      <c r="GA440" t="s">
        <v>420</v>
      </c>
      <c r="GB440">
        <v>2.98159</v>
      </c>
      <c r="GC440">
        <v>2.70608</v>
      </c>
      <c r="GD440">
        <v>0.184671</v>
      </c>
      <c r="GE440">
        <v>0.189056</v>
      </c>
      <c r="GF440">
        <v>0.0883259</v>
      </c>
      <c r="GG440">
        <v>0.0519713</v>
      </c>
      <c r="GH440">
        <v>25766.6</v>
      </c>
      <c r="GI440">
        <v>25683</v>
      </c>
      <c r="GJ440">
        <v>29380.1</v>
      </c>
      <c r="GK440">
        <v>29294.8</v>
      </c>
      <c r="GL440">
        <v>35466.4</v>
      </c>
      <c r="GM440">
        <v>36997.4</v>
      </c>
      <c r="GN440">
        <v>41353</v>
      </c>
      <c r="GO440">
        <v>41815.5</v>
      </c>
      <c r="GP440">
        <v>1.9674</v>
      </c>
      <c r="GQ440">
        <v>1.85767</v>
      </c>
      <c r="GR440">
        <v>-0.00432134</v>
      </c>
      <c r="GS440">
        <v>0</v>
      </c>
      <c r="GT440">
        <v>25.0611</v>
      </c>
      <c r="GU440">
        <v>999.9</v>
      </c>
      <c r="GV440">
        <v>29.4</v>
      </c>
      <c r="GW440">
        <v>34.2</v>
      </c>
      <c r="GX440">
        <v>17.6677</v>
      </c>
      <c r="GY440">
        <v>62.5476</v>
      </c>
      <c r="GZ440">
        <v>35.1082</v>
      </c>
      <c r="HA440">
        <v>1</v>
      </c>
      <c r="HB440">
        <v>0.0396646</v>
      </c>
      <c r="HC440">
        <v>1.44163</v>
      </c>
      <c r="HD440">
        <v>20.3283</v>
      </c>
      <c r="HE440">
        <v>5.21639</v>
      </c>
      <c r="HF440">
        <v>12.0099</v>
      </c>
      <c r="HG440">
        <v>4.98875</v>
      </c>
      <c r="HH440">
        <v>3.28848</v>
      </c>
      <c r="HI440">
        <v>1036.6</v>
      </c>
      <c r="HJ440">
        <v>9770.4</v>
      </c>
      <c r="HK440">
        <v>5139.4</v>
      </c>
      <c r="HL440">
        <v>25.4</v>
      </c>
      <c r="HM440">
        <v>1.86743</v>
      </c>
      <c r="HN440">
        <v>1.86646</v>
      </c>
      <c r="HO440">
        <v>1.86599</v>
      </c>
      <c r="HP440">
        <v>1.86584</v>
      </c>
      <c r="HQ440">
        <v>1.86768</v>
      </c>
      <c r="HR440">
        <v>1.87018</v>
      </c>
      <c r="HS440">
        <v>1.8689</v>
      </c>
      <c r="HT440">
        <v>1.87022</v>
      </c>
      <c r="HU440">
        <v>0</v>
      </c>
      <c r="HV440">
        <v>0</v>
      </c>
      <c r="HW440">
        <v>0</v>
      </c>
      <c r="HX440">
        <v>0</v>
      </c>
      <c r="HY440" t="s">
        <v>421</v>
      </c>
      <c r="HZ440" t="s">
        <v>422</v>
      </c>
      <c r="IA440" t="s">
        <v>423</v>
      </c>
      <c r="IB440" t="s">
        <v>423</v>
      </c>
      <c r="IC440" t="s">
        <v>423</v>
      </c>
      <c r="ID440" t="s">
        <v>423</v>
      </c>
      <c r="IE440">
        <v>0</v>
      </c>
      <c r="IF440">
        <v>100</v>
      </c>
      <c r="IG440">
        <v>100</v>
      </c>
      <c r="IH440">
        <v>-2.18</v>
      </c>
      <c r="II440">
        <v>0.0228</v>
      </c>
      <c r="IJ440">
        <v>-0.1559367209035702</v>
      </c>
      <c r="IK440">
        <v>-0.002077099775823331</v>
      </c>
      <c r="IL440">
        <v>4.593143279902166E-07</v>
      </c>
      <c r="IM440">
        <v>-1.865383991892071E-10</v>
      </c>
      <c r="IN440">
        <v>-0.0607165066849496</v>
      </c>
      <c r="IO440">
        <v>-0.01129461987421345</v>
      </c>
      <c r="IP440">
        <v>0.00116580895745559</v>
      </c>
      <c r="IQ440">
        <v>-1.679085872906199E-05</v>
      </c>
      <c r="IR440">
        <v>2</v>
      </c>
      <c r="IS440">
        <v>2290</v>
      </c>
      <c r="IT440">
        <v>0</v>
      </c>
      <c r="IU440">
        <v>32</v>
      </c>
      <c r="IV440">
        <v>18.4</v>
      </c>
      <c r="IW440">
        <v>18.2</v>
      </c>
      <c r="IX440">
        <v>2.41821</v>
      </c>
      <c r="IY440">
        <v>2.1875</v>
      </c>
      <c r="IZ440">
        <v>1.39648</v>
      </c>
      <c r="JA440">
        <v>2.35474</v>
      </c>
      <c r="JB440">
        <v>1.49536</v>
      </c>
      <c r="JC440">
        <v>2.28638</v>
      </c>
      <c r="JD440">
        <v>38.0377</v>
      </c>
      <c r="JE440">
        <v>24.035</v>
      </c>
      <c r="JF440">
        <v>18</v>
      </c>
      <c r="JG440">
        <v>512.064</v>
      </c>
      <c r="JH440">
        <v>427.624</v>
      </c>
      <c r="JI440">
        <v>23.1834</v>
      </c>
      <c r="JJ440">
        <v>27.8326</v>
      </c>
      <c r="JK440">
        <v>29.9999</v>
      </c>
      <c r="JL440">
        <v>27.8395</v>
      </c>
      <c r="JM440">
        <v>27.7826</v>
      </c>
      <c r="JN440">
        <v>48.4297</v>
      </c>
      <c r="JO440">
        <v>45.4379</v>
      </c>
      <c r="JP440">
        <v>0</v>
      </c>
      <c r="JQ440">
        <v>23.1903</v>
      </c>
      <c r="JR440">
        <v>1209.08</v>
      </c>
      <c r="JS440">
        <v>9.312670000000001</v>
      </c>
      <c r="JT440">
        <v>100.426</v>
      </c>
      <c r="JU440">
        <v>100.357</v>
      </c>
    </row>
    <row r="441" spans="1:281">
      <c r="A441">
        <v>425</v>
      </c>
      <c r="B441">
        <v>1651866613</v>
      </c>
      <c r="C441">
        <v>2392.400000095367</v>
      </c>
      <c r="D441" t="s">
        <v>1273</v>
      </c>
      <c r="E441" t="s">
        <v>1274</v>
      </c>
      <c r="F441">
        <v>2</v>
      </c>
      <c r="G441" t="s">
        <v>908</v>
      </c>
      <c r="H441" t="s">
        <v>414</v>
      </c>
      <c r="I441">
        <v>1651866611.625</v>
      </c>
      <c r="J441">
        <f>(K441)/1000</f>
        <v>0</v>
      </c>
      <c r="K441">
        <f>IF(CZ441, AN441, AH441)</f>
        <v>0</v>
      </c>
      <c r="L441">
        <f>IF(CZ441, AI441, AG441)</f>
        <v>0</v>
      </c>
      <c r="M441">
        <f>DB441 - IF(AU441&gt;1, L441*CV441*100.0/(AW441*DP441), 0)</f>
        <v>0</v>
      </c>
      <c r="N441">
        <f>((T441-J441/2)*M441-L441)/(T441+J441/2)</f>
        <v>0</v>
      </c>
      <c r="O441">
        <f>N441*(DI441+DJ441)/1000.0</f>
        <v>0</v>
      </c>
      <c r="P441">
        <f>(DB441 - IF(AU441&gt;1, L441*CV441*100.0/(AW441*DP441), 0))*(DI441+DJ441)/1000.0</f>
        <v>0</v>
      </c>
      <c r="Q441">
        <f>2.0/((1/S441-1/R441)+SIGN(S441)*SQRT((1/S441-1/R441)*(1/S441-1/R441) + 4*CW441/((CW441+1)*(CW441+1))*(2*1/S441*1/R441-1/R441*1/R441)))</f>
        <v>0</v>
      </c>
      <c r="R441">
        <f>IF(LEFT(CX441,1)&lt;&gt;"0",IF(LEFT(CX441,1)="1",3.0,CY441),$D$5+$E$5*(DP441*DI441/($K$5*1000))+$F$5*(DP441*DI441/($K$5*1000))*MAX(MIN(CV441,$J$5),$I$5)*MAX(MIN(CV441,$J$5),$I$5)+$G$5*MAX(MIN(CV441,$J$5),$I$5)*(DP441*DI441/($K$5*1000))+$H$5*(DP441*DI441/($K$5*1000))*(DP441*DI441/($K$5*1000)))</f>
        <v>0</v>
      </c>
      <c r="S441">
        <f>J441*(1000-(1000*0.61365*exp(17.502*W441/(240.97+W441))/(DI441+DJ441)+DD441)/2)/(1000*0.61365*exp(17.502*W441/(240.97+W441))/(DI441+DJ441)-DD441)</f>
        <v>0</v>
      </c>
      <c r="T441">
        <f>1/((CW441+1)/(Q441/1.6)+1/(R441/1.37)) + CW441/((CW441+1)/(Q441/1.6) + CW441/(R441/1.37))</f>
        <v>0</v>
      </c>
      <c r="U441">
        <f>(CR441*CU441)</f>
        <v>0</v>
      </c>
      <c r="V441">
        <f>(DK441+(U441+2*0.95*5.67E-8*(((DK441+$B$7)+273)^4-(DK441+273)^4)-44100*J441)/(1.84*29.3*R441+8*0.95*5.67E-8*(DK441+273)^3))</f>
        <v>0</v>
      </c>
      <c r="W441">
        <f>($C$7*DL441+$D$7*DM441+$E$7*V441)</f>
        <v>0</v>
      </c>
      <c r="X441">
        <f>0.61365*exp(17.502*W441/(240.97+W441))</f>
        <v>0</v>
      </c>
      <c r="Y441">
        <f>(Z441/AA441*100)</f>
        <v>0</v>
      </c>
      <c r="Z441">
        <f>DD441*(DI441+DJ441)/1000</f>
        <v>0</v>
      </c>
      <c r="AA441">
        <f>0.61365*exp(17.502*DK441/(240.97+DK441))</f>
        <v>0</v>
      </c>
      <c r="AB441">
        <f>(X441-DD441*(DI441+DJ441)/1000)</f>
        <v>0</v>
      </c>
      <c r="AC441">
        <f>(-J441*44100)</f>
        <v>0</v>
      </c>
      <c r="AD441">
        <f>2*29.3*R441*0.92*(DK441-W441)</f>
        <v>0</v>
      </c>
      <c r="AE441">
        <f>2*0.95*5.67E-8*(((DK441+$B$7)+273)^4-(W441+273)^4)</f>
        <v>0</v>
      </c>
      <c r="AF441">
        <f>U441+AE441+AC441+AD441</f>
        <v>0</v>
      </c>
      <c r="AG441">
        <f>DH441*AU441*(DC441-DB441*(1000-AU441*DE441)/(1000-AU441*DD441))/(100*CV441)</f>
        <v>0</v>
      </c>
      <c r="AH441">
        <f>1000*DH441*AU441*(DD441-DE441)/(100*CV441*(1000-AU441*DD441))</f>
        <v>0</v>
      </c>
      <c r="AI441">
        <f>(AJ441 - AK441 - DI441*1E3/(8.314*(DK441+273.15)) * AM441/DH441 * AL441) * DH441/(100*CV441) * (1000 - DE441)/1000</f>
        <v>0</v>
      </c>
      <c r="AJ441">
        <v>1198.654852726685</v>
      </c>
      <c r="AK441">
        <v>1151.446181818182</v>
      </c>
      <c r="AL441">
        <v>3.376114614392024</v>
      </c>
      <c r="AM441">
        <v>66.38195617057868</v>
      </c>
      <c r="AN441">
        <f>(AP441 - AO441 + DI441*1E3/(8.314*(DK441+273.15)) * AR441/DH441 * AQ441) * DH441/(100*CV441) * 1000/(1000 - AP441)</f>
        <v>0</v>
      </c>
      <c r="AO441">
        <v>9.178241815067373</v>
      </c>
      <c r="AP441">
        <v>18.5001638235294</v>
      </c>
      <c r="AQ441">
        <v>-0.0007501249800592199</v>
      </c>
      <c r="AR441">
        <v>80.47178418790507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MAX(0,($B$13+$C$13*DP441)/(1+$D$13*DP441)*DI441/(DK441+273)*$E$13)</f>
        <v>0</v>
      </c>
      <c r="AX441" t="s">
        <v>417</v>
      </c>
      <c r="AY441" t="s">
        <v>417</v>
      </c>
      <c r="AZ441">
        <v>0</v>
      </c>
      <c r="BA441">
        <v>0</v>
      </c>
      <c r="BB441">
        <f>1-AZ441/BA441</f>
        <v>0</v>
      </c>
      <c r="BC441">
        <v>0</v>
      </c>
      <c r="BD441" t="s">
        <v>417</v>
      </c>
      <c r="BE441" t="s">
        <v>417</v>
      </c>
      <c r="BF441">
        <v>0</v>
      </c>
      <c r="BG441">
        <v>0</v>
      </c>
      <c r="BH441">
        <f>1-BF441/BG441</f>
        <v>0</v>
      </c>
      <c r="BI441">
        <v>0.5</v>
      </c>
      <c r="BJ441">
        <f>CS441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417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BZ441">
        <v>1249</v>
      </c>
      <c r="CA441">
        <v>300</v>
      </c>
      <c r="CB441">
        <v>300</v>
      </c>
      <c r="CC441">
        <v>300</v>
      </c>
      <c r="CD441">
        <v>10442.4</v>
      </c>
      <c r="CE441">
        <v>1239.69</v>
      </c>
      <c r="CF441">
        <v>-0.00735276</v>
      </c>
      <c r="CG441">
        <v>0.07000000000000001</v>
      </c>
      <c r="CH441" t="s">
        <v>417</v>
      </c>
      <c r="CI441" t="s">
        <v>417</v>
      </c>
      <c r="CJ441" t="s">
        <v>417</v>
      </c>
      <c r="CK441" t="s">
        <v>417</v>
      </c>
      <c r="CL441" t="s">
        <v>417</v>
      </c>
      <c r="CM441" t="s">
        <v>417</v>
      </c>
      <c r="CN441" t="s">
        <v>417</v>
      </c>
      <c r="CO441" t="s">
        <v>417</v>
      </c>
      <c r="CP441" t="s">
        <v>417</v>
      </c>
      <c r="CQ441" t="s">
        <v>417</v>
      </c>
      <c r="CR441">
        <f>$B$11*DQ441+$C$11*DR441+$F$11*EC441*(1-EF441)</f>
        <v>0</v>
      </c>
      <c r="CS441">
        <f>CR441*CT441</f>
        <v>0</v>
      </c>
      <c r="CT441">
        <f>($B$11*$D$9+$C$11*$D$9+$F$11*((EP441+EH441)/MAX(EP441+EH441+EQ441, 0.1)*$I$9+EQ441/MAX(EP441+EH441+EQ441, 0.1)*$J$9))/($B$11+$C$11+$F$11)</f>
        <v>0</v>
      </c>
      <c r="CU441">
        <f>($B$11*$K$9+$C$11*$K$9+$F$11*((EP441+EH441)/MAX(EP441+EH441+EQ441, 0.1)*$P$9+EQ441/MAX(EP441+EH441+EQ441, 0.1)*$Q$9))/($B$11+$C$11+$F$11)</f>
        <v>0</v>
      </c>
      <c r="CV441">
        <v>6</v>
      </c>
      <c r="CW441">
        <v>0.5</v>
      </c>
      <c r="CX441" t="s">
        <v>418</v>
      </c>
      <c r="CY441">
        <v>2</v>
      </c>
      <c r="CZ441" t="b">
        <v>1</v>
      </c>
      <c r="DA441">
        <v>1651866611.625</v>
      </c>
      <c r="DB441">
        <v>1127.2625</v>
      </c>
      <c r="DC441">
        <v>1192.13</v>
      </c>
      <c r="DD441">
        <v>18.50225</v>
      </c>
      <c r="DE441">
        <v>9.196895</v>
      </c>
      <c r="DF441">
        <v>1129.4425</v>
      </c>
      <c r="DG441">
        <v>18.479525</v>
      </c>
      <c r="DH441">
        <v>500.09175</v>
      </c>
      <c r="DI441">
        <v>89.90844999999999</v>
      </c>
      <c r="DJ441">
        <v>0.09996722500000001</v>
      </c>
      <c r="DK441">
        <v>25.92035</v>
      </c>
      <c r="DL441">
        <v>24.99335</v>
      </c>
      <c r="DM441">
        <v>999.9</v>
      </c>
      <c r="DN441">
        <v>0</v>
      </c>
      <c r="DO441">
        <v>0</v>
      </c>
      <c r="DP441">
        <v>9999.387500000001</v>
      </c>
      <c r="DQ441">
        <v>0</v>
      </c>
      <c r="DR441">
        <v>3.20383</v>
      </c>
      <c r="DS441">
        <v>-64.87372500000001</v>
      </c>
      <c r="DT441">
        <v>1148.51</v>
      </c>
      <c r="DU441">
        <v>1203.1975</v>
      </c>
      <c r="DV441">
        <v>9.305362500000001</v>
      </c>
      <c r="DW441">
        <v>1192.13</v>
      </c>
      <c r="DX441">
        <v>9.196895</v>
      </c>
      <c r="DY441">
        <v>1.66351</v>
      </c>
      <c r="DZ441">
        <v>0.82687825</v>
      </c>
      <c r="EA441">
        <v>14.56005</v>
      </c>
      <c r="EB441">
        <v>4.17729</v>
      </c>
      <c r="EC441">
        <v>1500.0625</v>
      </c>
      <c r="ED441">
        <v>0.972992</v>
      </c>
      <c r="EE441">
        <v>0.027008</v>
      </c>
      <c r="EF441">
        <v>0</v>
      </c>
      <c r="EG441">
        <v>902.6405000000001</v>
      </c>
      <c r="EH441">
        <v>5.00097</v>
      </c>
      <c r="EI441">
        <v>13424.025</v>
      </c>
      <c r="EJ441">
        <v>12492.075</v>
      </c>
      <c r="EK441">
        <v>37.75</v>
      </c>
      <c r="EL441">
        <v>39</v>
      </c>
      <c r="EM441">
        <v>38.125</v>
      </c>
      <c r="EN441">
        <v>38.625</v>
      </c>
      <c r="EO441">
        <v>38.5935</v>
      </c>
      <c r="EP441">
        <v>1454.6825</v>
      </c>
      <c r="EQ441">
        <v>40.38</v>
      </c>
      <c r="ER441">
        <v>0</v>
      </c>
      <c r="ES441">
        <v>1130.600000143051</v>
      </c>
      <c r="ET441">
        <v>0</v>
      </c>
      <c r="EU441">
        <v>903.7070400000001</v>
      </c>
      <c r="EV441">
        <v>-12.59707690336687</v>
      </c>
      <c r="EW441">
        <v>-177.3307689411679</v>
      </c>
      <c r="EX441">
        <v>13440.884</v>
      </c>
      <c r="EY441">
        <v>15</v>
      </c>
      <c r="EZ441">
        <v>1651865518.1</v>
      </c>
      <c r="FA441" t="s">
        <v>910</v>
      </c>
      <c r="FB441">
        <v>1651865507.1</v>
      </c>
      <c r="FC441">
        <v>1651865518.1</v>
      </c>
      <c r="FD441">
        <v>8</v>
      </c>
      <c r="FE441">
        <v>0.06</v>
      </c>
      <c r="FF441">
        <v>0</v>
      </c>
      <c r="FG441">
        <v>-0.927</v>
      </c>
      <c r="FH441">
        <v>-0.062</v>
      </c>
      <c r="FI441">
        <v>400</v>
      </c>
      <c r="FJ441">
        <v>11</v>
      </c>
      <c r="FK441">
        <v>0.11</v>
      </c>
      <c r="FL441">
        <v>0.01</v>
      </c>
      <c r="FM441">
        <v>-64.8704780487805</v>
      </c>
      <c r="FN441">
        <v>-1.068924041811856</v>
      </c>
      <c r="FO441">
        <v>0.1456267707099625</v>
      </c>
      <c r="FP441">
        <v>-1</v>
      </c>
      <c r="FQ441">
        <v>9.419134146341463</v>
      </c>
      <c r="FR441">
        <v>-0.5918719860627136</v>
      </c>
      <c r="FS441">
        <v>0.06130443062711834</v>
      </c>
      <c r="FT441">
        <v>-1</v>
      </c>
      <c r="FU441">
        <v>0</v>
      </c>
      <c r="FV441">
        <v>0</v>
      </c>
      <c r="FW441">
        <v>0</v>
      </c>
      <c r="FX441">
        <v>-1</v>
      </c>
      <c r="FY441">
        <v>0</v>
      </c>
      <c r="FZ441">
        <v>0</v>
      </c>
      <c r="GA441" t="s">
        <v>420</v>
      </c>
      <c r="GB441">
        <v>2.98163</v>
      </c>
      <c r="GC441">
        <v>2.70617</v>
      </c>
      <c r="GD441">
        <v>0.18535</v>
      </c>
      <c r="GE441">
        <v>0.189734</v>
      </c>
      <c r="GF441">
        <v>0.08830780000000001</v>
      </c>
      <c r="GG441">
        <v>0.0520271</v>
      </c>
      <c r="GH441">
        <v>25745.4</v>
      </c>
      <c r="GI441">
        <v>25661.8</v>
      </c>
      <c r="GJ441">
        <v>29380.5</v>
      </c>
      <c r="GK441">
        <v>29295</v>
      </c>
      <c r="GL441">
        <v>35467.6</v>
      </c>
      <c r="GM441">
        <v>36995.5</v>
      </c>
      <c r="GN441">
        <v>41353.6</v>
      </c>
      <c r="GO441">
        <v>41815.8</v>
      </c>
      <c r="GP441">
        <v>1.9674</v>
      </c>
      <c r="GQ441">
        <v>1.85785</v>
      </c>
      <c r="GR441">
        <v>-0.00394881</v>
      </c>
      <c r="GS441">
        <v>0</v>
      </c>
      <c r="GT441">
        <v>25.06</v>
      </c>
      <c r="GU441">
        <v>999.9</v>
      </c>
      <c r="GV441">
        <v>29.4</v>
      </c>
      <c r="GW441">
        <v>34.2</v>
      </c>
      <c r="GX441">
        <v>17.6668</v>
      </c>
      <c r="GY441">
        <v>62.4676</v>
      </c>
      <c r="GZ441">
        <v>35.2123</v>
      </c>
      <c r="HA441">
        <v>1</v>
      </c>
      <c r="HB441">
        <v>0.0396316</v>
      </c>
      <c r="HC441">
        <v>1.43063</v>
      </c>
      <c r="HD441">
        <v>20.3284</v>
      </c>
      <c r="HE441">
        <v>5.21624</v>
      </c>
      <c r="HF441">
        <v>12.0099</v>
      </c>
      <c r="HG441">
        <v>4.9892</v>
      </c>
      <c r="HH441">
        <v>3.2885</v>
      </c>
      <c r="HI441">
        <v>1036.6</v>
      </c>
      <c r="HJ441">
        <v>9770.4</v>
      </c>
      <c r="HK441">
        <v>5139.4</v>
      </c>
      <c r="HL441">
        <v>25.4</v>
      </c>
      <c r="HM441">
        <v>1.86742</v>
      </c>
      <c r="HN441">
        <v>1.86646</v>
      </c>
      <c r="HO441">
        <v>1.866</v>
      </c>
      <c r="HP441">
        <v>1.86584</v>
      </c>
      <c r="HQ441">
        <v>1.86768</v>
      </c>
      <c r="HR441">
        <v>1.87018</v>
      </c>
      <c r="HS441">
        <v>1.8689</v>
      </c>
      <c r="HT441">
        <v>1.87022</v>
      </c>
      <c r="HU441">
        <v>0</v>
      </c>
      <c r="HV441">
        <v>0</v>
      </c>
      <c r="HW441">
        <v>0</v>
      </c>
      <c r="HX441">
        <v>0</v>
      </c>
      <c r="HY441" t="s">
        <v>421</v>
      </c>
      <c r="HZ441" t="s">
        <v>422</v>
      </c>
      <c r="IA441" t="s">
        <v>423</v>
      </c>
      <c r="IB441" t="s">
        <v>423</v>
      </c>
      <c r="IC441" t="s">
        <v>423</v>
      </c>
      <c r="ID441" t="s">
        <v>423</v>
      </c>
      <c r="IE441">
        <v>0</v>
      </c>
      <c r="IF441">
        <v>100</v>
      </c>
      <c r="IG441">
        <v>100</v>
      </c>
      <c r="IH441">
        <v>-2.19</v>
      </c>
      <c r="II441">
        <v>0.0227</v>
      </c>
      <c r="IJ441">
        <v>-0.1559367209035702</v>
      </c>
      <c r="IK441">
        <v>-0.002077099775823331</v>
      </c>
      <c r="IL441">
        <v>4.593143279902166E-07</v>
      </c>
      <c r="IM441">
        <v>-1.865383991892071E-10</v>
      </c>
      <c r="IN441">
        <v>-0.0607165066849496</v>
      </c>
      <c r="IO441">
        <v>-0.01129461987421345</v>
      </c>
      <c r="IP441">
        <v>0.00116580895745559</v>
      </c>
      <c r="IQ441">
        <v>-1.679085872906199E-05</v>
      </c>
      <c r="IR441">
        <v>2</v>
      </c>
      <c r="IS441">
        <v>2290</v>
      </c>
      <c r="IT441">
        <v>0</v>
      </c>
      <c r="IU441">
        <v>32</v>
      </c>
      <c r="IV441">
        <v>18.4</v>
      </c>
      <c r="IW441">
        <v>18.2</v>
      </c>
      <c r="IX441">
        <v>2.4292</v>
      </c>
      <c r="IY441">
        <v>2.18262</v>
      </c>
      <c r="IZ441">
        <v>1.39648</v>
      </c>
      <c r="JA441">
        <v>2.35474</v>
      </c>
      <c r="JB441">
        <v>1.49536</v>
      </c>
      <c r="JC441">
        <v>2.29858</v>
      </c>
      <c r="JD441">
        <v>38.0134</v>
      </c>
      <c r="JE441">
        <v>24.0437</v>
      </c>
      <c r="JF441">
        <v>18</v>
      </c>
      <c r="JG441">
        <v>512.064</v>
      </c>
      <c r="JH441">
        <v>427.72</v>
      </c>
      <c r="JI441">
        <v>23.1856</v>
      </c>
      <c r="JJ441">
        <v>27.8326</v>
      </c>
      <c r="JK441">
        <v>29.9999</v>
      </c>
      <c r="JL441">
        <v>27.8395</v>
      </c>
      <c r="JM441">
        <v>27.7814</v>
      </c>
      <c r="JN441">
        <v>48.6371</v>
      </c>
      <c r="JO441">
        <v>45.1618</v>
      </c>
      <c r="JP441">
        <v>0</v>
      </c>
      <c r="JQ441">
        <v>23.1903</v>
      </c>
      <c r="JR441">
        <v>1215.77</v>
      </c>
      <c r="JS441">
        <v>9.342599999999999</v>
      </c>
      <c r="JT441">
        <v>100.428</v>
      </c>
      <c r="JU441">
        <v>100.358</v>
      </c>
    </row>
    <row r="442" spans="1:281">
      <c r="A442">
        <v>426</v>
      </c>
      <c r="B442">
        <v>1651866615</v>
      </c>
      <c r="C442">
        <v>2394.400000095367</v>
      </c>
      <c r="D442" t="s">
        <v>1275</v>
      </c>
      <c r="E442" t="s">
        <v>1276</v>
      </c>
      <c r="F442">
        <v>2</v>
      </c>
      <c r="G442" t="s">
        <v>908</v>
      </c>
      <c r="H442" t="s">
        <v>414</v>
      </c>
      <c r="I442">
        <v>1651866614</v>
      </c>
      <c r="J442">
        <f>(K442)/1000</f>
        <v>0</v>
      </c>
      <c r="K442">
        <f>IF(CZ442, AN442, AH442)</f>
        <v>0</v>
      </c>
      <c r="L442">
        <f>IF(CZ442, AI442, AG442)</f>
        <v>0</v>
      </c>
      <c r="M442">
        <f>DB442 - IF(AU442&gt;1, L442*CV442*100.0/(AW442*DP442), 0)</f>
        <v>0</v>
      </c>
      <c r="N442">
        <f>((T442-J442/2)*M442-L442)/(T442+J442/2)</f>
        <v>0</v>
      </c>
      <c r="O442">
        <f>N442*(DI442+DJ442)/1000.0</f>
        <v>0</v>
      </c>
      <c r="P442">
        <f>(DB442 - IF(AU442&gt;1, L442*CV442*100.0/(AW442*DP442), 0))*(DI442+DJ442)/1000.0</f>
        <v>0</v>
      </c>
      <c r="Q442">
        <f>2.0/((1/S442-1/R442)+SIGN(S442)*SQRT((1/S442-1/R442)*(1/S442-1/R442) + 4*CW442/((CW442+1)*(CW442+1))*(2*1/S442*1/R442-1/R442*1/R442)))</f>
        <v>0</v>
      </c>
      <c r="R442">
        <f>IF(LEFT(CX442,1)&lt;&gt;"0",IF(LEFT(CX442,1)="1",3.0,CY442),$D$5+$E$5*(DP442*DI442/($K$5*1000))+$F$5*(DP442*DI442/($K$5*1000))*MAX(MIN(CV442,$J$5),$I$5)*MAX(MIN(CV442,$J$5),$I$5)+$G$5*MAX(MIN(CV442,$J$5),$I$5)*(DP442*DI442/($K$5*1000))+$H$5*(DP442*DI442/($K$5*1000))*(DP442*DI442/($K$5*1000)))</f>
        <v>0</v>
      </c>
      <c r="S442">
        <f>J442*(1000-(1000*0.61365*exp(17.502*W442/(240.97+W442))/(DI442+DJ442)+DD442)/2)/(1000*0.61365*exp(17.502*W442/(240.97+W442))/(DI442+DJ442)-DD442)</f>
        <v>0</v>
      </c>
      <c r="T442">
        <f>1/((CW442+1)/(Q442/1.6)+1/(R442/1.37)) + CW442/((CW442+1)/(Q442/1.6) + CW442/(R442/1.37))</f>
        <v>0</v>
      </c>
      <c r="U442">
        <f>(CR442*CU442)</f>
        <v>0</v>
      </c>
      <c r="V442">
        <f>(DK442+(U442+2*0.95*5.67E-8*(((DK442+$B$7)+273)^4-(DK442+273)^4)-44100*J442)/(1.84*29.3*R442+8*0.95*5.67E-8*(DK442+273)^3))</f>
        <v>0</v>
      </c>
      <c r="W442">
        <f>($C$7*DL442+$D$7*DM442+$E$7*V442)</f>
        <v>0</v>
      </c>
      <c r="X442">
        <f>0.61365*exp(17.502*W442/(240.97+W442))</f>
        <v>0</v>
      </c>
      <c r="Y442">
        <f>(Z442/AA442*100)</f>
        <v>0</v>
      </c>
      <c r="Z442">
        <f>DD442*(DI442+DJ442)/1000</f>
        <v>0</v>
      </c>
      <c r="AA442">
        <f>0.61365*exp(17.502*DK442/(240.97+DK442))</f>
        <v>0</v>
      </c>
      <c r="AB442">
        <f>(X442-DD442*(DI442+DJ442)/1000)</f>
        <v>0</v>
      </c>
      <c r="AC442">
        <f>(-J442*44100)</f>
        <v>0</v>
      </c>
      <c r="AD442">
        <f>2*29.3*R442*0.92*(DK442-W442)</f>
        <v>0</v>
      </c>
      <c r="AE442">
        <f>2*0.95*5.67E-8*(((DK442+$B$7)+273)^4-(W442+273)^4)</f>
        <v>0</v>
      </c>
      <c r="AF442">
        <f>U442+AE442+AC442+AD442</f>
        <v>0</v>
      </c>
      <c r="AG442">
        <f>DH442*AU442*(DC442-DB442*(1000-AU442*DE442)/(1000-AU442*DD442))/(100*CV442)</f>
        <v>0</v>
      </c>
      <c r="AH442">
        <f>1000*DH442*AU442*(DD442-DE442)/(100*CV442*(1000-AU442*DD442))</f>
        <v>0</v>
      </c>
      <c r="AI442">
        <f>(AJ442 - AK442 - DI442*1E3/(8.314*(DK442+273.15)) * AM442/DH442 * AL442) * DH442/(100*CV442) * (1000 - DE442)/1000</f>
        <v>0</v>
      </c>
      <c r="AJ442">
        <v>1205.221355859021</v>
      </c>
      <c r="AK442">
        <v>1158.131151515151</v>
      </c>
      <c r="AL442">
        <v>3.347877290701622</v>
      </c>
      <c r="AM442">
        <v>66.38195617057868</v>
      </c>
      <c r="AN442">
        <f>(AP442 - AO442 + DI442*1E3/(8.314*(DK442+273.15)) * AR442/DH442 * AQ442) * DH442/(100*CV442) * 1000/(1000 - AP442)</f>
        <v>0</v>
      </c>
      <c r="AO442">
        <v>9.191311558254011</v>
      </c>
      <c r="AP442">
        <v>18.49447823529411</v>
      </c>
      <c r="AQ442">
        <v>-0.0005542876919221774</v>
      </c>
      <c r="AR442">
        <v>80.47178418790507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MAX(0,($B$13+$C$13*DP442)/(1+$D$13*DP442)*DI442/(DK442+273)*$E$13)</f>
        <v>0</v>
      </c>
      <c r="AX442" t="s">
        <v>417</v>
      </c>
      <c r="AY442" t="s">
        <v>417</v>
      </c>
      <c r="AZ442">
        <v>0</v>
      </c>
      <c r="BA442">
        <v>0</v>
      </c>
      <c r="BB442">
        <f>1-AZ442/BA442</f>
        <v>0</v>
      </c>
      <c r="BC442">
        <v>0</v>
      </c>
      <c r="BD442" t="s">
        <v>417</v>
      </c>
      <c r="BE442" t="s">
        <v>417</v>
      </c>
      <c r="BF442">
        <v>0</v>
      </c>
      <c r="BG442">
        <v>0</v>
      </c>
      <c r="BH442">
        <f>1-BF442/BG442</f>
        <v>0</v>
      </c>
      <c r="BI442">
        <v>0.5</v>
      </c>
      <c r="BJ442">
        <f>CS442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417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BZ442">
        <v>1249</v>
      </c>
      <c r="CA442">
        <v>300</v>
      </c>
      <c r="CB442">
        <v>300</v>
      </c>
      <c r="CC442">
        <v>300</v>
      </c>
      <c r="CD442">
        <v>10442.4</v>
      </c>
      <c r="CE442">
        <v>1239.69</v>
      </c>
      <c r="CF442">
        <v>-0.00735276</v>
      </c>
      <c r="CG442">
        <v>0.07000000000000001</v>
      </c>
      <c r="CH442" t="s">
        <v>417</v>
      </c>
      <c r="CI442" t="s">
        <v>417</v>
      </c>
      <c r="CJ442" t="s">
        <v>417</v>
      </c>
      <c r="CK442" t="s">
        <v>417</v>
      </c>
      <c r="CL442" t="s">
        <v>417</v>
      </c>
      <c r="CM442" t="s">
        <v>417</v>
      </c>
      <c r="CN442" t="s">
        <v>417</v>
      </c>
      <c r="CO442" t="s">
        <v>417</v>
      </c>
      <c r="CP442" t="s">
        <v>417</v>
      </c>
      <c r="CQ442" t="s">
        <v>417</v>
      </c>
      <c r="CR442">
        <f>$B$11*DQ442+$C$11*DR442+$F$11*EC442*(1-EF442)</f>
        <v>0</v>
      </c>
      <c r="CS442">
        <f>CR442*CT442</f>
        <v>0</v>
      </c>
      <c r="CT442">
        <f>($B$11*$D$9+$C$11*$D$9+$F$11*((EP442+EH442)/MAX(EP442+EH442+EQ442, 0.1)*$I$9+EQ442/MAX(EP442+EH442+EQ442, 0.1)*$J$9))/($B$11+$C$11+$F$11)</f>
        <v>0</v>
      </c>
      <c r="CU442">
        <f>($B$11*$K$9+$C$11*$K$9+$F$11*((EP442+EH442)/MAX(EP442+EH442+EQ442, 0.1)*$P$9+EQ442/MAX(EP442+EH442+EQ442, 0.1)*$Q$9))/($B$11+$C$11+$F$11)</f>
        <v>0</v>
      </c>
      <c r="CV442">
        <v>6</v>
      </c>
      <c r="CW442">
        <v>0.5</v>
      </c>
      <c r="CX442" t="s">
        <v>418</v>
      </c>
      <c r="CY442">
        <v>2</v>
      </c>
      <c r="CZ442" t="b">
        <v>1</v>
      </c>
      <c r="DA442">
        <v>1651866614</v>
      </c>
      <c r="DB442">
        <v>1135.066666666667</v>
      </c>
      <c r="DC442">
        <v>1200.12</v>
      </c>
      <c r="DD442">
        <v>18.49596666666666</v>
      </c>
      <c r="DE442">
        <v>9.212909999999999</v>
      </c>
      <c r="DF442">
        <v>1137.266666666667</v>
      </c>
      <c r="DG442">
        <v>18.47336666666667</v>
      </c>
      <c r="DH442">
        <v>499.9956666666667</v>
      </c>
      <c r="DI442">
        <v>89.90899999999999</v>
      </c>
      <c r="DJ442">
        <v>0.0998291</v>
      </c>
      <c r="DK442">
        <v>25.91906666666667</v>
      </c>
      <c r="DL442">
        <v>24.99696666666667</v>
      </c>
      <c r="DM442">
        <v>999.9</v>
      </c>
      <c r="DN442">
        <v>0</v>
      </c>
      <c r="DO442">
        <v>0</v>
      </c>
      <c r="DP442">
        <v>10015.03333333333</v>
      </c>
      <c r="DQ442">
        <v>0</v>
      </c>
      <c r="DR442">
        <v>3.20383</v>
      </c>
      <c r="DS442">
        <v>-65.04896666666667</v>
      </c>
      <c r="DT442">
        <v>1156.46</v>
      </c>
      <c r="DU442">
        <v>1211.28</v>
      </c>
      <c r="DV442">
        <v>9.283076666666666</v>
      </c>
      <c r="DW442">
        <v>1200.12</v>
      </c>
      <c r="DX442">
        <v>9.212909999999999</v>
      </c>
      <c r="DY442">
        <v>1.662953333333334</v>
      </c>
      <c r="DZ442">
        <v>0.8283239999999999</v>
      </c>
      <c r="EA442">
        <v>14.5549</v>
      </c>
      <c r="EB442">
        <v>4.202179999999999</v>
      </c>
      <c r="EC442">
        <v>1499.746666666667</v>
      </c>
      <c r="ED442">
        <v>0.973007</v>
      </c>
      <c r="EE442">
        <v>0.0269931</v>
      </c>
      <c r="EF442">
        <v>0</v>
      </c>
      <c r="EG442">
        <v>902.431</v>
      </c>
      <c r="EH442">
        <v>5.00097</v>
      </c>
      <c r="EI442">
        <v>13413.7</v>
      </c>
      <c r="EJ442">
        <v>12489.53333333333</v>
      </c>
      <c r="EK442">
        <v>37.687</v>
      </c>
      <c r="EL442">
        <v>39</v>
      </c>
      <c r="EM442">
        <v>38.125</v>
      </c>
      <c r="EN442">
        <v>38.625</v>
      </c>
      <c r="EO442">
        <v>38.562</v>
      </c>
      <c r="EP442">
        <v>1454.396666666667</v>
      </c>
      <c r="EQ442">
        <v>40.35</v>
      </c>
      <c r="ER442">
        <v>0</v>
      </c>
      <c r="ES442">
        <v>1132.400000095367</v>
      </c>
      <c r="ET442">
        <v>0</v>
      </c>
      <c r="EU442">
        <v>903.4226538461537</v>
      </c>
      <c r="EV442">
        <v>-11.74492309306865</v>
      </c>
      <c r="EW442">
        <v>-181.9042735796767</v>
      </c>
      <c r="EX442">
        <v>13436.29615384615</v>
      </c>
      <c r="EY442">
        <v>15</v>
      </c>
      <c r="EZ442">
        <v>1651865518.1</v>
      </c>
      <c r="FA442" t="s">
        <v>910</v>
      </c>
      <c r="FB442">
        <v>1651865507.1</v>
      </c>
      <c r="FC442">
        <v>1651865518.1</v>
      </c>
      <c r="FD442">
        <v>8</v>
      </c>
      <c r="FE442">
        <v>0.06</v>
      </c>
      <c r="FF442">
        <v>0</v>
      </c>
      <c r="FG442">
        <v>-0.927</v>
      </c>
      <c r="FH442">
        <v>-0.062</v>
      </c>
      <c r="FI442">
        <v>400</v>
      </c>
      <c r="FJ442">
        <v>11</v>
      </c>
      <c r="FK442">
        <v>0.11</v>
      </c>
      <c r="FL442">
        <v>0.01</v>
      </c>
      <c r="FM442">
        <v>-64.9109375</v>
      </c>
      <c r="FN442">
        <v>-0.7973099437146892</v>
      </c>
      <c r="FO442">
        <v>0.1306700667473233</v>
      </c>
      <c r="FP442">
        <v>-1</v>
      </c>
      <c r="FQ442">
        <v>9.39408375</v>
      </c>
      <c r="FR442">
        <v>-0.6923674671669916</v>
      </c>
      <c r="FS442">
        <v>0.06801730065532947</v>
      </c>
      <c r="FT442">
        <v>-1</v>
      </c>
      <c r="FU442">
        <v>0</v>
      </c>
      <c r="FV442">
        <v>0</v>
      </c>
      <c r="FW442">
        <v>0</v>
      </c>
      <c r="FX442">
        <v>-1</v>
      </c>
      <c r="FY442">
        <v>0</v>
      </c>
      <c r="FZ442">
        <v>0</v>
      </c>
      <c r="GA442" t="s">
        <v>420</v>
      </c>
      <c r="GB442">
        <v>2.98145</v>
      </c>
      <c r="GC442">
        <v>2.70615</v>
      </c>
      <c r="GD442">
        <v>0.186033</v>
      </c>
      <c r="GE442">
        <v>0.190409</v>
      </c>
      <c r="GF442">
        <v>0.08828320000000001</v>
      </c>
      <c r="GG442">
        <v>0.0521046</v>
      </c>
      <c r="GH442">
        <v>25724</v>
      </c>
      <c r="GI442">
        <v>25640.5</v>
      </c>
      <c r="GJ442">
        <v>29380.6</v>
      </c>
      <c r="GK442">
        <v>29295.1</v>
      </c>
      <c r="GL442">
        <v>35468.8</v>
      </c>
      <c r="GM442">
        <v>36992.6</v>
      </c>
      <c r="GN442">
        <v>41353.9</v>
      </c>
      <c r="GO442">
        <v>41815.9</v>
      </c>
      <c r="GP442">
        <v>1.96738</v>
      </c>
      <c r="GQ442">
        <v>1.85783</v>
      </c>
      <c r="GR442">
        <v>-0.00372529</v>
      </c>
      <c r="GS442">
        <v>0</v>
      </c>
      <c r="GT442">
        <v>25.0594</v>
      </c>
      <c r="GU442">
        <v>999.9</v>
      </c>
      <c r="GV442">
        <v>29.4</v>
      </c>
      <c r="GW442">
        <v>34.2</v>
      </c>
      <c r="GX442">
        <v>17.6676</v>
      </c>
      <c r="GY442">
        <v>62.3576</v>
      </c>
      <c r="GZ442">
        <v>35.5409</v>
      </c>
      <c r="HA442">
        <v>1</v>
      </c>
      <c r="HB442">
        <v>0.0395935</v>
      </c>
      <c r="HC442">
        <v>1.43005</v>
      </c>
      <c r="HD442">
        <v>20.3284</v>
      </c>
      <c r="HE442">
        <v>5.21624</v>
      </c>
      <c r="HF442">
        <v>12.0099</v>
      </c>
      <c r="HG442">
        <v>4.9889</v>
      </c>
      <c r="HH442">
        <v>3.28848</v>
      </c>
      <c r="HI442">
        <v>1036.6</v>
      </c>
      <c r="HJ442">
        <v>9770.4</v>
      </c>
      <c r="HK442">
        <v>5139.4</v>
      </c>
      <c r="HL442">
        <v>25.4</v>
      </c>
      <c r="HM442">
        <v>1.86744</v>
      </c>
      <c r="HN442">
        <v>1.86646</v>
      </c>
      <c r="HO442">
        <v>1.866</v>
      </c>
      <c r="HP442">
        <v>1.86585</v>
      </c>
      <c r="HQ442">
        <v>1.86768</v>
      </c>
      <c r="HR442">
        <v>1.87017</v>
      </c>
      <c r="HS442">
        <v>1.8689</v>
      </c>
      <c r="HT442">
        <v>1.87021</v>
      </c>
      <c r="HU442">
        <v>0</v>
      </c>
      <c r="HV442">
        <v>0</v>
      </c>
      <c r="HW442">
        <v>0</v>
      </c>
      <c r="HX442">
        <v>0</v>
      </c>
      <c r="HY442" t="s">
        <v>421</v>
      </c>
      <c r="HZ442" t="s">
        <v>422</v>
      </c>
      <c r="IA442" t="s">
        <v>423</v>
      </c>
      <c r="IB442" t="s">
        <v>423</v>
      </c>
      <c r="IC442" t="s">
        <v>423</v>
      </c>
      <c r="ID442" t="s">
        <v>423</v>
      </c>
      <c r="IE442">
        <v>0</v>
      </c>
      <c r="IF442">
        <v>100</v>
      </c>
      <c r="IG442">
        <v>100</v>
      </c>
      <c r="IH442">
        <v>-2.2</v>
      </c>
      <c r="II442">
        <v>0.0226</v>
      </c>
      <c r="IJ442">
        <v>-0.1559367209035702</v>
      </c>
      <c r="IK442">
        <v>-0.002077099775823331</v>
      </c>
      <c r="IL442">
        <v>4.593143279902166E-07</v>
      </c>
      <c r="IM442">
        <v>-1.865383991892071E-10</v>
      </c>
      <c r="IN442">
        <v>-0.0607165066849496</v>
      </c>
      <c r="IO442">
        <v>-0.01129461987421345</v>
      </c>
      <c r="IP442">
        <v>0.00116580895745559</v>
      </c>
      <c r="IQ442">
        <v>-1.679085872906199E-05</v>
      </c>
      <c r="IR442">
        <v>2</v>
      </c>
      <c r="IS442">
        <v>2290</v>
      </c>
      <c r="IT442">
        <v>0</v>
      </c>
      <c r="IU442">
        <v>32</v>
      </c>
      <c r="IV442">
        <v>18.5</v>
      </c>
      <c r="IW442">
        <v>18.3</v>
      </c>
      <c r="IX442">
        <v>2.44019</v>
      </c>
      <c r="IY442">
        <v>2.17896</v>
      </c>
      <c r="IZ442">
        <v>1.39648</v>
      </c>
      <c r="JA442">
        <v>2.35474</v>
      </c>
      <c r="JB442">
        <v>1.49536</v>
      </c>
      <c r="JC442">
        <v>2.34985</v>
      </c>
      <c r="JD442">
        <v>38.0377</v>
      </c>
      <c r="JE442">
        <v>24.0437</v>
      </c>
      <c r="JF442">
        <v>18</v>
      </c>
      <c r="JG442">
        <v>512.038</v>
      </c>
      <c r="JH442">
        <v>427.699</v>
      </c>
      <c r="JI442">
        <v>23.1888</v>
      </c>
      <c r="JJ442">
        <v>27.832</v>
      </c>
      <c r="JK442">
        <v>29.9999</v>
      </c>
      <c r="JL442">
        <v>27.8383</v>
      </c>
      <c r="JM442">
        <v>27.7807</v>
      </c>
      <c r="JN442">
        <v>48.8652</v>
      </c>
      <c r="JO442">
        <v>45.1618</v>
      </c>
      <c r="JP442">
        <v>0</v>
      </c>
      <c r="JQ442">
        <v>23.1939</v>
      </c>
      <c r="JR442">
        <v>1222.45</v>
      </c>
      <c r="JS442">
        <v>9.362959999999999</v>
      </c>
      <c r="JT442">
        <v>100.428</v>
      </c>
      <c r="JU442">
        <v>100.358</v>
      </c>
    </row>
    <row r="443" spans="1:281">
      <c r="A443">
        <v>427</v>
      </c>
      <c r="B443">
        <v>1651866617</v>
      </c>
      <c r="C443">
        <v>2396.400000095367</v>
      </c>
      <c r="D443" t="s">
        <v>1277</v>
      </c>
      <c r="E443" t="s">
        <v>1278</v>
      </c>
      <c r="F443">
        <v>2</v>
      </c>
      <c r="G443" t="s">
        <v>908</v>
      </c>
      <c r="H443" t="s">
        <v>414</v>
      </c>
      <c r="I443">
        <v>1651866615.625</v>
      </c>
      <c r="J443">
        <f>(K443)/1000</f>
        <v>0</v>
      </c>
      <c r="K443">
        <f>IF(CZ443, AN443, AH443)</f>
        <v>0</v>
      </c>
      <c r="L443">
        <f>IF(CZ443, AI443, AG443)</f>
        <v>0</v>
      </c>
      <c r="M443">
        <f>DB443 - IF(AU443&gt;1, L443*CV443*100.0/(AW443*DP443), 0)</f>
        <v>0</v>
      </c>
      <c r="N443">
        <f>((T443-J443/2)*M443-L443)/(T443+J443/2)</f>
        <v>0</v>
      </c>
      <c r="O443">
        <f>N443*(DI443+DJ443)/1000.0</f>
        <v>0</v>
      </c>
      <c r="P443">
        <f>(DB443 - IF(AU443&gt;1, L443*CV443*100.0/(AW443*DP443), 0))*(DI443+DJ443)/1000.0</f>
        <v>0</v>
      </c>
      <c r="Q443">
        <f>2.0/((1/S443-1/R443)+SIGN(S443)*SQRT((1/S443-1/R443)*(1/S443-1/R443) + 4*CW443/((CW443+1)*(CW443+1))*(2*1/S443*1/R443-1/R443*1/R443)))</f>
        <v>0</v>
      </c>
      <c r="R443">
        <f>IF(LEFT(CX443,1)&lt;&gt;"0",IF(LEFT(CX443,1)="1",3.0,CY443),$D$5+$E$5*(DP443*DI443/($K$5*1000))+$F$5*(DP443*DI443/($K$5*1000))*MAX(MIN(CV443,$J$5),$I$5)*MAX(MIN(CV443,$J$5),$I$5)+$G$5*MAX(MIN(CV443,$J$5),$I$5)*(DP443*DI443/($K$5*1000))+$H$5*(DP443*DI443/($K$5*1000))*(DP443*DI443/($K$5*1000)))</f>
        <v>0</v>
      </c>
      <c r="S443">
        <f>J443*(1000-(1000*0.61365*exp(17.502*W443/(240.97+W443))/(DI443+DJ443)+DD443)/2)/(1000*0.61365*exp(17.502*W443/(240.97+W443))/(DI443+DJ443)-DD443)</f>
        <v>0</v>
      </c>
      <c r="T443">
        <f>1/((CW443+1)/(Q443/1.6)+1/(R443/1.37)) + CW443/((CW443+1)/(Q443/1.6) + CW443/(R443/1.37))</f>
        <v>0</v>
      </c>
      <c r="U443">
        <f>(CR443*CU443)</f>
        <v>0</v>
      </c>
      <c r="V443">
        <f>(DK443+(U443+2*0.95*5.67E-8*(((DK443+$B$7)+273)^4-(DK443+273)^4)-44100*J443)/(1.84*29.3*R443+8*0.95*5.67E-8*(DK443+273)^3))</f>
        <v>0</v>
      </c>
      <c r="W443">
        <f>($C$7*DL443+$D$7*DM443+$E$7*V443)</f>
        <v>0</v>
      </c>
      <c r="X443">
        <f>0.61365*exp(17.502*W443/(240.97+W443))</f>
        <v>0</v>
      </c>
      <c r="Y443">
        <f>(Z443/AA443*100)</f>
        <v>0</v>
      </c>
      <c r="Z443">
        <f>DD443*(DI443+DJ443)/1000</f>
        <v>0</v>
      </c>
      <c r="AA443">
        <f>0.61365*exp(17.502*DK443/(240.97+DK443))</f>
        <v>0</v>
      </c>
      <c r="AB443">
        <f>(X443-DD443*(DI443+DJ443)/1000)</f>
        <v>0</v>
      </c>
      <c r="AC443">
        <f>(-J443*44100)</f>
        <v>0</v>
      </c>
      <c r="AD443">
        <f>2*29.3*R443*0.92*(DK443-W443)</f>
        <v>0</v>
      </c>
      <c r="AE443">
        <f>2*0.95*5.67E-8*(((DK443+$B$7)+273)^4-(W443+273)^4)</f>
        <v>0</v>
      </c>
      <c r="AF443">
        <f>U443+AE443+AC443+AD443</f>
        <v>0</v>
      </c>
      <c r="AG443">
        <f>DH443*AU443*(DC443-DB443*(1000-AU443*DE443)/(1000-AU443*DD443))/(100*CV443)</f>
        <v>0</v>
      </c>
      <c r="AH443">
        <f>1000*DH443*AU443*(DD443-DE443)/(100*CV443*(1000-AU443*DD443))</f>
        <v>0</v>
      </c>
      <c r="AI443">
        <f>(AJ443 - AK443 - DI443*1E3/(8.314*(DK443+273.15)) * AM443/DH443 * AL443) * DH443/(100*CV443) * (1000 - DE443)/1000</f>
        <v>0</v>
      </c>
      <c r="AJ443">
        <v>1212.099043574777</v>
      </c>
      <c r="AK443">
        <v>1164.81703030303</v>
      </c>
      <c r="AL443">
        <v>3.346241789845373</v>
      </c>
      <c r="AM443">
        <v>66.38195617057868</v>
      </c>
      <c r="AN443">
        <f>(AP443 - AO443 + DI443*1E3/(8.314*(DK443+273.15)) * AR443/DH443 * AQ443) * DH443/(100*CV443) * 1000/(1000 - AP443)</f>
        <v>0</v>
      </c>
      <c r="AO443">
        <v>9.201382272074584</v>
      </c>
      <c r="AP443">
        <v>18.48675911764706</v>
      </c>
      <c r="AQ443">
        <v>-0.0004251648849114966</v>
      </c>
      <c r="AR443">
        <v>80.47178418790507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MAX(0,($B$13+$C$13*DP443)/(1+$D$13*DP443)*DI443/(DK443+273)*$E$13)</f>
        <v>0</v>
      </c>
      <c r="AX443" t="s">
        <v>417</v>
      </c>
      <c r="AY443" t="s">
        <v>417</v>
      </c>
      <c r="AZ443">
        <v>0</v>
      </c>
      <c r="BA443">
        <v>0</v>
      </c>
      <c r="BB443">
        <f>1-AZ443/BA443</f>
        <v>0</v>
      </c>
      <c r="BC443">
        <v>0</v>
      </c>
      <c r="BD443" t="s">
        <v>417</v>
      </c>
      <c r="BE443" t="s">
        <v>417</v>
      </c>
      <c r="BF443">
        <v>0</v>
      </c>
      <c r="BG443">
        <v>0</v>
      </c>
      <c r="BH443">
        <f>1-BF443/BG443</f>
        <v>0</v>
      </c>
      <c r="BI443">
        <v>0.5</v>
      </c>
      <c r="BJ443">
        <f>CS443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417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BZ443">
        <v>1249</v>
      </c>
      <c r="CA443">
        <v>300</v>
      </c>
      <c r="CB443">
        <v>300</v>
      </c>
      <c r="CC443">
        <v>300</v>
      </c>
      <c r="CD443">
        <v>10442.4</v>
      </c>
      <c r="CE443">
        <v>1239.69</v>
      </c>
      <c r="CF443">
        <v>-0.00735276</v>
      </c>
      <c r="CG443">
        <v>0.07000000000000001</v>
      </c>
      <c r="CH443" t="s">
        <v>417</v>
      </c>
      <c r="CI443" t="s">
        <v>417</v>
      </c>
      <c r="CJ443" t="s">
        <v>417</v>
      </c>
      <c r="CK443" t="s">
        <v>417</v>
      </c>
      <c r="CL443" t="s">
        <v>417</v>
      </c>
      <c r="CM443" t="s">
        <v>417</v>
      </c>
      <c r="CN443" t="s">
        <v>417</v>
      </c>
      <c r="CO443" t="s">
        <v>417</v>
      </c>
      <c r="CP443" t="s">
        <v>417</v>
      </c>
      <c r="CQ443" t="s">
        <v>417</v>
      </c>
      <c r="CR443">
        <f>$B$11*DQ443+$C$11*DR443+$F$11*EC443*(1-EF443)</f>
        <v>0</v>
      </c>
      <c r="CS443">
        <f>CR443*CT443</f>
        <v>0</v>
      </c>
      <c r="CT443">
        <f>($B$11*$D$9+$C$11*$D$9+$F$11*((EP443+EH443)/MAX(EP443+EH443+EQ443, 0.1)*$I$9+EQ443/MAX(EP443+EH443+EQ443, 0.1)*$J$9))/($B$11+$C$11+$F$11)</f>
        <v>0</v>
      </c>
      <c r="CU443">
        <f>($B$11*$K$9+$C$11*$K$9+$F$11*((EP443+EH443)/MAX(EP443+EH443+EQ443, 0.1)*$P$9+EQ443/MAX(EP443+EH443+EQ443, 0.1)*$Q$9))/($B$11+$C$11+$F$11)</f>
        <v>0</v>
      </c>
      <c r="CV443">
        <v>6</v>
      </c>
      <c r="CW443">
        <v>0.5</v>
      </c>
      <c r="CX443" t="s">
        <v>418</v>
      </c>
      <c r="CY443">
        <v>2</v>
      </c>
      <c r="CZ443" t="b">
        <v>1</v>
      </c>
      <c r="DA443">
        <v>1651866615.625</v>
      </c>
      <c r="DB443">
        <v>1140.41</v>
      </c>
      <c r="DC443">
        <v>1205.8275</v>
      </c>
      <c r="DD443">
        <v>18.49005</v>
      </c>
      <c r="DE443">
        <v>9.231707500000001</v>
      </c>
      <c r="DF443">
        <v>1142.6175</v>
      </c>
      <c r="DG443">
        <v>18.4675</v>
      </c>
      <c r="DH443">
        <v>499.9845</v>
      </c>
      <c r="DI443">
        <v>89.909925</v>
      </c>
      <c r="DJ443">
        <v>0.099912825</v>
      </c>
      <c r="DK443">
        <v>25.9215</v>
      </c>
      <c r="DL443">
        <v>24.9983</v>
      </c>
      <c r="DM443">
        <v>999.9</v>
      </c>
      <c r="DN443">
        <v>0</v>
      </c>
      <c r="DO443">
        <v>0</v>
      </c>
      <c r="DP443">
        <v>10006.575</v>
      </c>
      <c r="DQ443">
        <v>0</v>
      </c>
      <c r="DR443">
        <v>3.20383</v>
      </c>
      <c r="DS443">
        <v>-65.412925</v>
      </c>
      <c r="DT443">
        <v>1161.895</v>
      </c>
      <c r="DU443">
        <v>1217.0625</v>
      </c>
      <c r="DV443">
        <v>9.258342499999999</v>
      </c>
      <c r="DW443">
        <v>1205.8275</v>
      </c>
      <c r="DX443">
        <v>9.231707500000001</v>
      </c>
      <c r="DY443">
        <v>1.6624375</v>
      </c>
      <c r="DZ443">
        <v>0.8300222500000001</v>
      </c>
      <c r="EA443">
        <v>14.55005</v>
      </c>
      <c r="EB443">
        <v>4.231375</v>
      </c>
      <c r="EC443">
        <v>1499.9875</v>
      </c>
      <c r="ED443">
        <v>0.97299575</v>
      </c>
      <c r="EE443">
        <v>0.027004275</v>
      </c>
      <c r="EF443">
        <v>0</v>
      </c>
      <c r="EG443">
        <v>901.9095</v>
      </c>
      <c r="EH443">
        <v>5.00097</v>
      </c>
      <c r="EI443">
        <v>13411.95</v>
      </c>
      <c r="EJ443">
        <v>12491.45</v>
      </c>
      <c r="EK443">
        <v>37.687</v>
      </c>
      <c r="EL443">
        <v>39</v>
      </c>
      <c r="EM443">
        <v>38.125</v>
      </c>
      <c r="EN443">
        <v>38.625</v>
      </c>
      <c r="EO443">
        <v>38.562</v>
      </c>
      <c r="EP443">
        <v>1454.615</v>
      </c>
      <c r="EQ443">
        <v>40.3725</v>
      </c>
      <c r="ER443">
        <v>0</v>
      </c>
      <c r="ES443">
        <v>1134.799999952316</v>
      </c>
      <c r="ET443">
        <v>0</v>
      </c>
      <c r="EU443">
        <v>902.9468461538461</v>
      </c>
      <c r="EV443">
        <v>-11.8984615440463</v>
      </c>
      <c r="EW443">
        <v>-178.7658119179139</v>
      </c>
      <c r="EX443">
        <v>13429.31153846154</v>
      </c>
      <c r="EY443">
        <v>15</v>
      </c>
      <c r="EZ443">
        <v>1651865518.1</v>
      </c>
      <c r="FA443" t="s">
        <v>910</v>
      </c>
      <c r="FB443">
        <v>1651865507.1</v>
      </c>
      <c r="FC443">
        <v>1651865518.1</v>
      </c>
      <c r="FD443">
        <v>8</v>
      </c>
      <c r="FE443">
        <v>0.06</v>
      </c>
      <c r="FF443">
        <v>0</v>
      </c>
      <c r="FG443">
        <v>-0.927</v>
      </c>
      <c r="FH443">
        <v>-0.062</v>
      </c>
      <c r="FI443">
        <v>400</v>
      </c>
      <c r="FJ443">
        <v>11</v>
      </c>
      <c r="FK443">
        <v>0.11</v>
      </c>
      <c r="FL443">
        <v>0.01</v>
      </c>
      <c r="FM443">
        <v>-64.93988536585367</v>
      </c>
      <c r="FN443">
        <v>-1.080169337979164</v>
      </c>
      <c r="FO443">
        <v>0.1599018838812366</v>
      </c>
      <c r="FP443">
        <v>-1</v>
      </c>
      <c r="FQ443">
        <v>9.38093487804878</v>
      </c>
      <c r="FR443">
        <v>-0.7207839721254335</v>
      </c>
      <c r="FS443">
        <v>0.07201788883874613</v>
      </c>
      <c r="FT443">
        <v>-1</v>
      </c>
      <c r="FU443">
        <v>0</v>
      </c>
      <c r="FV443">
        <v>0</v>
      </c>
      <c r="FW443">
        <v>0</v>
      </c>
      <c r="FX443">
        <v>-1</v>
      </c>
      <c r="FY443">
        <v>0</v>
      </c>
      <c r="FZ443">
        <v>0</v>
      </c>
      <c r="GA443" t="s">
        <v>420</v>
      </c>
      <c r="GB443">
        <v>2.98154</v>
      </c>
      <c r="GC443">
        <v>2.70604</v>
      </c>
      <c r="GD443">
        <v>0.186719</v>
      </c>
      <c r="GE443">
        <v>0.191105</v>
      </c>
      <c r="GF443">
        <v>0.0882648</v>
      </c>
      <c r="GG443">
        <v>0.0522196</v>
      </c>
      <c r="GH443">
        <v>25702.1</v>
      </c>
      <c r="GI443">
        <v>25618.5</v>
      </c>
      <c r="GJ443">
        <v>29380.4</v>
      </c>
      <c r="GK443">
        <v>29295.1</v>
      </c>
      <c r="GL443">
        <v>35469.3</v>
      </c>
      <c r="GM443">
        <v>36988.2</v>
      </c>
      <c r="GN443">
        <v>41353.6</v>
      </c>
      <c r="GO443">
        <v>41816</v>
      </c>
      <c r="GP443">
        <v>1.96758</v>
      </c>
      <c r="GQ443">
        <v>1.85758</v>
      </c>
      <c r="GR443">
        <v>-0.00361353</v>
      </c>
      <c r="GS443">
        <v>0</v>
      </c>
      <c r="GT443">
        <v>25.0584</v>
      </c>
      <c r="GU443">
        <v>999.9</v>
      </c>
      <c r="GV443">
        <v>29.4</v>
      </c>
      <c r="GW443">
        <v>34.2</v>
      </c>
      <c r="GX443">
        <v>17.6678</v>
      </c>
      <c r="GY443">
        <v>62.3976</v>
      </c>
      <c r="GZ443">
        <v>35.3566</v>
      </c>
      <c r="HA443">
        <v>1</v>
      </c>
      <c r="HB443">
        <v>0.0395249</v>
      </c>
      <c r="HC443">
        <v>1.43297</v>
      </c>
      <c r="HD443">
        <v>20.3284</v>
      </c>
      <c r="HE443">
        <v>5.21639</v>
      </c>
      <c r="HF443">
        <v>12.0099</v>
      </c>
      <c r="HG443">
        <v>4.98875</v>
      </c>
      <c r="HH443">
        <v>3.28848</v>
      </c>
      <c r="HI443">
        <v>1036.6</v>
      </c>
      <c r="HJ443">
        <v>9770.4</v>
      </c>
      <c r="HK443">
        <v>5139.4</v>
      </c>
      <c r="HL443">
        <v>25.4</v>
      </c>
      <c r="HM443">
        <v>1.86746</v>
      </c>
      <c r="HN443">
        <v>1.86646</v>
      </c>
      <c r="HO443">
        <v>1.866</v>
      </c>
      <c r="HP443">
        <v>1.86584</v>
      </c>
      <c r="HQ443">
        <v>1.86768</v>
      </c>
      <c r="HR443">
        <v>1.87018</v>
      </c>
      <c r="HS443">
        <v>1.8689</v>
      </c>
      <c r="HT443">
        <v>1.8702</v>
      </c>
      <c r="HU443">
        <v>0</v>
      </c>
      <c r="HV443">
        <v>0</v>
      </c>
      <c r="HW443">
        <v>0</v>
      </c>
      <c r="HX443">
        <v>0</v>
      </c>
      <c r="HY443" t="s">
        <v>421</v>
      </c>
      <c r="HZ443" t="s">
        <v>422</v>
      </c>
      <c r="IA443" t="s">
        <v>423</v>
      </c>
      <c r="IB443" t="s">
        <v>423</v>
      </c>
      <c r="IC443" t="s">
        <v>423</v>
      </c>
      <c r="ID443" t="s">
        <v>423</v>
      </c>
      <c r="IE443">
        <v>0</v>
      </c>
      <c r="IF443">
        <v>100</v>
      </c>
      <c r="IG443">
        <v>100</v>
      </c>
      <c r="IH443">
        <v>-2.22</v>
      </c>
      <c r="II443">
        <v>0.0225</v>
      </c>
      <c r="IJ443">
        <v>-0.1559367209035702</v>
      </c>
      <c r="IK443">
        <v>-0.002077099775823331</v>
      </c>
      <c r="IL443">
        <v>4.593143279902166E-07</v>
      </c>
      <c r="IM443">
        <v>-1.865383991892071E-10</v>
      </c>
      <c r="IN443">
        <v>-0.0607165066849496</v>
      </c>
      <c r="IO443">
        <v>-0.01129461987421345</v>
      </c>
      <c r="IP443">
        <v>0.00116580895745559</v>
      </c>
      <c r="IQ443">
        <v>-1.679085872906199E-05</v>
      </c>
      <c r="IR443">
        <v>2</v>
      </c>
      <c r="IS443">
        <v>2290</v>
      </c>
      <c r="IT443">
        <v>0</v>
      </c>
      <c r="IU443">
        <v>32</v>
      </c>
      <c r="IV443">
        <v>18.5</v>
      </c>
      <c r="IW443">
        <v>18.3</v>
      </c>
      <c r="IX443">
        <v>2.44995</v>
      </c>
      <c r="IY443">
        <v>2.1814</v>
      </c>
      <c r="IZ443">
        <v>1.39648</v>
      </c>
      <c r="JA443">
        <v>2.35474</v>
      </c>
      <c r="JB443">
        <v>1.49536</v>
      </c>
      <c r="JC443">
        <v>2.34253</v>
      </c>
      <c r="JD443">
        <v>38.0134</v>
      </c>
      <c r="JE443">
        <v>24.0437</v>
      </c>
      <c r="JF443">
        <v>18</v>
      </c>
      <c r="JG443">
        <v>512.158</v>
      </c>
      <c r="JH443">
        <v>427.55</v>
      </c>
      <c r="JI443">
        <v>23.1916</v>
      </c>
      <c r="JJ443">
        <v>27.8308</v>
      </c>
      <c r="JK443">
        <v>29.9998</v>
      </c>
      <c r="JL443">
        <v>27.8371</v>
      </c>
      <c r="JM443">
        <v>27.7807</v>
      </c>
      <c r="JN443">
        <v>49.0693</v>
      </c>
      <c r="JO443">
        <v>44.8598</v>
      </c>
      <c r="JP443">
        <v>0</v>
      </c>
      <c r="JQ443">
        <v>23.1939</v>
      </c>
      <c r="JR443">
        <v>1229.13</v>
      </c>
      <c r="JS443">
        <v>9.39264</v>
      </c>
      <c r="JT443">
        <v>100.427</v>
      </c>
      <c r="JU443">
        <v>100.359</v>
      </c>
    </row>
    <row r="444" spans="1:281">
      <c r="A444">
        <v>428</v>
      </c>
      <c r="B444">
        <v>1651866619</v>
      </c>
      <c r="C444">
        <v>2398.400000095367</v>
      </c>
      <c r="D444" t="s">
        <v>1279</v>
      </c>
      <c r="E444" t="s">
        <v>1280</v>
      </c>
      <c r="F444">
        <v>2</v>
      </c>
      <c r="G444" t="s">
        <v>908</v>
      </c>
      <c r="H444" t="s">
        <v>414</v>
      </c>
      <c r="I444">
        <v>1651866618</v>
      </c>
      <c r="J444">
        <f>(K444)/1000</f>
        <v>0</v>
      </c>
      <c r="K444">
        <f>IF(CZ444, AN444, AH444)</f>
        <v>0</v>
      </c>
      <c r="L444">
        <f>IF(CZ444, AI444, AG444)</f>
        <v>0</v>
      </c>
      <c r="M444">
        <f>DB444 - IF(AU444&gt;1, L444*CV444*100.0/(AW444*DP444), 0)</f>
        <v>0</v>
      </c>
      <c r="N444">
        <f>((T444-J444/2)*M444-L444)/(T444+J444/2)</f>
        <v>0</v>
      </c>
      <c r="O444">
        <f>N444*(DI444+DJ444)/1000.0</f>
        <v>0</v>
      </c>
      <c r="P444">
        <f>(DB444 - IF(AU444&gt;1, L444*CV444*100.0/(AW444*DP444), 0))*(DI444+DJ444)/1000.0</f>
        <v>0</v>
      </c>
      <c r="Q444">
        <f>2.0/((1/S444-1/R444)+SIGN(S444)*SQRT((1/S444-1/R444)*(1/S444-1/R444) + 4*CW444/((CW444+1)*(CW444+1))*(2*1/S444*1/R444-1/R444*1/R444)))</f>
        <v>0</v>
      </c>
      <c r="R444">
        <f>IF(LEFT(CX444,1)&lt;&gt;"0",IF(LEFT(CX444,1)="1",3.0,CY444),$D$5+$E$5*(DP444*DI444/($K$5*1000))+$F$5*(DP444*DI444/($K$5*1000))*MAX(MIN(CV444,$J$5),$I$5)*MAX(MIN(CV444,$J$5),$I$5)+$G$5*MAX(MIN(CV444,$J$5),$I$5)*(DP444*DI444/($K$5*1000))+$H$5*(DP444*DI444/($K$5*1000))*(DP444*DI444/($K$5*1000)))</f>
        <v>0</v>
      </c>
      <c r="S444">
        <f>J444*(1000-(1000*0.61365*exp(17.502*W444/(240.97+W444))/(DI444+DJ444)+DD444)/2)/(1000*0.61365*exp(17.502*W444/(240.97+W444))/(DI444+DJ444)-DD444)</f>
        <v>0</v>
      </c>
      <c r="T444">
        <f>1/((CW444+1)/(Q444/1.6)+1/(R444/1.37)) + CW444/((CW444+1)/(Q444/1.6) + CW444/(R444/1.37))</f>
        <v>0</v>
      </c>
      <c r="U444">
        <f>(CR444*CU444)</f>
        <v>0</v>
      </c>
      <c r="V444">
        <f>(DK444+(U444+2*0.95*5.67E-8*(((DK444+$B$7)+273)^4-(DK444+273)^4)-44100*J444)/(1.84*29.3*R444+8*0.95*5.67E-8*(DK444+273)^3))</f>
        <v>0</v>
      </c>
      <c r="W444">
        <f>($C$7*DL444+$D$7*DM444+$E$7*V444)</f>
        <v>0</v>
      </c>
      <c r="X444">
        <f>0.61365*exp(17.502*W444/(240.97+W444))</f>
        <v>0</v>
      </c>
      <c r="Y444">
        <f>(Z444/AA444*100)</f>
        <v>0</v>
      </c>
      <c r="Z444">
        <f>DD444*(DI444+DJ444)/1000</f>
        <v>0</v>
      </c>
      <c r="AA444">
        <f>0.61365*exp(17.502*DK444/(240.97+DK444))</f>
        <v>0</v>
      </c>
      <c r="AB444">
        <f>(X444-DD444*(DI444+DJ444)/1000)</f>
        <v>0</v>
      </c>
      <c r="AC444">
        <f>(-J444*44100)</f>
        <v>0</v>
      </c>
      <c r="AD444">
        <f>2*29.3*R444*0.92*(DK444-W444)</f>
        <v>0</v>
      </c>
      <c r="AE444">
        <f>2*0.95*5.67E-8*(((DK444+$B$7)+273)^4-(W444+273)^4)</f>
        <v>0</v>
      </c>
      <c r="AF444">
        <f>U444+AE444+AC444+AD444</f>
        <v>0</v>
      </c>
      <c r="AG444">
        <f>DH444*AU444*(DC444-DB444*(1000-AU444*DE444)/(1000-AU444*DD444))/(100*CV444)</f>
        <v>0</v>
      </c>
      <c r="AH444">
        <f>1000*DH444*AU444*(DD444-DE444)/(100*CV444*(1000-AU444*DD444))</f>
        <v>0</v>
      </c>
      <c r="AI444">
        <f>(AJ444 - AK444 - DI444*1E3/(8.314*(DK444+273.15)) * AM444/DH444 * AL444) * DH444/(100*CV444) * (1000 - DE444)/1000</f>
        <v>0</v>
      </c>
      <c r="AJ444">
        <v>1219.19464898284</v>
      </c>
      <c r="AK444">
        <v>1171.67290909091</v>
      </c>
      <c r="AL444">
        <v>3.395949112901816</v>
      </c>
      <c r="AM444">
        <v>66.38195617057868</v>
      </c>
      <c r="AN444">
        <f>(AP444 - AO444 + DI444*1E3/(8.314*(DK444+273.15)) * AR444/DH444 * AQ444) * DH444/(100*CV444) * 1000/(1000 - AP444)</f>
        <v>0</v>
      </c>
      <c r="AO444">
        <v>9.218208298051231</v>
      </c>
      <c r="AP444">
        <v>18.48137705882352</v>
      </c>
      <c r="AQ444">
        <v>-0.0005952990784017537</v>
      </c>
      <c r="AR444">
        <v>80.47178418790507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MAX(0,($B$13+$C$13*DP444)/(1+$D$13*DP444)*DI444/(DK444+273)*$E$13)</f>
        <v>0</v>
      </c>
      <c r="AX444" t="s">
        <v>417</v>
      </c>
      <c r="AY444" t="s">
        <v>417</v>
      </c>
      <c r="AZ444">
        <v>0</v>
      </c>
      <c r="BA444">
        <v>0</v>
      </c>
      <c r="BB444">
        <f>1-AZ444/BA444</f>
        <v>0</v>
      </c>
      <c r="BC444">
        <v>0</v>
      </c>
      <c r="BD444" t="s">
        <v>417</v>
      </c>
      <c r="BE444" t="s">
        <v>417</v>
      </c>
      <c r="BF444">
        <v>0</v>
      </c>
      <c r="BG444">
        <v>0</v>
      </c>
      <c r="BH444">
        <f>1-BF444/BG444</f>
        <v>0</v>
      </c>
      <c r="BI444">
        <v>0.5</v>
      </c>
      <c r="BJ444">
        <f>CS444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417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BZ444">
        <v>1249</v>
      </c>
      <c r="CA444">
        <v>300</v>
      </c>
      <c r="CB444">
        <v>300</v>
      </c>
      <c r="CC444">
        <v>300</v>
      </c>
      <c r="CD444">
        <v>10442.4</v>
      </c>
      <c r="CE444">
        <v>1239.69</v>
      </c>
      <c r="CF444">
        <v>-0.00735276</v>
      </c>
      <c r="CG444">
        <v>0.07000000000000001</v>
      </c>
      <c r="CH444" t="s">
        <v>417</v>
      </c>
      <c r="CI444" t="s">
        <v>417</v>
      </c>
      <c r="CJ444" t="s">
        <v>417</v>
      </c>
      <c r="CK444" t="s">
        <v>417</v>
      </c>
      <c r="CL444" t="s">
        <v>417</v>
      </c>
      <c r="CM444" t="s">
        <v>417</v>
      </c>
      <c r="CN444" t="s">
        <v>417</v>
      </c>
      <c r="CO444" t="s">
        <v>417</v>
      </c>
      <c r="CP444" t="s">
        <v>417</v>
      </c>
      <c r="CQ444" t="s">
        <v>417</v>
      </c>
      <c r="CR444">
        <f>$B$11*DQ444+$C$11*DR444+$F$11*EC444*(1-EF444)</f>
        <v>0</v>
      </c>
      <c r="CS444">
        <f>CR444*CT444</f>
        <v>0</v>
      </c>
      <c r="CT444">
        <f>($B$11*$D$9+$C$11*$D$9+$F$11*((EP444+EH444)/MAX(EP444+EH444+EQ444, 0.1)*$I$9+EQ444/MAX(EP444+EH444+EQ444, 0.1)*$J$9))/($B$11+$C$11+$F$11)</f>
        <v>0</v>
      </c>
      <c r="CU444">
        <f>($B$11*$K$9+$C$11*$K$9+$F$11*((EP444+EH444)/MAX(EP444+EH444+EQ444, 0.1)*$P$9+EQ444/MAX(EP444+EH444+EQ444, 0.1)*$Q$9))/($B$11+$C$11+$F$11)</f>
        <v>0</v>
      </c>
      <c r="CV444">
        <v>6</v>
      </c>
      <c r="CW444">
        <v>0.5</v>
      </c>
      <c r="CX444" t="s">
        <v>418</v>
      </c>
      <c r="CY444">
        <v>2</v>
      </c>
      <c r="CZ444" t="b">
        <v>1</v>
      </c>
      <c r="DA444">
        <v>1651866618</v>
      </c>
      <c r="DB444">
        <v>1148.33</v>
      </c>
      <c r="DC444">
        <v>1213.996666666667</v>
      </c>
      <c r="DD444">
        <v>18.48313333333333</v>
      </c>
      <c r="DE444">
        <v>9.262873333333333</v>
      </c>
      <c r="DF444">
        <v>1150.553333333333</v>
      </c>
      <c r="DG444">
        <v>18.4607</v>
      </c>
      <c r="DH444">
        <v>500.054</v>
      </c>
      <c r="DI444">
        <v>89.9113</v>
      </c>
      <c r="DJ444">
        <v>0.09971006666666667</v>
      </c>
      <c r="DK444">
        <v>25.92456666666667</v>
      </c>
      <c r="DL444">
        <v>24.99993333333333</v>
      </c>
      <c r="DM444">
        <v>999.9</v>
      </c>
      <c r="DN444">
        <v>0</v>
      </c>
      <c r="DO444">
        <v>0</v>
      </c>
      <c r="DP444">
        <v>10018.76666666667</v>
      </c>
      <c r="DQ444">
        <v>0</v>
      </c>
      <c r="DR444">
        <v>3.20383</v>
      </c>
      <c r="DS444">
        <v>-65.66563333333333</v>
      </c>
      <c r="DT444">
        <v>1169.96</v>
      </c>
      <c r="DU444">
        <v>1225.35</v>
      </c>
      <c r="DV444">
        <v>9.220270000000001</v>
      </c>
      <c r="DW444">
        <v>1213.996666666667</v>
      </c>
      <c r="DX444">
        <v>9.262873333333333</v>
      </c>
      <c r="DY444">
        <v>1.661843333333333</v>
      </c>
      <c r="DZ444">
        <v>0.8328366666666667</v>
      </c>
      <c r="EA444">
        <v>14.54453333333333</v>
      </c>
      <c r="EB444">
        <v>4.27965</v>
      </c>
      <c r="EC444">
        <v>1500.053333333333</v>
      </c>
      <c r="ED444">
        <v>0.9729953333333334</v>
      </c>
      <c r="EE444">
        <v>0.0270045</v>
      </c>
      <c r="EF444">
        <v>0</v>
      </c>
      <c r="EG444">
        <v>901.3713333333334</v>
      </c>
      <c r="EH444">
        <v>5.00097</v>
      </c>
      <c r="EI444">
        <v>13405.1</v>
      </c>
      <c r="EJ444">
        <v>12492.03333333333</v>
      </c>
      <c r="EK444">
        <v>37.687</v>
      </c>
      <c r="EL444">
        <v>39</v>
      </c>
      <c r="EM444">
        <v>38.125</v>
      </c>
      <c r="EN444">
        <v>38.625</v>
      </c>
      <c r="EO444">
        <v>38.562</v>
      </c>
      <c r="EP444">
        <v>1454.676666666667</v>
      </c>
      <c r="EQ444">
        <v>40.37666666666667</v>
      </c>
      <c r="ER444">
        <v>0</v>
      </c>
      <c r="ES444">
        <v>1136.600000143051</v>
      </c>
      <c r="ET444">
        <v>0</v>
      </c>
      <c r="EU444">
        <v>902.5169199999999</v>
      </c>
      <c r="EV444">
        <v>-11.24015383959719</v>
      </c>
      <c r="EW444">
        <v>-178.1307689228166</v>
      </c>
      <c r="EX444">
        <v>13422.956</v>
      </c>
      <c r="EY444">
        <v>15</v>
      </c>
      <c r="EZ444">
        <v>1651865518.1</v>
      </c>
      <c r="FA444" t="s">
        <v>910</v>
      </c>
      <c r="FB444">
        <v>1651865507.1</v>
      </c>
      <c r="FC444">
        <v>1651865518.1</v>
      </c>
      <c r="FD444">
        <v>8</v>
      </c>
      <c r="FE444">
        <v>0.06</v>
      </c>
      <c r="FF444">
        <v>0</v>
      </c>
      <c r="FG444">
        <v>-0.927</v>
      </c>
      <c r="FH444">
        <v>-0.062</v>
      </c>
      <c r="FI444">
        <v>400</v>
      </c>
      <c r="FJ444">
        <v>11</v>
      </c>
      <c r="FK444">
        <v>0.11</v>
      </c>
      <c r="FL444">
        <v>0.01</v>
      </c>
      <c r="FM444">
        <v>-65.03754749999999</v>
      </c>
      <c r="FN444">
        <v>-2.095752720450139</v>
      </c>
      <c r="FO444">
        <v>0.2594726835213101</v>
      </c>
      <c r="FP444">
        <v>-1</v>
      </c>
      <c r="FQ444">
        <v>9.349216500000001</v>
      </c>
      <c r="FR444">
        <v>-0.7806384990619322</v>
      </c>
      <c r="FS444">
        <v>0.07555298702069953</v>
      </c>
      <c r="FT444">
        <v>-1</v>
      </c>
      <c r="FU444">
        <v>0</v>
      </c>
      <c r="FV444">
        <v>0</v>
      </c>
      <c r="FW444">
        <v>0</v>
      </c>
      <c r="FX444">
        <v>-1</v>
      </c>
      <c r="FY444">
        <v>0</v>
      </c>
      <c r="FZ444">
        <v>0</v>
      </c>
      <c r="GA444" t="s">
        <v>420</v>
      </c>
      <c r="GB444">
        <v>2.98163</v>
      </c>
      <c r="GC444">
        <v>2.70607</v>
      </c>
      <c r="GD444">
        <v>0.187407</v>
      </c>
      <c r="GE444">
        <v>0.191792</v>
      </c>
      <c r="GF444">
        <v>0.0882435</v>
      </c>
      <c r="GG444">
        <v>0.0523278</v>
      </c>
      <c r="GH444">
        <v>25680.1</v>
      </c>
      <c r="GI444">
        <v>25596.7</v>
      </c>
      <c r="GJ444">
        <v>29380</v>
      </c>
      <c r="GK444">
        <v>29295.1</v>
      </c>
      <c r="GL444">
        <v>35469.5</v>
      </c>
      <c r="GM444">
        <v>36983.8</v>
      </c>
      <c r="GN444">
        <v>41352.9</v>
      </c>
      <c r="GO444">
        <v>41815.9</v>
      </c>
      <c r="GP444">
        <v>1.96755</v>
      </c>
      <c r="GQ444">
        <v>1.85765</v>
      </c>
      <c r="GR444">
        <v>-0.00342727</v>
      </c>
      <c r="GS444">
        <v>0</v>
      </c>
      <c r="GT444">
        <v>25.0574</v>
      </c>
      <c r="GU444">
        <v>999.9</v>
      </c>
      <c r="GV444">
        <v>29.4</v>
      </c>
      <c r="GW444">
        <v>34.2</v>
      </c>
      <c r="GX444">
        <v>17.6667</v>
      </c>
      <c r="GY444">
        <v>62.2576</v>
      </c>
      <c r="GZ444">
        <v>35.1402</v>
      </c>
      <c r="HA444">
        <v>1</v>
      </c>
      <c r="HB444">
        <v>0.0392556</v>
      </c>
      <c r="HC444">
        <v>1.43321</v>
      </c>
      <c r="HD444">
        <v>20.3286</v>
      </c>
      <c r="HE444">
        <v>5.21654</v>
      </c>
      <c r="HF444">
        <v>12.0099</v>
      </c>
      <c r="HG444">
        <v>4.98865</v>
      </c>
      <c r="HH444">
        <v>3.28848</v>
      </c>
      <c r="HI444">
        <v>1036.6</v>
      </c>
      <c r="HJ444">
        <v>9770.4</v>
      </c>
      <c r="HK444">
        <v>5139.4</v>
      </c>
      <c r="HL444">
        <v>25.4</v>
      </c>
      <c r="HM444">
        <v>1.86745</v>
      </c>
      <c r="HN444">
        <v>1.86646</v>
      </c>
      <c r="HO444">
        <v>1.866</v>
      </c>
      <c r="HP444">
        <v>1.86584</v>
      </c>
      <c r="HQ444">
        <v>1.86768</v>
      </c>
      <c r="HR444">
        <v>1.87017</v>
      </c>
      <c r="HS444">
        <v>1.8689</v>
      </c>
      <c r="HT444">
        <v>1.8702</v>
      </c>
      <c r="HU444">
        <v>0</v>
      </c>
      <c r="HV444">
        <v>0</v>
      </c>
      <c r="HW444">
        <v>0</v>
      </c>
      <c r="HX444">
        <v>0</v>
      </c>
      <c r="HY444" t="s">
        <v>421</v>
      </c>
      <c r="HZ444" t="s">
        <v>422</v>
      </c>
      <c r="IA444" t="s">
        <v>423</v>
      </c>
      <c r="IB444" t="s">
        <v>423</v>
      </c>
      <c r="IC444" t="s">
        <v>423</v>
      </c>
      <c r="ID444" t="s">
        <v>423</v>
      </c>
      <c r="IE444">
        <v>0</v>
      </c>
      <c r="IF444">
        <v>100</v>
      </c>
      <c r="IG444">
        <v>100</v>
      </c>
      <c r="IH444">
        <v>-2.23</v>
      </c>
      <c r="II444">
        <v>0.0224</v>
      </c>
      <c r="IJ444">
        <v>-0.1559367209035702</v>
      </c>
      <c r="IK444">
        <v>-0.002077099775823331</v>
      </c>
      <c r="IL444">
        <v>4.593143279902166E-07</v>
      </c>
      <c r="IM444">
        <v>-1.865383991892071E-10</v>
      </c>
      <c r="IN444">
        <v>-0.0607165066849496</v>
      </c>
      <c r="IO444">
        <v>-0.01129461987421345</v>
      </c>
      <c r="IP444">
        <v>0.00116580895745559</v>
      </c>
      <c r="IQ444">
        <v>-1.679085872906199E-05</v>
      </c>
      <c r="IR444">
        <v>2</v>
      </c>
      <c r="IS444">
        <v>2290</v>
      </c>
      <c r="IT444">
        <v>0</v>
      </c>
      <c r="IU444">
        <v>32</v>
      </c>
      <c r="IV444">
        <v>18.5</v>
      </c>
      <c r="IW444">
        <v>18.3</v>
      </c>
      <c r="IX444">
        <v>2.46094</v>
      </c>
      <c r="IY444">
        <v>2.18628</v>
      </c>
      <c r="IZ444">
        <v>1.39648</v>
      </c>
      <c r="JA444">
        <v>2.35474</v>
      </c>
      <c r="JB444">
        <v>1.49536</v>
      </c>
      <c r="JC444">
        <v>2.29126</v>
      </c>
      <c r="JD444">
        <v>38.0134</v>
      </c>
      <c r="JE444">
        <v>24.035</v>
      </c>
      <c r="JF444">
        <v>18</v>
      </c>
      <c r="JG444">
        <v>512.141</v>
      </c>
      <c r="JH444">
        <v>427.588</v>
      </c>
      <c r="JI444">
        <v>23.1936</v>
      </c>
      <c r="JJ444">
        <v>27.8302</v>
      </c>
      <c r="JK444">
        <v>29.9999</v>
      </c>
      <c r="JL444">
        <v>27.8371</v>
      </c>
      <c r="JM444">
        <v>27.7796</v>
      </c>
      <c r="JN444">
        <v>49.2868</v>
      </c>
      <c r="JO444">
        <v>44.5828</v>
      </c>
      <c r="JP444">
        <v>0</v>
      </c>
      <c r="JQ444">
        <v>23.1939</v>
      </c>
      <c r="JR444">
        <v>1235.81</v>
      </c>
      <c r="JS444">
        <v>9.42041</v>
      </c>
      <c r="JT444">
        <v>100.426</v>
      </c>
      <c r="JU444">
        <v>100.358</v>
      </c>
    </row>
    <row r="445" spans="1:281">
      <c r="A445">
        <v>429</v>
      </c>
      <c r="B445">
        <v>1651866621</v>
      </c>
      <c r="C445">
        <v>2400.400000095367</v>
      </c>
      <c r="D445" t="s">
        <v>1281</v>
      </c>
      <c r="E445" t="s">
        <v>1282</v>
      </c>
      <c r="F445">
        <v>2</v>
      </c>
      <c r="G445" t="s">
        <v>908</v>
      </c>
      <c r="H445" t="s">
        <v>414</v>
      </c>
      <c r="I445">
        <v>1651866619.625</v>
      </c>
      <c r="J445">
        <f>(K445)/1000</f>
        <v>0</v>
      </c>
      <c r="K445">
        <f>IF(CZ445, AN445, AH445)</f>
        <v>0</v>
      </c>
      <c r="L445">
        <f>IF(CZ445, AI445, AG445)</f>
        <v>0</v>
      </c>
      <c r="M445">
        <f>DB445 - IF(AU445&gt;1, L445*CV445*100.0/(AW445*DP445), 0)</f>
        <v>0</v>
      </c>
      <c r="N445">
        <f>((T445-J445/2)*M445-L445)/(T445+J445/2)</f>
        <v>0</v>
      </c>
      <c r="O445">
        <f>N445*(DI445+DJ445)/1000.0</f>
        <v>0</v>
      </c>
      <c r="P445">
        <f>(DB445 - IF(AU445&gt;1, L445*CV445*100.0/(AW445*DP445), 0))*(DI445+DJ445)/1000.0</f>
        <v>0</v>
      </c>
      <c r="Q445">
        <f>2.0/((1/S445-1/R445)+SIGN(S445)*SQRT((1/S445-1/R445)*(1/S445-1/R445) + 4*CW445/((CW445+1)*(CW445+1))*(2*1/S445*1/R445-1/R445*1/R445)))</f>
        <v>0</v>
      </c>
      <c r="R445">
        <f>IF(LEFT(CX445,1)&lt;&gt;"0",IF(LEFT(CX445,1)="1",3.0,CY445),$D$5+$E$5*(DP445*DI445/($K$5*1000))+$F$5*(DP445*DI445/($K$5*1000))*MAX(MIN(CV445,$J$5),$I$5)*MAX(MIN(CV445,$J$5),$I$5)+$G$5*MAX(MIN(CV445,$J$5),$I$5)*(DP445*DI445/($K$5*1000))+$H$5*(DP445*DI445/($K$5*1000))*(DP445*DI445/($K$5*1000)))</f>
        <v>0</v>
      </c>
      <c r="S445">
        <f>J445*(1000-(1000*0.61365*exp(17.502*W445/(240.97+W445))/(DI445+DJ445)+DD445)/2)/(1000*0.61365*exp(17.502*W445/(240.97+W445))/(DI445+DJ445)-DD445)</f>
        <v>0</v>
      </c>
      <c r="T445">
        <f>1/((CW445+1)/(Q445/1.6)+1/(R445/1.37)) + CW445/((CW445+1)/(Q445/1.6) + CW445/(R445/1.37))</f>
        <v>0</v>
      </c>
      <c r="U445">
        <f>(CR445*CU445)</f>
        <v>0</v>
      </c>
      <c r="V445">
        <f>(DK445+(U445+2*0.95*5.67E-8*(((DK445+$B$7)+273)^4-(DK445+273)^4)-44100*J445)/(1.84*29.3*R445+8*0.95*5.67E-8*(DK445+273)^3))</f>
        <v>0</v>
      </c>
      <c r="W445">
        <f>($C$7*DL445+$D$7*DM445+$E$7*V445)</f>
        <v>0</v>
      </c>
      <c r="X445">
        <f>0.61365*exp(17.502*W445/(240.97+W445))</f>
        <v>0</v>
      </c>
      <c r="Y445">
        <f>(Z445/AA445*100)</f>
        <v>0</v>
      </c>
      <c r="Z445">
        <f>DD445*(DI445+DJ445)/1000</f>
        <v>0</v>
      </c>
      <c r="AA445">
        <f>0.61365*exp(17.502*DK445/(240.97+DK445))</f>
        <v>0</v>
      </c>
      <c r="AB445">
        <f>(X445-DD445*(DI445+DJ445)/1000)</f>
        <v>0</v>
      </c>
      <c r="AC445">
        <f>(-J445*44100)</f>
        <v>0</v>
      </c>
      <c r="AD445">
        <f>2*29.3*R445*0.92*(DK445-W445)</f>
        <v>0</v>
      </c>
      <c r="AE445">
        <f>2*0.95*5.67E-8*(((DK445+$B$7)+273)^4-(W445+273)^4)</f>
        <v>0</v>
      </c>
      <c r="AF445">
        <f>U445+AE445+AC445+AD445</f>
        <v>0</v>
      </c>
      <c r="AG445">
        <f>DH445*AU445*(DC445-DB445*(1000-AU445*DE445)/(1000-AU445*DD445))/(100*CV445)</f>
        <v>0</v>
      </c>
      <c r="AH445">
        <f>1000*DH445*AU445*(DD445-DE445)/(100*CV445*(1000-AU445*DD445))</f>
        <v>0</v>
      </c>
      <c r="AI445">
        <f>(AJ445 - AK445 - DI445*1E3/(8.314*(DK445+273.15)) * AM445/DH445 * AL445) * DH445/(100*CV445) * (1000 - DE445)/1000</f>
        <v>0</v>
      </c>
      <c r="AJ445">
        <v>1226.19051795547</v>
      </c>
      <c r="AK445">
        <v>1178.526242424243</v>
      </c>
      <c r="AL445">
        <v>3.426609359470578</v>
      </c>
      <c r="AM445">
        <v>66.38195617057868</v>
      </c>
      <c r="AN445">
        <f>(AP445 - AO445 + DI445*1E3/(8.314*(DK445+273.15)) * AR445/DH445 * AQ445) * DH445/(100*CV445) * 1000/(1000 - AP445)</f>
        <v>0</v>
      </c>
      <c r="AO445">
        <v>9.243255445976436</v>
      </c>
      <c r="AP445">
        <v>18.47401147058823</v>
      </c>
      <c r="AQ445">
        <v>-0.0005283886633055569</v>
      </c>
      <c r="AR445">
        <v>80.47178418790507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MAX(0,($B$13+$C$13*DP445)/(1+$D$13*DP445)*DI445/(DK445+273)*$E$13)</f>
        <v>0</v>
      </c>
      <c r="AX445" t="s">
        <v>417</v>
      </c>
      <c r="AY445" t="s">
        <v>417</v>
      </c>
      <c r="AZ445">
        <v>0</v>
      </c>
      <c r="BA445">
        <v>0</v>
      </c>
      <c r="BB445">
        <f>1-AZ445/BA445</f>
        <v>0</v>
      </c>
      <c r="BC445">
        <v>0</v>
      </c>
      <c r="BD445" t="s">
        <v>417</v>
      </c>
      <c r="BE445" t="s">
        <v>417</v>
      </c>
      <c r="BF445">
        <v>0</v>
      </c>
      <c r="BG445">
        <v>0</v>
      </c>
      <c r="BH445">
        <f>1-BF445/BG445</f>
        <v>0</v>
      </c>
      <c r="BI445">
        <v>0.5</v>
      </c>
      <c r="BJ445">
        <f>CS445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417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BZ445">
        <v>1249</v>
      </c>
      <c r="CA445">
        <v>300</v>
      </c>
      <c r="CB445">
        <v>300</v>
      </c>
      <c r="CC445">
        <v>300</v>
      </c>
      <c r="CD445">
        <v>10442.4</v>
      </c>
      <c r="CE445">
        <v>1239.69</v>
      </c>
      <c r="CF445">
        <v>-0.00735276</v>
      </c>
      <c r="CG445">
        <v>0.07000000000000001</v>
      </c>
      <c r="CH445" t="s">
        <v>417</v>
      </c>
      <c r="CI445" t="s">
        <v>417</v>
      </c>
      <c r="CJ445" t="s">
        <v>417</v>
      </c>
      <c r="CK445" t="s">
        <v>417</v>
      </c>
      <c r="CL445" t="s">
        <v>417</v>
      </c>
      <c r="CM445" t="s">
        <v>417</v>
      </c>
      <c r="CN445" t="s">
        <v>417</v>
      </c>
      <c r="CO445" t="s">
        <v>417</v>
      </c>
      <c r="CP445" t="s">
        <v>417</v>
      </c>
      <c r="CQ445" t="s">
        <v>417</v>
      </c>
      <c r="CR445">
        <f>$B$11*DQ445+$C$11*DR445+$F$11*EC445*(1-EF445)</f>
        <v>0</v>
      </c>
      <c r="CS445">
        <f>CR445*CT445</f>
        <v>0</v>
      </c>
      <c r="CT445">
        <f>($B$11*$D$9+$C$11*$D$9+$F$11*((EP445+EH445)/MAX(EP445+EH445+EQ445, 0.1)*$I$9+EQ445/MAX(EP445+EH445+EQ445, 0.1)*$J$9))/($B$11+$C$11+$F$11)</f>
        <v>0</v>
      </c>
      <c r="CU445">
        <f>($B$11*$K$9+$C$11*$K$9+$F$11*((EP445+EH445)/MAX(EP445+EH445+EQ445, 0.1)*$P$9+EQ445/MAX(EP445+EH445+EQ445, 0.1)*$Q$9))/($B$11+$C$11+$F$11)</f>
        <v>0</v>
      </c>
      <c r="CV445">
        <v>6</v>
      </c>
      <c r="CW445">
        <v>0.5</v>
      </c>
      <c r="CX445" t="s">
        <v>418</v>
      </c>
      <c r="CY445">
        <v>2</v>
      </c>
      <c r="CZ445" t="b">
        <v>1</v>
      </c>
      <c r="DA445">
        <v>1651866619.625</v>
      </c>
      <c r="DB445">
        <v>1153.795</v>
      </c>
      <c r="DC445">
        <v>1219.5325</v>
      </c>
      <c r="DD445">
        <v>18.477025</v>
      </c>
      <c r="DE445">
        <v>9.2806</v>
      </c>
      <c r="DF445">
        <v>1156.0275</v>
      </c>
      <c r="DG445">
        <v>18.4547</v>
      </c>
      <c r="DH445">
        <v>500.046</v>
      </c>
      <c r="DI445">
        <v>89.912025</v>
      </c>
      <c r="DJ445">
        <v>0.0998087</v>
      </c>
      <c r="DK445">
        <v>25.923675</v>
      </c>
      <c r="DL445">
        <v>25.002975</v>
      </c>
      <c r="DM445">
        <v>999.9</v>
      </c>
      <c r="DN445">
        <v>0</v>
      </c>
      <c r="DO445">
        <v>0</v>
      </c>
      <c r="DP445">
        <v>10011.875</v>
      </c>
      <c r="DQ445">
        <v>0</v>
      </c>
      <c r="DR445">
        <v>3.20383</v>
      </c>
      <c r="DS445">
        <v>-65.738775</v>
      </c>
      <c r="DT445">
        <v>1175.5175</v>
      </c>
      <c r="DU445">
        <v>1230.9575</v>
      </c>
      <c r="DV445">
        <v>9.1964475</v>
      </c>
      <c r="DW445">
        <v>1219.5325</v>
      </c>
      <c r="DX445">
        <v>9.2806</v>
      </c>
      <c r="DY445">
        <v>1.66131</v>
      </c>
      <c r="DZ445">
        <v>0.834437</v>
      </c>
      <c r="EA445">
        <v>14.539525</v>
      </c>
      <c r="EB445">
        <v>4.307025</v>
      </c>
      <c r="EC445">
        <v>1500.0725</v>
      </c>
      <c r="ED445">
        <v>0.97299075</v>
      </c>
      <c r="EE445">
        <v>0.027009225</v>
      </c>
      <c r="EF445">
        <v>0</v>
      </c>
      <c r="EG445">
        <v>901.2375000000001</v>
      </c>
      <c r="EH445">
        <v>5.00097</v>
      </c>
      <c r="EI445">
        <v>13400.275</v>
      </c>
      <c r="EJ445">
        <v>12492.175</v>
      </c>
      <c r="EK445">
        <v>37.687</v>
      </c>
      <c r="EL445">
        <v>39</v>
      </c>
      <c r="EM445">
        <v>38.125</v>
      </c>
      <c r="EN445">
        <v>38.625</v>
      </c>
      <c r="EO445">
        <v>38.562</v>
      </c>
      <c r="EP445">
        <v>1454.69</v>
      </c>
      <c r="EQ445">
        <v>40.3825</v>
      </c>
      <c r="ER445">
        <v>0</v>
      </c>
      <c r="ES445">
        <v>1138.400000095367</v>
      </c>
      <c r="ET445">
        <v>0</v>
      </c>
      <c r="EU445">
        <v>902.2377692307692</v>
      </c>
      <c r="EV445">
        <v>-10.61059830917357</v>
      </c>
      <c r="EW445">
        <v>-176.3076923919362</v>
      </c>
      <c r="EX445">
        <v>13418.52307692308</v>
      </c>
      <c r="EY445">
        <v>15</v>
      </c>
      <c r="EZ445">
        <v>1651865518.1</v>
      </c>
      <c r="FA445" t="s">
        <v>910</v>
      </c>
      <c r="FB445">
        <v>1651865507.1</v>
      </c>
      <c r="FC445">
        <v>1651865518.1</v>
      </c>
      <c r="FD445">
        <v>8</v>
      </c>
      <c r="FE445">
        <v>0.06</v>
      </c>
      <c r="FF445">
        <v>0</v>
      </c>
      <c r="FG445">
        <v>-0.927</v>
      </c>
      <c r="FH445">
        <v>-0.062</v>
      </c>
      <c r="FI445">
        <v>400</v>
      </c>
      <c r="FJ445">
        <v>11</v>
      </c>
      <c r="FK445">
        <v>0.11</v>
      </c>
      <c r="FL445">
        <v>0.01</v>
      </c>
      <c r="FM445">
        <v>-65.1075756097561</v>
      </c>
      <c r="FN445">
        <v>-2.625146341463425</v>
      </c>
      <c r="FO445">
        <v>0.3181305866100007</v>
      </c>
      <c r="FP445">
        <v>-1</v>
      </c>
      <c r="FQ445">
        <v>9.332991463414634</v>
      </c>
      <c r="FR445">
        <v>-0.7924833449477211</v>
      </c>
      <c r="FS445">
        <v>0.07855390523154604</v>
      </c>
      <c r="FT445">
        <v>-1</v>
      </c>
      <c r="FU445">
        <v>0</v>
      </c>
      <c r="FV445">
        <v>0</v>
      </c>
      <c r="FW445">
        <v>0</v>
      </c>
      <c r="FX445">
        <v>-1</v>
      </c>
      <c r="FY445">
        <v>0</v>
      </c>
      <c r="FZ445">
        <v>0</v>
      </c>
      <c r="GA445" t="s">
        <v>420</v>
      </c>
      <c r="GB445">
        <v>2.98147</v>
      </c>
      <c r="GC445">
        <v>2.70616</v>
      </c>
      <c r="GD445">
        <v>0.1881</v>
      </c>
      <c r="GE445">
        <v>0.192436</v>
      </c>
      <c r="GF445">
        <v>0.0882208</v>
      </c>
      <c r="GG445">
        <v>0.0524157</v>
      </c>
      <c r="GH445">
        <v>25658.1</v>
      </c>
      <c r="GI445">
        <v>25576.4</v>
      </c>
      <c r="GJ445">
        <v>29380</v>
      </c>
      <c r="GK445">
        <v>29295.2</v>
      </c>
      <c r="GL445">
        <v>35470.3</v>
      </c>
      <c r="GM445">
        <v>36980.4</v>
      </c>
      <c r="GN445">
        <v>41352.8</v>
      </c>
      <c r="GO445">
        <v>41815.9</v>
      </c>
      <c r="GP445">
        <v>1.96723</v>
      </c>
      <c r="GQ445">
        <v>1.858</v>
      </c>
      <c r="GR445">
        <v>-0.0031665</v>
      </c>
      <c r="GS445">
        <v>0</v>
      </c>
      <c r="GT445">
        <v>25.0573</v>
      </c>
      <c r="GU445">
        <v>999.9</v>
      </c>
      <c r="GV445">
        <v>29.4</v>
      </c>
      <c r="GW445">
        <v>34.2</v>
      </c>
      <c r="GX445">
        <v>17.6674</v>
      </c>
      <c r="GY445">
        <v>62.6876</v>
      </c>
      <c r="GZ445">
        <v>35.2123</v>
      </c>
      <c r="HA445">
        <v>1</v>
      </c>
      <c r="HB445">
        <v>0.0390523</v>
      </c>
      <c r="HC445">
        <v>1.45969</v>
      </c>
      <c r="HD445">
        <v>20.3283</v>
      </c>
      <c r="HE445">
        <v>5.21639</v>
      </c>
      <c r="HF445">
        <v>12.0099</v>
      </c>
      <c r="HG445">
        <v>4.9886</v>
      </c>
      <c r="HH445">
        <v>3.28845</v>
      </c>
      <c r="HI445">
        <v>1036.6</v>
      </c>
      <c r="HJ445">
        <v>9770.4</v>
      </c>
      <c r="HK445">
        <v>5139.4</v>
      </c>
      <c r="HL445">
        <v>25.4</v>
      </c>
      <c r="HM445">
        <v>1.86744</v>
      </c>
      <c r="HN445">
        <v>1.86646</v>
      </c>
      <c r="HO445">
        <v>1.86599</v>
      </c>
      <c r="HP445">
        <v>1.86584</v>
      </c>
      <c r="HQ445">
        <v>1.86768</v>
      </c>
      <c r="HR445">
        <v>1.87017</v>
      </c>
      <c r="HS445">
        <v>1.8689</v>
      </c>
      <c r="HT445">
        <v>1.87021</v>
      </c>
      <c r="HU445">
        <v>0</v>
      </c>
      <c r="HV445">
        <v>0</v>
      </c>
      <c r="HW445">
        <v>0</v>
      </c>
      <c r="HX445">
        <v>0</v>
      </c>
      <c r="HY445" t="s">
        <v>421</v>
      </c>
      <c r="HZ445" t="s">
        <v>422</v>
      </c>
      <c r="IA445" t="s">
        <v>423</v>
      </c>
      <c r="IB445" t="s">
        <v>423</v>
      </c>
      <c r="IC445" t="s">
        <v>423</v>
      </c>
      <c r="ID445" t="s">
        <v>423</v>
      </c>
      <c r="IE445">
        <v>0</v>
      </c>
      <c r="IF445">
        <v>100</v>
      </c>
      <c r="IG445">
        <v>100</v>
      </c>
      <c r="IH445">
        <v>-2.24</v>
      </c>
      <c r="II445">
        <v>0.0222</v>
      </c>
      <c r="IJ445">
        <v>-0.1559367209035702</v>
      </c>
      <c r="IK445">
        <v>-0.002077099775823331</v>
      </c>
      <c r="IL445">
        <v>4.593143279902166E-07</v>
      </c>
      <c r="IM445">
        <v>-1.865383991892071E-10</v>
      </c>
      <c r="IN445">
        <v>-0.0607165066849496</v>
      </c>
      <c r="IO445">
        <v>-0.01129461987421345</v>
      </c>
      <c r="IP445">
        <v>0.00116580895745559</v>
      </c>
      <c r="IQ445">
        <v>-1.679085872906199E-05</v>
      </c>
      <c r="IR445">
        <v>2</v>
      </c>
      <c r="IS445">
        <v>2290</v>
      </c>
      <c r="IT445">
        <v>0</v>
      </c>
      <c r="IU445">
        <v>32</v>
      </c>
      <c r="IV445">
        <v>18.6</v>
      </c>
      <c r="IW445">
        <v>18.4</v>
      </c>
      <c r="IX445">
        <v>2.47192</v>
      </c>
      <c r="IY445">
        <v>2.17896</v>
      </c>
      <c r="IZ445">
        <v>1.39648</v>
      </c>
      <c r="JA445">
        <v>2.35474</v>
      </c>
      <c r="JB445">
        <v>1.49536</v>
      </c>
      <c r="JC445">
        <v>2.30347</v>
      </c>
      <c r="JD445">
        <v>38.0134</v>
      </c>
      <c r="JE445">
        <v>24.0437</v>
      </c>
      <c r="JF445">
        <v>18</v>
      </c>
      <c r="JG445">
        <v>511.92</v>
      </c>
      <c r="JH445">
        <v>427.788</v>
      </c>
      <c r="JI445">
        <v>23.1952</v>
      </c>
      <c r="JJ445">
        <v>27.8302</v>
      </c>
      <c r="JK445">
        <v>29.9999</v>
      </c>
      <c r="JL445">
        <v>27.8359</v>
      </c>
      <c r="JM445">
        <v>27.7785</v>
      </c>
      <c r="JN445">
        <v>49.5022</v>
      </c>
      <c r="JO445">
        <v>44.5828</v>
      </c>
      <c r="JP445">
        <v>0</v>
      </c>
      <c r="JQ445">
        <v>23.1741</v>
      </c>
      <c r="JR445">
        <v>1242.49</v>
      </c>
      <c r="JS445">
        <v>9.44458</v>
      </c>
      <c r="JT445">
        <v>100.426</v>
      </c>
      <c r="JU445">
        <v>100.359</v>
      </c>
    </row>
    <row r="446" spans="1:281">
      <c r="A446">
        <v>430</v>
      </c>
      <c r="B446">
        <v>1651866623</v>
      </c>
      <c r="C446">
        <v>2402.400000095367</v>
      </c>
      <c r="D446" t="s">
        <v>1283</v>
      </c>
      <c r="E446" t="s">
        <v>1284</v>
      </c>
      <c r="F446">
        <v>2</v>
      </c>
      <c r="G446" t="s">
        <v>908</v>
      </c>
      <c r="H446" t="s">
        <v>414</v>
      </c>
      <c r="I446">
        <v>1651866622</v>
      </c>
      <c r="J446">
        <f>(K446)/1000</f>
        <v>0</v>
      </c>
      <c r="K446">
        <f>IF(CZ446, AN446, AH446)</f>
        <v>0</v>
      </c>
      <c r="L446">
        <f>IF(CZ446, AI446, AG446)</f>
        <v>0</v>
      </c>
      <c r="M446">
        <f>DB446 - IF(AU446&gt;1, L446*CV446*100.0/(AW446*DP446), 0)</f>
        <v>0</v>
      </c>
      <c r="N446">
        <f>((T446-J446/2)*M446-L446)/(T446+J446/2)</f>
        <v>0</v>
      </c>
      <c r="O446">
        <f>N446*(DI446+DJ446)/1000.0</f>
        <v>0</v>
      </c>
      <c r="P446">
        <f>(DB446 - IF(AU446&gt;1, L446*CV446*100.0/(AW446*DP446), 0))*(DI446+DJ446)/1000.0</f>
        <v>0</v>
      </c>
      <c r="Q446">
        <f>2.0/((1/S446-1/R446)+SIGN(S446)*SQRT((1/S446-1/R446)*(1/S446-1/R446) + 4*CW446/((CW446+1)*(CW446+1))*(2*1/S446*1/R446-1/R446*1/R446)))</f>
        <v>0</v>
      </c>
      <c r="R446">
        <f>IF(LEFT(CX446,1)&lt;&gt;"0",IF(LEFT(CX446,1)="1",3.0,CY446),$D$5+$E$5*(DP446*DI446/($K$5*1000))+$F$5*(DP446*DI446/($K$5*1000))*MAX(MIN(CV446,$J$5),$I$5)*MAX(MIN(CV446,$J$5),$I$5)+$G$5*MAX(MIN(CV446,$J$5),$I$5)*(DP446*DI446/($K$5*1000))+$H$5*(DP446*DI446/($K$5*1000))*(DP446*DI446/($K$5*1000)))</f>
        <v>0</v>
      </c>
      <c r="S446">
        <f>J446*(1000-(1000*0.61365*exp(17.502*W446/(240.97+W446))/(DI446+DJ446)+DD446)/2)/(1000*0.61365*exp(17.502*W446/(240.97+W446))/(DI446+DJ446)-DD446)</f>
        <v>0</v>
      </c>
      <c r="T446">
        <f>1/((CW446+1)/(Q446/1.6)+1/(R446/1.37)) + CW446/((CW446+1)/(Q446/1.6) + CW446/(R446/1.37))</f>
        <v>0</v>
      </c>
      <c r="U446">
        <f>(CR446*CU446)</f>
        <v>0</v>
      </c>
      <c r="V446">
        <f>(DK446+(U446+2*0.95*5.67E-8*(((DK446+$B$7)+273)^4-(DK446+273)^4)-44100*J446)/(1.84*29.3*R446+8*0.95*5.67E-8*(DK446+273)^3))</f>
        <v>0</v>
      </c>
      <c r="W446">
        <f>($C$7*DL446+$D$7*DM446+$E$7*V446)</f>
        <v>0</v>
      </c>
      <c r="X446">
        <f>0.61365*exp(17.502*W446/(240.97+W446))</f>
        <v>0</v>
      </c>
      <c r="Y446">
        <f>(Z446/AA446*100)</f>
        <v>0</v>
      </c>
      <c r="Z446">
        <f>DD446*(DI446+DJ446)/1000</f>
        <v>0</v>
      </c>
      <c r="AA446">
        <f>0.61365*exp(17.502*DK446/(240.97+DK446))</f>
        <v>0</v>
      </c>
      <c r="AB446">
        <f>(X446-DD446*(DI446+DJ446)/1000)</f>
        <v>0</v>
      </c>
      <c r="AC446">
        <f>(-J446*44100)</f>
        <v>0</v>
      </c>
      <c r="AD446">
        <f>2*29.3*R446*0.92*(DK446-W446)</f>
        <v>0</v>
      </c>
      <c r="AE446">
        <f>2*0.95*5.67E-8*(((DK446+$B$7)+273)^4-(W446+273)^4)</f>
        <v>0</v>
      </c>
      <c r="AF446">
        <f>U446+AE446+AC446+AD446</f>
        <v>0</v>
      </c>
      <c r="AG446">
        <f>DH446*AU446*(DC446-DB446*(1000-AU446*DE446)/(1000-AU446*DD446))/(100*CV446)</f>
        <v>0</v>
      </c>
      <c r="AH446">
        <f>1000*DH446*AU446*(DD446-DE446)/(100*CV446*(1000-AU446*DD446))</f>
        <v>0</v>
      </c>
      <c r="AI446">
        <f>(AJ446 - AK446 - DI446*1E3/(8.314*(DK446+273.15)) * AM446/DH446 * AL446) * DH446/(100*CV446) * (1000 - DE446)/1000</f>
        <v>0</v>
      </c>
      <c r="AJ446">
        <v>1232.993098172595</v>
      </c>
      <c r="AK446">
        <v>1185.315575757575</v>
      </c>
      <c r="AL446">
        <v>3.412600706294954</v>
      </c>
      <c r="AM446">
        <v>66.38195617057868</v>
      </c>
      <c r="AN446">
        <f>(AP446 - AO446 + DI446*1E3/(8.314*(DK446+273.15)) * AR446/DH446 * AQ446) * DH446/(100*CV446) * 1000/(1000 - AP446)</f>
        <v>0</v>
      </c>
      <c r="AO446">
        <v>9.267184784563986</v>
      </c>
      <c r="AP446">
        <v>18.46675852941175</v>
      </c>
      <c r="AQ446">
        <v>-0.0004238049400881748</v>
      </c>
      <c r="AR446">
        <v>80.47178418790507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MAX(0,($B$13+$C$13*DP446)/(1+$D$13*DP446)*DI446/(DK446+273)*$E$13)</f>
        <v>0</v>
      </c>
      <c r="AX446" t="s">
        <v>417</v>
      </c>
      <c r="AY446" t="s">
        <v>417</v>
      </c>
      <c r="AZ446">
        <v>0</v>
      </c>
      <c r="BA446">
        <v>0</v>
      </c>
      <c r="BB446">
        <f>1-AZ446/BA446</f>
        <v>0</v>
      </c>
      <c r="BC446">
        <v>0</v>
      </c>
      <c r="BD446" t="s">
        <v>417</v>
      </c>
      <c r="BE446" t="s">
        <v>417</v>
      </c>
      <c r="BF446">
        <v>0</v>
      </c>
      <c r="BG446">
        <v>0</v>
      </c>
      <c r="BH446">
        <f>1-BF446/BG446</f>
        <v>0</v>
      </c>
      <c r="BI446">
        <v>0.5</v>
      </c>
      <c r="BJ446">
        <f>CS446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417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BZ446">
        <v>1249</v>
      </c>
      <c r="CA446">
        <v>300</v>
      </c>
      <c r="CB446">
        <v>300</v>
      </c>
      <c r="CC446">
        <v>300</v>
      </c>
      <c r="CD446">
        <v>10442.4</v>
      </c>
      <c r="CE446">
        <v>1239.69</v>
      </c>
      <c r="CF446">
        <v>-0.00735276</v>
      </c>
      <c r="CG446">
        <v>0.07000000000000001</v>
      </c>
      <c r="CH446" t="s">
        <v>417</v>
      </c>
      <c r="CI446" t="s">
        <v>417</v>
      </c>
      <c r="CJ446" t="s">
        <v>417</v>
      </c>
      <c r="CK446" t="s">
        <v>417</v>
      </c>
      <c r="CL446" t="s">
        <v>417</v>
      </c>
      <c r="CM446" t="s">
        <v>417</v>
      </c>
      <c r="CN446" t="s">
        <v>417</v>
      </c>
      <c r="CO446" t="s">
        <v>417</v>
      </c>
      <c r="CP446" t="s">
        <v>417</v>
      </c>
      <c r="CQ446" t="s">
        <v>417</v>
      </c>
      <c r="CR446">
        <f>$B$11*DQ446+$C$11*DR446+$F$11*EC446*(1-EF446)</f>
        <v>0</v>
      </c>
      <c r="CS446">
        <f>CR446*CT446</f>
        <v>0</v>
      </c>
      <c r="CT446">
        <f>($B$11*$D$9+$C$11*$D$9+$F$11*((EP446+EH446)/MAX(EP446+EH446+EQ446, 0.1)*$I$9+EQ446/MAX(EP446+EH446+EQ446, 0.1)*$J$9))/($B$11+$C$11+$F$11)</f>
        <v>0</v>
      </c>
      <c r="CU446">
        <f>($B$11*$K$9+$C$11*$K$9+$F$11*((EP446+EH446)/MAX(EP446+EH446+EQ446, 0.1)*$P$9+EQ446/MAX(EP446+EH446+EQ446, 0.1)*$Q$9))/($B$11+$C$11+$F$11)</f>
        <v>0</v>
      </c>
      <c r="CV446">
        <v>6</v>
      </c>
      <c r="CW446">
        <v>0.5</v>
      </c>
      <c r="CX446" t="s">
        <v>418</v>
      </c>
      <c r="CY446">
        <v>2</v>
      </c>
      <c r="CZ446" t="b">
        <v>1</v>
      </c>
      <c r="DA446">
        <v>1651866622</v>
      </c>
      <c r="DB446">
        <v>1161.756666666667</v>
      </c>
      <c r="DC446">
        <v>1227.45</v>
      </c>
      <c r="DD446">
        <v>18.46873333333333</v>
      </c>
      <c r="DE446">
        <v>9.314243333333332</v>
      </c>
      <c r="DF446">
        <v>1164.003333333333</v>
      </c>
      <c r="DG446">
        <v>18.4465</v>
      </c>
      <c r="DH446">
        <v>500.0213333333333</v>
      </c>
      <c r="DI446">
        <v>89.91303333333333</v>
      </c>
      <c r="DJ446">
        <v>0.10017</v>
      </c>
      <c r="DK446">
        <v>25.92396666666667</v>
      </c>
      <c r="DL446">
        <v>25.00303333333333</v>
      </c>
      <c r="DM446">
        <v>999.9</v>
      </c>
      <c r="DN446">
        <v>0</v>
      </c>
      <c r="DO446">
        <v>0</v>
      </c>
      <c r="DP446">
        <v>9992.066666666668</v>
      </c>
      <c r="DQ446">
        <v>0</v>
      </c>
      <c r="DR446">
        <v>3.20383</v>
      </c>
      <c r="DS446">
        <v>-65.6965</v>
      </c>
      <c r="DT446">
        <v>1183.616666666667</v>
      </c>
      <c r="DU446">
        <v>1238.993333333333</v>
      </c>
      <c r="DV446">
        <v>9.15452</v>
      </c>
      <c r="DW446">
        <v>1227.45</v>
      </c>
      <c r="DX446">
        <v>9.314243333333332</v>
      </c>
      <c r="DY446">
        <v>1.660583333333333</v>
      </c>
      <c r="DZ446">
        <v>0.8374716666666666</v>
      </c>
      <c r="EA446">
        <v>14.53276666666667</v>
      </c>
      <c r="EB446">
        <v>4.35882</v>
      </c>
      <c r="EC446">
        <v>1499.956666666667</v>
      </c>
      <c r="ED446">
        <v>0.9730036666666666</v>
      </c>
      <c r="EE446">
        <v>0.02699626666666667</v>
      </c>
      <c r="EF446">
        <v>0</v>
      </c>
      <c r="EG446">
        <v>900.4503333333332</v>
      </c>
      <c r="EH446">
        <v>5.00097</v>
      </c>
      <c r="EI446">
        <v>13392.06666666667</v>
      </c>
      <c r="EJ446">
        <v>12491.23333333333</v>
      </c>
      <c r="EK446">
        <v>37.687</v>
      </c>
      <c r="EL446">
        <v>39</v>
      </c>
      <c r="EM446">
        <v>38.062</v>
      </c>
      <c r="EN446">
        <v>38.625</v>
      </c>
      <c r="EO446">
        <v>38.562</v>
      </c>
      <c r="EP446">
        <v>1454.596666666667</v>
      </c>
      <c r="EQ446">
        <v>40.36000000000001</v>
      </c>
      <c r="ER446">
        <v>0</v>
      </c>
      <c r="ES446">
        <v>1140.200000047684</v>
      </c>
      <c r="ET446">
        <v>0</v>
      </c>
      <c r="EU446">
        <v>901.8493999999998</v>
      </c>
      <c r="EV446">
        <v>-11.47223075386494</v>
      </c>
      <c r="EW446">
        <v>-175.430768970309</v>
      </c>
      <c r="EX446">
        <v>13412.132</v>
      </c>
      <c r="EY446">
        <v>15</v>
      </c>
      <c r="EZ446">
        <v>1651865518.1</v>
      </c>
      <c r="FA446" t="s">
        <v>910</v>
      </c>
      <c r="FB446">
        <v>1651865507.1</v>
      </c>
      <c r="FC446">
        <v>1651865518.1</v>
      </c>
      <c r="FD446">
        <v>8</v>
      </c>
      <c r="FE446">
        <v>0.06</v>
      </c>
      <c r="FF446">
        <v>0</v>
      </c>
      <c r="FG446">
        <v>-0.927</v>
      </c>
      <c r="FH446">
        <v>-0.062</v>
      </c>
      <c r="FI446">
        <v>400</v>
      </c>
      <c r="FJ446">
        <v>11</v>
      </c>
      <c r="FK446">
        <v>0.11</v>
      </c>
      <c r="FL446">
        <v>0.01</v>
      </c>
      <c r="FM446">
        <v>-65.2254725</v>
      </c>
      <c r="FN446">
        <v>-3.047042026266329</v>
      </c>
      <c r="FO446">
        <v>0.3453914938063045</v>
      </c>
      <c r="FP446">
        <v>-1</v>
      </c>
      <c r="FQ446">
        <v>9.295404749999999</v>
      </c>
      <c r="FR446">
        <v>-0.7966805628517897</v>
      </c>
      <c r="FS446">
        <v>0.07707083086315793</v>
      </c>
      <c r="FT446">
        <v>-1</v>
      </c>
      <c r="FU446">
        <v>0</v>
      </c>
      <c r="FV446">
        <v>0</v>
      </c>
      <c r="FW446">
        <v>0</v>
      </c>
      <c r="FX446">
        <v>-1</v>
      </c>
      <c r="FY446">
        <v>0</v>
      </c>
      <c r="FZ446">
        <v>0</v>
      </c>
      <c r="GA446" t="s">
        <v>420</v>
      </c>
      <c r="GB446">
        <v>2.98157</v>
      </c>
      <c r="GC446">
        <v>2.70622</v>
      </c>
      <c r="GD446">
        <v>0.188786</v>
      </c>
      <c r="GE446">
        <v>0.193086</v>
      </c>
      <c r="GF446">
        <v>0.0882013</v>
      </c>
      <c r="GG446">
        <v>0.0525881</v>
      </c>
      <c r="GH446">
        <v>25636.9</v>
      </c>
      <c r="GI446">
        <v>25556</v>
      </c>
      <c r="GJ446">
        <v>29380.6</v>
      </c>
      <c r="GK446">
        <v>29295.4</v>
      </c>
      <c r="GL446">
        <v>35471.8</v>
      </c>
      <c r="GM446">
        <v>36974</v>
      </c>
      <c r="GN446">
        <v>41353.5</v>
      </c>
      <c r="GO446">
        <v>41816.2</v>
      </c>
      <c r="GP446">
        <v>1.96738</v>
      </c>
      <c r="GQ446">
        <v>1.85802</v>
      </c>
      <c r="GR446">
        <v>-0.00353903</v>
      </c>
      <c r="GS446">
        <v>0</v>
      </c>
      <c r="GT446">
        <v>25.0568</v>
      </c>
      <c r="GU446">
        <v>999.9</v>
      </c>
      <c r="GV446">
        <v>29.4</v>
      </c>
      <c r="GW446">
        <v>34.2</v>
      </c>
      <c r="GX446">
        <v>17.6667</v>
      </c>
      <c r="GY446">
        <v>62.1276</v>
      </c>
      <c r="GZ446">
        <v>35.4647</v>
      </c>
      <c r="HA446">
        <v>1</v>
      </c>
      <c r="HB446">
        <v>0.0391159</v>
      </c>
      <c r="HC446">
        <v>1.51238</v>
      </c>
      <c r="HD446">
        <v>20.3277</v>
      </c>
      <c r="HE446">
        <v>5.21639</v>
      </c>
      <c r="HF446">
        <v>12.0099</v>
      </c>
      <c r="HG446">
        <v>4.98885</v>
      </c>
      <c r="HH446">
        <v>3.28848</v>
      </c>
      <c r="HI446">
        <v>1036.9</v>
      </c>
      <c r="HJ446">
        <v>9771.799999999999</v>
      </c>
      <c r="HK446">
        <v>5139.4</v>
      </c>
      <c r="HL446">
        <v>25.4</v>
      </c>
      <c r="HM446">
        <v>1.86744</v>
      </c>
      <c r="HN446">
        <v>1.86646</v>
      </c>
      <c r="HO446">
        <v>1.86599</v>
      </c>
      <c r="HP446">
        <v>1.86585</v>
      </c>
      <c r="HQ446">
        <v>1.86768</v>
      </c>
      <c r="HR446">
        <v>1.87019</v>
      </c>
      <c r="HS446">
        <v>1.8689</v>
      </c>
      <c r="HT446">
        <v>1.87021</v>
      </c>
      <c r="HU446">
        <v>0</v>
      </c>
      <c r="HV446">
        <v>0</v>
      </c>
      <c r="HW446">
        <v>0</v>
      </c>
      <c r="HX446">
        <v>0</v>
      </c>
      <c r="HY446" t="s">
        <v>421</v>
      </c>
      <c r="HZ446" t="s">
        <v>422</v>
      </c>
      <c r="IA446" t="s">
        <v>423</v>
      </c>
      <c r="IB446" t="s">
        <v>423</v>
      </c>
      <c r="IC446" t="s">
        <v>423</v>
      </c>
      <c r="ID446" t="s">
        <v>423</v>
      </c>
      <c r="IE446">
        <v>0</v>
      </c>
      <c r="IF446">
        <v>100</v>
      </c>
      <c r="IG446">
        <v>100</v>
      </c>
      <c r="IH446">
        <v>-2.25</v>
      </c>
      <c r="II446">
        <v>0.0222</v>
      </c>
      <c r="IJ446">
        <v>-0.1559367209035702</v>
      </c>
      <c r="IK446">
        <v>-0.002077099775823331</v>
      </c>
      <c r="IL446">
        <v>4.593143279902166E-07</v>
      </c>
      <c r="IM446">
        <v>-1.865383991892071E-10</v>
      </c>
      <c r="IN446">
        <v>-0.0607165066849496</v>
      </c>
      <c r="IO446">
        <v>-0.01129461987421345</v>
      </c>
      <c r="IP446">
        <v>0.00116580895745559</v>
      </c>
      <c r="IQ446">
        <v>-1.679085872906199E-05</v>
      </c>
      <c r="IR446">
        <v>2</v>
      </c>
      <c r="IS446">
        <v>2290</v>
      </c>
      <c r="IT446">
        <v>0</v>
      </c>
      <c r="IU446">
        <v>32</v>
      </c>
      <c r="IV446">
        <v>18.6</v>
      </c>
      <c r="IW446">
        <v>18.4</v>
      </c>
      <c r="IX446">
        <v>2.48291</v>
      </c>
      <c r="IY446">
        <v>2.17529</v>
      </c>
      <c r="IZ446">
        <v>1.39648</v>
      </c>
      <c r="JA446">
        <v>2.35474</v>
      </c>
      <c r="JB446">
        <v>1.49536</v>
      </c>
      <c r="JC446">
        <v>2.37671</v>
      </c>
      <c r="JD446">
        <v>38.0377</v>
      </c>
      <c r="JE446">
        <v>24.0437</v>
      </c>
      <c r="JF446">
        <v>18</v>
      </c>
      <c r="JG446">
        <v>512.0069999999999</v>
      </c>
      <c r="JH446">
        <v>427.798</v>
      </c>
      <c r="JI446">
        <v>23.1927</v>
      </c>
      <c r="JJ446">
        <v>27.829</v>
      </c>
      <c r="JK446">
        <v>30</v>
      </c>
      <c r="JL446">
        <v>27.8347</v>
      </c>
      <c r="JM446">
        <v>27.7779</v>
      </c>
      <c r="JN446">
        <v>49.7247</v>
      </c>
      <c r="JO446">
        <v>44.5828</v>
      </c>
      <c r="JP446">
        <v>0</v>
      </c>
      <c r="JQ446">
        <v>23.1741</v>
      </c>
      <c r="JR446">
        <v>1249.16</v>
      </c>
      <c r="JS446">
        <v>9.47143</v>
      </c>
      <c r="JT446">
        <v>100.428</v>
      </c>
      <c r="JU446">
        <v>100.359</v>
      </c>
    </row>
    <row r="447" spans="1:281">
      <c r="A447">
        <v>431</v>
      </c>
      <c r="B447">
        <v>1651866625</v>
      </c>
      <c r="C447">
        <v>2404.400000095367</v>
      </c>
      <c r="D447" t="s">
        <v>1285</v>
      </c>
      <c r="E447" t="s">
        <v>1286</v>
      </c>
      <c r="F447">
        <v>2</v>
      </c>
      <c r="G447" t="s">
        <v>908</v>
      </c>
      <c r="H447" t="s">
        <v>414</v>
      </c>
      <c r="I447">
        <v>1651866623.625</v>
      </c>
      <c r="J447">
        <f>(K447)/1000</f>
        <v>0</v>
      </c>
      <c r="K447">
        <f>IF(CZ447, AN447, AH447)</f>
        <v>0</v>
      </c>
      <c r="L447">
        <f>IF(CZ447, AI447, AG447)</f>
        <v>0</v>
      </c>
      <c r="M447">
        <f>DB447 - IF(AU447&gt;1, L447*CV447*100.0/(AW447*DP447), 0)</f>
        <v>0</v>
      </c>
      <c r="N447">
        <f>((T447-J447/2)*M447-L447)/(T447+J447/2)</f>
        <v>0</v>
      </c>
      <c r="O447">
        <f>N447*(DI447+DJ447)/1000.0</f>
        <v>0</v>
      </c>
      <c r="P447">
        <f>(DB447 - IF(AU447&gt;1, L447*CV447*100.0/(AW447*DP447), 0))*(DI447+DJ447)/1000.0</f>
        <v>0</v>
      </c>
      <c r="Q447">
        <f>2.0/((1/S447-1/R447)+SIGN(S447)*SQRT((1/S447-1/R447)*(1/S447-1/R447) + 4*CW447/((CW447+1)*(CW447+1))*(2*1/S447*1/R447-1/R447*1/R447)))</f>
        <v>0</v>
      </c>
      <c r="R447">
        <f>IF(LEFT(CX447,1)&lt;&gt;"0",IF(LEFT(CX447,1)="1",3.0,CY447),$D$5+$E$5*(DP447*DI447/($K$5*1000))+$F$5*(DP447*DI447/($K$5*1000))*MAX(MIN(CV447,$J$5),$I$5)*MAX(MIN(CV447,$J$5),$I$5)+$G$5*MAX(MIN(CV447,$J$5),$I$5)*(DP447*DI447/($K$5*1000))+$H$5*(DP447*DI447/($K$5*1000))*(DP447*DI447/($K$5*1000)))</f>
        <v>0</v>
      </c>
      <c r="S447">
        <f>J447*(1000-(1000*0.61365*exp(17.502*W447/(240.97+W447))/(DI447+DJ447)+DD447)/2)/(1000*0.61365*exp(17.502*W447/(240.97+W447))/(DI447+DJ447)-DD447)</f>
        <v>0</v>
      </c>
      <c r="T447">
        <f>1/((CW447+1)/(Q447/1.6)+1/(R447/1.37)) + CW447/((CW447+1)/(Q447/1.6) + CW447/(R447/1.37))</f>
        <v>0</v>
      </c>
      <c r="U447">
        <f>(CR447*CU447)</f>
        <v>0</v>
      </c>
      <c r="V447">
        <f>(DK447+(U447+2*0.95*5.67E-8*(((DK447+$B$7)+273)^4-(DK447+273)^4)-44100*J447)/(1.84*29.3*R447+8*0.95*5.67E-8*(DK447+273)^3))</f>
        <v>0</v>
      </c>
      <c r="W447">
        <f>($C$7*DL447+$D$7*DM447+$E$7*V447)</f>
        <v>0</v>
      </c>
      <c r="X447">
        <f>0.61365*exp(17.502*W447/(240.97+W447))</f>
        <v>0</v>
      </c>
      <c r="Y447">
        <f>(Z447/AA447*100)</f>
        <v>0</v>
      </c>
      <c r="Z447">
        <f>DD447*(DI447+DJ447)/1000</f>
        <v>0</v>
      </c>
      <c r="AA447">
        <f>0.61365*exp(17.502*DK447/(240.97+DK447))</f>
        <v>0</v>
      </c>
      <c r="AB447">
        <f>(X447-DD447*(DI447+DJ447)/1000)</f>
        <v>0</v>
      </c>
      <c r="AC447">
        <f>(-J447*44100)</f>
        <v>0</v>
      </c>
      <c r="AD447">
        <f>2*29.3*R447*0.92*(DK447-W447)</f>
        <v>0</v>
      </c>
      <c r="AE447">
        <f>2*0.95*5.67E-8*(((DK447+$B$7)+273)^4-(W447+273)^4)</f>
        <v>0</v>
      </c>
      <c r="AF447">
        <f>U447+AE447+AC447+AD447</f>
        <v>0</v>
      </c>
      <c r="AG447">
        <f>DH447*AU447*(DC447-DB447*(1000-AU447*DE447)/(1000-AU447*DD447))/(100*CV447)</f>
        <v>0</v>
      </c>
      <c r="AH447">
        <f>1000*DH447*AU447*(DD447-DE447)/(100*CV447*(1000-AU447*DD447))</f>
        <v>0</v>
      </c>
      <c r="AI447">
        <f>(AJ447 - AK447 - DI447*1E3/(8.314*(DK447+273.15)) * AM447/DH447 * AL447) * DH447/(100*CV447) * (1000 - DE447)/1000</f>
        <v>0</v>
      </c>
      <c r="AJ447">
        <v>1239.734100780263</v>
      </c>
      <c r="AK447">
        <v>1192.119272727272</v>
      </c>
      <c r="AL447">
        <v>3.397513628962111</v>
      </c>
      <c r="AM447">
        <v>66.38195617057868</v>
      </c>
      <c r="AN447">
        <f>(AP447 - AO447 + DI447*1E3/(8.314*(DK447+273.15)) * AR447/DH447 * AQ447) * DH447/(100*CV447) * 1000/(1000 - AP447)</f>
        <v>0</v>
      </c>
      <c r="AO447">
        <v>9.290213589978611</v>
      </c>
      <c r="AP447">
        <v>18.46519441176471</v>
      </c>
      <c r="AQ447">
        <v>-0.0005653642042026589</v>
      </c>
      <c r="AR447">
        <v>80.47178418790507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MAX(0,($B$13+$C$13*DP447)/(1+$D$13*DP447)*DI447/(DK447+273)*$E$13)</f>
        <v>0</v>
      </c>
      <c r="AX447" t="s">
        <v>417</v>
      </c>
      <c r="AY447" t="s">
        <v>417</v>
      </c>
      <c r="AZ447">
        <v>0</v>
      </c>
      <c r="BA447">
        <v>0</v>
      </c>
      <c r="BB447">
        <f>1-AZ447/BA447</f>
        <v>0</v>
      </c>
      <c r="BC447">
        <v>0</v>
      </c>
      <c r="BD447" t="s">
        <v>417</v>
      </c>
      <c r="BE447" t="s">
        <v>417</v>
      </c>
      <c r="BF447">
        <v>0</v>
      </c>
      <c r="BG447">
        <v>0</v>
      </c>
      <c r="BH447">
        <f>1-BF447/BG447</f>
        <v>0</v>
      </c>
      <c r="BI447">
        <v>0.5</v>
      </c>
      <c r="BJ447">
        <f>CS447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417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BZ447">
        <v>1249</v>
      </c>
      <c r="CA447">
        <v>300</v>
      </c>
      <c r="CB447">
        <v>300</v>
      </c>
      <c r="CC447">
        <v>300</v>
      </c>
      <c r="CD447">
        <v>10442.4</v>
      </c>
      <c r="CE447">
        <v>1239.69</v>
      </c>
      <c r="CF447">
        <v>-0.00735276</v>
      </c>
      <c r="CG447">
        <v>0.07000000000000001</v>
      </c>
      <c r="CH447" t="s">
        <v>417</v>
      </c>
      <c r="CI447" t="s">
        <v>417</v>
      </c>
      <c r="CJ447" t="s">
        <v>417</v>
      </c>
      <c r="CK447" t="s">
        <v>417</v>
      </c>
      <c r="CL447" t="s">
        <v>417</v>
      </c>
      <c r="CM447" t="s">
        <v>417</v>
      </c>
      <c r="CN447" t="s">
        <v>417</v>
      </c>
      <c r="CO447" t="s">
        <v>417</v>
      </c>
      <c r="CP447" t="s">
        <v>417</v>
      </c>
      <c r="CQ447" t="s">
        <v>417</v>
      </c>
      <c r="CR447">
        <f>$B$11*DQ447+$C$11*DR447+$F$11*EC447*(1-EF447)</f>
        <v>0</v>
      </c>
      <c r="CS447">
        <f>CR447*CT447</f>
        <v>0</v>
      </c>
      <c r="CT447">
        <f>($B$11*$D$9+$C$11*$D$9+$F$11*((EP447+EH447)/MAX(EP447+EH447+EQ447, 0.1)*$I$9+EQ447/MAX(EP447+EH447+EQ447, 0.1)*$J$9))/($B$11+$C$11+$F$11)</f>
        <v>0</v>
      </c>
      <c r="CU447">
        <f>($B$11*$K$9+$C$11*$K$9+$F$11*((EP447+EH447)/MAX(EP447+EH447+EQ447, 0.1)*$P$9+EQ447/MAX(EP447+EH447+EQ447, 0.1)*$Q$9))/($B$11+$C$11+$F$11)</f>
        <v>0</v>
      </c>
      <c r="CV447">
        <v>6</v>
      </c>
      <c r="CW447">
        <v>0.5</v>
      </c>
      <c r="CX447" t="s">
        <v>418</v>
      </c>
      <c r="CY447">
        <v>2</v>
      </c>
      <c r="CZ447" t="b">
        <v>1</v>
      </c>
      <c r="DA447">
        <v>1651866623.625</v>
      </c>
      <c r="DB447">
        <v>1167.19</v>
      </c>
      <c r="DC447">
        <v>1232.61</v>
      </c>
      <c r="DD447">
        <v>18.4663</v>
      </c>
      <c r="DE447">
        <v>9.346264999999999</v>
      </c>
      <c r="DF447">
        <v>1169.445</v>
      </c>
      <c r="DG447">
        <v>18.4441</v>
      </c>
      <c r="DH447">
        <v>500.02875</v>
      </c>
      <c r="DI447">
        <v>89.91277500000001</v>
      </c>
      <c r="DJ447">
        <v>0.10011775</v>
      </c>
      <c r="DK447">
        <v>25.926275</v>
      </c>
      <c r="DL447">
        <v>24.99845</v>
      </c>
      <c r="DM447">
        <v>999.9</v>
      </c>
      <c r="DN447">
        <v>0</v>
      </c>
      <c r="DO447">
        <v>0</v>
      </c>
      <c r="DP447">
        <v>10000.3</v>
      </c>
      <c r="DQ447">
        <v>0</v>
      </c>
      <c r="DR447">
        <v>3.20383</v>
      </c>
      <c r="DS447">
        <v>-65.41884999999999</v>
      </c>
      <c r="DT447">
        <v>1189.15</v>
      </c>
      <c r="DU447">
        <v>1244.2375</v>
      </c>
      <c r="DV447">
        <v>9.120035</v>
      </c>
      <c r="DW447">
        <v>1232.61</v>
      </c>
      <c r="DX447">
        <v>9.346264999999999</v>
      </c>
      <c r="DY447">
        <v>1.660355</v>
      </c>
      <c r="DZ447">
        <v>0.84034875</v>
      </c>
      <c r="EA447">
        <v>14.53065</v>
      </c>
      <c r="EB447">
        <v>4.40776</v>
      </c>
      <c r="EC447">
        <v>1500.0725</v>
      </c>
      <c r="ED447">
        <v>0.972992</v>
      </c>
      <c r="EE447">
        <v>0.027008</v>
      </c>
      <c r="EF447">
        <v>0</v>
      </c>
      <c r="EG447">
        <v>900.2535</v>
      </c>
      <c r="EH447">
        <v>5.00097</v>
      </c>
      <c r="EI447">
        <v>13388.15</v>
      </c>
      <c r="EJ447">
        <v>12492.2</v>
      </c>
      <c r="EK447">
        <v>37.687</v>
      </c>
      <c r="EL447">
        <v>39</v>
      </c>
      <c r="EM447">
        <v>38.062</v>
      </c>
      <c r="EN447">
        <v>38.625</v>
      </c>
      <c r="EO447">
        <v>38.562</v>
      </c>
      <c r="EP447">
        <v>1454.6925</v>
      </c>
      <c r="EQ447">
        <v>40.38</v>
      </c>
      <c r="ER447">
        <v>0</v>
      </c>
      <c r="ES447">
        <v>1142.600000143051</v>
      </c>
      <c r="ET447">
        <v>0</v>
      </c>
      <c r="EU447">
        <v>901.39016</v>
      </c>
      <c r="EV447">
        <v>-11.49999998719603</v>
      </c>
      <c r="EW447">
        <v>-178.7615381981137</v>
      </c>
      <c r="EX447">
        <v>13405.236</v>
      </c>
      <c r="EY447">
        <v>15</v>
      </c>
      <c r="EZ447">
        <v>1651865518.1</v>
      </c>
      <c r="FA447" t="s">
        <v>910</v>
      </c>
      <c r="FB447">
        <v>1651865507.1</v>
      </c>
      <c r="FC447">
        <v>1651865518.1</v>
      </c>
      <c r="FD447">
        <v>8</v>
      </c>
      <c r="FE447">
        <v>0.06</v>
      </c>
      <c r="FF447">
        <v>0</v>
      </c>
      <c r="FG447">
        <v>-0.927</v>
      </c>
      <c r="FH447">
        <v>-0.062</v>
      </c>
      <c r="FI447">
        <v>400</v>
      </c>
      <c r="FJ447">
        <v>11</v>
      </c>
      <c r="FK447">
        <v>0.11</v>
      </c>
      <c r="FL447">
        <v>0.01</v>
      </c>
      <c r="FM447">
        <v>-65.26306829268292</v>
      </c>
      <c r="FN447">
        <v>-2.850972125435633</v>
      </c>
      <c r="FO447">
        <v>0.3397698126379274</v>
      </c>
      <c r="FP447">
        <v>-1</v>
      </c>
      <c r="FQ447">
        <v>9.276845365853658</v>
      </c>
      <c r="FR447">
        <v>-0.813584738675957</v>
      </c>
      <c r="FS447">
        <v>0.08076064928940729</v>
      </c>
      <c r="FT447">
        <v>-1</v>
      </c>
      <c r="FU447">
        <v>0</v>
      </c>
      <c r="FV447">
        <v>0</v>
      </c>
      <c r="FW447">
        <v>0</v>
      </c>
      <c r="FX447">
        <v>-1</v>
      </c>
      <c r="FY447">
        <v>0</v>
      </c>
      <c r="FZ447">
        <v>0</v>
      </c>
      <c r="GA447" t="s">
        <v>420</v>
      </c>
      <c r="GB447">
        <v>2.98152</v>
      </c>
      <c r="GC447">
        <v>2.70625</v>
      </c>
      <c r="GD447">
        <v>0.189457</v>
      </c>
      <c r="GE447">
        <v>0.193709</v>
      </c>
      <c r="GF447">
        <v>0.0882006</v>
      </c>
      <c r="GG447">
        <v>0.052744</v>
      </c>
      <c r="GH447">
        <v>25615.8</v>
      </c>
      <c r="GI447">
        <v>25536.2</v>
      </c>
      <c r="GJ447">
        <v>29380.6</v>
      </c>
      <c r="GK447">
        <v>29295.3</v>
      </c>
      <c r="GL447">
        <v>35471.9</v>
      </c>
      <c r="GM447">
        <v>36967.8</v>
      </c>
      <c r="GN447">
        <v>41353.6</v>
      </c>
      <c r="GO447">
        <v>41816.1</v>
      </c>
      <c r="GP447">
        <v>1.9675</v>
      </c>
      <c r="GQ447">
        <v>1.85818</v>
      </c>
      <c r="GR447">
        <v>-0.00350177</v>
      </c>
      <c r="GS447">
        <v>0</v>
      </c>
      <c r="GT447">
        <v>25.0558</v>
      </c>
      <c r="GU447">
        <v>999.9</v>
      </c>
      <c r="GV447">
        <v>29.4</v>
      </c>
      <c r="GW447">
        <v>34.2</v>
      </c>
      <c r="GX447">
        <v>17.6677</v>
      </c>
      <c r="GY447">
        <v>62.3476</v>
      </c>
      <c r="GZ447">
        <v>35.4046</v>
      </c>
      <c r="HA447">
        <v>1</v>
      </c>
      <c r="HB447">
        <v>0.0391616</v>
      </c>
      <c r="HC447">
        <v>1.53004</v>
      </c>
      <c r="HD447">
        <v>20.3276</v>
      </c>
      <c r="HE447">
        <v>5.21654</v>
      </c>
      <c r="HF447">
        <v>12.0099</v>
      </c>
      <c r="HG447">
        <v>4.98875</v>
      </c>
      <c r="HH447">
        <v>3.2885</v>
      </c>
      <c r="HI447">
        <v>1036.9</v>
      </c>
      <c r="HJ447">
        <v>9771.799999999999</v>
      </c>
      <c r="HK447">
        <v>5139.4</v>
      </c>
      <c r="HL447">
        <v>25.4</v>
      </c>
      <c r="HM447">
        <v>1.86747</v>
      </c>
      <c r="HN447">
        <v>1.86646</v>
      </c>
      <c r="HO447">
        <v>1.86599</v>
      </c>
      <c r="HP447">
        <v>1.86586</v>
      </c>
      <c r="HQ447">
        <v>1.86768</v>
      </c>
      <c r="HR447">
        <v>1.87018</v>
      </c>
      <c r="HS447">
        <v>1.8689</v>
      </c>
      <c r="HT447">
        <v>1.8702</v>
      </c>
      <c r="HU447">
        <v>0</v>
      </c>
      <c r="HV447">
        <v>0</v>
      </c>
      <c r="HW447">
        <v>0</v>
      </c>
      <c r="HX447">
        <v>0</v>
      </c>
      <c r="HY447" t="s">
        <v>421</v>
      </c>
      <c r="HZ447" t="s">
        <v>422</v>
      </c>
      <c r="IA447" t="s">
        <v>423</v>
      </c>
      <c r="IB447" t="s">
        <v>423</v>
      </c>
      <c r="IC447" t="s">
        <v>423</v>
      </c>
      <c r="ID447" t="s">
        <v>423</v>
      </c>
      <c r="IE447">
        <v>0</v>
      </c>
      <c r="IF447">
        <v>100</v>
      </c>
      <c r="IG447">
        <v>100</v>
      </c>
      <c r="IH447">
        <v>-2.26</v>
      </c>
      <c r="II447">
        <v>0.0222</v>
      </c>
      <c r="IJ447">
        <v>-0.1559367209035702</v>
      </c>
      <c r="IK447">
        <v>-0.002077099775823331</v>
      </c>
      <c r="IL447">
        <v>4.593143279902166E-07</v>
      </c>
      <c r="IM447">
        <v>-1.865383991892071E-10</v>
      </c>
      <c r="IN447">
        <v>-0.0607165066849496</v>
      </c>
      <c r="IO447">
        <v>-0.01129461987421345</v>
      </c>
      <c r="IP447">
        <v>0.00116580895745559</v>
      </c>
      <c r="IQ447">
        <v>-1.679085872906199E-05</v>
      </c>
      <c r="IR447">
        <v>2</v>
      </c>
      <c r="IS447">
        <v>2290</v>
      </c>
      <c r="IT447">
        <v>0</v>
      </c>
      <c r="IU447">
        <v>32</v>
      </c>
      <c r="IV447">
        <v>18.6</v>
      </c>
      <c r="IW447">
        <v>18.4</v>
      </c>
      <c r="IX447">
        <v>2.4939</v>
      </c>
      <c r="IY447">
        <v>2.17896</v>
      </c>
      <c r="IZ447">
        <v>1.39648</v>
      </c>
      <c r="JA447">
        <v>2.35474</v>
      </c>
      <c r="JB447">
        <v>1.49536</v>
      </c>
      <c r="JC447">
        <v>2.35596</v>
      </c>
      <c r="JD447">
        <v>38.0377</v>
      </c>
      <c r="JE447">
        <v>24.0437</v>
      </c>
      <c r="JF447">
        <v>18</v>
      </c>
      <c r="JG447">
        <v>512.088</v>
      </c>
      <c r="JH447">
        <v>427.879</v>
      </c>
      <c r="JI447">
        <v>23.1849</v>
      </c>
      <c r="JJ447">
        <v>27.8279</v>
      </c>
      <c r="JK447">
        <v>30</v>
      </c>
      <c r="JL447">
        <v>27.8347</v>
      </c>
      <c r="JM447">
        <v>27.7767</v>
      </c>
      <c r="JN447">
        <v>49.9476</v>
      </c>
      <c r="JO447">
        <v>44.2945</v>
      </c>
      <c r="JP447">
        <v>0</v>
      </c>
      <c r="JQ447">
        <v>23.1733</v>
      </c>
      <c r="JR447">
        <v>1255.84</v>
      </c>
      <c r="JS447">
        <v>9.491440000000001</v>
      </c>
      <c r="JT447">
        <v>100.428</v>
      </c>
      <c r="JU447">
        <v>100.359</v>
      </c>
    </row>
    <row r="448" spans="1:281">
      <c r="A448">
        <v>432</v>
      </c>
      <c r="B448">
        <v>1651866627</v>
      </c>
      <c r="C448">
        <v>2406.400000095367</v>
      </c>
      <c r="D448" t="s">
        <v>1287</v>
      </c>
      <c r="E448" t="s">
        <v>1288</v>
      </c>
      <c r="F448">
        <v>2</v>
      </c>
      <c r="G448" t="s">
        <v>908</v>
      </c>
      <c r="H448" t="s">
        <v>414</v>
      </c>
      <c r="I448">
        <v>1651866626</v>
      </c>
      <c r="J448">
        <f>(K448)/1000</f>
        <v>0</v>
      </c>
      <c r="K448">
        <f>IF(CZ448, AN448, AH448)</f>
        <v>0</v>
      </c>
      <c r="L448">
        <f>IF(CZ448, AI448, AG448)</f>
        <v>0</v>
      </c>
      <c r="M448">
        <f>DB448 - IF(AU448&gt;1, L448*CV448*100.0/(AW448*DP448), 0)</f>
        <v>0</v>
      </c>
      <c r="N448">
        <f>((T448-J448/2)*M448-L448)/(T448+J448/2)</f>
        <v>0</v>
      </c>
      <c r="O448">
        <f>N448*(DI448+DJ448)/1000.0</f>
        <v>0</v>
      </c>
      <c r="P448">
        <f>(DB448 - IF(AU448&gt;1, L448*CV448*100.0/(AW448*DP448), 0))*(DI448+DJ448)/1000.0</f>
        <v>0</v>
      </c>
      <c r="Q448">
        <f>2.0/((1/S448-1/R448)+SIGN(S448)*SQRT((1/S448-1/R448)*(1/S448-1/R448) + 4*CW448/((CW448+1)*(CW448+1))*(2*1/S448*1/R448-1/R448*1/R448)))</f>
        <v>0</v>
      </c>
      <c r="R448">
        <f>IF(LEFT(CX448,1)&lt;&gt;"0",IF(LEFT(CX448,1)="1",3.0,CY448),$D$5+$E$5*(DP448*DI448/($K$5*1000))+$F$5*(DP448*DI448/($K$5*1000))*MAX(MIN(CV448,$J$5),$I$5)*MAX(MIN(CV448,$J$5),$I$5)+$G$5*MAX(MIN(CV448,$J$5),$I$5)*(DP448*DI448/($K$5*1000))+$H$5*(DP448*DI448/($K$5*1000))*(DP448*DI448/($K$5*1000)))</f>
        <v>0</v>
      </c>
      <c r="S448">
        <f>J448*(1000-(1000*0.61365*exp(17.502*W448/(240.97+W448))/(DI448+DJ448)+DD448)/2)/(1000*0.61365*exp(17.502*W448/(240.97+W448))/(DI448+DJ448)-DD448)</f>
        <v>0</v>
      </c>
      <c r="T448">
        <f>1/((CW448+1)/(Q448/1.6)+1/(R448/1.37)) + CW448/((CW448+1)/(Q448/1.6) + CW448/(R448/1.37))</f>
        <v>0</v>
      </c>
      <c r="U448">
        <f>(CR448*CU448)</f>
        <v>0</v>
      </c>
      <c r="V448">
        <f>(DK448+(U448+2*0.95*5.67E-8*(((DK448+$B$7)+273)^4-(DK448+273)^4)-44100*J448)/(1.84*29.3*R448+8*0.95*5.67E-8*(DK448+273)^3))</f>
        <v>0</v>
      </c>
      <c r="W448">
        <f>($C$7*DL448+$D$7*DM448+$E$7*V448)</f>
        <v>0</v>
      </c>
      <c r="X448">
        <f>0.61365*exp(17.502*W448/(240.97+W448))</f>
        <v>0</v>
      </c>
      <c r="Y448">
        <f>(Z448/AA448*100)</f>
        <v>0</v>
      </c>
      <c r="Z448">
        <f>DD448*(DI448+DJ448)/1000</f>
        <v>0</v>
      </c>
      <c r="AA448">
        <f>0.61365*exp(17.502*DK448/(240.97+DK448))</f>
        <v>0</v>
      </c>
      <c r="AB448">
        <f>(X448-DD448*(DI448+DJ448)/1000)</f>
        <v>0</v>
      </c>
      <c r="AC448">
        <f>(-J448*44100)</f>
        <v>0</v>
      </c>
      <c r="AD448">
        <f>2*29.3*R448*0.92*(DK448-W448)</f>
        <v>0</v>
      </c>
      <c r="AE448">
        <f>2*0.95*5.67E-8*(((DK448+$B$7)+273)^4-(W448+273)^4)</f>
        <v>0</v>
      </c>
      <c r="AF448">
        <f>U448+AE448+AC448+AD448</f>
        <v>0</v>
      </c>
      <c r="AG448">
        <f>DH448*AU448*(DC448-DB448*(1000-AU448*DE448)/(1000-AU448*DD448))/(100*CV448)</f>
        <v>0</v>
      </c>
      <c r="AH448">
        <f>1000*DH448*AU448*(DD448-DE448)/(100*CV448*(1000-AU448*DD448))</f>
        <v>0</v>
      </c>
      <c r="AI448">
        <f>(AJ448 - AK448 - DI448*1E3/(8.314*(DK448+273.15)) * AM448/DH448 * AL448) * DH448/(100*CV448) * (1000 - DE448)/1000</f>
        <v>0</v>
      </c>
      <c r="AJ448">
        <v>1246.17102223292</v>
      </c>
      <c r="AK448">
        <v>1198.786606060606</v>
      </c>
      <c r="AL448">
        <v>3.354174433800372</v>
      </c>
      <c r="AM448">
        <v>66.38195617057868</v>
      </c>
      <c r="AN448">
        <f>(AP448 - AO448 + DI448*1E3/(8.314*(DK448+273.15)) * AR448/DH448 * AQ448) * DH448/(100*CV448) * 1000/(1000 - AP448)</f>
        <v>0</v>
      </c>
      <c r="AO448">
        <v>9.325092561418755</v>
      </c>
      <c r="AP448">
        <v>18.46646294117647</v>
      </c>
      <c r="AQ448">
        <v>-0.0004297291059364152</v>
      </c>
      <c r="AR448">
        <v>80.47178418790507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MAX(0,($B$13+$C$13*DP448)/(1+$D$13*DP448)*DI448/(DK448+273)*$E$13)</f>
        <v>0</v>
      </c>
      <c r="AX448" t="s">
        <v>417</v>
      </c>
      <c r="AY448" t="s">
        <v>417</v>
      </c>
      <c r="AZ448">
        <v>0</v>
      </c>
      <c r="BA448">
        <v>0</v>
      </c>
      <c r="BB448">
        <f>1-AZ448/BA448</f>
        <v>0</v>
      </c>
      <c r="BC448">
        <v>0</v>
      </c>
      <c r="BD448" t="s">
        <v>417</v>
      </c>
      <c r="BE448" t="s">
        <v>417</v>
      </c>
      <c r="BF448">
        <v>0</v>
      </c>
      <c r="BG448">
        <v>0</v>
      </c>
      <c r="BH448">
        <f>1-BF448/BG448</f>
        <v>0</v>
      </c>
      <c r="BI448">
        <v>0.5</v>
      </c>
      <c r="BJ448">
        <f>CS448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417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BZ448">
        <v>1249</v>
      </c>
      <c r="CA448">
        <v>300</v>
      </c>
      <c r="CB448">
        <v>300</v>
      </c>
      <c r="CC448">
        <v>300</v>
      </c>
      <c r="CD448">
        <v>10442.4</v>
      </c>
      <c r="CE448">
        <v>1239.69</v>
      </c>
      <c r="CF448">
        <v>-0.00735276</v>
      </c>
      <c r="CG448">
        <v>0.07000000000000001</v>
      </c>
      <c r="CH448" t="s">
        <v>417</v>
      </c>
      <c r="CI448" t="s">
        <v>417</v>
      </c>
      <c r="CJ448" t="s">
        <v>417</v>
      </c>
      <c r="CK448" t="s">
        <v>417</v>
      </c>
      <c r="CL448" t="s">
        <v>417</v>
      </c>
      <c r="CM448" t="s">
        <v>417</v>
      </c>
      <c r="CN448" t="s">
        <v>417</v>
      </c>
      <c r="CO448" t="s">
        <v>417</v>
      </c>
      <c r="CP448" t="s">
        <v>417</v>
      </c>
      <c r="CQ448" t="s">
        <v>417</v>
      </c>
      <c r="CR448">
        <f>$B$11*DQ448+$C$11*DR448+$F$11*EC448*(1-EF448)</f>
        <v>0</v>
      </c>
      <c r="CS448">
        <f>CR448*CT448</f>
        <v>0</v>
      </c>
      <c r="CT448">
        <f>($B$11*$D$9+$C$11*$D$9+$F$11*((EP448+EH448)/MAX(EP448+EH448+EQ448, 0.1)*$I$9+EQ448/MAX(EP448+EH448+EQ448, 0.1)*$J$9))/($B$11+$C$11+$F$11)</f>
        <v>0</v>
      </c>
      <c r="CU448">
        <f>($B$11*$K$9+$C$11*$K$9+$F$11*((EP448+EH448)/MAX(EP448+EH448+EQ448, 0.1)*$P$9+EQ448/MAX(EP448+EH448+EQ448, 0.1)*$Q$9))/($B$11+$C$11+$F$11)</f>
        <v>0</v>
      </c>
      <c r="CV448">
        <v>6</v>
      </c>
      <c r="CW448">
        <v>0.5</v>
      </c>
      <c r="CX448" t="s">
        <v>418</v>
      </c>
      <c r="CY448">
        <v>2</v>
      </c>
      <c r="CZ448" t="b">
        <v>1</v>
      </c>
      <c r="DA448">
        <v>1651866626</v>
      </c>
      <c r="DB448">
        <v>1175.016666666667</v>
      </c>
      <c r="DC448">
        <v>1240.33</v>
      </c>
      <c r="DD448">
        <v>18.4658</v>
      </c>
      <c r="DE448">
        <v>9.379823333333334</v>
      </c>
      <c r="DF448">
        <v>1177.286666666667</v>
      </c>
      <c r="DG448">
        <v>18.4436</v>
      </c>
      <c r="DH448">
        <v>500.0539999999999</v>
      </c>
      <c r="DI448">
        <v>89.9119</v>
      </c>
      <c r="DJ448">
        <v>0.100124</v>
      </c>
      <c r="DK448">
        <v>25.9272</v>
      </c>
      <c r="DL448">
        <v>24.99856666666667</v>
      </c>
      <c r="DM448">
        <v>999.9</v>
      </c>
      <c r="DN448">
        <v>0</v>
      </c>
      <c r="DO448">
        <v>0</v>
      </c>
      <c r="DP448">
        <v>9991.459999999999</v>
      </c>
      <c r="DQ448">
        <v>0</v>
      </c>
      <c r="DR448">
        <v>3.20383</v>
      </c>
      <c r="DS448">
        <v>-65.31063333333333</v>
      </c>
      <c r="DT448">
        <v>1197.126666666667</v>
      </c>
      <c r="DU448">
        <v>1252.073333333333</v>
      </c>
      <c r="DV448">
        <v>9.086</v>
      </c>
      <c r="DW448">
        <v>1240.33</v>
      </c>
      <c r="DX448">
        <v>9.379823333333334</v>
      </c>
      <c r="DY448">
        <v>1.660296666666667</v>
      </c>
      <c r="DZ448">
        <v>0.8433573333333332</v>
      </c>
      <c r="EA448">
        <v>14.5301</v>
      </c>
      <c r="EB448">
        <v>4.458803333333333</v>
      </c>
      <c r="EC448">
        <v>1499.75</v>
      </c>
      <c r="ED448">
        <v>0.973007</v>
      </c>
      <c r="EE448">
        <v>0.0269931</v>
      </c>
      <c r="EF448">
        <v>0</v>
      </c>
      <c r="EG448">
        <v>899.7536666666666</v>
      </c>
      <c r="EH448">
        <v>5.00097</v>
      </c>
      <c r="EI448">
        <v>13377.9</v>
      </c>
      <c r="EJ448">
        <v>12489.53333333333</v>
      </c>
      <c r="EK448">
        <v>37.687</v>
      </c>
      <c r="EL448">
        <v>39</v>
      </c>
      <c r="EM448">
        <v>38.062</v>
      </c>
      <c r="EN448">
        <v>38.562</v>
      </c>
      <c r="EO448">
        <v>38.562</v>
      </c>
      <c r="EP448">
        <v>1454.4</v>
      </c>
      <c r="EQ448">
        <v>40.35</v>
      </c>
      <c r="ER448">
        <v>0</v>
      </c>
      <c r="ES448">
        <v>1144.400000095367</v>
      </c>
      <c r="ET448">
        <v>0</v>
      </c>
      <c r="EU448">
        <v>901.0870769230769</v>
      </c>
      <c r="EV448">
        <v>-11.60123078081899</v>
      </c>
      <c r="EW448">
        <v>-181.7709402626267</v>
      </c>
      <c r="EX448">
        <v>13400.53076923077</v>
      </c>
      <c r="EY448">
        <v>15</v>
      </c>
      <c r="EZ448">
        <v>1651865518.1</v>
      </c>
      <c r="FA448" t="s">
        <v>910</v>
      </c>
      <c r="FB448">
        <v>1651865507.1</v>
      </c>
      <c r="FC448">
        <v>1651865518.1</v>
      </c>
      <c r="FD448">
        <v>8</v>
      </c>
      <c r="FE448">
        <v>0.06</v>
      </c>
      <c r="FF448">
        <v>0</v>
      </c>
      <c r="FG448">
        <v>-0.927</v>
      </c>
      <c r="FH448">
        <v>-0.062</v>
      </c>
      <c r="FI448">
        <v>400</v>
      </c>
      <c r="FJ448">
        <v>11</v>
      </c>
      <c r="FK448">
        <v>0.11</v>
      </c>
      <c r="FL448">
        <v>0.01</v>
      </c>
      <c r="FM448">
        <v>-65.32216750000001</v>
      </c>
      <c r="FN448">
        <v>-1.945014258911594</v>
      </c>
      <c r="FO448">
        <v>0.3062907812745105</v>
      </c>
      <c r="FP448">
        <v>-1</v>
      </c>
      <c r="FQ448">
        <v>9.236109750000001</v>
      </c>
      <c r="FR448">
        <v>-0.8482886679174521</v>
      </c>
      <c r="FS448">
        <v>0.08239592448924585</v>
      </c>
      <c r="FT448">
        <v>-1</v>
      </c>
      <c r="FU448">
        <v>0</v>
      </c>
      <c r="FV448">
        <v>0</v>
      </c>
      <c r="FW448">
        <v>0</v>
      </c>
      <c r="FX448">
        <v>-1</v>
      </c>
      <c r="FY448">
        <v>0</v>
      </c>
      <c r="FZ448">
        <v>0</v>
      </c>
      <c r="GA448" t="s">
        <v>420</v>
      </c>
      <c r="GB448">
        <v>2.98161</v>
      </c>
      <c r="GC448">
        <v>2.70623</v>
      </c>
      <c r="GD448">
        <v>0.190121</v>
      </c>
      <c r="GE448">
        <v>0.194374</v>
      </c>
      <c r="GF448">
        <v>0.0881985</v>
      </c>
      <c r="GG448">
        <v>0.0528149</v>
      </c>
      <c r="GH448">
        <v>25594.7</v>
      </c>
      <c r="GI448">
        <v>25515</v>
      </c>
      <c r="GJ448">
        <v>29380.6</v>
      </c>
      <c r="GK448">
        <v>29295.2</v>
      </c>
      <c r="GL448">
        <v>35471.8</v>
      </c>
      <c r="GM448">
        <v>36964.9</v>
      </c>
      <c r="GN448">
        <v>41353.4</v>
      </c>
      <c r="GO448">
        <v>41816</v>
      </c>
      <c r="GP448">
        <v>1.9675</v>
      </c>
      <c r="GQ448">
        <v>1.85812</v>
      </c>
      <c r="GR448">
        <v>-0.003241</v>
      </c>
      <c r="GS448">
        <v>0</v>
      </c>
      <c r="GT448">
        <v>25.0551</v>
      </c>
      <c r="GU448">
        <v>999.9</v>
      </c>
      <c r="GV448">
        <v>29.4</v>
      </c>
      <c r="GW448">
        <v>34.2</v>
      </c>
      <c r="GX448">
        <v>17.6662</v>
      </c>
      <c r="GY448">
        <v>62.3276</v>
      </c>
      <c r="GZ448">
        <v>35.0801</v>
      </c>
      <c r="HA448">
        <v>1</v>
      </c>
      <c r="HB448">
        <v>0.0391845</v>
      </c>
      <c r="HC448">
        <v>1.51432</v>
      </c>
      <c r="HD448">
        <v>20.3278</v>
      </c>
      <c r="HE448">
        <v>5.21669</v>
      </c>
      <c r="HF448">
        <v>12.0099</v>
      </c>
      <c r="HG448">
        <v>4.98875</v>
      </c>
      <c r="HH448">
        <v>3.2885</v>
      </c>
      <c r="HI448">
        <v>1036.9</v>
      </c>
      <c r="HJ448">
        <v>9771.799999999999</v>
      </c>
      <c r="HK448">
        <v>5139.4</v>
      </c>
      <c r="HL448">
        <v>25.4</v>
      </c>
      <c r="HM448">
        <v>1.86747</v>
      </c>
      <c r="HN448">
        <v>1.86646</v>
      </c>
      <c r="HO448">
        <v>1.866</v>
      </c>
      <c r="HP448">
        <v>1.86585</v>
      </c>
      <c r="HQ448">
        <v>1.86768</v>
      </c>
      <c r="HR448">
        <v>1.8702</v>
      </c>
      <c r="HS448">
        <v>1.8689</v>
      </c>
      <c r="HT448">
        <v>1.87021</v>
      </c>
      <c r="HU448">
        <v>0</v>
      </c>
      <c r="HV448">
        <v>0</v>
      </c>
      <c r="HW448">
        <v>0</v>
      </c>
      <c r="HX448">
        <v>0</v>
      </c>
      <c r="HY448" t="s">
        <v>421</v>
      </c>
      <c r="HZ448" t="s">
        <v>422</v>
      </c>
      <c r="IA448" t="s">
        <v>423</v>
      </c>
      <c r="IB448" t="s">
        <v>423</v>
      </c>
      <c r="IC448" t="s">
        <v>423</v>
      </c>
      <c r="ID448" t="s">
        <v>423</v>
      </c>
      <c r="IE448">
        <v>0</v>
      </c>
      <c r="IF448">
        <v>100</v>
      </c>
      <c r="IG448">
        <v>100</v>
      </c>
      <c r="IH448">
        <v>-2.28</v>
      </c>
      <c r="II448">
        <v>0.0222</v>
      </c>
      <c r="IJ448">
        <v>-0.1559367209035702</v>
      </c>
      <c r="IK448">
        <v>-0.002077099775823331</v>
      </c>
      <c r="IL448">
        <v>4.593143279902166E-07</v>
      </c>
      <c r="IM448">
        <v>-1.865383991892071E-10</v>
      </c>
      <c r="IN448">
        <v>-0.0607165066849496</v>
      </c>
      <c r="IO448">
        <v>-0.01129461987421345</v>
      </c>
      <c r="IP448">
        <v>0.00116580895745559</v>
      </c>
      <c r="IQ448">
        <v>-1.679085872906199E-05</v>
      </c>
      <c r="IR448">
        <v>2</v>
      </c>
      <c r="IS448">
        <v>2290</v>
      </c>
      <c r="IT448">
        <v>0</v>
      </c>
      <c r="IU448">
        <v>32</v>
      </c>
      <c r="IV448">
        <v>18.7</v>
      </c>
      <c r="IW448">
        <v>18.5</v>
      </c>
      <c r="IX448">
        <v>2.50488</v>
      </c>
      <c r="IY448">
        <v>2.18384</v>
      </c>
      <c r="IZ448">
        <v>1.39648</v>
      </c>
      <c r="JA448">
        <v>2.35474</v>
      </c>
      <c r="JB448">
        <v>1.49536</v>
      </c>
      <c r="JC448">
        <v>2.30835</v>
      </c>
      <c r="JD448">
        <v>38.0377</v>
      </c>
      <c r="JE448">
        <v>24.035</v>
      </c>
      <c r="JF448">
        <v>18</v>
      </c>
      <c r="JG448">
        <v>512.079</v>
      </c>
      <c r="JH448">
        <v>427.844</v>
      </c>
      <c r="JI448">
        <v>23.1783</v>
      </c>
      <c r="JJ448">
        <v>27.8279</v>
      </c>
      <c r="JK448">
        <v>30</v>
      </c>
      <c r="JL448">
        <v>27.8336</v>
      </c>
      <c r="JM448">
        <v>27.776</v>
      </c>
      <c r="JN448">
        <v>50.1588</v>
      </c>
      <c r="JO448">
        <v>44.2945</v>
      </c>
      <c r="JP448">
        <v>0</v>
      </c>
      <c r="JQ448">
        <v>23.1733</v>
      </c>
      <c r="JR448">
        <v>1262.52</v>
      </c>
      <c r="JS448">
        <v>9.51925</v>
      </c>
      <c r="JT448">
        <v>100.427</v>
      </c>
      <c r="JU448">
        <v>100.359</v>
      </c>
    </row>
    <row r="449" spans="1:281">
      <c r="A449">
        <v>433</v>
      </c>
      <c r="B449">
        <v>1651866629</v>
      </c>
      <c r="C449">
        <v>2408.400000095367</v>
      </c>
      <c r="D449" t="s">
        <v>1289</v>
      </c>
      <c r="E449" t="s">
        <v>1290</v>
      </c>
      <c r="F449">
        <v>2</v>
      </c>
      <c r="G449" t="s">
        <v>908</v>
      </c>
      <c r="H449" t="s">
        <v>414</v>
      </c>
      <c r="I449">
        <v>1651866627.625</v>
      </c>
      <c r="J449">
        <f>(K449)/1000</f>
        <v>0</v>
      </c>
      <c r="K449">
        <f>IF(CZ449, AN449, AH449)</f>
        <v>0</v>
      </c>
      <c r="L449">
        <f>IF(CZ449, AI449, AG449)</f>
        <v>0</v>
      </c>
      <c r="M449">
        <f>DB449 - IF(AU449&gt;1, L449*CV449*100.0/(AW449*DP449), 0)</f>
        <v>0</v>
      </c>
      <c r="N449">
        <f>((T449-J449/2)*M449-L449)/(T449+J449/2)</f>
        <v>0</v>
      </c>
      <c r="O449">
        <f>N449*(DI449+DJ449)/1000.0</f>
        <v>0</v>
      </c>
      <c r="P449">
        <f>(DB449 - IF(AU449&gt;1, L449*CV449*100.0/(AW449*DP449), 0))*(DI449+DJ449)/1000.0</f>
        <v>0</v>
      </c>
      <c r="Q449">
        <f>2.0/((1/S449-1/R449)+SIGN(S449)*SQRT((1/S449-1/R449)*(1/S449-1/R449) + 4*CW449/((CW449+1)*(CW449+1))*(2*1/S449*1/R449-1/R449*1/R449)))</f>
        <v>0</v>
      </c>
      <c r="R449">
        <f>IF(LEFT(CX449,1)&lt;&gt;"0",IF(LEFT(CX449,1)="1",3.0,CY449),$D$5+$E$5*(DP449*DI449/($K$5*1000))+$F$5*(DP449*DI449/($K$5*1000))*MAX(MIN(CV449,$J$5),$I$5)*MAX(MIN(CV449,$J$5),$I$5)+$G$5*MAX(MIN(CV449,$J$5),$I$5)*(DP449*DI449/($K$5*1000))+$H$5*(DP449*DI449/($K$5*1000))*(DP449*DI449/($K$5*1000)))</f>
        <v>0</v>
      </c>
      <c r="S449">
        <f>J449*(1000-(1000*0.61365*exp(17.502*W449/(240.97+W449))/(DI449+DJ449)+DD449)/2)/(1000*0.61365*exp(17.502*W449/(240.97+W449))/(DI449+DJ449)-DD449)</f>
        <v>0</v>
      </c>
      <c r="T449">
        <f>1/((CW449+1)/(Q449/1.6)+1/(R449/1.37)) + CW449/((CW449+1)/(Q449/1.6) + CW449/(R449/1.37))</f>
        <v>0</v>
      </c>
      <c r="U449">
        <f>(CR449*CU449)</f>
        <v>0</v>
      </c>
      <c r="V449">
        <f>(DK449+(U449+2*0.95*5.67E-8*(((DK449+$B$7)+273)^4-(DK449+273)^4)-44100*J449)/(1.84*29.3*R449+8*0.95*5.67E-8*(DK449+273)^3))</f>
        <v>0</v>
      </c>
      <c r="W449">
        <f>($C$7*DL449+$D$7*DM449+$E$7*V449)</f>
        <v>0</v>
      </c>
      <c r="X449">
        <f>0.61365*exp(17.502*W449/(240.97+W449))</f>
        <v>0</v>
      </c>
      <c r="Y449">
        <f>(Z449/AA449*100)</f>
        <v>0</v>
      </c>
      <c r="Z449">
        <f>DD449*(DI449+DJ449)/1000</f>
        <v>0</v>
      </c>
      <c r="AA449">
        <f>0.61365*exp(17.502*DK449/(240.97+DK449))</f>
        <v>0</v>
      </c>
      <c r="AB449">
        <f>(X449-DD449*(DI449+DJ449)/1000)</f>
        <v>0</v>
      </c>
      <c r="AC449">
        <f>(-J449*44100)</f>
        <v>0</v>
      </c>
      <c r="AD449">
        <f>2*29.3*R449*0.92*(DK449-W449)</f>
        <v>0</v>
      </c>
      <c r="AE449">
        <f>2*0.95*5.67E-8*(((DK449+$B$7)+273)^4-(W449+273)^4)</f>
        <v>0</v>
      </c>
      <c r="AF449">
        <f>U449+AE449+AC449+AD449</f>
        <v>0</v>
      </c>
      <c r="AG449">
        <f>DH449*AU449*(DC449-DB449*(1000-AU449*DE449)/(1000-AU449*DD449))/(100*CV449)</f>
        <v>0</v>
      </c>
      <c r="AH449">
        <f>1000*DH449*AU449*(DD449-DE449)/(100*CV449*(1000-AU449*DD449))</f>
        <v>0</v>
      </c>
      <c r="AI449">
        <f>(AJ449 - AK449 - DI449*1E3/(8.314*(DK449+273.15)) * AM449/DH449 * AL449) * DH449/(100*CV449) * (1000 - DE449)/1000</f>
        <v>0</v>
      </c>
      <c r="AJ449">
        <v>1252.887020496896</v>
      </c>
      <c r="AK449">
        <v>1205.501575757575</v>
      </c>
      <c r="AL449">
        <v>3.350609080335876</v>
      </c>
      <c r="AM449">
        <v>66.38195617057868</v>
      </c>
      <c r="AN449">
        <f>(AP449 - AO449 + DI449*1E3/(8.314*(DK449+273.15)) * AR449/DH449 * AQ449) * DH449/(100*CV449) * 1000/(1000 - AP449)</f>
        <v>0</v>
      </c>
      <c r="AO449">
        <v>9.361059317819326</v>
      </c>
      <c r="AP449">
        <v>18.46192323529412</v>
      </c>
      <c r="AQ449">
        <v>-4.973780869615521E-05</v>
      </c>
      <c r="AR449">
        <v>80.47178418790507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MAX(0,($B$13+$C$13*DP449)/(1+$D$13*DP449)*DI449/(DK449+273)*$E$13)</f>
        <v>0</v>
      </c>
      <c r="AX449" t="s">
        <v>417</v>
      </c>
      <c r="AY449" t="s">
        <v>417</v>
      </c>
      <c r="AZ449">
        <v>0</v>
      </c>
      <c r="BA449">
        <v>0</v>
      </c>
      <c r="BB449">
        <f>1-AZ449/BA449</f>
        <v>0</v>
      </c>
      <c r="BC449">
        <v>0</v>
      </c>
      <c r="BD449" t="s">
        <v>417</v>
      </c>
      <c r="BE449" t="s">
        <v>417</v>
      </c>
      <c r="BF449">
        <v>0</v>
      </c>
      <c r="BG449">
        <v>0</v>
      </c>
      <c r="BH449">
        <f>1-BF449/BG449</f>
        <v>0</v>
      </c>
      <c r="BI449">
        <v>0.5</v>
      </c>
      <c r="BJ449">
        <f>CS449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417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BZ449">
        <v>1249</v>
      </c>
      <c r="CA449">
        <v>300</v>
      </c>
      <c r="CB449">
        <v>300</v>
      </c>
      <c r="CC449">
        <v>300</v>
      </c>
      <c r="CD449">
        <v>10442.4</v>
      </c>
      <c r="CE449">
        <v>1239.69</v>
      </c>
      <c r="CF449">
        <v>-0.00735276</v>
      </c>
      <c r="CG449">
        <v>0.07000000000000001</v>
      </c>
      <c r="CH449" t="s">
        <v>417</v>
      </c>
      <c r="CI449" t="s">
        <v>417</v>
      </c>
      <c r="CJ449" t="s">
        <v>417</v>
      </c>
      <c r="CK449" t="s">
        <v>417</v>
      </c>
      <c r="CL449" t="s">
        <v>417</v>
      </c>
      <c r="CM449" t="s">
        <v>417</v>
      </c>
      <c r="CN449" t="s">
        <v>417</v>
      </c>
      <c r="CO449" t="s">
        <v>417</v>
      </c>
      <c r="CP449" t="s">
        <v>417</v>
      </c>
      <c r="CQ449" t="s">
        <v>417</v>
      </c>
      <c r="CR449">
        <f>$B$11*DQ449+$C$11*DR449+$F$11*EC449*(1-EF449)</f>
        <v>0</v>
      </c>
      <c r="CS449">
        <f>CR449*CT449</f>
        <v>0</v>
      </c>
      <c r="CT449">
        <f>($B$11*$D$9+$C$11*$D$9+$F$11*((EP449+EH449)/MAX(EP449+EH449+EQ449, 0.1)*$I$9+EQ449/MAX(EP449+EH449+EQ449, 0.1)*$J$9))/($B$11+$C$11+$F$11)</f>
        <v>0</v>
      </c>
      <c r="CU449">
        <f>($B$11*$K$9+$C$11*$K$9+$F$11*((EP449+EH449)/MAX(EP449+EH449+EQ449, 0.1)*$P$9+EQ449/MAX(EP449+EH449+EQ449, 0.1)*$Q$9))/($B$11+$C$11+$F$11)</f>
        <v>0</v>
      </c>
      <c r="CV449">
        <v>6</v>
      </c>
      <c r="CW449">
        <v>0.5</v>
      </c>
      <c r="CX449" t="s">
        <v>418</v>
      </c>
      <c r="CY449">
        <v>2</v>
      </c>
      <c r="CZ449" t="b">
        <v>1</v>
      </c>
      <c r="DA449">
        <v>1651866627.625</v>
      </c>
      <c r="DB449">
        <v>1180.355</v>
      </c>
      <c r="DC449">
        <v>1246.13</v>
      </c>
      <c r="DD449">
        <v>18.463</v>
      </c>
      <c r="DE449">
        <v>9.3936125</v>
      </c>
      <c r="DF449">
        <v>1182.6325</v>
      </c>
      <c r="DG449">
        <v>18.44085</v>
      </c>
      <c r="DH449">
        <v>500.0799999999999</v>
      </c>
      <c r="DI449">
        <v>89.91172499999999</v>
      </c>
      <c r="DJ449">
        <v>0.100064675</v>
      </c>
      <c r="DK449">
        <v>25.927375</v>
      </c>
      <c r="DL449">
        <v>25.004425</v>
      </c>
      <c r="DM449">
        <v>999.9</v>
      </c>
      <c r="DN449">
        <v>0</v>
      </c>
      <c r="DO449">
        <v>0</v>
      </c>
      <c r="DP449">
        <v>9993.2875</v>
      </c>
      <c r="DQ449">
        <v>0</v>
      </c>
      <c r="DR449">
        <v>3.20383</v>
      </c>
      <c r="DS449">
        <v>-65.77429999999998</v>
      </c>
      <c r="DT449">
        <v>1202.56</v>
      </c>
      <c r="DU449">
        <v>1257.9475</v>
      </c>
      <c r="DV449">
        <v>9.069400000000002</v>
      </c>
      <c r="DW449">
        <v>1246.13</v>
      </c>
      <c r="DX449">
        <v>9.3936125</v>
      </c>
      <c r="DY449">
        <v>1.66004</v>
      </c>
      <c r="DZ449">
        <v>0.8445959999999999</v>
      </c>
      <c r="EA449">
        <v>14.527725</v>
      </c>
      <c r="EB449">
        <v>4.4797625</v>
      </c>
      <c r="EC449">
        <v>1499.995</v>
      </c>
      <c r="ED449">
        <v>0.97299575</v>
      </c>
      <c r="EE449">
        <v>0.027004275</v>
      </c>
      <c r="EF449">
        <v>0</v>
      </c>
      <c r="EG449">
        <v>899.4480000000001</v>
      </c>
      <c r="EH449">
        <v>5.00097</v>
      </c>
      <c r="EI449">
        <v>13375.5</v>
      </c>
      <c r="EJ449">
        <v>12491.5</v>
      </c>
      <c r="EK449">
        <v>37.687</v>
      </c>
      <c r="EL449">
        <v>38.9685</v>
      </c>
      <c r="EM449">
        <v>38.062</v>
      </c>
      <c r="EN449">
        <v>38.562</v>
      </c>
      <c r="EO449">
        <v>38.562</v>
      </c>
      <c r="EP449">
        <v>1454.6225</v>
      </c>
      <c r="EQ449">
        <v>40.3725</v>
      </c>
      <c r="ER449">
        <v>0</v>
      </c>
      <c r="ES449">
        <v>1146.200000047684</v>
      </c>
      <c r="ET449">
        <v>0</v>
      </c>
      <c r="EU449">
        <v>900.70444</v>
      </c>
      <c r="EV449">
        <v>-12.30161536636189</v>
      </c>
      <c r="EW449">
        <v>-181.3230766109631</v>
      </c>
      <c r="EX449">
        <v>13394.32</v>
      </c>
      <c r="EY449">
        <v>15</v>
      </c>
      <c r="EZ449">
        <v>1651865518.1</v>
      </c>
      <c r="FA449" t="s">
        <v>910</v>
      </c>
      <c r="FB449">
        <v>1651865507.1</v>
      </c>
      <c r="FC449">
        <v>1651865518.1</v>
      </c>
      <c r="FD449">
        <v>8</v>
      </c>
      <c r="FE449">
        <v>0.06</v>
      </c>
      <c r="FF449">
        <v>0</v>
      </c>
      <c r="FG449">
        <v>-0.927</v>
      </c>
      <c r="FH449">
        <v>-0.062</v>
      </c>
      <c r="FI449">
        <v>400</v>
      </c>
      <c r="FJ449">
        <v>11</v>
      </c>
      <c r="FK449">
        <v>0.11</v>
      </c>
      <c r="FL449">
        <v>0.01</v>
      </c>
      <c r="FM449">
        <v>-65.39206097560977</v>
      </c>
      <c r="FN449">
        <v>-2.190263414634195</v>
      </c>
      <c r="FO449">
        <v>0.3272331494314913</v>
      </c>
      <c r="FP449">
        <v>-1</v>
      </c>
      <c r="FQ449">
        <v>9.204802195121951</v>
      </c>
      <c r="FR449">
        <v>-0.8823491289198567</v>
      </c>
      <c r="FS449">
        <v>0.08759706773442395</v>
      </c>
      <c r="FT449">
        <v>-1</v>
      </c>
      <c r="FU449">
        <v>0</v>
      </c>
      <c r="FV449">
        <v>0</v>
      </c>
      <c r="FW449">
        <v>0</v>
      </c>
      <c r="FX449">
        <v>-1</v>
      </c>
      <c r="FY449">
        <v>0</v>
      </c>
      <c r="FZ449">
        <v>0</v>
      </c>
      <c r="GA449" t="s">
        <v>420</v>
      </c>
      <c r="GB449">
        <v>2.98178</v>
      </c>
      <c r="GC449">
        <v>2.70612</v>
      </c>
      <c r="GD449">
        <v>0.190794</v>
      </c>
      <c r="GE449">
        <v>0.19507</v>
      </c>
      <c r="GF449">
        <v>0.08817460000000001</v>
      </c>
      <c r="GG449">
        <v>0.0528992</v>
      </c>
      <c r="GH449">
        <v>25573.9</v>
      </c>
      <c r="GI449">
        <v>25492.9</v>
      </c>
      <c r="GJ449">
        <v>29381.1</v>
      </c>
      <c r="GK449">
        <v>29295.1</v>
      </c>
      <c r="GL449">
        <v>35473.4</v>
      </c>
      <c r="GM449">
        <v>36961.5</v>
      </c>
      <c r="GN449">
        <v>41354.1</v>
      </c>
      <c r="GO449">
        <v>41815.8</v>
      </c>
      <c r="GP449">
        <v>1.96765</v>
      </c>
      <c r="GQ449">
        <v>1.85835</v>
      </c>
      <c r="GR449">
        <v>-0.00298023</v>
      </c>
      <c r="GS449">
        <v>0</v>
      </c>
      <c r="GT449">
        <v>25.0551</v>
      </c>
      <c r="GU449">
        <v>999.9</v>
      </c>
      <c r="GV449">
        <v>29.4</v>
      </c>
      <c r="GW449">
        <v>34.2</v>
      </c>
      <c r="GX449">
        <v>17.6675</v>
      </c>
      <c r="GY449">
        <v>62.3076</v>
      </c>
      <c r="GZ449">
        <v>35.1322</v>
      </c>
      <c r="HA449">
        <v>1</v>
      </c>
      <c r="HB449">
        <v>0.0391845</v>
      </c>
      <c r="HC449">
        <v>1.50999</v>
      </c>
      <c r="HD449">
        <v>20.3278</v>
      </c>
      <c r="HE449">
        <v>5.21684</v>
      </c>
      <c r="HF449">
        <v>12.0099</v>
      </c>
      <c r="HG449">
        <v>4.98855</v>
      </c>
      <c r="HH449">
        <v>3.28848</v>
      </c>
      <c r="HI449">
        <v>1036.9</v>
      </c>
      <c r="HJ449">
        <v>9771.799999999999</v>
      </c>
      <c r="HK449">
        <v>5139.4</v>
      </c>
      <c r="HL449">
        <v>25.4</v>
      </c>
      <c r="HM449">
        <v>1.86745</v>
      </c>
      <c r="HN449">
        <v>1.86646</v>
      </c>
      <c r="HO449">
        <v>1.866</v>
      </c>
      <c r="HP449">
        <v>1.86585</v>
      </c>
      <c r="HQ449">
        <v>1.86768</v>
      </c>
      <c r="HR449">
        <v>1.87021</v>
      </c>
      <c r="HS449">
        <v>1.8689</v>
      </c>
      <c r="HT449">
        <v>1.87023</v>
      </c>
      <c r="HU449">
        <v>0</v>
      </c>
      <c r="HV449">
        <v>0</v>
      </c>
      <c r="HW449">
        <v>0</v>
      </c>
      <c r="HX449">
        <v>0</v>
      </c>
      <c r="HY449" t="s">
        <v>421</v>
      </c>
      <c r="HZ449" t="s">
        <v>422</v>
      </c>
      <c r="IA449" t="s">
        <v>423</v>
      </c>
      <c r="IB449" t="s">
        <v>423</v>
      </c>
      <c r="IC449" t="s">
        <v>423</v>
      </c>
      <c r="ID449" t="s">
        <v>423</v>
      </c>
      <c r="IE449">
        <v>0</v>
      </c>
      <c r="IF449">
        <v>100</v>
      </c>
      <c r="IG449">
        <v>100</v>
      </c>
      <c r="IH449">
        <v>-2.29</v>
      </c>
      <c r="II449">
        <v>0.0221</v>
      </c>
      <c r="IJ449">
        <v>-0.1559367209035702</v>
      </c>
      <c r="IK449">
        <v>-0.002077099775823331</v>
      </c>
      <c r="IL449">
        <v>4.593143279902166E-07</v>
      </c>
      <c r="IM449">
        <v>-1.865383991892071E-10</v>
      </c>
      <c r="IN449">
        <v>-0.0607165066849496</v>
      </c>
      <c r="IO449">
        <v>-0.01129461987421345</v>
      </c>
      <c r="IP449">
        <v>0.00116580895745559</v>
      </c>
      <c r="IQ449">
        <v>-1.679085872906199E-05</v>
      </c>
      <c r="IR449">
        <v>2</v>
      </c>
      <c r="IS449">
        <v>2290</v>
      </c>
      <c r="IT449">
        <v>0</v>
      </c>
      <c r="IU449">
        <v>32</v>
      </c>
      <c r="IV449">
        <v>18.7</v>
      </c>
      <c r="IW449">
        <v>18.5</v>
      </c>
      <c r="IX449">
        <v>2.51465</v>
      </c>
      <c r="IY449">
        <v>2.17896</v>
      </c>
      <c r="IZ449">
        <v>1.39648</v>
      </c>
      <c r="JA449">
        <v>2.35474</v>
      </c>
      <c r="JB449">
        <v>1.49536</v>
      </c>
      <c r="JC449">
        <v>2.35107</v>
      </c>
      <c r="JD449">
        <v>38.0134</v>
      </c>
      <c r="JE449">
        <v>24.0437</v>
      </c>
      <c r="JF449">
        <v>18</v>
      </c>
      <c r="JG449">
        <v>512.167</v>
      </c>
      <c r="JH449">
        <v>427.975</v>
      </c>
      <c r="JI449">
        <v>23.1756</v>
      </c>
      <c r="JJ449">
        <v>27.8273</v>
      </c>
      <c r="JK449">
        <v>30</v>
      </c>
      <c r="JL449">
        <v>27.8324</v>
      </c>
      <c r="JM449">
        <v>27.7755</v>
      </c>
      <c r="JN449">
        <v>50.3666</v>
      </c>
      <c r="JO449">
        <v>44.0207</v>
      </c>
      <c r="JP449">
        <v>0</v>
      </c>
      <c r="JQ449">
        <v>23.1733</v>
      </c>
      <c r="JR449">
        <v>1269.2</v>
      </c>
      <c r="JS449">
        <v>9.546569999999999</v>
      </c>
      <c r="JT449">
        <v>100.429</v>
      </c>
      <c r="JU449">
        <v>100.358</v>
      </c>
    </row>
    <row r="450" spans="1:281">
      <c r="A450">
        <v>434</v>
      </c>
      <c r="B450">
        <v>1651866631</v>
      </c>
      <c r="C450">
        <v>2410.400000095367</v>
      </c>
      <c r="D450" t="s">
        <v>1291</v>
      </c>
      <c r="E450" t="s">
        <v>1292</v>
      </c>
      <c r="F450">
        <v>2</v>
      </c>
      <c r="G450" t="s">
        <v>908</v>
      </c>
      <c r="H450" t="s">
        <v>414</v>
      </c>
      <c r="I450">
        <v>1651866630</v>
      </c>
      <c r="J450">
        <f>(K450)/1000</f>
        <v>0</v>
      </c>
      <c r="K450">
        <f>IF(CZ450, AN450, AH450)</f>
        <v>0</v>
      </c>
      <c r="L450">
        <f>IF(CZ450, AI450, AG450)</f>
        <v>0</v>
      </c>
      <c r="M450">
        <f>DB450 - IF(AU450&gt;1, L450*CV450*100.0/(AW450*DP450), 0)</f>
        <v>0</v>
      </c>
      <c r="N450">
        <f>((T450-J450/2)*M450-L450)/(T450+J450/2)</f>
        <v>0</v>
      </c>
      <c r="O450">
        <f>N450*(DI450+DJ450)/1000.0</f>
        <v>0</v>
      </c>
      <c r="P450">
        <f>(DB450 - IF(AU450&gt;1, L450*CV450*100.0/(AW450*DP450), 0))*(DI450+DJ450)/1000.0</f>
        <v>0</v>
      </c>
      <c r="Q450">
        <f>2.0/((1/S450-1/R450)+SIGN(S450)*SQRT((1/S450-1/R450)*(1/S450-1/R450) + 4*CW450/((CW450+1)*(CW450+1))*(2*1/S450*1/R450-1/R450*1/R450)))</f>
        <v>0</v>
      </c>
      <c r="R450">
        <f>IF(LEFT(CX450,1)&lt;&gt;"0",IF(LEFT(CX450,1)="1",3.0,CY450),$D$5+$E$5*(DP450*DI450/($K$5*1000))+$F$5*(DP450*DI450/($K$5*1000))*MAX(MIN(CV450,$J$5),$I$5)*MAX(MIN(CV450,$J$5),$I$5)+$G$5*MAX(MIN(CV450,$J$5),$I$5)*(DP450*DI450/($K$5*1000))+$H$5*(DP450*DI450/($K$5*1000))*(DP450*DI450/($K$5*1000)))</f>
        <v>0</v>
      </c>
      <c r="S450">
        <f>J450*(1000-(1000*0.61365*exp(17.502*W450/(240.97+W450))/(DI450+DJ450)+DD450)/2)/(1000*0.61365*exp(17.502*W450/(240.97+W450))/(DI450+DJ450)-DD450)</f>
        <v>0</v>
      </c>
      <c r="T450">
        <f>1/((CW450+1)/(Q450/1.6)+1/(R450/1.37)) + CW450/((CW450+1)/(Q450/1.6) + CW450/(R450/1.37))</f>
        <v>0</v>
      </c>
      <c r="U450">
        <f>(CR450*CU450)</f>
        <v>0</v>
      </c>
      <c r="V450">
        <f>(DK450+(U450+2*0.95*5.67E-8*(((DK450+$B$7)+273)^4-(DK450+273)^4)-44100*J450)/(1.84*29.3*R450+8*0.95*5.67E-8*(DK450+273)^3))</f>
        <v>0</v>
      </c>
      <c r="W450">
        <f>($C$7*DL450+$D$7*DM450+$E$7*V450)</f>
        <v>0</v>
      </c>
      <c r="X450">
        <f>0.61365*exp(17.502*W450/(240.97+W450))</f>
        <v>0</v>
      </c>
      <c r="Y450">
        <f>(Z450/AA450*100)</f>
        <v>0</v>
      </c>
      <c r="Z450">
        <f>DD450*(DI450+DJ450)/1000</f>
        <v>0</v>
      </c>
      <c r="AA450">
        <f>0.61365*exp(17.502*DK450/(240.97+DK450))</f>
        <v>0</v>
      </c>
      <c r="AB450">
        <f>(X450-DD450*(DI450+DJ450)/1000)</f>
        <v>0</v>
      </c>
      <c r="AC450">
        <f>(-J450*44100)</f>
        <v>0</v>
      </c>
      <c r="AD450">
        <f>2*29.3*R450*0.92*(DK450-W450)</f>
        <v>0</v>
      </c>
      <c r="AE450">
        <f>2*0.95*5.67E-8*(((DK450+$B$7)+273)^4-(W450+273)^4)</f>
        <v>0</v>
      </c>
      <c r="AF450">
        <f>U450+AE450+AC450+AD450</f>
        <v>0</v>
      </c>
      <c r="AG450">
        <f>DH450*AU450*(DC450-DB450*(1000-AU450*DE450)/(1000-AU450*DD450))/(100*CV450)</f>
        <v>0</v>
      </c>
      <c r="AH450">
        <f>1000*DH450*AU450*(DD450-DE450)/(100*CV450*(1000-AU450*DD450))</f>
        <v>0</v>
      </c>
      <c r="AI450">
        <f>(AJ450 - AK450 - DI450*1E3/(8.314*(DK450+273.15)) * AM450/DH450 * AL450) * DH450/(100*CV450) * (1000 - DE450)/1000</f>
        <v>0</v>
      </c>
      <c r="AJ450">
        <v>1260.158933099607</v>
      </c>
      <c r="AK450">
        <v>1212.415333333333</v>
      </c>
      <c r="AL450">
        <v>3.422679227727973</v>
      </c>
      <c r="AM450">
        <v>66.38195617057868</v>
      </c>
      <c r="AN450">
        <f>(AP450 - AO450 + DI450*1E3/(8.314*(DK450+273.15)) * AR450/DH450 * AQ450) * DH450/(100*CV450) * 1000/(1000 - AP450)</f>
        <v>0</v>
      </c>
      <c r="AO450">
        <v>9.382718960725398</v>
      </c>
      <c r="AP450">
        <v>18.4521544117647</v>
      </c>
      <c r="AQ450">
        <v>8.228014410232899E-05</v>
      </c>
      <c r="AR450">
        <v>80.47178418790507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MAX(0,($B$13+$C$13*DP450)/(1+$D$13*DP450)*DI450/(DK450+273)*$E$13)</f>
        <v>0</v>
      </c>
      <c r="AX450" t="s">
        <v>417</v>
      </c>
      <c r="AY450" t="s">
        <v>417</v>
      </c>
      <c r="AZ450">
        <v>0</v>
      </c>
      <c r="BA450">
        <v>0</v>
      </c>
      <c r="BB450">
        <f>1-AZ450/BA450</f>
        <v>0</v>
      </c>
      <c r="BC450">
        <v>0</v>
      </c>
      <c r="BD450" t="s">
        <v>417</v>
      </c>
      <c r="BE450" t="s">
        <v>417</v>
      </c>
      <c r="BF450">
        <v>0</v>
      </c>
      <c r="BG450">
        <v>0</v>
      </c>
      <c r="BH450">
        <f>1-BF450/BG450</f>
        <v>0</v>
      </c>
      <c r="BI450">
        <v>0.5</v>
      </c>
      <c r="BJ450">
        <f>CS450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417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BZ450">
        <v>1249</v>
      </c>
      <c r="CA450">
        <v>300</v>
      </c>
      <c r="CB450">
        <v>300</v>
      </c>
      <c r="CC450">
        <v>300</v>
      </c>
      <c r="CD450">
        <v>10442.4</v>
      </c>
      <c r="CE450">
        <v>1239.69</v>
      </c>
      <c r="CF450">
        <v>-0.00735276</v>
      </c>
      <c r="CG450">
        <v>0.07000000000000001</v>
      </c>
      <c r="CH450" t="s">
        <v>417</v>
      </c>
      <c r="CI450" t="s">
        <v>417</v>
      </c>
      <c r="CJ450" t="s">
        <v>417</v>
      </c>
      <c r="CK450" t="s">
        <v>417</v>
      </c>
      <c r="CL450" t="s">
        <v>417</v>
      </c>
      <c r="CM450" t="s">
        <v>417</v>
      </c>
      <c r="CN450" t="s">
        <v>417</v>
      </c>
      <c r="CO450" t="s">
        <v>417</v>
      </c>
      <c r="CP450" t="s">
        <v>417</v>
      </c>
      <c r="CQ450" t="s">
        <v>417</v>
      </c>
      <c r="CR450">
        <f>$B$11*DQ450+$C$11*DR450+$F$11*EC450*(1-EF450)</f>
        <v>0</v>
      </c>
      <c r="CS450">
        <f>CR450*CT450</f>
        <v>0</v>
      </c>
      <c r="CT450">
        <f>($B$11*$D$9+$C$11*$D$9+$F$11*((EP450+EH450)/MAX(EP450+EH450+EQ450, 0.1)*$I$9+EQ450/MAX(EP450+EH450+EQ450, 0.1)*$J$9))/($B$11+$C$11+$F$11)</f>
        <v>0</v>
      </c>
      <c r="CU450">
        <f>($B$11*$K$9+$C$11*$K$9+$F$11*((EP450+EH450)/MAX(EP450+EH450+EQ450, 0.1)*$P$9+EQ450/MAX(EP450+EH450+EQ450, 0.1)*$Q$9))/($B$11+$C$11+$F$11)</f>
        <v>0</v>
      </c>
      <c r="CV450">
        <v>6</v>
      </c>
      <c r="CW450">
        <v>0.5</v>
      </c>
      <c r="CX450" t="s">
        <v>418</v>
      </c>
      <c r="CY450">
        <v>2</v>
      </c>
      <c r="CZ450" t="b">
        <v>1</v>
      </c>
      <c r="DA450">
        <v>1651866630</v>
      </c>
      <c r="DB450">
        <v>1188.333333333333</v>
      </c>
      <c r="DC450">
        <v>1254.293333333333</v>
      </c>
      <c r="DD450">
        <v>18.45463333333333</v>
      </c>
      <c r="DE450">
        <v>9.423686666666667</v>
      </c>
      <c r="DF450">
        <v>1190.63</v>
      </c>
      <c r="DG450">
        <v>18.4326</v>
      </c>
      <c r="DH450">
        <v>500.0339999999999</v>
      </c>
      <c r="DI450">
        <v>89.90986666666667</v>
      </c>
      <c r="DJ450">
        <v>0.1000105333333333</v>
      </c>
      <c r="DK450">
        <v>25.92676666666667</v>
      </c>
      <c r="DL450">
        <v>25.01033333333334</v>
      </c>
      <c r="DM450">
        <v>999.9</v>
      </c>
      <c r="DN450">
        <v>0</v>
      </c>
      <c r="DO450">
        <v>0</v>
      </c>
      <c r="DP450">
        <v>9990.209999999999</v>
      </c>
      <c r="DQ450">
        <v>0</v>
      </c>
      <c r="DR450">
        <v>3.20383</v>
      </c>
      <c r="DS450">
        <v>-65.95933333333333</v>
      </c>
      <c r="DT450">
        <v>1210.676666666667</v>
      </c>
      <c r="DU450">
        <v>1266.226666666666</v>
      </c>
      <c r="DV450">
        <v>9.030923333333332</v>
      </c>
      <c r="DW450">
        <v>1254.293333333333</v>
      </c>
      <c r="DX450">
        <v>9.423686666666667</v>
      </c>
      <c r="DY450">
        <v>1.659253333333333</v>
      </c>
      <c r="DZ450">
        <v>0.8472823333333332</v>
      </c>
      <c r="EA450">
        <v>14.52036666666667</v>
      </c>
      <c r="EB450">
        <v>4.525136666666667</v>
      </c>
      <c r="EC450">
        <v>1499.97</v>
      </c>
      <c r="ED450">
        <v>0.972997</v>
      </c>
      <c r="EE450">
        <v>0.02700303333333333</v>
      </c>
      <c r="EF450">
        <v>0</v>
      </c>
      <c r="EG450">
        <v>898.73</v>
      </c>
      <c r="EH450">
        <v>5.00097</v>
      </c>
      <c r="EI450">
        <v>13367.53333333333</v>
      </c>
      <c r="EJ450">
        <v>12491.3</v>
      </c>
      <c r="EK450">
        <v>37.687</v>
      </c>
      <c r="EL450">
        <v>39</v>
      </c>
      <c r="EM450">
        <v>38.062</v>
      </c>
      <c r="EN450">
        <v>38.562</v>
      </c>
      <c r="EO450">
        <v>38.562</v>
      </c>
      <c r="EP450">
        <v>1454.6</v>
      </c>
      <c r="EQ450">
        <v>40.37</v>
      </c>
      <c r="ER450">
        <v>0</v>
      </c>
      <c r="ES450">
        <v>1148.600000143051</v>
      </c>
      <c r="ET450">
        <v>0</v>
      </c>
      <c r="EU450">
        <v>900.175</v>
      </c>
      <c r="EV450">
        <v>-12.23907689904597</v>
      </c>
      <c r="EW450">
        <v>-184.0615381568604</v>
      </c>
      <c r="EX450">
        <v>13386.988</v>
      </c>
      <c r="EY450">
        <v>15</v>
      </c>
      <c r="EZ450">
        <v>1651865518.1</v>
      </c>
      <c r="FA450" t="s">
        <v>910</v>
      </c>
      <c r="FB450">
        <v>1651865507.1</v>
      </c>
      <c r="FC450">
        <v>1651865518.1</v>
      </c>
      <c r="FD450">
        <v>8</v>
      </c>
      <c r="FE450">
        <v>0.06</v>
      </c>
      <c r="FF450">
        <v>0</v>
      </c>
      <c r="FG450">
        <v>-0.927</v>
      </c>
      <c r="FH450">
        <v>-0.062</v>
      </c>
      <c r="FI450">
        <v>400</v>
      </c>
      <c r="FJ450">
        <v>11</v>
      </c>
      <c r="FK450">
        <v>0.11</v>
      </c>
      <c r="FL450">
        <v>0.01</v>
      </c>
      <c r="FM450">
        <v>-65.467945</v>
      </c>
      <c r="FN450">
        <v>-2.593749343339509</v>
      </c>
      <c r="FO450">
        <v>0.3555527161687831</v>
      </c>
      <c r="FP450">
        <v>-1</v>
      </c>
      <c r="FQ450">
        <v>9.1809715</v>
      </c>
      <c r="FR450">
        <v>-0.92311159474674</v>
      </c>
      <c r="FS450">
        <v>0.08906848661423422</v>
      </c>
      <c r="FT450">
        <v>-1</v>
      </c>
      <c r="FU450">
        <v>0</v>
      </c>
      <c r="FV450">
        <v>0</v>
      </c>
      <c r="FW450">
        <v>0</v>
      </c>
      <c r="FX450">
        <v>-1</v>
      </c>
      <c r="FY450">
        <v>0</v>
      </c>
      <c r="FZ450">
        <v>0</v>
      </c>
      <c r="GA450" t="s">
        <v>420</v>
      </c>
      <c r="GB450">
        <v>2.98143</v>
      </c>
      <c r="GC450">
        <v>2.70612</v>
      </c>
      <c r="GD450">
        <v>0.191474</v>
      </c>
      <c r="GE450">
        <v>0.195697</v>
      </c>
      <c r="GF450">
        <v>0.08814520000000001</v>
      </c>
      <c r="GG450">
        <v>0.0530609</v>
      </c>
      <c r="GH450">
        <v>25552.6</v>
      </c>
      <c r="GI450">
        <v>25473</v>
      </c>
      <c r="GJ450">
        <v>29381.3</v>
      </c>
      <c r="GK450">
        <v>29295.1</v>
      </c>
      <c r="GL450">
        <v>35474.9</v>
      </c>
      <c r="GM450">
        <v>36955.2</v>
      </c>
      <c r="GN450">
        <v>41354.6</v>
      </c>
      <c r="GO450">
        <v>41815.8</v>
      </c>
      <c r="GP450">
        <v>1.96742</v>
      </c>
      <c r="GQ450">
        <v>1.85865</v>
      </c>
      <c r="GR450">
        <v>-0.00268221</v>
      </c>
      <c r="GS450">
        <v>0</v>
      </c>
      <c r="GT450">
        <v>25.0561</v>
      </c>
      <c r="GU450">
        <v>999.9</v>
      </c>
      <c r="GV450">
        <v>29.4</v>
      </c>
      <c r="GW450">
        <v>34.2</v>
      </c>
      <c r="GX450">
        <v>17.6668</v>
      </c>
      <c r="GY450">
        <v>62.5876</v>
      </c>
      <c r="GZ450">
        <v>35.5409</v>
      </c>
      <c r="HA450">
        <v>1</v>
      </c>
      <c r="HB450">
        <v>0.0391692</v>
      </c>
      <c r="HC450">
        <v>1.50647</v>
      </c>
      <c r="HD450">
        <v>20.3278</v>
      </c>
      <c r="HE450">
        <v>5.21714</v>
      </c>
      <c r="HF450">
        <v>12.0099</v>
      </c>
      <c r="HG450">
        <v>4.98855</v>
      </c>
      <c r="HH450">
        <v>3.28855</v>
      </c>
      <c r="HI450">
        <v>1036.9</v>
      </c>
      <c r="HJ450">
        <v>9771.799999999999</v>
      </c>
      <c r="HK450">
        <v>5139.4</v>
      </c>
      <c r="HL450">
        <v>25.4</v>
      </c>
      <c r="HM450">
        <v>1.86745</v>
      </c>
      <c r="HN450">
        <v>1.86646</v>
      </c>
      <c r="HO450">
        <v>1.866</v>
      </c>
      <c r="HP450">
        <v>1.86586</v>
      </c>
      <c r="HQ450">
        <v>1.86768</v>
      </c>
      <c r="HR450">
        <v>1.87019</v>
      </c>
      <c r="HS450">
        <v>1.8689</v>
      </c>
      <c r="HT450">
        <v>1.87024</v>
      </c>
      <c r="HU450">
        <v>0</v>
      </c>
      <c r="HV450">
        <v>0</v>
      </c>
      <c r="HW450">
        <v>0</v>
      </c>
      <c r="HX450">
        <v>0</v>
      </c>
      <c r="HY450" t="s">
        <v>421</v>
      </c>
      <c r="HZ450" t="s">
        <v>422</v>
      </c>
      <c r="IA450" t="s">
        <v>423</v>
      </c>
      <c r="IB450" t="s">
        <v>423</v>
      </c>
      <c r="IC450" t="s">
        <v>423</v>
      </c>
      <c r="ID450" t="s">
        <v>423</v>
      </c>
      <c r="IE450">
        <v>0</v>
      </c>
      <c r="IF450">
        <v>100</v>
      </c>
      <c r="IG450">
        <v>100</v>
      </c>
      <c r="IH450">
        <v>-2.3</v>
      </c>
      <c r="II450">
        <v>0.0219</v>
      </c>
      <c r="IJ450">
        <v>-0.1559367209035702</v>
      </c>
      <c r="IK450">
        <v>-0.002077099775823331</v>
      </c>
      <c r="IL450">
        <v>4.593143279902166E-07</v>
      </c>
      <c r="IM450">
        <v>-1.865383991892071E-10</v>
      </c>
      <c r="IN450">
        <v>-0.0607165066849496</v>
      </c>
      <c r="IO450">
        <v>-0.01129461987421345</v>
      </c>
      <c r="IP450">
        <v>0.00116580895745559</v>
      </c>
      <c r="IQ450">
        <v>-1.679085872906199E-05</v>
      </c>
      <c r="IR450">
        <v>2</v>
      </c>
      <c r="IS450">
        <v>2290</v>
      </c>
      <c r="IT450">
        <v>0</v>
      </c>
      <c r="IU450">
        <v>32</v>
      </c>
      <c r="IV450">
        <v>18.7</v>
      </c>
      <c r="IW450">
        <v>18.5</v>
      </c>
      <c r="IX450">
        <v>2.52686</v>
      </c>
      <c r="IY450">
        <v>2.17896</v>
      </c>
      <c r="IZ450">
        <v>1.39648</v>
      </c>
      <c r="JA450">
        <v>2.35474</v>
      </c>
      <c r="JB450">
        <v>1.49536</v>
      </c>
      <c r="JC450">
        <v>2.35596</v>
      </c>
      <c r="JD450">
        <v>38.0377</v>
      </c>
      <c r="JE450">
        <v>24.0437</v>
      </c>
      <c r="JF450">
        <v>18</v>
      </c>
      <c r="JG450">
        <v>512.02</v>
      </c>
      <c r="JH450">
        <v>428.145</v>
      </c>
      <c r="JI450">
        <v>23.1735</v>
      </c>
      <c r="JJ450">
        <v>27.8261</v>
      </c>
      <c r="JK450">
        <v>30</v>
      </c>
      <c r="JL450">
        <v>27.8324</v>
      </c>
      <c r="JM450">
        <v>27.7744</v>
      </c>
      <c r="JN450">
        <v>50.5921</v>
      </c>
      <c r="JO450">
        <v>44.0207</v>
      </c>
      <c r="JP450">
        <v>0</v>
      </c>
      <c r="JQ450">
        <v>23.1691</v>
      </c>
      <c r="JR450">
        <v>1275.88</v>
      </c>
      <c r="JS450">
        <v>9.57746</v>
      </c>
      <c r="JT450">
        <v>100.43</v>
      </c>
      <c r="JU450">
        <v>100.358</v>
      </c>
    </row>
    <row r="451" spans="1:281">
      <c r="A451">
        <v>435</v>
      </c>
      <c r="B451">
        <v>1651866633</v>
      </c>
      <c r="C451">
        <v>2412.400000095367</v>
      </c>
      <c r="D451" t="s">
        <v>1293</v>
      </c>
      <c r="E451" t="s">
        <v>1294</v>
      </c>
      <c r="F451">
        <v>2</v>
      </c>
      <c r="G451" t="s">
        <v>908</v>
      </c>
      <c r="H451" t="s">
        <v>414</v>
      </c>
      <c r="I451">
        <v>1651866631.625</v>
      </c>
      <c r="J451">
        <f>(K451)/1000</f>
        <v>0</v>
      </c>
      <c r="K451">
        <f>IF(CZ451, AN451, AH451)</f>
        <v>0</v>
      </c>
      <c r="L451">
        <f>IF(CZ451, AI451, AG451)</f>
        <v>0</v>
      </c>
      <c r="M451">
        <f>DB451 - IF(AU451&gt;1, L451*CV451*100.0/(AW451*DP451), 0)</f>
        <v>0</v>
      </c>
      <c r="N451">
        <f>((T451-J451/2)*M451-L451)/(T451+J451/2)</f>
        <v>0</v>
      </c>
      <c r="O451">
        <f>N451*(DI451+DJ451)/1000.0</f>
        <v>0</v>
      </c>
      <c r="P451">
        <f>(DB451 - IF(AU451&gt;1, L451*CV451*100.0/(AW451*DP451), 0))*(DI451+DJ451)/1000.0</f>
        <v>0</v>
      </c>
      <c r="Q451">
        <f>2.0/((1/S451-1/R451)+SIGN(S451)*SQRT((1/S451-1/R451)*(1/S451-1/R451) + 4*CW451/((CW451+1)*(CW451+1))*(2*1/S451*1/R451-1/R451*1/R451)))</f>
        <v>0</v>
      </c>
      <c r="R451">
        <f>IF(LEFT(CX451,1)&lt;&gt;"0",IF(LEFT(CX451,1)="1",3.0,CY451),$D$5+$E$5*(DP451*DI451/($K$5*1000))+$F$5*(DP451*DI451/($K$5*1000))*MAX(MIN(CV451,$J$5),$I$5)*MAX(MIN(CV451,$J$5),$I$5)+$G$5*MAX(MIN(CV451,$J$5),$I$5)*(DP451*DI451/($K$5*1000))+$H$5*(DP451*DI451/($K$5*1000))*(DP451*DI451/($K$5*1000)))</f>
        <v>0</v>
      </c>
      <c r="S451">
        <f>J451*(1000-(1000*0.61365*exp(17.502*W451/(240.97+W451))/(DI451+DJ451)+DD451)/2)/(1000*0.61365*exp(17.502*W451/(240.97+W451))/(DI451+DJ451)-DD451)</f>
        <v>0</v>
      </c>
      <c r="T451">
        <f>1/((CW451+1)/(Q451/1.6)+1/(R451/1.37)) + CW451/((CW451+1)/(Q451/1.6) + CW451/(R451/1.37))</f>
        <v>0</v>
      </c>
      <c r="U451">
        <f>(CR451*CU451)</f>
        <v>0</v>
      </c>
      <c r="V451">
        <f>(DK451+(U451+2*0.95*5.67E-8*(((DK451+$B$7)+273)^4-(DK451+273)^4)-44100*J451)/(1.84*29.3*R451+8*0.95*5.67E-8*(DK451+273)^3))</f>
        <v>0</v>
      </c>
      <c r="W451">
        <f>($C$7*DL451+$D$7*DM451+$E$7*V451)</f>
        <v>0</v>
      </c>
      <c r="X451">
        <f>0.61365*exp(17.502*W451/(240.97+W451))</f>
        <v>0</v>
      </c>
      <c r="Y451">
        <f>(Z451/AA451*100)</f>
        <v>0</v>
      </c>
      <c r="Z451">
        <f>DD451*(DI451+DJ451)/1000</f>
        <v>0</v>
      </c>
      <c r="AA451">
        <f>0.61365*exp(17.502*DK451/(240.97+DK451))</f>
        <v>0</v>
      </c>
      <c r="AB451">
        <f>(X451-DD451*(DI451+DJ451)/1000)</f>
        <v>0</v>
      </c>
      <c r="AC451">
        <f>(-J451*44100)</f>
        <v>0</v>
      </c>
      <c r="AD451">
        <f>2*29.3*R451*0.92*(DK451-W451)</f>
        <v>0</v>
      </c>
      <c r="AE451">
        <f>2*0.95*5.67E-8*(((DK451+$B$7)+273)^4-(W451+273)^4)</f>
        <v>0</v>
      </c>
      <c r="AF451">
        <f>U451+AE451+AC451+AD451</f>
        <v>0</v>
      </c>
      <c r="AG451">
        <f>DH451*AU451*(DC451-DB451*(1000-AU451*DE451)/(1000-AU451*DD451))/(100*CV451)</f>
        <v>0</v>
      </c>
      <c r="AH451">
        <f>1000*DH451*AU451*(DD451-DE451)/(100*CV451*(1000-AU451*DD451))</f>
        <v>0</v>
      </c>
      <c r="AI451">
        <f>(AJ451 - AK451 - DI451*1E3/(8.314*(DK451+273.15)) * AM451/DH451 * AL451) * DH451/(100*CV451) * (1000 - DE451)/1000</f>
        <v>0</v>
      </c>
      <c r="AJ451">
        <v>1266.961289239585</v>
      </c>
      <c r="AK451">
        <v>1219.234666666666</v>
      </c>
      <c r="AL451">
        <v>3.425993300767125</v>
      </c>
      <c r="AM451">
        <v>66.38195617057868</v>
      </c>
      <c r="AN451">
        <f>(AP451 - AO451 + DI451*1E3/(8.314*(DK451+273.15)) * AR451/DH451 * AQ451) * DH451/(100*CV451) * 1000/(1000 - AP451)</f>
        <v>0</v>
      </c>
      <c r="AO451">
        <v>9.401710148689288</v>
      </c>
      <c r="AP451">
        <v>18.44503088235293</v>
      </c>
      <c r="AQ451">
        <v>-0.000151941479453696</v>
      </c>
      <c r="AR451">
        <v>80.47178418790507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MAX(0,($B$13+$C$13*DP451)/(1+$D$13*DP451)*DI451/(DK451+273)*$E$13)</f>
        <v>0</v>
      </c>
      <c r="AX451" t="s">
        <v>417</v>
      </c>
      <c r="AY451" t="s">
        <v>417</v>
      </c>
      <c r="AZ451">
        <v>0</v>
      </c>
      <c r="BA451">
        <v>0</v>
      </c>
      <c r="BB451">
        <f>1-AZ451/BA451</f>
        <v>0</v>
      </c>
      <c r="BC451">
        <v>0</v>
      </c>
      <c r="BD451" t="s">
        <v>417</v>
      </c>
      <c r="BE451" t="s">
        <v>417</v>
      </c>
      <c r="BF451">
        <v>0</v>
      </c>
      <c r="BG451">
        <v>0</v>
      </c>
      <c r="BH451">
        <f>1-BF451/BG451</f>
        <v>0</v>
      </c>
      <c r="BI451">
        <v>0.5</v>
      </c>
      <c r="BJ451">
        <f>CS451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417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BZ451">
        <v>1249</v>
      </c>
      <c r="CA451">
        <v>300</v>
      </c>
      <c r="CB451">
        <v>300</v>
      </c>
      <c r="CC451">
        <v>300</v>
      </c>
      <c r="CD451">
        <v>10442.4</v>
      </c>
      <c r="CE451">
        <v>1239.69</v>
      </c>
      <c r="CF451">
        <v>-0.00735276</v>
      </c>
      <c r="CG451">
        <v>0.07000000000000001</v>
      </c>
      <c r="CH451" t="s">
        <v>417</v>
      </c>
      <c r="CI451" t="s">
        <v>417</v>
      </c>
      <c r="CJ451" t="s">
        <v>417</v>
      </c>
      <c r="CK451" t="s">
        <v>417</v>
      </c>
      <c r="CL451" t="s">
        <v>417</v>
      </c>
      <c r="CM451" t="s">
        <v>417</v>
      </c>
      <c r="CN451" t="s">
        <v>417</v>
      </c>
      <c r="CO451" t="s">
        <v>417</v>
      </c>
      <c r="CP451" t="s">
        <v>417</v>
      </c>
      <c r="CQ451" t="s">
        <v>417</v>
      </c>
      <c r="CR451">
        <f>$B$11*DQ451+$C$11*DR451+$F$11*EC451*(1-EF451)</f>
        <v>0</v>
      </c>
      <c r="CS451">
        <f>CR451*CT451</f>
        <v>0</v>
      </c>
      <c r="CT451">
        <f>($B$11*$D$9+$C$11*$D$9+$F$11*((EP451+EH451)/MAX(EP451+EH451+EQ451, 0.1)*$I$9+EQ451/MAX(EP451+EH451+EQ451, 0.1)*$J$9))/($B$11+$C$11+$F$11)</f>
        <v>0</v>
      </c>
      <c r="CU451">
        <f>($B$11*$K$9+$C$11*$K$9+$F$11*((EP451+EH451)/MAX(EP451+EH451+EQ451, 0.1)*$P$9+EQ451/MAX(EP451+EH451+EQ451, 0.1)*$Q$9))/($B$11+$C$11+$F$11)</f>
        <v>0</v>
      </c>
      <c r="CV451">
        <v>6</v>
      </c>
      <c r="CW451">
        <v>0.5</v>
      </c>
      <c r="CX451" t="s">
        <v>418</v>
      </c>
      <c r="CY451">
        <v>2</v>
      </c>
      <c r="CZ451" t="b">
        <v>1</v>
      </c>
      <c r="DA451">
        <v>1651866631.625</v>
      </c>
      <c r="DB451">
        <v>1193.8175</v>
      </c>
      <c r="DC451">
        <v>1259.485</v>
      </c>
      <c r="DD451">
        <v>18.44885</v>
      </c>
      <c r="DE451">
        <v>9.457587500000001</v>
      </c>
      <c r="DF451">
        <v>1196.1225</v>
      </c>
      <c r="DG451">
        <v>18.4269</v>
      </c>
      <c r="DH451">
        <v>500.00225</v>
      </c>
      <c r="DI451">
        <v>89.90885000000002</v>
      </c>
      <c r="DJ451">
        <v>0.10015775</v>
      </c>
      <c r="DK451">
        <v>25.92525</v>
      </c>
      <c r="DL451">
        <v>25.01325</v>
      </c>
      <c r="DM451">
        <v>999.9</v>
      </c>
      <c r="DN451">
        <v>0</v>
      </c>
      <c r="DO451">
        <v>0</v>
      </c>
      <c r="DP451">
        <v>9977.655000000001</v>
      </c>
      <c r="DQ451">
        <v>0</v>
      </c>
      <c r="DR451">
        <v>3.20383</v>
      </c>
      <c r="DS451">
        <v>-65.666625</v>
      </c>
      <c r="DT451">
        <v>1216.2575</v>
      </c>
      <c r="DU451">
        <v>1271.5125</v>
      </c>
      <c r="DV451">
        <v>8.991254999999999</v>
      </c>
      <c r="DW451">
        <v>1259.485</v>
      </c>
      <c r="DX451">
        <v>9.457587500000001</v>
      </c>
      <c r="DY451">
        <v>1.658715</v>
      </c>
      <c r="DZ451">
        <v>0.8503205</v>
      </c>
      <c r="EA451">
        <v>14.515375</v>
      </c>
      <c r="EB451">
        <v>4.5762875</v>
      </c>
      <c r="EC451">
        <v>1500.08</v>
      </c>
      <c r="ED451">
        <v>0.9729969999999999</v>
      </c>
      <c r="EE451">
        <v>0.027002925</v>
      </c>
      <c r="EF451">
        <v>0</v>
      </c>
      <c r="EG451">
        <v>898.53925</v>
      </c>
      <c r="EH451">
        <v>5.00097</v>
      </c>
      <c r="EI451">
        <v>13364.075</v>
      </c>
      <c r="EJ451">
        <v>12492.225</v>
      </c>
      <c r="EK451">
        <v>37.6405</v>
      </c>
      <c r="EL451">
        <v>38.95274999999999</v>
      </c>
      <c r="EM451">
        <v>38.062</v>
      </c>
      <c r="EN451">
        <v>38.562</v>
      </c>
      <c r="EO451">
        <v>38.5155</v>
      </c>
      <c r="EP451">
        <v>1454.7075</v>
      </c>
      <c r="EQ451">
        <v>40.3725</v>
      </c>
      <c r="ER451">
        <v>0</v>
      </c>
      <c r="ES451">
        <v>1150.400000095367</v>
      </c>
      <c r="ET451">
        <v>0</v>
      </c>
      <c r="EU451">
        <v>899.8787307692307</v>
      </c>
      <c r="EV451">
        <v>-12.78410256449593</v>
      </c>
      <c r="EW451">
        <v>-181.9384616458647</v>
      </c>
      <c r="EX451">
        <v>13382.38076923077</v>
      </c>
      <c r="EY451">
        <v>15</v>
      </c>
      <c r="EZ451">
        <v>1651865518.1</v>
      </c>
      <c r="FA451" t="s">
        <v>910</v>
      </c>
      <c r="FB451">
        <v>1651865507.1</v>
      </c>
      <c r="FC451">
        <v>1651865518.1</v>
      </c>
      <c r="FD451">
        <v>8</v>
      </c>
      <c r="FE451">
        <v>0.06</v>
      </c>
      <c r="FF451">
        <v>0</v>
      </c>
      <c r="FG451">
        <v>-0.927</v>
      </c>
      <c r="FH451">
        <v>-0.062</v>
      </c>
      <c r="FI451">
        <v>400</v>
      </c>
      <c r="FJ451">
        <v>11</v>
      </c>
      <c r="FK451">
        <v>0.11</v>
      </c>
      <c r="FL451">
        <v>0.01</v>
      </c>
      <c r="FM451">
        <v>-65.51352926829269</v>
      </c>
      <c r="FN451">
        <v>-2.230563763066211</v>
      </c>
      <c r="FO451">
        <v>0.3343093603410759</v>
      </c>
      <c r="FP451">
        <v>-1</v>
      </c>
      <c r="FQ451">
        <v>9.161749512195124</v>
      </c>
      <c r="FR451">
        <v>-0.9473556794425069</v>
      </c>
      <c r="FS451">
        <v>0.09361467500008649</v>
      </c>
      <c r="FT451">
        <v>-1</v>
      </c>
      <c r="FU451">
        <v>0</v>
      </c>
      <c r="FV451">
        <v>0</v>
      </c>
      <c r="FW451">
        <v>0</v>
      </c>
      <c r="FX451">
        <v>-1</v>
      </c>
      <c r="FY451">
        <v>0</v>
      </c>
      <c r="FZ451">
        <v>0</v>
      </c>
      <c r="GA451" t="s">
        <v>420</v>
      </c>
      <c r="GB451">
        <v>2.98141</v>
      </c>
      <c r="GC451">
        <v>2.70618</v>
      </c>
      <c r="GD451">
        <v>0.192144</v>
      </c>
      <c r="GE451">
        <v>0.196333</v>
      </c>
      <c r="GF451">
        <v>0.08812159999999999</v>
      </c>
      <c r="GG451">
        <v>0.053239</v>
      </c>
      <c r="GH451">
        <v>25531.2</v>
      </c>
      <c r="GI451">
        <v>25452.9</v>
      </c>
      <c r="GJ451">
        <v>29381</v>
      </c>
      <c r="GK451">
        <v>29295.1</v>
      </c>
      <c r="GL451">
        <v>35475.6</v>
      </c>
      <c r="GM451">
        <v>36948.3</v>
      </c>
      <c r="GN451">
        <v>41354.2</v>
      </c>
      <c r="GO451">
        <v>41815.9</v>
      </c>
      <c r="GP451">
        <v>1.96728</v>
      </c>
      <c r="GQ451">
        <v>1.8584</v>
      </c>
      <c r="GR451">
        <v>-0.0025332</v>
      </c>
      <c r="GS451">
        <v>0</v>
      </c>
      <c r="GT451">
        <v>25.0571</v>
      </c>
      <c r="GU451">
        <v>999.9</v>
      </c>
      <c r="GV451">
        <v>29.4</v>
      </c>
      <c r="GW451">
        <v>34.2</v>
      </c>
      <c r="GX451">
        <v>17.6675</v>
      </c>
      <c r="GY451">
        <v>62.7476</v>
      </c>
      <c r="GZ451">
        <v>35.3766</v>
      </c>
      <c r="HA451">
        <v>1</v>
      </c>
      <c r="HB451">
        <v>0.0391032</v>
      </c>
      <c r="HC451">
        <v>1.50822</v>
      </c>
      <c r="HD451">
        <v>20.3278</v>
      </c>
      <c r="HE451">
        <v>5.21774</v>
      </c>
      <c r="HF451">
        <v>12.0099</v>
      </c>
      <c r="HG451">
        <v>4.9888</v>
      </c>
      <c r="HH451">
        <v>3.28865</v>
      </c>
      <c r="HI451">
        <v>1037.1</v>
      </c>
      <c r="HJ451">
        <v>9773.1</v>
      </c>
      <c r="HK451">
        <v>5139.4</v>
      </c>
      <c r="HL451">
        <v>25.4</v>
      </c>
      <c r="HM451">
        <v>1.86746</v>
      </c>
      <c r="HN451">
        <v>1.86646</v>
      </c>
      <c r="HO451">
        <v>1.866</v>
      </c>
      <c r="HP451">
        <v>1.86585</v>
      </c>
      <c r="HQ451">
        <v>1.86769</v>
      </c>
      <c r="HR451">
        <v>1.87019</v>
      </c>
      <c r="HS451">
        <v>1.8689</v>
      </c>
      <c r="HT451">
        <v>1.87024</v>
      </c>
      <c r="HU451">
        <v>0</v>
      </c>
      <c r="HV451">
        <v>0</v>
      </c>
      <c r="HW451">
        <v>0</v>
      </c>
      <c r="HX451">
        <v>0</v>
      </c>
      <c r="HY451" t="s">
        <v>421</v>
      </c>
      <c r="HZ451" t="s">
        <v>422</v>
      </c>
      <c r="IA451" t="s">
        <v>423</v>
      </c>
      <c r="IB451" t="s">
        <v>423</v>
      </c>
      <c r="IC451" t="s">
        <v>423</v>
      </c>
      <c r="ID451" t="s">
        <v>423</v>
      </c>
      <c r="IE451">
        <v>0</v>
      </c>
      <c r="IF451">
        <v>100</v>
      </c>
      <c r="IG451">
        <v>100</v>
      </c>
      <c r="IH451">
        <v>-2.31</v>
      </c>
      <c r="II451">
        <v>0.0219</v>
      </c>
      <c r="IJ451">
        <v>-0.1559367209035702</v>
      </c>
      <c r="IK451">
        <v>-0.002077099775823331</v>
      </c>
      <c r="IL451">
        <v>4.593143279902166E-07</v>
      </c>
      <c r="IM451">
        <v>-1.865383991892071E-10</v>
      </c>
      <c r="IN451">
        <v>-0.0607165066849496</v>
      </c>
      <c r="IO451">
        <v>-0.01129461987421345</v>
      </c>
      <c r="IP451">
        <v>0.00116580895745559</v>
      </c>
      <c r="IQ451">
        <v>-1.679085872906199E-05</v>
      </c>
      <c r="IR451">
        <v>2</v>
      </c>
      <c r="IS451">
        <v>2290</v>
      </c>
      <c r="IT451">
        <v>0</v>
      </c>
      <c r="IU451">
        <v>32</v>
      </c>
      <c r="IV451">
        <v>18.8</v>
      </c>
      <c r="IW451">
        <v>18.6</v>
      </c>
      <c r="IX451">
        <v>2.5354</v>
      </c>
      <c r="IY451">
        <v>2.18018</v>
      </c>
      <c r="IZ451">
        <v>1.39648</v>
      </c>
      <c r="JA451">
        <v>2.35474</v>
      </c>
      <c r="JB451">
        <v>1.49536</v>
      </c>
      <c r="JC451">
        <v>2.35229</v>
      </c>
      <c r="JD451">
        <v>38.0134</v>
      </c>
      <c r="JE451">
        <v>24.0437</v>
      </c>
      <c r="JF451">
        <v>18</v>
      </c>
      <c r="JG451">
        <v>511.912</v>
      </c>
      <c r="JH451">
        <v>427.99</v>
      </c>
      <c r="JI451">
        <v>23.1714</v>
      </c>
      <c r="JJ451">
        <v>27.8255</v>
      </c>
      <c r="JK451">
        <v>30</v>
      </c>
      <c r="JL451">
        <v>27.8312</v>
      </c>
      <c r="JM451">
        <v>27.7737</v>
      </c>
      <c r="JN451">
        <v>50.7715</v>
      </c>
      <c r="JO451">
        <v>43.7476</v>
      </c>
      <c r="JP451">
        <v>0</v>
      </c>
      <c r="JQ451">
        <v>23.1691</v>
      </c>
      <c r="JR451">
        <v>1282.56</v>
      </c>
      <c r="JS451">
        <v>9.611280000000001</v>
      </c>
      <c r="JT451">
        <v>100.429</v>
      </c>
      <c r="JU451">
        <v>100.358</v>
      </c>
    </row>
    <row r="452" spans="1:281">
      <c r="A452">
        <v>436</v>
      </c>
      <c r="B452">
        <v>1651866635</v>
      </c>
      <c r="C452">
        <v>2414.400000095367</v>
      </c>
      <c r="D452" t="s">
        <v>1295</v>
      </c>
      <c r="E452" t="s">
        <v>1296</v>
      </c>
      <c r="F452">
        <v>2</v>
      </c>
      <c r="G452" t="s">
        <v>908</v>
      </c>
      <c r="H452" t="s">
        <v>414</v>
      </c>
      <c r="I452">
        <v>1651866634</v>
      </c>
      <c r="J452">
        <f>(K452)/1000</f>
        <v>0</v>
      </c>
      <c r="K452">
        <f>IF(CZ452, AN452, AH452)</f>
        <v>0</v>
      </c>
      <c r="L452">
        <f>IF(CZ452, AI452, AG452)</f>
        <v>0</v>
      </c>
      <c r="M452">
        <f>DB452 - IF(AU452&gt;1, L452*CV452*100.0/(AW452*DP452), 0)</f>
        <v>0</v>
      </c>
      <c r="N452">
        <f>((T452-J452/2)*M452-L452)/(T452+J452/2)</f>
        <v>0</v>
      </c>
      <c r="O452">
        <f>N452*(DI452+DJ452)/1000.0</f>
        <v>0</v>
      </c>
      <c r="P452">
        <f>(DB452 - IF(AU452&gt;1, L452*CV452*100.0/(AW452*DP452), 0))*(DI452+DJ452)/1000.0</f>
        <v>0</v>
      </c>
      <c r="Q452">
        <f>2.0/((1/S452-1/R452)+SIGN(S452)*SQRT((1/S452-1/R452)*(1/S452-1/R452) + 4*CW452/((CW452+1)*(CW452+1))*(2*1/S452*1/R452-1/R452*1/R452)))</f>
        <v>0</v>
      </c>
      <c r="R452">
        <f>IF(LEFT(CX452,1)&lt;&gt;"0",IF(LEFT(CX452,1)="1",3.0,CY452),$D$5+$E$5*(DP452*DI452/($K$5*1000))+$F$5*(DP452*DI452/($K$5*1000))*MAX(MIN(CV452,$J$5),$I$5)*MAX(MIN(CV452,$J$5),$I$5)+$G$5*MAX(MIN(CV452,$J$5),$I$5)*(DP452*DI452/($K$5*1000))+$H$5*(DP452*DI452/($K$5*1000))*(DP452*DI452/($K$5*1000)))</f>
        <v>0</v>
      </c>
      <c r="S452">
        <f>J452*(1000-(1000*0.61365*exp(17.502*W452/(240.97+W452))/(DI452+DJ452)+DD452)/2)/(1000*0.61365*exp(17.502*W452/(240.97+W452))/(DI452+DJ452)-DD452)</f>
        <v>0</v>
      </c>
      <c r="T452">
        <f>1/((CW452+1)/(Q452/1.6)+1/(R452/1.37)) + CW452/((CW452+1)/(Q452/1.6) + CW452/(R452/1.37))</f>
        <v>0</v>
      </c>
      <c r="U452">
        <f>(CR452*CU452)</f>
        <v>0</v>
      </c>
      <c r="V452">
        <f>(DK452+(U452+2*0.95*5.67E-8*(((DK452+$B$7)+273)^4-(DK452+273)^4)-44100*J452)/(1.84*29.3*R452+8*0.95*5.67E-8*(DK452+273)^3))</f>
        <v>0</v>
      </c>
      <c r="W452">
        <f>($C$7*DL452+$D$7*DM452+$E$7*V452)</f>
        <v>0</v>
      </c>
      <c r="X452">
        <f>0.61365*exp(17.502*W452/(240.97+W452))</f>
        <v>0</v>
      </c>
      <c r="Y452">
        <f>(Z452/AA452*100)</f>
        <v>0</v>
      </c>
      <c r="Z452">
        <f>DD452*(DI452+DJ452)/1000</f>
        <v>0</v>
      </c>
      <c r="AA452">
        <f>0.61365*exp(17.502*DK452/(240.97+DK452))</f>
        <v>0</v>
      </c>
      <c r="AB452">
        <f>(X452-DD452*(DI452+DJ452)/1000)</f>
        <v>0</v>
      </c>
      <c r="AC452">
        <f>(-J452*44100)</f>
        <v>0</v>
      </c>
      <c r="AD452">
        <f>2*29.3*R452*0.92*(DK452-W452)</f>
        <v>0</v>
      </c>
      <c r="AE452">
        <f>2*0.95*5.67E-8*(((DK452+$B$7)+273)^4-(W452+273)^4)</f>
        <v>0</v>
      </c>
      <c r="AF452">
        <f>U452+AE452+AC452+AD452</f>
        <v>0</v>
      </c>
      <c r="AG452">
        <f>DH452*AU452*(DC452-DB452*(1000-AU452*DE452)/(1000-AU452*DD452))/(100*CV452)</f>
        <v>0</v>
      </c>
      <c r="AH452">
        <f>1000*DH452*AU452*(DD452-DE452)/(100*CV452*(1000-AU452*DD452))</f>
        <v>0</v>
      </c>
      <c r="AI452">
        <f>(AJ452 - AK452 - DI452*1E3/(8.314*(DK452+273.15)) * AM452/DH452 * AL452) * DH452/(100*CV452) * (1000 - DE452)/1000</f>
        <v>0</v>
      </c>
      <c r="AJ452">
        <v>1273.518702729344</v>
      </c>
      <c r="AK452">
        <v>1225.91903030303</v>
      </c>
      <c r="AL452">
        <v>3.363566470003115</v>
      </c>
      <c r="AM452">
        <v>66.38195617057868</v>
      </c>
      <c r="AN452">
        <f>(AP452 - AO452 + DI452*1E3/(8.314*(DK452+273.15)) * AR452/DH452 * AQ452) * DH452/(100*CV452) * 1000/(1000 - AP452)</f>
        <v>0</v>
      </c>
      <c r="AO452">
        <v>9.434709089984166</v>
      </c>
      <c r="AP452">
        <v>18.44013323529411</v>
      </c>
      <c r="AQ452">
        <v>-0.000305002966935923</v>
      </c>
      <c r="AR452">
        <v>80.47178418790507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MAX(0,($B$13+$C$13*DP452)/(1+$D$13*DP452)*DI452/(DK452+273)*$E$13)</f>
        <v>0</v>
      </c>
      <c r="AX452" t="s">
        <v>417</v>
      </c>
      <c r="AY452" t="s">
        <v>417</v>
      </c>
      <c r="AZ452">
        <v>0</v>
      </c>
      <c r="BA452">
        <v>0</v>
      </c>
      <c r="BB452">
        <f>1-AZ452/BA452</f>
        <v>0</v>
      </c>
      <c r="BC452">
        <v>0</v>
      </c>
      <c r="BD452" t="s">
        <v>417</v>
      </c>
      <c r="BE452" t="s">
        <v>417</v>
      </c>
      <c r="BF452">
        <v>0</v>
      </c>
      <c r="BG452">
        <v>0</v>
      </c>
      <c r="BH452">
        <f>1-BF452/BG452</f>
        <v>0</v>
      </c>
      <c r="BI452">
        <v>0.5</v>
      </c>
      <c r="BJ452">
        <f>CS452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417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BZ452">
        <v>1249</v>
      </c>
      <c r="CA452">
        <v>300</v>
      </c>
      <c r="CB452">
        <v>300</v>
      </c>
      <c r="CC452">
        <v>300</v>
      </c>
      <c r="CD452">
        <v>10442.4</v>
      </c>
      <c r="CE452">
        <v>1239.69</v>
      </c>
      <c r="CF452">
        <v>-0.00735276</v>
      </c>
      <c r="CG452">
        <v>0.07000000000000001</v>
      </c>
      <c r="CH452" t="s">
        <v>417</v>
      </c>
      <c r="CI452" t="s">
        <v>417</v>
      </c>
      <c r="CJ452" t="s">
        <v>417</v>
      </c>
      <c r="CK452" t="s">
        <v>417</v>
      </c>
      <c r="CL452" t="s">
        <v>417</v>
      </c>
      <c r="CM452" t="s">
        <v>417</v>
      </c>
      <c r="CN452" t="s">
        <v>417</v>
      </c>
      <c r="CO452" t="s">
        <v>417</v>
      </c>
      <c r="CP452" t="s">
        <v>417</v>
      </c>
      <c r="CQ452" t="s">
        <v>417</v>
      </c>
      <c r="CR452">
        <f>$B$11*DQ452+$C$11*DR452+$F$11*EC452*(1-EF452)</f>
        <v>0</v>
      </c>
      <c r="CS452">
        <f>CR452*CT452</f>
        <v>0</v>
      </c>
      <c r="CT452">
        <f>($B$11*$D$9+$C$11*$D$9+$F$11*((EP452+EH452)/MAX(EP452+EH452+EQ452, 0.1)*$I$9+EQ452/MAX(EP452+EH452+EQ452, 0.1)*$J$9))/($B$11+$C$11+$F$11)</f>
        <v>0</v>
      </c>
      <c r="CU452">
        <f>($B$11*$K$9+$C$11*$K$9+$F$11*((EP452+EH452)/MAX(EP452+EH452+EQ452, 0.1)*$P$9+EQ452/MAX(EP452+EH452+EQ452, 0.1)*$Q$9))/($B$11+$C$11+$F$11)</f>
        <v>0</v>
      </c>
      <c r="CV452">
        <v>6</v>
      </c>
      <c r="CW452">
        <v>0.5</v>
      </c>
      <c r="CX452" t="s">
        <v>418</v>
      </c>
      <c r="CY452">
        <v>2</v>
      </c>
      <c r="CZ452" t="b">
        <v>1</v>
      </c>
      <c r="DA452">
        <v>1651866634</v>
      </c>
      <c r="DB452">
        <v>1201.68</v>
      </c>
      <c r="DC452">
        <v>1267.363333333333</v>
      </c>
      <c r="DD452">
        <v>18.44166666666667</v>
      </c>
      <c r="DE452">
        <v>9.499956666666666</v>
      </c>
      <c r="DF452">
        <v>1204</v>
      </c>
      <c r="DG452">
        <v>18.41983333333333</v>
      </c>
      <c r="DH452">
        <v>500.0713333333333</v>
      </c>
      <c r="DI452">
        <v>89.90916666666668</v>
      </c>
      <c r="DJ452">
        <v>0.1001546666666667</v>
      </c>
      <c r="DK452">
        <v>25.9256</v>
      </c>
      <c r="DL452">
        <v>25.01863333333333</v>
      </c>
      <c r="DM452">
        <v>999.9</v>
      </c>
      <c r="DN452">
        <v>0</v>
      </c>
      <c r="DO452">
        <v>0</v>
      </c>
      <c r="DP452">
        <v>9983.540000000001</v>
      </c>
      <c r="DQ452">
        <v>0</v>
      </c>
      <c r="DR452">
        <v>3.20383</v>
      </c>
      <c r="DS452">
        <v>-65.682</v>
      </c>
      <c r="DT452">
        <v>1224.26</v>
      </c>
      <c r="DU452">
        <v>1279.523333333333</v>
      </c>
      <c r="DV452">
        <v>8.941723333333334</v>
      </c>
      <c r="DW452">
        <v>1267.363333333333</v>
      </c>
      <c r="DX452">
        <v>9.499956666666666</v>
      </c>
      <c r="DY452">
        <v>1.658076666666667</v>
      </c>
      <c r="DZ452">
        <v>0.854133</v>
      </c>
      <c r="EA452">
        <v>14.5094</v>
      </c>
      <c r="EB452">
        <v>4.64027</v>
      </c>
      <c r="EC452">
        <v>1499.966666666666</v>
      </c>
      <c r="ED452">
        <v>0.9730036666666666</v>
      </c>
      <c r="EE452">
        <v>0.02699626666666667</v>
      </c>
      <c r="EF452">
        <v>0</v>
      </c>
      <c r="EG452">
        <v>898.129</v>
      </c>
      <c r="EH452">
        <v>5.00097</v>
      </c>
      <c r="EI452">
        <v>13354.9</v>
      </c>
      <c r="EJ452">
        <v>12491.33333333333</v>
      </c>
      <c r="EK452">
        <v>37.625</v>
      </c>
      <c r="EL452">
        <v>38.937</v>
      </c>
      <c r="EM452">
        <v>38.062</v>
      </c>
      <c r="EN452">
        <v>38.562</v>
      </c>
      <c r="EO452">
        <v>38.5</v>
      </c>
      <c r="EP452">
        <v>1454.606666666667</v>
      </c>
      <c r="EQ452">
        <v>40.36000000000001</v>
      </c>
      <c r="ER452">
        <v>0</v>
      </c>
      <c r="ES452">
        <v>1152.200000047684</v>
      </c>
      <c r="ET452">
        <v>0</v>
      </c>
      <c r="EU452">
        <v>899.4403599999999</v>
      </c>
      <c r="EV452">
        <v>-12.51184611888515</v>
      </c>
      <c r="EW452">
        <v>-185.2769228071586</v>
      </c>
      <c r="EX452">
        <v>13375.888</v>
      </c>
      <c r="EY452">
        <v>15</v>
      </c>
      <c r="EZ452">
        <v>1651865518.1</v>
      </c>
      <c r="FA452" t="s">
        <v>910</v>
      </c>
      <c r="FB452">
        <v>1651865507.1</v>
      </c>
      <c r="FC452">
        <v>1651865518.1</v>
      </c>
      <c r="FD452">
        <v>8</v>
      </c>
      <c r="FE452">
        <v>0.06</v>
      </c>
      <c r="FF452">
        <v>0</v>
      </c>
      <c r="FG452">
        <v>-0.927</v>
      </c>
      <c r="FH452">
        <v>-0.062</v>
      </c>
      <c r="FI452">
        <v>400</v>
      </c>
      <c r="FJ452">
        <v>11</v>
      </c>
      <c r="FK452">
        <v>0.11</v>
      </c>
      <c r="FL452">
        <v>0.01</v>
      </c>
      <c r="FM452">
        <v>-65.61771951219512</v>
      </c>
      <c r="FN452">
        <v>-0.7956878048780204</v>
      </c>
      <c r="FO452">
        <v>0.2281958703154597</v>
      </c>
      <c r="FP452">
        <v>-1</v>
      </c>
      <c r="FQ452">
        <v>9.112017560975609</v>
      </c>
      <c r="FR452">
        <v>-1.00636912891987</v>
      </c>
      <c r="FS452">
        <v>0.09950188939940374</v>
      </c>
      <c r="FT452">
        <v>-1</v>
      </c>
      <c r="FU452">
        <v>0</v>
      </c>
      <c r="FV452">
        <v>0</v>
      </c>
      <c r="FW452">
        <v>0</v>
      </c>
      <c r="FX452">
        <v>-1</v>
      </c>
      <c r="FY452">
        <v>0</v>
      </c>
      <c r="FZ452">
        <v>0</v>
      </c>
      <c r="GA452" t="s">
        <v>420</v>
      </c>
      <c r="GB452">
        <v>2.98177</v>
      </c>
      <c r="GC452">
        <v>2.70608</v>
      </c>
      <c r="GD452">
        <v>0.192805</v>
      </c>
      <c r="GE452">
        <v>0.196983</v>
      </c>
      <c r="GF452">
        <v>0.0881106</v>
      </c>
      <c r="GG452">
        <v>0.0533386</v>
      </c>
      <c r="GH452">
        <v>25510.4</v>
      </c>
      <c r="GI452">
        <v>25432.3</v>
      </c>
      <c r="GJ452">
        <v>29381.1</v>
      </c>
      <c r="GK452">
        <v>29295.1</v>
      </c>
      <c r="GL452">
        <v>35476.1</v>
      </c>
      <c r="GM452">
        <v>36944.4</v>
      </c>
      <c r="GN452">
        <v>41354.4</v>
      </c>
      <c r="GO452">
        <v>41815.9</v>
      </c>
      <c r="GP452">
        <v>1.96755</v>
      </c>
      <c r="GQ452">
        <v>1.8585</v>
      </c>
      <c r="GR452">
        <v>-0.00219792</v>
      </c>
      <c r="GS452">
        <v>0</v>
      </c>
      <c r="GT452">
        <v>25.0573</v>
      </c>
      <c r="GU452">
        <v>999.9</v>
      </c>
      <c r="GV452">
        <v>29.4</v>
      </c>
      <c r="GW452">
        <v>34.2</v>
      </c>
      <c r="GX452">
        <v>17.6677</v>
      </c>
      <c r="GY452">
        <v>62.8476</v>
      </c>
      <c r="GZ452">
        <v>35.0521</v>
      </c>
      <c r="HA452">
        <v>1</v>
      </c>
      <c r="HB452">
        <v>0.0390447</v>
      </c>
      <c r="HC452">
        <v>1.5049</v>
      </c>
      <c r="HD452">
        <v>20.3277</v>
      </c>
      <c r="HE452">
        <v>5.21729</v>
      </c>
      <c r="HF452">
        <v>12.0099</v>
      </c>
      <c r="HG452">
        <v>4.98855</v>
      </c>
      <c r="HH452">
        <v>3.28858</v>
      </c>
      <c r="HI452">
        <v>1037.1</v>
      </c>
      <c r="HJ452">
        <v>9773.1</v>
      </c>
      <c r="HK452">
        <v>5139.4</v>
      </c>
      <c r="HL452">
        <v>25.4</v>
      </c>
      <c r="HM452">
        <v>1.86746</v>
      </c>
      <c r="HN452">
        <v>1.86646</v>
      </c>
      <c r="HO452">
        <v>1.866</v>
      </c>
      <c r="HP452">
        <v>1.86584</v>
      </c>
      <c r="HQ452">
        <v>1.86768</v>
      </c>
      <c r="HR452">
        <v>1.87018</v>
      </c>
      <c r="HS452">
        <v>1.8689</v>
      </c>
      <c r="HT452">
        <v>1.87025</v>
      </c>
      <c r="HU452">
        <v>0</v>
      </c>
      <c r="HV452">
        <v>0</v>
      </c>
      <c r="HW452">
        <v>0</v>
      </c>
      <c r="HX452">
        <v>0</v>
      </c>
      <c r="HY452" t="s">
        <v>421</v>
      </c>
      <c r="HZ452" t="s">
        <v>422</v>
      </c>
      <c r="IA452" t="s">
        <v>423</v>
      </c>
      <c r="IB452" t="s">
        <v>423</v>
      </c>
      <c r="IC452" t="s">
        <v>423</v>
      </c>
      <c r="ID452" t="s">
        <v>423</v>
      </c>
      <c r="IE452">
        <v>0</v>
      </c>
      <c r="IF452">
        <v>100</v>
      </c>
      <c r="IG452">
        <v>100</v>
      </c>
      <c r="IH452">
        <v>-2.32</v>
      </c>
      <c r="II452">
        <v>0.0218</v>
      </c>
      <c r="IJ452">
        <v>-0.1559367209035702</v>
      </c>
      <c r="IK452">
        <v>-0.002077099775823331</v>
      </c>
      <c r="IL452">
        <v>4.593143279902166E-07</v>
      </c>
      <c r="IM452">
        <v>-1.865383991892071E-10</v>
      </c>
      <c r="IN452">
        <v>-0.0607165066849496</v>
      </c>
      <c r="IO452">
        <v>-0.01129461987421345</v>
      </c>
      <c r="IP452">
        <v>0.00116580895745559</v>
      </c>
      <c r="IQ452">
        <v>-1.679085872906199E-05</v>
      </c>
      <c r="IR452">
        <v>2</v>
      </c>
      <c r="IS452">
        <v>2290</v>
      </c>
      <c r="IT452">
        <v>0</v>
      </c>
      <c r="IU452">
        <v>32</v>
      </c>
      <c r="IV452">
        <v>18.8</v>
      </c>
      <c r="IW452">
        <v>18.6</v>
      </c>
      <c r="IX452">
        <v>2.54517</v>
      </c>
      <c r="IY452">
        <v>2.18262</v>
      </c>
      <c r="IZ452">
        <v>1.39648</v>
      </c>
      <c r="JA452">
        <v>2.35474</v>
      </c>
      <c r="JB452">
        <v>1.49536</v>
      </c>
      <c r="JC452">
        <v>2.31323</v>
      </c>
      <c r="JD452">
        <v>38.0377</v>
      </c>
      <c r="JE452">
        <v>24.035</v>
      </c>
      <c r="JF452">
        <v>18</v>
      </c>
      <c r="JG452">
        <v>512.081</v>
      </c>
      <c r="JH452">
        <v>428.047</v>
      </c>
      <c r="JI452">
        <v>23.1691</v>
      </c>
      <c r="JJ452">
        <v>27.8249</v>
      </c>
      <c r="JK452">
        <v>29.9999</v>
      </c>
      <c r="JL452">
        <v>27.8301</v>
      </c>
      <c r="JM452">
        <v>27.7732</v>
      </c>
      <c r="JN452">
        <v>50.9712</v>
      </c>
      <c r="JO452">
        <v>43.7476</v>
      </c>
      <c r="JP452">
        <v>0</v>
      </c>
      <c r="JQ452">
        <v>23.1534</v>
      </c>
      <c r="JR452">
        <v>1289.23</v>
      </c>
      <c r="JS452">
        <v>9.63481</v>
      </c>
      <c r="JT452">
        <v>100.429</v>
      </c>
      <c r="JU452">
        <v>100.358</v>
      </c>
    </row>
    <row r="453" spans="1:281">
      <c r="A453">
        <v>437</v>
      </c>
      <c r="B453">
        <v>1651866637</v>
      </c>
      <c r="C453">
        <v>2416.400000095367</v>
      </c>
      <c r="D453" t="s">
        <v>1297</v>
      </c>
      <c r="E453" t="s">
        <v>1298</v>
      </c>
      <c r="F453">
        <v>2</v>
      </c>
      <c r="G453" t="s">
        <v>908</v>
      </c>
      <c r="H453" t="s">
        <v>414</v>
      </c>
      <c r="I453">
        <v>1651866635.625</v>
      </c>
      <c r="J453">
        <f>(K453)/1000</f>
        <v>0</v>
      </c>
      <c r="K453">
        <f>IF(CZ453, AN453, AH453)</f>
        <v>0</v>
      </c>
      <c r="L453">
        <f>IF(CZ453, AI453, AG453)</f>
        <v>0</v>
      </c>
      <c r="M453">
        <f>DB453 - IF(AU453&gt;1, L453*CV453*100.0/(AW453*DP453), 0)</f>
        <v>0</v>
      </c>
      <c r="N453">
        <f>((T453-J453/2)*M453-L453)/(T453+J453/2)</f>
        <v>0</v>
      </c>
      <c r="O453">
        <f>N453*(DI453+DJ453)/1000.0</f>
        <v>0</v>
      </c>
      <c r="P453">
        <f>(DB453 - IF(AU453&gt;1, L453*CV453*100.0/(AW453*DP453), 0))*(DI453+DJ453)/1000.0</f>
        <v>0</v>
      </c>
      <c r="Q453">
        <f>2.0/((1/S453-1/R453)+SIGN(S453)*SQRT((1/S453-1/R453)*(1/S453-1/R453) + 4*CW453/((CW453+1)*(CW453+1))*(2*1/S453*1/R453-1/R453*1/R453)))</f>
        <v>0</v>
      </c>
      <c r="R453">
        <f>IF(LEFT(CX453,1)&lt;&gt;"0",IF(LEFT(CX453,1)="1",3.0,CY453),$D$5+$E$5*(DP453*DI453/($K$5*1000))+$F$5*(DP453*DI453/($K$5*1000))*MAX(MIN(CV453,$J$5),$I$5)*MAX(MIN(CV453,$J$5),$I$5)+$G$5*MAX(MIN(CV453,$J$5),$I$5)*(DP453*DI453/($K$5*1000))+$H$5*(DP453*DI453/($K$5*1000))*(DP453*DI453/($K$5*1000)))</f>
        <v>0</v>
      </c>
      <c r="S453">
        <f>J453*(1000-(1000*0.61365*exp(17.502*W453/(240.97+W453))/(DI453+DJ453)+DD453)/2)/(1000*0.61365*exp(17.502*W453/(240.97+W453))/(DI453+DJ453)-DD453)</f>
        <v>0</v>
      </c>
      <c r="T453">
        <f>1/((CW453+1)/(Q453/1.6)+1/(R453/1.37)) + CW453/((CW453+1)/(Q453/1.6) + CW453/(R453/1.37))</f>
        <v>0</v>
      </c>
      <c r="U453">
        <f>(CR453*CU453)</f>
        <v>0</v>
      </c>
      <c r="V453">
        <f>(DK453+(U453+2*0.95*5.67E-8*(((DK453+$B$7)+273)^4-(DK453+273)^4)-44100*J453)/(1.84*29.3*R453+8*0.95*5.67E-8*(DK453+273)^3))</f>
        <v>0</v>
      </c>
      <c r="W453">
        <f>($C$7*DL453+$D$7*DM453+$E$7*V453)</f>
        <v>0</v>
      </c>
      <c r="X453">
        <f>0.61365*exp(17.502*W453/(240.97+W453))</f>
        <v>0</v>
      </c>
      <c r="Y453">
        <f>(Z453/AA453*100)</f>
        <v>0</v>
      </c>
      <c r="Z453">
        <f>DD453*(DI453+DJ453)/1000</f>
        <v>0</v>
      </c>
      <c r="AA453">
        <f>0.61365*exp(17.502*DK453/(240.97+DK453))</f>
        <v>0</v>
      </c>
      <c r="AB453">
        <f>(X453-DD453*(DI453+DJ453)/1000)</f>
        <v>0</v>
      </c>
      <c r="AC453">
        <f>(-J453*44100)</f>
        <v>0</v>
      </c>
      <c r="AD453">
        <f>2*29.3*R453*0.92*(DK453-W453)</f>
        <v>0</v>
      </c>
      <c r="AE453">
        <f>2*0.95*5.67E-8*(((DK453+$B$7)+273)^4-(W453+273)^4)</f>
        <v>0</v>
      </c>
      <c r="AF453">
        <f>U453+AE453+AC453+AD453</f>
        <v>0</v>
      </c>
      <c r="AG453">
        <f>DH453*AU453*(DC453-DB453*(1000-AU453*DE453)/(1000-AU453*DD453))/(100*CV453)</f>
        <v>0</v>
      </c>
      <c r="AH453">
        <f>1000*DH453*AU453*(DD453-DE453)/(100*CV453*(1000-AU453*DD453))</f>
        <v>0</v>
      </c>
      <c r="AI453">
        <f>(AJ453 - AK453 - DI453*1E3/(8.314*(DK453+273.15)) * AM453/DH453 * AL453) * DH453/(100*CV453) * (1000 - DE453)/1000</f>
        <v>0</v>
      </c>
      <c r="AJ453">
        <v>1280.332832108406</v>
      </c>
      <c r="AK453">
        <v>1232.581878787878</v>
      </c>
      <c r="AL453">
        <v>3.335694482860427</v>
      </c>
      <c r="AM453">
        <v>66.38195617057868</v>
      </c>
      <c r="AN453">
        <f>(AP453 - AO453 + DI453*1E3/(8.314*(DK453+273.15)) * AR453/DH453 * AQ453) * DH453/(100*CV453) * 1000/(1000 - AP453)</f>
        <v>0</v>
      </c>
      <c r="AO453">
        <v>9.475455648652668</v>
      </c>
      <c r="AP453">
        <v>18.43766794117647</v>
      </c>
      <c r="AQ453">
        <v>-0.0002972654827596647</v>
      </c>
      <c r="AR453">
        <v>80.47178418790507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MAX(0,($B$13+$C$13*DP453)/(1+$D$13*DP453)*DI453/(DK453+273)*$E$13)</f>
        <v>0</v>
      </c>
      <c r="AX453" t="s">
        <v>417</v>
      </c>
      <c r="AY453" t="s">
        <v>417</v>
      </c>
      <c r="AZ453">
        <v>0</v>
      </c>
      <c r="BA453">
        <v>0</v>
      </c>
      <c r="BB453">
        <f>1-AZ453/BA453</f>
        <v>0</v>
      </c>
      <c r="BC453">
        <v>0</v>
      </c>
      <c r="BD453" t="s">
        <v>417</v>
      </c>
      <c r="BE453" t="s">
        <v>417</v>
      </c>
      <c r="BF453">
        <v>0</v>
      </c>
      <c r="BG453">
        <v>0</v>
      </c>
      <c r="BH453">
        <f>1-BF453/BG453</f>
        <v>0</v>
      </c>
      <c r="BI453">
        <v>0.5</v>
      </c>
      <c r="BJ453">
        <f>CS453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417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BZ453">
        <v>1249</v>
      </c>
      <c r="CA453">
        <v>300</v>
      </c>
      <c r="CB453">
        <v>300</v>
      </c>
      <c r="CC453">
        <v>300</v>
      </c>
      <c r="CD453">
        <v>10442.4</v>
      </c>
      <c r="CE453">
        <v>1239.69</v>
      </c>
      <c r="CF453">
        <v>-0.00735276</v>
      </c>
      <c r="CG453">
        <v>0.07000000000000001</v>
      </c>
      <c r="CH453" t="s">
        <v>417</v>
      </c>
      <c r="CI453" t="s">
        <v>417</v>
      </c>
      <c r="CJ453" t="s">
        <v>417</v>
      </c>
      <c r="CK453" t="s">
        <v>417</v>
      </c>
      <c r="CL453" t="s">
        <v>417</v>
      </c>
      <c r="CM453" t="s">
        <v>417</v>
      </c>
      <c r="CN453" t="s">
        <v>417</v>
      </c>
      <c r="CO453" t="s">
        <v>417</v>
      </c>
      <c r="CP453" t="s">
        <v>417</v>
      </c>
      <c r="CQ453" t="s">
        <v>417</v>
      </c>
      <c r="CR453">
        <f>$B$11*DQ453+$C$11*DR453+$F$11*EC453*(1-EF453)</f>
        <v>0</v>
      </c>
      <c r="CS453">
        <f>CR453*CT453</f>
        <v>0</v>
      </c>
      <c r="CT453">
        <f>($B$11*$D$9+$C$11*$D$9+$F$11*((EP453+EH453)/MAX(EP453+EH453+EQ453, 0.1)*$I$9+EQ453/MAX(EP453+EH453+EQ453, 0.1)*$J$9))/($B$11+$C$11+$F$11)</f>
        <v>0</v>
      </c>
      <c r="CU453">
        <f>($B$11*$K$9+$C$11*$K$9+$F$11*((EP453+EH453)/MAX(EP453+EH453+EQ453, 0.1)*$P$9+EQ453/MAX(EP453+EH453+EQ453, 0.1)*$Q$9))/($B$11+$C$11+$F$11)</f>
        <v>0</v>
      </c>
      <c r="CV453">
        <v>6</v>
      </c>
      <c r="CW453">
        <v>0.5</v>
      </c>
      <c r="CX453" t="s">
        <v>418</v>
      </c>
      <c r="CY453">
        <v>2</v>
      </c>
      <c r="CZ453" t="b">
        <v>1</v>
      </c>
      <c r="DA453">
        <v>1651866635.625</v>
      </c>
      <c r="DB453">
        <v>1206.995</v>
      </c>
      <c r="DC453">
        <v>1272.6125</v>
      </c>
      <c r="DD453">
        <v>18.438875</v>
      </c>
      <c r="DE453">
        <v>9.515787499999998</v>
      </c>
      <c r="DF453">
        <v>1209.32</v>
      </c>
      <c r="DG453">
        <v>18.417075</v>
      </c>
      <c r="DH453">
        <v>500.07125</v>
      </c>
      <c r="DI453">
        <v>89.91</v>
      </c>
      <c r="DJ453">
        <v>0.099960325</v>
      </c>
      <c r="DK453">
        <v>25.9276</v>
      </c>
      <c r="DL453">
        <v>25.0196</v>
      </c>
      <c r="DM453">
        <v>999.9</v>
      </c>
      <c r="DN453">
        <v>0</v>
      </c>
      <c r="DO453">
        <v>0</v>
      </c>
      <c r="DP453">
        <v>9997.025</v>
      </c>
      <c r="DQ453">
        <v>0</v>
      </c>
      <c r="DR453">
        <v>3.20383</v>
      </c>
      <c r="DS453">
        <v>-65.618775</v>
      </c>
      <c r="DT453">
        <v>1229.6675</v>
      </c>
      <c r="DU453">
        <v>1284.84</v>
      </c>
      <c r="DV453">
        <v>8.923127500000001</v>
      </c>
      <c r="DW453">
        <v>1272.6125</v>
      </c>
      <c r="DX453">
        <v>9.515787499999998</v>
      </c>
      <c r="DY453">
        <v>1.6578425</v>
      </c>
      <c r="DZ453">
        <v>0.85556425</v>
      </c>
      <c r="EA453">
        <v>14.507225</v>
      </c>
      <c r="EB453">
        <v>4.664219999999999</v>
      </c>
      <c r="EC453">
        <v>1499.9975</v>
      </c>
      <c r="ED453">
        <v>0.97300575</v>
      </c>
      <c r="EE453">
        <v>0.026994275</v>
      </c>
      <c r="EF453">
        <v>0</v>
      </c>
      <c r="EG453">
        <v>897.70425</v>
      </c>
      <c r="EH453">
        <v>5.00097</v>
      </c>
      <c r="EI453">
        <v>13350.55</v>
      </c>
      <c r="EJ453">
        <v>12491.575</v>
      </c>
      <c r="EK453">
        <v>37.625</v>
      </c>
      <c r="EL453">
        <v>38.937</v>
      </c>
      <c r="EM453">
        <v>38.062</v>
      </c>
      <c r="EN453">
        <v>38.562</v>
      </c>
      <c r="EO453">
        <v>38.5</v>
      </c>
      <c r="EP453">
        <v>1454.64</v>
      </c>
      <c r="EQ453">
        <v>40.3575</v>
      </c>
      <c r="ER453">
        <v>0</v>
      </c>
      <c r="ES453">
        <v>1154.600000143051</v>
      </c>
      <c r="ET453">
        <v>0</v>
      </c>
      <c r="EU453">
        <v>898.9684</v>
      </c>
      <c r="EV453">
        <v>-13.02323073416412</v>
      </c>
      <c r="EW453">
        <v>-187.7923073590948</v>
      </c>
      <c r="EX453">
        <v>13368.48</v>
      </c>
      <c r="EY453">
        <v>15</v>
      </c>
      <c r="EZ453">
        <v>1651865518.1</v>
      </c>
      <c r="FA453" t="s">
        <v>910</v>
      </c>
      <c r="FB453">
        <v>1651865507.1</v>
      </c>
      <c r="FC453">
        <v>1651865518.1</v>
      </c>
      <c r="FD453">
        <v>8</v>
      </c>
      <c r="FE453">
        <v>0.06</v>
      </c>
      <c r="FF453">
        <v>0</v>
      </c>
      <c r="FG453">
        <v>-0.927</v>
      </c>
      <c r="FH453">
        <v>-0.062</v>
      </c>
      <c r="FI453">
        <v>400</v>
      </c>
      <c r="FJ453">
        <v>11</v>
      </c>
      <c r="FK453">
        <v>0.11</v>
      </c>
      <c r="FL453">
        <v>0.01</v>
      </c>
      <c r="FM453">
        <v>-65.65339750000001</v>
      </c>
      <c r="FN453">
        <v>-0.3476679174481602</v>
      </c>
      <c r="FO453">
        <v>0.2026587667576947</v>
      </c>
      <c r="FP453">
        <v>-1</v>
      </c>
      <c r="FQ453">
        <v>9.082748249999998</v>
      </c>
      <c r="FR453">
        <v>-1.015443264540367</v>
      </c>
      <c r="FS453">
        <v>0.0979602303970213</v>
      </c>
      <c r="FT453">
        <v>-1</v>
      </c>
      <c r="FU453">
        <v>0</v>
      </c>
      <c r="FV453">
        <v>0</v>
      </c>
      <c r="FW453">
        <v>0</v>
      </c>
      <c r="FX453">
        <v>-1</v>
      </c>
      <c r="FY453">
        <v>0</v>
      </c>
      <c r="FZ453">
        <v>0</v>
      </c>
      <c r="GA453" t="s">
        <v>420</v>
      </c>
      <c r="GB453">
        <v>2.98166</v>
      </c>
      <c r="GC453">
        <v>2.70608</v>
      </c>
      <c r="GD453">
        <v>0.19346</v>
      </c>
      <c r="GE453">
        <v>0.197565</v>
      </c>
      <c r="GF453">
        <v>0.088104</v>
      </c>
      <c r="GG453">
        <v>0.0534286</v>
      </c>
      <c r="GH453">
        <v>25489.7</v>
      </c>
      <c r="GI453">
        <v>25413.9</v>
      </c>
      <c r="GJ453">
        <v>29381.2</v>
      </c>
      <c r="GK453">
        <v>29295.1</v>
      </c>
      <c r="GL453">
        <v>35476.5</v>
      </c>
      <c r="GM453">
        <v>36941</v>
      </c>
      <c r="GN453">
        <v>41354.5</v>
      </c>
      <c r="GO453">
        <v>41816</v>
      </c>
      <c r="GP453">
        <v>1.9675</v>
      </c>
      <c r="GQ453">
        <v>1.85872</v>
      </c>
      <c r="GR453">
        <v>-0.00238419</v>
      </c>
      <c r="GS453">
        <v>0</v>
      </c>
      <c r="GT453">
        <v>25.0582</v>
      </c>
      <c r="GU453">
        <v>999.9</v>
      </c>
      <c r="GV453">
        <v>29.4</v>
      </c>
      <c r="GW453">
        <v>34.2</v>
      </c>
      <c r="GX453">
        <v>17.6684</v>
      </c>
      <c r="GY453">
        <v>62.3776</v>
      </c>
      <c r="GZ453">
        <v>35.2163</v>
      </c>
      <c r="HA453">
        <v>1</v>
      </c>
      <c r="HB453">
        <v>0.0390168</v>
      </c>
      <c r="HC453">
        <v>1.53388</v>
      </c>
      <c r="HD453">
        <v>20.3275</v>
      </c>
      <c r="HE453">
        <v>5.21699</v>
      </c>
      <c r="HF453">
        <v>12.0099</v>
      </c>
      <c r="HG453">
        <v>4.9885</v>
      </c>
      <c r="HH453">
        <v>3.2885</v>
      </c>
      <c r="HI453">
        <v>1037.1</v>
      </c>
      <c r="HJ453">
        <v>9773.1</v>
      </c>
      <c r="HK453">
        <v>5139.4</v>
      </c>
      <c r="HL453">
        <v>25.4</v>
      </c>
      <c r="HM453">
        <v>1.86744</v>
      </c>
      <c r="HN453">
        <v>1.86646</v>
      </c>
      <c r="HO453">
        <v>1.866</v>
      </c>
      <c r="HP453">
        <v>1.86584</v>
      </c>
      <c r="HQ453">
        <v>1.86768</v>
      </c>
      <c r="HR453">
        <v>1.87019</v>
      </c>
      <c r="HS453">
        <v>1.8689</v>
      </c>
      <c r="HT453">
        <v>1.87026</v>
      </c>
      <c r="HU453">
        <v>0</v>
      </c>
      <c r="HV453">
        <v>0</v>
      </c>
      <c r="HW453">
        <v>0</v>
      </c>
      <c r="HX453">
        <v>0</v>
      </c>
      <c r="HY453" t="s">
        <v>421</v>
      </c>
      <c r="HZ453" t="s">
        <v>422</v>
      </c>
      <c r="IA453" t="s">
        <v>423</v>
      </c>
      <c r="IB453" t="s">
        <v>423</v>
      </c>
      <c r="IC453" t="s">
        <v>423</v>
      </c>
      <c r="ID453" t="s">
        <v>423</v>
      </c>
      <c r="IE453">
        <v>0</v>
      </c>
      <c r="IF453">
        <v>100</v>
      </c>
      <c r="IG453">
        <v>100</v>
      </c>
      <c r="IH453">
        <v>-2.33</v>
      </c>
      <c r="II453">
        <v>0.0218</v>
      </c>
      <c r="IJ453">
        <v>-0.1559367209035702</v>
      </c>
      <c r="IK453">
        <v>-0.002077099775823331</v>
      </c>
      <c r="IL453">
        <v>4.593143279902166E-07</v>
      </c>
      <c r="IM453">
        <v>-1.865383991892071E-10</v>
      </c>
      <c r="IN453">
        <v>-0.0607165066849496</v>
      </c>
      <c r="IO453">
        <v>-0.01129461987421345</v>
      </c>
      <c r="IP453">
        <v>0.00116580895745559</v>
      </c>
      <c r="IQ453">
        <v>-1.679085872906199E-05</v>
      </c>
      <c r="IR453">
        <v>2</v>
      </c>
      <c r="IS453">
        <v>2290</v>
      </c>
      <c r="IT453">
        <v>0</v>
      </c>
      <c r="IU453">
        <v>32</v>
      </c>
      <c r="IV453">
        <v>18.8</v>
      </c>
      <c r="IW453">
        <v>18.6</v>
      </c>
      <c r="IX453">
        <v>2.55615</v>
      </c>
      <c r="IY453">
        <v>2.17529</v>
      </c>
      <c r="IZ453">
        <v>1.39648</v>
      </c>
      <c r="JA453">
        <v>2.35474</v>
      </c>
      <c r="JB453">
        <v>1.49536</v>
      </c>
      <c r="JC453">
        <v>2.31079</v>
      </c>
      <c r="JD453">
        <v>38.0134</v>
      </c>
      <c r="JE453">
        <v>24.035</v>
      </c>
      <c r="JF453">
        <v>18</v>
      </c>
      <c r="JG453">
        <v>512.044</v>
      </c>
      <c r="JH453">
        <v>428.172</v>
      </c>
      <c r="JI453">
        <v>23.1662</v>
      </c>
      <c r="JJ453">
        <v>27.8237</v>
      </c>
      <c r="JK453">
        <v>29.9999</v>
      </c>
      <c r="JL453">
        <v>27.8295</v>
      </c>
      <c r="JM453">
        <v>27.772</v>
      </c>
      <c r="JN453">
        <v>51.1871</v>
      </c>
      <c r="JO453">
        <v>43.4563</v>
      </c>
      <c r="JP453">
        <v>0</v>
      </c>
      <c r="JQ453">
        <v>23.1534</v>
      </c>
      <c r="JR453">
        <v>1295.92</v>
      </c>
      <c r="JS453">
        <v>9.665050000000001</v>
      </c>
      <c r="JT453">
        <v>100.43</v>
      </c>
      <c r="JU453">
        <v>100.359</v>
      </c>
    </row>
    <row r="454" spans="1:281">
      <c r="A454">
        <v>438</v>
      </c>
      <c r="B454">
        <v>1651866639</v>
      </c>
      <c r="C454">
        <v>2418.400000095367</v>
      </c>
      <c r="D454" t="s">
        <v>1299</v>
      </c>
      <c r="E454" t="s">
        <v>1300</v>
      </c>
      <c r="F454">
        <v>2</v>
      </c>
      <c r="G454" t="s">
        <v>908</v>
      </c>
      <c r="H454" t="s">
        <v>414</v>
      </c>
      <c r="I454">
        <v>1651866638</v>
      </c>
      <c r="J454">
        <f>(K454)/1000</f>
        <v>0</v>
      </c>
      <c r="K454">
        <f>IF(CZ454, AN454, AH454)</f>
        <v>0</v>
      </c>
      <c r="L454">
        <f>IF(CZ454, AI454, AG454)</f>
        <v>0</v>
      </c>
      <c r="M454">
        <f>DB454 - IF(AU454&gt;1, L454*CV454*100.0/(AW454*DP454), 0)</f>
        <v>0</v>
      </c>
      <c r="N454">
        <f>((T454-J454/2)*M454-L454)/(T454+J454/2)</f>
        <v>0</v>
      </c>
      <c r="O454">
        <f>N454*(DI454+DJ454)/1000.0</f>
        <v>0</v>
      </c>
      <c r="P454">
        <f>(DB454 - IF(AU454&gt;1, L454*CV454*100.0/(AW454*DP454), 0))*(DI454+DJ454)/1000.0</f>
        <v>0</v>
      </c>
      <c r="Q454">
        <f>2.0/((1/S454-1/R454)+SIGN(S454)*SQRT((1/S454-1/R454)*(1/S454-1/R454) + 4*CW454/((CW454+1)*(CW454+1))*(2*1/S454*1/R454-1/R454*1/R454)))</f>
        <v>0</v>
      </c>
      <c r="R454">
        <f>IF(LEFT(CX454,1)&lt;&gt;"0",IF(LEFT(CX454,1)="1",3.0,CY454),$D$5+$E$5*(DP454*DI454/($K$5*1000))+$F$5*(DP454*DI454/($K$5*1000))*MAX(MIN(CV454,$J$5),$I$5)*MAX(MIN(CV454,$J$5),$I$5)+$G$5*MAX(MIN(CV454,$J$5),$I$5)*(DP454*DI454/($K$5*1000))+$H$5*(DP454*DI454/($K$5*1000))*(DP454*DI454/($K$5*1000)))</f>
        <v>0</v>
      </c>
      <c r="S454">
        <f>J454*(1000-(1000*0.61365*exp(17.502*W454/(240.97+W454))/(DI454+DJ454)+DD454)/2)/(1000*0.61365*exp(17.502*W454/(240.97+W454))/(DI454+DJ454)-DD454)</f>
        <v>0</v>
      </c>
      <c r="T454">
        <f>1/((CW454+1)/(Q454/1.6)+1/(R454/1.37)) + CW454/((CW454+1)/(Q454/1.6) + CW454/(R454/1.37))</f>
        <v>0</v>
      </c>
      <c r="U454">
        <f>(CR454*CU454)</f>
        <v>0</v>
      </c>
      <c r="V454">
        <f>(DK454+(U454+2*0.95*5.67E-8*(((DK454+$B$7)+273)^4-(DK454+273)^4)-44100*J454)/(1.84*29.3*R454+8*0.95*5.67E-8*(DK454+273)^3))</f>
        <v>0</v>
      </c>
      <c r="W454">
        <f>($C$7*DL454+$D$7*DM454+$E$7*V454)</f>
        <v>0</v>
      </c>
      <c r="X454">
        <f>0.61365*exp(17.502*W454/(240.97+W454))</f>
        <v>0</v>
      </c>
      <c r="Y454">
        <f>(Z454/AA454*100)</f>
        <v>0</v>
      </c>
      <c r="Z454">
        <f>DD454*(DI454+DJ454)/1000</f>
        <v>0</v>
      </c>
      <c r="AA454">
        <f>0.61365*exp(17.502*DK454/(240.97+DK454))</f>
        <v>0</v>
      </c>
      <c r="AB454">
        <f>(X454-DD454*(DI454+DJ454)/1000)</f>
        <v>0</v>
      </c>
      <c r="AC454">
        <f>(-J454*44100)</f>
        <v>0</v>
      </c>
      <c r="AD454">
        <f>2*29.3*R454*0.92*(DK454-W454)</f>
        <v>0</v>
      </c>
      <c r="AE454">
        <f>2*0.95*5.67E-8*(((DK454+$B$7)+273)^4-(W454+273)^4)</f>
        <v>0</v>
      </c>
      <c r="AF454">
        <f>U454+AE454+AC454+AD454</f>
        <v>0</v>
      </c>
      <c r="AG454">
        <f>DH454*AU454*(DC454-DB454*(1000-AU454*DE454)/(1000-AU454*DD454))/(100*CV454)</f>
        <v>0</v>
      </c>
      <c r="AH454">
        <f>1000*DH454*AU454*(DD454-DE454)/(100*CV454*(1000-AU454*DD454))</f>
        <v>0</v>
      </c>
      <c r="AI454">
        <f>(AJ454 - AK454 - DI454*1E3/(8.314*(DK454+273.15)) * AM454/DH454 * AL454) * DH454/(100*CV454) * (1000 - DE454)/1000</f>
        <v>0</v>
      </c>
      <c r="AJ454">
        <v>1286.711953978003</v>
      </c>
      <c r="AK454">
        <v>1239.231939393939</v>
      </c>
      <c r="AL454">
        <v>3.327512512423296</v>
      </c>
      <c r="AM454">
        <v>66.38195617057868</v>
      </c>
      <c r="AN454">
        <f>(AP454 - AO454 + DI454*1E3/(8.314*(DK454+273.15)) * AR454/DH454 * AQ454) * DH454/(100*CV454) * 1000/(1000 - AP454)</f>
        <v>0</v>
      </c>
      <c r="AO454">
        <v>9.504418761255574</v>
      </c>
      <c r="AP454">
        <v>18.43469705882353</v>
      </c>
      <c r="AQ454">
        <v>-0.000191350890239999</v>
      </c>
      <c r="AR454">
        <v>80.47178418790507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MAX(0,($B$13+$C$13*DP454)/(1+$D$13*DP454)*DI454/(DK454+273)*$E$13)</f>
        <v>0</v>
      </c>
      <c r="AX454" t="s">
        <v>417</v>
      </c>
      <c r="AY454" t="s">
        <v>417</v>
      </c>
      <c r="AZ454">
        <v>0</v>
      </c>
      <c r="BA454">
        <v>0</v>
      </c>
      <c r="BB454">
        <f>1-AZ454/BA454</f>
        <v>0</v>
      </c>
      <c r="BC454">
        <v>0</v>
      </c>
      <c r="BD454" t="s">
        <v>417</v>
      </c>
      <c r="BE454" t="s">
        <v>417</v>
      </c>
      <c r="BF454">
        <v>0</v>
      </c>
      <c r="BG454">
        <v>0</v>
      </c>
      <c r="BH454">
        <f>1-BF454/BG454</f>
        <v>0</v>
      </c>
      <c r="BI454">
        <v>0.5</v>
      </c>
      <c r="BJ454">
        <f>CS454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417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BZ454">
        <v>1249</v>
      </c>
      <c r="CA454">
        <v>300</v>
      </c>
      <c r="CB454">
        <v>300</v>
      </c>
      <c r="CC454">
        <v>300</v>
      </c>
      <c r="CD454">
        <v>10442.4</v>
      </c>
      <c r="CE454">
        <v>1239.69</v>
      </c>
      <c r="CF454">
        <v>-0.00735276</v>
      </c>
      <c r="CG454">
        <v>0.07000000000000001</v>
      </c>
      <c r="CH454" t="s">
        <v>417</v>
      </c>
      <c r="CI454" t="s">
        <v>417</v>
      </c>
      <c r="CJ454" t="s">
        <v>417</v>
      </c>
      <c r="CK454" t="s">
        <v>417</v>
      </c>
      <c r="CL454" t="s">
        <v>417</v>
      </c>
      <c r="CM454" t="s">
        <v>417</v>
      </c>
      <c r="CN454" t="s">
        <v>417</v>
      </c>
      <c r="CO454" t="s">
        <v>417</v>
      </c>
      <c r="CP454" t="s">
        <v>417</v>
      </c>
      <c r="CQ454" t="s">
        <v>417</v>
      </c>
      <c r="CR454">
        <f>$B$11*DQ454+$C$11*DR454+$F$11*EC454*(1-EF454)</f>
        <v>0</v>
      </c>
      <c r="CS454">
        <f>CR454*CT454</f>
        <v>0</v>
      </c>
      <c r="CT454">
        <f>($B$11*$D$9+$C$11*$D$9+$F$11*((EP454+EH454)/MAX(EP454+EH454+EQ454, 0.1)*$I$9+EQ454/MAX(EP454+EH454+EQ454, 0.1)*$J$9))/($B$11+$C$11+$F$11)</f>
        <v>0</v>
      </c>
      <c r="CU454">
        <f>($B$11*$K$9+$C$11*$K$9+$F$11*((EP454+EH454)/MAX(EP454+EH454+EQ454, 0.1)*$P$9+EQ454/MAX(EP454+EH454+EQ454, 0.1)*$Q$9))/($B$11+$C$11+$F$11)</f>
        <v>0</v>
      </c>
      <c r="CV454">
        <v>6</v>
      </c>
      <c r="CW454">
        <v>0.5</v>
      </c>
      <c r="CX454" t="s">
        <v>418</v>
      </c>
      <c r="CY454">
        <v>2</v>
      </c>
      <c r="CZ454" t="b">
        <v>1</v>
      </c>
      <c r="DA454">
        <v>1651866638</v>
      </c>
      <c r="DB454">
        <v>1214.76</v>
      </c>
      <c r="DC454">
        <v>1279.836666666667</v>
      </c>
      <c r="DD454">
        <v>18.43496666666667</v>
      </c>
      <c r="DE454">
        <v>9.540396666666666</v>
      </c>
      <c r="DF454">
        <v>1217.1</v>
      </c>
      <c r="DG454">
        <v>18.41323333333333</v>
      </c>
      <c r="DH454">
        <v>500.0050000000001</v>
      </c>
      <c r="DI454">
        <v>89.9113</v>
      </c>
      <c r="DJ454">
        <v>0.09982386666666666</v>
      </c>
      <c r="DK454">
        <v>25.9293</v>
      </c>
      <c r="DL454">
        <v>25.02146666666667</v>
      </c>
      <c r="DM454">
        <v>999.9</v>
      </c>
      <c r="DN454">
        <v>0</v>
      </c>
      <c r="DO454">
        <v>0</v>
      </c>
      <c r="DP454">
        <v>10003.14</v>
      </c>
      <c r="DQ454">
        <v>0</v>
      </c>
      <c r="DR454">
        <v>3.20383</v>
      </c>
      <c r="DS454">
        <v>-65.07996666666666</v>
      </c>
      <c r="DT454">
        <v>1237.576666666667</v>
      </c>
      <c r="DU454">
        <v>1292.166666666667</v>
      </c>
      <c r="DV454">
        <v>8.89457</v>
      </c>
      <c r="DW454">
        <v>1279.836666666667</v>
      </c>
      <c r="DX454">
        <v>9.540396666666666</v>
      </c>
      <c r="DY454">
        <v>1.65751</v>
      </c>
      <c r="DZ454">
        <v>0.8577893333333334</v>
      </c>
      <c r="EA454">
        <v>14.50413333333333</v>
      </c>
      <c r="EB454">
        <v>4.70139</v>
      </c>
      <c r="EC454">
        <v>1500.1</v>
      </c>
      <c r="ED454">
        <v>0.972992</v>
      </c>
      <c r="EE454">
        <v>0.027008</v>
      </c>
      <c r="EF454">
        <v>0</v>
      </c>
      <c r="EG454">
        <v>897.2293333333333</v>
      </c>
      <c r="EH454">
        <v>5.00097</v>
      </c>
      <c r="EI454">
        <v>13344.8</v>
      </c>
      <c r="EJ454">
        <v>12492.4</v>
      </c>
      <c r="EK454">
        <v>37.625</v>
      </c>
      <c r="EL454">
        <v>38.937</v>
      </c>
      <c r="EM454">
        <v>38.062</v>
      </c>
      <c r="EN454">
        <v>38.562</v>
      </c>
      <c r="EO454">
        <v>38.5</v>
      </c>
      <c r="EP454">
        <v>1454.72</v>
      </c>
      <c r="EQ454">
        <v>40.38</v>
      </c>
      <c r="ER454">
        <v>0</v>
      </c>
      <c r="ES454">
        <v>1156.400000095367</v>
      </c>
      <c r="ET454">
        <v>0</v>
      </c>
      <c r="EU454">
        <v>898.6282692307692</v>
      </c>
      <c r="EV454">
        <v>-12.68119657281784</v>
      </c>
      <c r="EW454">
        <v>-183.5794872655108</v>
      </c>
      <c r="EX454">
        <v>13363.93461538461</v>
      </c>
      <c r="EY454">
        <v>15</v>
      </c>
      <c r="EZ454">
        <v>1651865518.1</v>
      </c>
      <c r="FA454" t="s">
        <v>910</v>
      </c>
      <c r="FB454">
        <v>1651865507.1</v>
      </c>
      <c r="FC454">
        <v>1651865518.1</v>
      </c>
      <c r="FD454">
        <v>8</v>
      </c>
      <c r="FE454">
        <v>0.06</v>
      </c>
      <c r="FF454">
        <v>0</v>
      </c>
      <c r="FG454">
        <v>-0.927</v>
      </c>
      <c r="FH454">
        <v>-0.062</v>
      </c>
      <c r="FI454">
        <v>400</v>
      </c>
      <c r="FJ454">
        <v>11</v>
      </c>
      <c r="FK454">
        <v>0.11</v>
      </c>
      <c r="FL454">
        <v>0.01</v>
      </c>
      <c r="FM454">
        <v>-65.60050731707318</v>
      </c>
      <c r="FN454">
        <v>0.6786271777001432</v>
      </c>
      <c r="FO454">
        <v>0.2579739487606127</v>
      </c>
      <c r="FP454">
        <v>-1</v>
      </c>
      <c r="FQ454">
        <v>9.046003658536584</v>
      </c>
      <c r="FR454">
        <v>-1.004654634146346</v>
      </c>
      <c r="FS454">
        <v>0.0993604952355028</v>
      </c>
      <c r="FT454">
        <v>-1</v>
      </c>
      <c r="FU454">
        <v>0</v>
      </c>
      <c r="FV454">
        <v>0</v>
      </c>
      <c r="FW454">
        <v>0</v>
      </c>
      <c r="FX454">
        <v>-1</v>
      </c>
      <c r="FY454">
        <v>0</v>
      </c>
      <c r="FZ454">
        <v>0</v>
      </c>
      <c r="GA454" t="s">
        <v>420</v>
      </c>
      <c r="GB454">
        <v>2.98144</v>
      </c>
      <c r="GC454">
        <v>2.70608</v>
      </c>
      <c r="GD454">
        <v>0.194107</v>
      </c>
      <c r="GE454">
        <v>0.198167</v>
      </c>
      <c r="GF454">
        <v>0.0880832</v>
      </c>
      <c r="GG454">
        <v>0.0535206</v>
      </c>
      <c r="GH454">
        <v>25469.2</v>
      </c>
      <c r="GI454">
        <v>25395</v>
      </c>
      <c r="GJ454">
        <v>29381.1</v>
      </c>
      <c r="GK454">
        <v>29295.3</v>
      </c>
      <c r="GL454">
        <v>35477.3</v>
      </c>
      <c r="GM454">
        <v>36937.5</v>
      </c>
      <c r="GN454">
        <v>41354.5</v>
      </c>
      <c r="GO454">
        <v>41816.2</v>
      </c>
      <c r="GP454">
        <v>1.9674</v>
      </c>
      <c r="GQ454">
        <v>1.85888</v>
      </c>
      <c r="GR454">
        <v>-0.00230968</v>
      </c>
      <c r="GS454">
        <v>0</v>
      </c>
      <c r="GT454">
        <v>25.0593</v>
      </c>
      <c r="GU454">
        <v>999.9</v>
      </c>
      <c r="GV454">
        <v>29.4</v>
      </c>
      <c r="GW454">
        <v>34.2</v>
      </c>
      <c r="GX454">
        <v>17.6661</v>
      </c>
      <c r="GY454">
        <v>62.4776</v>
      </c>
      <c r="GZ454">
        <v>35.4688</v>
      </c>
      <c r="HA454">
        <v>1</v>
      </c>
      <c r="HB454">
        <v>0.0389405</v>
      </c>
      <c r="HC454">
        <v>1.55527</v>
      </c>
      <c r="HD454">
        <v>20.3274</v>
      </c>
      <c r="HE454">
        <v>5.21729</v>
      </c>
      <c r="HF454">
        <v>12.0099</v>
      </c>
      <c r="HG454">
        <v>4.9885</v>
      </c>
      <c r="HH454">
        <v>3.2885</v>
      </c>
      <c r="HI454">
        <v>1037.1</v>
      </c>
      <c r="HJ454">
        <v>9773.1</v>
      </c>
      <c r="HK454">
        <v>5139.4</v>
      </c>
      <c r="HL454">
        <v>25.4</v>
      </c>
      <c r="HM454">
        <v>1.86745</v>
      </c>
      <c r="HN454">
        <v>1.86646</v>
      </c>
      <c r="HO454">
        <v>1.866</v>
      </c>
      <c r="HP454">
        <v>1.86584</v>
      </c>
      <c r="HQ454">
        <v>1.86768</v>
      </c>
      <c r="HR454">
        <v>1.87023</v>
      </c>
      <c r="HS454">
        <v>1.8689</v>
      </c>
      <c r="HT454">
        <v>1.87025</v>
      </c>
      <c r="HU454">
        <v>0</v>
      </c>
      <c r="HV454">
        <v>0</v>
      </c>
      <c r="HW454">
        <v>0</v>
      </c>
      <c r="HX454">
        <v>0</v>
      </c>
      <c r="HY454" t="s">
        <v>421</v>
      </c>
      <c r="HZ454" t="s">
        <v>422</v>
      </c>
      <c r="IA454" t="s">
        <v>423</v>
      </c>
      <c r="IB454" t="s">
        <v>423</v>
      </c>
      <c r="IC454" t="s">
        <v>423</v>
      </c>
      <c r="ID454" t="s">
        <v>423</v>
      </c>
      <c r="IE454">
        <v>0</v>
      </c>
      <c r="IF454">
        <v>100</v>
      </c>
      <c r="IG454">
        <v>100</v>
      </c>
      <c r="IH454">
        <v>-2.35</v>
      </c>
      <c r="II454">
        <v>0.0217</v>
      </c>
      <c r="IJ454">
        <v>-0.1559367209035702</v>
      </c>
      <c r="IK454">
        <v>-0.002077099775823331</v>
      </c>
      <c r="IL454">
        <v>4.593143279902166E-07</v>
      </c>
      <c r="IM454">
        <v>-1.865383991892071E-10</v>
      </c>
      <c r="IN454">
        <v>-0.0607165066849496</v>
      </c>
      <c r="IO454">
        <v>-0.01129461987421345</v>
      </c>
      <c r="IP454">
        <v>0.00116580895745559</v>
      </c>
      <c r="IQ454">
        <v>-1.679085872906199E-05</v>
      </c>
      <c r="IR454">
        <v>2</v>
      </c>
      <c r="IS454">
        <v>2290</v>
      </c>
      <c r="IT454">
        <v>0</v>
      </c>
      <c r="IU454">
        <v>32</v>
      </c>
      <c r="IV454">
        <v>18.9</v>
      </c>
      <c r="IW454">
        <v>18.7</v>
      </c>
      <c r="IX454">
        <v>2.56592</v>
      </c>
      <c r="IY454">
        <v>2.17773</v>
      </c>
      <c r="IZ454">
        <v>1.39648</v>
      </c>
      <c r="JA454">
        <v>2.35474</v>
      </c>
      <c r="JB454">
        <v>1.49536</v>
      </c>
      <c r="JC454">
        <v>2.35229</v>
      </c>
      <c r="JD454">
        <v>38.0377</v>
      </c>
      <c r="JE454">
        <v>24.0437</v>
      </c>
      <c r="JF454">
        <v>18</v>
      </c>
      <c r="JG454">
        <v>511.968</v>
      </c>
      <c r="JH454">
        <v>428.256</v>
      </c>
      <c r="JI454">
        <v>23.1603</v>
      </c>
      <c r="JJ454">
        <v>27.8231</v>
      </c>
      <c r="JK454">
        <v>29.9999</v>
      </c>
      <c r="JL454">
        <v>27.8283</v>
      </c>
      <c r="JM454">
        <v>27.7713</v>
      </c>
      <c r="JN454">
        <v>51.3914</v>
      </c>
      <c r="JO454">
        <v>43.4563</v>
      </c>
      <c r="JP454">
        <v>0</v>
      </c>
      <c r="JQ454">
        <v>23.1534</v>
      </c>
      <c r="JR454">
        <v>1302.6</v>
      </c>
      <c r="JS454">
        <v>9.70208</v>
      </c>
      <c r="JT454">
        <v>100.429</v>
      </c>
      <c r="JU454">
        <v>100.359</v>
      </c>
    </row>
    <row r="455" spans="1:281">
      <c r="A455">
        <v>439</v>
      </c>
      <c r="B455">
        <v>1651866641</v>
      </c>
      <c r="C455">
        <v>2420.400000095367</v>
      </c>
      <c r="D455" t="s">
        <v>1301</v>
      </c>
      <c r="E455" t="s">
        <v>1302</v>
      </c>
      <c r="F455">
        <v>2</v>
      </c>
      <c r="G455" t="s">
        <v>908</v>
      </c>
      <c r="H455" t="s">
        <v>414</v>
      </c>
      <c r="I455">
        <v>1651866639.625</v>
      </c>
      <c r="J455">
        <f>(K455)/1000</f>
        <v>0</v>
      </c>
      <c r="K455">
        <f>IF(CZ455, AN455, AH455)</f>
        <v>0</v>
      </c>
      <c r="L455">
        <f>IF(CZ455, AI455, AG455)</f>
        <v>0</v>
      </c>
      <c r="M455">
        <f>DB455 - IF(AU455&gt;1, L455*CV455*100.0/(AW455*DP455), 0)</f>
        <v>0</v>
      </c>
      <c r="N455">
        <f>((T455-J455/2)*M455-L455)/(T455+J455/2)</f>
        <v>0</v>
      </c>
      <c r="O455">
        <f>N455*(DI455+DJ455)/1000.0</f>
        <v>0</v>
      </c>
      <c r="P455">
        <f>(DB455 - IF(AU455&gt;1, L455*CV455*100.0/(AW455*DP455), 0))*(DI455+DJ455)/1000.0</f>
        <v>0</v>
      </c>
      <c r="Q455">
        <f>2.0/((1/S455-1/R455)+SIGN(S455)*SQRT((1/S455-1/R455)*(1/S455-1/R455) + 4*CW455/((CW455+1)*(CW455+1))*(2*1/S455*1/R455-1/R455*1/R455)))</f>
        <v>0</v>
      </c>
      <c r="R455">
        <f>IF(LEFT(CX455,1)&lt;&gt;"0",IF(LEFT(CX455,1)="1",3.0,CY455),$D$5+$E$5*(DP455*DI455/($K$5*1000))+$F$5*(DP455*DI455/($K$5*1000))*MAX(MIN(CV455,$J$5),$I$5)*MAX(MIN(CV455,$J$5),$I$5)+$G$5*MAX(MIN(CV455,$J$5),$I$5)*(DP455*DI455/($K$5*1000))+$H$5*(DP455*DI455/($K$5*1000))*(DP455*DI455/($K$5*1000)))</f>
        <v>0</v>
      </c>
      <c r="S455">
        <f>J455*(1000-(1000*0.61365*exp(17.502*W455/(240.97+W455))/(DI455+DJ455)+DD455)/2)/(1000*0.61365*exp(17.502*W455/(240.97+W455))/(DI455+DJ455)-DD455)</f>
        <v>0</v>
      </c>
      <c r="T455">
        <f>1/((CW455+1)/(Q455/1.6)+1/(R455/1.37)) + CW455/((CW455+1)/(Q455/1.6) + CW455/(R455/1.37))</f>
        <v>0</v>
      </c>
      <c r="U455">
        <f>(CR455*CU455)</f>
        <v>0</v>
      </c>
      <c r="V455">
        <f>(DK455+(U455+2*0.95*5.67E-8*(((DK455+$B$7)+273)^4-(DK455+273)^4)-44100*J455)/(1.84*29.3*R455+8*0.95*5.67E-8*(DK455+273)^3))</f>
        <v>0</v>
      </c>
      <c r="W455">
        <f>($C$7*DL455+$D$7*DM455+$E$7*V455)</f>
        <v>0</v>
      </c>
      <c r="X455">
        <f>0.61365*exp(17.502*W455/(240.97+W455))</f>
        <v>0</v>
      </c>
      <c r="Y455">
        <f>(Z455/AA455*100)</f>
        <v>0</v>
      </c>
      <c r="Z455">
        <f>DD455*(DI455+DJ455)/1000</f>
        <v>0</v>
      </c>
      <c r="AA455">
        <f>0.61365*exp(17.502*DK455/(240.97+DK455))</f>
        <v>0</v>
      </c>
      <c r="AB455">
        <f>(X455-DD455*(DI455+DJ455)/1000)</f>
        <v>0</v>
      </c>
      <c r="AC455">
        <f>(-J455*44100)</f>
        <v>0</v>
      </c>
      <c r="AD455">
        <f>2*29.3*R455*0.92*(DK455-W455)</f>
        <v>0</v>
      </c>
      <c r="AE455">
        <f>2*0.95*5.67E-8*(((DK455+$B$7)+273)^4-(W455+273)^4)</f>
        <v>0</v>
      </c>
      <c r="AF455">
        <f>U455+AE455+AC455+AD455</f>
        <v>0</v>
      </c>
      <c r="AG455">
        <f>DH455*AU455*(DC455-DB455*(1000-AU455*DE455)/(1000-AU455*DD455))/(100*CV455)</f>
        <v>0</v>
      </c>
      <c r="AH455">
        <f>1000*DH455*AU455*(DD455-DE455)/(100*CV455*(1000-AU455*DD455))</f>
        <v>0</v>
      </c>
      <c r="AI455">
        <f>(AJ455 - AK455 - DI455*1E3/(8.314*(DK455+273.15)) * AM455/DH455 * AL455) * DH455/(100*CV455) * (1000 - DE455)/1000</f>
        <v>0</v>
      </c>
      <c r="AJ455">
        <v>1292.894349601684</v>
      </c>
      <c r="AK455">
        <v>1245.731333333332</v>
      </c>
      <c r="AL455">
        <v>3.274660246568448</v>
      </c>
      <c r="AM455">
        <v>66.38195617057868</v>
      </c>
      <c r="AN455">
        <f>(AP455 - AO455 + DI455*1E3/(8.314*(DK455+273.15)) * AR455/DH455 * AQ455) * DH455/(100*CV455) * 1000/(1000 - AP455)</f>
        <v>0</v>
      </c>
      <c r="AO455">
        <v>9.524315990050955</v>
      </c>
      <c r="AP455">
        <v>18.42722176470588</v>
      </c>
      <c r="AQ455">
        <v>-6.030522207569005E-05</v>
      </c>
      <c r="AR455">
        <v>80.47178418790507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MAX(0,($B$13+$C$13*DP455)/(1+$D$13*DP455)*DI455/(DK455+273)*$E$13)</f>
        <v>0</v>
      </c>
      <c r="AX455" t="s">
        <v>417</v>
      </c>
      <c r="AY455" t="s">
        <v>417</v>
      </c>
      <c r="AZ455">
        <v>0</v>
      </c>
      <c r="BA455">
        <v>0</v>
      </c>
      <c r="BB455">
        <f>1-AZ455/BA455</f>
        <v>0</v>
      </c>
      <c r="BC455">
        <v>0</v>
      </c>
      <c r="BD455" t="s">
        <v>417</v>
      </c>
      <c r="BE455" t="s">
        <v>417</v>
      </c>
      <c r="BF455">
        <v>0</v>
      </c>
      <c r="BG455">
        <v>0</v>
      </c>
      <c r="BH455">
        <f>1-BF455/BG455</f>
        <v>0</v>
      </c>
      <c r="BI455">
        <v>0.5</v>
      </c>
      <c r="BJ455">
        <f>CS455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417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BZ455">
        <v>1249</v>
      </c>
      <c r="CA455">
        <v>300</v>
      </c>
      <c r="CB455">
        <v>300</v>
      </c>
      <c r="CC455">
        <v>300</v>
      </c>
      <c r="CD455">
        <v>10442.4</v>
      </c>
      <c r="CE455">
        <v>1239.69</v>
      </c>
      <c r="CF455">
        <v>-0.00735276</v>
      </c>
      <c r="CG455">
        <v>0.07000000000000001</v>
      </c>
      <c r="CH455" t="s">
        <v>417</v>
      </c>
      <c r="CI455" t="s">
        <v>417</v>
      </c>
      <c r="CJ455" t="s">
        <v>417</v>
      </c>
      <c r="CK455" t="s">
        <v>417</v>
      </c>
      <c r="CL455" t="s">
        <v>417</v>
      </c>
      <c r="CM455" t="s">
        <v>417</v>
      </c>
      <c r="CN455" t="s">
        <v>417</v>
      </c>
      <c r="CO455" t="s">
        <v>417</v>
      </c>
      <c r="CP455" t="s">
        <v>417</v>
      </c>
      <c r="CQ455" t="s">
        <v>417</v>
      </c>
      <c r="CR455">
        <f>$B$11*DQ455+$C$11*DR455+$F$11*EC455*(1-EF455)</f>
        <v>0</v>
      </c>
      <c r="CS455">
        <f>CR455*CT455</f>
        <v>0</v>
      </c>
      <c r="CT455">
        <f>($B$11*$D$9+$C$11*$D$9+$F$11*((EP455+EH455)/MAX(EP455+EH455+EQ455, 0.1)*$I$9+EQ455/MAX(EP455+EH455+EQ455, 0.1)*$J$9))/($B$11+$C$11+$F$11)</f>
        <v>0</v>
      </c>
      <c r="CU455">
        <f>($B$11*$K$9+$C$11*$K$9+$F$11*((EP455+EH455)/MAX(EP455+EH455+EQ455, 0.1)*$P$9+EQ455/MAX(EP455+EH455+EQ455, 0.1)*$Q$9))/($B$11+$C$11+$F$11)</f>
        <v>0</v>
      </c>
      <c r="CV455">
        <v>6</v>
      </c>
      <c r="CW455">
        <v>0.5</v>
      </c>
      <c r="CX455" t="s">
        <v>418</v>
      </c>
      <c r="CY455">
        <v>2</v>
      </c>
      <c r="CZ455" t="b">
        <v>1</v>
      </c>
      <c r="DA455">
        <v>1651866639.625</v>
      </c>
      <c r="DB455">
        <v>1219.98</v>
      </c>
      <c r="DC455">
        <v>1284.8825</v>
      </c>
      <c r="DD455">
        <v>18.430025</v>
      </c>
      <c r="DE455">
        <v>9.5588125</v>
      </c>
      <c r="DF455">
        <v>1222.33</v>
      </c>
      <c r="DG455">
        <v>18.40835</v>
      </c>
      <c r="DH455">
        <v>500.01675</v>
      </c>
      <c r="DI455">
        <v>89.91135000000001</v>
      </c>
      <c r="DJ455">
        <v>0.09980217499999999</v>
      </c>
      <c r="DK455">
        <v>25.93055</v>
      </c>
      <c r="DL455">
        <v>25.023275</v>
      </c>
      <c r="DM455">
        <v>999.9</v>
      </c>
      <c r="DN455">
        <v>0</v>
      </c>
      <c r="DO455">
        <v>0</v>
      </c>
      <c r="DP455">
        <v>10006.105</v>
      </c>
      <c r="DQ455">
        <v>0</v>
      </c>
      <c r="DR455">
        <v>3.20383</v>
      </c>
      <c r="DS455">
        <v>-64.903875</v>
      </c>
      <c r="DT455">
        <v>1242.885</v>
      </c>
      <c r="DU455">
        <v>1297.2825</v>
      </c>
      <c r="DV455">
        <v>8.871212499999999</v>
      </c>
      <c r="DW455">
        <v>1284.8825</v>
      </c>
      <c r="DX455">
        <v>9.5588125</v>
      </c>
      <c r="DY455">
        <v>1.6570675</v>
      </c>
      <c r="DZ455">
        <v>0.8594455</v>
      </c>
      <c r="EA455">
        <v>14.499975</v>
      </c>
      <c r="EB455">
        <v>4.72899</v>
      </c>
      <c r="EC455">
        <v>1500.0175</v>
      </c>
      <c r="ED455">
        <v>0.9729945000000001</v>
      </c>
      <c r="EE455">
        <v>0.0270055</v>
      </c>
      <c r="EF455">
        <v>0</v>
      </c>
      <c r="EG455">
        <v>896.8369999999999</v>
      </c>
      <c r="EH455">
        <v>5.00097</v>
      </c>
      <c r="EI455">
        <v>13338.775</v>
      </c>
      <c r="EJ455">
        <v>12491.725</v>
      </c>
      <c r="EK455">
        <v>37.625</v>
      </c>
      <c r="EL455">
        <v>38.937</v>
      </c>
      <c r="EM455">
        <v>38.031</v>
      </c>
      <c r="EN455">
        <v>38.562</v>
      </c>
      <c r="EO455">
        <v>38.5</v>
      </c>
      <c r="EP455">
        <v>1454.6425</v>
      </c>
      <c r="EQ455">
        <v>40.375</v>
      </c>
      <c r="ER455">
        <v>0</v>
      </c>
      <c r="ES455">
        <v>1158.200000047684</v>
      </c>
      <c r="ET455">
        <v>0</v>
      </c>
      <c r="EU455">
        <v>898.1732</v>
      </c>
      <c r="EV455">
        <v>-12.47238458006274</v>
      </c>
      <c r="EW455">
        <v>-183.6384611948158</v>
      </c>
      <c r="EX455">
        <v>13357.488</v>
      </c>
      <c r="EY455">
        <v>15</v>
      </c>
      <c r="EZ455">
        <v>1651865518.1</v>
      </c>
      <c r="FA455" t="s">
        <v>910</v>
      </c>
      <c r="FB455">
        <v>1651865507.1</v>
      </c>
      <c r="FC455">
        <v>1651865518.1</v>
      </c>
      <c r="FD455">
        <v>8</v>
      </c>
      <c r="FE455">
        <v>0.06</v>
      </c>
      <c r="FF455">
        <v>0</v>
      </c>
      <c r="FG455">
        <v>-0.927</v>
      </c>
      <c r="FH455">
        <v>-0.062</v>
      </c>
      <c r="FI455">
        <v>400</v>
      </c>
      <c r="FJ455">
        <v>11</v>
      </c>
      <c r="FK455">
        <v>0.11</v>
      </c>
      <c r="FL455">
        <v>0.01</v>
      </c>
      <c r="FM455">
        <v>-65.5307375</v>
      </c>
      <c r="FN455">
        <v>1.199039774859361</v>
      </c>
      <c r="FO455">
        <v>0.3071019347769564</v>
      </c>
      <c r="FP455">
        <v>-1</v>
      </c>
      <c r="FQ455">
        <v>9.01749775</v>
      </c>
      <c r="FR455">
        <v>-0.9892830393996369</v>
      </c>
      <c r="FS455">
        <v>0.09552007039066453</v>
      </c>
      <c r="FT455">
        <v>-1</v>
      </c>
      <c r="FU455">
        <v>0</v>
      </c>
      <c r="FV455">
        <v>0</v>
      </c>
      <c r="FW455">
        <v>0</v>
      </c>
      <c r="FX455">
        <v>-1</v>
      </c>
      <c r="FY455">
        <v>0</v>
      </c>
      <c r="FZ455">
        <v>0</v>
      </c>
      <c r="GA455" t="s">
        <v>420</v>
      </c>
      <c r="GB455">
        <v>2.98142</v>
      </c>
      <c r="GC455">
        <v>2.70608</v>
      </c>
      <c r="GD455">
        <v>0.194745</v>
      </c>
      <c r="GE455">
        <v>0.198774</v>
      </c>
      <c r="GF455">
        <v>0.0880604</v>
      </c>
      <c r="GG455">
        <v>0.0536255</v>
      </c>
      <c r="GH455">
        <v>25448.9</v>
      </c>
      <c r="GI455">
        <v>25375.7</v>
      </c>
      <c r="GJ455">
        <v>29380.9</v>
      </c>
      <c r="GK455">
        <v>29295.2</v>
      </c>
      <c r="GL455">
        <v>35478</v>
      </c>
      <c r="GM455">
        <v>36933.3</v>
      </c>
      <c r="GN455">
        <v>41354.2</v>
      </c>
      <c r="GO455">
        <v>41816</v>
      </c>
      <c r="GP455">
        <v>1.96732</v>
      </c>
      <c r="GQ455">
        <v>1.8592</v>
      </c>
      <c r="GR455">
        <v>-0.0018999</v>
      </c>
      <c r="GS455">
        <v>0</v>
      </c>
      <c r="GT455">
        <v>25.0594</v>
      </c>
      <c r="GU455">
        <v>999.9</v>
      </c>
      <c r="GV455">
        <v>29.4</v>
      </c>
      <c r="GW455">
        <v>34.2</v>
      </c>
      <c r="GX455">
        <v>17.6677</v>
      </c>
      <c r="GY455">
        <v>62.3976</v>
      </c>
      <c r="GZ455">
        <v>35.3966</v>
      </c>
      <c r="HA455">
        <v>1</v>
      </c>
      <c r="HB455">
        <v>0.0386992</v>
      </c>
      <c r="HC455">
        <v>1.55834</v>
      </c>
      <c r="HD455">
        <v>20.3274</v>
      </c>
      <c r="HE455">
        <v>5.21699</v>
      </c>
      <c r="HF455">
        <v>12.0099</v>
      </c>
      <c r="HG455">
        <v>4.98815</v>
      </c>
      <c r="HH455">
        <v>3.2885</v>
      </c>
      <c r="HI455">
        <v>1037.1</v>
      </c>
      <c r="HJ455">
        <v>9773.1</v>
      </c>
      <c r="HK455">
        <v>5139.4</v>
      </c>
      <c r="HL455">
        <v>25.4</v>
      </c>
      <c r="HM455">
        <v>1.86747</v>
      </c>
      <c r="HN455">
        <v>1.86646</v>
      </c>
      <c r="HO455">
        <v>1.866</v>
      </c>
      <c r="HP455">
        <v>1.86585</v>
      </c>
      <c r="HQ455">
        <v>1.86768</v>
      </c>
      <c r="HR455">
        <v>1.87022</v>
      </c>
      <c r="HS455">
        <v>1.8689</v>
      </c>
      <c r="HT455">
        <v>1.87026</v>
      </c>
      <c r="HU455">
        <v>0</v>
      </c>
      <c r="HV455">
        <v>0</v>
      </c>
      <c r="HW455">
        <v>0</v>
      </c>
      <c r="HX455">
        <v>0</v>
      </c>
      <c r="HY455" t="s">
        <v>421</v>
      </c>
      <c r="HZ455" t="s">
        <v>422</v>
      </c>
      <c r="IA455" t="s">
        <v>423</v>
      </c>
      <c r="IB455" t="s">
        <v>423</v>
      </c>
      <c r="IC455" t="s">
        <v>423</v>
      </c>
      <c r="ID455" t="s">
        <v>423</v>
      </c>
      <c r="IE455">
        <v>0</v>
      </c>
      <c r="IF455">
        <v>100</v>
      </c>
      <c r="IG455">
        <v>100</v>
      </c>
      <c r="IH455">
        <v>-2.36</v>
      </c>
      <c r="II455">
        <v>0.0216</v>
      </c>
      <c r="IJ455">
        <v>-0.1559367209035702</v>
      </c>
      <c r="IK455">
        <v>-0.002077099775823331</v>
      </c>
      <c r="IL455">
        <v>4.593143279902166E-07</v>
      </c>
      <c r="IM455">
        <v>-1.865383991892071E-10</v>
      </c>
      <c r="IN455">
        <v>-0.0607165066849496</v>
      </c>
      <c r="IO455">
        <v>-0.01129461987421345</v>
      </c>
      <c r="IP455">
        <v>0.00116580895745559</v>
      </c>
      <c r="IQ455">
        <v>-1.679085872906199E-05</v>
      </c>
      <c r="IR455">
        <v>2</v>
      </c>
      <c r="IS455">
        <v>2290</v>
      </c>
      <c r="IT455">
        <v>0</v>
      </c>
      <c r="IU455">
        <v>32</v>
      </c>
      <c r="IV455">
        <v>18.9</v>
      </c>
      <c r="IW455">
        <v>18.7</v>
      </c>
      <c r="IX455">
        <v>2.57812</v>
      </c>
      <c r="IY455">
        <v>2.17651</v>
      </c>
      <c r="IZ455">
        <v>1.39648</v>
      </c>
      <c r="JA455">
        <v>2.35474</v>
      </c>
      <c r="JB455">
        <v>1.49536</v>
      </c>
      <c r="JC455">
        <v>2.36938</v>
      </c>
      <c r="JD455">
        <v>38.0377</v>
      </c>
      <c r="JE455">
        <v>24.0437</v>
      </c>
      <c r="JF455">
        <v>18</v>
      </c>
      <c r="JG455">
        <v>511.914</v>
      </c>
      <c r="JH455">
        <v>428.447</v>
      </c>
      <c r="JI455">
        <v>23.1538</v>
      </c>
      <c r="JJ455">
        <v>27.8231</v>
      </c>
      <c r="JK455">
        <v>29.9999</v>
      </c>
      <c r="JL455">
        <v>27.8277</v>
      </c>
      <c r="JM455">
        <v>27.7708</v>
      </c>
      <c r="JN455">
        <v>51.6107</v>
      </c>
      <c r="JO455">
        <v>43.1679</v>
      </c>
      <c r="JP455">
        <v>0</v>
      </c>
      <c r="JQ455">
        <v>23.1325</v>
      </c>
      <c r="JR455">
        <v>1309.28</v>
      </c>
      <c r="JS455">
        <v>9.734730000000001</v>
      </c>
      <c r="JT455">
        <v>100.429</v>
      </c>
      <c r="JU455">
        <v>100.359</v>
      </c>
    </row>
    <row r="456" spans="1:281">
      <c r="A456">
        <v>440</v>
      </c>
      <c r="B456">
        <v>1651866643</v>
      </c>
      <c r="C456">
        <v>2422.400000095367</v>
      </c>
      <c r="D456" t="s">
        <v>1303</v>
      </c>
      <c r="E456" t="s">
        <v>1304</v>
      </c>
      <c r="F456">
        <v>2</v>
      </c>
      <c r="G456" t="s">
        <v>908</v>
      </c>
      <c r="H456" t="s">
        <v>414</v>
      </c>
      <c r="I456">
        <v>1651866642</v>
      </c>
      <c r="J456">
        <f>(K456)/1000</f>
        <v>0</v>
      </c>
      <c r="K456">
        <f>IF(CZ456, AN456, AH456)</f>
        <v>0</v>
      </c>
      <c r="L456">
        <f>IF(CZ456, AI456, AG456)</f>
        <v>0</v>
      </c>
      <c r="M456">
        <f>DB456 - IF(AU456&gt;1, L456*CV456*100.0/(AW456*DP456), 0)</f>
        <v>0</v>
      </c>
      <c r="N456">
        <f>((T456-J456/2)*M456-L456)/(T456+J456/2)</f>
        <v>0</v>
      </c>
      <c r="O456">
        <f>N456*(DI456+DJ456)/1000.0</f>
        <v>0</v>
      </c>
      <c r="P456">
        <f>(DB456 - IF(AU456&gt;1, L456*CV456*100.0/(AW456*DP456), 0))*(DI456+DJ456)/1000.0</f>
        <v>0</v>
      </c>
      <c r="Q456">
        <f>2.0/((1/S456-1/R456)+SIGN(S456)*SQRT((1/S456-1/R456)*(1/S456-1/R456) + 4*CW456/((CW456+1)*(CW456+1))*(2*1/S456*1/R456-1/R456*1/R456)))</f>
        <v>0</v>
      </c>
      <c r="R456">
        <f>IF(LEFT(CX456,1)&lt;&gt;"0",IF(LEFT(CX456,1)="1",3.0,CY456),$D$5+$E$5*(DP456*DI456/($K$5*1000))+$F$5*(DP456*DI456/($K$5*1000))*MAX(MIN(CV456,$J$5),$I$5)*MAX(MIN(CV456,$J$5),$I$5)+$G$5*MAX(MIN(CV456,$J$5),$I$5)*(DP456*DI456/($K$5*1000))+$H$5*(DP456*DI456/($K$5*1000))*(DP456*DI456/($K$5*1000)))</f>
        <v>0</v>
      </c>
      <c r="S456">
        <f>J456*(1000-(1000*0.61365*exp(17.502*W456/(240.97+W456))/(DI456+DJ456)+DD456)/2)/(1000*0.61365*exp(17.502*W456/(240.97+W456))/(DI456+DJ456)-DD456)</f>
        <v>0</v>
      </c>
      <c r="T456">
        <f>1/((CW456+1)/(Q456/1.6)+1/(R456/1.37)) + CW456/((CW456+1)/(Q456/1.6) + CW456/(R456/1.37))</f>
        <v>0</v>
      </c>
      <c r="U456">
        <f>(CR456*CU456)</f>
        <v>0</v>
      </c>
      <c r="V456">
        <f>(DK456+(U456+2*0.95*5.67E-8*(((DK456+$B$7)+273)^4-(DK456+273)^4)-44100*J456)/(1.84*29.3*R456+8*0.95*5.67E-8*(DK456+273)^3))</f>
        <v>0</v>
      </c>
      <c r="W456">
        <f>($C$7*DL456+$D$7*DM456+$E$7*V456)</f>
        <v>0</v>
      </c>
      <c r="X456">
        <f>0.61365*exp(17.502*W456/(240.97+W456))</f>
        <v>0</v>
      </c>
      <c r="Y456">
        <f>(Z456/AA456*100)</f>
        <v>0</v>
      </c>
      <c r="Z456">
        <f>DD456*(DI456+DJ456)/1000</f>
        <v>0</v>
      </c>
      <c r="AA456">
        <f>0.61365*exp(17.502*DK456/(240.97+DK456))</f>
        <v>0</v>
      </c>
      <c r="AB456">
        <f>(X456-DD456*(DI456+DJ456)/1000)</f>
        <v>0</v>
      </c>
      <c r="AC456">
        <f>(-J456*44100)</f>
        <v>0</v>
      </c>
      <c r="AD456">
        <f>2*29.3*R456*0.92*(DK456-W456)</f>
        <v>0</v>
      </c>
      <c r="AE456">
        <f>2*0.95*5.67E-8*(((DK456+$B$7)+273)^4-(W456+273)^4)</f>
        <v>0</v>
      </c>
      <c r="AF456">
        <f>U456+AE456+AC456+AD456</f>
        <v>0</v>
      </c>
      <c r="AG456">
        <f>DH456*AU456*(DC456-DB456*(1000-AU456*DE456)/(1000-AU456*DD456))/(100*CV456)</f>
        <v>0</v>
      </c>
      <c r="AH456">
        <f>1000*DH456*AU456*(DD456-DE456)/(100*CV456*(1000-AU456*DD456))</f>
        <v>0</v>
      </c>
      <c r="AI456">
        <f>(AJ456 - AK456 - DI456*1E3/(8.314*(DK456+273.15)) * AM456/DH456 * AL456) * DH456/(100*CV456) * (1000 - DE456)/1000</f>
        <v>0</v>
      </c>
      <c r="AJ456">
        <v>1299.226164189815</v>
      </c>
      <c r="AK456">
        <v>1252.136303030303</v>
      </c>
      <c r="AL456">
        <v>3.223084006851255</v>
      </c>
      <c r="AM456">
        <v>66.38195617057868</v>
      </c>
      <c r="AN456">
        <f>(AP456 - AO456 + DI456*1E3/(8.314*(DK456+273.15)) * AR456/DH456 * AQ456) * DH456/(100*CV456) * 1000/(1000 - AP456)</f>
        <v>0</v>
      </c>
      <c r="AO456">
        <v>9.544575099443911</v>
      </c>
      <c r="AP456">
        <v>18.41847970588235</v>
      </c>
      <c r="AQ456">
        <v>-7.893262134796259E-05</v>
      </c>
      <c r="AR456">
        <v>80.47178418790507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MAX(0,($B$13+$C$13*DP456)/(1+$D$13*DP456)*DI456/(DK456+273)*$E$13)</f>
        <v>0</v>
      </c>
      <c r="AX456" t="s">
        <v>417</v>
      </c>
      <c r="AY456" t="s">
        <v>417</v>
      </c>
      <c r="AZ456">
        <v>0</v>
      </c>
      <c r="BA456">
        <v>0</v>
      </c>
      <c r="BB456">
        <f>1-AZ456/BA456</f>
        <v>0</v>
      </c>
      <c r="BC456">
        <v>0</v>
      </c>
      <c r="BD456" t="s">
        <v>417</v>
      </c>
      <c r="BE456" t="s">
        <v>417</v>
      </c>
      <c r="BF456">
        <v>0</v>
      </c>
      <c r="BG456">
        <v>0</v>
      </c>
      <c r="BH456">
        <f>1-BF456/BG456</f>
        <v>0</v>
      </c>
      <c r="BI456">
        <v>0.5</v>
      </c>
      <c r="BJ456">
        <f>CS456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417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BZ456">
        <v>1249</v>
      </c>
      <c r="CA456">
        <v>300</v>
      </c>
      <c r="CB456">
        <v>300</v>
      </c>
      <c r="CC456">
        <v>300</v>
      </c>
      <c r="CD456">
        <v>10442.4</v>
      </c>
      <c r="CE456">
        <v>1239.69</v>
      </c>
      <c r="CF456">
        <v>-0.00735276</v>
      </c>
      <c r="CG456">
        <v>0.07000000000000001</v>
      </c>
      <c r="CH456" t="s">
        <v>417</v>
      </c>
      <c r="CI456" t="s">
        <v>417</v>
      </c>
      <c r="CJ456" t="s">
        <v>417</v>
      </c>
      <c r="CK456" t="s">
        <v>417</v>
      </c>
      <c r="CL456" t="s">
        <v>417</v>
      </c>
      <c r="CM456" t="s">
        <v>417</v>
      </c>
      <c r="CN456" t="s">
        <v>417</v>
      </c>
      <c r="CO456" t="s">
        <v>417</v>
      </c>
      <c r="CP456" t="s">
        <v>417</v>
      </c>
      <c r="CQ456" t="s">
        <v>417</v>
      </c>
      <c r="CR456">
        <f>$B$11*DQ456+$C$11*DR456+$F$11*EC456*(1-EF456)</f>
        <v>0</v>
      </c>
      <c r="CS456">
        <f>CR456*CT456</f>
        <v>0</v>
      </c>
      <c r="CT456">
        <f>($B$11*$D$9+$C$11*$D$9+$F$11*((EP456+EH456)/MAX(EP456+EH456+EQ456, 0.1)*$I$9+EQ456/MAX(EP456+EH456+EQ456, 0.1)*$J$9))/($B$11+$C$11+$F$11)</f>
        <v>0</v>
      </c>
      <c r="CU456">
        <f>($B$11*$K$9+$C$11*$K$9+$F$11*((EP456+EH456)/MAX(EP456+EH456+EQ456, 0.1)*$P$9+EQ456/MAX(EP456+EH456+EQ456, 0.1)*$Q$9))/($B$11+$C$11+$F$11)</f>
        <v>0</v>
      </c>
      <c r="CV456">
        <v>6</v>
      </c>
      <c r="CW456">
        <v>0.5</v>
      </c>
      <c r="CX456" t="s">
        <v>418</v>
      </c>
      <c r="CY456">
        <v>2</v>
      </c>
      <c r="CZ456" t="b">
        <v>1</v>
      </c>
      <c r="DA456">
        <v>1651866642</v>
      </c>
      <c r="DB456">
        <v>1227.5</v>
      </c>
      <c r="DC456">
        <v>1292.546666666667</v>
      </c>
      <c r="DD456">
        <v>18.421</v>
      </c>
      <c r="DE456">
        <v>9.596486666666665</v>
      </c>
      <c r="DF456">
        <v>1229.86</v>
      </c>
      <c r="DG456">
        <v>18.39946666666667</v>
      </c>
      <c r="DH456">
        <v>500.0576666666666</v>
      </c>
      <c r="DI456">
        <v>89.91243333333334</v>
      </c>
      <c r="DJ456">
        <v>0.1000041</v>
      </c>
      <c r="DK456">
        <v>25.93313333333333</v>
      </c>
      <c r="DL456">
        <v>25.02706666666667</v>
      </c>
      <c r="DM456">
        <v>999.9</v>
      </c>
      <c r="DN456">
        <v>0</v>
      </c>
      <c r="DO456">
        <v>0</v>
      </c>
      <c r="DP456">
        <v>9997.5</v>
      </c>
      <c r="DQ456">
        <v>0</v>
      </c>
      <c r="DR456">
        <v>3.20383</v>
      </c>
      <c r="DS456">
        <v>-65.05073333333333</v>
      </c>
      <c r="DT456">
        <v>1250.53</v>
      </c>
      <c r="DU456">
        <v>1305.073333333333</v>
      </c>
      <c r="DV456">
        <v>8.824530000000001</v>
      </c>
      <c r="DW456">
        <v>1292.546666666667</v>
      </c>
      <c r="DX456">
        <v>9.596486666666665</v>
      </c>
      <c r="DY456">
        <v>1.656276666666667</v>
      </c>
      <c r="DZ456">
        <v>0.8628433333333333</v>
      </c>
      <c r="EA456">
        <v>14.4926</v>
      </c>
      <c r="EB456">
        <v>4.78548</v>
      </c>
      <c r="EC456">
        <v>1500</v>
      </c>
      <c r="ED456">
        <v>0.9729953333333334</v>
      </c>
      <c r="EE456">
        <v>0.02700466666666667</v>
      </c>
      <c r="EF456">
        <v>0</v>
      </c>
      <c r="EG456">
        <v>896.6036666666668</v>
      </c>
      <c r="EH456">
        <v>5.00097</v>
      </c>
      <c r="EI456">
        <v>13332.03333333333</v>
      </c>
      <c r="EJ456">
        <v>12491.56666666667</v>
      </c>
      <c r="EK456">
        <v>37.625</v>
      </c>
      <c r="EL456">
        <v>38.937</v>
      </c>
      <c r="EM456">
        <v>38.04133333333333</v>
      </c>
      <c r="EN456">
        <v>38.562</v>
      </c>
      <c r="EO456">
        <v>38.5</v>
      </c>
      <c r="EP456">
        <v>1454.626666666667</v>
      </c>
      <c r="EQ456">
        <v>40.37333333333333</v>
      </c>
      <c r="ER456">
        <v>0</v>
      </c>
      <c r="ES456">
        <v>1160.600000143051</v>
      </c>
      <c r="ET456">
        <v>0</v>
      </c>
      <c r="EU456">
        <v>897.6886000000002</v>
      </c>
      <c r="EV456">
        <v>-11.94615381086011</v>
      </c>
      <c r="EW456">
        <v>-181.0076920380376</v>
      </c>
      <c r="EX456">
        <v>13350.196</v>
      </c>
      <c r="EY456">
        <v>15</v>
      </c>
      <c r="EZ456">
        <v>1651865518.1</v>
      </c>
      <c r="FA456" t="s">
        <v>910</v>
      </c>
      <c r="FB456">
        <v>1651865507.1</v>
      </c>
      <c r="FC456">
        <v>1651865518.1</v>
      </c>
      <c r="FD456">
        <v>8</v>
      </c>
      <c r="FE456">
        <v>0.06</v>
      </c>
      <c r="FF456">
        <v>0</v>
      </c>
      <c r="FG456">
        <v>-0.927</v>
      </c>
      <c r="FH456">
        <v>-0.062</v>
      </c>
      <c r="FI456">
        <v>400</v>
      </c>
      <c r="FJ456">
        <v>11</v>
      </c>
      <c r="FK456">
        <v>0.11</v>
      </c>
      <c r="FL456">
        <v>0.01</v>
      </c>
      <c r="FM456">
        <v>-65.44884146341462</v>
      </c>
      <c r="FN456">
        <v>1.851769337979165</v>
      </c>
      <c r="FO456">
        <v>0.3471719240753073</v>
      </c>
      <c r="FP456">
        <v>-1</v>
      </c>
      <c r="FQ456">
        <v>8.980404878048779</v>
      </c>
      <c r="FR456">
        <v>-0.9733409059233248</v>
      </c>
      <c r="FS456">
        <v>0.09632017196529567</v>
      </c>
      <c r="FT456">
        <v>-1</v>
      </c>
      <c r="FU456">
        <v>0</v>
      </c>
      <c r="FV456">
        <v>0</v>
      </c>
      <c r="FW456">
        <v>0</v>
      </c>
      <c r="FX456">
        <v>-1</v>
      </c>
      <c r="FY456">
        <v>0</v>
      </c>
      <c r="FZ456">
        <v>0</v>
      </c>
      <c r="GA456" t="s">
        <v>420</v>
      </c>
      <c r="GB456">
        <v>2.98166</v>
      </c>
      <c r="GC456">
        <v>2.70614</v>
      </c>
      <c r="GD456">
        <v>0.195375</v>
      </c>
      <c r="GE456">
        <v>0.199394</v>
      </c>
      <c r="GF456">
        <v>0.0880281</v>
      </c>
      <c r="GG456">
        <v>0.0538231</v>
      </c>
      <c r="GH456">
        <v>25429</v>
      </c>
      <c r="GI456">
        <v>25356.1</v>
      </c>
      <c r="GJ456">
        <v>29380.9</v>
      </c>
      <c r="GK456">
        <v>29295.3</v>
      </c>
      <c r="GL456">
        <v>35479.4</v>
      </c>
      <c r="GM456">
        <v>36925.7</v>
      </c>
      <c r="GN456">
        <v>41354.4</v>
      </c>
      <c r="GO456">
        <v>41816.1</v>
      </c>
      <c r="GP456">
        <v>1.96718</v>
      </c>
      <c r="GQ456">
        <v>1.85912</v>
      </c>
      <c r="GR456">
        <v>-0.00201166</v>
      </c>
      <c r="GS456">
        <v>0</v>
      </c>
      <c r="GT456">
        <v>25.0603</v>
      </c>
      <c r="GU456">
        <v>999.9</v>
      </c>
      <c r="GV456">
        <v>29.4</v>
      </c>
      <c r="GW456">
        <v>34.2</v>
      </c>
      <c r="GX456">
        <v>17.6669</v>
      </c>
      <c r="GY456">
        <v>62.2576</v>
      </c>
      <c r="GZ456">
        <v>35.0881</v>
      </c>
      <c r="HA456">
        <v>1</v>
      </c>
      <c r="HB456">
        <v>0.0386585</v>
      </c>
      <c r="HC456">
        <v>1.58939</v>
      </c>
      <c r="HD456">
        <v>20.327</v>
      </c>
      <c r="HE456">
        <v>5.21699</v>
      </c>
      <c r="HF456">
        <v>12.0099</v>
      </c>
      <c r="HG456">
        <v>4.9881</v>
      </c>
      <c r="HH456">
        <v>3.2885</v>
      </c>
      <c r="HI456">
        <v>1037.3</v>
      </c>
      <c r="HJ456">
        <v>9774.5</v>
      </c>
      <c r="HK456">
        <v>5139.4</v>
      </c>
      <c r="HL456">
        <v>25.4</v>
      </c>
      <c r="HM456">
        <v>1.86749</v>
      </c>
      <c r="HN456">
        <v>1.86646</v>
      </c>
      <c r="HO456">
        <v>1.866</v>
      </c>
      <c r="HP456">
        <v>1.86586</v>
      </c>
      <c r="HQ456">
        <v>1.86768</v>
      </c>
      <c r="HR456">
        <v>1.8702</v>
      </c>
      <c r="HS456">
        <v>1.8689</v>
      </c>
      <c r="HT456">
        <v>1.87024</v>
      </c>
      <c r="HU456">
        <v>0</v>
      </c>
      <c r="HV456">
        <v>0</v>
      </c>
      <c r="HW456">
        <v>0</v>
      </c>
      <c r="HX456">
        <v>0</v>
      </c>
      <c r="HY456" t="s">
        <v>421</v>
      </c>
      <c r="HZ456" t="s">
        <v>422</v>
      </c>
      <c r="IA456" t="s">
        <v>423</v>
      </c>
      <c r="IB456" t="s">
        <v>423</v>
      </c>
      <c r="IC456" t="s">
        <v>423</v>
      </c>
      <c r="ID456" t="s">
        <v>423</v>
      </c>
      <c r="IE456">
        <v>0</v>
      </c>
      <c r="IF456">
        <v>100</v>
      </c>
      <c r="IG456">
        <v>100</v>
      </c>
      <c r="IH456">
        <v>-2.36</v>
      </c>
      <c r="II456">
        <v>0.0215</v>
      </c>
      <c r="IJ456">
        <v>-0.1559367209035702</v>
      </c>
      <c r="IK456">
        <v>-0.002077099775823331</v>
      </c>
      <c r="IL456">
        <v>4.593143279902166E-07</v>
      </c>
      <c r="IM456">
        <v>-1.865383991892071E-10</v>
      </c>
      <c r="IN456">
        <v>-0.0607165066849496</v>
      </c>
      <c r="IO456">
        <v>-0.01129461987421345</v>
      </c>
      <c r="IP456">
        <v>0.00116580895745559</v>
      </c>
      <c r="IQ456">
        <v>-1.679085872906199E-05</v>
      </c>
      <c r="IR456">
        <v>2</v>
      </c>
      <c r="IS456">
        <v>2290</v>
      </c>
      <c r="IT456">
        <v>0</v>
      </c>
      <c r="IU456">
        <v>32</v>
      </c>
      <c r="IV456">
        <v>18.9</v>
      </c>
      <c r="IW456">
        <v>18.7</v>
      </c>
      <c r="IX456">
        <v>2.58789</v>
      </c>
      <c r="IY456">
        <v>2.18018</v>
      </c>
      <c r="IZ456">
        <v>1.39648</v>
      </c>
      <c r="JA456">
        <v>2.35474</v>
      </c>
      <c r="JB456">
        <v>1.49536</v>
      </c>
      <c r="JC456">
        <v>2.31323</v>
      </c>
      <c r="JD456">
        <v>38.0377</v>
      </c>
      <c r="JE456">
        <v>24.035</v>
      </c>
      <c r="JF456">
        <v>18</v>
      </c>
      <c r="JG456">
        <v>511.816</v>
      </c>
      <c r="JH456">
        <v>428.394</v>
      </c>
      <c r="JI456">
        <v>23.1469</v>
      </c>
      <c r="JJ456">
        <v>27.8219</v>
      </c>
      <c r="JK456">
        <v>30.0001</v>
      </c>
      <c r="JL456">
        <v>27.8277</v>
      </c>
      <c r="JM456">
        <v>27.7697</v>
      </c>
      <c r="JN456">
        <v>51.8279</v>
      </c>
      <c r="JO456">
        <v>43.1679</v>
      </c>
      <c r="JP456">
        <v>0</v>
      </c>
      <c r="JQ456">
        <v>23.1325</v>
      </c>
      <c r="JR456">
        <v>1315.95</v>
      </c>
      <c r="JS456">
        <v>9.77999</v>
      </c>
      <c r="JT456">
        <v>100.429</v>
      </c>
      <c r="JU456">
        <v>100.359</v>
      </c>
    </row>
    <row r="457" spans="1:281">
      <c r="A457">
        <v>441</v>
      </c>
      <c r="B457">
        <v>1651866645</v>
      </c>
      <c r="C457">
        <v>2424.400000095367</v>
      </c>
      <c r="D457" t="s">
        <v>1305</v>
      </c>
      <c r="E457" t="s">
        <v>1306</v>
      </c>
      <c r="F457">
        <v>2</v>
      </c>
      <c r="G457" t="s">
        <v>908</v>
      </c>
      <c r="H457" t="s">
        <v>414</v>
      </c>
      <c r="I457">
        <v>1651866643.625</v>
      </c>
      <c r="J457">
        <f>(K457)/1000</f>
        <v>0</v>
      </c>
      <c r="K457">
        <f>IF(CZ457, AN457, AH457)</f>
        <v>0</v>
      </c>
      <c r="L457">
        <f>IF(CZ457, AI457, AG457)</f>
        <v>0</v>
      </c>
      <c r="M457">
        <f>DB457 - IF(AU457&gt;1, L457*CV457*100.0/(AW457*DP457), 0)</f>
        <v>0</v>
      </c>
      <c r="N457">
        <f>((T457-J457/2)*M457-L457)/(T457+J457/2)</f>
        <v>0</v>
      </c>
      <c r="O457">
        <f>N457*(DI457+DJ457)/1000.0</f>
        <v>0</v>
      </c>
      <c r="P457">
        <f>(DB457 - IF(AU457&gt;1, L457*CV457*100.0/(AW457*DP457), 0))*(DI457+DJ457)/1000.0</f>
        <v>0</v>
      </c>
      <c r="Q457">
        <f>2.0/((1/S457-1/R457)+SIGN(S457)*SQRT((1/S457-1/R457)*(1/S457-1/R457) + 4*CW457/((CW457+1)*(CW457+1))*(2*1/S457*1/R457-1/R457*1/R457)))</f>
        <v>0</v>
      </c>
      <c r="R457">
        <f>IF(LEFT(CX457,1)&lt;&gt;"0",IF(LEFT(CX457,1)="1",3.0,CY457),$D$5+$E$5*(DP457*DI457/($K$5*1000))+$F$5*(DP457*DI457/($K$5*1000))*MAX(MIN(CV457,$J$5),$I$5)*MAX(MIN(CV457,$J$5),$I$5)+$G$5*MAX(MIN(CV457,$J$5),$I$5)*(DP457*DI457/($K$5*1000))+$H$5*(DP457*DI457/($K$5*1000))*(DP457*DI457/($K$5*1000)))</f>
        <v>0</v>
      </c>
      <c r="S457">
        <f>J457*(1000-(1000*0.61365*exp(17.502*W457/(240.97+W457))/(DI457+DJ457)+DD457)/2)/(1000*0.61365*exp(17.502*W457/(240.97+W457))/(DI457+DJ457)-DD457)</f>
        <v>0</v>
      </c>
      <c r="T457">
        <f>1/((CW457+1)/(Q457/1.6)+1/(R457/1.37)) + CW457/((CW457+1)/(Q457/1.6) + CW457/(R457/1.37))</f>
        <v>0</v>
      </c>
      <c r="U457">
        <f>(CR457*CU457)</f>
        <v>0</v>
      </c>
      <c r="V457">
        <f>(DK457+(U457+2*0.95*5.67E-8*(((DK457+$B$7)+273)^4-(DK457+273)^4)-44100*J457)/(1.84*29.3*R457+8*0.95*5.67E-8*(DK457+273)^3))</f>
        <v>0</v>
      </c>
      <c r="W457">
        <f>($C$7*DL457+$D$7*DM457+$E$7*V457)</f>
        <v>0</v>
      </c>
      <c r="X457">
        <f>0.61365*exp(17.502*W457/(240.97+W457))</f>
        <v>0</v>
      </c>
      <c r="Y457">
        <f>(Z457/AA457*100)</f>
        <v>0</v>
      </c>
      <c r="Z457">
        <f>DD457*(DI457+DJ457)/1000</f>
        <v>0</v>
      </c>
      <c r="AA457">
        <f>0.61365*exp(17.502*DK457/(240.97+DK457))</f>
        <v>0</v>
      </c>
      <c r="AB457">
        <f>(X457-DD457*(DI457+DJ457)/1000)</f>
        <v>0</v>
      </c>
      <c r="AC457">
        <f>(-J457*44100)</f>
        <v>0</v>
      </c>
      <c r="AD457">
        <f>2*29.3*R457*0.92*(DK457-W457)</f>
        <v>0</v>
      </c>
      <c r="AE457">
        <f>2*0.95*5.67E-8*(((DK457+$B$7)+273)^4-(W457+273)^4)</f>
        <v>0</v>
      </c>
      <c r="AF457">
        <f>U457+AE457+AC457+AD457</f>
        <v>0</v>
      </c>
      <c r="AG457">
        <f>DH457*AU457*(DC457-DB457*(1000-AU457*DE457)/(1000-AU457*DD457))/(100*CV457)</f>
        <v>0</v>
      </c>
      <c r="AH457">
        <f>1000*DH457*AU457*(DD457-DE457)/(100*CV457*(1000-AU457*DD457))</f>
        <v>0</v>
      </c>
      <c r="AI457">
        <f>(AJ457 - AK457 - DI457*1E3/(8.314*(DK457+273.15)) * AM457/DH457 * AL457) * DH457/(100*CV457) * (1000 - DE457)/1000</f>
        <v>0</v>
      </c>
      <c r="AJ457">
        <v>1305.792887361489</v>
      </c>
      <c r="AK457">
        <v>1258.658242424242</v>
      </c>
      <c r="AL457">
        <v>3.237945763285413</v>
      </c>
      <c r="AM457">
        <v>66.38195617057868</v>
      </c>
      <c r="AN457">
        <f>(AP457 - AO457 + DI457*1E3/(8.314*(DK457+273.15)) * AR457/DH457 * AQ457) * DH457/(100*CV457) * 1000/(1000 - AP457)</f>
        <v>0</v>
      </c>
      <c r="AO457">
        <v>9.569242279931304</v>
      </c>
      <c r="AP457">
        <v>18.40411382352941</v>
      </c>
      <c r="AQ457">
        <v>-0.0001071419104436883</v>
      </c>
      <c r="AR457">
        <v>80.47178418790507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MAX(0,($B$13+$C$13*DP457)/(1+$D$13*DP457)*DI457/(DK457+273)*$E$13)</f>
        <v>0</v>
      </c>
      <c r="AX457" t="s">
        <v>417</v>
      </c>
      <c r="AY457" t="s">
        <v>417</v>
      </c>
      <c r="AZ457">
        <v>0</v>
      </c>
      <c r="BA457">
        <v>0</v>
      </c>
      <c r="BB457">
        <f>1-AZ457/BA457</f>
        <v>0</v>
      </c>
      <c r="BC457">
        <v>0</v>
      </c>
      <c r="BD457" t="s">
        <v>417</v>
      </c>
      <c r="BE457" t="s">
        <v>417</v>
      </c>
      <c r="BF457">
        <v>0</v>
      </c>
      <c r="BG457">
        <v>0</v>
      </c>
      <c r="BH457">
        <f>1-BF457/BG457</f>
        <v>0</v>
      </c>
      <c r="BI457">
        <v>0.5</v>
      </c>
      <c r="BJ457">
        <f>CS457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417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BZ457">
        <v>1249</v>
      </c>
      <c r="CA457">
        <v>300</v>
      </c>
      <c r="CB457">
        <v>300</v>
      </c>
      <c r="CC457">
        <v>300</v>
      </c>
      <c r="CD457">
        <v>10442.4</v>
      </c>
      <c r="CE457">
        <v>1239.69</v>
      </c>
      <c r="CF457">
        <v>-0.00735276</v>
      </c>
      <c r="CG457">
        <v>0.07000000000000001</v>
      </c>
      <c r="CH457" t="s">
        <v>417</v>
      </c>
      <c r="CI457" t="s">
        <v>417</v>
      </c>
      <c r="CJ457" t="s">
        <v>417</v>
      </c>
      <c r="CK457" t="s">
        <v>417</v>
      </c>
      <c r="CL457" t="s">
        <v>417</v>
      </c>
      <c r="CM457" t="s">
        <v>417</v>
      </c>
      <c r="CN457" t="s">
        <v>417</v>
      </c>
      <c r="CO457" t="s">
        <v>417</v>
      </c>
      <c r="CP457" t="s">
        <v>417</v>
      </c>
      <c r="CQ457" t="s">
        <v>417</v>
      </c>
      <c r="CR457">
        <f>$B$11*DQ457+$C$11*DR457+$F$11*EC457*(1-EF457)</f>
        <v>0</v>
      </c>
      <c r="CS457">
        <f>CR457*CT457</f>
        <v>0</v>
      </c>
      <c r="CT457">
        <f>($B$11*$D$9+$C$11*$D$9+$F$11*((EP457+EH457)/MAX(EP457+EH457+EQ457, 0.1)*$I$9+EQ457/MAX(EP457+EH457+EQ457, 0.1)*$J$9))/($B$11+$C$11+$F$11)</f>
        <v>0</v>
      </c>
      <c r="CU457">
        <f>($B$11*$K$9+$C$11*$K$9+$F$11*((EP457+EH457)/MAX(EP457+EH457+EQ457, 0.1)*$P$9+EQ457/MAX(EP457+EH457+EQ457, 0.1)*$Q$9))/($B$11+$C$11+$F$11)</f>
        <v>0</v>
      </c>
      <c r="CV457">
        <v>6</v>
      </c>
      <c r="CW457">
        <v>0.5</v>
      </c>
      <c r="CX457" t="s">
        <v>418</v>
      </c>
      <c r="CY457">
        <v>2</v>
      </c>
      <c r="CZ457" t="b">
        <v>1</v>
      </c>
      <c r="DA457">
        <v>1651866643.625</v>
      </c>
      <c r="DB457">
        <v>1232.69</v>
      </c>
      <c r="DC457">
        <v>1297.9825</v>
      </c>
      <c r="DD457">
        <v>18.40995</v>
      </c>
      <c r="DE457">
        <v>9.637147500000001</v>
      </c>
      <c r="DF457">
        <v>1235.0625</v>
      </c>
      <c r="DG457">
        <v>18.38855</v>
      </c>
      <c r="DH457">
        <v>500.08025</v>
      </c>
      <c r="DI457">
        <v>89.91290000000001</v>
      </c>
      <c r="DJ457">
        <v>0.1000968</v>
      </c>
      <c r="DK457">
        <v>25.933725</v>
      </c>
      <c r="DL457">
        <v>25.0297</v>
      </c>
      <c r="DM457">
        <v>999.9</v>
      </c>
      <c r="DN457">
        <v>0</v>
      </c>
      <c r="DO457">
        <v>0</v>
      </c>
      <c r="DP457">
        <v>9989.987499999999</v>
      </c>
      <c r="DQ457">
        <v>0</v>
      </c>
      <c r="DR457">
        <v>3.20383</v>
      </c>
      <c r="DS457">
        <v>-65.28960000000001</v>
      </c>
      <c r="DT457">
        <v>1255.81</v>
      </c>
      <c r="DU457">
        <v>1310.61</v>
      </c>
      <c r="DV457">
        <v>8.772797499999999</v>
      </c>
      <c r="DW457">
        <v>1297.9825</v>
      </c>
      <c r="DX457">
        <v>9.637147500000001</v>
      </c>
      <c r="DY457">
        <v>1.6552875</v>
      </c>
      <c r="DZ457">
        <v>0.8665037499999999</v>
      </c>
      <c r="EA457">
        <v>14.483375</v>
      </c>
      <c r="EB457">
        <v>4.8460975</v>
      </c>
      <c r="EC457">
        <v>1500.02</v>
      </c>
      <c r="ED457">
        <v>0.9730045</v>
      </c>
      <c r="EE457">
        <v>0.02699535</v>
      </c>
      <c r="EF457">
        <v>0</v>
      </c>
      <c r="EG457">
        <v>896.135</v>
      </c>
      <c r="EH457">
        <v>5.00097</v>
      </c>
      <c r="EI457">
        <v>13327.2</v>
      </c>
      <c r="EJ457">
        <v>12491.775</v>
      </c>
      <c r="EK457">
        <v>37.625</v>
      </c>
      <c r="EL457">
        <v>38.937</v>
      </c>
      <c r="EM457">
        <v>38</v>
      </c>
      <c r="EN457">
        <v>38.562</v>
      </c>
      <c r="EO457">
        <v>38.5</v>
      </c>
      <c r="EP457">
        <v>1454.66</v>
      </c>
      <c r="EQ457">
        <v>40.36</v>
      </c>
      <c r="ER457">
        <v>0</v>
      </c>
      <c r="ES457">
        <v>1162.400000095367</v>
      </c>
      <c r="ET457">
        <v>0</v>
      </c>
      <c r="EU457">
        <v>897.4133846153848</v>
      </c>
      <c r="EV457">
        <v>-11.6332991401605</v>
      </c>
      <c r="EW457">
        <v>-182.8205129431226</v>
      </c>
      <c r="EX457">
        <v>13345.66538461538</v>
      </c>
      <c r="EY457">
        <v>15</v>
      </c>
      <c r="EZ457">
        <v>1651865518.1</v>
      </c>
      <c r="FA457" t="s">
        <v>910</v>
      </c>
      <c r="FB457">
        <v>1651865507.1</v>
      </c>
      <c r="FC457">
        <v>1651865518.1</v>
      </c>
      <c r="FD457">
        <v>8</v>
      </c>
      <c r="FE457">
        <v>0.06</v>
      </c>
      <c r="FF457">
        <v>0</v>
      </c>
      <c r="FG457">
        <v>-0.927</v>
      </c>
      <c r="FH457">
        <v>-0.062</v>
      </c>
      <c r="FI457">
        <v>400</v>
      </c>
      <c r="FJ457">
        <v>11</v>
      </c>
      <c r="FK457">
        <v>0.11</v>
      </c>
      <c r="FL457">
        <v>0.01</v>
      </c>
      <c r="FM457">
        <v>-65.4276425</v>
      </c>
      <c r="FN457">
        <v>2.250951219512238</v>
      </c>
      <c r="FO457">
        <v>0.3581854672425305</v>
      </c>
      <c r="FP457">
        <v>-1</v>
      </c>
      <c r="FQ457">
        <v>8.9504445</v>
      </c>
      <c r="FR457">
        <v>-1.012243001876199</v>
      </c>
      <c r="FS457">
        <v>0.09789929953656451</v>
      </c>
      <c r="FT457">
        <v>-1</v>
      </c>
      <c r="FU457">
        <v>0</v>
      </c>
      <c r="FV457">
        <v>0</v>
      </c>
      <c r="FW457">
        <v>0</v>
      </c>
      <c r="FX457">
        <v>-1</v>
      </c>
      <c r="FY457">
        <v>0</v>
      </c>
      <c r="FZ457">
        <v>0</v>
      </c>
      <c r="GA457" t="s">
        <v>420</v>
      </c>
      <c r="GB457">
        <v>2.98174</v>
      </c>
      <c r="GC457">
        <v>2.70614</v>
      </c>
      <c r="GD457">
        <v>0.196006</v>
      </c>
      <c r="GE457">
        <v>0.200058</v>
      </c>
      <c r="GF457">
        <v>0.08798259999999999</v>
      </c>
      <c r="GG457">
        <v>0.0540286</v>
      </c>
      <c r="GH457">
        <v>25409.1</v>
      </c>
      <c r="GI457">
        <v>25335.1</v>
      </c>
      <c r="GJ457">
        <v>29380.9</v>
      </c>
      <c r="GK457">
        <v>29295.4</v>
      </c>
      <c r="GL457">
        <v>35481.5</v>
      </c>
      <c r="GM457">
        <v>36917.7</v>
      </c>
      <c r="GN457">
        <v>41354.7</v>
      </c>
      <c r="GO457">
        <v>41816.2</v>
      </c>
      <c r="GP457">
        <v>1.96718</v>
      </c>
      <c r="GQ457">
        <v>1.859</v>
      </c>
      <c r="GR457">
        <v>-0.0018999</v>
      </c>
      <c r="GS457">
        <v>0</v>
      </c>
      <c r="GT457">
        <v>25.0614</v>
      </c>
      <c r="GU457">
        <v>999.9</v>
      </c>
      <c r="GV457">
        <v>29.4</v>
      </c>
      <c r="GW457">
        <v>34.2</v>
      </c>
      <c r="GX457">
        <v>17.6666</v>
      </c>
      <c r="GY457">
        <v>62.5376</v>
      </c>
      <c r="GZ457">
        <v>35.0641</v>
      </c>
      <c r="HA457">
        <v>1</v>
      </c>
      <c r="HB457">
        <v>0.0389253</v>
      </c>
      <c r="HC457">
        <v>1.58566</v>
      </c>
      <c r="HD457">
        <v>20.327</v>
      </c>
      <c r="HE457">
        <v>5.21729</v>
      </c>
      <c r="HF457">
        <v>12.0099</v>
      </c>
      <c r="HG457">
        <v>4.9881</v>
      </c>
      <c r="HH457">
        <v>3.2885</v>
      </c>
      <c r="HI457">
        <v>1037.3</v>
      </c>
      <c r="HJ457">
        <v>9774.5</v>
      </c>
      <c r="HK457">
        <v>5139.4</v>
      </c>
      <c r="HL457">
        <v>25.4</v>
      </c>
      <c r="HM457">
        <v>1.86749</v>
      </c>
      <c r="HN457">
        <v>1.86646</v>
      </c>
      <c r="HO457">
        <v>1.866</v>
      </c>
      <c r="HP457">
        <v>1.86585</v>
      </c>
      <c r="HQ457">
        <v>1.86768</v>
      </c>
      <c r="HR457">
        <v>1.8702</v>
      </c>
      <c r="HS457">
        <v>1.8689</v>
      </c>
      <c r="HT457">
        <v>1.87023</v>
      </c>
      <c r="HU457">
        <v>0</v>
      </c>
      <c r="HV457">
        <v>0</v>
      </c>
      <c r="HW457">
        <v>0</v>
      </c>
      <c r="HX457">
        <v>0</v>
      </c>
      <c r="HY457" t="s">
        <v>421</v>
      </c>
      <c r="HZ457" t="s">
        <v>422</v>
      </c>
      <c r="IA457" t="s">
        <v>423</v>
      </c>
      <c r="IB457" t="s">
        <v>423</v>
      </c>
      <c r="IC457" t="s">
        <v>423</v>
      </c>
      <c r="ID457" t="s">
        <v>423</v>
      </c>
      <c r="IE457">
        <v>0</v>
      </c>
      <c r="IF457">
        <v>100</v>
      </c>
      <c r="IG457">
        <v>100</v>
      </c>
      <c r="IH457">
        <v>-2.38</v>
      </c>
      <c r="II457">
        <v>0.0213</v>
      </c>
      <c r="IJ457">
        <v>-0.1559367209035702</v>
      </c>
      <c r="IK457">
        <v>-0.002077099775823331</v>
      </c>
      <c r="IL457">
        <v>4.593143279902166E-07</v>
      </c>
      <c r="IM457">
        <v>-1.865383991892071E-10</v>
      </c>
      <c r="IN457">
        <v>-0.0607165066849496</v>
      </c>
      <c r="IO457">
        <v>-0.01129461987421345</v>
      </c>
      <c r="IP457">
        <v>0.00116580895745559</v>
      </c>
      <c r="IQ457">
        <v>-1.679085872906199E-05</v>
      </c>
      <c r="IR457">
        <v>2</v>
      </c>
      <c r="IS457">
        <v>2290</v>
      </c>
      <c r="IT457">
        <v>0</v>
      </c>
      <c r="IU457">
        <v>32</v>
      </c>
      <c r="IV457">
        <v>19</v>
      </c>
      <c r="IW457">
        <v>18.8</v>
      </c>
      <c r="IX457">
        <v>2.59888</v>
      </c>
      <c r="IY457">
        <v>2.18262</v>
      </c>
      <c r="IZ457">
        <v>1.39648</v>
      </c>
      <c r="JA457">
        <v>2.35474</v>
      </c>
      <c r="JB457">
        <v>1.49536</v>
      </c>
      <c r="JC457">
        <v>2.27539</v>
      </c>
      <c r="JD457">
        <v>38.0134</v>
      </c>
      <c r="JE457">
        <v>24.035</v>
      </c>
      <c r="JF457">
        <v>18</v>
      </c>
      <c r="JG457">
        <v>511.806</v>
      </c>
      <c r="JH457">
        <v>428.314</v>
      </c>
      <c r="JI457">
        <v>23.1375</v>
      </c>
      <c r="JJ457">
        <v>27.8207</v>
      </c>
      <c r="JK457">
        <v>30.0002</v>
      </c>
      <c r="JL457">
        <v>27.8265</v>
      </c>
      <c r="JM457">
        <v>27.769</v>
      </c>
      <c r="JN457">
        <v>52.033</v>
      </c>
      <c r="JO457">
        <v>42.8908</v>
      </c>
      <c r="JP457">
        <v>0</v>
      </c>
      <c r="JQ457">
        <v>23.104</v>
      </c>
      <c r="JR457">
        <v>1322.63</v>
      </c>
      <c r="JS457">
        <v>9.812659999999999</v>
      </c>
      <c r="JT457">
        <v>100.43</v>
      </c>
      <c r="JU457">
        <v>100.359</v>
      </c>
    </row>
    <row r="458" spans="1:281">
      <c r="A458">
        <v>442</v>
      </c>
      <c r="B458">
        <v>1651866647</v>
      </c>
      <c r="C458">
        <v>2426.400000095367</v>
      </c>
      <c r="D458" t="s">
        <v>1307</v>
      </c>
      <c r="E458" t="s">
        <v>1308</v>
      </c>
      <c r="F458">
        <v>2</v>
      </c>
      <c r="G458" t="s">
        <v>908</v>
      </c>
      <c r="H458" t="s">
        <v>414</v>
      </c>
      <c r="I458">
        <v>1651866646</v>
      </c>
      <c r="J458">
        <f>(K458)/1000</f>
        <v>0</v>
      </c>
      <c r="K458">
        <f>IF(CZ458, AN458, AH458)</f>
        <v>0</v>
      </c>
      <c r="L458">
        <f>IF(CZ458, AI458, AG458)</f>
        <v>0</v>
      </c>
      <c r="M458">
        <f>DB458 - IF(AU458&gt;1, L458*CV458*100.0/(AW458*DP458), 0)</f>
        <v>0</v>
      </c>
      <c r="N458">
        <f>((T458-J458/2)*M458-L458)/(T458+J458/2)</f>
        <v>0</v>
      </c>
      <c r="O458">
        <f>N458*(DI458+DJ458)/1000.0</f>
        <v>0</v>
      </c>
      <c r="P458">
        <f>(DB458 - IF(AU458&gt;1, L458*CV458*100.0/(AW458*DP458), 0))*(DI458+DJ458)/1000.0</f>
        <v>0</v>
      </c>
      <c r="Q458">
        <f>2.0/((1/S458-1/R458)+SIGN(S458)*SQRT((1/S458-1/R458)*(1/S458-1/R458) + 4*CW458/((CW458+1)*(CW458+1))*(2*1/S458*1/R458-1/R458*1/R458)))</f>
        <v>0</v>
      </c>
      <c r="R458">
        <f>IF(LEFT(CX458,1)&lt;&gt;"0",IF(LEFT(CX458,1)="1",3.0,CY458),$D$5+$E$5*(DP458*DI458/($K$5*1000))+$F$5*(DP458*DI458/($K$5*1000))*MAX(MIN(CV458,$J$5),$I$5)*MAX(MIN(CV458,$J$5),$I$5)+$G$5*MAX(MIN(CV458,$J$5),$I$5)*(DP458*DI458/($K$5*1000))+$H$5*(DP458*DI458/($K$5*1000))*(DP458*DI458/($K$5*1000)))</f>
        <v>0</v>
      </c>
      <c r="S458">
        <f>J458*(1000-(1000*0.61365*exp(17.502*W458/(240.97+W458))/(DI458+DJ458)+DD458)/2)/(1000*0.61365*exp(17.502*W458/(240.97+W458))/(DI458+DJ458)-DD458)</f>
        <v>0</v>
      </c>
      <c r="T458">
        <f>1/((CW458+1)/(Q458/1.6)+1/(R458/1.37)) + CW458/((CW458+1)/(Q458/1.6) + CW458/(R458/1.37))</f>
        <v>0</v>
      </c>
      <c r="U458">
        <f>(CR458*CU458)</f>
        <v>0</v>
      </c>
      <c r="V458">
        <f>(DK458+(U458+2*0.95*5.67E-8*(((DK458+$B$7)+273)^4-(DK458+273)^4)-44100*J458)/(1.84*29.3*R458+8*0.95*5.67E-8*(DK458+273)^3))</f>
        <v>0</v>
      </c>
      <c r="W458">
        <f>($C$7*DL458+$D$7*DM458+$E$7*V458)</f>
        <v>0</v>
      </c>
      <c r="X458">
        <f>0.61365*exp(17.502*W458/(240.97+W458))</f>
        <v>0</v>
      </c>
      <c r="Y458">
        <f>(Z458/AA458*100)</f>
        <v>0</v>
      </c>
      <c r="Z458">
        <f>DD458*(DI458+DJ458)/1000</f>
        <v>0</v>
      </c>
      <c r="AA458">
        <f>0.61365*exp(17.502*DK458/(240.97+DK458))</f>
        <v>0</v>
      </c>
      <c r="AB458">
        <f>(X458-DD458*(DI458+DJ458)/1000)</f>
        <v>0</v>
      </c>
      <c r="AC458">
        <f>(-J458*44100)</f>
        <v>0</v>
      </c>
      <c r="AD458">
        <f>2*29.3*R458*0.92*(DK458-W458)</f>
        <v>0</v>
      </c>
      <c r="AE458">
        <f>2*0.95*5.67E-8*(((DK458+$B$7)+273)^4-(W458+273)^4)</f>
        <v>0</v>
      </c>
      <c r="AF458">
        <f>U458+AE458+AC458+AD458</f>
        <v>0</v>
      </c>
      <c r="AG458">
        <f>DH458*AU458*(DC458-DB458*(1000-AU458*DE458)/(1000-AU458*DD458))/(100*CV458)</f>
        <v>0</v>
      </c>
      <c r="AH458">
        <f>1000*DH458*AU458*(DD458-DE458)/(100*CV458*(1000-AU458*DD458))</f>
        <v>0</v>
      </c>
      <c r="AI458">
        <f>(AJ458 - AK458 - DI458*1E3/(8.314*(DK458+273.15)) * AM458/DH458 * AL458) * DH458/(100*CV458) * (1000 - DE458)/1000</f>
        <v>0</v>
      </c>
      <c r="AJ458">
        <v>1312.73204796383</v>
      </c>
      <c r="AK458">
        <v>1265.298545454545</v>
      </c>
      <c r="AL458">
        <v>3.295041214659198</v>
      </c>
      <c r="AM458">
        <v>66.38195617057868</v>
      </c>
      <c r="AN458">
        <f>(AP458 - AO458 + DI458*1E3/(8.314*(DK458+273.15)) * AR458/DH458 * AQ458) * DH458/(100*CV458) * 1000/(1000 - AP458)</f>
        <v>0</v>
      </c>
      <c r="AO458">
        <v>9.609414231808156</v>
      </c>
      <c r="AP458">
        <v>18.39310088235293</v>
      </c>
      <c r="AQ458">
        <v>-0.0002386925648288929</v>
      </c>
      <c r="AR458">
        <v>80.47178418790507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MAX(0,($B$13+$C$13*DP458)/(1+$D$13*DP458)*DI458/(DK458+273)*$E$13)</f>
        <v>0</v>
      </c>
      <c r="AX458" t="s">
        <v>417</v>
      </c>
      <c r="AY458" t="s">
        <v>417</v>
      </c>
      <c r="AZ458">
        <v>0</v>
      </c>
      <c r="BA458">
        <v>0</v>
      </c>
      <c r="BB458">
        <f>1-AZ458/BA458</f>
        <v>0</v>
      </c>
      <c r="BC458">
        <v>0</v>
      </c>
      <c r="BD458" t="s">
        <v>417</v>
      </c>
      <c r="BE458" t="s">
        <v>417</v>
      </c>
      <c r="BF458">
        <v>0</v>
      </c>
      <c r="BG458">
        <v>0</v>
      </c>
      <c r="BH458">
        <f>1-BF458/BG458</f>
        <v>0</v>
      </c>
      <c r="BI458">
        <v>0.5</v>
      </c>
      <c r="BJ458">
        <f>CS458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417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BZ458">
        <v>1249</v>
      </c>
      <c r="CA458">
        <v>300</v>
      </c>
      <c r="CB458">
        <v>300</v>
      </c>
      <c r="CC458">
        <v>300</v>
      </c>
      <c r="CD458">
        <v>10442.4</v>
      </c>
      <c r="CE458">
        <v>1239.69</v>
      </c>
      <c r="CF458">
        <v>-0.00735276</v>
      </c>
      <c r="CG458">
        <v>0.07000000000000001</v>
      </c>
      <c r="CH458" t="s">
        <v>417</v>
      </c>
      <c r="CI458" t="s">
        <v>417</v>
      </c>
      <c r="CJ458" t="s">
        <v>417</v>
      </c>
      <c r="CK458" t="s">
        <v>417</v>
      </c>
      <c r="CL458" t="s">
        <v>417</v>
      </c>
      <c r="CM458" t="s">
        <v>417</v>
      </c>
      <c r="CN458" t="s">
        <v>417</v>
      </c>
      <c r="CO458" t="s">
        <v>417</v>
      </c>
      <c r="CP458" t="s">
        <v>417</v>
      </c>
      <c r="CQ458" t="s">
        <v>417</v>
      </c>
      <c r="CR458">
        <f>$B$11*DQ458+$C$11*DR458+$F$11*EC458*(1-EF458)</f>
        <v>0</v>
      </c>
      <c r="CS458">
        <f>CR458*CT458</f>
        <v>0</v>
      </c>
      <c r="CT458">
        <f>($B$11*$D$9+$C$11*$D$9+$F$11*((EP458+EH458)/MAX(EP458+EH458+EQ458, 0.1)*$I$9+EQ458/MAX(EP458+EH458+EQ458, 0.1)*$J$9))/($B$11+$C$11+$F$11)</f>
        <v>0</v>
      </c>
      <c r="CU458">
        <f>($B$11*$K$9+$C$11*$K$9+$F$11*((EP458+EH458)/MAX(EP458+EH458+EQ458, 0.1)*$P$9+EQ458/MAX(EP458+EH458+EQ458, 0.1)*$Q$9))/($B$11+$C$11+$F$11)</f>
        <v>0</v>
      </c>
      <c r="CV458">
        <v>6</v>
      </c>
      <c r="CW458">
        <v>0.5</v>
      </c>
      <c r="CX458" t="s">
        <v>418</v>
      </c>
      <c r="CY458">
        <v>2</v>
      </c>
      <c r="CZ458" t="b">
        <v>1</v>
      </c>
      <c r="DA458">
        <v>1651866646</v>
      </c>
      <c r="DB458">
        <v>1240.38</v>
      </c>
      <c r="DC458">
        <v>1305.996666666667</v>
      </c>
      <c r="DD458">
        <v>18.39676666666667</v>
      </c>
      <c r="DE458">
        <v>9.68878</v>
      </c>
      <c r="DF458">
        <v>1242.766666666667</v>
      </c>
      <c r="DG458">
        <v>18.3756</v>
      </c>
      <c r="DH458">
        <v>500.0626666666666</v>
      </c>
      <c r="DI458">
        <v>89.91239999999999</v>
      </c>
      <c r="DJ458">
        <v>0.09997963333333333</v>
      </c>
      <c r="DK458">
        <v>25.9333</v>
      </c>
      <c r="DL458">
        <v>25.03096666666667</v>
      </c>
      <c r="DM458">
        <v>999.9</v>
      </c>
      <c r="DN458">
        <v>0</v>
      </c>
      <c r="DO458">
        <v>0</v>
      </c>
      <c r="DP458">
        <v>9993.75</v>
      </c>
      <c r="DQ458">
        <v>0</v>
      </c>
      <c r="DR458">
        <v>3.20383</v>
      </c>
      <c r="DS458">
        <v>-65.61416666666668</v>
      </c>
      <c r="DT458">
        <v>1263.63</v>
      </c>
      <c r="DU458">
        <v>1318.773333333333</v>
      </c>
      <c r="DV458">
        <v>8.708006666666668</v>
      </c>
      <c r="DW458">
        <v>1305.996666666667</v>
      </c>
      <c r="DX458">
        <v>9.68878</v>
      </c>
      <c r="DY458">
        <v>1.654096666666667</v>
      </c>
      <c r="DZ458">
        <v>0.8711410000000001</v>
      </c>
      <c r="EA458">
        <v>14.47226666666666</v>
      </c>
      <c r="EB458">
        <v>4.922613333333334</v>
      </c>
      <c r="EC458">
        <v>1500.016666666667</v>
      </c>
      <c r="ED458">
        <v>0.972997</v>
      </c>
      <c r="EE458">
        <v>0.02700303333333333</v>
      </c>
      <c r="EF458">
        <v>0</v>
      </c>
      <c r="EG458">
        <v>895.5423333333333</v>
      </c>
      <c r="EH458">
        <v>5.00097</v>
      </c>
      <c r="EI458">
        <v>13319.2</v>
      </c>
      <c r="EJ458">
        <v>12491.73333333333</v>
      </c>
      <c r="EK458">
        <v>37.625</v>
      </c>
      <c r="EL458">
        <v>38.937</v>
      </c>
      <c r="EM458">
        <v>38</v>
      </c>
      <c r="EN458">
        <v>38.562</v>
      </c>
      <c r="EO458">
        <v>38.479</v>
      </c>
      <c r="EP458">
        <v>1454.646666666667</v>
      </c>
      <c r="EQ458">
        <v>40.37</v>
      </c>
      <c r="ER458">
        <v>0</v>
      </c>
      <c r="ES458">
        <v>1164.200000047684</v>
      </c>
      <c r="ET458">
        <v>0</v>
      </c>
      <c r="EU458">
        <v>896.97648</v>
      </c>
      <c r="EV458">
        <v>-11.82792304319546</v>
      </c>
      <c r="EW458">
        <v>-180.738461258744</v>
      </c>
      <c r="EX458">
        <v>13339.192</v>
      </c>
      <c r="EY458">
        <v>15</v>
      </c>
      <c r="EZ458">
        <v>1651865518.1</v>
      </c>
      <c r="FA458" t="s">
        <v>910</v>
      </c>
      <c r="FB458">
        <v>1651865507.1</v>
      </c>
      <c r="FC458">
        <v>1651865518.1</v>
      </c>
      <c r="FD458">
        <v>8</v>
      </c>
      <c r="FE458">
        <v>0.06</v>
      </c>
      <c r="FF458">
        <v>0</v>
      </c>
      <c r="FG458">
        <v>-0.927</v>
      </c>
      <c r="FH458">
        <v>-0.062</v>
      </c>
      <c r="FI458">
        <v>400</v>
      </c>
      <c r="FJ458">
        <v>11</v>
      </c>
      <c r="FK458">
        <v>0.11</v>
      </c>
      <c r="FL458">
        <v>0.01</v>
      </c>
      <c r="FM458">
        <v>-65.46532195121952</v>
      </c>
      <c r="FN458">
        <v>2.048657142857135</v>
      </c>
      <c r="FO458">
        <v>0.3539317300245118</v>
      </c>
      <c r="FP458">
        <v>-1</v>
      </c>
      <c r="FQ458">
        <v>8.908406829268293</v>
      </c>
      <c r="FR458">
        <v>-1.10548912891986</v>
      </c>
      <c r="FS458">
        <v>0.1098846535244587</v>
      </c>
      <c r="FT458">
        <v>-1</v>
      </c>
      <c r="FU458">
        <v>0</v>
      </c>
      <c r="FV458">
        <v>0</v>
      </c>
      <c r="FW458">
        <v>0</v>
      </c>
      <c r="FX458">
        <v>-1</v>
      </c>
      <c r="FY458">
        <v>0</v>
      </c>
      <c r="FZ458">
        <v>0</v>
      </c>
      <c r="GA458" t="s">
        <v>420</v>
      </c>
      <c r="GB458">
        <v>2.98153</v>
      </c>
      <c r="GC458">
        <v>2.70613</v>
      </c>
      <c r="GD458">
        <v>0.196652</v>
      </c>
      <c r="GE458">
        <v>0.20069</v>
      </c>
      <c r="GF458">
        <v>0.0879622</v>
      </c>
      <c r="GG458">
        <v>0.0541723</v>
      </c>
      <c r="GH458">
        <v>25388.7</v>
      </c>
      <c r="GI458">
        <v>25315</v>
      </c>
      <c r="GJ458">
        <v>29381</v>
      </c>
      <c r="GK458">
        <v>29295.2</v>
      </c>
      <c r="GL458">
        <v>35482.4</v>
      </c>
      <c r="GM458">
        <v>36911.9</v>
      </c>
      <c r="GN458">
        <v>41354.8</v>
      </c>
      <c r="GO458">
        <v>41816</v>
      </c>
      <c r="GP458">
        <v>1.96715</v>
      </c>
      <c r="GQ458">
        <v>1.85917</v>
      </c>
      <c r="GR458">
        <v>-0.00182539</v>
      </c>
      <c r="GS458">
        <v>0</v>
      </c>
      <c r="GT458">
        <v>25.0619</v>
      </c>
      <c r="GU458">
        <v>999.9</v>
      </c>
      <c r="GV458">
        <v>29.4</v>
      </c>
      <c r="GW458">
        <v>34.2</v>
      </c>
      <c r="GX458">
        <v>17.6672</v>
      </c>
      <c r="GY458">
        <v>62.5476</v>
      </c>
      <c r="GZ458">
        <v>35.4247</v>
      </c>
      <c r="HA458">
        <v>1</v>
      </c>
      <c r="HB458">
        <v>0.0388491</v>
      </c>
      <c r="HC458">
        <v>1.6303</v>
      </c>
      <c r="HD458">
        <v>20.3266</v>
      </c>
      <c r="HE458">
        <v>5.21774</v>
      </c>
      <c r="HF458">
        <v>12.0099</v>
      </c>
      <c r="HG458">
        <v>4.988</v>
      </c>
      <c r="HH458">
        <v>3.2885</v>
      </c>
      <c r="HI458">
        <v>1037.3</v>
      </c>
      <c r="HJ458">
        <v>9774.5</v>
      </c>
      <c r="HK458">
        <v>5139.4</v>
      </c>
      <c r="HL458">
        <v>25.4</v>
      </c>
      <c r="HM458">
        <v>1.86747</v>
      </c>
      <c r="HN458">
        <v>1.86646</v>
      </c>
      <c r="HO458">
        <v>1.866</v>
      </c>
      <c r="HP458">
        <v>1.86584</v>
      </c>
      <c r="HQ458">
        <v>1.86768</v>
      </c>
      <c r="HR458">
        <v>1.8702</v>
      </c>
      <c r="HS458">
        <v>1.8689</v>
      </c>
      <c r="HT458">
        <v>1.87023</v>
      </c>
      <c r="HU458">
        <v>0</v>
      </c>
      <c r="HV458">
        <v>0</v>
      </c>
      <c r="HW458">
        <v>0</v>
      </c>
      <c r="HX458">
        <v>0</v>
      </c>
      <c r="HY458" t="s">
        <v>421</v>
      </c>
      <c r="HZ458" t="s">
        <v>422</v>
      </c>
      <c r="IA458" t="s">
        <v>423</v>
      </c>
      <c r="IB458" t="s">
        <v>423</v>
      </c>
      <c r="IC458" t="s">
        <v>423</v>
      </c>
      <c r="ID458" t="s">
        <v>423</v>
      </c>
      <c r="IE458">
        <v>0</v>
      </c>
      <c r="IF458">
        <v>100</v>
      </c>
      <c r="IG458">
        <v>100</v>
      </c>
      <c r="IH458">
        <v>-2.4</v>
      </c>
      <c r="II458">
        <v>0.0212</v>
      </c>
      <c r="IJ458">
        <v>-0.1559367209035702</v>
      </c>
      <c r="IK458">
        <v>-0.002077099775823331</v>
      </c>
      <c r="IL458">
        <v>4.593143279902166E-07</v>
      </c>
      <c r="IM458">
        <v>-1.865383991892071E-10</v>
      </c>
      <c r="IN458">
        <v>-0.0607165066849496</v>
      </c>
      <c r="IO458">
        <v>-0.01129461987421345</v>
      </c>
      <c r="IP458">
        <v>0.00116580895745559</v>
      </c>
      <c r="IQ458">
        <v>-1.679085872906199E-05</v>
      </c>
      <c r="IR458">
        <v>2</v>
      </c>
      <c r="IS458">
        <v>2290</v>
      </c>
      <c r="IT458">
        <v>0</v>
      </c>
      <c r="IU458">
        <v>32</v>
      </c>
      <c r="IV458">
        <v>19</v>
      </c>
      <c r="IW458">
        <v>18.8</v>
      </c>
      <c r="IX458">
        <v>2.60986</v>
      </c>
      <c r="IY458">
        <v>2.17651</v>
      </c>
      <c r="IZ458">
        <v>1.39648</v>
      </c>
      <c r="JA458">
        <v>2.35474</v>
      </c>
      <c r="JB458">
        <v>1.49536</v>
      </c>
      <c r="JC458">
        <v>2.36572</v>
      </c>
      <c r="JD458">
        <v>38.0134</v>
      </c>
      <c r="JE458">
        <v>24.0437</v>
      </c>
      <c r="JF458">
        <v>18</v>
      </c>
      <c r="JG458">
        <v>511.78</v>
      </c>
      <c r="JH458">
        <v>428.418</v>
      </c>
      <c r="JI458">
        <v>23.1294</v>
      </c>
      <c r="JJ458">
        <v>27.8207</v>
      </c>
      <c r="JK458">
        <v>30.0001</v>
      </c>
      <c r="JL458">
        <v>27.8254</v>
      </c>
      <c r="JM458">
        <v>27.769</v>
      </c>
      <c r="JN458">
        <v>52.2522</v>
      </c>
      <c r="JO458">
        <v>42.6201</v>
      </c>
      <c r="JP458">
        <v>0</v>
      </c>
      <c r="JQ458">
        <v>23.104</v>
      </c>
      <c r="JR458">
        <v>1329.32</v>
      </c>
      <c r="JS458">
        <v>9.84638</v>
      </c>
      <c r="JT458">
        <v>100.43</v>
      </c>
      <c r="JU458">
        <v>100.359</v>
      </c>
    </row>
    <row r="459" spans="1:281">
      <c r="A459">
        <v>443</v>
      </c>
      <c r="B459">
        <v>1651866649</v>
      </c>
      <c r="C459">
        <v>2428.400000095367</v>
      </c>
      <c r="D459" t="s">
        <v>1309</v>
      </c>
      <c r="E459" t="s">
        <v>1310</v>
      </c>
      <c r="F459">
        <v>2</v>
      </c>
      <c r="G459" t="s">
        <v>908</v>
      </c>
      <c r="H459" t="s">
        <v>414</v>
      </c>
      <c r="I459">
        <v>1651866647.625</v>
      </c>
      <c r="J459">
        <f>(K459)/1000</f>
        <v>0</v>
      </c>
      <c r="K459">
        <f>IF(CZ459, AN459, AH459)</f>
        <v>0</v>
      </c>
      <c r="L459">
        <f>IF(CZ459, AI459, AG459)</f>
        <v>0</v>
      </c>
      <c r="M459">
        <f>DB459 - IF(AU459&gt;1, L459*CV459*100.0/(AW459*DP459), 0)</f>
        <v>0</v>
      </c>
      <c r="N459">
        <f>((T459-J459/2)*M459-L459)/(T459+J459/2)</f>
        <v>0</v>
      </c>
      <c r="O459">
        <f>N459*(DI459+DJ459)/1000.0</f>
        <v>0</v>
      </c>
      <c r="P459">
        <f>(DB459 - IF(AU459&gt;1, L459*CV459*100.0/(AW459*DP459), 0))*(DI459+DJ459)/1000.0</f>
        <v>0</v>
      </c>
      <c r="Q459">
        <f>2.0/((1/S459-1/R459)+SIGN(S459)*SQRT((1/S459-1/R459)*(1/S459-1/R459) + 4*CW459/((CW459+1)*(CW459+1))*(2*1/S459*1/R459-1/R459*1/R459)))</f>
        <v>0</v>
      </c>
      <c r="R459">
        <f>IF(LEFT(CX459,1)&lt;&gt;"0",IF(LEFT(CX459,1)="1",3.0,CY459),$D$5+$E$5*(DP459*DI459/($K$5*1000))+$F$5*(DP459*DI459/($K$5*1000))*MAX(MIN(CV459,$J$5),$I$5)*MAX(MIN(CV459,$J$5),$I$5)+$G$5*MAX(MIN(CV459,$J$5),$I$5)*(DP459*DI459/($K$5*1000))+$H$5*(DP459*DI459/($K$5*1000))*(DP459*DI459/($K$5*1000)))</f>
        <v>0</v>
      </c>
      <c r="S459">
        <f>J459*(1000-(1000*0.61365*exp(17.502*W459/(240.97+W459))/(DI459+DJ459)+DD459)/2)/(1000*0.61365*exp(17.502*W459/(240.97+W459))/(DI459+DJ459)-DD459)</f>
        <v>0</v>
      </c>
      <c r="T459">
        <f>1/((CW459+1)/(Q459/1.6)+1/(R459/1.37)) + CW459/((CW459+1)/(Q459/1.6) + CW459/(R459/1.37))</f>
        <v>0</v>
      </c>
      <c r="U459">
        <f>(CR459*CU459)</f>
        <v>0</v>
      </c>
      <c r="V459">
        <f>(DK459+(U459+2*0.95*5.67E-8*(((DK459+$B$7)+273)^4-(DK459+273)^4)-44100*J459)/(1.84*29.3*R459+8*0.95*5.67E-8*(DK459+273)^3))</f>
        <v>0</v>
      </c>
      <c r="W459">
        <f>($C$7*DL459+$D$7*DM459+$E$7*V459)</f>
        <v>0</v>
      </c>
      <c r="X459">
        <f>0.61365*exp(17.502*W459/(240.97+W459))</f>
        <v>0</v>
      </c>
      <c r="Y459">
        <f>(Z459/AA459*100)</f>
        <v>0</v>
      </c>
      <c r="Z459">
        <f>DD459*(DI459+DJ459)/1000</f>
        <v>0</v>
      </c>
      <c r="AA459">
        <f>0.61365*exp(17.502*DK459/(240.97+DK459))</f>
        <v>0</v>
      </c>
      <c r="AB459">
        <f>(X459-DD459*(DI459+DJ459)/1000)</f>
        <v>0</v>
      </c>
      <c r="AC459">
        <f>(-J459*44100)</f>
        <v>0</v>
      </c>
      <c r="AD459">
        <f>2*29.3*R459*0.92*(DK459-W459)</f>
        <v>0</v>
      </c>
      <c r="AE459">
        <f>2*0.95*5.67E-8*(((DK459+$B$7)+273)^4-(W459+273)^4)</f>
        <v>0</v>
      </c>
      <c r="AF459">
        <f>U459+AE459+AC459+AD459</f>
        <v>0</v>
      </c>
      <c r="AG459">
        <f>DH459*AU459*(DC459-DB459*(1000-AU459*DE459)/(1000-AU459*DD459))/(100*CV459)</f>
        <v>0</v>
      </c>
      <c r="AH459">
        <f>1000*DH459*AU459*(DD459-DE459)/(100*CV459*(1000-AU459*DD459))</f>
        <v>0</v>
      </c>
      <c r="AI459">
        <f>(AJ459 - AK459 - DI459*1E3/(8.314*(DK459+273.15)) * AM459/DH459 * AL459) * DH459/(100*CV459) * (1000 - DE459)/1000</f>
        <v>0</v>
      </c>
      <c r="AJ459">
        <v>1319.5666871843</v>
      </c>
      <c r="AK459">
        <v>1271.986</v>
      </c>
      <c r="AL459">
        <v>3.34000307048152</v>
      </c>
      <c r="AM459">
        <v>66.38195617057868</v>
      </c>
      <c r="AN459">
        <f>(AP459 - AO459 + DI459*1E3/(8.314*(DK459+273.15)) * AR459/DH459 * AQ459) * DH459/(100*CV459) * 1000/(1000 - AP459)</f>
        <v>0</v>
      </c>
      <c r="AO459">
        <v>9.658294534677491</v>
      </c>
      <c r="AP459">
        <v>18.39243117647058</v>
      </c>
      <c r="AQ459">
        <v>-0.008043015469763083</v>
      </c>
      <c r="AR459">
        <v>80.47178418790507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MAX(0,($B$13+$C$13*DP459)/(1+$D$13*DP459)*DI459/(DK459+273)*$E$13)</f>
        <v>0</v>
      </c>
      <c r="AX459" t="s">
        <v>417</v>
      </c>
      <c r="AY459" t="s">
        <v>417</v>
      </c>
      <c r="AZ459">
        <v>0</v>
      </c>
      <c r="BA459">
        <v>0</v>
      </c>
      <c r="BB459">
        <f>1-AZ459/BA459</f>
        <v>0</v>
      </c>
      <c r="BC459">
        <v>0</v>
      </c>
      <c r="BD459" t="s">
        <v>417</v>
      </c>
      <c r="BE459" t="s">
        <v>417</v>
      </c>
      <c r="BF459">
        <v>0</v>
      </c>
      <c r="BG459">
        <v>0</v>
      </c>
      <c r="BH459">
        <f>1-BF459/BG459</f>
        <v>0</v>
      </c>
      <c r="BI459">
        <v>0.5</v>
      </c>
      <c r="BJ459">
        <f>CS459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417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BZ459">
        <v>1249</v>
      </c>
      <c r="CA459">
        <v>300</v>
      </c>
      <c r="CB459">
        <v>300</v>
      </c>
      <c r="CC459">
        <v>300</v>
      </c>
      <c r="CD459">
        <v>10442.4</v>
      </c>
      <c r="CE459">
        <v>1239.69</v>
      </c>
      <c r="CF459">
        <v>-0.00735276</v>
      </c>
      <c r="CG459">
        <v>0.07000000000000001</v>
      </c>
      <c r="CH459" t="s">
        <v>417</v>
      </c>
      <c r="CI459" t="s">
        <v>417</v>
      </c>
      <c r="CJ459" t="s">
        <v>417</v>
      </c>
      <c r="CK459" t="s">
        <v>417</v>
      </c>
      <c r="CL459" t="s">
        <v>417</v>
      </c>
      <c r="CM459" t="s">
        <v>417</v>
      </c>
      <c r="CN459" t="s">
        <v>417</v>
      </c>
      <c r="CO459" t="s">
        <v>417</v>
      </c>
      <c r="CP459" t="s">
        <v>417</v>
      </c>
      <c r="CQ459" t="s">
        <v>417</v>
      </c>
      <c r="CR459">
        <f>$B$11*DQ459+$C$11*DR459+$F$11*EC459*(1-EF459)</f>
        <v>0</v>
      </c>
      <c r="CS459">
        <f>CR459*CT459</f>
        <v>0</v>
      </c>
      <c r="CT459">
        <f>($B$11*$D$9+$C$11*$D$9+$F$11*((EP459+EH459)/MAX(EP459+EH459+EQ459, 0.1)*$I$9+EQ459/MAX(EP459+EH459+EQ459, 0.1)*$J$9))/($B$11+$C$11+$F$11)</f>
        <v>0</v>
      </c>
      <c r="CU459">
        <f>($B$11*$K$9+$C$11*$K$9+$F$11*((EP459+EH459)/MAX(EP459+EH459+EQ459, 0.1)*$P$9+EQ459/MAX(EP459+EH459+EQ459, 0.1)*$Q$9))/($B$11+$C$11+$F$11)</f>
        <v>0</v>
      </c>
      <c r="CV459">
        <v>6</v>
      </c>
      <c r="CW459">
        <v>0.5</v>
      </c>
      <c r="CX459" t="s">
        <v>418</v>
      </c>
      <c r="CY459">
        <v>2</v>
      </c>
      <c r="CZ459" t="b">
        <v>1</v>
      </c>
      <c r="DA459">
        <v>1651866647.625</v>
      </c>
      <c r="DB459">
        <v>1245.7125</v>
      </c>
      <c r="DC459">
        <v>1311.405</v>
      </c>
      <c r="DD459">
        <v>18.394</v>
      </c>
      <c r="DE459">
        <v>9.711364999999999</v>
      </c>
      <c r="DF459">
        <v>1248.1075</v>
      </c>
      <c r="DG459">
        <v>18.37285</v>
      </c>
      <c r="DH459">
        <v>500.00075</v>
      </c>
      <c r="DI459">
        <v>89.9121</v>
      </c>
      <c r="DJ459">
        <v>0.09984774999999999</v>
      </c>
      <c r="DK459">
        <v>25.932225</v>
      </c>
      <c r="DL459">
        <v>25.0287</v>
      </c>
      <c r="DM459">
        <v>999.9</v>
      </c>
      <c r="DN459">
        <v>0</v>
      </c>
      <c r="DO459">
        <v>0</v>
      </c>
      <c r="DP459">
        <v>10012.5</v>
      </c>
      <c r="DQ459">
        <v>0</v>
      </c>
      <c r="DR459">
        <v>3.20383</v>
      </c>
      <c r="DS459">
        <v>-65.69144999999999</v>
      </c>
      <c r="DT459">
        <v>1269.0575</v>
      </c>
      <c r="DU459">
        <v>1324.2675</v>
      </c>
      <c r="DV459">
        <v>8.682644999999999</v>
      </c>
      <c r="DW459">
        <v>1311.405</v>
      </c>
      <c r="DX459">
        <v>9.711364999999999</v>
      </c>
      <c r="DY459">
        <v>1.6538425</v>
      </c>
      <c r="DZ459">
        <v>0.87316925</v>
      </c>
      <c r="EA459">
        <v>14.469875</v>
      </c>
      <c r="EB459">
        <v>4.9559525</v>
      </c>
      <c r="EC459">
        <v>1500.0325</v>
      </c>
      <c r="ED459">
        <v>0.9729995</v>
      </c>
      <c r="EE459">
        <v>0.0270004</v>
      </c>
      <c r="EF459">
        <v>0</v>
      </c>
      <c r="EG459">
        <v>895.3707499999999</v>
      </c>
      <c r="EH459">
        <v>5.00097</v>
      </c>
      <c r="EI459">
        <v>13314.7</v>
      </c>
      <c r="EJ459">
        <v>12491.875</v>
      </c>
      <c r="EK459">
        <v>37.625</v>
      </c>
      <c r="EL459">
        <v>38.937</v>
      </c>
      <c r="EM459">
        <v>38</v>
      </c>
      <c r="EN459">
        <v>38.562</v>
      </c>
      <c r="EO459">
        <v>38.437</v>
      </c>
      <c r="EP459">
        <v>1454.665</v>
      </c>
      <c r="EQ459">
        <v>40.3675</v>
      </c>
      <c r="ER459">
        <v>0</v>
      </c>
      <c r="ES459">
        <v>1166.600000143051</v>
      </c>
      <c r="ET459">
        <v>0</v>
      </c>
      <c r="EU459">
        <v>896.46788</v>
      </c>
      <c r="EV459">
        <v>-11.97030767451562</v>
      </c>
      <c r="EW459">
        <v>-182.5307689301715</v>
      </c>
      <c r="EX459">
        <v>13331.984</v>
      </c>
      <c r="EY459">
        <v>15</v>
      </c>
      <c r="EZ459">
        <v>1651865518.1</v>
      </c>
      <c r="FA459" t="s">
        <v>910</v>
      </c>
      <c r="FB459">
        <v>1651865507.1</v>
      </c>
      <c r="FC459">
        <v>1651865518.1</v>
      </c>
      <c r="FD459">
        <v>8</v>
      </c>
      <c r="FE459">
        <v>0.06</v>
      </c>
      <c r="FF459">
        <v>0</v>
      </c>
      <c r="FG459">
        <v>-0.927</v>
      </c>
      <c r="FH459">
        <v>-0.062</v>
      </c>
      <c r="FI459">
        <v>400</v>
      </c>
      <c r="FJ459">
        <v>11</v>
      </c>
      <c r="FK459">
        <v>0.11</v>
      </c>
      <c r="FL459">
        <v>0.01</v>
      </c>
      <c r="FM459">
        <v>-65.46422749999999</v>
      </c>
      <c r="FN459">
        <v>1.534296810506835</v>
      </c>
      <c r="FO459">
        <v>0.3539307142559829</v>
      </c>
      <c r="FP459">
        <v>-1</v>
      </c>
      <c r="FQ459">
        <v>8.875030000000001</v>
      </c>
      <c r="FR459">
        <v>-1.14080960600376</v>
      </c>
      <c r="FS459">
        <v>0.1107158646491097</v>
      </c>
      <c r="FT459">
        <v>-1</v>
      </c>
      <c r="FU459">
        <v>0</v>
      </c>
      <c r="FV459">
        <v>0</v>
      </c>
      <c r="FW459">
        <v>0</v>
      </c>
      <c r="FX459">
        <v>-1</v>
      </c>
      <c r="FY459">
        <v>0</v>
      </c>
      <c r="FZ459">
        <v>0</v>
      </c>
      <c r="GA459" t="s">
        <v>420</v>
      </c>
      <c r="GB459">
        <v>2.98139</v>
      </c>
      <c r="GC459">
        <v>2.70619</v>
      </c>
      <c r="GD459">
        <v>0.1973</v>
      </c>
      <c r="GE459">
        <v>0.201314</v>
      </c>
      <c r="GF459">
        <v>0.0879404</v>
      </c>
      <c r="GG459">
        <v>0.0542825</v>
      </c>
      <c r="GH459">
        <v>25368.3</v>
      </c>
      <c r="GI459">
        <v>25295.3</v>
      </c>
      <c r="GJ459">
        <v>29381.1</v>
      </c>
      <c r="GK459">
        <v>29295.3</v>
      </c>
      <c r="GL459">
        <v>35483.2</v>
      </c>
      <c r="GM459">
        <v>36907.6</v>
      </c>
      <c r="GN459">
        <v>41354.7</v>
      </c>
      <c r="GO459">
        <v>41816</v>
      </c>
      <c r="GP459">
        <v>1.96715</v>
      </c>
      <c r="GQ459">
        <v>1.85925</v>
      </c>
      <c r="GR459">
        <v>-0.00234693</v>
      </c>
      <c r="GS459">
        <v>0</v>
      </c>
      <c r="GT459">
        <v>25.0629</v>
      </c>
      <c r="GU459">
        <v>999.9</v>
      </c>
      <c r="GV459">
        <v>29.4</v>
      </c>
      <c r="GW459">
        <v>34.2</v>
      </c>
      <c r="GX459">
        <v>17.6658</v>
      </c>
      <c r="GY459">
        <v>62.6776</v>
      </c>
      <c r="GZ459">
        <v>35.4647</v>
      </c>
      <c r="HA459">
        <v>1</v>
      </c>
      <c r="HB459">
        <v>0.0389558</v>
      </c>
      <c r="HC459">
        <v>1.66402</v>
      </c>
      <c r="HD459">
        <v>20.3263</v>
      </c>
      <c r="HE459">
        <v>5.21789</v>
      </c>
      <c r="HF459">
        <v>12.0099</v>
      </c>
      <c r="HG459">
        <v>4.98825</v>
      </c>
      <c r="HH459">
        <v>3.2885</v>
      </c>
      <c r="HI459">
        <v>1037.3</v>
      </c>
      <c r="HJ459">
        <v>9774.5</v>
      </c>
      <c r="HK459">
        <v>5139.4</v>
      </c>
      <c r="HL459">
        <v>25.4</v>
      </c>
      <c r="HM459">
        <v>1.86745</v>
      </c>
      <c r="HN459">
        <v>1.86646</v>
      </c>
      <c r="HO459">
        <v>1.866</v>
      </c>
      <c r="HP459">
        <v>1.86584</v>
      </c>
      <c r="HQ459">
        <v>1.86768</v>
      </c>
      <c r="HR459">
        <v>1.87019</v>
      </c>
      <c r="HS459">
        <v>1.8689</v>
      </c>
      <c r="HT459">
        <v>1.87022</v>
      </c>
      <c r="HU459">
        <v>0</v>
      </c>
      <c r="HV459">
        <v>0</v>
      </c>
      <c r="HW459">
        <v>0</v>
      </c>
      <c r="HX459">
        <v>0</v>
      </c>
      <c r="HY459" t="s">
        <v>421</v>
      </c>
      <c r="HZ459" t="s">
        <v>422</v>
      </c>
      <c r="IA459" t="s">
        <v>423</v>
      </c>
      <c r="IB459" t="s">
        <v>423</v>
      </c>
      <c r="IC459" t="s">
        <v>423</v>
      </c>
      <c r="ID459" t="s">
        <v>423</v>
      </c>
      <c r="IE459">
        <v>0</v>
      </c>
      <c r="IF459">
        <v>100</v>
      </c>
      <c r="IG459">
        <v>100</v>
      </c>
      <c r="IH459">
        <v>-2.4</v>
      </c>
      <c r="II459">
        <v>0.0211</v>
      </c>
      <c r="IJ459">
        <v>-0.1559367209035702</v>
      </c>
      <c r="IK459">
        <v>-0.002077099775823331</v>
      </c>
      <c r="IL459">
        <v>4.593143279902166E-07</v>
      </c>
      <c r="IM459">
        <v>-1.865383991892071E-10</v>
      </c>
      <c r="IN459">
        <v>-0.0607165066849496</v>
      </c>
      <c r="IO459">
        <v>-0.01129461987421345</v>
      </c>
      <c r="IP459">
        <v>0.00116580895745559</v>
      </c>
      <c r="IQ459">
        <v>-1.679085872906199E-05</v>
      </c>
      <c r="IR459">
        <v>2</v>
      </c>
      <c r="IS459">
        <v>2290</v>
      </c>
      <c r="IT459">
        <v>0</v>
      </c>
      <c r="IU459">
        <v>32</v>
      </c>
      <c r="IV459">
        <v>19</v>
      </c>
      <c r="IW459">
        <v>18.8</v>
      </c>
      <c r="IX459">
        <v>2.61963</v>
      </c>
      <c r="IY459">
        <v>2.17651</v>
      </c>
      <c r="IZ459">
        <v>1.39648</v>
      </c>
      <c r="JA459">
        <v>2.35474</v>
      </c>
      <c r="JB459">
        <v>1.49536</v>
      </c>
      <c r="JC459">
        <v>2.36816</v>
      </c>
      <c r="JD459">
        <v>38.0377</v>
      </c>
      <c r="JE459">
        <v>24.0437</v>
      </c>
      <c r="JF459">
        <v>18</v>
      </c>
      <c r="JG459">
        <v>511.78</v>
      </c>
      <c r="JH459">
        <v>428.455</v>
      </c>
      <c r="JI459">
        <v>23.1173</v>
      </c>
      <c r="JJ459">
        <v>27.8201</v>
      </c>
      <c r="JK459">
        <v>30.0002</v>
      </c>
      <c r="JL459">
        <v>27.8254</v>
      </c>
      <c r="JM459">
        <v>27.768</v>
      </c>
      <c r="JN459">
        <v>52.4638</v>
      </c>
      <c r="JO459">
        <v>42.6201</v>
      </c>
      <c r="JP459">
        <v>0</v>
      </c>
      <c r="JQ459">
        <v>23.104</v>
      </c>
      <c r="JR459">
        <v>1336</v>
      </c>
      <c r="JS459">
        <v>9.894170000000001</v>
      </c>
      <c r="JT459">
        <v>100.43</v>
      </c>
      <c r="JU459">
        <v>100.359</v>
      </c>
    </row>
    <row r="460" spans="1:281">
      <c r="A460">
        <v>444</v>
      </c>
      <c r="B460">
        <v>1651866651</v>
      </c>
      <c r="C460">
        <v>2430.400000095367</v>
      </c>
      <c r="D460" t="s">
        <v>1311</v>
      </c>
      <c r="E460" t="s">
        <v>1312</v>
      </c>
      <c r="F460">
        <v>2</v>
      </c>
      <c r="G460" t="s">
        <v>908</v>
      </c>
      <c r="H460" t="s">
        <v>414</v>
      </c>
      <c r="I460">
        <v>1651866650</v>
      </c>
      <c r="J460">
        <f>(K460)/1000</f>
        <v>0</v>
      </c>
      <c r="K460">
        <f>IF(CZ460, AN460, AH460)</f>
        <v>0</v>
      </c>
      <c r="L460">
        <f>IF(CZ460, AI460, AG460)</f>
        <v>0</v>
      </c>
      <c r="M460">
        <f>DB460 - IF(AU460&gt;1, L460*CV460*100.0/(AW460*DP460), 0)</f>
        <v>0</v>
      </c>
      <c r="N460">
        <f>((T460-J460/2)*M460-L460)/(T460+J460/2)</f>
        <v>0</v>
      </c>
      <c r="O460">
        <f>N460*(DI460+DJ460)/1000.0</f>
        <v>0</v>
      </c>
      <c r="P460">
        <f>(DB460 - IF(AU460&gt;1, L460*CV460*100.0/(AW460*DP460), 0))*(DI460+DJ460)/1000.0</f>
        <v>0</v>
      </c>
      <c r="Q460">
        <f>2.0/((1/S460-1/R460)+SIGN(S460)*SQRT((1/S460-1/R460)*(1/S460-1/R460) + 4*CW460/((CW460+1)*(CW460+1))*(2*1/S460*1/R460-1/R460*1/R460)))</f>
        <v>0</v>
      </c>
      <c r="R460">
        <f>IF(LEFT(CX460,1)&lt;&gt;"0",IF(LEFT(CX460,1)="1",3.0,CY460),$D$5+$E$5*(DP460*DI460/($K$5*1000))+$F$5*(DP460*DI460/($K$5*1000))*MAX(MIN(CV460,$J$5),$I$5)*MAX(MIN(CV460,$J$5),$I$5)+$G$5*MAX(MIN(CV460,$J$5),$I$5)*(DP460*DI460/($K$5*1000))+$H$5*(DP460*DI460/($K$5*1000))*(DP460*DI460/($K$5*1000)))</f>
        <v>0</v>
      </c>
      <c r="S460">
        <f>J460*(1000-(1000*0.61365*exp(17.502*W460/(240.97+W460))/(DI460+DJ460)+DD460)/2)/(1000*0.61365*exp(17.502*W460/(240.97+W460))/(DI460+DJ460)-DD460)</f>
        <v>0</v>
      </c>
      <c r="T460">
        <f>1/((CW460+1)/(Q460/1.6)+1/(R460/1.37)) + CW460/((CW460+1)/(Q460/1.6) + CW460/(R460/1.37))</f>
        <v>0</v>
      </c>
      <c r="U460">
        <f>(CR460*CU460)</f>
        <v>0</v>
      </c>
      <c r="V460">
        <f>(DK460+(U460+2*0.95*5.67E-8*(((DK460+$B$7)+273)^4-(DK460+273)^4)-44100*J460)/(1.84*29.3*R460+8*0.95*5.67E-8*(DK460+273)^3))</f>
        <v>0</v>
      </c>
      <c r="W460">
        <f>($C$7*DL460+$D$7*DM460+$E$7*V460)</f>
        <v>0</v>
      </c>
      <c r="X460">
        <f>0.61365*exp(17.502*W460/(240.97+W460))</f>
        <v>0</v>
      </c>
      <c r="Y460">
        <f>(Z460/AA460*100)</f>
        <v>0</v>
      </c>
      <c r="Z460">
        <f>DD460*(DI460+DJ460)/1000</f>
        <v>0</v>
      </c>
      <c r="AA460">
        <f>0.61365*exp(17.502*DK460/(240.97+DK460))</f>
        <v>0</v>
      </c>
      <c r="AB460">
        <f>(X460-DD460*(DI460+DJ460)/1000)</f>
        <v>0</v>
      </c>
      <c r="AC460">
        <f>(-J460*44100)</f>
        <v>0</v>
      </c>
      <c r="AD460">
        <f>2*29.3*R460*0.92*(DK460-W460)</f>
        <v>0</v>
      </c>
      <c r="AE460">
        <f>2*0.95*5.67E-8*(((DK460+$B$7)+273)^4-(W460+273)^4)</f>
        <v>0</v>
      </c>
      <c r="AF460">
        <f>U460+AE460+AC460+AD460</f>
        <v>0</v>
      </c>
      <c r="AG460">
        <f>DH460*AU460*(DC460-DB460*(1000-AU460*DE460)/(1000-AU460*DD460))/(100*CV460)</f>
        <v>0</v>
      </c>
      <c r="AH460">
        <f>1000*DH460*AU460*(DD460-DE460)/(100*CV460*(1000-AU460*DD460))</f>
        <v>0</v>
      </c>
      <c r="AI460">
        <f>(AJ460 - AK460 - DI460*1E3/(8.314*(DK460+273.15)) * AM460/DH460 * AL460) * DH460/(100*CV460) * (1000 - DE460)/1000</f>
        <v>0</v>
      </c>
      <c r="AJ460">
        <v>1326.274944832667</v>
      </c>
      <c r="AK460">
        <v>1278.599333333333</v>
      </c>
      <c r="AL460">
        <v>3.323328029773982</v>
      </c>
      <c r="AM460">
        <v>66.38195617057868</v>
      </c>
      <c r="AN460">
        <f>(AP460 - AO460 + DI460*1E3/(8.314*(DK460+273.15)) * AR460/DH460 * AQ460) * DH460/(100*CV460) * 1000/(1000 - AP460)</f>
        <v>0</v>
      </c>
      <c r="AO460">
        <v>9.694813023375771</v>
      </c>
      <c r="AP460">
        <v>18.38340852941176</v>
      </c>
      <c r="AQ460">
        <v>-0.00325561623776103</v>
      </c>
      <c r="AR460">
        <v>80.47178418790507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MAX(0,($B$13+$C$13*DP460)/(1+$D$13*DP460)*DI460/(DK460+273)*$E$13)</f>
        <v>0</v>
      </c>
      <c r="AX460" t="s">
        <v>417</v>
      </c>
      <c r="AY460" t="s">
        <v>417</v>
      </c>
      <c r="AZ460">
        <v>0</v>
      </c>
      <c r="BA460">
        <v>0</v>
      </c>
      <c r="BB460">
        <f>1-AZ460/BA460</f>
        <v>0</v>
      </c>
      <c r="BC460">
        <v>0</v>
      </c>
      <c r="BD460" t="s">
        <v>417</v>
      </c>
      <c r="BE460" t="s">
        <v>417</v>
      </c>
      <c r="BF460">
        <v>0</v>
      </c>
      <c r="BG460">
        <v>0</v>
      </c>
      <c r="BH460">
        <f>1-BF460/BG460</f>
        <v>0</v>
      </c>
      <c r="BI460">
        <v>0.5</v>
      </c>
      <c r="BJ460">
        <f>CS460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417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BZ460">
        <v>1249</v>
      </c>
      <c r="CA460">
        <v>300</v>
      </c>
      <c r="CB460">
        <v>300</v>
      </c>
      <c r="CC460">
        <v>300</v>
      </c>
      <c r="CD460">
        <v>10442.4</v>
      </c>
      <c r="CE460">
        <v>1239.69</v>
      </c>
      <c r="CF460">
        <v>-0.00735276</v>
      </c>
      <c r="CG460">
        <v>0.07000000000000001</v>
      </c>
      <c r="CH460" t="s">
        <v>417</v>
      </c>
      <c r="CI460" t="s">
        <v>417</v>
      </c>
      <c r="CJ460" t="s">
        <v>417</v>
      </c>
      <c r="CK460" t="s">
        <v>417</v>
      </c>
      <c r="CL460" t="s">
        <v>417</v>
      </c>
      <c r="CM460" t="s">
        <v>417</v>
      </c>
      <c r="CN460" t="s">
        <v>417</v>
      </c>
      <c r="CO460" t="s">
        <v>417</v>
      </c>
      <c r="CP460" t="s">
        <v>417</v>
      </c>
      <c r="CQ460" t="s">
        <v>417</v>
      </c>
      <c r="CR460">
        <f>$B$11*DQ460+$C$11*DR460+$F$11*EC460*(1-EF460)</f>
        <v>0</v>
      </c>
      <c r="CS460">
        <f>CR460*CT460</f>
        <v>0</v>
      </c>
      <c r="CT460">
        <f>($B$11*$D$9+$C$11*$D$9+$F$11*((EP460+EH460)/MAX(EP460+EH460+EQ460, 0.1)*$I$9+EQ460/MAX(EP460+EH460+EQ460, 0.1)*$J$9))/($B$11+$C$11+$F$11)</f>
        <v>0</v>
      </c>
      <c r="CU460">
        <f>($B$11*$K$9+$C$11*$K$9+$F$11*((EP460+EH460)/MAX(EP460+EH460+EQ460, 0.1)*$P$9+EQ460/MAX(EP460+EH460+EQ460, 0.1)*$Q$9))/($B$11+$C$11+$F$11)</f>
        <v>0</v>
      </c>
      <c r="CV460">
        <v>6</v>
      </c>
      <c r="CW460">
        <v>0.5</v>
      </c>
      <c r="CX460" t="s">
        <v>418</v>
      </c>
      <c r="CY460">
        <v>2</v>
      </c>
      <c r="CZ460" t="b">
        <v>1</v>
      </c>
      <c r="DA460">
        <v>1651866650</v>
      </c>
      <c r="DB460">
        <v>1253.47</v>
      </c>
      <c r="DC460">
        <v>1319.346666666667</v>
      </c>
      <c r="DD460">
        <v>18.3842</v>
      </c>
      <c r="DE460">
        <v>9.749780000000001</v>
      </c>
      <c r="DF460">
        <v>1255.883333333333</v>
      </c>
      <c r="DG460">
        <v>18.36323333333333</v>
      </c>
      <c r="DH460">
        <v>500.008</v>
      </c>
      <c r="DI460">
        <v>89.91266666666667</v>
      </c>
      <c r="DJ460">
        <v>0.09984996666666668</v>
      </c>
      <c r="DK460">
        <v>25.92976666666667</v>
      </c>
      <c r="DL460">
        <v>25.02166666666666</v>
      </c>
      <c r="DM460">
        <v>999.9</v>
      </c>
      <c r="DN460">
        <v>0</v>
      </c>
      <c r="DO460">
        <v>0</v>
      </c>
      <c r="DP460">
        <v>10027.53333333333</v>
      </c>
      <c r="DQ460">
        <v>0</v>
      </c>
      <c r="DR460">
        <v>3.20383</v>
      </c>
      <c r="DS460">
        <v>-65.87696666666666</v>
      </c>
      <c r="DT460">
        <v>1276.946666666667</v>
      </c>
      <c r="DU460">
        <v>1332.336666666667</v>
      </c>
      <c r="DV460">
        <v>8.634453333333333</v>
      </c>
      <c r="DW460">
        <v>1319.346666666667</v>
      </c>
      <c r="DX460">
        <v>9.749780000000001</v>
      </c>
      <c r="DY460">
        <v>1.652973333333333</v>
      </c>
      <c r="DZ460">
        <v>0.876629</v>
      </c>
      <c r="EA460">
        <v>14.46173333333333</v>
      </c>
      <c r="EB460">
        <v>5.012673333333333</v>
      </c>
      <c r="EC460">
        <v>1500.123333333333</v>
      </c>
      <c r="ED460">
        <v>0.9729886666666667</v>
      </c>
      <c r="EE460">
        <v>0.0270112</v>
      </c>
      <c r="EF460">
        <v>0</v>
      </c>
      <c r="EG460">
        <v>895.1353333333333</v>
      </c>
      <c r="EH460">
        <v>5.00097</v>
      </c>
      <c r="EI460">
        <v>13308.26666666667</v>
      </c>
      <c r="EJ460">
        <v>12492.6</v>
      </c>
      <c r="EK460">
        <v>37.562</v>
      </c>
      <c r="EL460">
        <v>38.937</v>
      </c>
      <c r="EM460">
        <v>38</v>
      </c>
      <c r="EN460">
        <v>38.52066666666666</v>
      </c>
      <c r="EO460">
        <v>38.479</v>
      </c>
      <c r="EP460">
        <v>1454.736666666667</v>
      </c>
      <c r="EQ460">
        <v>40.38666666666666</v>
      </c>
      <c r="ER460">
        <v>0</v>
      </c>
      <c r="ES460">
        <v>1168.400000095367</v>
      </c>
      <c r="ET460">
        <v>0</v>
      </c>
      <c r="EU460">
        <v>896.1972307692308</v>
      </c>
      <c r="EV460">
        <v>-11.93018804276704</v>
      </c>
      <c r="EW460">
        <v>-183.0188035442898</v>
      </c>
      <c r="EX460">
        <v>13327.33461538462</v>
      </c>
      <c r="EY460">
        <v>15</v>
      </c>
      <c r="EZ460">
        <v>1651865518.1</v>
      </c>
      <c r="FA460" t="s">
        <v>910</v>
      </c>
      <c r="FB460">
        <v>1651865507.1</v>
      </c>
      <c r="FC460">
        <v>1651865518.1</v>
      </c>
      <c r="FD460">
        <v>8</v>
      </c>
      <c r="FE460">
        <v>0.06</v>
      </c>
      <c r="FF460">
        <v>0</v>
      </c>
      <c r="FG460">
        <v>-0.927</v>
      </c>
      <c r="FH460">
        <v>-0.062</v>
      </c>
      <c r="FI460">
        <v>400</v>
      </c>
      <c r="FJ460">
        <v>11</v>
      </c>
      <c r="FK460">
        <v>0.11</v>
      </c>
      <c r="FL460">
        <v>0.01</v>
      </c>
      <c r="FM460">
        <v>-65.45199756097561</v>
      </c>
      <c r="FN460">
        <v>-0.2805574912891984</v>
      </c>
      <c r="FO460">
        <v>0.3287881759251658</v>
      </c>
      <c r="FP460">
        <v>-1</v>
      </c>
      <c r="FQ460">
        <v>8.830451463414635</v>
      </c>
      <c r="FR460">
        <v>-1.169040418118465</v>
      </c>
      <c r="FS460">
        <v>0.1162479217660753</v>
      </c>
      <c r="FT460">
        <v>-1</v>
      </c>
      <c r="FU460">
        <v>0</v>
      </c>
      <c r="FV460">
        <v>0</v>
      </c>
      <c r="FW460">
        <v>0</v>
      </c>
      <c r="FX460">
        <v>-1</v>
      </c>
      <c r="FY460">
        <v>0</v>
      </c>
      <c r="FZ460">
        <v>0</v>
      </c>
      <c r="GA460" t="s">
        <v>420</v>
      </c>
      <c r="GB460">
        <v>2.98163</v>
      </c>
      <c r="GC460">
        <v>2.70632</v>
      </c>
      <c r="GD460">
        <v>0.197941</v>
      </c>
      <c r="GE460">
        <v>0.20197</v>
      </c>
      <c r="GF460">
        <v>0.087908</v>
      </c>
      <c r="GG460">
        <v>0.0544589</v>
      </c>
      <c r="GH460">
        <v>25347.8</v>
      </c>
      <c r="GI460">
        <v>25274.5</v>
      </c>
      <c r="GJ460">
        <v>29380.8</v>
      </c>
      <c r="GK460">
        <v>29295.3</v>
      </c>
      <c r="GL460">
        <v>35484.1</v>
      </c>
      <c r="GM460">
        <v>36900.8</v>
      </c>
      <c r="GN460">
        <v>41354.2</v>
      </c>
      <c r="GO460">
        <v>41816.1</v>
      </c>
      <c r="GP460">
        <v>1.9672</v>
      </c>
      <c r="GQ460">
        <v>1.8594</v>
      </c>
      <c r="GR460">
        <v>-0.00249594</v>
      </c>
      <c r="GS460">
        <v>0</v>
      </c>
      <c r="GT460">
        <v>25.0636</v>
      </c>
      <c r="GU460">
        <v>999.9</v>
      </c>
      <c r="GV460">
        <v>29.4</v>
      </c>
      <c r="GW460">
        <v>34.2</v>
      </c>
      <c r="GX460">
        <v>17.6666</v>
      </c>
      <c r="GY460">
        <v>62.6876</v>
      </c>
      <c r="GZ460">
        <v>35.1162</v>
      </c>
      <c r="HA460">
        <v>1</v>
      </c>
      <c r="HB460">
        <v>0.0390625</v>
      </c>
      <c r="HC460">
        <v>1.64962</v>
      </c>
      <c r="HD460">
        <v>20.3264</v>
      </c>
      <c r="HE460">
        <v>5.21804</v>
      </c>
      <c r="HF460">
        <v>12.0099</v>
      </c>
      <c r="HG460">
        <v>4.9885</v>
      </c>
      <c r="HH460">
        <v>3.2885</v>
      </c>
      <c r="HI460">
        <v>1037.3</v>
      </c>
      <c r="HJ460">
        <v>9774.5</v>
      </c>
      <c r="HK460">
        <v>5139.4</v>
      </c>
      <c r="HL460">
        <v>25.4</v>
      </c>
      <c r="HM460">
        <v>1.86748</v>
      </c>
      <c r="HN460">
        <v>1.86646</v>
      </c>
      <c r="HO460">
        <v>1.866</v>
      </c>
      <c r="HP460">
        <v>1.86585</v>
      </c>
      <c r="HQ460">
        <v>1.86768</v>
      </c>
      <c r="HR460">
        <v>1.87019</v>
      </c>
      <c r="HS460">
        <v>1.8689</v>
      </c>
      <c r="HT460">
        <v>1.87024</v>
      </c>
      <c r="HU460">
        <v>0</v>
      </c>
      <c r="HV460">
        <v>0</v>
      </c>
      <c r="HW460">
        <v>0</v>
      </c>
      <c r="HX460">
        <v>0</v>
      </c>
      <c r="HY460" t="s">
        <v>421</v>
      </c>
      <c r="HZ460" t="s">
        <v>422</v>
      </c>
      <c r="IA460" t="s">
        <v>423</v>
      </c>
      <c r="IB460" t="s">
        <v>423</v>
      </c>
      <c r="IC460" t="s">
        <v>423</v>
      </c>
      <c r="ID460" t="s">
        <v>423</v>
      </c>
      <c r="IE460">
        <v>0</v>
      </c>
      <c r="IF460">
        <v>100</v>
      </c>
      <c r="IG460">
        <v>100</v>
      </c>
      <c r="IH460">
        <v>-2.42</v>
      </c>
      <c r="II460">
        <v>0.0209</v>
      </c>
      <c r="IJ460">
        <v>-0.1559367209035702</v>
      </c>
      <c r="IK460">
        <v>-0.002077099775823331</v>
      </c>
      <c r="IL460">
        <v>4.593143279902166E-07</v>
      </c>
      <c r="IM460">
        <v>-1.865383991892071E-10</v>
      </c>
      <c r="IN460">
        <v>-0.0607165066849496</v>
      </c>
      <c r="IO460">
        <v>-0.01129461987421345</v>
      </c>
      <c r="IP460">
        <v>0.00116580895745559</v>
      </c>
      <c r="IQ460">
        <v>-1.679085872906199E-05</v>
      </c>
      <c r="IR460">
        <v>2</v>
      </c>
      <c r="IS460">
        <v>2290</v>
      </c>
      <c r="IT460">
        <v>0</v>
      </c>
      <c r="IU460">
        <v>32</v>
      </c>
      <c r="IV460">
        <v>19.1</v>
      </c>
      <c r="IW460">
        <v>18.9</v>
      </c>
      <c r="IX460">
        <v>2.63062</v>
      </c>
      <c r="IY460">
        <v>2.17773</v>
      </c>
      <c r="IZ460">
        <v>1.39648</v>
      </c>
      <c r="JA460">
        <v>2.35474</v>
      </c>
      <c r="JB460">
        <v>1.49536</v>
      </c>
      <c r="JC460">
        <v>2.31689</v>
      </c>
      <c r="JD460">
        <v>38.0377</v>
      </c>
      <c r="JE460">
        <v>24.035</v>
      </c>
      <c r="JF460">
        <v>18</v>
      </c>
      <c r="JG460">
        <v>511.802</v>
      </c>
      <c r="JH460">
        <v>428.536</v>
      </c>
      <c r="JI460">
        <v>23.1041</v>
      </c>
      <c r="JJ460">
        <v>27.819</v>
      </c>
      <c r="JK460">
        <v>30.0001</v>
      </c>
      <c r="JL460">
        <v>27.8242</v>
      </c>
      <c r="JM460">
        <v>27.7668</v>
      </c>
      <c r="JN460">
        <v>52.6663</v>
      </c>
      <c r="JO460">
        <v>42.3464</v>
      </c>
      <c r="JP460">
        <v>0</v>
      </c>
      <c r="JQ460">
        <v>23.0764</v>
      </c>
      <c r="JR460">
        <v>1342.68</v>
      </c>
      <c r="JS460">
        <v>9.9278</v>
      </c>
      <c r="JT460">
        <v>100.429</v>
      </c>
      <c r="JU460">
        <v>100.359</v>
      </c>
    </row>
    <row r="461" spans="1:281">
      <c r="A461">
        <v>445</v>
      </c>
      <c r="B461">
        <v>1651866653</v>
      </c>
      <c r="C461">
        <v>2432.400000095367</v>
      </c>
      <c r="D461" t="s">
        <v>1313</v>
      </c>
      <c r="E461" t="s">
        <v>1314</v>
      </c>
      <c r="F461">
        <v>2</v>
      </c>
      <c r="G461" t="s">
        <v>908</v>
      </c>
      <c r="H461" t="s">
        <v>414</v>
      </c>
      <c r="I461">
        <v>1651866651.625</v>
      </c>
      <c r="J461">
        <f>(K461)/1000</f>
        <v>0</v>
      </c>
      <c r="K461">
        <f>IF(CZ461, AN461, AH461)</f>
        <v>0</v>
      </c>
      <c r="L461">
        <f>IF(CZ461, AI461, AG461)</f>
        <v>0</v>
      </c>
      <c r="M461">
        <f>DB461 - IF(AU461&gt;1, L461*CV461*100.0/(AW461*DP461), 0)</f>
        <v>0</v>
      </c>
      <c r="N461">
        <f>((T461-J461/2)*M461-L461)/(T461+J461/2)</f>
        <v>0</v>
      </c>
      <c r="O461">
        <f>N461*(DI461+DJ461)/1000.0</f>
        <v>0</v>
      </c>
      <c r="P461">
        <f>(DB461 - IF(AU461&gt;1, L461*CV461*100.0/(AW461*DP461), 0))*(DI461+DJ461)/1000.0</f>
        <v>0</v>
      </c>
      <c r="Q461">
        <f>2.0/((1/S461-1/R461)+SIGN(S461)*SQRT((1/S461-1/R461)*(1/S461-1/R461) + 4*CW461/((CW461+1)*(CW461+1))*(2*1/S461*1/R461-1/R461*1/R461)))</f>
        <v>0</v>
      </c>
      <c r="R461">
        <f>IF(LEFT(CX461,1)&lt;&gt;"0",IF(LEFT(CX461,1)="1",3.0,CY461),$D$5+$E$5*(DP461*DI461/($K$5*1000))+$F$5*(DP461*DI461/($K$5*1000))*MAX(MIN(CV461,$J$5),$I$5)*MAX(MIN(CV461,$J$5),$I$5)+$G$5*MAX(MIN(CV461,$J$5),$I$5)*(DP461*DI461/($K$5*1000))+$H$5*(DP461*DI461/($K$5*1000))*(DP461*DI461/($K$5*1000)))</f>
        <v>0</v>
      </c>
      <c r="S461">
        <f>J461*(1000-(1000*0.61365*exp(17.502*W461/(240.97+W461))/(DI461+DJ461)+DD461)/2)/(1000*0.61365*exp(17.502*W461/(240.97+W461))/(DI461+DJ461)-DD461)</f>
        <v>0</v>
      </c>
      <c r="T461">
        <f>1/((CW461+1)/(Q461/1.6)+1/(R461/1.37)) + CW461/((CW461+1)/(Q461/1.6) + CW461/(R461/1.37))</f>
        <v>0</v>
      </c>
      <c r="U461">
        <f>(CR461*CU461)</f>
        <v>0</v>
      </c>
      <c r="V461">
        <f>(DK461+(U461+2*0.95*5.67E-8*(((DK461+$B$7)+273)^4-(DK461+273)^4)-44100*J461)/(1.84*29.3*R461+8*0.95*5.67E-8*(DK461+273)^3))</f>
        <v>0</v>
      </c>
      <c r="W461">
        <f>($C$7*DL461+$D$7*DM461+$E$7*V461)</f>
        <v>0</v>
      </c>
      <c r="X461">
        <f>0.61365*exp(17.502*W461/(240.97+W461))</f>
        <v>0</v>
      </c>
      <c r="Y461">
        <f>(Z461/AA461*100)</f>
        <v>0</v>
      </c>
      <c r="Z461">
        <f>DD461*(DI461+DJ461)/1000</f>
        <v>0</v>
      </c>
      <c r="AA461">
        <f>0.61365*exp(17.502*DK461/(240.97+DK461))</f>
        <v>0</v>
      </c>
      <c r="AB461">
        <f>(X461-DD461*(DI461+DJ461)/1000)</f>
        <v>0</v>
      </c>
      <c r="AC461">
        <f>(-J461*44100)</f>
        <v>0</v>
      </c>
      <c r="AD461">
        <f>2*29.3*R461*0.92*(DK461-W461)</f>
        <v>0</v>
      </c>
      <c r="AE461">
        <f>2*0.95*5.67E-8*(((DK461+$B$7)+273)^4-(W461+273)^4)</f>
        <v>0</v>
      </c>
      <c r="AF461">
        <f>U461+AE461+AC461+AD461</f>
        <v>0</v>
      </c>
      <c r="AG461">
        <f>DH461*AU461*(DC461-DB461*(1000-AU461*DE461)/(1000-AU461*DD461))/(100*CV461)</f>
        <v>0</v>
      </c>
      <c r="AH461">
        <f>1000*DH461*AU461*(DD461-DE461)/(100*CV461*(1000-AU461*DD461))</f>
        <v>0</v>
      </c>
      <c r="AI461">
        <f>(AJ461 - AK461 - DI461*1E3/(8.314*(DK461+273.15)) * AM461/DH461 * AL461) * DH461/(100*CV461) * (1000 - DE461)/1000</f>
        <v>0</v>
      </c>
      <c r="AJ461">
        <v>1333.190422640888</v>
      </c>
      <c r="AK461">
        <v>1285.29696969697</v>
      </c>
      <c r="AL461">
        <v>3.331760443232021</v>
      </c>
      <c r="AM461">
        <v>66.38195617057868</v>
      </c>
      <c r="AN461">
        <f>(AP461 - AO461 + DI461*1E3/(8.314*(DK461+273.15)) * AR461/DH461 * AQ461) * DH461/(100*CV461) * 1000/(1000 - AP461)</f>
        <v>0</v>
      </c>
      <c r="AO461">
        <v>9.723022505082085</v>
      </c>
      <c r="AP461">
        <v>18.37424823529412</v>
      </c>
      <c r="AQ461">
        <v>-0.001064122559351533</v>
      </c>
      <c r="AR461">
        <v>80.47178418790507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MAX(0,($B$13+$C$13*DP461)/(1+$D$13*DP461)*DI461/(DK461+273)*$E$13)</f>
        <v>0</v>
      </c>
      <c r="AX461" t="s">
        <v>417</v>
      </c>
      <c r="AY461" t="s">
        <v>417</v>
      </c>
      <c r="AZ461">
        <v>0</v>
      </c>
      <c r="BA461">
        <v>0</v>
      </c>
      <c r="BB461">
        <f>1-AZ461/BA461</f>
        <v>0</v>
      </c>
      <c r="BC461">
        <v>0</v>
      </c>
      <c r="BD461" t="s">
        <v>417</v>
      </c>
      <c r="BE461" t="s">
        <v>417</v>
      </c>
      <c r="BF461">
        <v>0</v>
      </c>
      <c r="BG461">
        <v>0</v>
      </c>
      <c r="BH461">
        <f>1-BF461/BG461</f>
        <v>0</v>
      </c>
      <c r="BI461">
        <v>0.5</v>
      </c>
      <c r="BJ461">
        <f>CS461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417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BZ461">
        <v>1249</v>
      </c>
      <c r="CA461">
        <v>300</v>
      </c>
      <c r="CB461">
        <v>300</v>
      </c>
      <c r="CC461">
        <v>300</v>
      </c>
      <c r="CD461">
        <v>10442.4</v>
      </c>
      <c r="CE461">
        <v>1239.69</v>
      </c>
      <c r="CF461">
        <v>-0.00735276</v>
      </c>
      <c r="CG461">
        <v>0.07000000000000001</v>
      </c>
      <c r="CH461" t="s">
        <v>417</v>
      </c>
      <c r="CI461" t="s">
        <v>417</v>
      </c>
      <c r="CJ461" t="s">
        <v>417</v>
      </c>
      <c r="CK461" t="s">
        <v>417</v>
      </c>
      <c r="CL461" t="s">
        <v>417</v>
      </c>
      <c r="CM461" t="s">
        <v>417</v>
      </c>
      <c r="CN461" t="s">
        <v>417</v>
      </c>
      <c r="CO461" t="s">
        <v>417</v>
      </c>
      <c r="CP461" t="s">
        <v>417</v>
      </c>
      <c r="CQ461" t="s">
        <v>417</v>
      </c>
      <c r="CR461">
        <f>$B$11*DQ461+$C$11*DR461+$F$11*EC461*(1-EF461)</f>
        <v>0</v>
      </c>
      <c r="CS461">
        <f>CR461*CT461</f>
        <v>0</v>
      </c>
      <c r="CT461">
        <f>($B$11*$D$9+$C$11*$D$9+$F$11*((EP461+EH461)/MAX(EP461+EH461+EQ461, 0.1)*$I$9+EQ461/MAX(EP461+EH461+EQ461, 0.1)*$J$9))/($B$11+$C$11+$F$11)</f>
        <v>0</v>
      </c>
      <c r="CU461">
        <f>($B$11*$K$9+$C$11*$K$9+$F$11*((EP461+EH461)/MAX(EP461+EH461+EQ461, 0.1)*$P$9+EQ461/MAX(EP461+EH461+EQ461, 0.1)*$Q$9))/($B$11+$C$11+$F$11)</f>
        <v>0</v>
      </c>
      <c r="CV461">
        <v>6</v>
      </c>
      <c r="CW461">
        <v>0.5</v>
      </c>
      <c r="CX461" t="s">
        <v>418</v>
      </c>
      <c r="CY461">
        <v>2</v>
      </c>
      <c r="CZ461" t="b">
        <v>1</v>
      </c>
      <c r="DA461">
        <v>1651866651.625</v>
      </c>
      <c r="DB461">
        <v>1258.8</v>
      </c>
      <c r="DC461">
        <v>1324.9825</v>
      </c>
      <c r="DD461">
        <v>18.378175</v>
      </c>
      <c r="DE461">
        <v>9.784485</v>
      </c>
      <c r="DF461">
        <v>1261.2225</v>
      </c>
      <c r="DG461">
        <v>18.357275</v>
      </c>
      <c r="DH461">
        <v>500.07875</v>
      </c>
      <c r="DI461">
        <v>89.91262500000001</v>
      </c>
      <c r="DJ461">
        <v>0.100136025</v>
      </c>
      <c r="DK461">
        <v>25.927725</v>
      </c>
      <c r="DL461">
        <v>25.02585</v>
      </c>
      <c r="DM461">
        <v>999.9</v>
      </c>
      <c r="DN461">
        <v>0</v>
      </c>
      <c r="DO461">
        <v>0</v>
      </c>
      <c r="DP461">
        <v>10005.9625</v>
      </c>
      <c r="DQ461">
        <v>0</v>
      </c>
      <c r="DR461">
        <v>3.20383</v>
      </c>
      <c r="DS461">
        <v>-66.183525</v>
      </c>
      <c r="DT461">
        <v>1282.37</v>
      </c>
      <c r="DU461">
        <v>1338.0775</v>
      </c>
      <c r="DV461">
        <v>8.593702500000001</v>
      </c>
      <c r="DW461">
        <v>1324.9825</v>
      </c>
      <c r="DX461">
        <v>9.784485</v>
      </c>
      <c r="DY461">
        <v>1.6524325</v>
      </c>
      <c r="DZ461">
        <v>0.8797487500000001</v>
      </c>
      <c r="EA461">
        <v>14.456625</v>
      </c>
      <c r="EB461">
        <v>5.0636425</v>
      </c>
      <c r="EC461">
        <v>1500.12</v>
      </c>
      <c r="ED461">
        <v>0.9730019999999999</v>
      </c>
      <c r="EE461">
        <v>0.026998</v>
      </c>
      <c r="EF461">
        <v>0</v>
      </c>
      <c r="EG461">
        <v>894.7067499999999</v>
      </c>
      <c r="EH461">
        <v>5.00097</v>
      </c>
      <c r="EI461">
        <v>13302.75</v>
      </c>
      <c r="EJ461">
        <v>12492.575</v>
      </c>
      <c r="EK461">
        <v>37.562</v>
      </c>
      <c r="EL461">
        <v>38.937</v>
      </c>
      <c r="EM461">
        <v>38</v>
      </c>
      <c r="EN461">
        <v>38.54649999999999</v>
      </c>
      <c r="EO461">
        <v>38.437</v>
      </c>
      <c r="EP461">
        <v>1454.755</v>
      </c>
      <c r="EQ461">
        <v>40.365</v>
      </c>
      <c r="ER461">
        <v>0</v>
      </c>
      <c r="ES461">
        <v>1170.200000047684</v>
      </c>
      <c r="ET461">
        <v>0</v>
      </c>
      <c r="EU461">
        <v>895.79824</v>
      </c>
      <c r="EV461">
        <v>-11.17984614247742</v>
      </c>
      <c r="EW461">
        <v>-184.4615381991657</v>
      </c>
      <c r="EX461">
        <v>13321.072</v>
      </c>
      <c r="EY461">
        <v>15</v>
      </c>
      <c r="EZ461">
        <v>1651865518.1</v>
      </c>
      <c r="FA461" t="s">
        <v>910</v>
      </c>
      <c r="FB461">
        <v>1651865507.1</v>
      </c>
      <c r="FC461">
        <v>1651865518.1</v>
      </c>
      <c r="FD461">
        <v>8</v>
      </c>
      <c r="FE461">
        <v>0.06</v>
      </c>
      <c r="FF461">
        <v>0</v>
      </c>
      <c r="FG461">
        <v>-0.927</v>
      </c>
      <c r="FH461">
        <v>-0.062</v>
      </c>
      <c r="FI461">
        <v>400</v>
      </c>
      <c r="FJ461">
        <v>11</v>
      </c>
      <c r="FK461">
        <v>0.11</v>
      </c>
      <c r="FL461">
        <v>0.01</v>
      </c>
      <c r="FM461">
        <v>-65.48377000000001</v>
      </c>
      <c r="FN461">
        <v>-1.739452908067516</v>
      </c>
      <c r="FO461">
        <v>0.3819562764244102</v>
      </c>
      <c r="FP461">
        <v>-1</v>
      </c>
      <c r="FQ461">
        <v>8.795930000000002</v>
      </c>
      <c r="FR461">
        <v>-1.214241275797389</v>
      </c>
      <c r="FS461">
        <v>0.1177877392813021</v>
      </c>
      <c r="FT461">
        <v>-1</v>
      </c>
      <c r="FU461">
        <v>0</v>
      </c>
      <c r="FV461">
        <v>0</v>
      </c>
      <c r="FW461">
        <v>0</v>
      </c>
      <c r="FX461">
        <v>-1</v>
      </c>
      <c r="FY461">
        <v>0</v>
      </c>
      <c r="FZ461">
        <v>0</v>
      </c>
      <c r="GA461" t="s">
        <v>420</v>
      </c>
      <c r="GB461">
        <v>2.9818</v>
      </c>
      <c r="GC461">
        <v>2.70631</v>
      </c>
      <c r="GD461">
        <v>0.198586</v>
      </c>
      <c r="GE461">
        <v>0.202593</v>
      </c>
      <c r="GF461">
        <v>0.0878946</v>
      </c>
      <c r="GG461">
        <v>0.0546482</v>
      </c>
      <c r="GH461">
        <v>25327.4</v>
      </c>
      <c r="GI461">
        <v>25254.5</v>
      </c>
      <c r="GJ461">
        <v>29380.7</v>
      </c>
      <c r="GK461">
        <v>29295</v>
      </c>
      <c r="GL461">
        <v>35484.6</v>
      </c>
      <c r="GM461">
        <v>36893.2</v>
      </c>
      <c r="GN461">
        <v>41354.3</v>
      </c>
      <c r="GO461">
        <v>41815.9</v>
      </c>
      <c r="GP461">
        <v>1.96732</v>
      </c>
      <c r="GQ461">
        <v>1.85945</v>
      </c>
      <c r="GR461">
        <v>-0.00186265</v>
      </c>
      <c r="GS461">
        <v>0</v>
      </c>
      <c r="GT461">
        <v>25.0636</v>
      </c>
      <c r="GU461">
        <v>999.9</v>
      </c>
      <c r="GV461">
        <v>29.4</v>
      </c>
      <c r="GW461">
        <v>34.2</v>
      </c>
      <c r="GX461">
        <v>17.6678</v>
      </c>
      <c r="GY461">
        <v>62.6076</v>
      </c>
      <c r="GZ461">
        <v>35.0321</v>
      </c>
      <c r="HA461">
        <v>1</v>
      </c>
      <c r="HB461">
        <v>0.0388237</v>
      </c>
      <c r="HC461">
        <v>1.68088</v>
      </c>
      <c r="HD461">
        <v>20.3261</v>
      </c>
      <c r="HE461">
        <v>5.21849</v>
      </c>
      <c r="HF461">
        <v>12.0099</v>
      </c>
      <c r="HG461">
        <v>4.98895</v>
      </c>
      <c r="HH461">
        <v>3.28858</v>
      </c>
      <c r="HI461">
        <v>1037.5</v>
      </c>
      <c r="HJ461">
        <v>9775.799999999999</v>
      </c>
      <c r="HK461">
        <v>5139.4</v>
      </c>
      <c r="HL461">
        <v>25.4</v>
      </c>
      <c r="HM461">
        <v>1.86749</v>
      </c>
      <c r="HN461">
        <v>1.86646</v>
      </c>
      <c r="HO461">
        <v>1.866</v>
      </c>
      <c r="HP461">
        <v>1.86585</v>
      </c>
      <c r="HQ461">
        <v>1.86768</v>
      </c>
      <c r="HR461">
        <v>1.87019</v>
      </c>
      <c r="HS461">
        <v>1.8689</v>
      </c>
      <c r="HT461">
        <v>1.87023</v>
      </c>
      <c r="HU461">
        <v>0</v>
      </c>
      <c r="HV461">
        <v>0</v>
      </c>
      <c r="HW461">
        <v>0</v>
      </c>
      <c r="HX461">
        <v>0</v>
      </c>
      <c r="HY461" t="s">
        <v>421</v>
      </c>
      <c r="HZ461" t="s">
        <v>422</v>
      </c>
      <c r="IA461" t="s">
        <v>423</v>
      </c>
      <c r="IB461" t="s">
        <v>423</v>
      </c>
      <c r="IC461" t="s">
        <v>423</v>
      </c>
      <c r="ID461" t="s">
        <v>423</v>
      </c>
      <c r="IE461">
        <v>0</v>
      </c>
      <c r="IF461">
        <v>100</v>
      </c>
      <c r="IG461">
        <v>100</v>
      </c>
      <c r="IH461">
        <v>-2.43</v>
      </c>
      <c r="II461">
        <v>0.0209</v>
      </c>
      <c r="IJ461">
        <v>-0.1559367209035702</v>
      </c>
      <c r="IK461">
        <v>-0.002077099775823331</v>
      </c>
      <c r="IL461">
        <v>4.593143279902166E-07</v>
      </c>
      <c r="IM461">
        <v>-1.865383991892071E-10</v>
      </c>
      <c r="IN461">
        <v>-0.0607165066849496</v>
      </c>
      <c r="IO461">
        <v>-0.01129461987421345</v>
      </c>
      <c r="IP461">
        <v>0.00116580895745559</v>
      </c>
      <c r="IQ461">
        <v>-1.679085872906199E-05</v>
      </c>
      <c r="IR461">
        <v>2</v>
      </c>
      <c r="IS461">
        <v>2290</v>
      </c>
      <c r="IT461">
        <v>0</v>
      </c>
      <c r="IU461">
        <v>32</v>
      </c>
      <c r="IV461">
        <v>19.1</v>
      </c>
      <c r="IW461">
        <v>18.9</v>
      </c>
      <c r="IX461">
        <v>2.6416</v>
      </c>
      <c r="IY461">
        <v>2.18384</v>
      </c>
      <c r="IZ461">
        <v>1.39648</v>
      </c>
      <c r="JA461">
        <v>2.35474</v>
      </c>
      <c r="JB461">
        <v>1.49536</v>
      </c>
      <c r="JC461">
        <v>2.27417</v>
      </c>
      <c r="JD461">
        <v>38.0134</v>
      </c>
      <c r="JE461">
        <v>24.035</v>
      </c>
      <c r="JF461">
        <v>18</v>
      </c>
      <c r="JG461">
        <v>511.874</v>
      </c>
      <c r="JH461">
        <v>428.565</v>
      </c>
      <c r="JI461">
        <v>23.0935</v>
      </c>
      <c r="JJ461">
        <v>27.8184</v>
      </c>
      <c r="JK461">
        <v>30</v>
      </c>
      <c r="JL461">
        <v>27.823</v>
      </c>
      <c r="JM461">
        <v>27.7667</v>
      </c>
      <c r="JN461">
        <v>52.8928</v>
      </c>
      <c r="JO461">
        <v>42.3464</v>
      </c>
      <c r="JP461">
        <v>0</v>
      </c>
      <c r="JQ461">
        <v>23.0764</v>
      </c>
      <c r="JR461">
        <v>1349.36</v>
      </c>
      <c r="JS461">
        <v>9.968920000000001</v>
      </c>
      <c r="JT461">
        <v>100.429</v>
      </c>
      <c r="JU461">
        <v>100.358</v>
      </c>
    </row>
    <row r="462" spans="1:281">
      <c r="A462">
        <v>446</v>
      </c>
      <c r="B462">
        <v>1651866655</v>
      </c>
      <c r="C462">
        <v>2434.400000095367</v>
      </c>
      <c r="D462" t="s">
        <v>1315</v>
      </c>
      <c r="E462" t="s">
        <v>1316</v>
      </c>
      <c r="F462">
        <v>2</v>
      </c>
      <c r="G462" t="s">
        <v>908</v>
      </c>
      <c r="H462" t="s">
        <v>414</v>
      </c>
      <c r="I462">
        <v>1651866654</v>
      </c>
      <c r="J462">
        <f>(K462)/1000</f>
        <v>0</v>
      </c>
      <c r="K462">
        <f>IF(CZ462, AN462, AH462)</f>
        <v>0</v>
      </c>
      <c r="L462">
        <f>IF(CZ462, AI462, AG462)</f>
        <v>0</v>
      </c>
      <c r="M462">
        <f>DB462 - IF(AU462&gt;1, L462*CV462*100.0/(AW462*DP462), 0)</f>
        <v>0</v>
      </c>
      <c r="N462">
        <f>((T462-J462/2)*M462-L462)/(T462+J462/2)</f>
        <v>0</v>
      </c>
      <c r="O462">
        <f>N462*(DI462+DJ462)/1000.0</f>
        <v>0</v>
      </c>
      <c r="P462">
        <f>(DB462 - IF(AU462&gt;1, L462*CV462*100.0/(AW462*DP462), 0))*(DI462+DJ462)/1000.0</f>
        <v>0</v>
      </c>
      <c r="Q462">
        <f>2.0/((1/S462-1/R462)+SIGN(S462)*SQRT((1/S462-1/R462)*(1/S462-1/R462) + 4*CW462/((CW462+1)*(CW462+1))*(2*1/S462*1/R462-1/R462*1/R462)))</f>
        <v>0</v>
      </c>
      <c r="R462">
        <f>IF(LEFT(CX462,1)&lt;&gt;"0",IF(LEFT(CX462,1)="1",3.0,CY462),$D$5+$E$5*(DP462*DI462/($K$5*1000))+$F$5*(DP462*DI462/($K$5*1000))*MAX(MIN(CV462,$J$5),$I$5)*MAX(MIN(CV462,$J$5),$I$5)+$G$5*MAX(MIN(CV462,$J$5),$I$5)*(DP462*DI462/($K$5*1000))+$H$5*(DP462*DI462/($K$5*1000))*(DP462*DI462/($K$5*1000)))</f>
        <v>0</v>
      </c>
      <c r="S462">
        <f>J462*(1000-(1000*0.61365*exp(17.502*W462/(240.97+W462))/(DI462+DJ462)+DD462)/2)/(1000*0.61365*exp(17.502*W462/(240.97+W462))/(DI462+DJ462)-DD462)</f>
        <v>0</v>
      </c>
      <c r="T462">
        <f>1/((CW462+1)/(Q462/1.6)+1/(R462/1.37)) + CW462/((CW462+1)/(Q462/1.6) + CW462/(R462/1.37))</f>
        <v>0</v>
      </c>
      <c r="U462">
        <f>(CR462*CU462)</f>
        <v>0</v>
      </c>
      <c r="V462">
        <f>(DK462+(U462+2*0.95*5.67E-8*(((DK462+$B$7)+273)^4-(DK462+273)^4)-44100*J462)/(1.84*29.3*R462+8*0.95*5.67E-8*(DK462+273)^3))</f>
        <v>0</v>
      </c>
      <c r="W462">
        <f>($C$7*DL462+$D$7*DM462+$E$7*V462)</f>
        <v>0</v>
      </c>
      <c r="X462">
        <f>0.61365*exp(17.502*W462/(240.97+W462))</f>
        <v>0</v>
      </c>
      <c r="Y462">
        <f>(Z462/AA462*100)</f>
        <v>0</v>
      </c>
      <c r="Z462">
        <f>DD462*(DI462+DJ462)/1000</f>
        <v>0</v>
      </c>
      <c r="AA462">
        <f>0.61365*exp(17.502*DK462/(240.97+DK462))</f>
        <v>0</v>
      </c>
      <c r="AB462">
        <f>(X462-DD462*(DI462+DJ462)/1000)</f>
        <v>0</v>
      </c>
      <c r="AC462">
        <f>(-J462*44100)</f>
        <v>0</v>
      </c>
      <c r="AD462">
        <f>2*29.3*R462*0.92*(DK462-W462)</f>
        <v>0</v>
      </c>
      <c r="AE462">
        <f>2*0.95*5.67E-8*(((DK462+$B$7)+273)^4-(W462+273)^4)</f>
        <v>0</v>
      </c>
      <c r="AF462">
        <f>U462+AE462+AC462+AD462</f>
        <v>0</v>
      </c>
      <c r="AG462">
        <f>DH462*AU462*(DC462-DB462*(1000-AU462*DE462)/(1000-AU462*DD462))/(100*CV462)</f>
        <v>0</v>
      </c>
      <c r="AH462">
        <f>1000*DH462*AU462*(DD462-DE462)/(100*CV462*(1000-AU462*DD462))</f>
        <v>0</v>
      </c>
      <c r="AI462">
        <f>(AJ462 - AK462 - DI462*1E3/(8.314*(DK462+273.15)) * AM462/DH462 * AL462) * DH462/(100*CV462) * (1000 - DE462)/1000</f>
        <v>0</v>
      </c>
      <c r="AJ462">
        <v>1340.131217634018</v>
      </c>
      <c r="AK462">
        <v>1292.079212121212</v>
      </c>
      <c r="AL462">
        <v>3.370368965298662</v>
      </c>
      <c r="AM462">
        <v>66.38195617057868</v>
      </c>
      <c r="AN462">
        <f>(AP462 - AO462 + DI462*1E3/(8.314*(DK462+273.15)) * AR462/DH462 * AQ462) * DH462/(100*CV462) * 1000/(1000 - AP462)</f>
        <v>0</v>
      </c>
      <c r="AO462">
        <v>9.760615711082449</v>
      </c>
      <c r="AP462">
        <v>18.37122764705882</v>
      </c>
      <c r="AQ462">
        <v>-0.00505179269331995</v>
      </c>
      <c r="AR462">
        <v>80.47178418790507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MAX(0,($B$13+$C$13*DP462)/(1+$D$13*DP462)*DI462/(DK462+273)*$E$13)</f>
        <v>0</v>
      </c>
      <c r="AX462" t="s">
        <v>417</v>
      </c>
      <c r="AY462" t="s">
        <v>417</v>
      </c>
      <c r="AZ462">
        <v>0</v>
      </c>
      <c r="BA462">
        <v>0</v>
      </c>
      <c r="BB462">
        <f>1-AZ462/BA462</f>
        <v>0</v>
      </c>
      <c r="BC462">
        <v>0</v>
      </c>
      <c r="BD462" t="s">
        <v>417</v>
      </c>
      <c r="BE462" t="s">
        <v>417</v>
      </c>
      <c r="BF462">
        <v>0</v>
      </c>
      <c r="BG462">
        <v>0</v>
      </c>
      <c r="BH462">
        <f>1-BF462/BG462</f>
        <v>0</v>
      </c>
      <c r="BI462">
        <v>0.5</v>
      </c>
      <c r="BJ462">
        <f>CS462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417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BZ462">
        <v>1249</v>
      </c>
      <c r="CA462">
        <v>300</v>
      </c>
      <c r="CB462">
        <v>300</v>
      </c>
      <c r="CC462">
        <v>300</v>
      </c>
      <c r="CD462">
        <v>10442.4</v>
      </c>
      <c r="CE462">
        <v>1239.69</v>
      </c>
      <c r="CF462">
        <v>-0.00735276</v>
      </c>
      <c r="CG462">
        <v>0.07000000000000001</v>
      </c>
      <c r="CH462" t="s">
        <v>417</v>
      </c>
      <c r="CI462" t="s">
        <v>417</v>
      </c>
      <c r="CJ462" t="s">
        <v>417</v>
      </c>
      <c r="CK462" t="s">
        <v>417</v>
      </c>
      <c r="CL462" t="s">
        <v>417</v>
      </c>
      <c r="CM462" t="s">
        <v>417</v>
      </c>
      <c r="CN462" t="s">
        <v>417</v>
      </c>
      <c r="CO462" t="s">
        <v>417</v>
      </c>
      <c r="CP462" t="s">
        <v>417</v>
      </c>
      <c r="CQ462" t="s">
        <v>417</v>
      </c>
      <c r="CR462">
        <f>$B$11*DQ462+$C$11*DR462+$F$11*EC462*(1-EF462)</f>
        <v>0</v>
      </c>
      <c r="CS462">
        <f>CR462*CT462</f>
        <v>0</v>
      </c>
      <c r="CT462">
        <f>($B$11*$D$9+$C$11*$D$9+$F$11*((EP462+EH462)/MAX(EP462+EH462+EQ462, 0.1)*$I$9+EQ462/MAX(EP462+EH462+EQ462, 0.1)*$J$9))/($B$11+$C$11+$F$11)</f>
        <v>0</v>
      </c>
      <c r="CU462">
        <f>($B$11*$K$9+$C$11*$K$9+$F$11*((EP462+EH462)/MAX(EP462+EH462+EQ462, 0.1)*$P$9+EQ462/MAX(EP462+EH462+EQ462, 0.1)*$Q$9))/($B$11+$C$11+$F$11)</f>
        <v>0</v>
      </c>
      <c r="CV462">
        <v>6</v>
      </c>
      <c r="CW462">
        <v>0.5</v>
      </c>
      <c r="CX462" t="s">
        <v>418</v>
      </c>
      <c r="CY462">
        <v>2</v>
      </c>
      <c r="CZ462" t="b">
        <v>1</v>
      </c>
      <c r="DA462">
        <v>1651866654</v>
      </c>
      <c r="DB462">
        <v>1266.683333333333</v>
      </c>
      <c r="DC462">
        <v>1332.676666666667</v>
      </c>
      <c r="DD462">
        <v>18.37223333333333</v>
      </c>
      <c r="DE462">
        <v>9.832079999999999</v>
      </c>
      <c r="DF462">
        <v>1269.113333333333</v>
      </c>
      <c r="DG462">
        <v>18.3514</v>
      </c>
      <c r="DH462">
        <v>500.1000000000001</v>
      </c>
      <c r="DI462">
        <v>89.91216666666666</v>
      </c>
      <c r="DJ462">
        <v>0.100139</v>
      </c>
      <c r="DK462">
        <v>25.92593333333333</v>
      </c>
      <c r="DL462">
        <v>25.03523333333333</v>
      </c>
      <c r="DM462">
        <v>999.9</v>
      </c>
      <c r="DN462">
        <v>0</v>
      </c>
      <c r="DO462">
        <v>0</v>
      </c>
      <c r="DP462">
        <v>10002.5</v>
      </c>
      <c r="DQ462">
        <v>0</v>
      </c>
      <c r="DR462">
        <v>3.20383</v>
      </c>
      <c r="DS462">
        <v>-65.99706666666667</v>
      </c>
      <c r="DT462">
        <v>1290.39</v>
      </c>
      <c r="DU462">
        <v>1345.913333333333</v>
      </c>
      <c r="DV462">
        <v>8.540179999999999</v>
      </c>
      <c r="DW462">
        <v>1332.676666666667</v>
      </c>
      <c r="DX462">
        <v>9.832079999999999</v>
      </c>
      <c r="DY462">
        <v>1.65189</v>
      </c>
      <c r="DZ462">
        <v>0.8840236666666668</v>
      </c>
      <c r="EA462">
        <v>14.45156666666667</v>
      </c>
      <c r="EB462">
        <v>5.133253333333333</v>
      </c>
      <c r="EC462">
        <v>1500.016666666667</v>
      </c>
      <c r="ED462">
        <v>0.9730036666666667</v>
      </c>
      <c r="EE462">
        <v>0.02699646666666666</v>
      </c>
      <c r="EF462">
        <v>0</v>
      </c>
      <c r="EG462">
        <v>893.9413333333333</v>
      </c>
      <c r="EH462">
        <v>5.00097</v>
      </c>
      <c r="EI462">
        <v>13295.03333333333</v>
      </c>
      <c r="EJ462">
        <v>12491.73333333333</v>
      </c>
      <c r="EK462">
        <v>37.562</v>
      </c>
      <c r="EL462">
        <v>38.875</v>
      </c>
      <c r="EM462">
        <v>38</v>
      </c>
      <c r="EN462">
        <v>38.5</v>
      </c>
      <c r="EO462">
        <v>38.437</v>
      </c>
      <c r="EP462">
        <v>1454.656666666667</v>
      </c>
      <c r="EQ462">
        <v>40.36000000000001</v>
      </c>
      <c r="ER462">
        <v>0</v>
      </c>
      <c r="ES462">
        <v>1172.600000143051</v>
      </c>
      <c r="ET462">
        <v>0</v>
      </c>
      <c r="EU462">
        <v>895.33284</v>
      </c>
      <c r="EV462">
        <v>-12.09538460203387</v>
      </c>
      <c r="EW462">
        <v>-184.9692304800913</v>
      </c>
      <c r="EX462">
        <v>13313.744</v>
      </c>
      <c r="EY462">
        <v>15</v>
      </c>
      <c r="EZ462">
        <v>1651865518.1</v>
      </c>
      <c r="FA462" t="s">
        <v>910</v>
      </c>
      <c r="FB462">
        <v>1651865507.1</v>
      </c>
      <c r="FC462">
        <v>1651865518.1</v>
      </c>
      <c r="FD462">
        <v>8</v>
      </c>
      <c r="FE462">
        <v>0.06</v>
      </c>
      <c r="FF462">
        <v>0</v>
      </c>
      <c r="FG462">
        <v>-0.927</v>
      </c>
      <c r="FH462">
        <v>-0.062</v>
      </c>
      <c r="FI462">
        <v>400</v>
      </c>
      <c r="FJ462">
        <v>11</v>
      </c>
      <c r="FK462">
        <v>0.11</v>
      </c>
      <c r="FL462">
        <v>0.01</v>
      </c>
      <c r="FM462">
        <v>-65.53907073170733</v>
      </c>
      <c r="FN462">
        <v>-2.971714285714234</v>
      </c>
      <c r="FO462">
        <v>0.4221201396689089</v>
      </c>
      <c r="FP462">
        <v>-1</v>
      </c>
      <c r="FQ462">
        <v>8.750554146341463</v>
      </c>
      <c r="FR462">
        <v>-1.292597979094064</v>
      </c>
      <c r="FS462">
        <v>0.128032635549436</v>
      </c>
      <c r="FT462">
        <v>-1</v>
      </c>
      <c r="FU462">
        <v>0</v>
      </c>
      <c r="FV462">
        <v>0</v>
      </c>
      <c r="FW462">
        <v>0</v>
      </c>
      <c r="FX462">
        <v>-1</v>
      </c>
      <c r="FY462">
        <v>0</v>
      </c>
      <c r="FZ462">
        <v>0</v>
      </c>
      <c r="GA462" t="s">
        <v>420</v>
      </c>
      <c r="GB462">
        <v>2.98168</v>
      </c>
      <c r="GC462">
        <v>2.70622</v>
      </c>
      <c r="GD462">
        <v>0.199228</v>
      </c>
      <c r="GE462">
        <v>0.203204</v>
      </c>
      <c r="GF462">
        <v>0.0878674</v>
      </c>
      <c r="GG462">
        <v>0.0547713</v>
      </c>
      <c r="GH462">
        <v>25307.2</v>
      </c>
      <c r="GI462">
        <v>25235.2</v>
      </c>
      <c r="GJ462">
        <v>29380.8</v>
      </c>
      <c r="GK462">
        <v>29295.1</v>
      </c>
      <c r="GL462">
        <v>35485.8</v>
      </c>
      <c r="GM462">
        <v>36888.4</v>
      </c>
      <c r="GN462">
        <v>41354.4</v>
      </c>
      <c r="GO462">
        <v>41816</v>
      </c>
      <c r="GP462">
        <v>1.96728</v>
      </c>
      <c r="GQ462">
        <v>1.85947</v>
      </c>
      <c r="GR462">
        <v>-0.00193715</v>
      </c>
      <c r="GS462">
        <v>0</v>
      </c>
      <c r="GT462">
        <v>25.0636</v>
      </c>
      <c r="GU462">
        <v>999.9</v>
      </c>
      <c r="GV462">
        <v>29.4</v>
      </c>
      <c r="GW462">
        <v>34.2</v>
      </c>
      <c r="GX462">
        <v>17.6689</v>
      </c>
      <c r="GY462">
        <v>62.4676</v>
      </c>
      <c r="GZ462">
        <v>35.2444</v>
      </c>
      <c r="HA462">
        <v>1</v>
      </c>
      <c r="HB462">
        <v>0.0389609</v>
      </c>
      <c r="HC462">
        <v>1.66914</v>
      </c>
      <c r="HD462">
        <v>20.3262</v>
      </c>
      <c r="HE462">
        <v>5.21879</v>
      </c>
      <c r="HF462">
        <v>12.0099</v>
      </c>
      <c r="HG462">
        <v>4.9893</v>
      </c>
      <c r="HH462">
        <v>3.28865</v>
      </c>
      <c r="HI462">
        <v>1037.5</v>
      </c>
      <c r="HJ462">
        <v>9775.799999999999</v>
      </c>
      <c r="HK462">
        <v>5139.4</v>
      </c>
      <c r="HL462">
        <v>25.4</v>
      </c>
      <c r="HM462">
        <v>1.86749</v>
      </c>
      <c r="HN462">
        <v>1.86646</v>
      </c>
      <c r="HO462">
        <v>1.866</v>
      </c>
      <c r="HP462">
        <v>1.86585</v>
      </c>
      <c r="HQ462">
        <v>1.86768</v>
      </c>
      <c r="HR462">
        <v>1.87021</v>
      </c>
      <c r="HS462">
        <v>1.8689</v>
      </c>
      <c r="HT462">
        <v>1.87022</v>
      </c>
      <c r="HU462">
        <v>0</v>
      </c>
      <c r="HV462">
        <v>0</v>
      </c>
      <c r="HW462">
        <v>0</v>
      </c>
      <c r="HX462">
        <v>0</v>
      </c>
      <c r="HY462" t="s">
        <v>421</v>
      </c>
      <c r="HZ462" t="s">
        <v>422</v>
      </c>
      <c r="IA462" t="s">
        <v>423</v>
      </c>
      <c r="IB462" t="s">
        <v>423</v>
      </c>
      <c r="IC462" t="s">
        <v>423</v>
      </c>
      <c r="ID462" t="s">
        <v>423</v>
      </c>
      <c r="IE462">
        <v>0</v>
      </c>
      <c r="IF462">
        <v>100</v>
      </c>
      <c r="IG462">
        <v>100</v>
      </c>
      <c r="IH462">
        <v>-2.44</v>
      </c>
      <c r="II462">
        <v>0.0208</v>
      </c>
      <c r="IJ462">
        <v>-0.1559367209035702</v>
      </c>
      <c r="IK462">
        <v>-0.002077099775823331</v>
      </c>
      <c r="IL462">
        <v>4.593143279902166E-07</v>
      </c>
      <c r="IM462">
        <v>-1.865383991892071E-10</v>
      </c>
      <c r="IN462">
        <v>-0.0607165066849496</v>
      </c>
      <c r="IO462">
        <v>-0.01129461987421345</v>
      </c>
      <c r="IP462">
        <v>0.00116580895745559</v>
      </c>
      <c r="IQ462">
        <v>-1.679085872906199E-05</v>
      </c>
      <c r="IR462">
        <v>2</v>
      </c>
      <c r="IS462">
        <v>2290</v>
      </c>
      <c r="IT462">
        <v>0</v>
      </c>
      <c r="IU462">
        <v>32</v>
      </c>
      <c r="IV462">
        <v>19.1</v>
      </c>
      <c r="IW462">
        <v>18.9</v>
      </c>
      <c r="IX462">
        <v>2.65137</v>
      </c>
      <c r="IY462">
        <v>2.18018</v>
      </c>
      <c r="IZ462">
        <v>1.39648</v>
      </c>
      <c r="JA462">
        <v>2.35474</v>
      </c>
      <c r="JB462">
        <v>1.49536</v>
      </c>
      <c r="JC462">
        <v>2.33398</v>
      </c>
      <c r="JD462">
        <v>38.0134</v>
      </c>
      <c r="JE462">
        <v>24.0437</v>
      </c>
      <c r="JF462">
        <v>18</v>
      </c>
      <c r="JG462">
        <v>511.841</v>
      </c>
      <c r="JH462">
        <v>428.572</v>
      </c>
      <c r="JI462">
        <v>23.0805</v>
      </c>
      <c r="JJ462">
        <v>27.8178</v>
      </c>
      <c r="JK462">
        <v>30.0001</v>
      </c>
      <c r="JL462">
        <v>27.823</v>
      </c>
      <c r="JM462">
        <v>27.7656</v>
      </c>
      <c r="JN462">
        <v>53.0978</v>
      </c>
      <c r="JO462">
        <v>42.0429</v>
      </c>
      <c r="JP462">
        <v>0</v>
      </c>
      <c r="JQ462">
        <v>23.0468</v>
      </c>
      <c r="JR462">
        <v>1356.16</v>
      </c>
      <c r="JS462">
        <v>10.0155</v>
      </c>
      <c r="JT462">
        <v>100.429</v>
      </c>
      <c r="JU462">
        <v>100.359</v>
      </c>
    </row>
    <row r="463" spans="1:281">
      <c r="A463">
        <v>447</v>
      </c>
      <c r="B463">
        <v>1651866657</v>
      </c>
      <c r="C463">
        <v>2436.400000095367</v>
      </c>
      <c r="D463" t="s">
        <v>1317</v>
      </c>
      <c r="E463" t="s">
        <v>1318</v>
      </c>
      <c r="F463">
        <v>2</v>
      </c>
      <c r="G463" t="s">
        <v>908</v>
      </c>
      <c r="H463" t="s">
        <v>414</v>
      </c>
      <c r="I463">
        <v>1651866655.625</v>
      </c>
      <c r="J463">
        <f>(K463)/1000</f>
        <v>0</v>
      </c>
      <c r="K463">
        <f>IF(CZ463, AN463, AH463)</f>
        <v>0</v>
      </c>
      <c r="L463">
        <f>IF(CZ463, AI463, AG463)</f>
        <v>0</v>
      </c>
      <c r="M463">
        <f>DB463 - IF(AU463&gt;1, L463*CV463*100.0/(AW463*DP463), 0)</f>
        <v>0</v>
      </c>
      <c r="N463">
        <f>((T463-J463/2)*M463-L463)/(T463+J463/2)</f>
        <v>0</v>
      </c>
      <c r="O463">
        <f>N463*(DI463+DJ463)/1000.0</f>
        <v>0</v>
      </c>
      <c r="P463">
        <f>(DB463 - IF(AU463&gt;1, L463*CV463*100.0/(AW463*DP463), 0))*(DI463+DJ463)/1000.0</f>
        <v>0</v>
      </c>
      <c r="Q463">
        <f>2.0/((1/S463-1/R463)+SIGN(S463)*SQRT((1/S463-1/R463)*(1/S463-1/R463) + 4*CW463/((CW463+1)*(CW463+1))*(2*1/S463*1/R463-1/R463*1/R463)))</f>
        <v>0</v>
      </c>
      <c r="R463">
        <f>IF(LEFT(CX463,1)&lt;&gt;"0",IF(LEFT(CX463,1)="1",3.0,CY463),$D$5+$E$5*(DP463*DI463/($K$5*1000))+$F$5*(DP463*DI463/($K$5*1000))*MAX(MIN(CV463,$J$5),$I$5)*MAX(MIN(CV463,$J$5),$I$5)+$G$5*MAX(MIN(CV463,$J$5),$I$5)*(DP463*DI463/($K$5*1000))+$H$5*(DP463*DI463/($K$5*1000))*(DP463*DI463/($K$5*1000)))</f>
        <v>0</v>
      </c>
      <c r="S463">
        <f>J463*(1000-(1000*0.61365*exp(17.502*W463/(240.97+W463))/(DI463+DJ463)+DD463)/2)/(1000*0.61365*exp(17.502*W463/(240.97+W463))/(DI463+DJ463)-DD463)</f>
        <v>0</v>
      </c>
      <c r="T463">
        <f>1/((CW463+1)/(Q463/1.6)+1/(R463/1.37)) + CW463/((CW463+1)/(Q463/1.6) + CW463/(R463/1.37))</f>
        <v>0</v>
      </c>
      <c r="U463">
        <f>(CR463*CU463)</f>
        <v>0</v>
      </c>
      <c r="V463">
        <f>(DK463+(U463+2*0.95*5.67E-8*(((DK463+$B$7)+273)^4-(DK463+273)^4)-44100*J463)/(1.84*29.3*R463+8*0.95*5.67E-8*(DK463+273)^3))</f>
        <v>0</v>
      </c>
      <c r="W463">
        <f>($C$7*DL463+$D$7*DM463+$E$7*V463)</f>
        <v>0</v>
      </c>
      <c r="X463">
        <f>0.61365*exp(17.502*W463/(240.97+W463))</f>
        <v>0</v>
      </c>
      <c r="Y463">
        <f>(Z463/AA463*100)</f>
        <v>0</v>
      </c>
      <c r="Z463">
        <f>DD463*(DI463+DJ463)/1000</f>
        <v>0</v>
      </c>
      <c r="AA463">
        <f>0.61365*exp(17.502*DK463/(240.97+DK463))</f>
        <v>0</v>
      </c>
      <c r="AB463">
        <f>(X463-DD463*(DI463+DJ463)/1000)</f>
        <v>0</v>
      </c>
      <c r="AC463">
        <f>(-J463*44100)</f>
        <v>0</v>
      </c>
      <c r="AD463">
        <f>2*29.3*R463*0.92*(DK463-W463)</f>
        <v>0</v>
      </c>
      <c r="AE463">
        <f>2*0.95*5.67E-8*(((DK463+$B$7)+273)^4-(W463+273)^4)</f>
        <v>0</v>
      </c>
      <c r="AF463">
        <f>U463+AE463+AC463+AD463</f>
        <v>0</v>
      </c>
      <c r="AG463">
        <f>DH463*AU463*(DC463-DB463*(1000-AU463*DE463)/(1000-AU463*DD463))/(100*CV463)</f>
        <v>0</v>
      </c>
      <c r="AH463">
        <f>1000*DH463*AU463*(DD463-DE463)/(100*CV463*(1000-AU463*DD463))</f>
        <v>0</v>
      </c>
      <c r="AI463">
        <f>(AJ463 - AK463 - DI463*1E3/(8.314*(DK463+273.15)) * AM463/DH463 * AL463) * DH463/(100*CV463) * (1000 - DE463)/1000</f>
        <v>0</v>
      </c>
      <c r="AJ463">
        <v>1346.646940476181</v>
      </c>
      <c r="AK463">
        <v>1298.765393939393</v>
      </c>
      <c r="AL463">
        <v>3.360481346613015</v>
      </c>
      <c r="AM463">
        <v>66.38195617057868</v>
      </c>
      <c r="AN463">
        <f>(AP463 - AO463 + DI463*1E3/(8.314*(DK463+273.15)) * AR463/DH463 * AQ463) * DH463/(100*CV463) * 1000/(1000 - AP463)</f>
        <v>0</v>
      </c>
      <c r="AO463">
        <v>9.80313565002805</v>
      </c>
      <c r="AP463">
        <v>18.36060558823529</v>
      </c>
      <c r="AQ463">
        <v>-0.001231266107192524</v>
      </c>
      <c r="AR463">
        <v>80.47178418790507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MAX(0,($B$13+$C$13*DP463)/(1+$D$13*DP463)*DI463/(DK463+273)*$E$13)</f>
        <v>0</v>
      </c>
      <c r="AX463" t="s">
        <v>417</v>
      </c>
      <c r="AY463" t="s">
        <v>417</v>
      </c>
      <c r="AZ463">
        <v>0</v>
      </c>
      <c r="BA463">
        <v>0</v>
      </c>
      <c r="BB463">
        <f>1-AZ463/BA463</f>
        <v>0</v>
      </c>
      <c r="BC463">
        <v>0</v>
      </c>
      <c r="BD463" t="s">
        <v>417</v>
      </c>
      <c r="BE463" t="s">
        <v>417</v>
      </c>
      <c r="BF463">
        <v>0</v>
      </c>
      <c r="BG463">
        <v>0</v>
      </c>
      <c r="BH463">
        <f>1-BF463/BG463</f>
        <v>0</v>
      </c>
      <c r="BI463">
        <v>0.5</v>
      </c>
      <c r="BJ463">
        <f>CS463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417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BZ463">
        <v>1249</v>
      </c>
      <c r="CA463">
        <v>300</v>
      </c>
      <c r="CB463">
        <v>300</v>
      </c>
      <c r="CC463">
        <v>300</v>
      </c>
      <c r="CD463">
        <v>10442.4</v>
      </c>
      <c r="CE463">
        <v>1239.69</v>
      </c>
      <c r="CF463">
        <v>-0.00735276</v>
      </c>
      <c r="CG463">
        <v>0.07000000000000001</v>
      </c>
      <c r="CH463" t="s">
        <v>417</v>
      </c>
      <c r="CI463" t="s">
        <v>417</v>
      </c>
      <c r="CJ463" t="s">
        <v>417</v>
      </c>
      <c r="CK463" t="s">
        <v>417</v>
      </c>
      <c r="CL463" t="s">
        <v>417</v>
      </c>
      <c r="CM463" t="s">
        <v>417</v>
      </c>
      <c r="CN463" t="s">
        <v>417</v>
      </c>
      <c r="CO463" t="s">
        <v>417</v>
      </c>
      <c r="CP463" t="s">
        <v>417</v>
      </c>
      <c r="CQ463" t="s">
        <v>417</v>
      </c>
      <c r="CR463">
        <f>$B$11*DQ463+$C$11*DR463+$F$11*EC463*(1-EF463)</f>
        <v>0</v>
      </c>
      <c r="CS463">
        <f>CR463*CT463</f>
        <v>0</v>
      </c>
      <c r="CT463">
        <f>($B$11*$D$9+$C$11*$D$9+$F$11*((EP463+EH463)/MAX(EP463+EH463+EQ463, 0.1)*$I$9+EQ463/MAX(EP463+EH463+EQ463, 0.1)*$J$9))/($B$11+$C$11+$F$11)</f>
        <v>0</v>
      </c>
      <c r="CU463">
        <f>($B$11*$K$9+$C$11*$K$9+$F$11*((EP463+EH463)/MAX(EP463+EH463+EQ463, 0.1)*$P$9+EQ463/MAX(EP463+EH463+EQ463, 0.1)*$Q$9))/($B$11+$C$11+$F$11)</f>
        <v>0</v>
      </c>
      <c r="CV463">
        <v>6</v>
      </c>
      <c r="CW463">
        <v>0.5</v>
      </c>
      <c r="CX463" t="s">
        <v>418</v>
      </c>
      <c r="CY463">
        <v>2</v>
      </c>
      <c r="CZ463" t="b">
        <v>1</v>
      </c>
      <c r="DA463">
        <v>1651866655.625</v>
      </c>
      <c r="DB463">
        <v>1272.035</v>
      </c>
      <c r="DC463">
        <v>1338.135</v>
      </c>
      <c r="DD463">
        <v>18.3644</v>
      </c>
      <c r="DE463">
        <v>9.855942499999999</v>
      </c>
      <c r="DF463">
        <v>1274.48</v>
      </c>
      <c r="DG463">
        <v>18.343675</v>
      </c>
      <c r="DH463">
        <v>500.0365</v>
      </c>
      <c r="DI463">
        <v>89.91087499999999</v>
      </c>
      <c r="DJ463">
        <v>0.09997095</v>
      </c>
      <c r="DK463">
        <v>25.92575</v>
      </c>
      <c r="DL463">
        <v>25.030325</v>
      </c>
      <c r="DM463">
        <v>999.9</v>
      </c>
      <c r="DN463">
        <v>0</v>
      </c>
      <c r="DO463">
        <v>0</v>
      </c>
      <c r="DP463">
        <v>10008.725</v>
      </c>
      <c r="DQ463">
        <v>0</v>
      </c>
      <c r="DR463">
        <v>3.20383</v>
      </c>
      <c r="DS463">
        <v>-66.10152500000001</v>
      </c>
      <c r="DT463">
        <v>1295.8325</v>
      </c>
      <c r="DU463">
        <v>1351.4575</v>
      </c>
      <c r="DV463">
        <v>8.508459999999999</v>
      </c>
      <c r="DW463">
        <v>1338.135</v>
      </c>
      <c r="DX463">
        <v>9.855942499999999</v>
      </c>
      <c r="DY463">
        <v>1.65116</v>
      </c>
      <c r="DZ463">
        <v>0.8861565</v>
      </c>
      <c r="EA463">
        <v>14.444725</v>
      </c>
      <c r="EB463">
        <v>5.167854999999999</v>
      </c>
      <c r="EC463">
        <v>1500.05</v>
      </c>
      <c r="ED463">
        <v>0.97300075</v>
      </c>
      <c r="EE463">
        <v>0.02699935</v>
      </c>
      <c r="EF463">
        <v>0</v>
      </c>
      <c r="EG463">
        <v>893.84375</v>
      </c>
      <c r="EH463">
        <v>5.00097</v>
      </c>
      <c r="EI463">
        <v>13290.125</v>
      </c>
      <c r="EJ463">
        <v>12492.075</v>
      </c>
      <c r="EK463">
        <v>37.562</v>
      </c>
      <c r="EL463">
        <v>38.875</v>
      </c>
      <c r="EM463">
        <v>38</v>
      </c>
      <c r="EN463">
        <v>38.5</v>
      </c>
      <c r="EO463">
        <v>38.437</v>
      </c>
      <c r="EP463">
        <v>1454.685</v>
      </c>
      <c r="EQ463">
        <v>40.365</v>
      </c>
      <c r="ER463">
        <v>0</v>
      </c>
      <c r="ES463">
        <v>1174.400000095367</v>
      </c>
      <c r="ET463">
        <v>0</v>
      </c>
      <c r="EU463">
        <v>895.0139615384616</v>
      </c>
      <c r="EV463">
        <v>-12.27702565793976</v>
      </c>
      <c r="EW463">
        <v>-184.9504274826246</v>
      </c>
      <c r="EX463">
        <v>13308.98461538462</v>
      </c>
      <c r="EY463">
        <v>15</v>
      </c>
      <c r="EZ463">
        <v>1651865518.1</v>
      </c>
      <c r="FA463" t="s">
        <v>910</v>
      </c>
      <c r="FB463">
        <v>1651865507.1</v>
      </c>
      <c r="FC463">
        <v>1651865518.1</v>
      </c>
      <c r="FD463">
        <v>8</v>
      </c>
      <c r="FE463">
        <v>0.06</v>
      </c>
      <c r="FF463">
        <v>0</v>
      </c>
      <c r="FG463">
        <v>-0.927</v>
      </c>
      <c r="FH463">
        <v>-0.062</v>
      </c>
      <c r="FI463">
        <v>400</v>
      </c>
      <c r="FJ463">
        <v>11</v>
      </c>
      <c r="FK463">
        <v>0.11</v>
      </c>
      <c r="FL463">
        <v>0.01</v>
      </c>
      <c r="FM463">
        <v>-65.560755</v>
      </c>
      <c r="FN463">
        <v>-4.172938086303792</v>
      </c>
      <c r="FO463">
        <v>0.4457925879543091</v>
      </c>
      <c r="FP463">
        <v>-1</v>
      </c>
      <c r="FQ463">
        <v>8.715008749999999</v>
      </c>
      <c r="FR463">
        <v>-1.338436885553482</v>
      </c>
      <c r="FS463">
        <v>0.1290434103545683</v>
      </c>
      <c r="FT463">
        <v>-1</v>
      </c>
      <c r="FU463">
        <v>0</v>
      </c>
      <c r="FV463">
        <v>0</v>
      </c>
      <c r="FW463">
        <v>0</v>
      </c>
      <c r="FX463">
        <v>-1</v>
      </c>
      <c r="FY463">
        <v>0</v>
      </c>
      <c r="FZ463">
        <v>0</v>
      </c>
      <c r="GA463" t="s">
        <v>420</v>
      </c>
      <c r="GB463">
        <v>2.98149</v>
      </c>
      <c r="GC463">
        <v>2.70618</v>
      </c>
      <c r="GD463">
        <v>0.199868</v>
      </c>
      <c r="GE463">
        <v>0.203864</v>
      </c>
      <c r="GF463">
        <v>0.08782379999999999</v>
      </c>
      <c r="GG463">
        <v>0.0549268</v>
      </c>
      <c r="GH463">
        <v>25286.9</v>
      </c>
      <c r="GI463">
        <v>25214.6</v>
      </c>
      <c r="GJ463">
        <v>29380.8</v>
      </c>
      <c r="GK463">
        <v>29295.4</v>
      </c>
      <c r="GL463">
        <v>35487.4</v>
      </c>
      <c r="GM463">
        <v>36882.9</v>
      </c>
      <c r="GN463">
        <v>41354.2</v>
      </c>
      <c r="GO463">
        <v>41816.6</v>
      </c>
      <c r="GP463">
        <v>1.96705</v>
      </c>
      <c r="GQ463">
        <v>1.85972</v>
      </c>
      <c r="GR463">
        <v>-0.00204891</v>
      </c>
      <c r="GS463">
        <v>0</v>
      </c>
      <c r="GT463">
        <v>25.0636</v>
      </c>
      <c r="GU463">
        <v>999.9</v>
      </c>
      <c r="GV463">
        <v>29.3</v>
      </c>
      <c r="GW463">
        <v>34.2</v>
      </c>
      <c r="GX463">
        <v>17.6055</v>
      </c>
      <c r="GY463">
        <v>62.5376</v>
      </c>
      <c r="GZ463">
        <v>35.4487</v>
      </c>
      <c r="HA463">
        <v>1</v>
      </c>
      <c r="HB463">
        <v>0.0388338</v>
      </c>
      <c r="HC463">
        <v>1.69789</v>
      </c>
      <c r="HD463">
        <v>20.326</v>
      </c>
      <c r="HE463">
        <v>5.21894</v>
      </c>
      <c r="HF463">
        <v>12.0099</v>
      </c>
      <c r="HG463">
        <v>4.989</v>
      </c>
      <c r="HH463">
        <v>3.28865</v>
      </c>
      <c r="HI463">
        <v>1037.5</v>
      </c>
      <c r="HJ463">
        <v>9775.799999999999</v>
      </c>
      <c r="HK463">
        <v>5139.4</v>
      </c>
      <c r="HL463">
        <v>25.4</v>
      </c>
      <c r="HM463">
        <v>1.86749</v>
      </c>
      <c r="HN463">
        <v>1.86646</v>
      </c>
      <c r="HO463">
        <v>1.866</v>
      </c>
      <c r="HP463">
        <v>1.86585</v>
      </c>
      <c r="HQ463">
        <v>1.86768</v>
      </c>
      <c r="HR463">
        <v>1.87023</v>
      </c>
      <c r="HS463">
        <v>1.8689</v>
      </c>
      <c r="HT463">
        <v>1.87023</v>
      </c>
      <c r="HU463">
        <v>0</v>
      </c>
      <c r="HV463">
        <v>0</v>
      </c>
      <c r="HW463">
        <v>0</v>
      </c>
      <c r="HX463">
        <v>0</v>
      </c>
      <c r="HY463" t="s">
        <v>421</v>
      </c>
      <c r="HZ463" t="s">
        <v>422</v>
      </c>
      <c r="IA463" t="s">
        <v>423</v>
      </c>
      <c r="IB463" t="s">
        <v>423</v>
      </c>
      <c r="IC463" t="s">
        <v>423</v>
      </c>
      <c r="ID463" t="s">
        <v>423</v>
      </c>
      <c r="IE463">
        <v>0</v>
      </c>
      <c r="IF463">
        <v>100</v>
      </c>
      <c r="IG463">
        <v>100</v>
      </c>
      <c r="IH463">
        <v>-2.45</v>
      </c>
      <c r="II463">
        <v>0.0206</v>
      </c>
      <c r="IJ463">
        <v>-0.1559367209035702</v>
      </c>
      <c r="IK463">
        <v>-0.002077099775823331</v>
      </c>
      <c r="IL463">
        <v>4.593143279902166E-07</v>
      </c>
      <c r="IM463">
        <v>-1.865383991892071E-10</v>
      </c>
      <c r="IN463">
        <v>-0.0607165066849496</v>
      </c>
      <c r="IO463">
        <v>-0.01129461987421345</v>
      </c>
      <c r="IP463">
        <v>0.00116580895745559</v>
      </c>
      <c r="IQ463">
        <v>-1.679085872906199E-05</v>
      </c>
      <c r="IR463">
        <v>2</v>
      </c>
      <c r="IS463">
        <v>2290</v>
      </c>
      <c r="IT463">
        <v>0</v>
      </c>
      <c r="IU463">
        <v>32</v>
      </c>
      <c r="IV463">
        <v>19.2</v>
      </c>
      <c r="IW463">
        <v>19</v>
      </c>
      <c r="IX463">
        <v>2.66235</v>
      </c>
      <c r="IY463">
        <v>2.17651</v>
      </c>
      <c r="IZ463">
        <v>1.39648</v>
      </c>
      <c r="JA463">
        <v>2.35474</v>
      </c>
      <c r="JB463">
        <v>1.49536</v>
      </c>
      <c r="JC463">
        <v>2.36694</v>
      </c>
      <c r="JD463">
        <v>38.0377</v>
      </c>
      <c r="JE463">
        <v>24.0437</v>
      </c>
      <c r="JF463">
        <v>18</v>
      </c>
      <c r="JG463">
        <v>511.685</v>
      </c>
      <c r="JH463">
        <v>428.713</v>
      </c>
      <c r="JI463">
        <v>23.0693</v>
      </c>
      <c r="JJ463">
        <v>27.8166</v>
      </c>
      <c r="JK463">
        <v>30</v>
      </c>
      <c r="JL463">
        <v>27.8218</v>
      </c>
      <c r="JM463">
        <v>27.7644</v>
      </c>
      <c r="JN463">
        <v>53.3044</v>
      </c>
      <c r="JO463">
        <v>41.763</v>
      </c>
      <c r="JP463">
        <v>0</v>
      </c>
      <c r="JQ463">
        <v>23.0468</v>
      </c>
      <c r="JR463">
        <v>1362.84</v>
      </c>
      <c r="JS463">
        <v>10.0674</v>
      </c>
      <c r="JT463">
        <v>100.429</v>
      </c>
      <c r="JU463">
        <v>100.36</v>
      </c>
    </row>
    <row r="464" spans="1:281">
      <c r="A464">
        <v>448</v>
      </c>
      <c r="B464">
        <v>1651866659</v>
      </c>
      <c r="C464">
        <v>2438.400000095367</v>
      </c>
      <c r="D464" t="s">
        <v>1319</v>
      </c>
      <c r="E464" t="s">
        <v>1320</v>
      </c>
      <c r="F464">
        <v>2</v>
      </c>
      <c r="G464" t="s">
        <v>908</v>
      </c>
      <c r="H464" t="s">
        <v>414</v>
      </c>
      <c r="I464">
        <v>1651866658</v>
      </c>
      <c r="J464">
        <f>(K464)/1000</f>
        <v>0</v>
      </c>
      <c r="K464">
        <f>IF(CZ464, AN464, AH464)</f>
        <v>0</v>
      </c>
      <c r="L464">
        <f>IF(CZ464, AI464, AG464)</f>
        <v>0</v>
      </c>
      <c r="M464">
        <f>DB464 - IF(AU464&gt;1, L464*CV464*100.0/(AW464*DP464), 0)</f>
        <v>0</v>
      </c>
      <c r="N464">
        <f>((T464-J464/2)*M464-L464)/(T464+J464/2)</f>
        <v>0</v>
      </c>
      <c r="O464">
        <f>N464*(DI464+DJ464)/1000.0</f>
        <v>0</v>
      </c>
      <c r="P464">
        <f>(DB464 - IF(AU464&gt;1, L464*CV464*100.0/(AW464*DP464), 0))*(DI464+DJ464)/1000.0</f>
        <v>0</v>
      </c>
      <c r="Q464">
        <f>2.0/((1/S464-1/R464)+SIGN(S464)*SQRT((1/S464-1/R464)*(1/S464-1/R464) + 4*CW464/((CW464+1)*(CW464+1))*(2*1/S464*1/R464-1/R464*1/R464)))</f>
        <v>0</v>
      </c>
      <c r="R464">
        <f>IF(LEFT(CX464,1)&lt;&gt;"0",IF(LEFT(CX464,1)="1",3.0,CY464),$D$5+$E$5*(DP464*DI464/($K$5*1000))+$F$5*(DP464*DI464/($K$5*1000))*MAX(MIN(CV464,$J$5),$I$5)*MAX(MIN(CV464,$J$5),$I$5)+$G$5*MAX(MIN(CV464,$J$5),$I$5)*(DP464*DI464/($K$5*1000))+$H$5*(DP464*DI464/($K$5*1000))*(DP464*DI464/($K$5*1000)))</f>
        <v>0</v>
      </c>
      <c r="S464">
        <f>J464*(1000-(1000*0.61365*exp(17.502*W464/(240.97+W464))/(DI464+DJ464)+DD464)/2)/(1000*0.61365*exp(17.502*W464/(240.97+W464))/(DI464+DJ464)-DD464)</f>
        <v>0</v>
      </c>
      <c r="T464">
        <f>1/((CW464+1)/(Q464/1.6)+1/(R464/1.37)) + CW464/((CW464+1)/(Q464/1.6) + CW464/(R464/1.37))</f>
        <v>0</v>
      </c>
      <c r="U464">
        <f>(CR464*CU464)</f>
        <v>0</v>
      </c>
      <c r="V464">
        <f>(DK464+(U464+2*0.95*5.67E-8*(((DK464+$B$7)+273)^4-(DK464+273)^4)-44100*J464)/(1.84*29.3*R464+8*0.95*5.67E-8*(DK464+273)^3))</f>
        <v>0</v>
      </c>
      <c r="W464">
        <f>($C$7*DL464+$D$7*DM464+$E$7*V464)</f>
        <v>0</v>
      </c>
      <c r="X464">
        <f>0.61365*exp(17.502*W464/(240.97+W464))</f>
        <v>0</v>
      </c>
      <c r="Y464">
        <f>(Z464/AA464*100)</f>
        <v>0</v>
      </c>
      <c r="Z464">
        <f>DD464*(DI464+DJ464)/1000</f>
        <v>0</v>
      </c>
      <c r="AA464">
        <f>0.61365*exp(17.502*DK464/(240.97+DK464))</f>
        <v>0</v>
      </c>
      <c r="AB464">
        <f>(X464-DD464*(DI464+DJ464)/1000)</f>
        <v>0</v>
      </c>
      <c r="AC464">
        <f>(-J464*44100)</f>
        <v>0</v>
      </c>
      <c r="AD464">
        <f>2*29.3*R464*0.92*(DK464-W464)</f>
        <v>0</v>
      </c>
      <c r="AE464">
        <f>2*0.95*5.67E-8*(((DK464+$B$7)+273)^4-(W464+273)^4)</f>
        <v>0</v>
      </c>
      <c r="AF464">
        <f>U464+AE464+AC464+AD464</f>
        <v>0</v>
      </c>
      <c r="AG464">
        <f>DH464*AU464*(DC464-DB464*(1000-AU464*DE464)/(1000-AU464*DD464))/(100*CV464)</f>
        <v>0</v>
      </c>
      <c r="AH464">
        <f>1000*DH464*AU464*(DD464-DE464)/(100*CV464*(1000-AU464*DD464))</f>
        <v>0</v>
      </c>
      <c r="AI464">
        <f>(AJ464 - AK464 - DI464*1E3/(8.314*(DK464+273.15)) * AM464/DH464 * AL464) * DH464/(100*CV464) * (1000 - DE464)/1000</f>
        <v>0</v>
      </c>
      <c r="AJ464">
        <v>1353.626088864034</v>
      </c>
      <c r="AK464">
        <v>1305.552787878787</v>
      </c>
      <c r="AL464">
        <v>3.380975812556742</v>
      </c>
      <c r="AM464">
        <v>66.38195617057868</v>
      </c>
      <c r="AN464">
        <f>(AP464 - AO464 + DI464*1E3/(8.314*(DK464+273.15)) * AR464/DH464 * AQ464) * DH464/(100*CV464) * 1000/(1000 - AP464)</f>
        <v>0</v>
      </c>
      <c r="AO464">
        <v>9.837799431337126</v>
      </c>
      <c r="AP464">
        <v>18.34492382352941</v>
      </c>
      <c r="AQ464">
        <v>-0.0005672714229343519</v>
      </c>
      <c r="AR464">
        <v>80.47178418790507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MAX(0,($B$13+$C$13*DP464)/(1+$D$13*DP464)*DI464/(DK464+273)*$E$13)</f>
        <v>0</v>
      </c>
      <c r="AX464" t="s">
        <v>417</v>
      </c>
      <c r="AY464" t="s">
        <v>417</v>
      </c>
      <c r="AZ464">
        <v>0</v>
      </c>
      <c r="BA464">
        <v>0</v>
      </c>
      <c r="BB464">
        <f>1-AZ464/BA464</f>
        <v>0</v>
      </c>
      <c r="BC464">
        <v>0</v>
      </c>
      <c r="BD464" t="s">
        <v>417</v>
      </c>
      <c r="BE464" t="s">
        <v>417</v>
      </c>
      <c r="BF464">
        <v>0</v>
      </c>
      <c r="BG464">
        <v>0</v>
      </c>
      <c r="BH464">
        <f>1-BF464/BG464</f>
        <v>0</v>
      </c>
      <c r="BI464">
        <v>0.5</v>
      </c>
      <c r="BJ464">
        <f>CS464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417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BZ464">
        <v>1249</v>
      </c>
      <c r="CA464">
        <v>300</v>
      </c>
      <c r="CB464">
        <v>300</v>
      </c>
      <c r="CC464">
        <v>300</v>
      </c>
      <c r="CD464">
        <v>10442.4</v>
      </c>
      <c r="CE464">
        <v>1239.69</v>
      </c>
      <c r="CF464">
        <v>-0.00735276</v>
      </c>
      <c r="CG464">
        <v>0.07000000000000001</v>
      </c>
      <c r="CH464" t="s">
        <v>417</v>
      </c>
      <c r="CI464" t="s">
        <v>417</v>
      </c>
      <c r="CJ464" t="s">
        <v>417</v>
      </c>
      <c r="CK464" t="s">
        <v>417</v>
      </c>
      <c r="CL464" t="s">
        <v>417</v>
      </c>
      <c r="CM464" t="s">
        <v>417</v>
      </c>
      <c r="CN464" t="s">
        <v>417</v>
      </c>
      <c r="CO464" t="s">
        <v>417</v>
      </c>
      <c r="CP464" t="s">
        <v>417</v>
      </c>
      <c r="CQ464" t="s">
        <v>417</v>
      </c>
      <c r="CR464">
        <f>$B$11*DQ464+$C$11*DR464+$F$11*EC464*(1-EF464)</f>
        <v>0</v>
      </c>
      <c r="CS464">
        <f>CR464*CT464</f>
        <v>0</v>
      </c>
      <c r="CT464">
        <f>($B$11*$D$9+$C$11*$D$9+$F$11*((EP464+EH464)/MAX(EP464+EH464+EQ464, 0.1)*$I$9+EQ464/MAX(EP464+EH464+EQ464, 0.1)*$J$9))/($B$11+$C$11+$F$11)</f>
        <v>0</v>
      </c>
      <c r="CU464">
        <f>($B$11*$K$9+$C$11*$K$9+$F$11*((EP464+EH464)/MAX(EP464+EH464+EQ464, 0.1)*$P$9+EQ464/MAX(EP464+EH464+EQ464, 0.1)*$Q$9))/($B$11+$C$11+$F$11)</f>
        <v>0</v>
      </c>
      <c r="CV464">
        <v>6</v>
      </c>
      <c r="CW464">
        <v>0.5</v>
      </c>
      <c r="CX464" t="s">
        <v>418</v>
      </c>
      <c r="CY464">
        <v>2</v>
      </c>
      <c r="CZ464" t="b">
        <v>1</v>
      </c>
      <c r="DA464">
        <v>1651866658</v>
      </c>
      <c r="DB464">
        <v>1279.923333333333</v>
      </c>
      <c r="DC464">
        <v>1346.486666666667</v>
      </c>
      <c r="DD464">
        <v>18.349</v>
      </c>
      <c r="DE464">
        <v>9.902236666666667</v>
      </c>
      <c r="DF464">
        <v>1282.383333333333</v>
      </c>
      <c r="DG464">
        <v>18.32846666666667</v>
      </c>
      <c r="DH464">
        <v>499.9843333333333</v>
      </c>
      <c r="DI464">
        <v>89.91066666666666</v>
      </c>
      <c r="DJ464">
        <v>0.09982966666666666</v>
      </c>
      <c r="DK464">
        <v>25.92436666666667</v>
      </c>
      <c r="DL464">
        <v>25.02966666666667</v>
      </c>
      <c r="DM464">
        <v>999.9</v>
      </c>
      <c r="DN464">
        <v>0</v>
      </c>
      <c r="DO464">
        <v>0</v>
      </c>
      <c r="DP464">
        <v>10012.5</v>
      </c>
      <c r="DQ464">
        <v>0</v>
      </c>
      <c r="DR464">
        <v>3.20383</v>
      </c>
      <c r="DS464">
        <v>-66.56393333333334</v>
      </c>
      <c r="DT464">
        <v>1303.846666666667</v>
      </c>
      <c r="DU464">
        <v>1359.953333333334</v>
      </c>
      <c r="DV464">
        <v>8.446756666666667</v>
      </c>
      <c r="DW464">
        <v>1346.486666666667</v>
      </c>
      <c r="DX464">
        <v>9.902236666666667</v>
      </c>
      <c r="DY464">
        <v>1.64977</v>
      </c>
      <c r="DZ464">
        <v>0.8903166666666666</v>
      </c>
      <c r="EA464">
        <v>14.4317</v>
      </c>
      <c r="EB464">
        <v>5.23516</v>
      </c>
      <c r="EC464">
        <v>1499.926666666667</v>
      </c>
      <c r="ED464">
        <v>0.973002</v>
      </c>
      <c r="EE464">
        <v>0.02699806666666666</v>
      </c>
      <c r="EF464">
        <v>0</v>
      </c>
      <c r="EG464">
        <v>893.252</v>
      </c>
      <c r="EH464">
        <v>5.00097</v>
      </c>
      <c r="EI464">
        <v>13282.16666666667</v>
      </c>
      <c r="EJ464">
        <v>12491</v>
      </c>
      <c r="EK464">
        <v>37.562</v>
      </c>
      <c r="EL464">
        <v>38.875</v>
      </c>
      <c r="EM464">
        <v>38</v>
      </c>
      <c r="EN464">
        <v>38.5</v>
      </c>
      <c r="EO464">
        <v>38.437</v>
      </c>
      <c r="EP464">
        <v>1454.566666666667</v>
      </c>
      <c r="EQ464">
        <v>40.36000000000001</v>
      </c>
      <c r="ER464">
        <v>0</v>
      </c>
      <c r="ES464">
        <v>1176.200000047684</v>
      </c>
      <c r="ET464">
        <v>0</v>
      </c>
      <c r="EU464">
        <v>894.59612</v>
      </c>
      <c r="EV464">
        <v>-12.41092307040833</v>
      </c>
      <c r="EW464">
        <v>-184.5230765999448</v>
      </c>
      <c r="EX464">
        <v>13302.48</v>
      </c>
      <c r="EY464">
        <v>15</v>
      </c>
      <c r="EZ464">
        <v>1651865518.1</v>
      </c>
      <c r="FA464" t="s">
        <v>910</v>
      </c>
      <c r="FB464">
        <v>1651865507.1</v>
      </c>
      <c r="FC464">
        <v>1651865518.1</v>
      </c>
      <c r="FD464">
        <v>8</v>
      </c>
      <c r="FE464">
        <v>0.06</v>
      </c>
      <c r="FF464">
        <v>0</v>
      </c>
      <c r="FG464">
        <v>-0.927</v>
      </c>
      <c r="FH464">
        <v>-0.062</v>
      </c>
      <c r="FI464">
        <v>400</v>
      </c>
      <c r="FJ464">
        <v>11</v>
      </c>
      <c r="FK464">
        <v>0.11</v>
      </c>
      <c r="FL464">
        <v>0.01</v>
      </c>
      <c r="FM464">
        <v>-65.70750975609756</v>
      </c>
      <c r="FN464">
        <v>-4.985627874564636</v>
      </c>
      <c r="FO464">
        <v>0.5143771174237924</v>
      </c>
      <c r="FP464">
        <v>-1</v>
      </c>
      <c r="FQ464">
        <v>8.665493902439025</v>
      </c>
      <c r="FR464">
        <v>-1.368526620209064</v>
      </c>
      <c r="FS464">
        <v>0.1351288858628202</v>
      </c>
      <c r="FT464">
        <v>-1</v>
      </c>
      <c r="FU464">
        <v>0</v>
      </c>
      <c r="FV464">
        <v>0</v>
      </c>
      <c r="FW464">
        <v>0</v>
      </c>
      <c r="FX464">
        <v>-1</v>
      </c>
      <c r="FY464">
        <v>0</v>
      </c>
      <c r="FZ464">
        <v>0</v>
      </c>
      <c r="GA464" t="s">
        <v>420</v>
      </c>
      <c r="GB464">
        <v>2.98148</v>
      </c>
      <c r="GC464">
        <v>2.7062</v>
      </c>
      <c r="GD464">
        <v>0.200526</v>
      </c>
      <c r="GE464">
        <v>0.204501</v>
      </c>
      <c r="GF464">
        <v>0.0877873</v>
      </c>
      <c r="GG464">
        <v>0.0551174</v>
      </c>
      <c r="GH464">
        <v>25266.1</v>
      </c>
      <c r="GI464">
        <v>25194.6</v>
      </c>
      <c r="GJ464">
        <v>29380.8</v>
      </c>
      <c r="GK464">
        <v>29295.6</v>
      </c>
      <c r="GL464">
        <v>35488.8</v>
      </c>
      <c r="GM464">
        <v>36875.6</v>
      </c>
      <c r="GN464">
        <v>41354.1</v>
      </c>
      <c r="GO464">
        <v>41816.8</v>
      </c>
      <c r="GP464">
        <v>1.96693</v>
      </c>
      <c r="GQ464">
        <v>1.85982</v>
      </c>
      <c r="GR464">
        <v>-0.00216067</v>
      </c>
      <c r="GS464">
        <v>0</v>
      </c>
      <c r="GT464">
        <v>25.0636</v>
      </c>
      <c r="GU464">
        <v>999.9</v>
      </c>
      <c r="GV464">
        <v>29.3</v>
      </c>
      <c r="GW464">
        <v>34.2</v>
      </c>
      <c r="GX464">
        <v>17.6072</v>
      </c>
      <c r="GY464">
        <v>62.4576</v>
      </c>
      <c r="GZ464">
        <v>35.1843</v>
      </c>
      <c r="HA464">
        <v>1</v>
      </c>
      <c r="HB464">
        <v>0.0387703</v>
      </c>
      <c r="HC464">
        <v>1.72278</v>
      </c>
      <c r="HD464">
        <v>20.3258</v>
      </c>
      <c r="HE464">
        <v>5.21834</v>
      </c>
      <c r="HF464">
        <v>12.0099</v>
      </c>
      <c r="HG464">
        <v>4.9891</v>
      </c>
      <c r="HH464">
        <v>3.28858</v>
      </c>
      <c r="HI464">
        <v>1037.5</v>
      </c>
      <c r="HJ464">
        <v>9775.799999999999</v>
      </c>
      <c r="HK464">
        <v>5139.4</v>
      </c>
      <c r="HL464">
        <v>25.4</v>
      </c>
      <c r="HM464">
        <v>1.86746</v>
      </c>
      <c r="HN464">
        <v>1.86646</v>
      </c>
      <c r="HO464">
        <v>1.866</v>
      </c>
      <c r="HP464">
        <v>1.86585</v>
      </c>
      <c r="HQ464">
        <v>1.86768</v>
      </c>
      <c r="HR464">
        <v>1.87022</v>
      </c>
      <c r="HS464">
        <v>1.8689</v>
      </c>
      <c r="HT464">
        <v>1.87021</v>
      </c>
      <c r="HU464">
        <v>0</v>
      </c>
      <c r="HV464">
        <v>0</v>
      </c>
      <c r="HW464">
        <v>0</v>
      </c>
      <c r="HX464">
        <v>0</v>
      </c>
      <c r="HY464" t="s">
        <v>421</v>
      </c>
      <c r="HZ464" t="s">
        <v>422</v>
      </c>
      <c r="IA464" t="s">
        <v>423</v>
      </c>
      <c r="IB464" t="s">
        <v>423</v>
      </c>
      <c r="IC464" t="s">
        <v>423</v>
      </c>
      <c r="ID464" t="s">
        <v>423</v>
      </c>
      <c r="IE464">
        <v>0</v>
      </c>
      <c r="IF464">
        <v>100</v>
      </c>
      <c r="IG464">
        <v>100</v>
      </c>
      <c r="IH464">
        <v>-2.47</v>
      </c>
      <c r="II464">
        <v>0.0205</v>
      </c>
      <c r="IJ464">
        <v>-0.1559367209035702</v>
      </c>
      <c r="IK464">
        <v>-0.002077099775823331</v>
      </c>
      <c r="IL464">
        <v>4.593143279902166E-07</v>
      </c>
      <c r="IM464">
        <v>-1.865383991892071E-10</v>
      </c>
      <c r="IN464">
        <v>-0.0607165066849496</v>
      </c>
      <c r="IO464">
        <v>-0.01129461987421345</v>
      </c>
      <c r="IP464">
        <v>0.00116580895745559</v>
      </c>
      <c r="IQ464">
        <v>-1.679085872906199E-05</v>
      </c>
      <c r="IR464">
        <v>2</v>
      </c>
      <c r="IS464">
        <v>2290</v>
      </c>
      <c r="IT464">
        <v>0</v>
      </c>
      <c r="IU464">
        <v>32</v>
      </c>
      <c r="IV464">
        <v>19.2</v>
      </c>
      <c r="IW464">
        <v>19</v>
      </c>
      <c r="IX464">
        <v>2.67334</v>
      </c>
      <c r="IY464">
        <v>2.17896</v>
      </c>
      <c r="IZ464">
        <v>1.39648</v>
      </c>
      <c r="JA464">
        <v>2.35474</v>
      </c>
      <c r="JB464">
        <v>1.49536</v>
      </c>
      <c r="JC464">
        <v>2.34375</v>
      </c>
      <c r="JD464">
        <v>38.0377</v>
      </c>
      <c r="JE464">
        <v>24.035</v>
      </c>
      <c r="JF464">
        <v>18</v>
      </c>
      <c r="JG464">
        <v>511.593</v>
      </c>
      <c r="JH464">
        <v>428.771</v>
      </c>
      <c r="JI464">
        <v>23.0562</v>
      </c>
      <c r="JJ464">
        <v>27.816</v>
      </c>
      <c r="JK464">
        <v>30.0001</v>
      </c>
      <c r="JL464">
        <v>27.8206</v>
      </c>
      <c r="JM464">
        <v>27.7643</v>
      </c>
      <c r="JN464">
        <v>53.523</v>
      </c>
      <c r="JO464">
        <v>41.4851</v>
      </c>
      <c r="JP464">
        <v>0</v>
      </c>
      <c r="JQ464">
        <v>23.0468</v>
      </c>
      <c r="JR464">
        <v>1369.75</v>
      </c>
      <c r="JS464">
        <v>10.1063</v>
      </c>
      <c r="JT464">
        <v>100.429</v>
      </c>
      <c r="JU464">
        <v>100.36</v>
      </c>
    </row>
    <row r="465" spans="1:281">
      <c r="A465">
        <v>449</v>
      </c>
      <c r="B465">
        <v>1651866661</v>
      </c>
      <c r="C465">
        <v>2440.400000095367</v>
      </c>
      <c r="D465" t="s">
        <v>1321</v>
      </c>
      <c r="E465" t="s">
        <v>1322</v>
      </c>
      <c r="F465">
        <v>2</v>
      </c>
      <c r="G465" t="s">
        <v>908</v>
      </c>
      <c r="H465" t="s">
        <v>414</v>
      </c>
      <c r="I465">
        <v>1651866659.625</v>
      </c>
      <c r="J465">
        <f>(K465)/1000</f>
        <v>0</v>
      </c>
      <c r="K465">
        <f>IF(CZ465, AN465, AH465)</f>
        <v>0</v>
      </c>
      <c r="L465">
        <f>IF(CZ465, AI465, AG465)</f>
        <v>0</v>
      </c>
      <c r="M465">
        <f>DB465 - IF(AU465&gt;1, L465*CV465*100.0/(AW465*DP465), 0)</f>
        <v>0</v>
      </c>
      <c r="N465">
        <f>((T465-J465/2)*M465-L465)/(T465+J465/2)</f>
        <v>0</v>
      </c>
      <c r="O465">
        <f>N465*(DI465+DJ465)/1000.0</f>
        <v>0</v>
      </c>
      <c r="P465">
        <f>(DB465 - IF(AU465&gt;1, L465*CV465*100.0/(AW465*DP465), 0))*(DI465+DJ465)/1000.0</f>
        <v>0</v>
      </c>
      <c r="Q465">
        <f>2.0/((1/S465-1/R465)+SIGN(S465)*SQRT((1/S465-1/R465)*(1/S465-1/R465) + 4*CW465/((CW465+1)*(CW465+1))*(2*1/S465*1/R465-1/R465*1/R465)))</f>
        <v>0</v>
      </c>
      <c r="R465">
        <f>IF(LEFT(CX465,1)&lt;&gt;"0",IF(LEFT(CX465,1)="1",3.0,CY465),$D$5+$E$5*(DP465*DI465/($K$5*1000))+$F$5*(DP465*DI465/($K$5*1000))*MAX(MIN(CV465,$J$5),$I$5)*MAX(MIN(CV465,$J$5),$I$5)+$G$5*MAX(MIN(CV465,$J$5),$I$5)*(DP465*DI465/($K$5*1000))+$H$5*(DP465*DI465/($K$5*1000))*(DP465*DI465/($K$5*1000)))</f>
        <v>0</v>
      </c>
      <c r="S465">
        <f>J465*(1000-(1000*0.61365*exp(17.502*W465/(240.97+W465))/(DI465+DJ465)+DD465)/2)/(1000*0.61365*exp(17.502*W465/(240.97+W465))/(DI465+DJ465)-DD465)</f>
        <v>0</v>
      </c>
      <c r="T465">
        <f>1/((CW465+1)/(Q465/1.6)+1/(R465/1.37)) + CW465/((CW465+1)/(Q465/1.6) + CW465/(R465/1.37))</f>
        <v>0</v>
      </c>
      <c r="U465">
        <f>(CR465*CU465)</f>
        <v>0</v>
      </c>
      <c r="V465">
        <f>(DK465+(U465+2*0.95*5.67E-8*(((DK465+$B$7)+273)^4-(DK465+273)^4)-44100*J465)/(1.84*29.3*R465+8*0.95*5.67E-8*(DK465+273)^3))</f>
        <v>0</v>
      </c>
      <c r="W465">
        <f>($C$7*DL465+$D$7*DM465+$E$7*V465)</f>
        <v>0</v>
      </c>
      <c r="X465">
        <f>0.61365*exp(17.502*W465/(240.97+W465))</f>
        <v>0</v>
      </c>
      <c r="Y465">
        <f>(Z465/AA465*100)</f>
        <v>0</v>
      </c>
      <c r="Z465">
        <f>DD465*(DI465+DJ465)/1000</f>
        <v>0</v>
      </c>
      <c r="AA465">
        <f>0.61365*exp(17.502*DK465/(240.97+DK465))</f>
        <v>0</v>
      </c>
      <c r="AB465">
        <f>(X465-DD465*(DI465+DJ465)/1000)</f>
        <v>0</v>
      </c>
      <c r="AC465">
        <f>(-J465*44100)</f>
        <v>0</v>
      </c>
      <c r="AD465">
        <f>2*29.3*R465*0.92*(DK465-W465)</f>
        <v>0</v>
      </c>
      <c r="AE465">
        <f>2*0.95*5.67E-8*(((DK465+$B$7)+273)^4-(W465+273)^4)</f>
        <v>0</v>
      </c>
      <c r="AF465">
        <f>U465+AE465+AC465+AD465</f>
        <v>0</v>
      </c>
      <c r="AG465">
        <f>DH465*AU465*(DC465-DB465*(1000-AU465*DE465)/(1000-AU465*DD465))/(100*CV465)</f>
        <v>0</v>
      </c>
      <c r="AH465">
        <f>1000*DH465*AU465*(DD465-DE465)/(100*CV465*(1000-AU465*DD465))</f>
        <v>0</v>
      </c>
      <c r="AI465">
        <f>(AJ465 - AK465 - DI465*1E3/(8.314*(DK465+273.15)) * AM465/DH465 * AL465) * DH465/(100*CV465) * (1000 - DE465)/1000</f>
        <v>0</v>
      </c>
      <c r="AJ465">
        <v>1360.716578074015</v>
      </c>
      <c r="AK465">
        <v>1312.413454545454</v>
      </c>
      <c r="AL465">
        <v>3.418306633678079</v>
      </c>
      <c r="AM465">
        <v>66.38195617057868</v>
      </c>
      <c r="AN465">
        <f>(AP465 - AO465 + DI465*1E3/(8.314*(DK465+273.15)) * AR465/DH465 * AQ465) * DH465/(100*CV465) * 1000/(1000 - AP465)</f>
        <v>0</v>
      </c>
      <c r="AO465">
        <v>9.871146856893597</v>
      </c>
      <c r="AP465">
        <v>18.3360038235294</v>
      </c>
      <c r="AQ465">
        <v>-0.005763845626966304</v>
      </c>
      <c r="AR465">
        <v>80.47178418790507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MAX(0,($B$13+$C$13*DP465)/(1+$D$13*DP465)*DI465/(DK465+273)*$E$13)</f>
        <v>0</v>
      </c>
      <c r="AX465" t="s">
        <v>417</v>
      </c>
      <c r="AY465" t="s">
        <v>417</v>
      </c>
      <c r="AZ465">
        <v>0</v>
      </c>
      <c r="BA465">
        <v>0</v>
      </c>
      <c r="BB465">
        <f>1-AZ465/BA465</f>
        <v>0</v>
      </c>
      <c r="BC465">
        <v>0</v>
      </c>
      <c r="BD465" t="s">
        <v>417</v>
      </c>
      <c r="BE465" t="s">
        <v>417</v>
      </c>
      <c r="BF465">
        <v>0</v>
      </c>
      <c r="BG465">
        <v>0</v>
      </c>
      <c r="BH465">
        <f>1-BF465/BG465</f>
        <v>0</v>
      </c>
      <c r="BI465">
        <v>0.5</v>
      </c>
      <c r="BJ465">
        <f>CS465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417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BZ465">
        <v>1249</v>
      </c>
      <c r="CA465">
        <v>300</v>
      </c>
      <c r="CB465">
        <v>300</v>
      </c>
      <c r="CC465">
        <v>300</v>
      </c>
      <c r="CD465">
        <v>10442.4</v>
      </c>
      <c r="CE465">
        <v>1239.69</v>
      </c>
      <c r="CF465">
        <v>-0.00735276</v>
      </c>
      <c r="CG465">
        <v>0.07000000000000001</v>
      </c>
      <c r="CH465" t="s">
        <v>417</v>
      </c>
      <c r="CI465" t="s">
        <v>417</v>
      </c>
      <c r="CJ465" t="s">
        <v>417</v>
      </c>
      <c r="CK465" t="s">
        <v>417</v>
      </c>
      <c r="CL465" t="s">
        <v>417</v>
      </c>
      <c r="CM465" t="s">
        <v>417</v>
      </c>
      <c r="CN465" t="s">
        <v>417</v>
      </c>
      <c r="CO465" t="s">
        <v>417</v>
      </c>
      <c r="CP465" t="s">
        <v>417</v>
      </c>
      <c r="CQ465" t="s">
        <v>417</v>
      </c>
      <c r="CR465">
        <f>$B$11*DQ465+$C$11*DR465+$F$11*EC465*(1-EF465)</f>
        <v>0</v>
      </c>
      <c r="CS465">
        <f>CR465*CT465</f>
        <v>0</v>
      </c>
      <c r="CT465">
        <f>($B$11*$D$9+$C$11*$D$9+$F$11*((EP465+EH465)/MAX(EP465+EH465+EQ465, 0.1)*$I$9+EQ465/MAX(EP465+EH465+EQ465, 0.1)*$J$9))/($B$11+$C$11+$F$11)</f>
        <v>0</v>
      </c>
      <c r="CU465">
        <f>($B$11*$K$9+$C$11*$K$9+$F$11*((EP465+EH465)/MAX(EP465+EH465+EQ465, 0.1)*$P$9+EQ465/MAX(EP465+EH465+EQ465, 0.1)*$Q$9))/($B$11+$C$11+$F$11)</f>
        <v>0</v>
      </c>
      <c r="CV465">
        <v>6</v>
      </c>
      <c r="CW465">
        <v>0.5</v>
      </c>
      <c r="CX465" t="s">
        <v>418</v>
      </c>
      <c r="CY465">
        <v>2</v>
      </c>
      <c r="CZ465" t="b">
        <v>1</v>
      </c>
      <c r="DA465">
        <v>1651866659.625</v>
      </c>
      <c r="DB465">
        <v>1285.3975</v>
      </c>
      <c r="DC465">
        <v>1351.8925</v>
      </c>
      <c r="DD465">
        <v>18.3408</v>
      </c>
      <c r="DE465">
        <v>9.9387425</v>
      </c>
      <c r="DF465">
        <v>1287.865</v>
      </c>
      <c r="DG465">
        <v>18.3204</v>
      </c>
      <c r="DH465">
        <v>500.024</v>
      </c>
      <c r="DI465">
        <v>89.91200000000001</v>
      </c>
      <c r="DJ465">
        <v>0.09989035</v>
      </c>
      <c r="DK465">
        <v>25.92385</v>
      </c>
      <c r="DL465">
        <v>25.0301</v>
      </c>
      <c r="DM465">
        <v>999.9</v>
      </c>
      <c r="DN465">
        <v>0</v>
      </c>
      <c r="DO465">
        <v>0</v>
      </c>
      <c r="DP465">
        <v>10016.25</v>
      </c>
      <c r="DQ465">
        <v>0</v>
      </c>
      <c r="DR465">
        <v>3.20383</v>
      </c>
      <c r="DS465">
        <v>-66.49515</v>
      </c>
      <c r="DT465">
        <v>1309.415</v>
      </c>
      <c r="DU465">
        <v>1365.465</v>
      </c>
      <c r="DV465">
        <v>8.402050000000001</v>
      </c>
      <c r="DW465">
        <v>1351.8925</v>
      </c>
      <c r="DX465">
        <v>9.9387425</v>
      </c>
      <c r="DY465">
        <v>1.64906</v>
      </c>
      <c r="DZ465">
        <v>0.89361225</v>
      </c>
      <c r="EA465">
        <v>14.425025</v>
      </c>
      <c r="EB465">
        <v>5.2882625</v>
      </c>
      <c r="EC465">
        <v>1500.055</v>
      </c>
      <c r="ED465">
        <v>0.9729995</v>
      </c>
      <c r="EE465">
        <v>0.027000425</v>
      </c>
      <c r="EF465">
        <v>0</v>
      </c>
      <c r="EG465">
        <v>893.1089999999999</v>
      </c>
      <c r="EH465">
        <v>5.00097</v>
      </c>
      <c r="EI465">
        <v>13278.4</v>
      </c>
      <c r="EJ465">
        <v>12492.05</v>
      </c>
      <c r="EK465">
        <v>37.562</v>
      </c>
      <c r="EL465">
        <v>38.875</v>
      </c>
      <c r="EM465">
        <v>37.95274999999999</v>
      </c>
      <c r="EN465">
        <v>38.5</v>
      </c>
      <c r="EO465">
        <v>38.437</v>
      </c>
      <c r="EP465">
        <v>1454.6875</v>
      </c>
      <c r="EQ465">
        <v>40.3675</v>
      </c>
      <c r="ER465">
        <v>0</v>
      </c>
      <c r="ES465">
        <v>1178.600000143051</v>
      </c>
      <c r="ET465">
        <v>0</v>
      </c>
      <c r="EU465">
        <v>894.1137199999998</v>
      </c>
      <c r="EV465">
        <v>-12.36530769531078</v>
      </c>
      <c r="EW465">
        <v>-181.7615382274751</v>
      </c>
      <c r="EX465">
        <v>13295.184</v>
      </c>
      <c r="EY465">
        <v>15</v>
      </c>
      <c r="EZ465">
        <v>1651865518.1</v>
      </c>
      <c r="FA465" t="s">
        <v>910</v>
      </c>
      <c r="FB465">
        <v>1651865507.1</v>
      </c>
      <c r="FC465">
        <v>1651865518.1</v>
      </c>
      <c r="FD465">
        <v>8</v>
      </c>
      <c r="FE465">
        <v>0.06</v>
      </c>
      <c r="FF465">
        <v>0</v>
      </c>
      <c r="FG465">
        <v>-0.927</v>
      </c>
      <c r="FH465">
        <v>-0.062</v>
      </c>
      <c r="FI465">
        <v>400</v>
      </c>
      <c r="FJ465">
        <v>11</v>
      </c>
      <c r="FK465">
        <v>0.11</v>
      </c>
      <c r="FL465">
        <v>0.01</v>
      </c>
      <c r="FM465">
        <v>-65.83928</v>
      </c>
      <c r="FN465">
        <v>-4.832379737335756</v>
      </c>
      <c r="FO465">
        <v>0.4891449290343312</v>
      </c>
      <c r="FP465">
        <v>-1</v>
      </c>
      <c r="FQ465">
        <v>8.62472575</v>
      </c>
      <c r="FR465">
        <v>-1.381669305816169</v>
      </c>
      <c r="FS465">
        <v>0.1331241426993522</v>
      </c>
      <c r="FT465">
        <v>-1</v>
      </c>
      <c r="FU465">
        <v>0</v>
      </c>
      <c r="FV465">
        <v>0</v>
      </c>
      <c r="FW465">
        <v>0</v>
      </c>
      <c r="FX465">
        <v>-1</v>
      </c>
      <c r="FY465">
        <v>0</v>
      </c>
      <c r="FZ465">
        <v>0</v>
      </c>
      <c r="GA465" t="s">
        <v>420</v>
      </c>
      <c r="GB465">
        <v>2.98156</v>
      </c>
      <c r="GC465">
        <v>2.70629</v>
      </c>
      <c r="GD465">
        <v>0.201176</v>
      </c>
      <c r="GE465">
        <v>0.205133</v>
      </c>
      <c r="GF465">
        <v>0.08776589999999999</v>
      </c>
      <c r="GG465">
        <v>0.0552876</v>
      </c>
      <c r="GH465">
        <v>25245.6</v>
      </c>
      <c r="GI465">
        <v>25174.7</v>
      </c>
      <c r="GJ465">
        <v>29380.8</v>
      </c>
      <c r="GK465">
        <v>29295.7</v>
      </c>
      <c r="GL465">
        <v>35489.8</v>
      </c>
      <c r="GM465">
        <v>36869.1</v>
      </c>
      <c r="GN465">
        <v>41354.3</v>
      </c>
      <c r="GO465">
        <v>41816.9</v>
      </c>
      <c r="GP465">
        <v>1.96672</v>
      </c>
      <c r="GQ465">
        <v>1.85982</v>
      </c>
      <c r="GR465">
        <v>-0.00204891</v>
      </c>
      <c r="GS465">
        <v>0</v>
      </c>
      <c r="GT465">
        <v>25.0636</v>
      </c>
      <c r="GU465">
        <v>999.9</v>
      </c>
      <c r="GV465">
        <v>29.3</v>
      </c>
      <c r="GW465">
        <v>34.2</v>
      </c>
      <c r="GX465">
        <v>17.6065</v>
      </c>
      <c r="GY465">
        <v>62.4976</v>
      </c>
      <c r="GZ465">
        <v>35.0401</v>
      </c>
      <c r="HA465">
        <v>1</v>
      </c>
      <c r="HB465">
        <v>0.0389507</v>
      </c>
      <c r="HC465">
        <v>1.70658</v>
      </c>
      <c r="HD465">
        <v>20.3257</v>
      </c>
      <c r="HE465">
        <v>5.21834</v>
      </c>
      <c r="HF465">
        <v>12.0099</v>
      </c>
      <c r="HG465">
        <v>4.98905</v>
      </c>
      <c r="HH465">
        <v>3.2885</v>
      </c>
      <c r="HI465">
        <v>1037.5</v>
      </c>
      <c r="HJ465">
        <v>9775.799999999999</v>
      </c>
      <c r="HK465">
        <v>5139.4</v>
      </c>
      <c r="HL465">
        <v>25.4</v>
      </c>
      <c r="HM465">
        <v>1.86744</v>
      </c>
      <c r="HN465">
        <v>1.86646</v>
      </c>
      <c r="HO465">
        <v>1.866</v>
      </c>
      <c r="HP465">
        <v>1.86584</v>
      </c>
      <c r="HQ465">
        <v>1.86768</v>
      </c>
      <c r="HR465">
        <v>1.87022</v>
      </c>
      <c r="HS465">
        <v>1.8689</v>
      </c>
      <c r="HT465">
        <v>1.8702</v>
      </c>
      <c r="HU465">
        <v>0</v>
      </c>
      <c r="HV465">
        <v>0</v>
      </c>
      <c r="HW465">
        <v>0</v>
      </c>
      <c r="HX465">
        <v>0</v>
      </c>
      <c r="HY465" t="s">
        <v>421</v>
      </c>
      <c r="HZ465" t="s">
        <v>422</v>
      </c>
      <c r="IA465" t="s">
        <v>423</v>
      </c>
      <c r="IB465" t="s">
        <v>423</v>
      </c>
      <c r="IC465" t="s">
        <v>423</v>
      </c>
      <c r="ID465" t="s">
        <v>423</v>
      </c>
      <c r="IE465">
        <v>0</v>
      </c>
      <c r="IF465">
        <v>100</v>
      </c>
      <c r="IG465">
        <v>100</v>
      </c>
      <c r="IH465">
        <v>-2.47</v>
      </c>
      <c r="II465">
        <v>0.0203</v>
      </c>
      <c r="IJ465">
        <v>-0.1559367209035702</v>
      </c>
      <c r="IK465">
        <v>-0.002077099775823331</v>
      </c>
      <c r="IL465">
        <v>4.593143279902166E-07</v>
      </c>
      <c r="IM465">
        <v>-1.865383991892071E-10</v>
      </c>
      <c r="IN465">
        <v>-0.0607165066849496</v>
      </c>
      <c r="IO465">
        <v>-0.01129461987421345</v>
      </c>
      <c r="IP465">
        <v>0.00116580895745559</v>
      </c>
      <c r="IQ465">
        <v>-1.679085872906199E-05</v>
      </c>
      <c r="IR465">
        <v>2</v>
      </c>
      <c r="IS465">
        <v>2290</v>
      </c>
      <c r="IT465">
        <v>0</v>
      </c>
      <c r="IU465">
        <v>32</v>
      </c>
      <c r="IV465">
        <v>19.2</v>
      </c>
      <c r="IW465">
        <v>19</v>
      </c>
      <c r="IX465">
        <v>2.68311</v>
      </c>
      <c r="IY465">
        <v>2.18384</v>
      </c>
      <c r="IZ465">
        <v>1.39648</v>
      </c>
      <c r="JA465">
        <v>2.35596</v>
      </c>
      <c r="JB465">
        <v>1.49536</v>
      </c>
      <c r="JC465">
        <v>2.27661</v>
      </c>
      <c r="JD465">
        <v>38.0377</v>
      </c>
      <c r="JE465">
        <v>24.035</v>
      </c>
      <c r="JF465">
        <v>18</v>
      </c>
      <c r="JG465">
        <v>511.463</v>
      </c>
      <c r="JH465">
        <v>428.764</v>
      </c>
      <c r="JI465">
        <v>23.0436</v>
      </c>
      <c r="JJ465">
        <v>27.8154</v>
      </c>
      <c r="JK465">
        <v>30.0001</v>
      </c>
      <c r="JL465">
        <v>27.8206</v>
      </c>
      <c r="JM465">
        <v>27.7633</v>
      </c>
      <c r="JN465">
        <v>53.7269</v>
      </c>
      <c r="JO465">
        <v>41.2103</v>
      </c>
      <c r="JP465">
        <v>0</v>
      </c>
      <c r="JQ465">
        <v>23.0173</v>
      </c>
      <c r="JR465">
        <v>1376.43</v>
      </c>
      <c r="JS465">
        <v>10.1513</v>
      </c>
      <c r="JT465">
        <v>100.429</v>
      </c>
      <c r="JU465">
        <v>100.361</v>
      </c>
    </row>
    <row r="466" spans="1:281">
      <c r="A466">
        <v>450</v>
      </c>
      <c r="B466">
        <v>1651866663</v>
      </c>
      <c r="C466">
        <v>2442.400000095367</v>
      </c>
      <c r="D466" t="s">
        <v>1323</v>
      </c>
      <c r="E466" t="s">
        <v>1324</v>
      </c>
      <c r="F466">
        <v>2</v>
      </c>
      <c r="G466" t="s">
        <v>908</v>
      </c>
      <c r="H466" t="s">
        <v>414</v>
      </c>
      <c r="I466">
        <v>1651866662</v>
      </c>
      <c r="J466">
        <f>(K466)/1000</f>
        <v>0</v>
      </c>
      <c r="K466">
        <f>IF(CZ466, AN466, AH466)</f>
        <v>0</v>
      </c>
      <c r="L466">
        <f>IF(CZ466, AI466, AG466)</f>
        <v>0</v>
      </c>
      <c r="M466">
        <f>DB466 - IF(AU466&gt;1, L466*CV466*100.0/(AW466*DP466), 0)</f>
        <v>0</v>
      </c>
      <c r="N466">
        <f>((T466-J466/2)*M466-L466)/(T466+J466/2)</f>
        <v>0</v>
      </c>
      <c r="O466">
        <f>N466*(DI466+DJ466)/1000.0</f>
        <v>0</v>
      </c>
      <c r="P466">
        <f>(DB466 - IF(AU466&gt;1, L466*CV466*100.0/(AW466*DP466), 0))*(DI466+DJ466)/1000.0</f>
        <v>0</v>
      </c>
      <c r="Q466">
        <f>2.0/((1/S466-1/R466)+SIGN(S466)*SQRT((1/S466-1/R466)*(1/S466-1/R466) + 4*CW466/((CW466+1)*(CW466+1))*(2*1/S466*1/R466-1/R466*1/R466)))</f>
        <v>0</v>
      </c>
      <c r="R466">
        <f>IF(LEFT(CX466,1)&lt;&gt;"0",IF(LEFT(CX466,1)="1",3.0,CY466),$D$5+$E$5*(DP466*DI466/($K$5*1000))+$F$5*(DP466*DI466/($K$5*1000))*MAX(MIN(CV466,$J$5),$I$5)*MAX(MIN(CV466,$J$5),$I$5)+$G$5*MAX(MIN(CV466,$J$5),$I$5)*(DP466*DI466/($K$5*1000))+$H$5*(DP466*DI466/($K$5*1000))*(DP466*DI466/($K$5*1000)))</f>
        <v>0</v>
      </c>
      <c r="S466">
        <f>J466*(1000-(1000*0.61365*exp(17.502*W466/(240.97+W466))/(DI466+DJ466)+DD466)/2)/(1000*0.61365*exp(17.502*W466/(240.97+W466))/(DI466+DJ466)-DD466)</f>
        <v>0</v>
      </c>
      <c r="T466">
        <f>1/((CW466+1)/(Q466/1.6)+1/(R466/1.37)) + CW466/((CW466+1)/(Q466/1.6) + CW466/(R466/1.37))</f>
        <v>0</v>
      </c>
      <c r="U466">
        <f>(CR466*CU466)</f>
        <v>0</v>
      </c>
      <c r="V466">
        <f>(DK466+(U466+2*0.95*5.67E-8*(((DK466+$B$7)+273)^4-(DK466+273)^4)-44100*J466)/(1.84*29.3*R466+8*0.95*5.67E-8*(DK466+273)^3))</f>
        <v>0</v>
      </c>
      <c r="W466">
        <f>($C$7*DL466+$D$7*DM466+$E$7*V466)</f>
        <v>0</v>
      </c>
      <c r="X466">
        <f>0.61365*exp(17.502*W466/(240.97+W466))</f>
        <v>0</v>
      </c>
      <c r="Y466">
        <f>(Z466/AA466*100)</f>
        <v>0</v>
      </c>
      <c r="Z466">
        <f>DD466*(DI466+DJ466)/1000</f>
        <v>0</v>
      </c>
      <c r="AA466">
        <f>0.61365*exp(17.502*DK466/(240.97+DK466))</f>
        <v>0</v>
      </c>
      <c r="AB466">
        <f>(X466-DD466*(DI466+DJ466)/1000)</f>
        <v>0</v>
      </c>
      <c r="AC466">
        <f>(-J466*44100)</f>
        <v>0</v>
      </c>
      <c r="AD466">
        <f>2*29.3*R466*0.92*(DK466-W466)</f>
        <v>0</v>
      </c>
      <c r="AE466">
        <f>2*0.95*5.67E-8*(((DK466+$B$7)+273)^4-(W466+273)^4)</f>
        <v>0</v>
      </c>
      <c r="AF466">
        <f>U466+AE466+AC466+AD466</f>
        <v>0</v>
      </c>
      <c r="AG466">
        <f>DH466*AU466*(DC466-DB466*(1000-AU466*DE466)/(1000-AU466*DD466))/(100*CV466)</f>
        <v>0</v>
      </c>
      <c r="AH466">
        <f>1000*DH466*AU466*(DD466-DE466)/(100*CV466*(1000-AU466*DD466))</f>
        <v>0</v>
      </c>
      <c r="AI466">
        <f>(AJ466 - AK466 - DI466*1E3/(8.314*(DK466+273.15)) * AM466/DH466 * AL466) * DH466/(100*CV466) * (1000 - DE466)/1000</f>
        <v>0</v>
      </c>
      <c r="AJ466">
        <v>1367.540503203299</v>
      </c>
      <c r="AK466">
        <v>1319.260848484848</v>
      </c>
      <c r="AL466">
        <v>3.424122151028805</v>
      </c>
      <c r="AM466">
        <v>66.38195617057868</v>
      </c>
      <c r="AN466">
        <f>(AP466 - AO466 + DI466*1E3/(8.314*(DK466+273.15)) * AR466/DH466 * AQ466) * DH466/(100*CV466) * 1000/(1000 - AP466)</f>
        <v>0</v>
      </c>
      <c r="AO466">
        <v>9.913360368051199</v>
      </c>
      <c r="AP466">
        <v>18.33253823529412</v>
      </c>
      <c r="AQ466">
        <v>-0.007436145046815178</v>
      </c>
      <c r="AR466">
        <v>80.47178418790507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MAX(0,($B$13+$C$13*DP466)/(1+$D$13*DP466)*DI466/(DK466+273)*$E$13)</f>
        <v>0</v>
      </c>
      <c r="AX466" t="s">
        <v>417</v>
      </c>
      <c r="AY466" t="s">
        <v>417</v>
      </c>
      <c r="AZ466">
        <v>0</v>
      </c>
      <c r="BA466">
        <v>0</v>
      </c>
      <c r="BB466">
        <f>1-AZ466/BA466</f>
        <v>0</v>
      </c>
      <c r="BC466">
        <v>0</v>
      </c>
      <c r="BD466" t="s">
        <v>417</v>
      </c>
      <c r="BE466" t="s">
        <v>417</v>
      </c>
      <c r="BF466">
        <v>0</v>
      </c>
      <c r="BG466">
        <v>0</v>
      </c>
      <c r="BH466">
        <f>1-BF466/BG466</f>
        <v>0</v>
      </c>
      <c r="BI466">
        <v>0.5</v>
      </c>
      <c r="BJ466">
        <f>CS466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417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BZ466">
        <v>1249</v>
      </c>
      <c r="CA466">
        <v>300</v>
      </c>
      <c r="CB466">
        <v>300</v>
      </c>
      <c r="CC466">
        <v>300</v>
      </c>
      <c r="CD466">
        <v>10442.4</v>
      </c>
      <c r="CE466">
        <v>1239.69</v>
      </c>
      <c r="CF466">
        <v>-0.00735276</v>
      </c>
      <c r="CG466">
        <v>0.07000000000000001</v>
      </c>
      <c r="CH466" t="s">
        <v>417</v>
      </c>
      <c r="CI466" t="s">
        <v>417</v>
      </c>
      <c r="CJ466" t="s">
        <v>417</v>
      </c>
      <c r="CK466" t="s">
        <v>417</v>
      </c>
      <c r="CL466" t="s">
        <v>417</v>
      </c>
      <c r="CM466" t="s">
        <v>417</v>
      </c>
      <c r="CN466" t="s">
        <v>417</v>
      </c>
      <c r="CO466" t="s">
        <v>417</v>
      </c>
      <c r="CP466" t="s">
        <v>417</v>
      </c>
      <c r="CQ466" t="s">
        <v>417</v>
      </c>
      <c r="CR466">
        <f>$B$11*DQ466+$C$11*DR466+$F$11*EC466*(1-EF466)</f>
        <v>0</v>
      </c>
      <c r="CS466">
        <f>CR466*CT466</f>
        <v>0</v>
      </c>
      <c r="CT466">
        <f>($B$11*$D$9+$C$11*$D$9+$F$11*((EP466+EH466)/MAX(EP466+EH466+EQ466, 0.1)*$I$9+EQ466/MAX(EP466+EH466+EQ466, 0.1)*$J$9))/($B$11+$C$11+$F$11)</f>
        <v>0</v>
      </c>
      <c r="CU466">
        <f>($B$11*$K$9+$C$11*$K$9+$F$11*((EP466+EH466)/MAX(EP466+EH466+EQ466, 0.1)*$P$9+EQ466/MAX(EP466+EH466+EQ466, 0.1)*$Q$9))/($B$11+$C$11+$F$11)</f>
        <v>0</v>
      </c>
      <c r="CV466">
        <v>6</v>
      </c>
      <c r="CW466">
        <v>0.5</v>
      </c>
      <c r="CX466" t="s">
        <v>418</v>
      </c>
      <c r="CY466">
        <v>2</v>
      </c>
      <c r="CZ466" t="b">
        <v>1</v>
      </c>
      <c r="DA466">
        <v>1651866662</v>
      </c>
      <c r="DB466">
        <v>1293.396666666667</v>
      </c>
      <c r="DC466">
        <v>1359.853333333333</v>
      </c>
      <c r="DD466">
        <v>18.33356666666667</v>
      </c>
      <c r="DE466">
        <v>9.990363333333333</v>
      </c>
      <c r="DF466">
        <v>1295.876666666667</v>
      </c>
      <c r="DG466">
        <v>18.31326666666667</v>
      </c>
      <c r="DH466">
        <v>500.0756666666667</v>
      </c>
      <c r="DI466">
        <v>89.91199999999999</v>
      </c>
      <c r="DJ466">
        <v>0.1001303333333333</v>
      </c>
      <c r="DK466">
        <v>25.9241</v>
      </c>
      <c r="DL466">
        <v>25.03503333333333</v>
      </c>
      <c r="DM466">
        <v>999.9</v>
      </c>
      <c r="DN466">
        <v>0</v>
      </c>
      <c r="DO466">
        <v>0</v>
      </c>
      <c r="DP466">
        <v>10004.96666666667</v>
      </c>
      <c r="DQ466">
        <v>0</v>
      </c>
      <c r="DR466">
        <v>3.20383</v>
      </c>
      <c r="DS466">
        <v>-66.4556</v>
      </c>
      <c r="DT466">
        <v>1317.55</v>
      </c>
      <c r="DU466">
        <v>1373.573333333333</v>
      </c>
      <c r="DV466">
        <v>8.3432</v>
      </c>
      <c r="DW466">
        <v>1359.853333333333</v>
      </c>
      <c r="DX466">
        <v>9.990363333333333</v>
      </c>
      <c r="DY466">
        <v>1.648403333333333</v>
      </c>
      <c r="DZ466">
        <v>0.8982536666666667</v>
      </c>
      <c r="EA466">
        <v>14.41893333333333</v>
      </c>
      <c r="EB466">
        <v>5.362786666666667</v>
      </c>
      <c r="EC466">
        <v>1500.14</v>
      </c>
      <c r="ED466">
        <v>0.9729886666666667</v>
      </c>
      <c r="EE466">
        <v>0.02701126666666667</v>
      </c>
      <c r="EF466">
        <v>0</v>
      </c>
      <c r="EG466">
        <v>892.5413333333332</v>
      </c>
      <c r="EH466">
        <v>5.00097</v>
      </c>
      <c r="EI466">
        <v>13271.8</v>
      </c>
      <c r="EJ466">
        <v>12492.7</v>
      </c>
      <c r="EK466">
        <v>37.562</v>
      </c>
      <c r="EL466">
        <v>38.875</v>
      </c>
      <c r="EM466">
        <v>37.937</v>
      </c>
      <c r="EN466">
        <v>38.5</v>
      </c>
      <c r="EO466">
        <v>38.437</v>
      </c>
      <c r="EP466">
        <v>1454.753333333333</v>
      </c>
      <c r="EQ466">
        <v>40.38666666666666</v>
      </c>
      <c r="ER466">
        <v>0</v>
      </c>
      <c r="ES466">
        <v>1180.400000095367</v>
      </c>
      <c r="ET466">
        <v>0</v>
      </c>
      <c r="EU466">
        <v>893.7912692307691</v>
      </c>
      <c r="EV466">
        <v>-12.47832481439937</v>
      </c>
      <c r="EW466">
        <v>-183.3094018825951</v>
      </c>
      <c r="EX466">
        <v>13290.64615384615</v>
      </c>
      <c r="EY466">
        <v>15</v>
      </c>
      <c r="EZ466">
        <v>1651865518.1</v>
      </c>
      <c r="FA466" t="s">
        <v>910</v>
      </c>
      <c r="FB466">
        <v>1651865507.1</v>
      </c>
      <c r="FC466">
        <v>1651865518.1</v>
      </c>
      <c r="FD466">
        <v>8</v>
      </c>
      <c r="FE466">
        <v>0.06</v>
      </c>
      <c r="FF466">
        <v>0</v>
      </c>
      <c r="FG466">
        <v>-0.927</v>
      </c>
      <c r="FH466">
        <v>-0.062</v>
      </c>
      <c r="FI466">
        <v>400</v>
      </c>
      <c r="FJ466">
        <v>11</v>
      </c>
      <c r="FK466">
        <v>0.11</v>
      </c>
      <c r="FL466">
        <v>0.01</v>
      </c>
      <c r="FM466">
        <v>-66.00285121951219</v>
      </c>
      <c r="FN466">
        <v>-4.034535888501745</v>
      </c>
      <c r="FO466">
        <v>0.4261032373028595</v>
      </c>
      <c r="FP466">
        <v>-1</v>
      </c>
      <c r="FQ466">
        <v>8.570745609756097</v>
      </c>
      <c r="FR466">
        <v>-1.379382648083642</v>
      </c>
      <c r="FS466">
        <v>0.1361951840423717</v>
      </c>
      <c r="FT466">
        <v>-1</v>
      </c>
      <c r="FU466">
        <v>0</v>
      </c>
      <c r="FV466">
        <v>0</v>
      </c>
      <c r="FW466">
        <v>0</v>
      </c>
      <c r="FX466">
        <v>-1</v>
      </c>
      <c r="FY466">
        <v>0</v>
      </c>
      <c r="FZ466">
        <v>0</v>
      </c>
      <c r="GA466" t="s">
        <v>420</v>
      </c>
      <c r="GB466">
        <v>2.98157</v>
      </c>
      <c r="GC466">
        <v>2.70626</v>
      </c>
      <c r="GD466">
        <v>0.201823</v>
      </c>
      <c r="GE466">
        <v>0.205753</v>
      </c>
      <c r="GF466">
        <v>0.0877376</v>
      </c>
      <c r="GG466">
        <v>0.0554824</v>
      </c>
      <c r="GH466">
        <v>25225</v>
      </c>
      <c r="GI466">
        <v>25155.2</v>
      </c>
      <c r="GJ466">
        <v>29380.6</v>
      </c>
      <c r="GK466">
        <v>29295.9</v>
      </c>
      <c r="GL466">
        <v>35490.8</v>
      </c>
      <c r="GM466">
        <v>36861.7</v>
      </c>
      <c r="GN466">
        <v>41354.2</v>
      </c>
      <c r="GO466">
        <v>41817.2</v>
      </c>
      <c r="GP466">
        <v>1.96683</v>
      </c>
      <c r="GQ466">
        <v>1.8599</v>
      </c>
      <c r="GR466">
        <v>-0.00122935</v>
      </c>
      <c r="GS466">
        <v>0</v>
      </c>
      <c r="GT466">
        <v>25.0636</v>
      </c>
      <c r="GU466">
        <v>999.9</v>
      </c>
      <c r="GV466">
        <v>29.3</v>
      </c>
      <c r="GW466">
        <v>34.2</v>
      </c>
      <c r="GX466">
        <v>17.6062</v>
      </c>
      <c r="GY466">
        <v>62.5376</v>
      </c>
      <c r="GZ466">
        <v>35.2724</v>
      </c>
      <c r="HA466">
        <v>1</v>
      </c>
      <c r="HB466">
        <v>0.0387398</v>
      </c>
      <c r="HC466">
        <v>1.73547</v>
      </c>
      <c r="HD466">
        <v>20.3253</v>
      </c>
      <c r="HE466">
        <v>5.21879</v>
      </c>
      <c r="HF466">
        <v>12.0099</v>
      </c>
      <c r="HG466">
        <v>4.989</v>
      </c>
      <c r="HH466">
        <v>3.2885</v>
      </c>
      <c r="HI466">
        <v>1037.5</v>
      </c>
      <c r="HJ466">
        <v>9775.799999999999</v>
      </c>
      <c r="HK466">
        <v>5139.4</v>
      </c>
      <c r="HL466">
        <v>25.4</v>
      </c>
      <c r="HM466">
        <v>1.86745</v>
      </c>
      <c r="HN466">
        <v>1.86646</v>
      </c>
      <c r="HO466">
        <v>1.866</v>
      </c>
      <c r="HP466">
        <v>1.86585</v>
      </c>
      <c r="HQ466">
        <v>1.86768</v>
      </c>
      <c r="HR466">
        <v>1.8702</v>
      </c>
      <c r="HS466">
        <v>1.8689</v>
      </c>
      <c r="HT466">
        <v>1.8702</v>
      </c>
      <c r="HU466">
        <v>0</v>
      </c>
      <c r="HV466">
        <v>0</v>
      </c>
      <c r="HW466">
        <v>0</v>
      </c>
      <c r="HX466">
        <v>0</v>
      </c>
      <c r="HY466" t="s">
        <v>421</v>
      </c>
      <c r="HZ466" t="s">
        <v>422</v>
      </c>
      <c r="IA466" t="s">
        <v>423</v>
      </c>
      <c r="IB466" t="s">
        <v>423</v>
      </c>
      <c r="IC466" t="s">
        <v>423</v>
      </c>
      <c r="ID466" t="s">
        <v>423</v>
      </c>
      <c r="IE466">
        <v>0</v>
      </c>
      <c r="IF466">
        <v>100</v>
      </c>
      <c r="IG466">
        <v>100</v>
      </c>
      <c r="IH466">
        <v>-2.49</v>
      </c>
      <c r="II466">
        <v>0.0202</v>
      </c>
      <c r="IJ466">
        <v>-0.1559367209035702</v>
      </c>
      <c r="IK466">
        <v>-0.002077099775823331</v>
      </c>
      <c r="IL466">
        <v>4.593143279902166E-07</v>
      </c>
      <c r="IM466">
        <v>-1.865383991892071E-10</v>
      </c>
      <c r="IN466">
        <v>-0.0607165066849496</v>
      </c>
      <c r="IO466">
        <v>-0.01129461987421345</v>
      </c>
      <c r="IP466">
        <v>0.00116580895745559</v>
      </c>
      <c r="IQ466">
        <v>-1.679085872906199E-05</v>
      </c>
      <c r="IR466">
        <v>2</v>
      </c>
      <c r="IS466">
        <v>2290</v>
      </c>
      <c r="IT466">
        <v>0</v>
      </c>
      <c r="IU466">
        <v>32</v>
      </c>
      <c r="IV466">
        <v>19.3</v>
      </c>
      <c r="IW466">
        <v>19.1</v>
      </c>
      <c r="IX466">
        <v>2.69409</v>
      </c>
      <c r="IY466">
        <v>2.17896</v>
      </c>
      <c r="IZ466">
        <v>1.39648</v>
      </c>
      <c r="JA466">
        <v>2.35596</v>
      </c>
      <c r="JB466">
        <v>1.49536</v>
      </c>
      <c r="JC466">
        <v>2.31323</v>
      </c>
      <c r="JD466">
        <v>38.0377</v>
      </c>
      <c r="JE466">
        <v>24.0437</v>
      </c>
      <c r="JF466">
        <v>18</v>
      </c>
      <c r="JG466">
        <v>511.518</v>
      </c>
      <c r="JH466">
        <v>428.8</v>
      </c>
      <c r="JI466">
        <v>23.0324</v>
      </c>
      <c r="JJ466">
        <v>27.8143</v>
      </c>
      <c r="JK466">
        <v>30</v>
      </c>
      <c r="JL466">
        <v>27.8195</v>
      </c>
      <c r="JM466">
        <v>27.7621</v>
      </c>
      <c r="JN466">
        <v>53.9467</v>
      </c>
      <c r="JO466">
        <v>41.2103</v>
      </c>
      <c r="JP466">
        <v>0</v>
      </c>
      <c r="JQ466">
        <v>23.0173</v>
      </c>
      <c r="JR466">
        <v>1383.11</v>
      </c>
      <c r="JS466">
        <v>10.2027</v>
      </c>
      <c r="JT466">
        <v>100.428</v>
      </c>
      <c r="JU466">
        <v>100.361</v>
      </c>
    </row>
    <row r="467" spans="1:281">
      <c r="A467">
        <v>451</v>
      </c>
      <c r="B467">
        <v>1651866665</v>
      </c>
      <c r="C467">
        <v>2444.400000095367</v>
      </c>
      <c r="D467" t="s">
        <v>1325</v>
      </c>
      <c r="E467" t="s">
        <v>1326</v>
      </c>
      <c r="F467">
        <v>2</v>
      </c>
      <c r="G467" t="s">
        <v>908</v>
      </c>
      <c r="H467" t="s">
        <v>414</v>
      </c>
      <c r="I467">
        <v>1651866663.625</v>
      </c>
      <c r="J467">
        <f>(K467)/1000</f>
        <v>0</v>
      </c>
      <c r="K467">
        <f>IF(CZ467, AN467, AH467)</f>
        <v>0</v>
      </c>
      <c r="L467">
        <f>IF(CZ467, AI467, AG467)</f>
        <v>0</v>
      </c>
      <c r="M467">
        <f>DB467 - IF(AU467&gt;1, L467*CV467*100.0/(AW467*DP467), 0)</f>
        <v>0</v>
      </c>
      <c r="N467">
        <f>((T467-J467/2)*M467-L467)/(T467+J467/2)</f>
        <v>0</v>
      </c>
      <c r="O467">
        <f>N467*(DI467+DJ467)/1000.0</f>
        <v>0</v>
      </c>
      <c r="P467">
        <f>(DB467 - IF(AU467&gt;1, L467*CV467*100.0/(AW467*DP467), 0))*(DI467+DJ467)/1000.0</f>
        <v>0</v>
      </c>
      <c r="Q467">
        <f>2.0/((1/S467-1/R467)+SIGN(S467)*SQRT((1/S467-1/R467)*(1/S467-1/R467) + 4*CW467/((CW467+1)*(CW467+1))*(2*1/S467*1/R467-1/R467*1/R467)))</f>
        <v>0</v>
      </c>
      <c r="R467">
        <f>IF(LEFT(CX467,1)&lt;&gt;"0",IF(LEFT(CX467,1)="1",3.0,CY467),$D$5+$E$5*(DP467*DI467/($K$5*1000))+$F$5*(DP467*DI467/($K$5*1000))*MAX(MIN(CV467,$J$5),$I$5)*MAX(MIN(CV467,$J$5),$I$5)+$G$5*MAX(MIN(CV467,$J$5),$I$5)*(DP467*DI467/($K$5*1000))+$H$5*(DP467*DI467/($K$5*1000))*(DP467*DI467/($K$5*1000)))</f>
        <v>0</v>
      </c>
      <c r="S467">
        <f>J467*(1000-(1000*0.61365*exp(17.502*W467/(240.97+W467))/(DI467+DJ467)+DD467)/2)/(1000*0.61365*exp(17.502*W467/(240.97+W467))/(DI467+DJ467)-DD467)</f>
        <v>0</v>
      </c>
      <c r="T467">
        <f>1/((CW467+1)/(Q467/1.6)+1/(R467/1.37)) + CW467/((CW467+1)/(Q467/1.6) + CW467/(R467/1.37))</f>
        <v>0</v>
      </c>
      <c r="U467">
        <f>(CR467*CU467)</f>
        <v>0</v>
      </c>
      <c r="V467">
        <f>(DK467+(U467+2*0.95*5.67E-8*(((DK467+$B$7)+273)^4-(DK467+273)^4)-44100*J467)/(1.84*29.3*R467+8*0.95*5.67E-8*(DK467+273)^3))</f>
        <v>0</v>
      </c>
      <c r="W467">
        <f>($C$7*DL467+$D$7*DM467+$E$7*V467)</f>
        <v>0</v>
      </c>
      <c r="X467">
        <f>0.61365*exp(17.502*W467/(240.97+W467))</f>
        <v>0</v>
      </c>
      <c r="Y467">
        <f>(Z467/AA467*100)</f>
        <v>0</v>
      </c>
      <c r="Z467">
        <f>DD467*(DI467+DJ467)/1000</f>
        <v>0</v>
      </c>
      <c r="AA467">
        <f>0.61365*exp(17.502*DK467/(240.97+DK467))</f>
        <v>0</v>
      </c>
      <c r="AB467">
        <f>(X467-DD467*(DI467+DJ467)/1000)</f>
        <v>0</v>
      </c>
      <c r="AC467">
        <f>(-J467*44100)</f>
        <v>0</v>
      </c>
      <c r="AD467">
        <f>2*29.3*R467*0.92*(DK467-W467)</f>
        <v>0</v>
      </c>
      <c r="AE467">
        <f>2*0.95*5.67E-8*(((DK467+$B$7)+273)^4-(W467+273)^4)</f>
        <v>0</v>
      </c>
      <c r="AF467">
        <f>U467+AE467+AC467+AD467</f>
        <v>0</v>
      </c>
      <c r="AG467">
        <f>DH467*AU467*(DC467-DB467*(1000-AU467*DE467)/(1000-AU467*DD467))/(100*CV467)</f>
        <v>0</v>
      </c>
      <c r="AH467">
        <f>1000*DH467*AU467*(DD467-DE467)/(100*CV467*(1000-AU467*DD467))</f>
        <v>0</v>
      </c>
      <c r="AI467">
        <f>(AJ467 - AK467 - DI467*1E3/(8.314*(DK467+273.15)) * AM467/DH467 * AL467) * DH467/(100*CV467) * (1000 - DE467)/1000</f>
        <v>0</v>
      </c>
      <c r="AJ467">
        <v>1374.359743446634</v>
      </c>
      <c r="AK467">
        <v>1326.056545454545</v>
      </c>
      <c r="AL467">
        <v>3.410361707796606</v>
      </c>
      <c r="AM467">
        <v>66.38195617057868</v>
      </c>
      <c r="AN467">
        <f>(AP467 - AO467 + DI467*1E3/(8.314*(DK467+273.15)) * AR467/DH467 * AQ467) * DH467/(100*CV467) * 1000/(1000 - AP467)</f>
        <v>0</v>
      </c>
      <c r="AO467">
        <v>9.956873940545625</v>
      </c>
      <c r="AP467">
        <v>18.32109529411764</v>
      </c>
      <c r="AQ467">
        <v>-0.002486599833721679</v>
      </c>
      <c r="AR467">
        <v>80.47178418790507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MAX(0,($B$13+$C$13*DP467)/(1+$D$13*DP467)*DI467/(DK467+273)*$E$13)</f>
        <v>0</v>
      </c>
      <c r="AX467" t="s">
        <v>417</v>
      </c>
      <c r="AY467" t="s">
        <v>417</v>
      </c>
      <c r="AZ467">
        <v>0</v>
      </c>
      <c r="BA467">
        <v>0</v>
      </c>
      <c r="BB467">
        <f>1-AZ467/BA467</f>
        <v>0</v>
      </c>
      <c r="BC467">
        <v>0</v>
      </c>
      <c r="BD467" t="s">
        <v>417</v>
      </c>
      <c r="BE467" t="s">
        <v>417</v>
      </c>
      <c r="BF467">
        <v>0</v>
      </c>
      <c r="BG467">
        <v>0</v>
      </c>
      <c r="BH467">
        <f>1-BF467/BG467</f>
        <v>0</v>
      </c>
      <c r="BI467">
        <v>0.5</v>
      </c>
      <c r="BJ467">
        <f>CS467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417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BZ467">
        <v>1249</v>
      </c>
      <c r="CA467">
        <v>300</v>
      </c>
      <c r="CB467">
        <v>300</v>
      </c>
      <c r="CC467">
        <v>300</v>
      </c>
      <c r="CD467">
        <v>10442.4</v>
      </c>
      <c r="CE467">
        <v>1239.69</v>
      </c>
      <c r="CF467">
        <v>-0.00735276</v>
      </c>
      <c r="CG467">
        <v>0.07000000000000001</v>
      </c>
      <c r="CH467" t="s">
        <v>417</v>
      </c>
      <c r="CI467" t="s">
        <v>417</v>
      </c>
      <c r="CJ467" t="s">
        <v>417</v>
      </c>
      <c r="CK467" t="s">
        <v>417</v>
      </c>
      <c r="CL467" t="s">
        <v>417</v>
      </c>
      <c r="CM467" t="s">
        <v>417</v>
      </c>
      <c r="CN467" t="s">
        <v>417</v>
      </c>
      <c r="CO467" t="s">
        <v>417</v>
      </c>
      <c r="CP467" t="s">
        <v>417</v>
      </c>
      <c r="CQ467" t="s">
        <v>417</v>
      </c>
      <c r="CR467">
        <f>$B$11*DQ467+$C$11*DR467+$F$11*EC467*(1-EF467)</f>
        <v>0</v>
      </c>
      <c r="CS467">
        <f>CR467*CT467</f>
        <v>0</v>
      </c>
      <c r="CT467">
        <f>($B$11*$D$9+$C$11*$D$9+$F$11*((EP467+EH467)/MAX(EP467+EH467+EQ467, 0.1)*$I$9+EQ467/MAX(EP467+EH467+EQ467, 0.1)*$J$9))/($B$11+$C$11+$F$11)</f>
        <v>0</v>
      </c>
      <c r="CU467">
        <f>($B$11*$K$9+$C$11*$K$9+$F$11*((EP467+EH467)/MAX(EP467+EH467+EQ467, 0.1)*$P$9+EQ467/MAX(EP467+EH467+EQ467, 0.1)*$Q$9))/($B$11+$C$11+$F$11)</f>
        <v>0</v>
      </c>
      <c r="CV467">
        <v>6</v>
      </c>
      <c r="CW467">
        <v>0.5</v>
      </c>
      <c r="CX467" t="s">
        <v>418</v>
      </c>
      <c r="CY467">
        <v>2</v>
      </c>
      <c r="CZ467" t="b">
        <v>1</v>
      </c>
      <c r="DA467">
        <v>1651866663.625</v>
      </c>
      <c r="DB467">
        <v>1298.8325</v>
      </c>
      <c r="DC467">
        <v>1365.1875</v>
      </c>
      <c r="DD467">
        <v>18.325</v>
      </c>
      <c r="DE467">
        <v>10.028075</v>
      </c>
      <c r="DF467">
        <v>1301.3225</v>
      </c>
      <c r="DG467">
        <v>18.3048</v>
      </c>
      <c r="DH467">
        <v>500.08375</v>
      </c>
      <c r="DI467">
        <v>89.91244999999999</v>
      </c>
      <c r="DJ467">
        <v>0.10005765</v>
      </c>
      <c r="DK467">
        <v>25.9227</v>
      </c>
      <c r="DL467">
        <v>25.04355</v>
      </c>
      <c r="DM467">
        <v>999.9</v>
      </c>
      <c r="DN467">
        <v>0</v>
      </c>
      <c r="DO467">
        <v>0</v>
      </c>
      <c r="DP467">
        <v>10005.95</v>
      </c>
      <c r="DQ467">
        <v>0</v>
      </c>
      <c r="DR467">
        <v>3.20383</v>
      </c>
      <c r="DS467">
        <v>-66.355975</v>
      </c>
      <c r="DT467">
        <v>1323.0775</v>
      </c>
      <c r="DU467">
        <v>1379.0175</v>
      </c>
      <c r="DV467">
        <v>8.29693</v>
      </c>
      <c r="DW467">
        <v>1365.1875</v>
      </c>
      <c r="DX467">
        <v>10.028075</v>
      </c>
      <c r="DY467">
        <v>1.6476425</v>
      </c>
      <c r="DZ467">
        <v>0.901648</v>
      </c>
      <c r="EA467">
        <v>14.411775</v>
      </c>
      <c r="EB467">
        <v>5.4170525</v>
      </c>
      <c r="EC467">
        <v>1499.98</v>
      </c>
      <c r="ED467">
        <v>0.97299925</v>
      </c>
      <c r="EE467">
        <v>0.027000675</v>
      </c>
      <c r="EF467">
        <v>0</v>
      </c>
      <c r="EG467">
        <v>892.1152499999999</v>
      </c>
      <c r="EH467">
        <v>5.00097</v>
      </c>
      <c r="EI467">
        <v>13264.75</v>
      </c>
      <c r="EJ467">
        <v>12491.4</v>
      </c>
      <c r="EK467">
        <v>37.562</v>
      </c>
      <c r="EL467">
        <v>38.875</v>
      </c>
      <c r="EM467">
        <v>37.937</v>
      </c>
      <c r="EN467">
        <v>38.5</v>
      </c>
      <c r="EO467">
        <v>38.437</v>
      </c>
      <c r="EP467">
        <v>1454.615</v>
      </c>
      <c r="EQ467">
        <v>40.365</v>
      </c>
      <c r="ER467">
        <v>0</v>
      </c>
      <c r="ES467">
        <v>1182.200000047684</v>
      </c>
      <c r="ET467">
        <v>0</v>
      </c>
      <c r="EU467">
        <v>893.3766799999999</v>
      </c>
      <c r="EV467">
        <v>-12.61023076334067</v>
      </c>
      <c r="EW467">
        <v>-186.076922856661</v>
      </c>
      <c r="EX467">
        <v>13284.06</v>
      </c>
      <c r="EY467">
        <v>15</v>
      </c>
      <c r="EZ467">
        <v>1651865518.1</v>
      </c>
      <c r="FA467" t="s">
        <v>910</v>
      </c>
      <c r="FB467">
        <v>1651865507.1</v>
      </c>
      <c r="FC467">
        <v>1651865518.1</v>
      </c>
      <c r="FD467">
        <v>8</v>
      </c>
      <c r="FE467">
        <v>0.06</v>
      </c>
      <c r="FF467">
        <v>0</v>
      </c>
      <c r="FG467">
        <v>-0.927</v>
      </c>
      <c r="FH467">
        <v>-0.062</v>
      </c>
      <c r="FI467">
        <v>400</v>
      </c>
      <c r="FJ467">
        <v>11</v>
      </c>
      <c r="FK467">
        <v>0.11</v>
      </c>
      <c r="FL467">
        <v>0.01</v>
      </c>
      <c r="FM467">
        <v>-66.1167275</v>
      </c>
      <c r="FN467">
        <v>-3.147632645403281</v>
      </c>
      <c r="FO467">
        <v>0.3344585699212245</v>
      </c>
      <c r="FP467">
        <v>-1</v>
      </c>
      <c r="FQ467">
        <v>8.52916175</v>
      </c>
      <c r="FR467">
        <v>-1.397260525328326</v>
      </c>
      <c r="FS467">
        <v>0.1346515188530658</v>
      </c>
      <c r="FT467">
        <v>-1</v>
      </c>
      <c r="FU467">
        <v>0</v>
      </c>
      <c r="FV467">
        <v>0</v>
      </c>
      <c r="FW467">
        <v>0</v>
      </c>
      <c r="FX467">
        <v>-1</v>
      </c>
      <c r="FY467">
        <v>0</v>
      </c>
      <c r="FZ467">
        <v>0</v>
      </c>
      <c r="GA467" t="s">
        <v>420</v>
      </c>
      <c r="GB467">
        <v>2.98157</v>
      </c>
      <c r="GC467">
        <v>2.7062</v>
      </c>
      <c r="GD467">
        <v>0.202471</v>
      </c>
      <c r="GE467">
        <v>0.206361</v>
      </c>
      <c r="GF467">
        <v>0.0876996</v>
      </c>
      <c r="GG467">
        <v>0.0556752</v>
      </c>
      <c r="GH467">
        <v>25204.5</v>
      </c>
      <c r="GI467">
        <v>25135.6</v>
      </c>
      <c r="GJ467">
        <v>29380.6</v>
      </c>
      <c r="GK467">
        <v>29295.5</v>
      </c>
      <c r="GL467">
        <v>35492</v>
      </c>
      <c r="GM467">
        <v>36853.8</v>
      </c>
      <c r="GN467">
        <v>41353.8</v>
      </c>
      <c r="GO467">
        <v>41816.8</v>
      </c>
      <c r="GP467">
        <v>1.967</v>
      </c>
      <c r="GQ467">
        <v>1.85998</v>
      </c>
      <c r="GR467">
        <v>-0.0013411</v>
      </c>
      <c r="GS467">
        <v>0</v>
      </c>
      <c r="GT467">
        <v>25.0636</v>
      </c>
      <c r="GU467">
        <v>999.9</v>
      </c>
      <c r="GV467">
        <v>29.3</v>
      </c>
      <c r="GW467">
        <v>34.2</v>
      </c>
      <c r="GX467">
        <v>17.6074</v>
      </c>
      <c r="GY467">
        <v>62.6976</v>
      </c>
      <c r="GZ467">
        <v>35.5048</v>
      </c>
      <c r="HA467">
        <v>1</v>
      </c>
      <c r="HB467">
        <v>0.0387729</v>
      </c>
      <c r="HC467">
        <v>1.71482</v>
      </c>
      <c r="HD467">
        <v>20.3257</v>
      </c>
      <c r="HE467">
        <v>5.21849</v>
      </c>
      <c r="HF467">
        <v>12.0099</v>
      </c>
      <c r="HG467">
        <v>4.98925</v>
      </c>
      <c r="HH467">
        <v>3.28848</v>
      </c>
      <c r="HI467">
        <v>1037.7</v>
      </c>
      <c r="HJ467">
        <v>9777.1</v>
      </c>
      <c r="HK467">
        <v>5139.4</v>
      </c>
      <c r="HL467">
        <v>25.4</v>
      </c>
      <c r="HM467">
        <v>1.86745</v>
      </c>
      <c r="HN467">
        <v>1.86646</v>
      </c>
      <c r="HO467">
        <v>1.866</v>
      </c>
      <c r="HP467">
        <v>1.86586</v>
      </c>
      <c r="HQ467">
        <v>1.86768</v>
      </c>
      <c r="HR467">
        <v>1.87019</v>
      </c>
      <c r="HS467">
        <v>1.8689</v>
      </c>
      <c r="HT467">
        <v>1.8702</v>
      </c>
      <c r="HU467">
        <v>0</v>
      </c>
      <c r="HV467">
        <v>0</v>
      </c>
      <c r="HW467">
        <v>0</v>
      </c>
      <c r="HX467">
        <v>0</v>
      </c>
      <c r="HY467" t="s">
        <v>421</v>
      </c>
      <c r="HZ467" t="s">
        <v>422</v>
      </c>
      <c r="IA467" t="s">
        <v>423</v>
      </c>
      <c r="IB467" t="s">
        <v>423</v>
      </c>
      <c r="IC467" t="s">
        <v>423</v>
      </c>
      <c r="ID467" t="s">
        <v>423</v>
      </c>
      <c r="IE467">
        <v>0</v>
      </c>
      <c r="IF467">
        <v>100</v>
      </c>
      <c r="IG467">
        <v>100</v>
      </c>
      <c r="IH467">
        <v>-2.5</v>
      </c>
      <c r="II467">
        <v>0.0201</v>
      </c>
      <c r="IJ467">
        <v>-0.1559367209035702</v>
      </c>
      <c r="IK467">
        <v>-0.002077099775823331</v>
      </c>
      <c r="IL467">
        <v>4.593143279902166E-07</v>
      </c>
      <c r="IM467">
        <v>-1.865383991892071E-10</v>
      </c>
      <c r="IN467">
        <v>-0.0607165066849496</v>
      </c>
      <c r="IO467">
        <v>-0.01129461987421345</v>
      </c>
      <c r="IP467">
        <v>0.00116580895745559</v>
      </c>
      <c r="IQ467">
        <v>-1.679085872906199E-05</v>
      </c>
      <c r="IR467">
        <v>2</v>
      </c>
      <c r="IS467">
        <v>2290</v>
      </c>
      <c r="IT467">
        <v>0</v>
      </c>
      <c r="IU467">
        <v>32</v>
      </c>
      <c r="IV467">
        <v>19.3</v>
      </c>
      <c r="IW467">
        <v>19.1</v>
      </c>
      <c r="IX467">
        <v>2.70386</v>
      </c>
      <c r="IY467">
        <v>2.17407</v>
      </c>
      <c r="IZ467">
        <v>1.39648</v>
      </c>
      <c r="JA467">
        <v>2.35474</v>
      </c>
      <c r="JB467">
        <v>1.49536</v>
      </c>
      <c r="JC467">
        <v>2.36328</v>
      </c>
      <c r="JD467">
        <v>38.0377</v>
      </c>
      <c r="JE467">
        <v>24.0437</v>
      </c>
      <c r="JF467">
        <v>18</v>
      </c>
      <c r="JG467">
        <v>511.622</v>
      </c>
      <c r="JH467">
        <v>428.844</v>
      </c>
      <c r="JI467">
        <v>23.0182</v>
      </c>
      <c r="JJ467">
        <v>27.8137</v>
      </c>
      <c r="JK467">
        <v>30.0001</v>
      </c>
      <c r="JL467">
        <v>27.8183</v>
      </c>
      <c r="JM467">
        <v>27.762</v>
      </c>
      <c r="JN467">
        <v>54.16</v>
      </c>
      <c r="JO467">
        <v>40.9214</v>
      </c>
      <c r="JP467">
        <v>0</v>
      </c>
      <c r="JQ467">
        <v>22.9787</v>
      </c>
      <c r="JR467">
        <v>1389.85</v>
      </c>
      <c r="JS467">
        <v>10.2502</v>
      </c>
      <c r="JT467">
        <v>100.428</v>
      </c>
      <c r="JU467">
        <v>100.36</v>
      </c>
    </row>
    <row r="468" spans="1:281">
      <c r="A468">
        <v>452</v>
      </c>
      <c r="B468">
        <v>1651866667</v>
      </c>
      <c r="C468">
        <v>2446.400000095367</v>
      </c>
      <c r="D468" t="s">
        <v>1327</v>
      </c>
      <c r="E468" t="s">
        <v>1328</v>
      </c>
      <c r="F468">
        <v>2</v>
      </c>
      <c r="G468" t="s">
        <v>908</v>
      </c>
      <c r="H468" t="s">
        <v>414</v>
      </c>
      <c r="I468">
        <v>1651866666</v>
      </c>
      <c r="J468">
        <f>(K468)/1000</f>
        <v>0</v>
      </c>
      <c r="K468">
        <f>IF(CZ468, AN468, AH468)</f>
        <v>0</v>
      </c>
      <c r="L468">
        <f>IF(CZ468, AI468, AG468)</f>
        <v>0</v>
      </c>
      <c r="M468">
        <f>DB468 - IF(AU468&gt;1, L468*CV468*100.0/(AW468*DP468), 0)</f>
        <v>0</v>
      </c>
      <c r="N468">
        <f>((T468-J468/2)*M468-L468)/(T468+J468/2)</f>
        <v>0</v>
      </c>
      <c r="O468">
        <f>N468*(DI468+DJ468)/1000.0</f>
        <v>0</v>
      </c>
      <c r="P468">
        <f>(DB468 - IF(AU468&gt;1, L468*CV468*100.0/(AW468*DP468), 0))*(DI468+DJ468)/1000.0</f>
        <v>0</v>
      </c>
      <c r="Q468">
        <f>2.0/((1/S468-1/R468)+SIGN(S468)*SQRT((1/S468-1/R468)*(1/S468-1/R468) + 4*CW468/((CW468+1)*(CW468+1))*(2*1/S468*1/R468-1/R468*1/R468)))</f>
        <v>0</v>
      </c>
      <c r="R468">
        <f>IF(LEFT(CX468,1)&lt;&gt;"0",IF(LEFT(CX468,1)="1",3.0,CY468),$D$5+$E$5*(DP468*DI468/($K$5*1000))+$F$5*(DP468*DI468/($K$5*1000))*MAX(MIN(CV468,$J$5),$I$5)*MAX(MIN(CV468,$J$5),$I$5)+$G$5*MAX(MIN(CV468,$J$5),$I$5)*(DP468*DI468/($K$5*1000))+$H$5*(DP468*DI468/($K$5*1000))*(DP468*DI468/($K$5*1000)))</f>
        <v>0</v>
      </c>
      <c r="S468">
        <f>J468*(1000-(1000*0.61365*exp(17.502*W468/(240.97+W468))/(DI468+DJ468)+DD468)/2)/(1000*0.61365*exp(17.502*W468/(240.97+W468))/(DI468+DJ468)-DD468)</f>
        <v>0</v>
      </c>
      <c r="T468">
        <f>1/((CW468+1)/(Q468/1.6)+1/(R468/1.37)) + CW468/((CW468+1)/(Q468/1.6) + CW468/(R468/1.37))</f>
        <v>0</v>
      </c>
      <c r="U468">
        <f>(CR468*CU468)</f>
        <v>0</v>
      </c>
      <c r="V468">
        <f>(DK468+(U468+2*0.95*5.67E-8*(((DK468+$B$7)+273)^4-(DK468+273)^4)-44100*J468)/(1.84*29.3*R468+8*0.95*5.67E-8*(DK468+273)^3))</f>
        <v>0</v>
      </c>
      <c r="W468">
        <f>($C$7*DL468+$D$7*DM468+$E$7*V468)</f>
        <v>0</v>
      </c>
      <c r="X468">
        <f>0.61365*exp(17.502*W468/(240.97+W468))</f>
        <v>0</v>
      </c>
      <c r="Y468">
        <f>(Z468/AA468*100)</f>
        <v>0</v>
      </c>
      <c r="Z468">
        <f>DD468*(DI468+DJ468)/1000</f>
        <v>0</v>
      </c>
      <c r="AA468">
        <f>0.61365*exp(17.502*DK468/(240.97+DK468))</f>
        <v>0</v>
      </c>
      <c r="AB468">
        <f>(X468-DD468*(DI468+DJ468)/1000)</f>
        <v>0</v>
      </c>
      <c r="AC468">
        <f>(-J468*44100)</f>
        <v>0</v>
      </c>
      <c r="AD468">
        <f>2*29.3*R468*0.92*(DK468-W468)</f>
        <v>0</v>
      </c>
      <c r="AE468">
        <f>2*0.95*5.67E-8*(((DK468+$B$7)+273)^4-(W468+273)^4)</f>
        <v>0</v>
      </c>
      <c r="AF468">
        <f>U468+AE468+AC468+AD468</f>
        <v>0</v>
      </c>
      <c r="AG468">
        <f>DH468*AU468*(DC468-DB468*(1000-AU468*DE468)/(1000-AU468*DD468))/(100*CV468)</f>
        <v>0</v>
      </c>
      <c r="AH468">
        <f>1000*DH468*AU468*(DD468-DE468)/(100*CV468*(1000-AU468*DD468))</f>
        <v>0</v>
      </c>
      <c r="AI468">
        <f>(AJ468 - AK468 - DI468*1E3/(8.314*(DK468+273.15)) * AM468/DH468 * AL468) * DH468/(100*CV468) * (1000 - DE468)/1000</f>
        <v>0</v>
      </c>
      <c r="AJ468">
        <v>1381.030202101801</v>
      </c>
      <c r="AK468">
        <v>1332.780121212121</v>
      </c>
      <c r="AL468">
        <v>3.3789668802467</v>
      </c>
      <c r="AM468">
        <v>66.38195617057868</v>
      </c>
      <c r="AN468">
        <f>(AP468 - AO468 + DI468*1E3/(8.314*(DK468+273.15)) * AR468/DH468 * AQ468) * DH468/(100*CV468) * 1000/(1000 - AP468)</f>
        <v>0</v>
      </c>
      <c r="AO468">
        <v>10.00219608852875</v>
      </c>
      <c r="AP468">
        <v>18.30887352941176</v>
      </c>
      <c r="AQ468">
        <v>-0.001152800523050733</v>
      </c>
      <c r="AR468">
        <v>80.47178418790507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MAX(0,($B$13+$C$13*DP468)/(1+$D$13*DP468)*DI468/(DK468+273)*$E$13)</f>
        <v>0</v>
      </c>
      <c r="AX468" t="s">
        <v>417</v>
      </c>
      <c r="AY468" t="s">
        <v>417</v>
      </c>
      <c r="AZ468">
        <v>0</v>
      </c>
      <c r="BA468">
        <v>0</v>
      </c>
      <c r="BB468">
        <f>1-AZ468/BA468</f>
        <v>0</v>
      </c>
      <c r="BC468">
        <v>0</v>
      </c>
      <c r="BD468" t="s">
        <v>417</v>
      </c>
      <c r="BE468" t="s">
        <v>417</v>
      </c>
      <c r="BF468">
        <v>0</v>
      </c>
      <c r="BG468">
        <v>0</v>
      </c>
      <c r="BH468">
        <f>1-BF468/BG468</f>
        <v>0</v>
      </c>
      <c r="BI468">
        <v>0.5</v>
      </c>
      <c r="BJ468">
        <f>CS468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417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BZ468">
        <v>1249</v>
      </c>
      <c r="CA468">
        <v>300</v>
      </c>
      <c r="CB468">
        <v>300</v>
      </c>
      <c r="CC468">
        <v>300</v>
      </c>
      <c r="CD468">
        <v>10442.4</v>
      </c>
      <c r="CE468">
        <v>1239.69</v>
      </c>
      <c r="CF468">
        <v>-0.00735276</v>
      </c>
      <c r="CG468">
        <v>0.07000000000000001</v>
      </c>
      <c r="CH468" t="s">
        <v>417</v>
      </c>
      <c r="CI468" t="s">
        <v>417</v>
      </c>
      <c r="CJ468" t="s">
        <v>417</v>
      </c>
      <c r="CK468" t="s">
        <v>417</v>
      </c>
      <c r="CL468" t="s">
        <v>417</v>
      </c>
      <c r="CM468" t="s">
        <v>417</v>
      </c>
      <c r="CN468" t="s">
        <v>417</v>
      </c>
      <c r="CO468" t="s">
        <v>417</v>
      </c>
      <c r="CP468" t="s">
        <v>417</v>
      </c>
      <c r="CQ468" t="s">
        <v>417</v>
      </c>
      <c r="CR468">
        <f>$B$11*DQ468+$C$11*DR468+$F$11*EC468*(1-EF468)</f>
        <v>0</v>
      </c>
      <c r="CS468">
        <f>CR468*CT468</f>
        <v>0</v>
      </c>
      <c r="CT468">
        <f>($B$11*$D$9+$C$11*$D$9+$F$11*((EP468+EH468)/MAX(EP468+EH468+EQ468, 0.1)*$I$9+EQ468/MAX(EP468+EH468+EQ468, 0.1)*$J$9))/($B$11+$C$11+$F$11)</f>
        <v>0</v>
      </c>
      <c r="CU468">
        <f>($B$11*$K$9+$C$11*$K$9+$F$11*((EP468+EH468)/MAX(EP468+EH468+EQ468, 0.1)*$P$9+EQ468/MAX(EP468+EH468+EQ468, 0.1)*$Q$9))/($B$11+$C$11+$F$11)</f>
        <v>0</v>
      </c>
      <c r="CV468">
        <v>6</v>
      </c>
      <c r="CW468">
        <v>0.5</v>
      </c>
      <c r="CX468" t="s">
        <v>418</v>
      </c>
      <c r="CY468">
        <v>2</v>
      </c>
      <c r="CZ468" t="b">
        <v>1</v>
      </c>
      <c r="DA468">
        <v>1651866666</v>
      </c>
      <c r="DB468">
        <v>1306.71</v>
      </c>
      <c r="DC468">
        <v>1373.086666666667</v>
      </c>
      <c r="DD468">
        <v>18.31246666666667</v>
      </c>
      <c r="DE468">
        <v>10.0739</v>
      </c>
      <c r="DF468">
        <v>1309.22</v>
      </c>
      <c r="DG468">
        <v>18.29243333333334</v>
      </c>
      <c r="DH468">
        <v>500.0073333333333</v>
      </c>
      <c r="DI468">
        <v>89.91506666666668</v>
      </c>
      <c r="DJ468">
        <v>0.09997339999999999</v>
      </c>
      <c r="DK468">
        <v>25.92076666666667</v>
      </c>
      <c r="DL468">
        <v>25.04086666666667</v>
      </c>
      <c r="DM468">
        <v>999.9</v>
      </c>
      <c r="DN468">
        <v>0</v>
      </c>
      <c r="DO468">
        <v>0</v>
      </c>
      <c r="DP468">
        <v>10007.3</v>
      </c>
      <c r="DQ468">
        <v>0</v>
      </c>
      <c r="DR468">
        <v>3.20383</v>
      </c>
      <c r="DS468">
        <v>-66.3737</v>
      </c>
      <c r="DT468">
        <v>1331.086666666667</v>
      </c>
      <c r="DU468">
        <v>1387.056666666667</v>
      </c>
      <c r="DV468">
        <v>8.23856</v>
      </c>
      <c r="DW468">
        <v>1373.086666666667</v>
      </c>
      <c r="DX468">
        <v>10.0739</v>
      </c>
      <c r="DY468">
        <v>1.646566666666667</v>
      </c>
      <c r="DZ468">
        <v>0.9057946666666666</v>
      </c>
      <c r="EA468">
        <v>14.40163333333333</v>
      </c>
      <c r="EB468">
        <v>5.48313</v>
      </c>
      <c r="EC468">
        <v>1500.043333333333</v>
      </c>
      <c r="ED468">
        <v>0.9729953333333334</v>
      </c>
      <c r="EE468">
        <v>0.02700466666666667</v>
      </c>
      <c r="EF468">
        <v>0</v>
      </c>
      <c r="EG468">
        <v>891.628</v>
      </c>
      <c r="EH468">
        <v>5.00097</v>
      </c>
      <c r="EI468">
        <v>13258.46666666667</v>
      </c>
      <c r="EJ468">
        <v>12491.93333333333</v>
      </c>
      <c r="EK468">
        <v>37.562</v>
      </c>
      <c r="EL468">
        <v>38.875</v>
      </c>
      <c r="EM468">
        <v>37.937</v>
      </c>
      <c r="EN468">
        <v>38.5</v>
      </c>
      <c r="EO468">
        <v>38.437</v>
      </c>
      <c r="EP468">
        <v>1454.67</v>
      </c>
      <c r="EQ468">
        <v>40.37333333333333</v>
      </c>
      <c r="ER468">
        <v>0</v>
      </c>
      <c r="ES468">
        <v>1184.600000143051</v>
      </c>
      <c r="ET468">
        <v>0</v>
      </c>
      <c r="EU468">
        <v>892.86792</v>
      </c>
      <c r="EV468">
        <v>-11.93776922774695</v>
      </c>
      <c r="EW468">
        <v>-184.0076920796122</v>
      </c>
      <c r="EX468">
        <v>13276.804</v>
      </c>
      <c r="EY468">
        <v>15</v>
      </c>
      <c r="EZ468">
        <v>1651865518.1</v>
      </c>
      <c r="FA468" t="s">
        <v>910</v>
      </c>
      <c r="FB468">
        <v>1651865507.1</v>
      </c>
      <c r="FC468">
        <v>1651865518.1</v>
      </c>
      <c r="FD468">
        <v>8</v>
      </c>
      <c r="FE468">
        <v>0.06</v>
      </c>
      <c r="FF468">
        <v>0</v>
      </c>
      <c r="FG468">
        <v>-0.927</v>
      </c>
      <c r="FH468">
        <v>-0.062</v>
      </c>
      <c r="FI468">
        <v>400</v>
      </c>
      <c r="FJ468">
        <v>11</v>
      </c>
      <c r="FK468">
        <v>0.11</v>
      </c>
      <c r="FL468">
        <v>0.01</v>
      </c>
      <c r="FM468">
        <v>-66.1929243902439</v>
      </c>
      <c r="FN468">
        <v>-2.352698257839689</v>
      </c>
      <c r="FO468">
        <v>0.2880586032690425</v>
      </c>
      <c r="FP468">
        <v>-1</v>
      </c>
      <c r="FQ468">
        <v>8.475821219512195</v>
      </c>
      <c r="FR468">
        <v>-1.455734006968645</v>
      </c>
      <c r="FS468">
        <v>0.143722533905339</v>
      </c>
      <c r="FT468">
        <v>-1</v>
      </c>
      <c r="FU468">
        <v>0</v>
      </c>
      <c r="FV468">
        <v>0</v>
      </c>
      <c r="FW468">
        <v>0</v>
      </c>
      <c r="FX468">
        <v>-1</v>
      </c>
      <c r="FY468">
        <v>0</v>
      </c>
      <c r="FZ468">
        <v>0</v>
      </c>
      <c r="GA468" t="s">
        <v>420</v>
      </c>
      <c r="GB468">
        <v>2.98157</v>
      </c>
      <c r="GC468">
        <v>2.70634</v>
      </c>
      <c r="GD468">
        <v>0.203109</v>
      </c>
      <c r="GE468">
        <v>0.206987</v>
      </c>
      <c r="GF468">
        <v>0.08767079999999999</v>
      </c>
      <c r="GG468">
        <v>0.0558107</v>
      </c>
      <c r="GH468">
        <v>25184.4</v>
      </c>
      <c r="GI468">
        <v>25115.4</v>
      </c>
      <c r="GJ468">
        <v>29380.7</v>
      </c>
      <c r="GK468">
        <v>29295</v>
      </c>
      <c r="GL468">
        <v>35493</v>
      </c>
      <c r="GM468">
        <v>36848</v>
      </c>
      <c r="GN468">
        <v>41353.6</v>
      </c>
      <c r="GO468">
        <v>41816.2</v>
      </c>
      <c r="GP468">
        <v>1.96688</v>
      </c>
      <c r="GQ468">
        <v>1.86017</v>
      </c>
      <c r="GR468">
        <v>-0.00160187</v>
      </c>
      <c r="GS468">
        <v>0</v>
      </c>
      <c r="GT468">
        <v>25.0636</v>
      </c>
      <c r="GU468">
        <v>999.9</v>
      </c>
      <c r="GV468">
        <v>29.3</v>
      </c>
      <c r="GW468">
        <v>34.2</v>
      </c>
      <c r="GX468">
        <v>17.6073</v>
      </c>
      <c r="GY468">
        <v>62.6776</v>
      </c>
      <c r="GZ468">
        <v>35.3325</v>
      </c>
      <c r="HA468">
        <v>1</v>
      </c>
      <c r="HB468">
        <v>0.0388745</v>
      </c>
      <c r="HC468">
        <v>1.76149</v>
      </c>
      <c r="HD468">
        <v>20.3253</v>
      </c>
      <c r="HE468">
        <v>5.21834</v>
      </c>
      <c r="HF468">
        <v>12.0099</v>
      </c>
      <c r="HG468">
        <v>4.98915</v>
      </c>
      <c r="HH468">
        <v>3.28855</v>
      </c>
      <c r="HI468">
        <v>1037.7</v>
      </c>
      <c r="HJ468">
        <v>9777.1</v>
      </c>
      <c r="HK468">
        <v>5139.4</v>
      </c>
      <c r="HL468">
        <v>25.4</v>
      </c>
      <c r="HM468">
        <v>1.86746</v>
      </c>
      <c r="HN468">
        <v>1.86646</v>
      </c>
      <c r="HO468">
        <v>1.866</v>
      </c>
      <c r="HP468">
        <v>1.86586</v>
      </c>
      <c r="HQ468">
        <v>1.86768</v>
      </c>
      <c r="HR468">
        <v>1.87019</v>
      </c>
      <c r="HS468">
        <v>1.8689</v>
      </c>
      <c r="HT468">
        <v>1.87021</v>
      </c>
      <c r="HU468">
        <v>0</v>
      </c>
      <c r="HV468">
        <v>0</v>
      </c>
      <c r="HW468">
        <v>0</v>
      </c>
      <c r="HX468">
        <v>0</v>
      </c>
      <c r="HY468" t="s">
        <v>421</v>
      </c>
      <c r="HZ468" t="s">
        <v>422</v>
      </c>
      <c r="IA468" t="s">
        <v>423</v>
      </c>
      <c r="IB468" t="s">
        <v>423</v>
      </c>
      <c r="IC468" t="s">
        <v>423</v>
      </c>
      <c r="ID468" t="s">
        <v>423</v>
      </c>
      <c r="IE468">
        <v>0</v>
      </c>
      <c r="IF468">
        <v>100</v>
      </c>
      <c r="IG468">
        <v>100</v>
      </c>
      <c r="IH468">
        <v>-2.51</v>
      </c>
      <c r="II468">
        <v>0.0199</v>
      </c>
      <c r="IJ468">
        <v>-0.1559367209035702</v>
      </c>
      <c r="IK468">
        <v>-0.002077099775823331</v>
      </c>
      <c r="IL468">
        <v>4.593143279902166E-07</v>
      </c>
      <c r="IM468">
        <v>-1.865383991892071E-10</v>
      </c>
      <c r="IN468">
        <v>-0.0607165066849496</v>
      </c>
      <c r="IO468">
        <v>-0.01129461987421345</v>
      </c>
      <c r="IP468">
        <v>0.00116580895745559</v>
      </c>
      <c r="IQ468">
        <v>-1.679085872906199E-05</v>
      </c>
      <c r="IR468">
        <v>2</v>
      </c>
      <c r="IS468">
        <v>2290</v>
      </c>
      <c r="IT468">
        <v>0</v>
      </c>
      <c r="IU468">
        <v>32</v>
      </c>
      <c r="IV468">
        <v>19.3</v>
      </c>
      <c r="IW468">
        <v>19.1</v>
      </c>
      <c r="IX468">
        <v>2.71606</v>
      </c>
      <c r="IY468">
        <v>2.17529</v>
      </c>
      <c r="IZ468">
        <v>1.39648</v>
      </c>
      <c r="JA468">
        <v>2.35474</v>
      </c>
      <c r="JB468">
        <v>1.49536</v>
      </c>
      <c r="JC468">
        <v>2.34985</v>
      </c>
      <c r="JD468">
        <v>38.0377</v>
      </c>
      <c r="JE468">
        <v>24.0437</v>
      </c>
      <c r="JF468">
        <v>18</v>
      </c>
      <c r="JG468">
        <v>511.54</v>
      </c>
      <c r="JH468">
        <v>428.956</v>
      </c>
      <c r="JI468">
        <v>23.0068</v>
      </c>
      <c r="JJ468">
        <v>27.8131</v>
      </c>
      <c r="JK468">
        <v>30.0001</v>
      </c>
      <c r="JL468">
        <v>27.8183</v>
      </c>
      <c r="JM468">
        <v>27.7609</v>
      </c>
      <c r="JN468">
        <v>54.3774</v>
      </c>
      <c r="JO468">
        <v>40.6072</v>
      </c>
      <c r="JP468">
        <v>0</v>
      </c>
      <c r="JQ468">
        <v>22.9787</v>
      </c>
      <c r="JR468">
        <v>1396.55</v>
      </c>
      <c r="JS468">
        <v>10.3012</v>
      </c>
      <c r="JT468">
        <v>100.428</v>
      </c>
      <c r="JU468">
        <v>100.359</v>
      </c>
    </row>
    <row r="469" spans="1:281">
      <c r="A469">
        <v>453</v>
      </c>
      <c r="B469">
        <v>1651866669</v>
      </c>
      <c r="C469">
        <v>2448.400000095367</v>
      </c>
      <c r="D469" t="s">
        <v>1329</v>
      </c>
      <c r="E469" t="s">
        <v>1330</v>
      </c>
      <c r="F469">
        <v>2</v>
      </c>
      <c r="G469" t="s">
        <v>908</v>
      </c>
      <c r="H469" t="s">
        <v>414</v>
      </c>
      <c r="I469">
        <v>1651866667.625</v>
      </c>
      <c r="J469">
        <f>(K469)/1000</f>
        <v>0</v>
      </c>
      <c r="K469">
        <f>IF(CZ469, AN469, AH469)</f>
        <v>0</v>
      </c>
      <c r="L469">
        <f>IF(CZ469, AI469, AG469)</f>
        <v>0</v>
      </c>
      <c r="M469">
        <f>DB469 - IF(AU469&gt;1, L469*CV469*100.0/(AW469*DP469), 0)</f>
        <v>0</v>
      </c>
      <c r="N469">
        <f>((T469-J469/2)*M469-L469)/(T469+J469/2)</f>
        <v>0</v>
      </c>
      <c r="O469">
        <f>N469*(DI469+DJ469)/1000.0</f>
        <v>0</v>
      </c>
      <c r="P469">
        <f>(DB469 - IF(AU469&gt;1, L469*CV469*100.0/(AW469*DP469), 0))*(DI469+DJ469)/1000.0</f>
        <v>0</v>
      </c>
      <c r="Q469">
        <f>2.0/((1/S469-1/R469)+SIGN(S469)*SQRT((1/S469-1/R469)*(1/S469-1/R469) + 4*CW469/((CW469+1)*(CW469+1))*(2*1/S469*1/R469-1/R469*1/R469)))</f>
        <v>0</v>
      </c>
      <c r="R469">
        <f>IF(LEFT(CX469,1)&lt;&gt;"0",IF(LEFT(CX469,1)="1",3.0,CY469),$D$5+$E$5*(DP469*DI469/($K$5*1000))+$F$5*(DP469*DI469/($K$5*1000))*MAX(MIN(CV469,$J$5),$I$5)*MAX(MIN(CV469,$J$5),$I$5)+$G$5*MAX(MIN(CV469,$J$5),$I$5)*(DP469*DI469/($K$5*1000))+$H$5*(DP469*DI469/($K$5*1000))*(DP469*DI469/($K$5*1000)))</f>
        <v>0</v>
      </c>
      <c r="S469">
        <f>J469*(1000-(1000*0.61365*exp(17.502*W469/(240.97+W469))/(DI469+DJ469)+DD469)/2)/(1000*0.61365*exp(17.502*W469/(240.97+W469))/(DI469+DJ469)-DD469)</f>
        <v>0</v>
      </c>
      <c r="T469">
        <f>1/((CW469+1)/(Q469/1.6)+1/(R469/1.37)) + CW469/((CW469+1)/(Q469/1.6) + CW469/(R469/1.37))</f>
        <v>0</v>
      </c>
      <c r="U469">
        <f>(CR469*CU469)</f>
        <v>0</v>
      </c>
      <c r="V469">
        <f>(DK469+(U469+2*0.95*5.67E-8*(((DK469+$B$7)+273)^4-(DK469+273)^4)-44100*J469)/(1.84*29.3*R469+8*0.95*5.67E-8*(DK469+273)^3))</f>
        <v>0</v>
      </c>
      <c r="W469">
        <f>($C$7*DL469+$D$7*DM469+$E$7*V469)</f>
        <v>0</v>
      </c>
      <c r="X469">
        <f>0.61365*exp(17.502*W469/(240.97+W469))</f>
        <v>0</v>
      </c>
      <c r="Y469">
        <f>(Z469/AA469*100)</f>
        <v>0</v>
      </c>
      <c r="Z469">
        <f>DD469*(DI469+DJ469)/1000</f>
        <v>0</v>
      </c>
      <c r="AA469">
        <f>0.61365*exp(17.502*DK469/(240.97+DK469))</f>
        <v>0</v>
      </c>
      <c r="AB469">
        <f>(X469-DD469*(DI469+DJ469)/1000)</f>
        <v>0</v>
      </c>
      <c r="AC469">
        <f>(-J469*44100)</f>
        <v>0</v>
      </c>
      <c r="AD469">
        <f>2*29.3*R469*0.92*(DK469-W469)</f>
        <v>0</v>
      </c>
      <c r="AE469">
        <f>2*0.95*5.67E-8*(((DK469+$B$7)+273)^4-(W469+273)^4)</f>
        <v>0</v>
      </c>
      <c r="AF469">
        <f>U469+AE469+AC469+AD469</f>
        <v>0</v>
      </c>
      <c r="AG469">
        <f>DH469*AU469*(DC469-DB469*(1000-AU469*DE469)/(1000-AU469*DD469))/(100*CV469)</f>
        <v>0</v>
      </c>
      <c r="AH469">
        <f>1000*DH469*AU469*(DD469-DE469)/(100*CV469*(1000-AU469*DD469))</f>
        <v>0</v>
      </c>
      <c r="AI469">
        <f>(AJ469 - AK469 - DI469*1E3/(8.314*(DK469+273.15)) * AM469/DH469 * AL469) * DH469/(100*CV469) * (1000 - DE469)/1000</f>
        <v>0</v>
      </c>
      <c r="AJ469">
        <v>1387.8424777346</v>
      </c>
      <c r="AK469">
        <v>1339.602545454545</v>
      </c>
      <c r="AL469">
        <v>3.394369523567875</v>
      </c>
      <c r="AM469">
        <v>66.38195617057868</v>
      </c>
      <c r="AN469">
        <f>(AP469 - AO469 + DI469*1E3/(8.314*(DK469+273.15)) * AR469/DH469 * AQ469) * DH469/(100*CV469) * 1000/(1000 - AP469)</f>
        <v>0</v>
      </c>
      <c r="AO469">
        <v>10.04611211489705</v>
      </c>
      <c r="AP469">
        <v>18.3031038235294</v>
      </c>
      <c r="AQ469">
        <v>-0.006020066296733208</v>
      </c>
      <c r="AR469">
        <v>80.47178418790507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MAX(0,($B$13+$C$13*DP469)/(1+$D$13*DP469)*DI469/(DK469+273)*$E$13)</f>
        <v>0</v>
      </c>
      <c r="AX469" t="s">
        <v>417</v>
      </c>
      <c r="AY469" t="s">
        <v>417</v>
      </c>
      <c r="AZ469">
        <v>0</v>
      </c>
      <c r="BA469">
        <v>0</v>
      </c>
      <c r="BB469">
        <f>1-AZ469/BA469</f>
        <v>0</v>
      </c>
      <c r="BC469">
        <v>0</v>
      </c>
      <c r="BD469" t="s">
        <v>417</v>
      </c>
      <c r="BE469" t="s">
        <v>417</v>
      </c>
      <c r="BF469">
        <v>0</v>
      </c>
      <c r="BG469">
        <v>0</v>
      </c>
      <c r="BH469">
        <f>1-BF469/BG469</f>
        <v>0</v>
      </c>
      <c r="BI469">
        <v>0.5</v>
      </c>
      <c r="BJ469">
        <f>CS469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417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BZ469">
        <v>1249</v>
      </c>
      <c r="CA469">
        <v>300</v>
      </c>
      <c r="CB469">
        <v>300</v>
      </c>
      <c r="CC469">
        <v>300</v>
      </c>
      <c r="CD469">
        <v>10442.4</v>
      </c>
      <c r="CE469">
        <v>1239.69</v>
      </c>
      <c r="CF469">
        <v>-0.00735276</v>
      </c>
      <c r="CG469">
        <v>0.07000000000000001</v>
      </c>
      <c r="CH469" t="s">
        <v>417</v>
      </c>
      <c r="CI469" t="s">
        <v>417</v>
      </c>
      <c r="CJ469" t="s">
        <v>417</v>
      </c>
      <c r="CK469" t="s">
        <v>417</v>
      </c>
      <c r="CL469" t="s">
        <v>417</v>
      </c>
      <c r="CM469" t="s">
        <v>417</v>
      </c>
      <c r="CN469" t="s">
        <v>417</v>
      </c>
      <c r="CO469" t="s">
        <v>417</v>
      </c>
      <c r="CP469" t="s">
        <v>417</v>
      </c>
      <c r="CQ469" t="s">
        <v>417</v>
      </c>
      <c r="CR469">
        <f>$B$11*DQ469+$C$11*DR469+$F$11*EC469*(1-EF469)</f>
        <v>0</v>
      </c>
      <c r="CS469">
        <f>CR469*CT469</f>
        <v>0</v>
      </c>
      <c r="CT469">
        <f>($B$11*$D$9+$C$11*$D$9+$F$11*((EP469+EH469)/MAX(EP469+EH469+EQ469, 0.1)*$I$9+EQ469/MAX(EP469+EH469+EQ469, 0.1)*$J$9))/($B$11+$C$11+$F$11)</f>
        <v>0</v>
      </c>
      <c r="CU469">
        <f>($B$11*$K$9+$C$11*$K$9+$F$11*((EP469+EH469)/MAX(EP469+EH469+EQ469, 0.1)*$P$9+EQ469/MAX(EP469+EH469+EQ469, 0.1)*$Q$9))/($B$11+$C$11+$F$11)</f>
        <v>0</v>
      </c>
      <c r="CV469">
        <v>6</v>
      </c>
      <c r="CW469">
        <v>0.5</v>
      </c>
      <c r="CX469" t="s">
        <v>418</v>
      </c>
      <c r="CY469">
        <v>2</v>
      </c>
      <c r="CZ469" t="b">
        <v>1</v>
      </c>
      <c r="DA469">
        <v>1651866667.625</v>
      </c>
      <c r="DB469">
        <v>1312.1525</v>
      </c>
      <c r="DC469">
        <v>1378.6525</v>
      </c>
      <c r="DD469">
        <v>18.30645</v>
      </c>
      <c r="DE469">
        <v>10.101775</v>
      </c>
      <c r="DF469">
        <v>1314.67</v>
      </c>
      <c r="DG469">
        <v>18.286525</v>
      </c>
      <c r="DH469">
        <v>500.0405</v>
      </c>
      <c r="DI469">
        <v>89.914575</v>
      </c>
      <c r="DJ469">
        <v>0.09999122499999999</v>
      </c>
      <c r="DK469">
        <v>25.9213</v>
      </c>
      <c r="DL469">
        <v>25.0364</v>
      </c>
      <c r="DM469">
        <v>999.9</v>
      </c>
      <c r="DN469">
        <v>0</v>
      </c>
      <c r="DO469">
        <v>0</v>
      </c>
      <c r="DP469">
        <v>10012.35</v>
      </c>
      <c r="DQ469">
        <v>0</v>
      </c>
      <c r="DR469">
        <v>3.20383</v>
      </c>
      <c r="DS469">
        <v>-66.499</v>
      </c>
      <c r="DT469">
        <v>1336.62</v>
      </c>
      <c r="DU469">
        <v>1392.72</v>
      </c>
      <c r="DV469">
        <v>8.2046925</v>
      </c>
      <c r="DW469">
        <v>1378.6525</v>
      </c>
      <c r="DX469">
        <v>10.101775</v>
      </c>
      <c r="DY469">
        <v>1.6460175</v>
      </c>
      <c r="DZ469">
        <v>0.90829575</v>
      </c>
      <c r="EA469">
        <v>14.396475</v>
      </c>
      <c r="EB469">
        <v>5.52284</v>
      </c>
      <c r="EC469">
        <v>1500.06</v>
      </c>
      <c r="ED469">
        <v>0.9730045</v>
      </c>
      <c r="EE469">
        <v>0.02699535</v>
      </c>
      <c r="EF469">
        <v>0</v>
      </c>
      <c r="EG469">
        <v>891.29925</v>
      </c>
      <c r="EH469">
        <v>5.00097</v>
      </c>
      <c r="EI469">
        <v>13254.5</v>
      </c>
      <c r="EJ469">
        <v>12492.1</v>
      </c>
      <c r="EK469">
        <v>37.562</v>
      </c>
      <c r="EL469">
        <v>38.875</v>
      </c>
      <c r="EM469">
        <v>37.937</v>
      </c>
      <c r="EN469">
        <v>38.5</v>
      </c>
      <c r="EO469">
        <v>38.437</v>
      </c>
      <c r="EP469">
        <v>1454.7</v>
      </c>
      <c r="EQ469">
        <v>40.36</v>
      </c>
      <c r="ER469">
        <v>0</v>
      </c>
      <c r="ES469">
        <v>1186.400000095367</v>
      </c>
      <c r="ET469">
        <v>0</v>
      </c>
      <c r="EU469">
        <v>892.5579230769231</v>
      </c>
      <c r="EV469">
        <v>-12.03856412621967</v>
      </c>
      <c r="EW469">
        <v>-183.418803595627</v>
      </c>
      <c r="EX469">
        <v>13272.39230769231</v>
      </c>
      <c r="EY469">
        <v>15</v>
      </c>
      <c r="EZ469">
        <v>1651865518.1</v>
      </c>
      <c r="FA469" t="s">
        <v>910</v>
      </c>
      <c r="FB469">
        <v>1651865507.1</v>
      </c>
      <c r="FC469">
        <v>1651865518.1</v>
      </c>
      <c r="FD469">
        <v>8</v>
      </c>
      <c r="FE469">
        <v>0.06</v>
      </c>
      <c r="FF469">
        <v>0</v>
      </c>
      <c r="FG469">
        <v>-0.927</v>
      </c>
      <c r="FH469">
        <v>-0.062</v>
      </c>
      <c r="FI469">
        <v>400</v>
      </c>
      <c r="FJ469">
        <v>11</v>
      </c>
      <c r="FK469">
        <v>0.11</v>
      </c>
      <c r="FL469">
        <v>0.01</v>
      </c>
      <c r="FM469">
        <v>-66.26407250000001</v>
      </c>
      <c r="FN469">
        <v>-1.902021388367709</v>
      </c>
      <c r="FO469">
        <v>0.2482872549966075</v>
      </c>
      <c r="FP469">
        <v>-1</v>
      </c>
      <c r="FQ469">
        <v>8.434492499999999</v>
      </c>
      <c r="FR469">
        <v>-1.481308142589115</v>
      </c>
      <c r="FS469">
        <v>0.1425981090644263</v>
      </c>
      <c r="FT469">
        <v>-1</v>
      </c>
      <c r="FU469">
        <v>0</v>
      </c>
      <c r="FV469">
        <v>0</v>
      </c>
      <c r="FW469">
        <v>0</v>
      </c>
      <c r="FX469">
        <v>-1</v>
      </c>
      <c r="FY469">
        <v>0</v>
      </c>
      <c r="FZ469">
        <v>0</v>
      </c>
      <c r="GA469" t="s">
        <v>420</v>
      </c>
      <c r="GB469">
        <v>2.98161</v>
      </c>
      <c r="GC469">
        <v>2.70631</v>
      </c>
      <c r="GD469">
        <v>0.203745</v>
      </c>
      <c r="GE469">
        <v>0.207619</v>
      </c>
      <c r="GF469">
        <v>0.0876436</v>
      </c>
      <c r="GG469">
        <v>0.0559786</v>
      </c>
      <c r="GH469">
        <v>25164.4</v>
      </c>
      <c r="GI469">
        <v>25095.2</v>
      </c>
      <c r="GJ469">
        <v>29380.8</v>
      </c>
      <c r="GK469">
        <v>29294.8</v>
      </c>
      <c r="GL469">
        <v>35494.3</v>
      </c>
      <c r="GM469">
        <v>36841.2</v>
      </c>
      <c r="GN469">
        <v>41354</v>
      </c>
      <c r="GO469">
        <v>41815.9</v>
      </c>
      <c r="GP469">
        <v>1.96683</v>
      </c>
      <c r="GQ469">
        <v>1.86052</v>
      </c>
      <c r="GR469">
        <v>-0.00160187</v>
      </c>
      <c r="GS469">
        <v>0</v>
      </c>
      <c r="GT469">
        <v>25.0636</v>
      </c>
      <c r="GU469">
        <v>999.9</v>
      </c>
      <c r="GV469">
        <v>29.3</v>
      </c>
      <c r="GW469">
        <v>34.2</v>
      </c>
      <c r="GX469">
        <v>17.6067</v>
      </c>
      <c r="GY469">
        <v>61.9676</v>
      </c>
      <c r="GZ469">
        <v>35.0321</v>
      </c>
      <c r="HA469">
        <v>1</v>
      </c>
      <c r="HB469">
        <v>0.0389685</v>
      </c>
      <c r="HC469">
        <v>1.80401</v>
      </c>
      <c r="HD469">
        <v>20.3249</v>
      </c>
      <c r="HE469">
        <v>5.21864</v>
      </c>
      <c r="HF469">
        <v>12.0099</v>
      </c>
      <c r="HG469">
        <v>4.98905</v>
      </c>
      <c r="HH469">
        <v>3.28865</v>
      </c>
      <c r="HI469">
        <v>1037.7</v>
      </c>
      <c r="HJ469">
        <v>9777.1</v>
      </c>
      <c r="HK469">
        <v>5139.4</v>
      </c>
      <c r="HL469">
        <v>25.4</v>
      </c>
      <c r="HM469">
        <v>1.86746</v>
      </c>
      <c r="HN469">
        <v>1.86646</v>
      </c>
      <c r="HO469">
        <v>1.866</v>
      </c>
      <c r="HP469">
        <v>1.86586</v>
      </c>
      <c r="HQ469">
        <v>1.86768</v>
      </c>
      <c r="HR469">
        <v>1.87019</v>
      </c>
      <c r="HS469">
        <v>1.8689</v>
      </c>
      <c r="HT469">
        <v>1.87021</v>
      </c>
      <c r="HU469">
        <v>0</v>
      </c>
      <c r="HV469">
        <v>0</v>
      </c>
      <c r="HW469">
        <v>0</v>
      </c>
      <c r="HX469">
        <v>0</v>
      </c>
      <c r="HY469" t="s">
        <v>421</v>
      </c>
      <c r="HZ469" t="s">
        <v>422</v>
      </c>
      <c r="IA469" t="s">
        <v>423</v>
      </c>
      <c r="IB469" t="s">
        <v>423</v>
      </c>
      <c r="IC469" t="s">
        <v>423</v>
      </c>
      <c r="ID469" t="s">
        <v>423</v>
      </c>
      <c r="IE469">
        <v>0</v>
      </c>
      <c r="IF469">
        <v>100</v>
      </c>
      <c r="IG469">
        <v>100</v>
      </c>
      <c r="IH469">
        <v>-2.53</v>
      </c>
      <c r="II469">
        <v>0.0199</v>
      </c>
      <c r="IJ469">
        <v>-0.1559367209035702</v>
      </c>
      <c r="IK469">
        <v>-0.002077099775823331</v>
      </c>
      <c r="IL469">
        <v>4.593143279902166E-07</v>
      </c>
      <c r="IM469">
        <v>-1.865383991892071E-10</v>
      </c>
      <c r="IN469">
        <v>-0.0607165066849496</v>
      </c>
      <c r="IO469">
        <v>-0.01129461987421345</v>
      </c>
      <c r="IP469">
        <v>0.00116580895745559</v>
      </c>
      <c r="IQ469">
        <v>-1.679085872906199E-05</v>
      </c>
      <c r="IR469">
        <v>2</v>
      </c>
      <c r="IS469">
        <v>2290</v>
      </c>
      <c r="IT469">
        <v>0</v>
      </c>
      <c r="IU469">
        <v>32</v>
      </c>
      <c r="IV469">
        <v>19.4</v>
      </c>
      <c r="IW469">
        <v>19.2</v>
      </c>
      <c r="IX469">
        <v>2.72583</v>
      </c>
      <c r="IY469">
        <v>2.17651</v>
      </c>
      <c r="IZ469">
        <v>1.39648</v>
      </c>
      <c r="JA469">
        <v>2.35474</v>
      </c>
      <c r="JB469">
        <v>1.49536</v>
      </c>
      <c r="JC469">
        <v>2.30225</v>
      </c>
      <c r="JD469">
        <v>38.0377</v>
      </c>
      <c r="JE469">
        <v>24.035</v>
      </c>
      <c r="JF469">
        <v>18</v>
      </c>
      <c r="JG469">
        <v>511.498</v>
      </c>
      <c r="JH469">
        <v>429.156</v>
      </c>
      <c r="JI469">
        <v>22.9919</v>
      </c>
      <c r="JJ469">
        <v>27.8119</v>
      </c>
      <c r="JK469">
        <v>30.0001</v>
      </c>
      <c r="JL469">
        <v>27.8171</v>
      </c>
      <c r="JM469">
        <v>27.7598</v>
      </c>
      <c r="JN469">
        <v>54.5826</v>
      </c>
      <c r="JO469">
        <v>40.2881</v>
      </c>
      <c r="JP469">
        <v>0</v>
      </c>
      <c r="JQ469">
        <v>22.9787</v>
      </c>
      <c r="JR469">
        <v>1403.24</v>
      </c>
      <c r="JS469">
        <v>10.3537</v>
      </c>
      <c r="JT469">
        <v>100.428</v>
      </c>
      <c r="JU469">
        <v>100.358</v>
      </c>
    </row>
    <row r="470" spans="1:281">
      <c r="A470">
        <v>454</v>
      </c>
      <c r="B470">
        <v>1651866671</v>
      </c>
      <c r="C470">
        <v>2450.400000095367</v>
      </c>
      <c r="D470" t="s">
        <v>1331</v>
      </c>
      <c r="E470" t="s">
        <v>1332</v>
      </c>
      <c r="F470">
        <v>2</v>
      </c>
      <c r="G470" t="s">
        <v>908</v>
      </c>
      <c r="H470" t="s">
        <v>414</v>
      </c>
      <c r="I470">
        <v>1651866670</v>
      </c>
      <c r="J470">
        <f>(K470)/1000</f>
        <v>0</v>
      </c>
      <c r="K470">
        <f>IF(CZ470, AN470, AH470)</f>
        <v>0</v>
      </c>
      <c r="L470">
        <f>IF(CZ470, AI470, AG470)</f>
        <v>0</v>
      </c>
      <c r="M470">
        <f>DB470 - IF(AU470&gt;1, L470*CV470*100.0/(AW470*DP470), 0)</f>
        <v>0</v>
      </c>
      <c r="N470">
        <f>((T470-J470/2)*M470-L470)/(T470+J470/2)</f>
        <v>0</v>
      </c>
      <c r="O470">
        <f>N470*(DI470+DJ470)/1000.0</f>
        <v>0</v>
      </c>
      <c r="P470">
        <f>(DB470 - IF(AU470&gt;1, L470*CV470*100.0/(AW470*DP470), 0))*(DI470+DJ470)/1000.0</f>
        <v>0</v>
      </c>
      <c r="Q470">
        <f>2.0/((1/S470-1/R470)+SIGN(S470)*SQRT((1/S470-1/R470)*(1/S470-1/R470) + 4*CW470/((CW470+1)*(CW470+1))*(2*1/S470*1/R470-1/R470*1/R470)))</f>
        <v>0</v>
      </c>
      <c r="R470">
        <f>IF(LEFT(CX470,1)&lt;&gt;"0",IF(LEFT(CX470,1)="1",3.0,CY470),$D$5+$E$5*(DP470*DI470/($K$5*1000))+$F$5*(DP470*DI470/($K$5*1000))*MAX(MIN(CV470,$J$5),$I$5)*MAX(MIN(CV470,$J$5),$I$5)+$G$5*MAX(MIN(CV470,$J$5),$I$5)*(DP470*DI470/($K$5*1000))+$H$5*(DP470*DI470/($K$5*1000))*(DP470*DI470/($K$5*1000)))</f>
        <v>0</v>
      </c>
      <c r="S470">
        <f>J470*(1000-(1000*0.61365*exp(17.502*W470/(240.97+W470))/(DI470+DJ470)+DD470)/2)/(1000*0.61365*exp(17.502*W470/(240.97+W470))/(DI470+DJ470)-DD470)</f>
        <v>0</v>
      </c>
      <c r="T470">
        <f>1/((CW470+1)/(Q470/1.6)+1/(R470/1.37)) + CW470/((CW470+1)/(Q470/1.6) + CW470/(R470/1.37))</f>
        <v>0</v>
      </c>
      <c r="U470">
        <f>(CR470*CU470)</f>
        <v>0</v>
      </c>
      <c r="V470">
        <f>(DK470+(U470+2*0.95*5.67E-8*(((DK470+$B$7)+273)^4-(DK470+273)^4)-44100*J470)/(1.84*29.3*R470+8*0.95*5.67E-8*(DK470+273)^3))</f>
        <v>0</v>
      </c>
      <c r="W470">
        <f>($C$7*DL470+$D$7*DM470+$E$7*V470)</f>
        <v>0</v>
      </c>
      <c r="X470">
        <f>0.61365*exp(17.502*W470/(240.97+W470))</f>
        <v>0</v>
      </c>
      <c r="Y470">
        <f>(Z470/AA470*100)</f>
        <v>0</v>
      </c>
      <c r="Z470">
        <f>DD470*(DI470+DJ470)/1000</f>
        <v>0</v>
      </c>
      <c r="AA470">
        <f>0.61365*exp(17.502*DK470/(240.97+DK470))</f>
        <v>0</v>
      </c>
      <c r="AB470">
        <f>(X470-DD470*(DI470+DJ470)/1000)</f>
        <v>0</v>
      </c>
      <c r="AC470">
        <f>(-J470*44100)</f>
        <v>0</v>
      </c>
      <c r="AD470">
        <f>2*29.3*R470*0.92*(DK470-W470)</f>
        <v>0</v>
      </c>
      <c r="AE470">
        <f>2*0.95*5.67E-8*(((DK470+$B$7)+273)^4-(W470+273)^4)</f>
        <v>0</v>
      </c>
      <c r="AF470">
        <f>U470+AE470+AC470+AD470</f>
        <v>0</v>
      </c>
      <c r="AG470">
        <f>DH470*AU470*(DC470-DB470*(1000-AU470*DE470)/(1000-AU470*DD470))/(100*CV470)</f>
        <v>0</v>
      </c>
      <c r="AH470">
        <f>1000*DH470*AU470*(DD470-DE470)/(100*CV470*(1000-AU470*DD470))</f>
        <v>0</v>
      </c>
      <c r="AI470">
        <f>(AJ470 - AK470 - DI470*1E3/(8.314*(DK470+273.15)) * AM470/DH470 * AL470) * DH470/(100*CV470) * (1000 - DE470)/1000</f>
        <v>0</v>
      </c>
      <c r="AJ470">
        <v>1394.817442075031</v>
      </c>
      <c r="AK470">
        <v>1346.414787878788</v>
      </c>
      <c r="AL470">
        <v>3.404969950728469</v>
      </c>
      <c r="AM470">
        <v>66.38195617057868</v>
      </c>
      <c r="AN470">
        <f>(AP470 - AO470 + DI470*1E3/(8.314*(DK470+273.15)) * AR470/DH470 * AQ470) * DH470/(100*CV470) * 1000/(1000 - AP470)</f>
        <v>0</v>
      </c>
      <c r="AO470">
        <v>10.08061066897647</v>
      </c>
      <c r="AP470">
        <v>18.29503411764705</v>
      </c>
      <c r="AQ470">
        <v>-0.005077108904471244</v>
      </c>
      <c r="AR470">
        <v>80.47178418790507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MAX(0,($B$13+$C$13*DP470)/(1+$D$13*DP470)*DI470/(DK470+273)*$E$13)</f>
        <v>0</v>
      </c>
      <c r="AX470" t="s">
        <v>417</v>
      </c>
      <c r="AY470" t="s">
        <v>417</v>
      </c>
      <c r="AZ470">
        <v>0</v>
      </c>
      <c r="BA470">
        <v>0</v>
      </c>
      <c r="BB470">
        <f>1-AZ470/BA470</f>
        <v>0</v>
      </c>
      <c r="BC470">
        <v>0</v>
      </c>
      <c r="BD470" t="s">
        <v>417</v>
      </c>
      <c r="BE470" t="s">
        <v>417</v>
      </c>
      <c r="BF470">
        <v>0</v>
      </c>
      <c r="BG470">
        <v>0</v>
      </c>
      <c r="BH470">
        <f>1-BF470/BG470</f>
        <v>0</v>
      </c>
      <c r="BI470">
        <v>0.5</v>
      </c>
      <c r="BJ470">
        <f>CS470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417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BZ470">
        <v>1249</v>
      </c>
      <c r="CA470">
        <v>300</v>
      </c>
      <c r="CB470">
        <v>300</v>
      </c>
      <c r="CC470">
        <v>300</v>
      </c>
      <c r="CD470">
        <v>10442.4</v>
      </c>
      <c r="CE470">
        <v>1239.69</v>
      </c>
      <c r="CF470">
        <v>-0.00735276</v>
      </c>
      <c r="CG470">
        <v>0.07000000000000001</v>
      </c>
      <c r="CH470" t="s">
        <v>417</v>
      </c>
      <c r="CI470" t="s">
        <v>417</v>
      </c>
      <c r="CJ470" t="s">
        <v>417</v>
      </c>
      <c r="CK470" t="s">
        <v>417</v>
      </c>
      <c r="CL470" t="s">
        <v>417</v>
      </c>
      <c r="CM470" t="s">
        <v>417</v>
      </c>
      <c r="CN470" t="s">
        <v>417</v>
      </c>
      <c r="CO470" t="s">
        <v>417</v>
      </c>
      <c r="CP470" t="s">
        <v>417</v>
      </c>
      <c r="CQ470" t="s">
        <v>417</v>
      </c>
      <c r="CR470">
        <f>$B$11*DQ470+$C$11*DR470+$F$11*EC470*(1-EF470)</f>
        <v>0</v>
      </c>
      <c r="CS470">
        <f>CR470*CT470</f>
        <v>0</v>
      </c>
      <c r="CT470">
        <f>($B$11*$D$9+$C$11*$D$9+$F$11*((EP470+EH470)/MAX(EP470+EH470+EQ470, 0.1)*$I$9+EQ470/MAX(EP470+EH470+EQ470, 0.1)*$J$9))/($B$11+$C$11+$F$11)</f>
        <v>0</v>
      </c>
      <c r="CU470">
        <f>($B$11*$K$9+$C$11*$K$9+$F$11*((EP470+EH470)/MAX(EP470+EH470+EQ470, 0.1)*$P$9+EQ470/MAX(EP470+EH470+EQ470, 0.1)*$Q$9))/($B$11+$C$11+$F$11)</f>
        <v>0</v>
      </c>
      <c r="CV470">
        <v>6</v>
      </c>
      <c r="CW470">
        <v>0.5</v>
      </c>
      <c r="CX470" t="s">
        <v>418</v>
      </c>
      <c r="CY470">
        <v>2</v>
      </c>
      <c r="CZ470" t="b">
        <v>1</v>
      </c>
      <c r="DA470">
        <v>1651866670</v>
      </c>
      <c r="DB470">
        <v>1320.116666666667</v>
      </c>
      <c r="DC470">
        <v>1386.816666666667</v>
      </c>
      <c r="DD470">
        <v>18.29633333333333</v>
      </c>
      <c r="DE470">
        <v>10.15783333333333</v>
      </c>
      <c r="DF470">
        <v>1322.643333333333</v>
      </c>
      <c r="DG470">
        <v>18.27656666666667</v>
      </c>
      <c r="DH470">
        <v>500.0806666666667</v>
      </c>
      <c r="DI470">
        <v>89.91173333333334</v>
      </c>
      <c r="DJ470">
        <v>0.09980299999999999</v>
      </c>
      <c r="DK470">
        <v>25.92143333333333</v>
      </c>
      <c r="DL470">
        <v>25.03383333333333</v>
      </c>
      <c r="DM470">
        <v>999.9</v>
      </c>
      <c r="DN470">
        <v>0</v>
      </c>
      <c r="DO470">
        <v>0</v>
      </c>
      <c r="DP470">
        <v>10032.93333333333</v>
      </c>
      <c r="DQ470">
        <v>0</v>
      </c>
      <c r="DR470">
        <v>3.20383</v>
      </c>
      <c r="DS470">
        <v>-66.70356666666666</v>
      </c>
      <c r="DT470">
        <v>1344.716666666667</v>
      </c>
      <c r="DU470">
        <v>1401.046666666666</v>
      </c>
      <c r="DV470">
        <v>8.138490000000001</v>
      </c>
      <c r="DW470">
        <v>1386.816666666667</v>
      </c>
      <c r="DX470">
        <v>10.15783333333333</v>
      </c>
      <c r="DY470">
        <v>1.645056666666666</v>
      </c>
      <c r="DZ470">
        <v>0.9133096666666667</v>
      </c>
      <c r="EA470">
        <v>14.38746666666667</v>
      </c>
      <c r="EB470">
        <v>5.60218</v>
      </c>
      <c r="EC470">
        <v>1500.046666666667</v>
      </c>
      <c r="ED470">
        <v>0.972997</v>
      </c>
      <c r="EE470">
        <v>0.02700303333333333</v>
      </c>
      <c r="EF470">
        <v>0</v>
      </c>
      <c r="EG470">
        <v>891.0096666666667</v>
      </c>
      <c r="EH470">
        <v>5.00097</v>
      </c>
      <c r="EI470">
        <v>13246.96666666667</v>
      </c>
      <c r="EJ470">
        <v>12491.96666666667</v>
      </c>
      <c r="EK470">
        <v>37.562</v>
      </c>
      <c r="EL470">
        <v>38.875</v>
      </c>
      <c r="EM470">
        <v>37.937</v>
      </c>
      <c r="EN470">
        <v>38.5</v>
      </c>
      <c r="EO470">
        <v>38.437</v>
      </c>
      <c r="EP470">
        <v>1454.676666666667</v>
      </c>
      <c r="EQ470">
        <v>40.37</v>
      </c>
      <c r="ER470">
        <v>0</v>
      </c>
      <c r="ES470">
        <v>1188.200000047684</v>
      </c>
      <c r="ET470">
        <v>0</v>
      </c>
      <c r="EU470">
        <v>892.1571199999998</v>
      </c>
      <c r="EV470">
        <v>-11.49569231180678</v>
      </c>
      <c r="EW470">
        <v>-179.9384613662879</v>
      </c>
      <c r="EX470">
        <v>13266.108</v>
      </c>
      <c r="EY470">
        <v>15</v>
      </c>
      <c r="EZ470">
        <v>1651865518.1</v>
      </c>
      <c r="FA470" t="s">
        <v>910</v>
      </c>
      <c r="FB470">
        <v>1651865507.1</v>
      </c>
      <c r="FC470">
        <v>1651865518.1</v>
      </c>
      <c r="FD470">
        <v>8</v>
      </c>
      <c r="FE470">
        <v>0.06</v>
      </c>
      <c r="FF470">
        <v>0</v>
      </c>
      <c r="FG470">
        <v>-0.927</v>
      </c>
      <c r="FH470">
        <v>-0.062</v>
      </c>
      <c r="FI470">
        <v>400</v>
      </c>
      <c r="FJ470">
        <v>11</v>
      </c>
      <c r="FK470">
        <v>0.11</v>
      </c>
      <c r="FL470">
        <v>0.01</v>
      </c>
      <c r="FM470">
        <v>-66.35993170731707</v>
      </c>
      <c r="FN470">
        <v>-1.528306620209259</v>
      </c>
      <c r="FO470">
        <v>0.2090541795091784</v>
      </c>
      <c r="FP470">
        <v>-1</v>
      </c>
      <c r="FQ470">
        <v>8.379033902439023</v>
      </c>
      <c r="FR470">
        <v>-1.494665853658532</v>
      </c>
      <c r="FS470">
        <v>0.1474746778409201</v>
      </c>
      <c r="FT470">
        <v>-1</v>
      </c>
      <c r="FU470">
        <v>0</v>
      </c>
      <c r="FV470">
        <v>0</v>
      </c>
      <c r="FW470">
        <v>0</v>
      </c>
      <c r="FX470">
        <v>-1</v>
      </c>
      <c r="FY470">
        <v>0</v>
      </c>
      <c r="FZ470">
        <v>0</v>
      </c>
      <c r="GA470" t="s">
        <v>420</v>
      </c>
      <c r="GB470">
        <v>2.98162</v>
      </c>
      <c r="GC470">
        <v>2.70625</v>
      </c>
      <c r="GD470">
        <v>0.204379</v>
      </c>
      <c r="GE470">
        <v>0.20825</v>
      </c>
      <c r="GF470">
        <v>0.087612</v>
      </c>
      <c r="GG470">
        <v>0.0562178</v>
      </c>
      <c r="GH470">
        <v>25144.5</v>
      </c>
      <c r="GI470">
        <v>25075</v>
      </c>
      <c r="GJ470">
        <v>29381</v>
      </c>
      <c r="GK470">
        <v>29294.6</v>
      </c>
      <c r="GL470">
        <v>35496</v>
      </c>
      <c r="GM470">
        <v>36831.5</v>
      </c>
      <c r="GN470">
        <v>41354.4</v>
      </c>
      <c r="GO470">
        <v>41815.5</v>
      </c>
      <c r="GP470">
        <v>1.96682</v>
      </c>
      <c r="GQ470">
        <v>1.86063</v>
      </c>
      <c r="GR470">
        <v>-0.00175089</v>
      </c>
      <c r="GS470">
        <v>0</v>
      </c>
      <c r="GT470">
        <v>25.0636</v>
      </c>
      <c r="GU470">
        <v>999.9</v>
      </c>
      <c r="GV470">
        <v>29.3</v>
      </c>
      <c r="GW470">
        <v>34.2</v>
      </c>
      <c r="GX470">
        <v>17.6073</v>
      </c>
      <c r="GY470">
        <v>62.4276</v>
      </c>
      <c r="GZ470">
        <v>35.1362</v>
      </c>
      <c r="HA470">
        <v>1</v>
      </c>
      <c r="HB470">
        <v>0.0389431</v>
      </c>
      <c r="HC470">
        <v>1.78347</v>
      </c>
      <c r="HD470">
        <v>20.3251</v>
      </c>
      <c r="HE470">
        <v>5.21864</v>
      </c>
      <c r="HF470">
        <v>12.0099</v>
      </c>
      <c r="HG470">
        <v>4.989</v>
      </c>
      <c r="HH470">
        <v>3.28865</v>
      </c>
      <c r="HI470">
        <v>1037.7</v>
      </c>
      <c r="HJ470">
        <v>9777.1</v>
      </c>
      <c r="HK470">
        <v>5139.4</v>
      </c>
      <c r="HL470">
        <v>25.4</v>
      </c>
      <c r="HM470">
        <v>1.86745</v>
      </c>
      <c r="HN470">
        <v>1.86646</v>
      </c>
      <c r="HO470">
        <v>1.866</v>
      </c>
      <c r="HP470">
        <v>1.86586</v>
      </c>
      <c r="HQ470">
        <v>1.86768</v>
      </c>
      <c r="HR470">
        <v>1.87018</v>
      </c>
      <c r="HS470">
        <v>1.8689</v>
      </c>
      <c r="HT470">
        <v>1.87022</v>
      </c>
      <c r="HU470">
        <v>0</v>
      </c>
      <c r="HV470">
        <v>0</v>
      </c>
      <c r="HW470">
        <v>0</v>
      </c>
      <c r="HX470">
        <v>0</v>
      </c>
      <c r="HY470" t="s">
        <v>421</v>
      </c>
      <c r="HZ470" t="s">
        <v>422</v>
      </c>
      <c r="IA470" t="s">
        <v>423</v>
      </c>
      <c r="IB470" t="s">
        <v>423</v>
      </c>
      <c r="IC470" t="s">
        <v>423</v>
      </c>
      <c r="ID470" t="s">
        <v>423</v>
      </c>
      <c r="IE470">
        <v>0</v>
      </c>
      <c r="IF470">
        <v>100</v>
      </c>
      <c r="IG470">
        <v>100</v>
      </c>
      <c r="IH470">
        <v>-2.53</v>
      </c>
      <c r="II470">
        <v>0.0197</v>
      </c>
      <c r="IJ470">
        <v>-0.1559367209035702</v>
      </c>
      <c r="IK470">
        <v>-0.002077099775823331</v>
      </c>
      <c r="IL470">
        <v>4.593143279902166E-07</v>
      </c>
      <c r="IM470">
        <v>-1.865383991892071E-10</v>
      </c>
      <c r="IN470">
        <v>-0.0607165066849496</v>
      </c>
      <c r="IO470">
        <v>-0.01129461987421345</v>
      </c>
      <c r="IP470">
        <v>0.00116580895745559</v>
      </c>
      <c r="IQ470">
        <v>-1.679085872906199E-05</v>
      </c>
      <c r="IR470">
        <v>2</v>
      </c>
      <c r="IS470">
        <v>2290</v>
      </c>
      <c r="IT470">
        <v>0</v>
      </c>
      <c r="IU470">
        <v>32</v>
      </c>
      <c r="IV470">
        <v>19.4</v>
      </c>
      <c r="IW470">
        <v>19.2</v>
      </c>
      <c r="IX470">
        <v>2.73682</v>
      </c>
      <c r="IY470">
        <v>2.18262</v>
      </c>
      <c r="IZ470">
        <v>1.39648</v>
      </c>
      <c r="JA470">
        <v>2.35474</v>
      </c>
      <c r="JB470">
        <v>1.49536</v>
      </c>
      <c r="JC470">
        <v>2.30591</v>
      </c>
      <c r="JD470">
        <v>38.0377</v>
      </c>
      <c r="JE470">
        <v>24.035</v>
      </c>
      <c r="JF470">
        <v>18</v>
      </c>
      <c r="JG470">
        <v>511.487</v>
      </c>
      <c r="JH470">
        <v>429.215</v>
      </c>
      <c r="JI470">
        <v>22.9754</v>
      </c>
      <c r="JJ470">
        <v>27.8113</v>
      </c>
      <c r="JK470">
        <v>30.0001</v>
      </c>
      <c r="JL470">
        <v>27.8159</v>
      </c>
      <c r="JM470">
        <v>27.7596</v>
      </c>
      <c r="JN470">
        <v>54.7962</v>
      </c>
      <c r="JO470">
        <v>40.0133</v>
      </c>
      <c r="JP470">
        <v>0</v>
      </c>
      <c r="JQ470">
        <v>22.9415</v>
      </c>
      <c r="JR470">
        <v>1409.94</v>
      </c>
      <c r="JS470">
        <v>10.4071</v>
      </c>
      <c r="JT470">
        <v>100.429</v>
      </c>
      <c r="JU470">
        <v>100.357</v>
      </c>
    </row>
    <row r="471" spans="1:281">
      <c r="A471">
        <v>455</v>
      </c>
      <c r="B471">
        <v>1651866673</v>
      </c>
      <c r="C471">
        <v>2452.400000095367</v>
      </c>
      <c r="D471" t="s">
        <v>1333</v>
      </c>
      <c r="E471" t="s">
        <v>1334</v>
      </c>
      <c r="F471">
        <v>2</v>
      </c>
      <c r="G471" t="s">
        <v>908</v>
      </c>
      <c r="H471" t="s">
        <v>414</v>
      </c>
      <c r="I471">
        <v>1651866671.625</v>
      </c>
      <c r="J471">
        <f>(K471)/1000</f>
        <v>0</v>
      </c>
      <c r="K471">
        <f>IF(CZ471, AN471, AH471)</f>
        <v>0</v>
      </c>
      <c r="L471">
        <f>IF(CZ471, AI471, AG471)</f>
        <v>0</v>
      </c>
      <c r="M471">
        <f>DB471 - IF(AU471&gt;1, L471*CV471*100.0/(AW471*DP471), 0)</f>
        <v>0</v>
      </c>
      <c r="N471">
        <f>((T471-J471/2)*M471-L471)/(T471+J471/2)</f>
        <v>0</v>
      </c>
      <c r="O471">
        <f>N471*(DI471+DJ471)/1000.0</f>
        <v>0</v>
      </c>
      <c r="P471">
        <f>(DB471 - IF(AU471&gt;1, L471*CV471*100.0/(AW471*DP471), 0))*(DI471+DJ471)/1000.0</f>
        <v>0</v>
      </c>
      <c r="Q471">
        <f>2.0/((1/S471-1/R471)+SIGN(S471)*SQRT((1/S471-1/R471)*(1/S471-1/R471) + 4*CW471/((CW471+1)*(CW471+1))*(2*1/S471*1/R471-1/R471*1/R471)))</f>
        <v>0</v>
      </c>
      <c r="R471">
        <f>IF(LEFT(CX471,1)&lt;&gt;"0",IF(LEFT(CX471,1)="1",3.0,CY471),$D$5+$E$5*(DP471*DI471/($K$5*1000))+$F$5*(DP471*DI471/($K$5*1000))*MAX(MIN(CV471,$J$5),$I$5)*MAX(MIN(CV471,$J$5),$I$5)+$G$5*MAX(MIN(CV471,$J$5),$I$5)*(DP471*DI471/($K$5*1000))+$H$5*(DP471*DI471/($K$5*1000))*(DP471*DI471/($K$5*1000)))</f>
        <v>0</v>
      </c>
      <c r="S471">
        <f>J471*(1000-(1000*0.61365*exp(17.502*W471/(240.97+W471))/(DI471+DJ471)+DD471)/2)/(1000*0.61365*exp(17.502*W471/(240.97+W471))/(DI471+DJ471)-DD471)</f>
        <v>0</v>
      </c>
      <c r="T471">
        <f>1/((CW471+1)/(Q471/1.6)+1/(R471/1.37)) + CW471/((CW471+1)/(Q471/1.6) + CW471/(R471/1.37))</f>
        <v>0</v>
      </c>
      <c r="U471">
        <f>(CR471*CU471)</f>
        <v>0</v>
      </c>
      <c r="V471">
        <f>(DK471+(U471+2*0.95*5.67E-8*(((DK471+$B$7)+273)^4-(DK471+273)^4)-44100*J471)/(1.84*29.3*R471+8*0.95*5.67E-8*(DK471+273)^3))</f>
        <v>0</v>
      </c>
      <c r="W471">
        <f>($C$7*DL471+$D$7*DM471+$E$7*V471)</f>
        <v>0</v>
      </c>
      <c r="X471">
        <f>0.61365*exp(17.502*W471/(240.97+W471))</f>
        <v>0</v>
      </c>
      <c r="Y471">
        <f>(Z471/AA471*100)</f>
        <v>0</v>
      </c>
      <c r="Z471">
        <f>DD471*(DI471+DJ471)/1000</f>
        <v>0</v>
      </c>
      <c r="AA471">
        <f>0.61365*exp(17.502*DK471/(240.97+DK471))</f>
        <v>0</v>
      </c>
      <c r="AB471">
        <f>(X471-DD471*(DI471+DJ471)/1000)</f>
        <v>0</v>
      </c>
      <c r="AC471">
        <f>(-J471*44100)</f>
        <v>0</v>
      </c>
      <c r="AD471">
        <f>2*29.3*R471*0.92*(DK471-W471)</f>
        <v>0</v>
      </c>
      <c r="AE471">
        <f>2*0.95*5.67E-8*(((DK471+$B$7)+273)^4-(W471+273)^4)</f>
        <v>0</v>
      </c>
      <c r="AF471">
        <f>U471+AE471+AC471+AD471</f>
        <v>0</v>
      </c>
      <c r="AG471">
        <f>DH471*AU471*(DC471-DB471*(1000-AU471*DE471)/(1000-AU471*DD471))/(100*CV471)</f>
        <v>0</v>
      </c>
      <c r="AH471">
        <f>1000*DH471*AU471*(DD471-DE471)/(100*CV471*(1000-AU471*DD471))</f>
        <v>0</v>
      </c>
      <c r="AI471">
        <f>(AJ471 - AK471 - DI471*1E3/(8.314*(DK471+273.15)) * AM471/DH471 * AL471) * DH471/(100*CV471) * (1000 - DE471)/1000</f>
        <v>0</v>
      </c>
      <c r="AJ471">
        <v>1401.836223558043</v>
      </c>
      <c r="AK471">
        <v>1353.199393939394</v>
      </c>
      <c r="AL471">
        <v>3.397817750428099</v>
      </c>
      <c r="AM471">
        <v>66.38195617057868</v>
      </c>
      <c r="AN471">
        <f>(AP471 - AO471 + DI471*1E3/(8.314*(DK471+273.15)) * AR471/DH471 * AQ471) * DH471/(100*CV471) * 1000/(1000 - AP471)</f>
        <v>0</v>
      </c>
      <c r="AO471">
        <v>10.11910716178986</v>
      </c>
      <c r="AP471">
        <v>18.28483558823529</v>
      </c>
      <c r="AQ471">
        <v>-0.001790105689105086</v>
      </c>
      <c r="AR471">
        <v>80.47178418790507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MAX(0,($B$13+$C$13*DP471)/(1+$D$13*DP471)*DI471/(DK471+273)*$E$13)</f>
        <v>0</v>
      </c>
      <c r="AX471" t="s">
        <v>417</v>
      </c>
      <c r="AY471" t="s">
        <v>417</v>
      </c>
      <c r="AZ471">
        <v>0</v>
      </c>
      <c r="BA471">
        <v>0</v>
      </c>
      <c r="BB471">
        <f>1-AZ471/BA471</f>
        <v>0</v>
      </c>
      <c r="BC471">
        <v>0</v>
      </c>
      <c r="BD471" t="s">
        <v>417</v>
      </c>
      <c r="BE471" t="s">
        <v>417</v>
      </c>
      <c r="BF471">
        <v>0</v>
      </c>
      <c r="BG471">
        <v>0</v>
      </c>
      <c r="BH471">
        <f>1-BF471/BG471</f>
        <v>0</v>
      </c>
      <c r="BI471">
        <v>0.5</v>
      </c>
      <c r="BJ471">
        <f>CS471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417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BZ471">
        <v>1249</v>
      </c>
      <c r="CA471">
        <v>300</v>
      </c>
      <c r="CB471">
        <v>300</v>
      </c>
      <c r="CC471">
        <v>300</v>
      </c>
      <c r="CD471">
        <v>10442.4</v>
      </c>
      <c r="CE471">
        <v>1239.69</v>
      </c>
      <c r="CF471">
        <v>-0.00735276</v>
      </c>
      <c r="CG471">
        <v>0.07000000000000001</v>
      </c>
      <c r="CH471" t="s">
        <v>417</v>
      </c>
      <c r="CI471" t="s">
        <v>417</v>
      </c>
      <c r="CJ471" t="s">
        <v>417</v>
      </c>
      <c r="CK471" t="s">
        <v>417</v>
      </c>
      <c r="CL471" t="s">
        <v>417</v>
      </c>
      <c r="CM471" t="s">
        <v>417</v>
      </c>
      <c r="CN471" t="s">
        <v>417</v>
      </c>
      <c r="CO471" t="s">
        <v>417</v>
      </c>
      <c r="CP471" t="s">
        <v>417</v>
      </c>
      <c r="CQ471" t="s">
        <v>417</v>
      </c>
      <c r="CR471">
        <f>$B$11*DQ471+$C$11*DR471+$F$11*EC471*(1-EF471)</f>
        <v>0</v>
      </c>
      <c r="CS471">
        <f>CR471*CT471</f>
        <v>0</v>
      </c>
      <c r="CT471">
        <f>($B$11*$D$9+$C$11*$D$9+$F$11*((EP471+EH471)/MAX(EP471+EH471+EQ471, 0.1)*$I$9+EQ471/MAX(EP471+EH471+EQ471, 0.1)*$J$9))/($B$11+$C$11+$F$11)</f>
        <v>0</v>
      </c>
      <c r="CU471">
        <f>($B$11*$K$9+$C$11*$K$9+$F$11*((EP471+EH471)/MAX(EP471+EH471+EQ471, 0.1)*$P$9+EQ471/MAX(EP471+EH471+EQ471, 0.1)*$Q$9))/($B$11+$C$11+$F$11)</f>
        <v>0</v>
      </c>
      <c r="CV471">
        <v>6</v>
      </c>
      <c r="CW471">
        <v>0.5</v>
      </c>
      <c r="CX471" t="s">
        <v>418</v>
      </c>
      <c r="CY471">
        <v>2</v>
      </c>
      <c r="CZ471" t="b">
        <v>1</v>
      </c>
      <c r="DA471">
        <v>1651866671.625</v>
      </c>
      <c r="DB471">
        <v>1325.53</v>
      </c>
      <c r="DC471">
        <v>1392.155</v>
      </c>
      <c r="DD471">
        <v>18.28905</v>
      </c>
      <c r="DE471">
        <v>10.20635</v>
      </c>
      <c r="DF471">
        <v>1328.0725</v>
      </c>
      <c r="DG471">
        <v>18.2694</v>
      </c>
      <c r="DH471">
        <v>500.05275</v>
      </c>
      <c r="DI471">
        <v>89.91160000000001</v>
      </c>
      <c r="DJ471">
        <v>0.10005285</v>
      </c>
      <c r="DK471">
        <v>25.9203</v>
      </c>
      <c r="DL471">
        <v>25.035225</v>
      </c>
      <c r="DM471">
        <v>999.9</v>
      </c>
      <c r="DN471">
        <v>0</v>
      </c>
      <c r="DO471">
        <v>0</v>
      </c>
      <c r="DP471">
        <v>10005.95</v>
      </c>
      <c r="DQ471">
        <v>0</v>
      </c>
      <c r="DR471">
        <v>3.20383</v>
      </c>
      <c r="DS471">
        <v>-66.62295</v>
      </c>
      <c r="DT471">
        <v>1350.2275</v>
      </c>
      <c r="DU471">
        <v>1406.51</v>
      </c>
      <c r="DV471">
        <v>8.082710000000001</v>
      </c>
      <c r="DW471">
        <v>1392.155</v>
      </c>
      <c r="DX471">
        <v>10.20635</v>
      </c>
      <c r="DY471">
        <v>1.6443975</v>
      </c>
      <c r="DZ471">
        <v>0.91766825</v>
      </c>
      <c r="EA471">
        <v>14.3813</v>
      </c>
      <c r="EB471">
        <v>5.670809999999999</v>
      </c>
      <c r="EC471">
        <v>1499.995</v>
      </c>
      <c r="ED471">
        <v>0.97299925</v>
      </c>
      <c r="EE471">
        <v>0.027000675</v>
      </c>
      <c r="EF471">
        <v>0</v>
      </c>
      <c r="EG471">
        <v>890.5944999999999</v>
      </c>
      <c r="EH471">
        <v>5.00097</v>
      </c>
      <c r="EI471">
        <v>13241.925</v>
      </c>
      <c r="EJ471">
        <v>12491.525</v>
      </c>
      <c r="EK471">
        <v>37.5155</v>
      </c>
      <c r="EL471">
        <v>38.85925</v>
      </c>
      <c r="EM471">
        <v>37.937</v>
      </c>
      <c r="EN471">
        <v>38.5</v>
      </c>
      <c r="EO471">
        <v>38.3905</v>
      </c>
      <c r="EP471">
        <v>1454.63</v>
      </c>
      <c r="EQ471">
        <v>40.365</v>
      </c>
      <c r="ER471">
        <v>0</v>
      </c>
      <c r="ES471">
        <v>1190.600000143051</v>
      </c>
      <c r="ET471">
        <v>0</v>
      </c>
      <c r="EU471">
        <v>891.6854000000001</v>
      </c>
      <c r="EV471">
        <v>-12.59099998559466</v>
      </c>
      <c r="EW471">
        <v>-180.069230641234</v>
      </c>
      <c r="EX471">
        <v>13258.724</v>
      </c>
      <c r="EY471">
        <v>15</v>
      </c>
      <c r="EZ471">
        <v>1651865518.1</v>
      </c>
      <c r="FA471" t="s">
        <v>910</v>
      </c>
      <c r="FB471">
        <v>1651865507.1</v>
      </c>
      <c r="FC471">
        <v>1651865518.1</v>
      </c>
      <c r="FD471">
        <v>8</v>
      </c>
      <c r="FE471">
        <v>0.06</v>
      </c>
      <c r="FF471">
        <v>0</v>
      </c>
      <c r="FG471">
        <v>-0.927</v>
      </c>
      <c r="FH471">
        <v>-0.062</v>
      </c>
      <c r="FI471">
        <v>400</v>
      </c>
      <c r="FJ471">
        <v>11</v>
      </c>
      <c r="FK471">
        <v>0.11</v>
      </c>
      <c r="FL471">
        <v>0.01</v>
      </c>
      <c r="FM471">
        <v>-66.4018475</v>
      </c>
      <c r="FN471">
        <v>-1.585899061913444</v>
      </c>
      <c r="FO471">
        <v>0.2107729892413872</v>
      </c>
      <c r="FP471">
        <v>-1</v>
      </c>
      <c r="FQ471">
        <v>8.334729999999999</v>
      </c>
      <c r="FR471">
        <v>-1.531049831144483</v>
      </c>
      <c r="FS471">
        <v>0.147411942986313</v>
      </c>
      <c r="FT471">
        <v>-1</v>
      </c>
      <c r="FU471">
        <v>0</v>
      </c>
      <c r="FV471">
        <v>0</v>
      </c>
      <c r="FW471">
        <v>0</v>
      </c>
      <c r="FX471">
        <v>-1</v>
      </c>
      <c r="FY471">
        <v>0</v>
      </c>
      <c r="FZ471">
        <v>0</v>
      </c>
      <c r="GA471" t="s">
        <v>420</v>
      </c>
      <c r="GB471">
        <v>2.98165</v>
      </c>
      <c r="GC471">
        <v>2.70617</v>
      </c>
      <c r="GD471">
        <v>0.205017</v>
      </c>
      <c r="GE471">
        <v>0.208849</v>
      </c>
      <c r="GF471">
        <v>0.0875785</v>
      </c>
      <c r="GG471">
        <v>0.0564561</v>
      </c>
      <c r="GH471">
        <v>25124.2</v>
      </c>
      <c r="GI471">
        <v>25056.1</v>
      </c>
      <c r="GJ471">
        <v>29380.8</v>
      </c>
      <c r="GK471">
        <v>29294.6</v>
      </c>
      <c r="GL471">
        <v>35497.1</v>
      </c>
      <c r="GM471">
        <v>36822.1</v>
      </c>
      <c r="GN471">
        <v>41354.2</v>
      </c>
      <c r="GO471">
        <v>41815.5</v>
      </c>
      <c r="GP471">
        <v>1.967</v>
      </c>
      <c r="GQ471">
        <v>1.86052</v>
      </c>
      <c r="GR471">
        <v>-0.00171363</v>
      </c>
      <c r="GS471">
        <v>0</v>
      </c>
      <c r="GT471">
        <v>25.0636</v>
      </c>
      <c r="GU471">
        <v>999.9</v>
      </c>
      <c r="GV471">
        <v>29.3</v>
      </c>
      <c r="GW471">
        <v>34.2</v>
      </c>
      <c r="GX471">
        <v>17.6077</v>
      </c>
      <c r="GY471">
        <v>62.3776</v>
      </c>
      <c r="GZ471">
        <v>35.3886</v>
      </c>
      <c r="HA471">
        <v>1</v>
      </c>
      <c r="HB471">
        <v>0.0386966</v>
      </c>
      <c r="HC471">
        <v>1.82043</v>
      </c>
      <c r="HD471">
        <v>20.3247</v>
      </c>
      <c r="HE471">
        <v>5.21864</v>
      </c>
      <c r="HF471">
        <v>12.0099</v>
      </c>
      <c r="HG471">
        <v>4.98905</v>
      </c>
      <c r="HH471">
        <v>3.28865</v>
      </c>
      <c r="HI471">
        <v>1037.7</v>
      </c>
      <c r="HJ471">
        <v>9777.1</v>
      </c>
      <c r="HK471">
        <v>5139.4</v>
      </c>
      <c r="HL471">
        <v>25.4</v>
      </c>
      <c r="HM471">
        <v>1.86747</v>
      </c>
      <c r="HN471">
        <v>1.86646</v>
      </c>
      <c r="HO471">
        <v>1.866</v>
      </c>
      <c r="HP471">
        <v>1.86586</v>
      </c>
      <c r="HQ471">
        <v>1.86768</v>
      </c>
      <c r="HR471">
        <v>1.87019</v>
      </c>
      <c r="HS471">
        <v>1.8689</v>
      </c>
      <c r="HT471">
        <v>1.87022</v>
      </c>
      <c r="HU471">
        <v>0</v>
      </c>
      <c r="HV471">
        <v>0</v>
      </c>
      <c r="HW471">
        <v>0</v>
      </c>
      <c r="HX471">
        <v>0</v>
      </c>
      <c r="HY471" t="s">
        <v>421</v>
      </c>
      <c r="HZ471" t="s">
        <v>422</v>
      </c>
      <c r="IA471" t="s">
        <v>423</v>
      </c>
      <c r="IB471" t="s">
        <v>423</v>
      </c>
      <c r="IC471" t="s">
        <v>423</v>
      </c>
      <c r="ID471" t="s">
        <v>423</v>
      </c>
      <c r="IE471">
        <v>0</v>
      </c>
      <c r="IF471">
        <v>100</v>
      </c>
      <c r="IG471">
        <v>100</v>
      </c>
      <c r="IH471">
        <v>-2.55</v>
      </c>
      <c r="II471">
        <v>0.0196</v>
      </c>
      <c r="IJ471">
        <v>-0.1559367209035702</v>
      </c>
      <c r="IK471">
        <v>-0.002077099775823331</v>
      </c>
      <c r="IL471">
        <v>4.593143279902166E-07</v>
      </c>
      <c r="IM471">
        <v>-1.865383991892071E-10</v>
      </c>
      <c r="IN471">
        <v>-0.0607165066849496</v>
      </c>
      <c r="IO471">
        <v>-0.01129461987421345</v>
      </c>
      <c r="IP471">
        <v>0.00116580895745559</v>
      </c>
      <c r="IQ471">
        <v>-1.679085872906199E-05</v>
      </c>
      <c r="IR471">
        <v>2</v>
      </c>
      <c r="IS471">
        <v>2290</v>
      </c>
      <c r="IT471">
        <v>0</v>
      </c>
      <c r="IU471">
        <v>32</v>
      </c>
      <c r="IV471">
        <v>19.4</v>
      </c>
      <c r="IW471">
        <v>19.2</v>
      </c>
      <c r="IX471">
        <v>2.74658</v>
      </c>
      <c r="IY471">
        <v>2.17896</v>
      </c>
      <c r="IZ471">
        <v>1.39648</v>
      </c>
      <c r="JA471">
        <v>2.35474</v>
      </c>
      <c r="JB471">
        <v>1.49536</v>
      </c>
      <c r="JC471">
        <v>2.35229</v>
      </c>
      <c r="JD471">
        <v>38.0134</v>
      </c>
      <c r="JE471">
        <v>24.0437</v>
      </c>
      <c r="JF471">
        <v>18</v>
      </c>
      <c r="JG471">
        <v>511.601</v>
      </c>
      <c r="JH471">
        <v>429.152</v>
      </c>
      <c r="JI471">
        <v>22.9612</v>
      </c>
      <c r="JJ471">
        <v>27.8113</v>
      </c>
      <c r="JK471">
        <v>30</v>
      </c>
      <c r="JL471">
        <v>27.8159</v>
      </c>
      <c r="JM471">
        <v>27.7592</v>
      </c>
      <c r="JN471">
        <v>55.0067</v>
      </c>
      <c r="JO471">
        <v>39.7066</v>
      </c>
      <c r="JP471">
        <v>0</v>
      </c>
      <c r="JQ471">
        <v>22.9415</v>
      </c>
      <c r="JR471">
        <v>1416.64</v>
      </c>
      <c r="JS471">
        <v>10.4627</v>
      </c>
      <c r="JT471">
        <v>100.429</v>
      </c>
      <c r="JU471">
        <v>100.357</v>
      </c>
    </row>
    <row r="472" spans="1:281">
      <c r="A472">
        <v>456</v>
      </c>
      <c r="B472">
        <v>1651866675</v>
      </c>
      <c r="C472">
        <v>2454.400000095367</v>
      </c>
      <c r="D472" t="s">
        <v>1335</v>
      </c>
      <c r="E472" t="s">
        <v>1336</v>
      </c>
      <c r="F472">
        <v>2</v>
      </c>
      <c r="G472" t="s">
        <v>908</v>
      </c>
      <c r="H472" t="s">
        <v>414</v>
      </c>
      <c r="I472">
        <v>1651866674</v>
      </c>
      <c r="J472">
        <f>(K472)/1000</f>
        <v>0</v>
      </c>
      <c r="K472">
        <f>IF(CZ472, AN472, AH472)</f>
        <v>0</v>
      </c>
      <c r="L472">
        <f>IF(CZ472, AI472, AG472)</f>
        <v>0</v>
      </c>
      <c r="M472">
        <f>DB472 - IF(AU472&gt;1, L472*CV472*100.0/(AW472*DP472), 0)</f>
        <v>0</v>
      </c>
      <c r="N472">
        <f>((T472-J472/2)*M472-L472)/(T472+J472/2)</f>
        <v>0</v>
      </c>
      <c r="O472">
        <f>N472*(DI472+DJ472)/1000.0</f>
        <v>0</v>
      </c>
      <c r="P472">
        <f>(DB472 - IF(AU472&gt;1, L472*CV472*100.0/(AW472*DP472), 0))*(DI472+DJ472)/1000.0</f>
        <v>0</v>
      </c>
      <c r="Q472">
        <f>2.0/((1/S472-1/R472)+SIGN(S472)*SQRT((1/S472-1/R472)*(1/S472-1/R472) + 4*CW472/((CW472+1)*(CW472+1))*(2*1/S472*1/R472-1/R472*1/R472)))</f>
        <v>0</v>
      </c>
      <c r="R472">
        <f>IF(LEFT(CX472,1)&lt;&gt;"0",IF(LEFT(CX472,1)="1",3.0,CY472),$D$5+$E$5*(DP472*DI472/($K$5*1000))+$F$5*(DP472*DI472/($K$5*1000))*MAX(MIN(CV472,$J$5),$I$5)*MAX(MIN(CV472,$J$5),$I$5)+$G$5*MAX(MIN(CV472,$J$5),$I$5)*(DP472*DI472/($K$5*1000))+$H$5*(DP472*DI472/($K$5*1000))*(DP472*DI472/($K$5*1000)))</f>
        <v>0</v>
      </c>
      <c r="S472">
        <f>J472*(1000-(1000*0.61365*exp(17.502*W472/(240.97+W472))/(DI472+DJ472)+DD472)/2)/(1000*0.61365*exp(17.502*W472/(240.97+W472))/(DI472+DJ472)-DD472)</f>
        <v>0</v>
      </c>
      <c r="T472">
        <f>1/((CW472+1)/(Q472/1.6)+1/(R472/1.37)) + CW472/((CW472+1)/(Q472/1.6) + CW472/(R472/1.37))</f>
        <v>0</v>
      </c>
      <c r="U472">
        <f>(CR472*CU472)</f>
        <v>0</v>
      </c>
      <c r="V472">
        <f>(DK472+(U472+2*0.95*5.67E-8*(((DK472+$B$7)+273)^4-(DK472+273)^4)-44100*J472)/(1.84*29.3*R472+8*0.95*5.67E-8*(DK472+273)^3))</f>
        <v>0</v>
      </c>
      <c r="W472">
        <f>($C$7*DL472+$D$7*DM472+$E$7*V472)</f>
        <v>0</v>
      </c>
      <c r="X472">
        <f>0.61365*exp(17.502*W472/(240.97+W472))</f>
        <v>0</v>
      </c>
      <c r="Y472">
        <f>(Z472/AA472*100)</f>
        <v>0</v>
      </c>
      <c r="Z472">
        <f>DD472*(DI472+DJ472)/1000</f>
        <v>0</v>
      </c>
      <c r="AA472">
        <f>0.61365*exp(17.502*DK472/(240.97+DK472))</f>
        <v>0</v>
      </c>
      <c r="AB472">
        <f>(X472-DD472*(DI472+DJ472)/1000)</f>
        <v>0</v>
      </c>
      <c r="AC472">
        <f>(-J472*44100)</f>
        <v>0</v>
      </c>
      <c r="AD472">
        <f>2*29.3*R472*0.92*(DK472-W472)</f>
        <v>0</v>
      </c>
      <c r="AE472">
        <f>2*0.95*5.67E-8*(((DK472+$B$7)+273)^4-(W472+273)^4)</f>
        <v>0</v>
      </c>
      <c r="AF472">
        <f>U472+AE472+AC472+AD472</f>
        <v>0</v>
      </c>
      <c r="AG472">
        <f>DH472*AU472*(DC472-DB472*(1000-AU472*DE472)/(1000-AU472*DD472))/(100*CV472)</f>
        <v>0</v>
      </c>
      <c r="AH472">
        <f>1000*DH472*AU472*(DD472-DE472)/(100*CV472*(1000-AU472*DD472))</f>
        <v>0</v>
      </c>
      <c r="AI472">
        <f>(AJ472 - AK472 - DI472*1E3/(8.314*(DK472+273.15)) * AM472/DH472 * AL472) * DH472/(100*CV472) * (1000 - DE472)/1000</f>
        <v>0</v>
      </c>
      <c r="AJ472">
        <v>1408.52502021067</v>
      </c>
      <c r="AK472">
        <v>1360.006666666667</v>
      </c>
      <c r="AL472">
        <v>3.402664712723789</v>
      </c>
      <c r="AM472">
        <v>66.38195617057868</v>
      </c>
      <c r="AN472">
        <f>(AP472 - AO472 + DI472*1E3/(8.314*(DK472+273.15)) * AR472/DH472 * AQ472) * DH472/(100*CV472) * 1000/(1000 - AP472)</f>
        <v>0</v>
      </c>
      <c r="AO472">
        <v>10.17321518462887</v>
      </c>
      <c r="AP472">
        <v>18.2774505882353</v>
      </c>
      <c r="AQ472">
        <v>-0.001570932801525246</v>
      </c>
      <c r="AR472">
        <v>80.47178418790507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MAX(0,($B$13+$C$13*DP472)/(1+$D$13*DP472)*DI472/(DK472+273)*$E$13)</f>
        <v>0</v>
      </c>
      <c r="AX472" t="s">
        <v>417</v>
      </c>
      <c r="AY472" t="s">
        <v>417</v>
      </c>
      <c r="AZ472">
        <v>0</v>
      </c>
      <c r="BA472">
        <v>0</v>
      </c>
      <c r="BB472">
        <f>1-AZ472/BA472</f>
        <v>0</v>
      </c>
      <c r="BC472">
        <v>0</v>
      </c>
      <c r="BD472" t="s">
        <v>417</v>
      </c>
      <c r="BE472" t="s">
        <v>417</v>
      </c>
      <c r="BF472">
        <v>0</v>
      </c>
      <c r="BG472">
        <v>0</v>
      </c>
      <c r="BH472">
        <f>1-BF472/BG472</f>
        <v>0</v>
      </c>
      <c r="BI472">
        <v>0.5</v>
      </c>
      <c r="BJ472">
        <f>CS472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417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BZ472">
        <v>1249</v>
      </c>
      <c r="CA472">
        <v>300</v>
      </c>
      <c r="CB472">
        <v>300</v>
      </c>
      <c r="CC472">
        <v>300</v>
      </c>
      <c r="CD472">
        <v>10442.4</v>
      </c>
      <c r="CE472">
        <v>1239.69</v>
      </c>
      <c r="CF472">
        <v>-0.00735276</v>
      </c>
      <c r="CG472">
        <v>0.07000000000000001</v>
      </c>
      <c r="CH472" t="s">
        <v>417</v>
      </c>
      <c r="CI472" t="s">
        <v>417</v>
      </c>
      <c r="CJ472" t="s">
        <v>417</v>
      </c>
      <c r="CK472" t="s">
        <v>417</v>
      </c>
      <c r="CL472" t="s">
        <v>417</v>
      </c>
      <c r="CM472" t="s">
        <v>417</v>
      </c>
      <c r="CN472" t="s">
        <v>417</v>
      </c>
      <c r="CO472" t="s">
        <v>417</v>
      </c>
      <c r="CP472" t="s">
        <v>417</v>
      </c>
      <c r="CQ472" t="s">
        <v>417</v>
      </c>
      <c r="CR472">
        <f>$B$11*DQ472+$C$11*DR472+$F$11*EC472*(1-EF472)</f>
        <v>0</v>
      </c>
      <c r="CS472">
        <f>CR472*CT472</f>
        <v>0</v>
      </c>
      <c r="CT472">
        <f>($B$11*$D$9+$C$11*$D$9+$F$11*((EP472+EH472)/MAX(EP472+EH472+EQ472, 0.1)*$I$9+EQ472/MAX(EP472+EH472+EQ472, 0.1)*$J$9))/($B$11+$C$11+$F$11)</f>
        <v>0</v>
      </c>
      <c r="CU472">
        <f>($B$11*$K$9+$C$11*$K$9+$F$11*((EP472+EH472)/MAX(EP472+EH472+EQ472, 0.1)*$P$9+EQ472/MAX(EP472+EH472+EQ472, 0.1)*$Q$9))/($B$11+$C$11+$F$11)</f>
        <v>0</v>
      </c>
      <c r="CV472">
        <v>6</v>
      </c>
      <c r="CW472">
        <v>0.5</v>
      </c>
      <c r="CX472" t="s">
        <v>418</v>
      </c>
      <c r="CY472">
        <v>2</v>
      </c>
      <c r="CZ472" t="b">
        <v>1</v>
      </c>
      <c r="DA472">
        <v>1651866674</v>
      </c>
      <c r="DB472">
        <v>1333.48</v>
      </c>
      <c r="DC472">
        <v>1399.9</v>
      </c>
      <c r="DD472">
        <v>18.2796</v>
      </c>
      <c r="DE472">
        <v>10.26726666666667</v>
      </c>
      <c r="DF472">
        <v>1336.04</v>
      </c>
      <c r="DG472">
        <v>18.26</v>
      </c>
      <c r="DH472">
        <v>500.0296666666666</v>
      </c>
      <c r="DI472">
        <v>89.9115</v>
      </c>
      <c r="DJ472">
        <v>0.1002513333333333</v>
      </c>
      <c r="DK472">
        <v>25.9188</v>
      </c>
      <c r="DL472">
        <v>25.03723333333333</v>
      </c>
      <c r="DM472">
        <v>999.9</v>
      </c>
      <c r="DN472">
        <v>0</v>
      </c>
      <c r="DO472">
        <v>0</v>
      </c>
      <c r="DP472">
        <v>9965.833333333334</v>
      </c>
      <c r="DQ472">
        <v>0</v>
      </c>
      <c r="DR472">
        <v>3.20383</v>
      </c>
      <c r="DS472">
        <v>-66.41746666666667</v>
      </c>
      <c r="DT472">
        <v>1358.31</v>
      </c>
      <c r="DU472">
        <v>1414.42</v>
      </c>
      <c r="DV472">
        <v>8.012286666666666</v>
      </c>
      <c r="DW472">
        <v>1399.9</v>
      </c>
      <c r="DX472">
        <v>10.26726666666667</v>
      </c>
      <c r="DY472">
        <v>1.64354</v>
      </c>
      <c r="DZ472">
        <v>0.9231463333333333</v>
      </c>
      <c r="EA472">
        <v>14.37323333333333</v>
      </c>
      <c r="EB472">
        <v>5.756710000000001</v>
      </c>
      <c r="EC472">
        <v>1500.163333333333</v>
      </c>
      <c r="ED472">
        <v>0.9729886666666667</v>
      </c>
      <c r="EE472">
        <v>0.0270112</v>
      </c>
      <c r="EF472">
        <v>0</v>
      </c>
      <c r="EG472">
        <v>890.3100000000001</v>
      </c>
      <c r="EH472">
        <v>5.00097</v>
      </c>
      <c r="EI472">
        <v>13236.13333333333</v>
      </c>
      <c r="EJ472">
        <v>12492.83333333333</v>
      </c>
      <c r="EK472">
        <v>37.5</v>
      </c>
      <c r="EL472">
        <v>38.875</v>
      </c>
      <c r="EM472">
        <v>37.937</v>
      </c>
      <c r="EN472">
        <v>38.5</v>
      </c>
      <c r="EO472">
        <v>38.375</v>
      </c>
      <c r="EP472">
        <v>1454.776666666667</v>
      </c>
      <c r="EQ472">
        <v>40.38666666666666</v>
      </c>
      <c r="ER472">
        <v>0</v>
      </c>
      <c r="ES472">
        <v>1192.400000095367</v>
      </c>
      <c r="ET472">
        <v>0</v>
      </c>
      <c r="EU472">
        <v>891.3610000000001</v>
      </c>
      <c r="EV472">
        <v>-11.61408547930577</v>
      </c>
      <c r="EW472">
        <v>-179.2000002602604</v>
      </c>
      <c r="EX472">
        <v>13254.29230769231</v>
      </c>
      <c r="EY472">
        <v>15</v>
      </c>
      <c r="EZ472">
        <v>1651865518.1</v>
      </c>
      <c r="FA472" t="s">
        <v>910</v>
      </c>
      <c r="FB472">
        <v>1651865507.1</v>
      </c>
      <c r="FC472">
        <v>1651865518.1</v>
      </c>
      <c r="FD472">
        <v>8</v>
      </c>
      <c r="FE472">
        <v>0.06</v>
      </c>
      <c r="FF472">
        <v>0</v>
      </c>
      <c r="FG472">
        <v>-0.927</v>
      </c>
      <c r="FH472">
        <v>-0.062</v>
      </c>
      <c r="FI472">
        <v>400</v>
      </c>
      <c r="FJ472">
        <v>11</v>
      </c>
      <c r="FK472">
        <v>0.11</v>
      </c>
      <c r="FL472">
        <v>0.01</v>
      </c>
      <c r="FM472">
        <v>-66.44160487804878</v>
      </c>
      <c r="FN472">
        <v>-0.9947247386759782</v>
      </c>
      <c r="FO472">
        <v>0.1793817416698183</v>
      </c>
      <c r="FP472">
        <v>-1</v>
      </c>
      <c r="FQ472">
        <v>8.275504634146341</v>
      </c>
      <c r="FR472">
        <v>-1.590096376306593</v>
      </c>
      <c r="FS472">
        <v>0.1569520462589328</v>
      </c>
      <c r="FT472">
        <v>-1</v>
      </c>
      <c r="FU472">
        <v>0</v>
      </c>
      <c r="FV472">
        <v>0</v>
      </c>
      <c r="FW472">
        <v>0</v>
      </c>
      <c r="FX472">
        <v>-1</v>
      </c>
      <c r="FY472">
        <v>0</v>
      </c>
      <c r="FZ472">
        <v>0</v>
      </c>
      <c r="GA472" t="s">
        <v>420</v>
      </c>
      <c r="GB472">
        <v>2.98156</v>
      </c>
      <c r="GC472">
        <v>2.70602</v>
      </c>
      <c r="GD472">
        <v>0.20565</v>
      </c>
      <c r="GE472">
        <v>0.209457</v>
      </c>
      <c r="GF472">
        <v>0.08755599999999999</v>
      </c>
      <c r="GG472">
        <v>0.0566458</v>
      </c>
      <c r="GH472">
        <v>25103.9</v>
      </c>
      <c r="GI472">
        <v>25037</v>
      </c>
      <c r="GJ472">
        <v>29380.4</v>
      </c>
      <c r="GK472">
        <v>29294.8</v>
      </c>
      <c r="GL472">
        <v>35497.6</v>
      </c>
      <c r="GM472">
        <v>36814.8</v>
      </c>
      <c r="GN472">
        <v>41353.8</v>
      </c>
      <c r="GO472">
        <v>41815.6</v>
      </c>
      <c r="GP472">
        <v>1.96682</v>
      </c>
      <c r="GQ472">
        <v>1.86073</v>
      </c>
      <c r="GR472">
        <v>-0.00137836</v>
      </c>
      <c r="GS472">
        <v>0</v>
      </c>
      <c r="GT472">
        <v>25.0636</v>
      </c>
      <c r="GU472">
        <v>999.9</v>
      </c>
      <c r="GV472">
        <v>29.3</v>
      </c>
      <c r="GW472">
        <v>34.2</v>
      </c>
      <c r="GX472">
        <v>17.6067</v>
      </c>
      <c r="GY472">
        <v>62.5976</v>
      </c>
      <c r="GZ472">
        <v>35.3846</v>
      </c>
      <c r="HA472">
        <v>1</v>
      </c>
      <c r="HB472">
        <v>0.0387221</v>
      </c>
      <c r="HC472">
        <v>1.80028</v>
      </c>
      <c r="HD472">
        <v>20.3248</v>
      </c>
      <c r="HE472">
        <v>5.21879</v>
      </c>
      <c r="HF472">
        <v>12.0099</v>
      </c>
      <c r="HG472">
        <v>4.9892</v>
      </c>
      <c r="HH472">
        <v>3.28865</v>
      </c>
      <c r="HI472">
        <v>1037.9</v>
      </c>
      <c r="HJ472">
        <v>9778.299999999999</v>
      </c>
      <c r="HK472">
        <v>5139.4</v>
      </c>
      <c r="HL472">
        <v>25.4</v>
      </c>
      <c r="HM472">
        <v>1.86748</v>
      </c>
      <c r="HN472">
        <v>1.86646</v>
      </c>
      <c r="HO472">
        <v>1.866</v>
      </c>
      <c r="HP472">
        <v>1.86585</v>
      </c>
      <c r="HQ472">
        <v>1.86768</v>
      </c>
      <c r="HR472">
        <v>1.87021</v>
      </c>
      <c r="HS472">
        <v>1.8689</v>
      </c>
      <c r="HT472">
        <v>1.87021</v>
      </c>
      <c r="HU472">
        <v>0</v>
      </c>
      <c r="HV472">
        <v>0</v>
      </c>
      <c r="HW472">
        <v>0</v>
      </c>
      <c r="HX472">
        <v>0</v>
      </c>
      <c r="HY472" t="s">
        <v>421</v>
      </c>
      <c r="HZ472" t="s">
        <v>422</v>
      </c>
      <c r="IA472" t="s">
        <v>423</v>
      </c>
      <c r="IB472" t="s">
        <v>423</v>
      </c>
      <c r="IC472" t="s">
        <v>423</v>
      </c>
      <c r="ID472" t="s">
        <v>423</v>
      </c>
      <c r="IE472">
        <v>0</v>
      </c>
      <c r="IF472">
        <v>100</v>
      </c>
      <c r="IG472">
        <v>100</v>
      </c>
      <c r="IH472">
        <v>-2.56</v>
      </c>
      <c r="II472">
        <v>0.0195</v>
      </c>
      <c r="IJ472">
        <v>-0.1559367209035702</v>
      </c>
      <c r="IK472">
        <v>-0.002077099775823331</v>
      </c>
      <c r="IL472">
        <v>4.593143279902166E-07</v>
      </c>
      <c r="IM472">
        <v>-1.865383991892071E-10</v>
      </c>
      <c r="IN472">
        <v>-0.0607165066849496</v>
      </c>
      <c r="IO472">
        <v>-0.01129461987421345</v>
      </c>
      <c r="IP472">
        <v>0.00116580895745559</v>
      </c>
      <c r="IQ472">
        <v>-1.679085872906199E-05</v>
      </c>
      <c r="IR472">
        <v>2</v>
      </c>
      <c r="IS472">
        <v>2290</v>
      </c>
      <c r="IT472">
        <v>0</v>
      </c>
      <c r="IU472">
        <v>32</v>
      </c>
      <c r="IV472">
        <v>19.5</v>
      </c>
      <c r="IW472">
        <v>19.3</v>
      </c>
      <c r="IX472">
        <v>2.75757</v>
      </c>
      <c r="IY472">
        <v>2.17529</v>
      </c>
      <c r="IZ472">
        <v>1.39648</v>
      </c>
      <c r="JA472">
        <v>2.35474</v>
      </c>
      <c r="JB472">
        <v>1.49536</v>
      </c>
      <c r="JC472">
        <v>2.3584</v>
      </c>
      <c r="JD472">
        <v>38.0134</v>
      </c>
      <c r="JE472">
        <v>24.035</v>
      </c>
      <c r="JF472">
        <v>18</v>
      </c>
      <c r="JG472">
        <v>511.477</v>
      </c>
      <c r="JH472">
        <v>429.263</v>
      </c>
      <c r="JI472">
        <v>22.9441</v>
      </c>
      <c r="JJ472">
        <v>27.8101</v>
      </c>
      <c r="JK472">
        <v>30.0001</v>
      </c>
      <c r="JL472">
        <v>27.8148</v>
      </c>
      <c r="JM472">
        <v>27.758</v>
      </c>
      <c r="JN472">
        <v>55.2201</v>
      </c>
      <c r="JO472">
        <v>39.4359</v>
      </c>
      <c r="JP472">
        <v>0</v>
      </c>
      <c r="JQ472">
        <v>22.9051</v>
      </c>
      <c r="JR472">
        <v>1423.32</v>
      </c>
      <c r="JS472">
        <v>10.5204</v>
      </c>
      <c r="JT472">
        <v>100.428</v>
      </c>
      <c r="JU472">
        <v>100.358</v>
      </c>
    </row>
    <row r="473" spans="1:281">
      <c r="A473">
        <v>457</v>
      </c>
      <c r="B473">
        <v>1651866677</v>
      </c>
      <c r="C473">
        <v>2456.400000095367</v>
      </c>
      <c r="D473" t="s">
        <v>1337</v>
      </c>
      <c r="E473" t="s">
        <v>1338</v>
      </c>
      <c r="F473">
        <v>2</v>
      </c>
      <c r="G473" t="s">
        <v>908</v>
      </c>
      <c r="H473" t="s">
        <v>414</v>
      </c>
      <c r="I473">
        <v>1651866675.625</v>
      </c>
      <c r="J473">
        <f>(K473)/1000</f>
        <v>0</v>
      </c>
      <c r="K473">
        <f>IF(CZ473, AN473, AH473)</f>
        <v>0</v>
      </c>
      <c r="L473">
        <f>IF(CZ473, AI473, AG473)</f>
        <v>0</v>
      </c>
      <c r="M473">
        <f>DB473 - IF(AU473&gt;1, L473*CV473*100.0/(AW473*DP473), 0)</f>
        <v>0</v>
      </c>
      <c r="N473">
        <f>((T473-J473/2)*M473-L473)/(T473+J473/2)</f>
        <v>0</v>
      </c>
      <c r="O473">
        <f>N473*(DI473+DJ473)/1000.0</f>
        <v>0</v>
      </c>
      <c r="P473">
        <f>(DB473 - IF(AU473&gt;1, L473*CV473*100.0/(AW473*DP473), 0))*(DI473+DJ473)/1000.0</f>
        <v>0</v>
      </c>
      <c r="Q473">
        <f>2.0/((1/S473-1/R473)+SIGN(S473)*SQRT((1/S473-1/R473)*(1/S473-1/R473) + 4*CW473/((CW473+1)*(CW473+1))*(2*1/S473*1/R473-1/R473*1/R473)))</f>
        <v>0</v>
      </c>
      <c r="R473">
        <f>IF(LEFT(CX473,1)&lt;&gt;"0",IF(LEFT(CX473,1)="1",3.0,CY473),$D$5+$E$5*(DP473*DI473/($K$5*1000))+$F$5*(DP473*DI473/($K$5*1000))*MAX(MIN(CV473,$J$5),$I$5)*MAX(MIN(CV473,$J$5),$I$5)+$G$5*MAX(MIN(CV473,$J$5),$I$5)*(DP473*DI473/($K$5*1000))+$H$5*(DP473*DI473/($K$5*1000))*(DP473*DI473/($K$5*1000)))</f>
        <v>0</v>
      </c>
      <c r="S473">
        <f>J473*(1000-(1000*0.61365*exp(17.502*W473/(240.97+W473))/(DI473+DJ473)+DD473)/2)/(1000*0.61365*exp(17.502*W473/(240.97+W473))/(DI473+DJ473)-DD473)</f>
        <v>0</v>
      </c>
      <c r="T473">
        <f>1/((CW473+1)/(Q473/1.6)+1/(R473/1.37)) + CW473/((CW473+1)/(Q473/1.6) + CW473/(R473/1.37))</f>
        <v>0</v>
      </c>
      <c r="U473">
        <f>(CR473*CU473)</f>
        <v>0</v>
      </c>
      <c r="V473">
        <f>(DK473+(U473+2*0.95*5.67E-8*(((DK473+$B$7)+273)^4-(DK473+273)^4)-44100*J473)/(1.84*29.3*R473+8*0.95*5.67E-8*(DK473+273)^3))</f>
        <v>0</v>
      </c>
      <c r="W473">
        <f>($C$7*DL473+$D$7*DM473+$E$7*V473)</f>
        <v>0</v>
      </c>
      <c r="X473">
        <f>0.61365*exp(17.502*W473/(240.97+W473))</f>
        <v>0</v>
      </c>
      <c r="Y473">
        <f>(Z473/AA473*100)</f>
        <v>0</v>
      </c>
      <c r="Z473">
        <f>DD473*(DI473+DJ473)/1000</f>
        <v>0</v>
      </c>
      <c r="AA473">
        <f>0.61365*exp(17.502*DK473/(240.97+DK473))</f>
        <v>0</v>
      </c>
      <c r="AB473">
        <f>(X473-DD473*(DI473+DJ473)/1000)</f>
        <v>0</v>
      </c>
      <c r="AC473">
        <f>(-J473*44100)</f>
        <v>0</v>
      </c>
      <c r="AD473">
        <f>2*29.3*R473*0.92*(DK473-W473)</f>
        <v>0</v>
      </c>
      <c r="AE473">
        <f>2*0.95*5.67E-8*(((DK473+$B$7)+273)^4-(W473+273)^4)</f>
        <v>0</v>
      </c>
      <c r="AF473">
        <f>U473+AE473+AC473+AD473</f>
        <v>0</v>
      </c>
      <c r="AG473">
        <f>DH473*AU473*(DC473-DB473*(1000-AU473*DE473)/(1000-AU473*DD473))/(100*CV473)</f>
        <v>0</v>
      </c>
      <c r="AH473">
        <f>1000*DH473*AU473*(DD473-DE473)/(100*CV473*(1000-AU473*DD473))</f>
        <v>0</v>
      </c>
      <c r="AI473">
        <f>(AJ473 - AK473 - DI473*1E3/(8.314*(DK473+273.15)) * AM473/DH473 * AL473) * DH473/(100*CV473) * (1000 - DE473)/1000</f>
        <v>0</v>
      </c>
      <c r="AJ473">
        <v>1415.207160503487</v>
      </c>
      <c r="AK473">
        <v>1366.701515151515</v>
      </c>
      <c r="AL473">
        <v>3.364782118462807</v>
      </c>
      <c r="AM473">
        <v>66.38195617057868</v>
      </c>
      <c r="AN473">
        <f>(AP473 - AO473 + DI473*1E3/(8.314*(DK473+273.15)) * AR473/DH473 * AQ473) * DH473/(100*CV473) * 1000/(1000 - AP473)</f>
        <v>0</v>
      </c>
      <c r="AO473">
        <v>10.22995634443361</v>
      </c>
      <c r="AP473">
        <v>18.27012205882352</v>
      </c>
      <c r="AQ473">
        <v>-0.001162681198734156</v>
      </c>
      <c r="AR473">
        <v>80.47178418790507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MAX(0,($B$13+$C$13*DP473)/(1+$D$13*DP473)*DI473/(DK473+273)*$E$13)</f>
        <v>0</v>
      </c>
      <c r="AX473" t="s">
        <v>417</v>
      </c>
      <c r="AY473" t="s">
        <v>417</v>
      </c>
      <c r="AZ473">
        <v>0</v>
      </c>
      <c r="BA473">
        <v>0</v>
      </c>
      <c r="BB473">
        <f>1-AZ473/BA473</f>
        <v>0</v>
      </c>
      <c r="BC473">
        <v>0</v>
      </c>
      <c r="BD473" t="s">
        <v>417</v>
      </c>
      <c r="BE473" t="s">
        <v>417</v>
      </c>
      <c r="BF473">
        <v>0</v>
      </c>
      <c r="BG473">
        <v>0</v>
      </c>
      <c r="BH473">
        <f>1-BF473/BG473</f>
        <v>0</v>
      </c>
      <c r="BI473">
        <v>0.5</v>
      </c>
      <c r="BJ473">
        <f>CS473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417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BZ473">
        <v>1249</v>
      </c>
      <c r="CA473">
        <v>300</v>
      </c>
      <c r="CB473">
        <v>300</v>
      </c>
      <c r="CC473">
        <v>300</v>
      </c>
      <c r="CD473">
        <v>10442.4</v>
      </c>
      <c r="CE473">
        <v>1239.69</v>
      </c>
      <c r="CF473">
        <v>-0.00735276</v>
      </c>
      <c r="CG473">
        <v>0.07000000000000001</v>
      </c>
      <c r="CH473" t="s">
        <v>417</v>
      </c>
      <c r="CI473" t="s">
        <v>417</v>
      </c>
      <c r="CJ473" t="s">
        <v>417</v>
      </c>
      <c r="CK473" t="s">
        <v>417</v>
      </c>
      <c r="CL473" t="s">
        <v>417</v>
      </c>
      <c r="CM473" t="s">
        <v>417</v>
      </c>
      <c r="CN473" t="s">
        <v>417</v>
      </c>
      <c r="CO473" t="s">
        <v>417</v>
      </c>
      <c r="CP473" t="s">
        <v>417</v>
      </c>
      <c r="CQ473" t="s">
        <v>417</v>
      </c>
      <c r="CR473">
        <f>$B$11*DQ473+$C$11*DR473+$F$11*EC473*(1-EF473)</f>
        <v>0</v>
      </c>
      <c r="CS473">
        <f>CR473*CT473</f>
        <v>0</v>
      </c>
      <c r="CT473">
        <f>($B$11*$D$9+$C$11*$D$9+$F$11*((EP473+EH473)/MAX(EP473+EH473+EQ473, 0.1)*$I$9+EQ473/MAX(EP473+EH473+EQ473, 0.1)*$J$9))/($B$11+$C$11+$F$11)</f>
        <v>0</v>
      </c>
      <c r="CU473">
        <f>($B$11*$K$9+$C$11*$K$9+$F$11*((EP473+EH473)/MAX(EP473+EH473+EQ473, 0.1)*$P$9+EQ473/MAX(EP473+EH473+EQ473, 0.1)*$Q$9))/($B$11+$C$11+$F$11)</f>
        <v>0</v>
      </c>
      <c r="CV473">
        <v>6</v>
      </c>
      <c r="CW473">
        <v>0.5</v>
      </c>
      <c r="CX473" t="s">
        <v>418</v>
      </c>
      <c r="CY473">
        <v>2</v>
      </c>
      <c r="CZ473" t="b">
        <v>1</v>
      </c>
      <c r="DA473">
        <v>1651866675.625</v>
      </c>
      <c r="DB473">
        <v>1338.85</v>
      </c>
      <c r="DC473">
        <v>1405.52</v>
      </c>
      <c r="DD473">
        <v>18.273375</v>
      </c>
      <c r="DE473">
        <v>10.305625</v>
      </c>
      <c r="DF473">
        <v>1341.42</v>
      </c>
      <c r="DG473">
        <v>18.253925</v>
      </c>
      <c r="DH473">
        <v>500.05825</v>
      </c>
      <c r="DI473">
        <v>89.91200000000001</v>
      </c>
      <c r="DJ473">
        <v>0.100041175</v>
      </c>
      <c r="DK473">
        <v>25.9169</v>
      </c>
      <c r="DL473">
        <v>25.0398</v>
      </c>
      <c r="DM473">
        <v>999.9</v>
      </c>
      <c r="DN473">
        <v>0</v>
      </c>
      <c r="DO473">
        <v>0</v>
      </c>
      <c r="DP473">
        <v>9977.1875</v>
      </c>
      <c r="DQ473">
        <v>0</v>
      </c>
      <c r="DR473">
        <v>3.2112075</v>
      </c>
      <c r="DS473">
        <v>-66.670525</v>
      </c>
      <c r="DT473">
        <v>1363.77</v>
      </c>
      <c r="DU473">
        <v>1420.155</v>
      </c>
      <c r="DV473">
        <v>7.96773</v>
      </c>
      <c r="DW473">
        <v>1405.52</v>
      </c>
      <c r="DX473">
        <v>10.305625</v>
      </c>
      <c r="DY473">
        <v>1.6429925</v>
      </c>
      <c r="DZ473">
        <v>0.9266</v>
      </c>
      <c r="EA473">
        <v>14.368075</v>
      </c>
      <c r="EB473">
        <v>5.8106025</v>
      </c>
      <c r="EC473">
        <v>1500.0075</v>
      </c>
      <c r="ED473">
        <v>0.97299925</v>
      </c>
      <c r="EE473">
        <v>0.027000675</v>
      </c>
      <c r="EF473">
        <v>0</v>
      </c>
      <c r="EG473">
        <v>889.89225</v>
      </c>
      <c r="EH473">
        <v>5.00097</v>
      </c>
      <c r="EI473">
        <v>13229.5</v>
      </c>
      <c r="EJ473">
        <v>12491.625</v>
      </c>
      <c r="EK473">
        <v>37.5</v>
      </c>
      <c r="EL473">
        <v>38.8435</v>
      </c>
      <c r="EM473">
        <v>37.8905</v>
      </c>
      <c r="EN473">
        <v>38.5</v>
      </c>
      <c r="EO473">
        <v>38.375</v>
      </c>
      <c r="EP473">
        <v>1454.6425</v>
      </c>
      <c r="EQ473">
        <v>40.365</v>
      </c>
      <c r="ER473">
        <v>0</v>
      </c>
      <c r="ES473">
        <v>1194.799999952316</v>
      </c>
      <c r="ET473">
        <v>0</v>
      </c>
      <c r="EU473">
        <v>890.9303461538461</v>
      </c>
      <c r="EV473">
        <v>-10.80078633124901</v>
      </c>
      <c r="EW473">
        <v>-176.3555557220591</v>
      </c>
      <c r="EX473">
        <v>13247.03076923077</v>
      </c>
      <c r="EY473">
        <v>15</v>
      </c>
      <c r="EZ473">
        <v>1651865518.1</v>
      </c>
      <c r="FA473" t="s">
        <v>910</v>
      </c>
      <c r="FB473">
        <v>1651865507.1</v>
      </c>
      <c r="FC473">
        <v>1651865518.1</v>
      </c>
      <c r="FD473">
        <v>8</v>
      </c>
      <c r="FE473">
        <v>0.06</v>
      </c>
      <c r="FF473">
        <v>0</v>
      </c>
      <c r="FG473">
        <v>-0.927</v>
      </c>
      <c r="FH473">
        <v>-0.062</v>
      </c>
      <c r="FI473">
        <v>400</v>
      </c>
      <c r="FJ473">
        <v>11</v>
      </c>
      <c r="FK473">
        <v>0.11</v>
      </c>
      <c r="FL473">
        <v>0.01</v>
      </c>
      <c r="FM473">
        <v>-66.4959375</v>
      </c>
      <c r="FN473">
        <v>-0.4806607879923122</v>
      </c>
      <c r="FO473">
        <v>0.1267892792934399</v>
      </c>
      <c r="FP473">
        <v>-1</v>
      </c>
      <c r="FQ473">
        <v>8.228504749999999</v>
      </c>
      <c r="FR473">
        <v>-1.613074333958739</v>
      </c>
      <c r="FS473">
        <v>0.1553560344657957</v>
      </c>
      <c r="FT473">
        <v>-1</v>
      </c>
      <c r="FU473">
        <v>0</v>
      </c>
      <c r="FV473">
        <v>0</v>
      </c>
      <c r="FW473">
        <v>0</v>
      </c>
      <c r="FX473">
        <v>-1</v>
      </c>
      <c r="FY473">
        <v>0</v>
      </c>
      <c r="FZ473">
        <v>0</v>
      </c>
      <c r="GA473" t="s">
        <v>420</v>
      </c>
      <c r="GB473">
        <v>2.98163</v>
      </c>
      <c r="GC473">
        <v>2.70603</v>
      </c>
      <c r="GD473">
        <v>0.206275</v>
      </c>
      <c r="GE473">
        <v>0.210102</v>
      </c>
      <c r="GF473">
        <v>0.08753329999999999</v>
      </c>
      <c r="GG473">
        <v>0.0568584</v>
      </c>
      <c r="GH473">
        <v>25084</v>
      </c>
      <c r="GI473">
        <v>25016.5</v>
      </c>
      <c r="GJ473">
        <v>29380.3</v>
      </c>
      <c r="GK473">
        <v>29294.8</v>
      </c>
      <c r="GL473">
        <v>35498.2</v>
      </c>
      <c r="GM473">
        <v>36806.4</v>
      </c>
      <c r="GN473">
        <v>41353.4</v>
      </c>
      <c r="GO473">
        <v>41815.5</v>
      </c>
      <c r="GP473">
        <v>1.96655</v>
      </c>
      <c r="GQ473">
        <v>1.86097</v>
      </c>
      <c r="GR473">
        <v>-0.00141561</v>
      </c>
      <c r="GS473">
        <v>0</v>
      </c>
      <c r="GT473">
        <v>25.0636</v>
      </c>
      <c r="GU473">
        <v>999.9</v>
      </c>
      <c r="GV473">
        <v>29.3</v>
      </c>
      <c r="GW473">
        <v>34.2</v>
      </c>
      <c r="GX473">
        <v>17.6065</v>
      </c>
      <c r="GY473">
        <v>62.6076</v>
      </c>
      <c r="GZ473">
        <v>35.0681</v>
      </c>
      <c r="HA473">
        <v>1</v>
      </c>
      <c r="HB473">
        <v>0.0386814</v>
      </c>
      <c r="HC473">
        <v>1.82812</v>
      </c>
      <c r="HD473">
        <v>20.3245</v>
      </c>
      <c r="HE473">
        <v>5.21879</v>
      </c>
      <c r="HF473">
        <v>12.0099</v>
      </c>
      <c r="HG473">
        <v>4.98925</v>
      </c>
      <c r="HH473">
        <v>3.28865</v>
      </c>
      <c r="HI473">
        <v>1037.9</v>
      </c>
      <c r="HJ473">
        <v>9778.299999999999</v>
      </c>
      <c r="HK473">
        <v>5139.4</v>
      </c>
      <c r="HL473">
        <v>25.4</v>
      </c>
      <c r="HM473">
        <v>1.86747</v>
      </c>
      <c r="HN473">
        <v>1.86646</v>
      </c>
      <c r="HO473">
        <v>1.866</v>
      </c>
      <c r="HP473">
        <v>1.86584</v>
      </c>
      <c r="HQ473">
        <v>1.86768</v>
      </c>
      <c r="HR473">
        <v>1.8702</v>
      </c>
      <c r="HS473">
        <v>1.8689</v>
      </c>
      <c r="HT473">
        <v>1.87021</v>
      </c>
      <c r="HU473">
        <v>0</v>
      </c>
      <c r="HV473">
        <v>0</v>
      </c>
      <c r="HW473">
        <v>0</v>
      </c>
      <c r="HX473">
        <v>0</v>
      </c>
      <c r="HY473" t="s">
        <v>421</v>
      </c>
      <c r="HZ473" t="s">
        <v>422</v>
      </c>
      <c r="IA473" t="s">
        <v>423</v>
      </c>
      <c r="IB473" t="s">
        <v>423</v>
      </c>
      <c r="IC473" t="s">
        <v>423</v>
      </c>
      <c r="ID473" t="s">
        <v>423</v>
      </c>
      <c r="IE473">
        <v>0</v>
      </c>
      <c r="IF473">
        <v>100</v>
      </c>
      <c r="IG473">
        <v>100</v>
      </c>
      <c r="IH473">
        <v>-2.57</v>
      </c>
      <c r="II473">
        <v>0.0194</v>
      </c>
      <c r="IJ473">
        <v>-0.1559367209035702</v>
      </c>
      <c r="IK473">
        <v>-0.002077099775823331</v>
      </c>
      <c r="IL473">
        <v>4.593143279902166E-07</v>
      </c>
      <c r="IM473">
        <v>-1.865383991892071E-10</v>
      </c>
      <c r="IN473">
        <v>-0.0607165066849496</v>
      </c>
      <c r="IO473">
        <v>-0.01129461987421345</v>
      </c>
      <c r="IP473">
        <v>0.00116580895745559</v>
      </c>
      <c r="IQ473">
        <v>-1.679085872906199E-05</v>
      </c>
      <c r="IR473">
        <v>2</v>
      </c>
      <c r="IS473">
        <v>2290</v>
      </c>
      <c r="IT473">
        <v>0</v>
      </c>
      <c r="IU473">
        <v>32</v>
      </c>
      <c r="IV473">
        <v>19.5</v>
      </c>
      <c r="IW473">
        <v>19.3</v>
      </c>
      <c r="IX473">
        <v>2.76733</v>
      </c>
      <c r="IY473">
        <v>2.17407</v>
      </c>
      <c r="IZ473">
        <v>1.39648</v>
      </c>
      <c r="JA473">
        <v>2.35474</v>
      </c>
      <c r="JB473">
        <v>1.49536</v>
      </c>
      <c r="JC473">
        <v>2.30347</v>
      </c>
      <c r="JD473">
        <v>38.0134</v>
      </c>
      <c r="JE473">
        <v>24.035</v>
      </c>
      <c r="JF473">
        <v>18</v>
      </c>
      <c r="JG473">
        <v>511.288</v>
      </c>
      <c r="JH473">
        <v>429.406</v>
      </c>
      <c r="JI473">
        <v>22.93</v>
      </c>
      <c r="JJ473">
        <v>27.8089</v>
      </c>
      <c r="JK473">
        <v>30.0001</v>
      </c>
      <c r="JL473">
        <v>27.8136</v>
      </c>
      <c r="JM473">
        <v>27.7573</v>
      </c>
      <c r="JN473">
        <v>55.4177</v>
      </c>
      <c r="JO473">
        <v>39.1582</v>
      </c>
      <c r="JP473">
        <v>0</v>
      </c>
      <c r="JQ473">
        <v>22.9051</v>
      </c>
      <c r="JR473">
        <v>1430.01</v>
      </c>
      <c r="JS473">
        <v>10.5695</v>
      </c>
      <c r="JT473">
        <v>100.427</v>
      </c>
      <c r="JU473">
        <v>100.357</v>
      </c>
    </row>
    <row r="474" spans="1:281">
      <c r="A474">
        <v>458</v>
      </c>
      <c r="B474">
        <v>1651866679</v>
      </c>
      <c r="C474">
        <v>2458.400000095367</v>
      </c>
      <c r="D474" t="s">
        <v>1339</v>
      </c>
      <c r="E474" t="s">
        <v>1340</v>
      </c>
      <c r="F474">
        <v>2</v>
      </c>
      <c r="G474" t="s">
        <v>908</v>
      </c>
      <c r="H474" t="s">
        <v>414</v>
      </c>
      <c r="I474">
        <v>1651866678</v>
      </c>
      <c r="J474">
        <f>(K474)/1000</f>
        <v>0</v>
      </c>
      <c r="K474">
        <f>IF(CZ474, AN474, AH474)</f>
        <v>0</v>
      </c>
      <c r="L474">
        <f>IF(CZ474, AI474, AG474)</f>
        <v>0</v>
      </c>
      <c r="M474">
        <f>DB474 - IF(AU474&gt;1, L474*CV474*100.0/(AW474*DP474), 0)</f>
        <v>0</v>
      </c>
      <c r="N474">
        <f>((T474-J474/2)*M474-L474)/(T474+J474/2)</f>
        <v>0</v>
      </c>
      <c r="O474">
        <f>N474*(DI474+DJ474)/1000.0</f>
        <v>0</v>
      </c>
      <c r="P474">
        <f>(DB474 - IF(AU474&gt;1, L474*CV474*100.0/(AW474*DP474), 0))*(DI474+DJ474)/1000.0</f>
        <v>0</v>
      </c>
      <c r="Q474">
        <f>2.0/((1/S474-1/R474)+SIGN(S474)*SQRT((1/S474-1/R474)*(1/S474-1/R474) + 4*CW474/((CW474+1)*(CW474+1))*(2*1/S474*1/R474-1/R474*1/R474)))</f>
        <v>0</v>
      </c>
      <c r="R474">
        <f>IF(LEFT(CX474,1)&lt;&gt;"0",IF(LEFT(CX474,1)="1",3.0,CY474),$D$5+$E$5*(DP474*DI474/($K$5*1000))+$F$5*(DP474*DI474/($K$5*1000))*MAX(MIN(CV474,$J$5),$I$5)*MAX(MIN(CV474,$J$5),$I$5)+$G$5*MAX(MIN(CV474,$J$5),$I$5)*(DP474*DI474/($K$5*1000))+$H$5*(DP474*DI474/($K$5*1000))*(DP474*DI474/($K$5*1000)))</f>
        <v>0</v>
      </c>
      <c r="S474">
        <f>J474*(1000-(1000*0.61365*exp(17.502*W474/(240.97+W474))/(DI474+DJ474)+DD474)/2)/(1000*0.61365*exp(17.502*W474/(240.97+W474))/(DI474+DJ474)-DD474)</f>
        <v>0</v>
      </c>
      <c r="T474">
        <f>1/((CW474+1)/(Q474/1.6)+1/(R474/1.37)) + CW474/((CW474+1)/(Q474/1.6) + CW474/(R474/1.37))</f>
        <v>0</v>
      </c>
      <c r="U474">
        <f>(CR474*CU474)</f>
        <v>0</v>
      </c>
      <c r="V474">
        <f>(DK474+(U474+2*0.95*5.67E-8*(((DK474+$B$7)+273)^4-(DK474+273)^4)-44100*J474)/(1.84*29.3*R474+8*0.95*5.67E-8*(DK474+273)^3))</f>
        <v>0</v>
      </c>
      <c r="W474">
        <f>($C$7*DL474+$D$7*DM474+$E$7*V474)</f>
        <v>0</v>
      </c>
      <c r="X474">
        <f>0.61365*exp(17.502*W474/(240.97+W474))</f>
        <v>0</v>
      </c>
      <c r="Y474">
        <f>(Z474/AA474*100)</f>
        <v>0</v>
      </c>
      <c r="Z474">
        <f>DD474*(DI474+DJ474)/1000</f>
        <v>0</v>
      </c>
      <c r="AA474">
        <f>0.61365*exp(17.502*DK474/(240.97+DK474))</f>
        <v>0</v>
      </c>
      <c r="AB474">
        <f>(X474-DD474*(DI474+DJ474)/1000)</f>
        <v>0</v>
      </c>
      <c r="AC474">
        <f>(-J474*44100)</f>
        <v>0</v>
      </c>
      <c r="AD474">
        <f>2*29.3*R474*0.92*(DK474-W474)</f>
        <v>0</v>
      </c>
      <c r="AE474">
        <f>2*0.95*5.67E-8*(((DK474+$B$7)+273)^4-(W474+273)^4)</f>
        <v>0</v>
      </c>
      <c r="AF474">
        <f>U474+AE474+AC474+AD474</f>
        <v>0</v>
      </c>
      <c r="AG474">
        <f>DH474*AU474*(DC474-DB474*(1000-AU474*DE474)/(1000-AU474*DD474))/(100*CV474)</f>
        <v>0</v>
      </c>
      <c r="AH474">
        <f>1000*DH474*AU474*(DD474-DE474)/(100*CV474*(1000-AU474*DD474))</f>
        <v>0</v>
      </c>
      <c r="AI474">
        <f>(AJ474 - AK474 - DI474*1E3/(8.314*(DK474+273.15)) * AM474/DH474 * AL474) * DH474/(100*CV474) * (1000 - DE474)/1000</f>
        <v>0</v>
      </c>
      <c r="AJ474">
        <v>1422.339245987907</v>
      </c>
      <c r="AK474">
        <v>1373.509454545454</v>
      </c>
      <c r="AL474">
        <v>3.383643316627635</v>
      </c>
      <c r="AM474">
        <v>66.38195617057868</v>
      </c>
      <c r="AN474">
        <f>(AP474 - AO474 + DI474*1E3/(8.314*(DK474+273.15)) * AR474/DH474 * AQ474) * DH474/(100*CV474) * 1000/(1000 - AP474)</f>
        <v>0</v>
      </c>
      <c r="AO474">
        <v>10.27778206920411</v>
      </c>
      <c r="AP474">
        <v>18.26457029411764</v>
      </c>
      <c r="AQ474">
        <v>-0.0008554104442005399</v>
      </c>
      <c r="AR474">
        <v>80.47178418790507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MAX(0,($B$13+$C$13*DP474)/(1+$D$13*DP474)*DI474/(DK474+273)*$E$13)</f>
        <v>0</v>
      </c>
      <c r="AX474" t="s">
        <v>417</v>
      </c>
      <c r="AY474" t="s">
        <v>417</v>
      </c>
      <c r="AZ474">
        <v>0</v>
      </c>
      <c r="BA474">
        <v>0</v>
      </c>
      <c r="BB474">
        <f>1-AZ474/BA474</f>
        <v>0</v>
      </c>
      <c r="BC474">
        <v>0</v>
      </c>
      <c r="BD474" t="s">
        <v>417</v>
      </c>
      <c r="BE474" t="s">
        <v>417</v>
      </c>
      <c r="BF474">
        <v>0</v>
      </c>
      <c r="BG474">
        <v>0</v>
      </c>
      <c r="BH474">
        <f>1-BF474/BG474</f>
        <v>0</v>
      </c>
      <c r="BI474">
        <v>0.5</v>
      </c>
      <c r="BJ474">
        <f>CS474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417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BZ474">
        <v>1249</v>
      </c>
      <c r="CA474">
        <v>300</v>
      </c>
      <c r="CB474">
        <v>300</v>
      </c>
      <c r="CC474">
        <v>300</v>
      </c>
      <c r="CD474">
        <v>10442.4</v>
      </c>
      <c r="CE474">
        <v>1239.69</v>
      </c>
      <c r="CF474">
        <v>-0.00735276</v>
      </c>
      <c r="CG474">
        <v>0.07000000000000001</v>
      </c>
      <c r="CH474" t="s">
        <v>417</v>
      </c>
      <c r="CI474" t="s">
        <v>417</v>
      </c>
      <c r="CJ474" t="s">
        <v>417</v>
      </c>
      <c r="CK474" t="s">
        <v>417</v>
      </c>
      <c r="CL474" t="s">
        <v>417</v>
      </c>
      <c r="CM474" t="s">
        <v>417</v>
      </c>
      <c r="CN474" t="s">
        <v>417</v>
      </c>
      <c r="CO474" t="s">
        <v>417</v>
      </c>
      <c r="CP474" t="s">
        <v>417</v>
      </c>
      <c r="CQ474" t="s">
        <v>417</v>
      </c>
      <c r="CR474">
        <f>$B$11*DQ474+$C$11*DR474+$F$11*EC474*(1-EF474)</f>
        <v>0</v>
      </c>
      <c r="CS474">
        <f>CR474*CT474</f>
        <v>0</v>
      </c>
      <c r="CT474">
        <f>($B$11*$D$9+$C$11*$D$9+$F$11*((EP474+EH474)/MAX(EP474+EH474+EQ474, 0.1)*$I$9+EQ474/MAX(EP474+EH474+EQ474, 0.1)*$J$9))/($B$11+$C$11+$F$11)</f>
        <v>0</v>
      </c>
      <c r="CU474">
        <f>($B$11*$K$9+$C$11*$K$9+$F$11*((EP474+EH474)/MAX(EP474+EH474+EQ474, 0.1)*$P$9+EQ474/MAX(EP474+EH474+EQ474, 0.1)*$Q$9))/($B$11+$C$11+$F$11)</f>
        <v>0</v>
      </c>
      <c r="CV474">
        <v>6</v>
      </c>
      <c r="CW474">
        <v>0.5</v>
      </c>
      <c r="CX474" t="s">
        <v>418</v>
      </c>
      <c r="CY474">
        <v>2</v>
      </c>
      <c r="CZ474" t="b">
        <v>1</v>
      </c>
      <c r="DA474">
        <v>1651866678</v>
      </c>
      <c r="DB474">
        <v>1346.743333333333</v>
      </c>
      <c r="DC474">
        <v>1413.69</v>
      </c>
      <c r="DD474">
        <v>18.2661</v>
      </c>
      <c r="DE474">
        <v>10.37016666666667</v>
      </c>
      <c r="DF474">
        <v>1349.32</v>
      </c>
      <c r="DG474">
        <v>18.24676666666667</v>
      </c>
      <c r="DH474">
        <v>500.0463333333334</v>
      </c>
      <c r="DI474">
        <v>89.91223333333333</v>
      </c>
      <c r="DJ474">
        <v>0.09984443333333333</v>
      </c>
      <c r="DK474">
        <v>25.91273333333334</v>
      </c>
      <c r="DL474">
        <v>25.03923333333333</v>
      </c>
      <c r="DM474">
        <v>999.9</v>
      </c>
      <c r="DN474">
        <v>0</v>
      </c>
      <c r="DO474">
        <v>0</v>
      </c>
      <c r="DP474">
        <v>10013.73333333333</v>
      </c>
      <c r="DQ474">
        <v>0</v>
      </c>
      <c r="DR474">
        <v>3.21788</v>
      </c>
      <c r="DS474">
        <v>-66.94773333333335</v>
      </c>
      <c r="DT474">
        <v>1371.8</v>
      </c>
      <c r="DU474">
        <v>1428.5</v>
      </c>
      <c r="DV474">
        <v>7.895913333333334</v>
      </c>
      <c r="DW474">
        <v>1413.69</v>
      </c>
      <c r="DX474">
        <v>10.37016666666667</v>
      </c>
      <c r="DY474">
        <v>1.642346666666667</v>
      </c>
      <c r="DZ474">
        <v>0.9324073333333334</v>
      </c>
      <c r="EA474">
        <v>14.36196666666667</v>
      </c>
      <c r="EB474">
        <v>5.90087</v>
      </c>
      <c r="EC474">
        <v>1500.06</v>
      </c>
      <c r="ED474">
        <v>0.9729953333333334</v>
      </c>
      <c r="EE474">
        <v>0.02700466666666667</v>
      </c>
      <c r="EF474">
        <v>0</v>
      </c>
      <c r="EG474">
        <v>889.701</v>
      </c>
      <c r="EH474">
        <v>5.00097</v>
      </c>
      <c r="EI474">
        <v>13223.76666666667</v>
      </c>
      <c r="EJ474">
        <v>12492.06666666667</v>
      </c>
      <c r="EK474">
        <v>37.5</v>
      </c>
      <c r="EL474">
        <v>38.812</v>
      </c>
      <c r="EM474">
        <v>37.89566666666666</v>
      </c>
      <c r="EN474">
        <v>38.458</v>
      </c>
      <c r="EO474">
        <v>38.375</v>
      </c>
      <c r="EP474">
        <v>1454.686666666666</v>
      </c>
      <c r="EQ474">
        <v>40.37333333333333</v>
      </c>
      <c r="ER474">
        <v>0</v>
      </c>
      <c r="ES474">
        <v>1196.600000143051</v>
      </c>
      <c r="ET474">
        <v>0</v>
      </c>
      <c r="EU474">
        <v>890.55648</v>
      </c>
      <c r="EV474">
        <v>-10.34115383726887</v>
      </c>
      <c r="EW474">
        <v>-175.0769229262611</v>
      </c>
      <c r="EX474">
        <v>13240.984</v>
      </c>
      <c r="EY474">
        <v>15</v>
      </c>
      <c r="EZ474">
        <v>1651865518.1</v>
      </c>
      <c r="FA474" t="s">
        <v>910</v>
      </c>
      <c r="FB474">
        <v>1651865507.1</v>
      </c>
      <c r="FC474">
        <v>1651865518.1</v>
      </c>
      <c r="FD474">
        <v>8</v>
      </c>
      <c r="FE474">
        <v>0.06</v>
      </c>
      <c r="FF474">
        <v>0</v>
      </c>
      <c r="FG474">
        <v>-0.927</v>
      </c>
      <c r="FH474">
        <v>-0.062</v>
      </c>
      <c r="FI474">
        <v>400</v>
      </c>
      <c r="FJ474">
        <v>11</v>
      </c>
      <c r="FK474">
        <v>0.11</v>
      </c>
      <c r="FL474">
        <v>0.01</v>
      </c>
      <c r="FM474">
        <v>-66.5515268292683</v>
      </c>
      <c r="FN474">
        <v>-1.216722648083736</v>
      </c>
      <c r="FO474">
        <v>0.186151834204639</v>
      </c>
      <c r="FP474">
        <v>-1</v>
      </c>
      <c r="FQ474">
        <v>8.166558780487804</v>
      </c>
      <c r="FR474">
        <v>-1.646848432055749</v>
      </c>
      <c r="FS474">
        <v>0.1625948635704352</v>
      </c>
      <c r="FT474">
        <v>-1</v>
      </c>
      <c r="FU474">
        <v>0</v>
      </c>
      <c r="FV474">
        <v>0</v>
      </c>
      <c r="FW474">
        <v>0</v>
      </c>
      <c r="FX474">
        <v>-1</v>
      </c>
      <c r="FY474">
        <v>0</v>
      </c>
      <c r="FZ474">
        <v>0</v>
      </c>
      <c r="GA474" t="s">
        <v>420</v>
      </c>
      <c r="GB474">
        <v>2.9816</v>
      </c>
      <c r="GC474">
        <v>2.7062</v>
      </c>
      <c r="GD474">
        <v>0.206907</v>
      </c>
      <c r="GE474">
        <v>0.210712</v>
      </c>
      <c r="GF474">
        <v>0.08751829999999999</v>
      </c>
      <c r="GG474">
        <v>0.057104</v>
      </c>
      <c r="GH474">
        <v>25063.8</v>
      </c>
      <c r="GI474">
        <v>24997.1</v>
      </c>
      <c r="GJ474">
        <v>29380.1</v>
      </c>
      <c r="GK474">
        <v>29294.7</v>
      </c>
      <c r="GL474">
        <v>35498.7</v>
      </c>
      <c r="GM474">
        <v>36796.8</v>
      </c>
      <c r="GN474">
        <v>41353.2</v>
      </c>
      <c r="GO474">
        <v>41815.5</v>
      </c>
      <c r="GP474">
        <v>1.96637</v>
      </c>
      <c r="GQ474">
        <v>1.86097</v>
      </c>
      <c r="GR474">
        <v>-0.00156462</v>
      </c>
      <c r="GS474">
        <v>0</v>
      </c>
      <c r="GT474">
        <v>25.0636</v>
      </c>
      <c r="GU474">
        <v>999.9</v>
      </c>
      <c r="GV474">
        <v>29.3</v>
      </c>
      <c r="GW474">
        <v>34.2</v>
      </c>
      <c r="GX474">
        <v>17.6063</v>
      </c>
      <c r="GY474">
        <v>62.3776</v>
      </c>
      <c r="GZ474">
        <v>35.0841</v>
      </c>
      <c r="HA474">
        <v>1</v>
      </c>
      <c r="HB474">
        <v>0.0386408</v>
      </c>
      <c r="HC474">
        <v>1.85838</v>
      </c>
      <c r="HD474">
        <v>20.3242</v>
      </c>
      <c r="HE474">
        <v>5.21894</v>
      </c>
      <c r="HF474">
        <v>12.0099</v>
      </c>
      <c r="HG474">
        <v>4.98925</v>
      </c>
      <c r="HH474">
        <v>3.28865</v>
      </c>
      <c r="HI474">
        <v>1037.9</v>
      </c>
      <c r="HJ474">
        <v>9778.299999999999</v>
      </c>
      <c r="HK474">
        <v>5139.4</v>
      </c>
      <c r="HL474">
        <v>25.4</v>
      </c>
      <c r="HM474">
        <v>1.86745</v>
      </c>
      <c r="HN474">
        <v>1.86646</v>
      </c>
      <c r="HO474">
        <v>1.866</v>
      </c>
      <c r="HP474">
        <v>1.86584</v>
      </c>
      <c r="HQ474">
        <v>1.86768</v>
      </c>
      <c r="HR474">
        <v>1.8702</v>
      </c>
      <c r="HS474">
        <v>1.8689</v>
      </c>
      <c r="HT474">
        <v>1.8702</v>
      </c>
      <c r="HU474">
        <v>0</v>
      </c>
      <c r="HV474">
        <v>0</v>
      </c>
      <c r="HW474">
        <v>0</v>
      </c>
      <c r="HX474">
        <v>0</v>
      </c>
      <c r="HY474" t="s">
        <v>421</v>
      </c>
      <c r="HZ474" t="s">
        <v>422</v>
      </c>
      <c r="IA474" t="s">
        <v>423</v>
      </c>
      <c r="IB474" t="s">
        <v>423</v>
      </c>
      <c r="IC474" t="s">
        <v>423</v>
      </c>
      <c r="ID474" t="s">
        <v>423</v>
      </c>
      <c r="IE474">
        <v>0</v>
      </c>
      <c r="IF474">
        <v>100</v>
      </c>
      <c r="IG474">
        <v>100</v>
      </c>
      <c r="IH474">
        <v>-2.59</v>
      </c>
      <c r="II474">
        <v>0.0193</v>
      </c>
      <c r="IJ474">
        <v>-0.1559367209035702</v>
      </c>
      <c r="IK474">
        <v>-0.002077099775823331</v>
      </c>
      <c r="IL474">
        <v>4.593143279902166E-07</v>
      </c>
      <c r="IM474">
        <v>-1.865383991892071E-10</v>
      </c>
      <c r="IN474">
        <v>-0.0607165066849496</v>
      </c>
      <c r="IO474">
        <v>-0.01129461987421345</v>
      </c>
      <c r="IP474">
        <v>0.00116580895745559</v>
      </c>
      <c r="IQ474">
        <v>-1.679085872906199E-05</v>
      </c>
      <c r="IR474">
        <v>2</v>
      </c>
      <c r="IS474">
        <v>2290</v>
      </c>
      <c r="IT474">
        <v>0</v>
      </c>
      <c r="IU474">
        <v>32</v>
      </c>
      <c r="IV474">
        <v>19.5</v>
      </c>
      <c r="IW474">
        <v>19.3</v>
      </c>
      <c r="IX474">
        <v>2.77832</v>
      </c>
      <c r="IY474">
        <v>2.21802</v>
      </c>
      <c r="IZ474">
        <v>1.39648</v>
      </c>
      <c r="JA474">
        <v>2.35474</v>
      </c>
      <c r="JB474">
        <v>1.49536</v>
      </c>
      <c r="JC474">
        <v>2.28638</v>
      </c>
      <c r="JD474">
        <v>38.0377</v>
      </c>
      <c r="JE474">
        <v>24.035</v>
      </c>
      <c r="JF474">
        <v>18</v>
      </c>
      <c r="JG474">
        <v>511.17</v>
      </c>
      <c r="JH474">
        <v>429.399</v>
      </c>
      <c r="JI474">
        <v>22.9149</v>
      </c>
      <c r="JJ474">
        <v>27.8089</v>
      </c>
      <c r="JK474">
        <v>30.0001</v>
      </c>
      <c r="JL474">
        <v>27.813</v>
      </c>
      <c r="JM474">
        <v>27.7562</v>
      </c>
      <c r="JN474">
        <v>55.6354</v>
      </c>
      <c r="JO474">
        <v>38.8612</v>
      </c>
      <c r="JP474">
        <v>0</v>
      </c>
      <c r="JQ474">
        <v>22.9051</v>
      </c>
      <c r="JR474">
        <v>1436.69</v>
      </c>
      <c r="JS474">
        <v>10.6225</v>
      </c>
      <c r="JT474">
        <v>100.426</v>
      </c>
      <c r="JU474">
        <v>100.357</v>
      </c>
    </row>
    <row r="475" spans="1:281">
      <c r="A475">
        <v>459</v>
      </c>
      <c r="B475">
        <v>1651866681</v>
      </c>
      <c r="C475">
        <v>2460.400000095367</v>
      </c>
      <c r="D475" t="s">
        <v>1341</v>
      </c>
      <c r="E475" t="s">
        <v>1342</v>
      </c>
      <c r="F475">
        <v>2</v>
      </c>
      <c r="G475" t="s">
        <v>908</v>
      </c>
      <c r="H475" t="s">
        <v>414</v>
      </c>
      <c r="I475">
        <v>1651866679.625</v>
      </c>
      <c r="J475">
        <f>(K475)/1000</f>
        <v>0</v>
      </c>
      <c r="K475">
        <f>IF(CZ475, AN475, AH475)</f>
        <v>0</v>
      </c>
      <c r="L475">
        <f>IF(CZ475, AI475, AG475)</f>
        <v>0</v>
      </c>
      <c r="M475">
        <f>DB475 - IF(AU475&gt;1, L475*CV475*100.0/(AW475*DP475), 0)</f>
        <v>0</v>
      </c>
      <c r="N475">
        <f>((T475-J475/2)*M475-L475)/(T475+J475/2)</f>
        <v>0</v>
      </c>
      <c r="O475">
        <f>N475*(DI475+DJ475)/1000.0</f>
        <v>0</v>
      </c>
      <c r="P475">
        <f>(DB475 - IF(AU475&gt;1, L475*CV475*100.0/(AW475*DP475), 0))*(DI475+DJ475)/1000.0</f>
        <v>0</v>
      </c>
      <c r="Q475">
        <f>2.0/((1/S475-1/R475)+SIGN(S475)*SQRT((1/S475-1/R475)*(1/S475-1/R475) + 4*CW475/((CW475+1)*(CW475+1))*(2*1/S475*1/R475-1/R475*1/R475)))</f>
        <v>0</v>
      </c>
      <c r="R475">
        <f>IF(LEFT(CX475,1)&lt;&gt;"0",IF(LEFT(CX475,1)="1",3.0,CY475),$D$5+$E$5*(DP475*DI475/($K$5*1000))+$F$5*(DP475*DI475/($K$5*1000))*MAX(MIN(CV475,$J$5),$I$5)*MAX(MIN(CV475,$J$5),$I$5)+$G$5*MAX(MIN(CV475,$J$5),$I$5)*(DP475*DI475/($K$5*1000))+$H$5*(DP475*DI475/($K$5*1000))*(DP475*DI475/($K$5*1000)))</f>
        <v>0</v>
      </c>
      <c r="S475">
        <f>J475*(1000-(1000*0.61365*exp(17.502*W475/(240.97+W475))/(DI475+DJ475)+DD475)/2)/(1000*0.61365*exp(17.502*W475/(240.97+W475))/(DI475+DJ475)-DD475)</f>
        <v>0</v>
      </c>
      <c r="T475">
        <f>1/((CW475+1)/(Q475/1.6)+1/(R475/1.37)) + CW475/((CW475+1)/(Q475/1.6) + CW475/(R475/1.37))</f>
        <v>0</v>
      </c>
      <c r="U475">
        <f>(CR475*CU475)</f>
        <v>0</v>
      </c>
      <c r="V475">
        <f>(DK475+(U475+2*0.95*5.67E-8*(((DK475+$B$7)+273)^4-(DK475+273)^4)-44100*J475)/(1.84*29.3*R475+8*0.95*5.67E-8*(DK475+273)^3))</f>
        <v>0</v>
      </c>
      <c r="W475">
        <f>($C$7*DL475+$D$7*DM475+$E$7*V475)</f>
        <v>0</v>
      </c>
      <c r="X475">
        <f>0.61365*exp(17.502*W475/(240.97+W475))</f>
        <v>0</v>
      </c>
      <c r="Y475">
        <f>(Z475/AA475*100)</f>
        <v>0</v>
      </c>
      <c r="Z475">
        <f>DD475*(DI475+DJ475)/1000</f>
        <v>0</v>
      </c>
      <c r="AA475">
        <f>0.61365*exp(17.502*DK475/(240.97+DK475))</f>
        <v>0</v>
      </c>
      <c r="AB475">
        <f>(X475-DD475*(DI475+DJ475)/1000)</f>
        <v>0</v>
      </c>
      <c r="AC475">
        <f>(-J475*44100)</f>
        <v>0</v>
      </c>
      <c r="AD475">
        <f>2*29.3*R475*0.92*(DK475-W475)</f>
        <v>0</v>
      </c>
      <c r="AE475">
        <f>2*0.95*5.67E-8*(((DK475+$B$7)+273)^4-(W475+273)^4)</f>
        <v>0</v>
      </c>
      <c r="AF475">
        <f>U475+AE475+AC475+AD475</f>
        <v>0</v>
      </c>
      <c r="AG475">
        <f>DH475*AU475*(DC475-DB475*(1000-AU475*DE475)/(1000-AU475*DD475))/(100*CV475)</f>
        <v>0</v>
      </c>
      <c r="AH475">
        <f>1000*DH475*AU475*(DD475-DE475)/(100*CV475*(1000-AU475*DD475))</f>
        <v>0</v>
      </c>
      <c r="AI475">
        <f>(AJ475 - AK475 - DI475*1E3/(8.314*(DK475+273.15)) * AM475/DH475 * AL475) * DH475/(100*CV475) * (1000 - DE475)/1000</f>
        <v>0</v>
      </c>
      <c r="AJ475">
        <v>1429.300443806205</v>
      </c>
      <c r="AK475">
        <v>1380.315212121212</v>
      </c>
      <c r="AL475">
        <v>3.403698390746084</v>
      </c>
      <c r="AM475">
        <v>66.38195617057868</v>
      </c>
      <c r="AN475">
        <f>(AP475 - AO475 + DI475*1E3/(8.314*(DK475+273.15)) * AR475/DH475 * AQ475) * DH475/(100*CV475) * 1000/(1000 - AP475)</f>
        <v>0</v>
      </c>
      <c r="AO475">
        <v>10.32775218027479</v>
      </c>
      <c r="AP475">
        <v>18.25965558823529</v>
      </c>
      <c r="AQ475">
        <v>-0.0006293419982052471</v>
      </c>
      <c r="AR475">
        <v>80.47178418790507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MAX(0,($B$13+$C$13*DP475)/(1+$D$13*DP475)*DI475/(DK475+273)*$E$13)</f>
        <v>0</v>
      </c>
      <c r="AX475" t="s">
        <v>417</v>
      </c>
      <c r="AY475" t="s">
        <v>417</v>
      </c>
      <c r="AZ475">
        <v>0</v>
      </c>
      <c r="BA475">
        <v>0</v>
      </c>
      <c r="BB475">
        <f>1-AZ475/BA475</f>
        <v>0</v>
      </c>
      <c r="BC475">
        <v>0</v>
      </c>
      <c r="BD475" t="s">
        <v>417</v>
      </c>
      <c r="BE475" t="s">
        <v>417</v>
      </c>
      <c r="BF475">
        <v>0</v>
      </c>
      <c r="BG475">
        <v>0</v>
      </c>
      <c r="BH475">
        <f>1-BF475/BG475</f>
        <v>0</v>
      </c>
      <c r="BI475">
        <v>0.5</v>
      </c>
      <c r="BJ475">
        <f>CS475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417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BZ475">
        <v>1249</v>
      </c>
      <c r="CA475">
        <v>300</v>
      </c>
      <c r="CB475">
        <v>300</v>
      </c>
      <c r="CC475">
        <v>300</v>
      </c>
      <c r="CD475">
        <v>10442.4</v>
      </c>
      <c r="CE475">
        <v>1239.69</v>
      </c>
      <c r="CF475">
        <v>-0.00735276</v>
      </c>
      <c r="CG475">
        <v>0.07000000000000001</v>
      </c>
      <c r="CH475" t="s">
        <v>417</v>
      </c>
      <c r="CI475" t="s">
        <v>417</v>
      </c>
      <c r="CJ475" t="s">
        <v>417</v>
      </c>
      <c r="CK475" t="s">
        <v>417</v>
      </c>
      <c r="CL475" t="s">
        <v>417</v>
      </c>
      <c r="CM475" t="s">
        <v>417</v>
      </c>
      <c r="CN475" t="s">
        <v>417</v>
      </c>
      <c r="CO475" t="s">
        <v>417</v>
      </c>
      <c r="CP475" t="s">
        <v>417</v>
      </c>
      <c r="CQ475" t="s">
        <v>417</v>
      </c>
      <c r="CR475">
        <f>$B$11*DQ475+$C$11*DR475+$F$11*EC475*(1-EF475)</f>
        <v>0</v>
      </c>
      <c r="CS475">
        <f>CR475*CT475</f>
        <v>0</v>
      </c>
      <c r="CT475">
        <f>($B$11*$D$9+$C$11*$D$9+$F$11*((EP475+EH475)/MAX(EP475+EH475+EQ475, 0.1)*$I$9+EQ475/MAX(EP475+EH475+EQ475, 0.1)*$J$9))/($B$11+$C$11+$F$11)</f>
        <v>0</v>
      </c>
      <c r="CU475">
        <f>($B$11*$K$9+$C$11*$K$9+$F$11*((EP475+EH475)/MAX(EP475+EH475+EQ475, 0.1)*$P$9+EQ475/MAX(EP475+EH475+EQ475, 0.1)*$Q$9))/($B$11+$C$11+$F$11)</f>
        <v>0</v>
      </c>
      <c r="CV475">
        <v>6</v>
      </c>
      <c r="CW475">
        <v>0.5</v>
      </c>
      <c r="CX475" t="s">
        <v>418</v>
      </c>
      <c r="CY475">
        <v>2</v>
      </c>
      <c r="CZ475" t="b">
        <v>1</v>
      </c>
      <c r="DA475">
        <v>1651866679.625</v>
      </c>
      <c r="DB475">
        <v>1352.1825</v>
      </c>
      <c r="DC475">
        <v>1418.9775</v>
      </c>
      <c r="DD475">
        <v>18.26165</v>
      </c>
      <c r="DE475">
        <v>10.417</v>
      </c>
      <c r="DF475">
        <v>1354.7725</v>
      </c>
      <c r="DG475">
        <v>18.242375</v>
      </c>
      <c r="DH475">
        <v>500.0355</v>
      </c>
      <c r="DI475">
        <v>89.91312499999999</v>
      </c>
      <c r="DJ475">
        <v>0.09992970000000001</v>
      </c>
      <c r="DK475">
        <v>25.909625</v>
      </c>
      <c r="DL475">
        <v>25.037325</v>
      </c>
      <c r="DM475">
        <v>999.9</v>
      </c>
      <c r="DN475">
        <v>0</v>
      </c>
      <c r="DO475">
        <v>0</v>
      </c>
      <c r="DP475">
        <v>10017.65</v>
      </c>
      <c r="DQ475">
        <v>0</v>
      </c>
      <c r="DR475">
        <v>3.210505</v>
      </c>
      <c r="DS475">
        <v>-66.7944</v>
      </c>
      <c r="DT475">
        <v>1377.335</v>
      </c>
      <c r="DU475">
        <v>1433.915</v>
      </c>
      <c r="DV475">
        <v>7.844672500000001</v>
      </c>
      <c r="DW475">
        <v>1418.9775</v>
      </c>
      <c r="DX475">
        <v>10.417</v>
      </c>
      <c r="DY475">
        <v>1.641965</v>
      </c>
      <c r="DZ475">
        <v>0.936624</v>
      </c>
      <c r="EA475">
        <v>14.35835</v>
      </c>
      <c r="EB475">
        <v>5.9660775</v>
      </c>
      <c r="EC475">
        <v>1500.0125</v>
      </c>
      <c r="ED475">
        <v>0.97299825</v>
      </c>
      <c r="EE475">
        <v>0.027001775</v>
      </c>
      <c r="EF475">
        <v>0</v>
      </c>
      <c r="EG475">
        <v>889.14125</v>
      </c>
      <c r="EH475">
        <v>5.00097</v>
      </c>
      <c r="EI475">
        <v>13218.625</v>
      </c>
      <c r="EJ475">
        <v>12491.675</v>
      </c>
      <c r="EK475">
        <v>37.5</v>
      </c>
      <c r="EL475">
        <v>38.812</v>
      </c>
      <c r="EM475">
        <v>37.906</v>
      </c>
      <c r="EN475">
        <v>38.45274999999999</v>
      </c>
      <c r="EO475">
        <v>38.375</v>
      </c>
      <c r="EP475">
        <v>1454.645</v>
      </c>
      <c r="EQ475">
        <v>40.3675</v>
      </c>
      <c r="ER475">
        <v>0</v>
      </c>
      <c r="ES475">
        <v>1198.400000095367</v>
      </c>
      <c r="ET475">
        <v>0</v>
      </c>
      <c r="EU475">
        <v>890.2854615384616</v>
      </c>
      <c r="EV475">
        <v>-10.28157265937029</v>
      </c>
      <c r="EW475">
        <v>-177.2136754582884</v>
      </c>
      <c r="EX475">
        <v>13236.61153846154</v>
      </c>
      <c r="EY475">
        <v>15</v>
      </c>
      <c r="EZ475">
        <v>1651865518.1</v>
      </c>
      <c r="FA475" t="s">
        <v>910</v>
      </c>
      <c r="FB475">
        <v>1651865507.1</v>
      </c>
      <c r="FC475">
        <v>1651865518.1</v>
      </c>
      <c r="FD475">
        <v>8</v>
      </c>
      <c r="FE475">
        <v>0.06</v>
      </c>
      <c r="FF475">
        <v>0</v>
      </c>
      <c r="FG475">
        <v>-0.927</v>
      </c>
      <c r="FH475">
        <v>-0.062</v>
      </c>
      <c r="FI475">
        <v>400</v>
      </c>
      <c r="FJ475">
        <v>11</v>
      </c>
      <c r="FK475">
        <v>0.11</v>
      </c>
      <c r="FL475">
        <v>0.01</v>
      </c>
      <c r="FM475">
        <v>-66.58095</v>
      </c>
      <c r="FN475">
        <v>-1.540651407129324</v>
      </c>
      <c r="FO475">
        <v>0.2029361882464535</v>
      </c>
      <c r="FP475">
        <v>-1</v>
      </c>
      <c r="FQ475">
        <v>8.118276</v>
      </c>
      <c r="FR475">
        <v>-1.685831144465292</v>
      </c>
      <c r="FS475">
        <v>0.1623753567940653</v>
      </c>
      <c r="FT475">
        <v>-1</v>
      </c>
      <c r="FU475">
        <v>0</v>
      </c>
      <c r="FV475">
        <v>0</v>
      </c>
      <c r="FW475">
        <v>0</v>
      </c>
      <c r="FX475">
        <v>-1</v>
      </c>
      <c r="FY475">
        <v>0</v>
      </c>
      <c r="FZ475">
        <v>0</v>
      </c>
      <c r="GA475" t="s">
        <v>420</v>
      </c>
      <c r="GB475">
        <v>2.98155</v>
      </c>
      <c r="GC475">
        <v>2.70627</v>
      </c>
      <c r="GD475">
        <v>0.207543</v>
      </c>
      <c r="GE475">
        <v>0.211301</v>
      </c>
      <c r="GF475">
        <v>0.08749850000000001</v>
      </c>
      <c r="GG475">
        <v>0.0573334</v>
      </c>
      <c r="GH475">
        <v>25043.8</v>
      </c>
      <c r="GI475">
        <v>24978.5</v>
      </c>
      <c r="GJ475">
        <v>29380.2</v>
      </c>
      <c r="GK475">
        <v>29294.7</v>
      </c>
      <c r="GL475">
        <v>35499.6</v>
      </c>
      <c r="GM475">
        <v>36787.9</v>
      </c>
      <c r="GN475">
        <v>41353.4</v>
      </c>
      <c r="GO475">
        <v>41815.6</v>
      </c>
      <c r="GP475">
        <v>1.96633</v>
      </c>
      <c r="GQ475">
        <v>1.86097</v>
      </c>
      <c r="GR475">
        <v>-0.00167638</v>
      </c>
      <c r="GS475">
        <v>0</v>
      </c>
      <c r="GT475">
        <v>25.0636</v>
      </c>
      <c r="GU475">
        <v>999.9</v>
      </c>
      <c r="GV475">
        <v>29.3</v>
      </c>
      <c r="GW475">
        <v>34.2</v>
      </c>
      <c r="GX475">
        <v>17.6063</v>
      </c>
      <c r="GY475">
        <v>62.3276</v>
      </c>
      <c r="GZ475">
        <v>35.2764</v>
      </c>
      <c r="HA475">
        <v>1</v>
      </c>
      <c r="HB475">
        <v>0.0387119</v>
      </c>
      <c r="HC475">
        <v>1.83949</v>
      </c>
      <c r="HD475">
        <v>20.3244</v>
      </c>
      <c r="HE475">
        <v>5.21909</v>
      </c>
      <c r="HF475">
        <v>12.0099</v>
      </c>
      <c r="HG475">
        <v>4.98915</v>
      </c>
      <c r="HH475">
        <v>3.28863</v>
      </c>
      <c r="HI475">
        <v>1037.9</v>
      </c>
      <c r="HJ475">
        <v>9778.299999999999</v>
      </c>
      <c r="HK475">
        <v>5139.4</v>
      </c>
      <c r="HL475">
        <v>25.4</v>
      </c>
      <c r="HM475">
        <v>1.86743</v>
      </c>
      <c r="HN475">
        <v>1.86645</v>
      </c>
      <c r="HO475">
        <v>1.866</v>
      </c>
      <c r="HP475">
        <v>1.86584</v>
      </c>
      <c r="HQ475">
        <v>1.86768</v>
      </c>
      <c r="HR475">
        <v>1.8702</v>
      </c>
      <c r="HS475">
        <v>1.8689</v>
      </c>
      <c r="HT475">
        <v>1.87018</v>
      </c>
      <c r="HU475">
        <v>0</v>
      </c>
      <c r="HV475">
        <v>0</v>
      </c>
      <c r="HW475">
        <v>0</v>
      </c>
      <c r="HX475">
        <v>0</v>
      </c>
      <c r="HY475" t="s">
        <v>421</v>
      </c>
      <c r="HZ475" t="s">
        <v>422</v>
      </c>
      <c r="IA475" t="s">
        <v>423</v>
      </c>
      <c r="IB475" t="s">
        <v>423</v>
      </c>
      <c r="IC475" t="s">
        <v>423</v>
      </c>
      <c r="ID475" t="s">
        <v>423</v>
      </c>
      <c r="IE475">
        <v>0</v>
      </c>
      <c r="IF475">
        <v>100</v>
      </c>
      <c r="IG475">
        <v>100</v>
      </c>
      <c r="IH475">
        <v>-2.6</v>
      </c>
      <c r="II475">
        <v>0.0192</v>
      </c>
      <c r="IJ475">
        <v>-0.1559367209035702</v>
      </c>
      <c r="IK475">
        <v>-0.002077099775823331</v>
      </c>
      <c r="IL475">
        <v>4.593143279902166E-07</v>
      </c>
      <c r="IM475">
        <v>-1.865383991892071E-10</v>
      </c>
      <c r="IN475">
        <v>-0.0607165066849496</v>
      </c>
      <c r="IO475">
        <v>-0.01129461987421345</v>
      </c>
      <c r="IP475">
        <v>0.00116580895745559</v>
      </c>
      <c r="IQ475">
        <v>-1.679085872906199E-05</v>
      </c>
      <c r="IR475">
        <v>2</v>
      </c>
      <c r="IS475">
        <v>2290</v>
      </c>
      <c r="IT475">
        <v>0</v>
      </c>
      <c r="IU475">
        <v>32</v>
      </c>
      <c r="IV475">
        <v>19.6</v>
      </c>
      <c r="IW475">
        <v>19.4</v>
      </c>
      <c r="IX475">
        <v>2.78931</v>
      </c>
      <c r="IY475">
        <v>2.21558</v>
      </c>
      <c r="IZ475">
        <v>1.39648</v>
      </c>
      <c r="JA475">
        <v>2.35474</v>
      </c>
      <c r="JB475">
        <v>1.49536</v>
      </c>
      <c r="JC475">
        <v>2.35229</v>
      </c>
      <c r="JD475">
        <v>38.0134</v>
      </c>
      <c r="JE475">
        <v>24.035</v>
      </c>
      <c r="JF475">
        <v>18</v>
      </c>
      <c r="JG475">
        <v>511.127</v>
      </c>
      <c r="JH475">
        <v>429.39</v>
      </c>
      <c r="JI475">
        <v>22.8995</v>
      </c>
      <c r="JJ475">
        <v>27.8083</v>
      </c>
      <c r="JK475">
        <v>30.0001</v>
      </c>
      <c r="JL475">
        <v>27.8118</v>
      </c>
      <c r="JM475">
        <v>27.7551</v>
      </c>
      <c r="JN475">
        <v>55.844</v>
      </c>
      <c r="JO475">
        <v>38.5311</v>
      </c>
      <c r="JP475">
        <v>0</v>
      </c>
      <c r="JQ475">
        <v>22.866</v>
      </c>
      <c r="JR475">
        <v>1443.39</v>
      </c>
      <c r="JS475">
        <v>10.6802</v>
      </c>
      <c r="JT475">
        <v>100.427</v>
      </c>
      <c r="JU475">
        <v>100.357</v>
      </c>
    </row>
    <row r="476" spans="1:281">
      <c r="A476">
        <v>460</v>
      </c>
      <c r="B476">
        <v>1651866683</v>
      </c>
      <c r="C476">
        <v>2462.400000095367</v>
      </c>
      <c r="D476" t="s">
        <v>1343</v>
      </c>
      <c r="E476" t="s">
        <v>1344</v>
      </c>
      <c r="F476">
        <v>2</v>
      </c>
      <c r="G476" t="s">
        <v>908</v>
      </c>
      <c r="H476" t="s">
        <v>414</v>
      </c>
      <c r="I476">
        <v>1651866682</v>
      </c>
      <c r="J476">
        <f>(K476)/1000</f>
        <v>0</v>
      </c>
      <c r="K476">
        <f>IF(CZ476, AN476, AH476)</f>
        <v>0</v>
      </c>
      <c r="L476">
        <f>IF(CZ476, AI476, AG476)</f>
        <v>0</v>
      </c>
      <c r="M476">
        <f>DB476 - IF(AU476&gt;1, L476*CV476*100.0/(AW476*DP476), 0)</f>
        <v>0</v>
      </c>
      <c r="N476">
        <f>((T476-J476/2)*M476-L476)/(T476+J476/2)</f>
        <v>0</v>
      </c>
      <c r="O476">
        <f>N476*(DI476+DJ476)/1000.0</f>
        <v>0</v>
      </c>
      <c r="P476">
        <f>(DB476 - IF(AU476&gt;1, L476*CV476*100.0/(AW476*DP476), 0))*(DI476+DJ476)/1000.0</f>
        <v>0</v>
      </c>
      <c r="Q476">
        <f>2.0/((1/S476-1/R476)+SIGN(S476)*SQRT((1/S476-1/R476)*(1/S476-1/R476) + 4*CW476/((CW476+1)*(CW476+1))*(2*1/S476*1/R476-1/R476*1/R476)))</f>
        <v>0</v>
      </c>
      <c r="R476">
        <f>IF(LEFT(CX476,1)&lt;&gt;"0",IF(LEFT(CX476,1)="1",3.0,CY476),$D$5+$E$5*(DP476*DI476/($K$5*1000))+$F$5*(DP476*DI476/($K$5*1000))*MAX(MIN(CV476,$J$5),$I$5)*MAX(MIN(CV476,$J$5),$I$5)+$G$5*MAX(MIN(CV476,$J$5),$I$5)*(DP476*DI476/($K$5*1000))+$H$5*(DP476*DI476/($K$5*1000))*(DP476*DI476/($K$5*1000)))</f>
        <v>0</v>
      </c>
      <c r="S476">
        <f>J476*(1000-(1000*0.61365*exp(17.502*W476/(240.97+W476))/(DI476+DJ476)+DD476)/2)/(1000*0.61365*exp(17.502*W476/(240.97+W476))/(DI476+DJ476)-DD476)</f>
        <v>0</v>
      </c>
      <c r="T476">
        <f>1/((CW476+1)/(Q476/1.6)+1/(R476/1.37)) + CW476/((CW476+1)/(Q476/1.6) + CW476/(R476/1.37))</f>
        <v>0</v>
      </c>
      <c r="U476">
        <f>(CR476*CU476)</f>
        <v>0</v>
      </c>
      <c r="V476">
        <f>(DK476+(U476+2*0.95*5.67E-8*(((DK476+$B$7)+273)^4-(DK476+273)^4)-44100*J476)/(1.84*29.3*R476+8*0.95*5.67E-8*(DK476+273)^3))</f>
        <v>0</v>
      </c>
      <c r="W476">
        <f>($C$7*DL476+$D$7*DM476+$E$7*V476)</f>
        <v>0</v>
      </c>
      <c r="X476">
        <f>0.61365*exp(17.502*W476/(240.97+W476))</f>
        <v>0</v>
      </c>
      <c r="Y476">
        <f>(Z476/AA476*100)</f>
        <v>0</v>
      </c>
      <c r="Z476">
        <f>DD476*(DI476+DJ476)/1000</f>
        <v>0</v>
      </c>
      <c r="AA476">
        <f>0.61365*exp(17.502*DK476/(240.97+DK476))</f>
        <v>0</v>
      </c>
      <c r="AB476">
        <f>(X476-DD476*(DI476+DJ476)/1000)</f>
        <v>0</v>
      </c>
      <c r="AC476">
        <f>(-J476*44100)</f>
        <v>0</v>
      </c>
      <c r="AD476">
        <f>2*29.3*R476*0.92*(DK476-W476)</f>
        <v>0</v>
      </c>
      <c r="AE476">
        <f>2*0.95*5.67E-8*(((DK476+$B$7)+273)^4-(W476+273)^4)</f>
        <v>0</v>
      </c>
      <c r="AF476">
        <f>U476+AE476+AC476+AD476</f>
        <v>0</v>
      </c>
      <c r="AG476">
        <f>DH476*AU476*(DC476-DB476*(1000-AU476*DE476)/(1000-AU476*DD476))/(100*CV476)</f>
        <v>0</v>
      </c>
      <c r="AH476">
        <f>1000*DH476*AU476*(DD476-DE476)/(100*CV476*(1000-AU476*DD476))</f>
        <v>0</v>
      </c>
      <c r="AI476">
        <f>(AJ476 - AK476 - DI476*1E3/(8.314*(DK476+273.15)) * AM476/DH476 * AL476) * DH476/(100*CV476) * (1000 - DE476)/1000</f>
        <v>0</v>
      </c>
      <c r="AJ476">
        <v>1435.898000656329</v>
      </c>
      <c r="AK476">
        <v>1387.077515151515</v>
      </c>
      <c r="AL476">
        <v>3.390117405738913</v>
      </c>
      <c r="AM476">
        <v>66.38195617057868</v>
      </c>
      <c r="AN476">
        <f>(AP476 - AO476 + DI476*1E3/(8.314*(DK476+273.15)) * AR476/DH476 * AQ476) * DH476/(100*CV476) * 1000/(1000 - AP476)</f>
        <v>0</v>
      </c>
      <c r="AO476">
        <v>10.38468547765264</v>
      </c>
      <c r="AP476">
        <v>18.25227264705882</v>
      </c>
      <c r="AQ476">
        <v>-0.000351850589531885</v>
      </c>
      <c r="AR476">
        <v>80.47178418790507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MAX(0,($B$13+$C$13*DP476)/(1+$D$13*DP476)*DI476/(DK476+273)*$E$13)</f>
        <v>0</v>
      </c>
      <c r="AX476" t="s">
        <v>417</v>
      </c>
      <c r="AY476" t="s">
        <v>417</v>
      </c>
      <c r="AZ476">
        <v>0</v>
      </c>
      <c r="BA476">
        <v>0</v>
      </c>
      <c r="BB476">
        <f>1-AZ476/BA476</f>
        <v>0</v>
      </c>
      <c r="BC476">
        <v>0</v>
      </c>
      <c r="BD476" t="s">
        <v>417</v>
      </c>
      <c r="BE476" t="s">
        <v>417</v>
      </c>
      <c r="BF476">
        <v>0</v>
      </c>
      <c r="BG476">
        <v>0</v>
      </c>
      <c r="BH476">
        <f>1-BF476/BG476</f>
        <v>0</v>
      </c>
      <c r="BI476">
        <v>0.5</v>
      </c>
      <c r="BJ476">
        <f>CS476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417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BZ476">
        <v>1249</v>
      </c>
      <c r="CA476">
        <v>300</v>
      </c>
      <c r="CB476">
        <v>300</v>
      </c>
      <c r="CC476">
        <v>300</v>
      </c>
      <c r="CD476">
        <v>10442.4</v>
      </c>
      <c r="CE476">
        <v>1239.69</v>
      </c>
      <c r="CF476">
        <v>-0.00735276</v>
      </c>
      <c r="CG476">
        <v>0.07000000000000001</v>
      </c>
      <c r="CH476" t="s">
        <v>417</v>
      </c>
      <c r="CI476" t="s">
        <v>417</v>
      </c>
      <c r="CJ476" t="s">
        <v>417</v>
      </c>
      <c r="CK476" t="s">
        <v>417</v>
      </c>
      <c r="CL476" t="s">
        <v>417</v>
      </c>
      <c r="CM476" t="s">
        <v>417</v>
      </c>
      <c r="CN476" t="s">
        <v>417</v>
      </c>
      <c r="CO476" t="s">
        <v>417</v>
      </c>
      <c r="CP476" t="s">
        <v>417</v>
      </c>
      <c r="CQ476" t="s">
        <v>417</v>
      </c>
      <c r="CR476">
        <f>$B$11*DQ476+$C$11*DR476+$F$11*EC476*(1-EF476)</f>
        <v>0</v>
      </c>
      <c r="CS476">
        <f>CR476*CT476</f>
        <v>0</v>
      </c>
      <c r="CT476">
        <f>($B$11*$D$9+$C$11*$D$9+$F$11*((EP476+EH476)/MAX(EP476+EH476+EQ476, 0.1)*$I$9+EQ476/MAX(EP476+EH476+EQ476, 0.1)*$J$9))/($B$11+$C$11+$F$11)</f>
        <v>0</v>
      </c>
      <c r="CU476">
        <f>($B$11*$K$9+$C$11*$K$9+$F$11*((EP476+EH476)/MAX(EP476+EH476+EQ476, 0.1)*$P$9+EQ476/MAX(EP476+EH476+EQ476, 0.1)*$Q$9))/($B$11+$C$11+$F$11)</f>
        <v>0</v>
      </c>
      <c r="CV476">
        <v>6</v>
      </c>
      <c r="CW476">
        <v>0.5</v>
      </c>
      <c r="CX476" t="s">
        <v>418</v>
      </c>
      <c r="CY476">
        <v>2</v>
      </c>
      <c r="CZ476" t="b">
        <v>1</v>
      </c>
      <c r="DA476">
        <v>1651866682</v>
      </c>
      <c r="DB476">
        <v>1360.106666666667</v>
      </c>
      <c r="DC476">
        <v>1426.803333333333</v>
      </c>
      <c r="DD476">
        <v>18.25383333333334</v>
      </c>
      <c r="DE476">
        <v>10.479</v>
      </c>
      <c r="DF476">
        <v>1362.71</v>
      </c>
      <c r="DG476">
        <v>18.23463333333333</v>
      </c>
      <c r="DH476">
        <v>500.0466666666666</v>
      </c>
      <c r="DI476">
        <v>89.91506666666665</v>
      </c>
      <c r="DJ476">
        <v>0.1001703333333333</v>
      </c>
      <c r="DK476">
        <v>25.90536666666667</v>
      </c>
      <c r="DL476">
        <v>25.03596666666667</v>
      </c>
      <c r="DM476">
        <v>999.9</v>
      </c>
      <c r="DN476">
        <v>0</v>
      </c>
      <c r="DO476">
        <v>0</v>
      </c>
      <c r="DP476">
        <v>9990.639999999999</v>
      </c>
      <c r="DQ476">
        <v>0</v>
      </c>
      <c r="DR476">
        <v>3.20383</v>
      </c>
      <c r="DS476">
        <v>-66.70076666666667</v>
      </c>
      <c r="DT476">
        <v>1385.393333333333</v>
      </c>
      <c r="DU476">
        <v>1441.916666666667</v>
      </c>
      <c r="DV476">
        <v>7.774830000000001</v>
      </c>
      <c r="DW476">
        <v>1426.803333333333</v>
      </c>
      <c r="DX476">
        <v>10.479</v>
      </c>
      <c r="DY476">
        <v>1.64129</v>
      </c>
      <c r="DZ476">
        <v>0.9422183333333334</v>
      </c>
      <c r="EA476">
        <v>14.35203333333333</v>
      </c>
      <c r="EB476">
        <v>6.052223333333333</v>
      </c>
      <c r="EC476">
        <v>1499.963333333333</v>
      </c>
      <c r="ED476">
        <v>0.973002</v>
      </c>
      <c r="EE476">
        <v>0.02699806666666666</v>
      </c>
      <c r="EF476">
        <v>0</v>
      </c>
      <c r="EG476">
        <v>888.1019999999999</v>
      </c>
      <c r="EH476">
        <v>5.00097</v>
      </c>
      <c r="EI476">
        <v>13211.06666666667</v>
      </c>
      <c r="EJ476">
        <v>12491.26666666667</v>
      </c>
      <c r="EK476">
        <v>37.5</v>
      </c>
      <c r="EL476">
        <v>38.812</v>
      </c>
      <c r="EM476">
        <v>37.875</v>
      </c>
      <c r="EN476">
        <v>38.437</v>
      </c>
      <c r="EO476">
        <v>38.375</v>
      </c>
      <c r="EP476">
        <v>1454.603333333333</v>
      </c>
      <c r="EQ476">
        <v>40.36000000000001</v>
      </c>
      <c r="ER476">
        <v>0</v>
      </c>
      <c r="ES476">
        <v>1200.200000047684</v>
      </c>
      <c r="ET476">
        <v>0</v>
      </c>
      <c r="EU476">
        <v>889.8403599999999</v>
      </c>
      <c r="EV476">
        <v>-11.99338460340285</v>
      </c>
      <c r="EW476">
        <v>-175.6615382945079</v>
      </c>
      <c r="EX476">
        <v>13230.368</v>
      </c>
      <c r="EY476">
        <v>15</v>
      </c>
      <c r="EZ476">
        <v>1651865518.1</v>
      </c>
      <c r="FA476" t="s">
        <v>910</v>
      </c>
      <c r="FB476">
        <v>1651865507.1</v>
      </c>
      <c r="FC476">
        <v>1651865518.1</v>
      </c>
      <c r="FD476">
        <v>8</v>
      </c>
      <c r="FE476">
        <v>0.06</v>
      </c>
      <c r="FF476">
        <v>0</v>
      </c>
      <c r="FG476">
        <v>-0.927</v>
      </c>
      <c r="FH476">
        <v>-0.062</v>
      </c>
      <c r="FI476">
        <v>400</v>
      </c>
      <c r="FJ476">
        <v>11</v>
      </c>
      <c r="FK476">
        <v>0.11</v>
      </c>
      <c r="FL476">
        <v>0.01</v>
      </c>
      <c r="FM476">
        <v>-66.60118536585365</v>
      </c>
      <c r="FN476">
        <v>-1.455165156794468</v>
      </c>
      <c r="FO476">
        <v>0.2010509831724839</v>
      </c>
      <c r="FP476">
        <v>-1</v>
      </c>
      <c r="FQ476">
        <v>8.054234634146342</v>
      </c>
      <c r="FR476">
        <v>-1.725647247386773</v>
      </c>
      <c r="FS476">
        <v>0.1703393658882397</v>
      </c>
      <c r="FT476">
        <v>-1</v>
      </c>
      <c r="FU476">
        <v>0</v>
      </c>
      <c r="FV476">
        <v>0</v>
      </c>
      <c r="FW476">
        <v>0</v>
      </c>
      <c r="FX476">
        <v>-1</v>
      </c>
      <c r="FY476">
        <v>0</v>
      </c>
      <c r="FZ476">
        <v>0</v>
      </c>
      <c r="GA476" t="s">
        <v>420</v>
      </c>
      <c r="GB476">
        <v>2.98158</v>
      </c>
      <c r="GC476">
        <v>2.70617</v>
      </c>
      <c r="GD476">
        <v>0.20817</v>
      </c>
      <c r="GE476">
        <v>0.211928</v>
      </c>
      <c r="GF476">
        <v>0.08747530000000001</v>
      </c>
      <c r="GG476">
        <v>0.0575351</v>
      </c>
      <c r="GH476">
        <v>25024.3</v>
      </c>
      <c r="GI476">
        <v>24958.6</v>
      </c>
      <c r="GJ476">
        <v>29380.5</v>
      </c>
      <c r="GK476">
        <v>29294.7</v>
      </c>
      <c r="GL476">
        <v>35500.8</v>
      </c>
      <c r="GM476">
        <v>36780</v>
      </c>
      <c r="GN476">
        <v>41353.7</v>
      </c>
      <c r="GO476">
        <v>41815.7</v>
      </c>
      <c r="GP476">
        <v>1.9665</v>
      </c>
      <c r="GQ476">
        <v>1.8611</v>
      </c>
      <c r="GR476">
        <v>-0.00186265</v>
      </c>
      <c r="GS476">
        <v>0</v>
      </c>
      <c r="GT476">
        <v>25.0636</v>
      </c>
      <c r="GU476">
        <v>999.9</v>
      </c>
      <c r="GV476">
        <v>29.3</v>
      </c>
      <c r="GW476">
        <v>34.2</v>
      </c>
      <c r="GX476">
        <v>17.6054</v>
      </c>
      <c r="GY476">
        <v>62.4576</v>
      </c>
      <c r="GZ476">
        <v>35.4768</v>
      </c>
      <c r="HA476">
        <v>1</v>
      </c>
      <c r="HB476">
        <v>0.0386662</v>
      </c>
      <c r="HC476">
        <v>1.87663</v>
      </c>
      <c r="HD476">
        <v>20.3239</v>
      </c>
      <c r="HE476">
        <v>5.21879</v>
      </c>
      <c r="HF476">
        <v>12.0099</v>
      </c>
      <c r="HG476">
        <v>4.989</v>
      </c>
      <c r="HH476">
        <v>3.28855</v>
      </c>
      <c r="HI476">
        <v>1037.9</v>
      </c>
      <c r="HJ476">
        <v>9778.299999999999</v>
      </c>
      <c r="HK476">
        <v>5139.4</v>
      </c>
      <c r="HL476">
        <v>25.4</v>
      </c>
      <c r="HM476">
        <v>1.86743</v>
      </c>
      <c r="HN476">
        <v>1.86646</v>
      </c>
      <c r="HO476">
        <v>1.866</v>
      </c>
      <c r="HP476">
        <v>1.86586</v>
      </c>
      <c r="HQ476">
        <v>1.86768</v>
      </c>
      <c r="HR476">
        <v>1.8702</v>
      </c>
      <c r="HS476">
        <v>1.8689</v>
      </c>
      <c r="HT476">
        <v>1.87019</v>
      </c>
      <c r="HU476">
        <v>0</v>
      </c>
      <c r="HV476">
        <v>0</v>
      </c>
      <c r="HW476">
        <v>0</v>
      </c>
      <c r="HX476">
        <v>0</v>
      </c>
      <c r="HY476" t="s">
        <v>421</v>
      </c>
      <c r="HZ476" t="s">
        <v>422</v>
      </c>
      <c r="IA476" t="s">
        <v>423</v>
      </c>
      <c r="IB476" t="s">
        <v>423</v>
      </c>
      <c r="IC476" t="s">
        <v>423</v>
      </c>
      <c r="ID476" t="s">
        <v>423</v>
      </c>
      <c r="IE476">
        <v>0</v>
      </c>
      <c r="IF476">
        <v>100</v>
      </c>
      <c r="IG476">
        <v>100</v>
      </c>
      <c r="IH476">
        <v>-2.61</v>
      </c>
      <c r="II476">
        <v>0.0192</v>
      </c>
      <c r="IJ476">
        <v>-0.1559367209035702</v>
      </c>
      <c r="IK476">
        <v>-0.002077099775823331</v>
      </c>
      <c r="IL476">
        <v>4.593143279902166E-07</v>
      </c>
      <c r="IM476">
        <v>-1.865383991892071E-10</v>
      </c>
      <c r="IN476">
        <v>-0.0607165066849496</v>
      </c>
      <c r="IO476">
        <v>-0.01129461987421345</v>
      </c>
      <c r="IP476">
        <v>0.00116580895745559</v>
      </c>
      <c r="IQ476">
        <v>-1.679085872906199E-05</v>
      </c>
      <c r="IR476">
        <v>2</v>
      </c>
      <c r="IS476">
        <v>2290</v>
      </c>
      <c r="IT476">
        <v>0</v>
      </c>
      <c r="IU476">
        <v>32</v>
      </c>
      <c r="IV476">
        <v>19.6</v>
      </c>
      <c r="IW476">
        <v>19.4</v>
      </c>
      <c r="IX476">
        <v>2.79419</v>
      </c>
      <c r="IY476">
        <v>2.17529</v>
      </c>
      <c r="IZ476">
        <v>1.39648</v>
      </c>
      <c r="JA476">
        <v>2.35474</v>
      </c>
      <c r="JB476">
        <v>1.49536</v>
      </c>
      <c r="JC476">
        <v>2.37549</v>
      </c>
      <c r="JD476">
        <v>38.0134</v>
      </c>
      <c r="JE476">
        <v>24.035</v>
      </c>
      <c r="JF476">
        <v>18</v>
      </c>
      <c r="JG476">
        <v>511.235</v>
      </c>
      <c r="JH476">
        <v>429.464</v>
      </c>
      <c r="JI476">
        <v>22.8849</v>
      </c>
      <c r="JJ476">
        <v>27.8071</v>
      </c>
      <c r="JK476">
        <v>30</v>
      </c>
      <c r="JL476">
        <v>27.8112</v>
      </c>
      <c r="JM476">
        <v>27.7549</v>
      </c>
      <c r="JN476">
        <v>56.0469</v>
      </c>
      <c r="JO476">
        <v>38.1853</v>
      </c>
      <c r="JP476">
        <v>0</v>
      </c>
      <c r="JQ476">
        <v>22.866</v>
      </c>
      <c r="JR476">
        <v>1450.07</v>
      </c>
      <c r="JS476">
        <v>10.7362</v>
      </c>
      <c r="JT476">
        <v>100.428</v>
      </c>
      <c r="JU476">
        <v>100.358</v>
      </c>
    </row>
    <row r="477" spans="1:281">
      <c r="A477">
        <v>461</v>
      </c>
      <c r="B477">
        <v>1651866685</v>
      </c>
      <c r="C477">
        <v>2464.400000095367</v>
      </c>
      <c r="D477" t="s">
        <v>1345</v>
      </c>
      <c r="E477" t="s">
        <v>1346</v>
      </c>
      <c r="F477">
        <v>2</v>
      </c>
      <c r="G477" t="s">
        <v>908</v>
      </c>
      <c r="H477" t="s">
        <v>414</v>
      </c>
      <c r="I477">
        <v>1651866683.625</v>
      </c>
      <c r="J477">
        <f>(K477)/1000</f>
        <v>0</v>
      </c>
      <c r="K477">
        <f>IF(CZ477, AN477, AH477)</f>
        <v>0</v>
      </c>
      <c r="L477">
        <f>IF(CZ477, AI477, AG477)</f>
        <v>0</v>
      </c>
      <c r="M477">
        <f>DB477 - IF(AU477&gt;1, L477*CV477*100.0/(AW477*DP477), 0)</f>
        <v>0</v>
      </c>
      <c r="N477">
        <f>((T477-J477/2)*M477-L477)/(T477+J477/2)</f>
        <v>0</v>
      </c>
      <c r="O477">
        <f>N477*(DI477+DJ477)/1000.0</f>
        <v>0</v>
      </c>
      <c r="P477">
        <f>(DB477 - IF(AU477&gt;1, L477*CV477*100.0/(AW477*DP477), 0))*(DI477+DJ477)/1000.0</f>
        <v>0</v>
      </c>
      <c r="Q477">
        <f>2.0/((1/S477-1/R477)+SIGN(S477)*SQRT((1/S477-1/R477)*(1/S477-1/R477) + 4*CW477/((CW477+1)*(CW477+1))*(2*1/S477*1/R477-1/R477*1/R477)))</f>
        <v>0</v>
      </c>
      <c r="R477">
        <f>IF(LEFT(CX477,1)&lt;&gt;"0",IF(LEFT(CX477,1)="1",3.0,CY477),$D$5+$E$5*(DP477*DI477/($K$5*1000))+$F$5*(DP477*DI477/($K$5*1000))*MAX(MIN(CV477,$J$5),$I$5)*MAX(MIN(CV477,$J$5),$I$5)+$G$5*MAX(MIN(CV477,$J$5),$I$5)*(DP477*DI477/($K$5*1000))+$H$5*(DP477*DI477/($K$5*1000))*(DP477*DI477/($K$5*1000)))</f>
        <v>0</v>
      </c>
      <c r="S477">
        <f>J477*(1000-(1000*0.61365*exp(17.502*W477/(240.97+W477))/(DI477+DJ477)+DD477)/2)/(1000*0.61365*exp(17.502*W477/(240.97+W477))/(DI477+DJ477)-DD477)</f>
        <v>0</v>
      </c>
      <c r="T477">
        <f>1/((CW477+1)/(Q477/1.6)+1/(R477/1.37)) + CW477/((CW477+1)/(Q477/1.6) + CW477/(R477/1.37))</f>
        <v>0</v>
      </c>
      <c r="U477">
        <f>(CR477*CU477)</f>
        <v>0</v>
      </c>
      <c r="V477">
        <f>(DK477+(U477+2*0.95*5.67E-8*(((DK477+$B$7)+273)^4-(DK477+273)^4)-44100*J477)/(1.84*29.3*R477+8*0.95*5.67E-8*(DK477+273)^3))</f>
        <v>0</v>
      </c>
      <c r="W477">
        <f>($C$7*DL477+$D$7*DM477+$E$7*V477)</f>
        <v>0</v>
      </c>
      <c r="X477">
        <f>0.61365*exp(17.502*W477/(240.97+W477))</f>
        <v>0</v>
      </c>
      <c r="Y477">
        <f>(Z477/AA477*100)</f>
        <v>0</v>
      </c>
      <c r="Z477">
        <f>DD477*(DI477+DJ477)/1000</f>
        <v>0</v>
      </c>
      <c r="AA477">
        <f>0.61365*exp(17.502*DK477/(240.97+DK477))</f>
        <v>0</v>
      </c>
      <c r="AB477">
        <f>(X477-DD477*(DI477+DJ477)/1000)</f>
        <v>0</v>
      </c>
      <c r="AC477">
        <f>(-J477*44100)</f>
        <v>0</v>
      </c>
      <c r="AD477">
        <f>2*29.3*R477*0.92*(DK477-W477)</f>
        <v>0</v>
      </c>
      <c r="AE477">
        <f>2*0.95*5.67E-8*(((DK477+$B$7)+273)^4-(W477+273)^4)</f>
        <v>0</v>
      </c>
      <c r="AF477">
        <f>U477+AE477+AC477+AD477</f>
        <v>0</v>
      </c>
      <c r="AG477">
        <f>DH477*AU477*(DC477-DB477*(1000-AU477*DE477)/(1000-AU477*DD477))/(100*CV477)</f>
        <v>0</v>
      </c>
      <c r="AH477">
        <f>1000*DH477*AU477*(DD477-DE477)/(100*CV477*(1000-AU477*DD477))</f>
        <v>0</v>
      </c>
      <c r="AI477">
        <f>(AJ477 - AK477 - DI477*1E3/(8.314*(DK477+273.15)) * AM477/DH477 * AL477) * DH477/(100*CV477) * (1000 - DE477)/1000</f>
        <v>0</v>
      </c>
      <c r="AJ477">
        <v>1442.766052608062</v>
      </c>
      <c r="AK477">
        <v>1393.88709090909</v>
      </c>
      <c r="AL477">
        <v>3.394729277421744</v>
      </c>
      <c r="AM477">
        <v>66.38195617057868</v>
      </c>
      <c r="AN477">
        <f>(AP477 - AO477 + DI477*1E3/(8.314*(DK477+273.15)) * AR477/DH477 * AQ477) * DH477/(100*CV477) * 1000/(1000 - AP477)</f>
        <v>0</v>
      </c>
      <c r="AO477">
        <v>10.44014166293184</v>
      </c>
      <c r="AP477">
        <v>18.24609235294117</v>
      </c>
      <c r="AQ477">
        <v>-0.0003699887232376438</v>
      </c>
      <c r="AR477">
        <v>80.47178418790507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MAX(0,($B$13+$C$13*DP477)/(1+$D$13*DP477)*DI477/(DK477+273)*$E$13)</f>
        <v>0</v>
      </c>
      <c r="AX477" t="s">
        <v>417</v>
      </c>
      <c r="AY477" t="s">
        <v>417</v>
      </c>
      <c r="AZ477">
        <v>0</v>
      </c>
      <c r="BA477">
        <v>0</v>
      </c>
      <c r="BB477">
        <f>1-AZ477/BA477</f>
        <v>0</v>
      </c>
      <c r="BC477">
        <v>0</v>
      </c>
      <c r="BD477" t="s">
        <v>417</v>
      </c>
      <c r="BE477" t="s">
        <v>417</v>
      </c>
      <c r="BF477">
        <v>0</v>
      </c>
      <c r="BG477">
        <v>0</v>
      </c>
      <c r="BH477">
        <f>1-BF477/BG477</f>
        <v>0</v>
      </c>
      <c r="BI477">
        <v>0.5</v>
      </c>
      <c r="BJ477">
        <f>CS477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417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BZ477">
        <v>1249</v>
      </c>
      <c r="CA477">
        <v>300</v>
      </c>
      <c r="CB477">
        <v>300</v>
      </c>
      <c r="CC477">
        <v>300</v>
      </c>
      <c r="CD477">
        <v>10442.4</v>
      </c>
      <c r="CE477">
        <v>1239.69</v>
      </c>
      <c r="CF477">
        <v>-0.00735276</v>
      </c>
      <c r="CG477">
        <v>0.07000000000000001</v>
      </c>
      <c r="CH477" t="s">
        <v>417</v>
      </c>
      <c r="CI477" t="s">
        <v>417</v>
      </c>
      <c r="CJ477" t="s">
        <v>417</v>
      </c>
      <c r="CK477" t="s">
        <v>417</v>
      </c>
      <c r="CL477" t="s">
        <v>417</v>
      </c>
      <c r="CM477" t="s">
        <v>417</v>
      </c>
      <c r="CN477" t="s">
        <v>417</v>
      </c>
      <c r="CO477" t="s">
        <v>417</v>
      </c>
      <c r="CP477" t="s">
        <v>417</v>
      </c>
      <c r="CQ477" t="s">
        <v>417</v>
      </c>
      <c r="CR477">
        <f>$B$11*DQ477+$C$11*DR477+$F$11*EC477*(1-EF477)</f>
        <v>0</v>
      </c>
      <c r="CS477">
        <f>CR477*CT477</f>
        <v>0</v>
      </c>
      <c r="CT477">
        <f>($B$11*$D$9+$C$11*$D$9+$F$11*((EP477+EH477)/MAX(EP477+EH477+EQ477, 0.1)*$I$9+EQ477/MAX(EP477+EH477+EQ477, 0.1)*$J$9))/($B$11+$C$11+$F$11)</f>
        <v>0</v>
      </c>
      <c r="CU477">
        <f>($B$11*$K$9+$C$11*$K$9+$F$11*((EP477+EH477)/MAX(EP477+EH477+EQ477, 0.1)*$P$9+EQ477/MAX(EP477+EH477+EQ477, 0.1)*$Q$9))/($B$11+$C$11+$F$11)</f>
        <v>0</v>
      </c>
      <c r="CV477">
        <v>6</v>
      </c>
      <c r="CW477">
        <v>0.5</v>
      </c>
      <c r="CX477" t="s">
        <v>418</v>
      </c>
      <c r="CY477">
        <v>2</v>
      </c>
      <c r="CZ477" t="b">
        <v>1</v>
      </c>
      <c r="DA477">
        <v>1651866683.625</v>
      </c>
      <c r="DB477">
        <v>1365.525</v>
      </c>
      <c r="DC477">
        <v>1432.4825</v>
      </c>
      <c r="DD477">
        <v>18.249</v>
      </c>
      <c r="DE477">
        <v>10.519675</v>
      </c>
      <c r="DF477">
        <v>1368.14</v>
      </c>
      <c r="DG477">
        <v>18.229875</v>
      </c>
      <c r="DH477">
        <v>500.089</v>
      </c>
      <c r="DI477">
        <v>89.91504999999999</v>
      </c>
      <c r="DJ477">
        <v>0.099992925</v>
      </c>
      <c r="DK477">
        <v>25.90565</v>
      </c>
      <c r="DL477">
        <v>25.034775</v>
      </c>
      <c r="DM477">
        <v>999.9</v>
      </c>
      <c r="DN477">
        <v>0</v>
      </c>
      <c r="DO477">
        <v>0</v>
      </c>
      <c r="DP477">
        <v>10002.955</v>
      </c>
      <c r="DQ477">
        <v>0</v>
      </c>
      <c r="DR477">
        <v>3.20383</v>
      </c>
      <c r="DS477">
        <v>-66.957425</v>
      </c>
      <c r="DT477">
        <v>1390.9075</v>
      </c>
      <c r="DU477">
        <v>1447.7125</v>
      </c>
      <c r="DV477">
        <v>7.729297499999999</v>
      </c>
      <c r="DW477">
        <v>1432.4825</v>
      </c>
      <c r="DX477">
        <v>10.519675</v>
      </c>
      <c r="DY477">
        <v>1.640855</v>
      </c>
      <c r="DZ477">
        <v>0.9458765</v>
      </c>
      <c r="EA477">
        <v>14.34795</v>
      </c>
      <c r="EB477">
        <v>6.10829</v>
      </c>
      <c r="EC477">
        <v>1500.015</v>
      </c>
      <c r="ED477">
        <v>0.97299825</v>
      </c>
      <c r="EE477">
        <v>0.027001775</v>
      </c>
      <c r="EF477">
        <v>0</v>
      </c>
      <c r="EG477">
        <v>888.116</v>
      </c>
      <c r="EH477">
        <v>5.00097</v>
      </c>
      <c r="EI477">
        <v>13207.375</v>
      </c>
      <c r="EJ477">
        <v>12491.7</v>
      </c>
      <c r="EK477">
        <v>37.5</v>
      </c>
      <c r="EL477">
        <v>38.812</v>
      </c>
      <c r="EM477">
        <v>37.875</v>
      </c>
      <c r="EN477">
        <v>38.437</v>
      </c>
      <c r="EO477">
        <v>38.375</v>
      </c>
      <c r="EP477">
        <v>1454.6475</v>
      </c>
      <c r="EQ477">
        <v>40.3675</v>
      </c>
      <c r="ER477">
        <v>0</v>
      </c>
      <c r="ES477">
        <v>1202.600000143051</v>
      </c>
      <c r="ET477">
        <v>0</v>
      </c>
      <c r="EU477">
        <v>889.3890400000001</v>
      </c>
      <c r="EV477">
        <v>-12.0677692097569</v>
      </c>
      <c r="EW477">
        <v>-169.9384613716993</v>
      </c>
      <c r="EX477">
        <v>13223.556</v>
      </c>
      <c r="EY477">
        <v>15</v>
      </c>
      <c r="EZ477">
        <v>1651865518.1</v>
      </c>
      <c r="FA477" t="s">
        <v>910</v>
      </c>
      <c r="FB477">
        <v>1651865507.1</v>
      </c>
      <c r="FC477">
        <v>1651865518.1</v>
      </c>
      <c r="FD477">
        <v>8</v>
      </c>
      <c r="FE477">
        <v>0.06</v>
      </c>
      <c r="FF477">
        <v>0</v>
      </c>
      <c r="FG477">
        <v>-0.927</v>
      </c>
      <c r="FH477">
        <v>-0.062</v>
      </c>
      <c r="FI477">
        <v>400</v>
      </c>
      <c r="FJ477">
        <v>11</v>
      </c>
      <c r="FK477">
        <v>0.11</v>
      </c>
      <c r="FL477">
        <v>0.01</v>
      </c>
      <c r="FM477">
        <v>-66.64910999999999</v>
      </c>
      <c r="FN477">
        <v>-1.656997373358261</v>
      </c>
      <c r="FO477">
        <v>0.2147254942944596</v>
      </c>
      <c r="FP477">
        <v>-1</v>
      </c>
      <c r="FQ477">
        <v>8.00473025</v>
      </c>
      <c r="FR477">
        <v>-1.755071707317086</v>
      </c>
      <c r="FS477">
        <v>0.168961069828045</v>
      </c>
      <c r="FT477">
        <v>-1</v>
      </c>
      <c r="FU477">
        <v>0</v>
      </c>
      <c r="FV477">
        <v>0</v>
      </c>
      <c r="FW477">
        <v>0</v>
      </c>
      <c r="FX477">
        <v>-1</v>
      </c>
      <c r="FY477">
        <v>0</v>
      </c>
      <c r="FZ477">
        <v>0</v>
      </c>
      <c r="GA477" t="s">
        <v>420</v>
      </c>
      <c r="GB477">
        <v>2.98157</v>
      </c>
      <c r="GC477">
        <v>2.70619</v>
      </c>
      <c r="GD477">
        <v>0.208793</v>
      </c>
      <c r="GE477">
        <v>0.21254</v>
      </c>
      <c r="GF477">
        <v>0.0874572</v>
      </c>
      <c r="GG477">
        <v>0.0577667</v>
      </c>
      <c r="GH477">
        <v>25004.5</v>
      </c>
      <c r="GI477">
        <v>24939.3</v>
      </c>
      <c r="GJ477">
        <v>29380.4</v>
      </c>
      <c r="GK477">
        <v>29294.8</v>
      </c>
      <c r="GL477">
        <v>35501.5</v>
      </c>
      <c r="GM477">
        <v>36771.1</v>
      </c>
      <c r="GN477">
        <v>41353.7</v>
      </c>
      <c r="GO477">
        <v>41815.9</v>
      </c>
      <c r="GP477">
        <v>1.96662</v>
      </c>
      <c r="GQ477">
        <v>1.8613</v>
      </c>
      <c r="GR477">
        <v>-0.00160187</v>
      </c>
      <c r="GS477">
        <v>0</v>
      </c>
      <c r="GT477">
        <v>25.0636</v>
      </c>
      <c r="GU477">
        <v>999.9</v>
      </c>
      <c r="GV477">
        <v>29.3</v>
      </c>
      <c r="GW477">
        <v>34.2</v>
      </c>
      <c r="GX477">
        <v>17.6057</v>
      </c>
      <c r="GY477">
        <v>62.6176</v>
      </c>
      <c r="GZ477">
        <v>35.2043</v>
      </c>
      <c r="HA477">
        <v>1</v>
      </c>
      <c r="HB477">
        <v>0.0386204</v>
      </c>
      <c r="HC477">
        <v>1.85217</v>
      </c>
      <c r="HD477">
        <v>20.3243</v>
      </c>
      <c r="HE477">
        <v>5.21879</v>
      </c>
      <c r="HF477">
        <v>12.0099</v>
      </c>
      <c r="HG477">
        <v>4.9891</v>
      </c>
      <c r="HH477">
        <v>3.28858</v>
      </c>
      <c r="HI477">
        <v>1038.1</v>
      </c>
      <c r="HJ477">
        <v>9779.4</v>
      </c>
      <c r="HK477">
        <v>5139.4</v>
      </c>
      <c r="HL477">
        <v>25.4</v>
      </c>
      <c r="HM477">
        <v>1.86747</v>
      </c>
      <c r="HN477">
        <v>1.86646</v>
      </c>
      <c r="HO477">
        <v>1.866</v>
      </c>
      <c r="HP477">
        <v>1.86585</v>
      </c>
      <c r="HQ477">
        <v>1.86768</v>
      </c>
      <c r="HR477">
        <v>1.87019</v>
      </c>
      <c r="HS477">
        <v>1.8689</v>
      </c>
      <c r="HT477">
        <v>1.87022</v>
      </c>
      <c r="HU477">
        <v>0</v>
      </c>
      <c r="HV477">
        <v>0</v>
      </c>
      <c r="HW477">
        <v>0</v>
      </c>
      <c r="HX477">
        <v>0</v>
      </c>
      <c r="HY477" t="s">
        <v>421</v>
      </c>
      <c r="HZ477" t="s">
        <v>422</v>
      </c>
      <c r="IA477" t="s">
        <v>423</v>
      </c>
      <c r="IB477" t="s">
        <v>423</v>
      </c>
      <c r="IC477" t="s">
        <v>423</v>
      </c>
      <c r="ID477" t="s">
        <v>423</v>
      </c>
      <c r="IE477">
        <v>0</v>
      </c>
      <c r="IF477">
        <v>100</v>
      </c>
      <c r="IG477">
        <v>100</v>
      </c>
      <c r="IH477">
        <v>-2.62</v>
      </c>
      <c r="II477">
        <v>0.0191</v>
      </c>
      <c r="IJ477">
        <v>-0.1559367209035702</v>
      </c>
      <c r="IK477">
        <v>-0.002077099775823331</v>
      </c>
      <c r="IL477">
        <v>4.593143279902166E-07</v>
      </c>
      <c r="IM477">
        <v>-1.865383991892071E-10</v>
      </c>
      <c r="IN477">
        <v>-0.0607165066849496</v>
      </c>
      <c r="IO477">
        <v>-0.01129461987421345</v>
      </c>
      <c r="IP477">
        <v>0.00116580895745559</v>
      </c>
      <c r="IQ477">
        <v>-1.679085872906199E-05</v>
      </c>
      <c r="IR477">
        <v>2</v>
      </c>
      <c r="IS477">
        <v>2290</v>
      </c>
      <c r="IT477">
        <v>0</v>
      </c>
      <c r="IU477">
        <v>32</v>
      </c>
      <c r="IV477">
        <v>19.6</v>
      </c>
      <c r="IW477">
        <v>19.4</v>
      </c>
      <c r="IX477">
        <v>2.80396</v>
      </c>
      <c r="IY477">
        <v>2.18018</v>
      </c>
      <c r="IZ477">
        <v>1.39648</v>
      </c>
      <c r="JA477">
        <v>2.35474</v>
      </c>
      <c r="JB477">
        <v>1.49536</v>
      </c>
      <c r="JC477">
        <v>2.34985</v>
      </c>
      <c r="JD477">
        <v>38.0134</v>
      </c>
      <c r="JE477">
        <v>24.0437</v>
      </c>
      <c r="JF477">
        <v>18</v>
      </c>
      <c r="JG477">
        <v>511.312</v>
      </c>
      <c r="JH477">
        <v>429.58</v>
      </c>
      <c r="JI477">
        <v>22.8669</v>
      </c>
      <c r="JJ477">
        <v>27.8065</v>
      </c>
      <c r="JK477">
        <v>30.0001</v>
      </c>
      <c r="JL477">
        <v>27.8106</v>
      </c>
      <c r="JM477">
        <v>27.7545</v>
      </c>
      <c r="JN477">
        <v>56.2619</v>
      </c>
      <c r="JO477">
        <v>37.8885</v>
      </c>
      <c r="JP477">
        <v>0</v>
      </c>
      <c r="JQ477">
        <v>22.8305</v>
      </c>
      <c r="JR477">
        <v>1456.76</v>
      </c>
      <c r="JS477">
        <v>10.7941</v>
      </c>
      <c r="JT477">
        <v>100.427</v>
      </c>
      <c r="JU477">
        <v>100.358</v>
      </c>
    </row>
    <row r="478" spans="1:281">
      <c r="A478">
        <v>462</v>
      </c>
      <c r="B478">
        <v>1651866687</v>
      </c>
      <c r="C478">
        <v>2466.400000095367</v>
      </c>
      <c r="D478" t="s">
        <v>1347</v>
      </c>
      <c r="E478" t="s">
        <v>1348</v>
      </c>
      <c r="F478">
        <v>2</v>
      </c>
      <c r="G478" t="s">
        <v>908</v>
      </c>
      <c r="H478" t="s">
        <v>414</v>
      </c>
      <c r="I478">
        <v>1651866686</v>
      </c>
      <c r="J478">
        <f>(K478)/1000</f>
        <v>0</v>
      </c>
      <c r="K478">
        <f>IF(CZ478, AN478, AH478)</f>
        <v>0</v>
      </c>
      <c r="L478">
        <f>IF(CZ478, AI478, AG478)</f>
        <v>0</v>
      </c>
      <c r="M478">
        <f>DB478 - IF(AU478&gt;1, L478*CV478*100.0/(AW478*DP478), 0)</f>
        <v>0</v>
      </c>
      <c r="N478">
        <f>((T478-J478/2)*M478-L478)/(T478+J478/2)</f>
        <v>0</v>
      </c>
      <c r="O478">
        <f>N478*(DI478+DJ478)/1000.0</f>
        <v>0</v>
      </c>
      <c r="P478">
        <f>(DB478 - IF(AU478&gt;1, L478*CV478*100.0/(AW478*DP478), 0))*(DI478+DJ478)/1000.0</f>
        <v>0</v>
      </c>
      <c r="Q478">
        <f>2.0/((1/S478-1/R478)+SIGN(S478)*SQRT((1/S478-1/R478)*(1/S478-1/R478) + 4*CW478/((CW478+1)*(CW478+1))*(2*1/S478*1/R478-1/R478*1/R478)))</f>
        <v>0</v>
      </c>
      <c r="R478">
        <f>IF(LEFT(CX478,1)&lt;&gt;"0",IF(LEFT(CX478,1)="1",3.0,CY478),$D$5+$E$5*(DP478*DI478/($K$5*1000))+$F$5*(DP478*DI478/($K$5*1000))*MAX(MIN(CV478,$J$5),$I$5)*MAX(MIN(CV478,$J$5),$I$5)+$G$5*MAX(MIN(CV478,$J$5),$I$5)*(DP478*DI478/($K$5*1000))+$H$5*(DP478*DI478/($K$5*1000))*(DP478*DI478/($K$5*1000)))</f>
        <v>0</v>
      </c>
      <c r="S478">
        <f>J478*(1000-(1000*0.61365*exp(17.502*W478/(240.97+W478))/(DI478+DJ478)+DD478)/2)/(1000*0.61365*exp(17.502*W478/(240.97+W478))/(DI478+DJ478)-DD478)</f>
        <v>0</v>
      </c>
      <c r="T478">
        <f>1/((CW478+1)/(Q478/1.6)+1/(R478/1.37)) + CW478/((CW478+1)/(Q478/1.6) + CW478/(R478/1.37))</f>
        <v>0</v>
      </c>
      <c r="U478">
        <f>(CR478*CU478)</f>
        <v>0</v>
      </c>
      <c r="V478">
        <f>(DK478+(U478+2*0.95*5.67E-8*(((DK478+$B$7)+273)^4-(DK478+273)^4)-44100*J478)/(1.84*29.3*R478+8*0.95*5.67E-8*(DK478+273)^3))</f>
        <v>0</v>
      </c>
      <c r="W478">
        <f>($C$7*DL478+$D$7*DM478+$E$7*V478)</f>
        <v>0</v>
      </c>
      <c r="X478">
        <f>0.61365*exp(17.502*W478/(240.97+W478))</f>
        <v>0</v>
      </c>
      <c r="Y478">
        <f>(Z478/AA478*100)</f>
        <v>0</v>
      </c>
      <c r="Z478">
        <f>DD478*(DI478+DJ478)/1000</f>
        <v>0</v>
      </c>
      <c r="AA478">
        <f>0.61365*exp(17.502*DK478/(240.97+DK478))</f>
        <v>0</v>
      </c>
      <c r="AB478">
        <f>(X478-DD478*(DI478+DJ478)/1000)</f>
        <v>0</v>
      </c>
      <c r="AC478">
        <f>(-J478*44100)</f>
        <v>0</v>
      </c>
      <c r="AD478">
        <f>2*29.3*R478*0.92*(DK478-W478)</f>
        <v>0</v>
      </c>
      <c r="AE478">
        <f>2*0.95*5.67E-8*(((DK478+$B$7)+273)^4-(W478+273)^4)</f>
        <v>0</v>
      </c>
      <c r="AF478">
        <f>U478+AE478+AC478+AD478</f>
        <v>0</v>
      </c>
      <c r="AG478">
        <f>DH478*AU478*(DC478-DB478*(1000-AU478*DE478)/(1000-AU478*DD478))/(100*CV478)</f>
        <v>0</v>
      </c>
      <c r="AH478">
        <f>1000*DH478*AU478*(DD478-DE478)/(100*CV478*(1000-AU478*DD478))</f>
        <v>0</v>
      </c>
      <c r="AI478">
        <f>(AJ478 - AK478 - DI478*1E3/(8.314*(DK478+273.15)) * AM478/DH478 * AL478) * DH478/(100*CV478) * (1000 - DE478)/1000</f>
        <v>0</v>
      </c>
      <c r="AJ478">
        <v>1449.807310598648</v>
      </c>
      <c r="AK478">
        <v>1400.666787878788</v>
      </c>
      <c r="AL478">
        <v>3.39563633826043</v>
      </c>
      <c r="AM478">
        <v>66.38195617057868</v>
      </c>
      <c r="AN478">
        <f>(AP478 - AO478 + DI478*1E3/(8.314*(DK478+273.15)) * AR478/DH478 * AQ478) * DH478/(100*CV478) * 1000/(1000 - AP478)</f>
        <v>0</v>
      </c>
      <c r="AO478">
        <v>10.48979448346115</v>
      </c>
      <c r="AP478">
        <v>18.23976029411764</v>
      </c>
      <c r="AQ478">
        <v>-0.0003629729009096643</v>
      </c>
      <c r="AR478">
        <v>80.47178418790507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MAX(0,($B$13+$C$13*DP478)/(1+$D$13*DP478)*DI478/(DK478+273)*$E$13)</f>
        <v>0</v>
      </c>
      <c r="AX478" t="s">
        <v>417</v>
      </c>
      <c r="AY478" t="s">
        <v>417</v>
      </c>
      <c r="AZ478">
        <v>0</v>
      </c>
      <c r="BA478">
        <v>0</v>
      </c>
      <c r="BB478">
        <f>1-AZ478/BA478</f>
        <v>0</v>
      </c>
      <c r="BC478">
        <v>0</v>
      </c>
      <c r="BD478" t="s">
        <v>417</v>
      </c>
      <c r="BE478" t="s">
        <v>417</v>
      </c>
      <c r="BF478">
        <v>0</v>
      </c>
      <c r="BG478">
        <v>0</v>
      </c>
      <c r="BH478">
        <f>1-BF478/BG478</f>
        <v>0</v>
      </c>
      <c r="BI478">
        <v>0.5</v>
      </c>
      <c r="BJ478">
        <f>CS478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417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BZ478">
        <v>1249</v>
      </c>
      <c r="CA478">
        <v>300</v>
      </c>
      <c r="CB478">
        <v>300</v>
      </c>
      <c r="CC478">
        <v>300</v>
      </c>
      <c r="CD478">
        <v>10442.4</v>
      </c>
      <c r="CE478">
        <v>1239.69</v>
      </c>
      <c r="CF478">
        <v>-0.00735276</v>
      </c>
      <c r="CG478">
        <v>0.07000000000000001</v>
      </c>
      <c r="CH478" t="s">
        <v>417</v>
      </c>
      <c r="CI478" t="s">
        <v>417</v>
      </c>
      <c r="CJ478" t="s">
        <v>417</v>
      </c>
      <c r="CK478" t="s">
        <v>417</v>
      </c>
      <c r="CL478" t="s">
        <v>417</v>
      </c>
      <c r="CM478" t="s">
        <v>417</v>
      </c>
      <c r="CN478" t="s">
        <v>417</v>
      </c>
      <c r="CO478" t="s">
        <v>417</v>
      </c>
      <c r="CP478" t="s">
        <v>417</v>
      </c>
      <c r="CQ478" t="s">
        <v>417</v>
      </c>
      <c r="CR478">
        <f>$B$11*DQ478+$C$11*DR478+$F$11*EC478*(1-EF478)</f>
        <v>0</v>
      </c>
      <c r="CS478">
        <f>CR478*CT478</f>
        <v>0</v>
      </c>
      <c r="CT478">
        <f>($B$11*$D$9+$C$11*$D$9+$F$11*((EP478+EH478)/MAX(EP478+EH478+EQ478, 0.1)*$I$9+EQ478/MAX(EP478+EH478+EQ478, 0.1)*$J$9))/($B$11+$C$11+$F$11)</f>
        <v>0</v>
      </c>
      <c r="CU478">
        <f>($B$11*$K$9+$C$11*$K$9+$F$11*((EP478+EH478)/MAX(EP478+EH478+EQ478, 0.1)*$P$9+EQ478/MAX(EP478+EH478+EQ478, 0.1)*$Q$9))/($B$11+$C$11+$F$11)</f>
        <v>0</v>
      </c>
      <c r="CV478">
        <v>6</v>
      </c>
      <c r="CW478">
        <v>0.5</v>
      </c>
      <c r="CX478" t="s">
        <v>418</v>
      </c>
      <c r="CY478">
        <v>2</v>
      </c>
      <c r="CZ478" t="b">
        <v>1</v>
      </c>
      <c r="DA478">
        <v>1651866686</v>
      </c>
      <c r="DB478">
        <v>1373.45</v>
      </c>
      <c r="DC478">
        <v>1440.406666666667</v>
      </c>
      <c r="DD478">
        <v>18.2412</v>
      </c>
      <c r="DE478">
        <v>10.59313333333333</v>
      </c>
      <c r="DF478">
        <v>1376.076666666667</v>
      </c>
      <c r="DG478">
        <v>18.22226666666667</v>
      </c>
      <c r="DH478">
        <v>500.0713333333333</v>
      </c>
      <c r="DI478">
        <v>89.91513333333334</v>
      </c>
      <c r="DJ478">
        <v>0.09989286666666668</v>
      </c>
      <c r="DK478">
        <v>25.90813333333334</v>
      </c>
      <c r="DL478">
        <v>25.0403</v>
      </c>
      <c r="DM478">
        <v>999.9</v>
      </c>
      <c r="DN478">
        <v>0</v>
      </c>
      <c r="DO478">
        <v>0</v>
      </c>
      <c r="DP478">
        <v>10013.53333333333</v>
      </c>
      <c r="DQ478">
        <v>0</v>
      </c>
      <c r="DR478">
        <v>3.20383</v>
      </c>
      <c r="DS478">
        <v>-66.9601</v>
      </c>
      <c r="DT478">
        <v>1398.963333333333</v>
      </c>
      <c r="DU478">
        <v>1455.826666666667</v>
      </c>
      <c r="DV478">
        <v>7.648103333333334</v>
      </c>
      <c r="DW478">
        <v>1440.406666666667</v>
      </c>
      <c r="DX478">
        <v>10.59313333333333</v>
      </c>
      <c r="DY478">
        <v>1.640163333333333</v>
      </c>
      <c r="DZ478">
        <v>0.9524813333333334</v>
      </c>
      <c r="EA478">
        <v>14.3414</v>
      </c>
      <c r="EB478">
        <v>6.209066666666668</v>
      </c>
      <c r="EC478">
        <v>1499.853333333333</v>
      </c>
      <c r="ED478">
        <v>0.973007</v>
      </c>
      <c r="EE478">
        <v>0.0269931</v>
      </c>
      <c r="EF478">
        <v>0</v>
      </c>
      <c r="EG478">
        <v>887.7139999999999</v>
      </c>
      <c r="EH478">
        <v>5.00097</v>
      </c>
      <c r="EI478">
        <v>13198.86666666667</v>
      </c>
      <c r="EJ478">
        <v>12490.43333333333</v>
      </c>
      <c r="EK478">
        <v>37.5</v>
      </c>
      <c r="EL478">
        <v>38.812</v>
      </c>
      <c r="EM478">
        <v>37.875</v>
      </c>
      <c r="EN478">
        <v>38.437</v>
      </c>
      <c r="EO478">
        <v>38.375</v>
      </c>
      <c r="EP478">
        <v>1454.503333333333</v>
      </c>
      <c r="EQ478">
        <v>40.35</v>
      </c>
      <c r="ER478">
        <v>0</v>
      </c>
      <c r="ES478">
        <v>1204.400000095367</v>
      </c>
      <c r="ET478">
        <v>0</v>
      </c>
      <c r="EU478">
        <v>889.0950384615385</v>
      </c>
      <c r="EV478">
        <v>-12.15668377644372</v>
      </c>
      <c r="EW478">
        <v>-171.1726497488116</v>
      </c>
      <c r="EX478">
        <v>13219.12307692308</v>
      </c>
      <c r="EY478">
        <v>15</v>
      </c>
      <c r="EZ478">
        <v>1651865518.1</v>
      </c>
      <c r="FA478" t="s">
        <v>910</v>
      </c>
      <c r="FB478">
        <v>1651865507.1</v>
      </c>
      <c r="FC478">
        <v>1651865518.1</v>
      </c>
      <c r="FD478">
        <v>8</v>
      </c>
      <c r="FE478">
        <v>0.06</v>
      </c>
      <c r="FF478">
        <v>0</v>
      </c>
      <c r="FG478">
        <v>-0.927</v>
      </c>
      <c r="FH478">
        <v>-0.062</v>
      </c>
      <c r="FI478">
        <v>400</v>
      </c>
      <c r="FJ478">
        <v>11</v>
      </c>
      <c r="FK478">
        <v>0.11</v>
      </c>
      <c r="FL478">
        <v>0.01</v>
      </c>
      <c r="FM478">
        <v>-66.72009268292683</v>
      </c>
      <c r="FN478">
        <v>-1.502078048780482</v>
      </c>
      <c r="FO478">
        <v>0.2025084971300588</v>
      </c>
      <c r="FP478">
        <v>-1</v>
      </c>
      <c r="FQ478">
        <v>7.939176097560975</v>
      </c>
      <c r="FR478">
        <v>-1.799162090592335</v>
      </c>
      <c r="FS478">
        <v>0.1774491576085682</v>
      </c>
      <c r="FT478">
        <v>-1</v>
      </c>
      <c r="FU478">
        <v>0</v>
      </c>
      <c r="FV478">
        <v>0</v>
      </c>
      <c r="FW478">
        <v>0</v>
      </c>
      <c r="FX478">
        <v>-1</v>
      </c>
      <c r="FY478">
        <v>0</v>
      </c>
      <c r="FZ478">
        <v>0</v>
      </c>
      <c r="GA478" t="s">
        <v>420</v>
      </c>
      <c r="GB478">
        <v>2.98177</v>
      </c>
      <c r="GC478">
        <v>2.70618</v>
      </c>
      <c r="GD478">
        <v>0.209419</v>
      </c>
      <c r="GE478">
        <v>0.213139</v>
      </c>
      <c r="GF478">
        <v>0.08743339999999999</v>
      </c>
      <c r="GG478">
        <v>0.0580415</v>
      </c>
      <c r="GH478">
        <v>24984.5</v>
      </c>
      <c r="GI478">
        <v>24920.7</v>
      </c>
      <c r="GJ478">
        <v>29380.1</v>
      </c>
      <c r="GK478">
        <v>29295.2</v>
      </c>
      <c r="GL478">
        <v>35502</v>
      </c>
      <c r="GM478">
        <v>36760.8</v>
      </c>
      <c r="GN478">
        <v>41353.2</v>
      </c>
      <c r="GO478">
        <v>41816.4</v>
      </c>
      <c r="GP478">
        <v>1.96665</v>
      </c>
      <c r="GQ478">
        <v>1.8614</v>
      </c>
      <c r="GR478">
        <v>-0.00111759</v>
      </c>
      <c r="GS478">
        <v>0</v>
      </c>
      <c r="GT478">
        <v>25.0636</v>
      </c>
      <c r="GU478">
        <v>999.9</v>
      </c>
      <c r="GV478">
        <v>29.3</v>
      </c>
      <c r="GW478">
        <v>34.2</v>
      </c>
      <c r="GX478">
        <v>17.6073</v>
      </c>
      <c r="GY478">
        <v>62.2376</v>
      </c>
      <c r="GZ478">
        <v>34.9639</v>
      </c>
      <c r="HA478">
        <v>1</v>
      </c>
      <c r="HB478">
        <v>0.0385671</v>
      </c>
      <c r="HC478">
        <v>1.87523</v>
      </c>
      <c r="HD478">
        <v>20.3242</v>
      </c>
      <c r="HE478">
        <v>5.21894</v>
      </c>
      <c r="HF478">
        <v>12.0099</v>
      </c>
      <c r="HG478">
        <v>4.98925</v>
      </c>
      <c r="HH478">
        <v>3.28858</v>
      </c>
      <c r="HI478">
        <v>1038.1</v>
      </c>
      <c r="HJ478">
        <v>9779.4</v>
      </c>
      <c r="HK478">
        <v>5139.4</v>
      </c>
      <c r="HL478">
        <v>25.4</v>
      </c>
      <c r="HM478">
        <v>1.8675</v>
      </c>
      <c r="HN478">
        <v>1.86646</v>
      </c>
      <c r="HO478">
        <v>1.866</v>
      </c>
      <c r="HP478">
        <v>1.86585</v>
      </c>
      <c r="HQ478">
        <v>1.86768</v>
      </c>
      <c r="HR478">
        <v>1.8702</v>
      </c>
      <c r="HS478">
        <v>1.8689</v>
      </c>
      <c r="HT478">
        <v>1.87022</v>
      </c>
      <c r="HU478">
        <v>0</v>
      </c>
      <c r="HV478">
        <v>0</v>
      </c>
      <c r="HW478">
        <v>0</v>
      </c>
      <c r="HX478">
        <v>0</v>
      </c>
      <c r="HY478" t="s">
        <v>421</v>
      </c>
      <c r="HZ478" t="s">
        <v>422</v>
      </c>
      <c r="IA478" t="s">
        <v>423</v>
      </c>
      <c r="IB478" t="s">
        <v>423</v>
      </c>
      <c r="IC478" t="s">
        <v>423</v>
      </c>
      <c r="ID478" t="s">
        <v>423</v>
      </c>
      <c r="IE478">
        <v>0</v>
      </c>
      <c r="IF478">
        <v>100</v>
      </c>
      <c r="IG478">
        <v>100</v>
      </c>
      <c r="IH478">
        <v>-2.64</v>
      </c>
      <c r="II478">
        <v>0.019</v>
      </c>
      <c r="IJ478">
        <v>-0.1559367209035702</v>
      </c>
      <c r="IK478">
        <v>-0.002077099775823331</v>
      </c>
      <c r="IL478">
        <v>4.593143279902166E-07</v>
      </c>
      <c r="IM478">
        <v>-1.865383991892071E-10</v>
      </c>
      <c r="IN478">
        <v>-0.0607165066849496</v>
      </c>
      <c r="IO478">
        <v>-0.01129461987421345</v>
      </c>
      <c r="IP478">
        <v>0.00116580895745559</v>
      </c>
      <c r="IQ478">
        <v>-1.679085872906199E-05</v>
      </c>
      <c r="IR478">
        <v>2</v>
      </c>
      <c r="IS478">
        <v>2290</v>
      </c>
      <c r="IT478">
        <v>0</v>
      </c>
      <c r="IU478">
        <v>32</v>
      </c>
      <c r="IV478">
        <v>19.7</v>
      </c>
      <c r="IW478">
        <v>19.5</v>
      </c>
      <c r="IX478">
        <v>2.81494</v>
      </c>
      <c r="IY478">
        <v>2.1814</v>
      </c>
      <c r="IZ478">
        <v>1.39648</v>
      </c>
      <c r="JA478">
        <v>2.35474</v>
      </c>
      <c r="JB478">
        <v>1.49536</v>
      </c>
      <c r="JC478">
        <v>2.28149</v>
      </c>
      <c r="JD478">
        <v>38.0134</v>
      </c>
      <c r="JE478">
        <v>24.035</v>
      </c>
      <c r="JF478">
        <v>18</v>
      </c>
      <c r="JG478">
        <v>511.318</v>
      </c>
      <c r="JH478">
        <v>429.631</v>
      </c>
      <c r="JI478">
        <v>22.853</v>
      </c>
      <c r="JJ478">
        <v>27.806</v>
      </c>
      <c r="JK478">
        <v>30</v>
      </c>
      <c r="JL478">
        <v>27.8094</v>
      </c>
      <c r="JM478">
        <v>27.7533</v>
      </c>
      <c r="JN478">
        <v>56.47</v>
      </c>
      <c r="JO478">
        <v>37.5953</v>
      </c>
      <c r="JP478">
        <v>0</v>
      </c>
      <c r="JQ478">
        <v>22.8305</v>
      </c>
      <c r="JR478">
        <v>1463.43</v>
      </c>
      <c r="JS478">
        <v>10.8492</v>
      </c>
      <c r="JT478">
        <v>100.426</v>
      </c>
      <c r="JU478">
        <v>100.359</v>
      </c>
    </row>
    <row r="479" spans="1:281">
      <c r="A479">
        <v>463</v>
      </c>
      <c r="B479">
        <v>1651866689</v>
      </c>
      <c r="C479">
        <v>2468.400000095367</v>
      </c>
      <c r="D479" t="s">
        <v>1349</v>
      </c>
      <c r="E479" t="s">
        <v>1350</v>
      </c>
      <c r="F479">
        <v>2</v>
      </c>
      <c r="G479" t="s">
        <v>908</v>
      </c>
      <c r="H479" t="s">
        <v>414</v>
      </c>
      <c r="I479">
        <v>1651866687.625</v>
      </c>
      <c r="J479">
        <f>(K479)/1000</f>
        <v>0</v>
      </c>
      <c r="K479">
        <f>IF(CZ479, AN479, AH479)</f>
        <v>0</v>
      </c>
      <c r="L479">
        <f>IF(CZ479, AI479, AG479)</f>
        <v>0</v>
      </c>
      <c r="M479">
        <f>DB479 - IF(AU479&gt;1, L479*CV479*100.0/(AW479*DP479), 0)</f>
        <v>0</v>
      </c>
      <c r="N479">
        <f>((T479-J479/2)*M479-L479)/(T479+J479/2)</f>
        <v>0</v>
      </c>
      <c r="O479">
        <f>N479*(DI479+DJ479)/1000.0</f>
        <v>0</v>
      </c>
      <c r="P479">
        <f>(DB479 - IF(AU479&gt;1, L479*CV479*100.0/(AW479*DP479), 0))*(DI479+DJ479)/1000.0</f>
        <v>0</v>
      </c>
      <c r="Q479">
        <f>2.0/((1/S479-1/R479)+SIGN(S479)*SQRT((1/S479-1/R479)*(1/S479-1/R479) + 4*CW479/((CW479+1)*(CW479+1))*(2*1/S479*1/R479-1/R479*1/R479)))</f>
        <v>0</v>
      </c>
      <c r="R479">
        <f>IF(LEFT(CX479,1)&lt;&gt;"0",IF(LEFT(CX479,1)="1",3.0,CY479),$D$5+$E$5*(DP479*DI479/($K$5*1000))+$F$5*(DP479*DI479/($K$5*1000))*MAX(MIN(CV479,$J$5),$I$5)*MAX(MIN(CV479,$J$5),$I$5)+$G$5*MAX(MIN(CV479,$J$5),$I$5)*(DP479*DI479/($K$5*1000))+$H$5*(DP479*DI479/($K$5*1000))*(DP479*DI479/($K$5*1000)))</f>
        <v>0</v>
      </c>
      <c r="S479">
        <f>J479*(1000-(1000*0.61365*exp(17.502*W479/(240.97+W479))/(DI479+DJ479)+DD479)/2)/(1000*0.61365*exp(17.502*W479/(240.97+W479))/(DI479+DJ479)-DD479)</f>
        <v>0</v>
      </c>
      <c r="T479">
        <f>1/((CW479+1)/(Q479/1.6)+1/(R479/1.37)) + CW479/((CW479+1)/(Q479/1.6) + CW479/(R479/1.37))</f>
        <v>0</v>
      </c>
      <c r="U479">
        <f>(CR479*CU479)</f>
        <v>0</v>
      </c>
      <c r="V479">
        <f>(DK479+(U479+2*0.95*5.67E-8*(((DK479+$B$7)+273)^4-(DK479+273)^4)-44100*J479)/(1.84*29.3*R479+8*0.95*5.67E-8*(DK479+273)^3))</f>
        <v>0</v>
      </c>
      <c r="W479">
        <f>($C$7*DL479+$D$7*DM479+$E$7*V479)</f>
        <v>0</v>
      </c>
      <c r="X479">
        <f>0.61365*exp(17.502*W479/(240.97+W479))</f>
        <v>0</v>
      </c>
      <c r="Y479">
        <f>(Z479/AA479*100)</f>
        <v>0</v>
      </c>
      <c r="Z479">
        <f>DD479*(DI479+DJ479)/1000</f>
        <v>0</v>
      </c>
      <c r="AA479">
        <f>0.61365*exp(17.502*DK479/(240.97+DK479))</f>
        <v>0</v>
      </c>
      <c r="AB479">
        <f>(X479-DD479*(DI479+DJ479)/1000)</f>
        <v>0</v>
      </c>
      <c r="AC479">
        <f>(-J479*44100)</f>
        <v>0</v>
      </c>
      <c r="AD479">
        <f>2*29.3*R479*0.92*(DK479-W479)</f>
        <v>0</v>
      </c>
      <c r="AE479">
        <f>2*0.95*5.67E-8*(((DK479+$B$7)+273)^4-(W479+273)^4)</f>
        <v>0</v>
      </c>
      <c r="AF479">
        <f>U479+AE479+AC479+AD479</f>
        <v>0</v>
      </c>
      <c r="AG479">
        <f>DH479*AU479*(DC479-DB479*(1000-AU479*DE479)/(1000-AU479*DD479))/(100*CV479)</f>
        <v>0</v>
      </c>
      <c r="AH479">
        <f>1000*DH479*AU479*(DD479-DE479)/(100*CV479*(1000-AU479*DD479))</f>
        <v>0</v>
      </c>
      <c r="AI479">
        <f>(AJ479 - AK479 - DI479*1E3/(8.314*(DK479+273.15)) * AM479/DH479 * AL479) * DH479/(100*CV479) * (1000 - DE479)/1000</f>
        <v>0</v>
      </c>
      <c r="AJ479">
        <v>1456.587911292323</v>
      </c>
      <c r="AK479">
        <v>1407.479272727273</v>
      </c>
      <c r="AL479">
        <v>3.401514187231665</v>
      </c>
      <c r="AM479">
        <v>66.38195617057868</v>
      </c>
      <c r="AN479">
        <f>(AP479 - AO479 + DI479*1E3/(8.314*(DK479+273.15)) * AR479/DH479 * AQ479) * DH479/(100*CV479) * 1000/(1000 - AP479)</f>
        <v>0</v>
      </c>
      <c r="AO479">
        <v>10.54491728777275</v>
      </c>
      <c r="AP479">
        <v>18.23518470588235</v>
      </c>
      <c r="AQ479">
        <v>-0.0003350736885065477</v>
      </c>
      <c r="AR479">
        <v>80.47178418790507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MAX(0,($B$13+$C$13*DP479)/(1+$D$13*DP479)*DI479/(DK479+273)*$E$13)</f>
        <v>0</v>
      </c>
      <c r="AX479" t="s">
        <v>417</v>
      </c>
      <c r="AY479" t="s">
        <v>417</v>
      </c>
      <c r="AZ479">
        <v>0</v>
      </c>
      <c r="BA479">
        <v>0</v>
      </c>
      <c r="BB479">
        <f>1-AZ479/BA479</f>
        <v>0</v>
      </c>
      <c r="BC479">
        <v>0</v>
      </c>
      <c r="BD479" t="s">
        <v>417</v>
      </c>
      <c r="BE479" t="s">
        <v>417</v>
      </c>
      <c r="BF479">
        <v>0</v>
      </c>
      <c r="BG479">
        <v>0</v>
      </c>
      <c r="BH479">
        <f>1-BF479/BG479</f>
        <v>0</v>
      </c>
      <c r="BI479">
        <v>0.5</v>
      </c>
      <c r="BJ479">
        <f>CS479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417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BZ479">
        <v>1249</v>
      </c>
      <c r="CA479">
        <v>300</v>
      </c>
      <c r="CB479">
        <v>300</v>
      </c>
      <c r="CC479">
        <v>300</v>
      </c>
      <c r="CD479">
        <v>10442.4</v>
      </c>
      <c r="CE479">
        <v>1239.69</v>
      </c>
      <c r="CF479">
        <v>-0.00735276</v>
      </c>
      <c r="CG479">
        <v>0.07000000000000001</v>
      </c>
      <c r="CH479" t="s">
        <v>417</v>
      </c>
      <c r="CI479" t="s">
        <v>417</v>
      </c>
      <c r="CJ479" t="s">
        <v>417</v>
      </c>
      <c r="CK479" t="s">
        <v>417</v>
      </c>
      <c r="CL479" t="s">
        <v>417</v>
      </c>
      <c r="CM479" t="s">
        <v>417</v>
      </c>
      <c r="CN479" t="s">
        <v>417</v>
      </c>
      <c r="CO479" t="s">
        <v>417</v>
      </c>
      <c r="CP479" t="s">
        <v>417</v>
      </c>
      <c r="CQ479" t="s">
        <v>417</v>
      </c>
      <c r="CR479">
        <f>$B$11*DQ479+$C$11*DR479+$F$11*EC479*(1-EF479)</f>
        <v>0</v>
      </c>
      <c r="CS479">
        <f>CR479*CT479</f>
        <v>0</v>
      </c>
      <c r="CT479">
        <f>($B$11*$D$9+$C$11*$D$9+$F$11*((EP479+EH479)/MAX(EP479+EH479+EQ479, 0.1)*$I$9+EQ479/MAX(EP479+EH479+EQ479, 0.1)*$J$9))/($B$11+$C$11+$F$11)</f>
        <v>0</v>
      </c>
      <c r="CU479">
        <f>($B$11*$K$9+$C$11*$K$9+$F$11*((EP479+EH479)/MAX(EP479+EH479+EQ479, 0.1)*$P$9+EQ479/MAX(EP479+EH479+EQ479, 0.1)*$Q$9))/($B$11+$C$11+$F$11)</f>
        <v>0</v>
      </c>
      <c r="CV479">
        <v>6</v>
      </c>
      <c r="CW479">
        <v>0.5</v>
      </c>
      <c r="CX479" t="s">
        <v>418</v>
      </c>
      <c r="CY479">
        <v>2</v>
      </c>
      <c r="CZ479" t="b">
        <v>1</v>
      </c>
      <c r="DA479">
        <v>1651866687.625</v>
      </c>
      <c r="DB479">
        <v>1378.8975</v>
      </c>
      <c r="DC479">
        <v>1445.9275</v>
      </c>
      <c r="DD479">
        <v>18.237375</v>
      </c>
      <c r="DE479">
        <v>10.6428</v>
      </c>
      <c r="DF479">
        <v>1381.5375</v>
      </c>
      <c r="DG479">
        <v>18.218475</v>
      </c>
      <c r="DH479">
        <v>500.07625</v>
      </c>
      <c r="DI479">
        <v>89.9141</v>
      </c>
      <c r="DJ479">
        <v>0.10008015</v>
      </c>
      <c r="DK479">
        <v>25.905925</v>
      </c>
      <c r="DL479">
        <v>25.04275</v>
      </c>
      <c r="DM479">
        <v>999.9</v>
      </c>
      <c r="DN479">
        <v>0</v>
      </c>
      <c r="DO479">
        <v>0</v>
      </c>
      <c r="DP479">
        <v>9991.244999999999</v>
      </c>
      <c r="DQ479">
        <v>0</v>
      </c>
      <c r="DR479">
        <v>3.20383</v>
      </c>
      <c r="DS479">
        <v>-67.031575</v>
      </c>
      <c r="DT479">
        <v>1404.51</v>
      </c>
      <c r="DU479">
        <v>1461.48</v>
      </c>
      <c r="DV479">
        <v>7.59457</v>
      </c>
      <c r="DW479">
        <v>1445.9275</v>
      </c>
      <c r="DX479">
        <v>10.6428</v>
      </c>
      <c r="DY479">
        <v>1.6398</v>
      </c>
      <c r="DZ479">
        <v>0.9569385</v>
      </c>
      <c r="EA479">
        <v>14.337975</v>
      </c>
      <c r="EB479">
        <v>6.2767025</v>
      </c>
      <c r="EC479">
        <v>1499.9975</v>
      </c>
      <c r="ED479">
        <v>0.9730082499999999</v>
      </c>
      <c r="EE479">
        <v>0.02699175</v>
      </c>
      <c r="EF479">
        <v>0</v>
      </c>
      <c r="EG479">
        <v>887.46475</v>
      </c>
      <c r="EH479">
        <v>5.00097</v>
      </c>
      <c r="EI479">
        <v>13195.125</v>
      </c>
      <c r="EJ479">
        <v>12491.6</v>
      </c>
      <c r="EK479">
        <v>37.48425</v>
      </c>
      <c r="EL479">
        <v>38.812</v>
      </c>
      <c r="EM479">
        <v>37.875</v>
      </c>
      <c r="EN479">
        <v>38.437</v>
      </c>
      <c r="EO479">
        <v>38.375</v>
      </c>
      <c r="EP479">
        <v>1454.645</v>
      </c>
      <c r="EQ479">
        <v>40.3525</v>
      </c>
      <c r="ER479">
        <v>0</v>
      </c>
      <c r="ES479">
        <v>1206.200000047684</v>
      </c>
      <c r="ET479">
        <v>0</v>
      </c>
      <c r="EU479">
        <v>888.6735199999999</v>
      </c>
      <c r="EV479">
        <v>-12.57376921749535</v>
      </c>
      <c r="EW479">
        <v>-170.223076657161</v>
      </c>
      <c r="EX479">
        <v>13213.116</v>
      </c>
      <c r="EY479">
        <v>15</v>
      </c>
      <c r="EZ479">
        <v>1651865518.1</v>
      </c>
      <c r="FA479" t="s">
        <v>910</v>
      </c>
      <c r="FB479">
        <v>1651865507.1</v>
      </c>
      <c r="FC479">
        <v>1651865518.1</v>
      </c>
      <c r="FD479">
        <v>8</v>
      </c>
      <c r="FE479">
        <v>0.06</v>
      </c>
      <c r="FF479">
        <v>0</v>
      </c>
      <c r="FG479">
        <v>-0.927</v>
      </c>
      <c r="FH479">
        <v>-0.062</v>
      </c>
      <c r="FI479">
        <v>400</v>
      </c>
      <c r="FJ479">
        <v>11</v>
      </c>
      <c r="FK479">
        <v>0.11</v>
      </c>
      <c r="FL479">
        <v>0.01</v>
      </c>
      <c r="FM479">
        <v>-66.76459</v>
      </c>
      <c r="FN479">
        <v>-1.369060412757879</v>
      </c>
      <c r="FO479">
        <v>0.1907548922046295</v>
      </c>
      <c r="FP479">
        <v>-1</v>
      </c>
      <c r="FQ479">
        <v>7.886150750000001</v>
      </c>
      <c r="FR479">
        <v>-1.821699399624773</v>
      </c>
      <c r="FS479">
        <v>0.1752947478447016</v>
      </c>
      <c r="FT479">
        <v>-1</v>
      </c>
      <c r="FU479">
        <v>0</v>
      </c>
      <c r="FV479">
        <v>0</v>
      </c>
      <c r="FW479">
        <v>0</v>
      </c>
      <c r="FX479">
        <v>-1</v>
      </c>
      <c r="FY479">
        <v>0</v>
      </c>
      <c r="FZ479">
        <v>0</v>
      </c>
      <c r="GA479" t="s">
        <v>420</v>
      </c>
      <c r="GB479">
        <v>2.98172</v>
      </c>
      <c r="GC479">
        <v>2.70605</v>
      </c>
      <c r="GD479">
        <v>0.210038</v>
      </c>
      <c r="GE479">
        <v>0.213762</v>
      </c>
      <c r="GF479">
        <v>0.08741839999999999</v>
      </c>
      <c r="GG479">
        <v>0.0582545</v>
      </c>
      <c r="GH479">
        <v>24965.1</v>
      </c>
      <c r="GI479">
        <v>24901.2</v>
      </c>
      <c r="GJ479">
        <v>29380.4</v>
      </c>
      <c r="GK479">
        <v>29295.5</v>
      </c>
      <c r="GL479">
        <v>35502.7</v>
      </c>
      <c r="GM479">
        <v>36752.9</v>
      </c>
      <c r="GN479">
        <v>41353.3</v>
      </c>
      <c r="GO479">
        <v>41816.9</v>
      </c>
      <c r="GP479">
        <v>1.96647</v>
      </c>
      <c r="GQ479">
        <v>1.86152</v>
      </c>
      <c r="GR479">
        <v>-0.00108033</v>
      </c>
      <c r="GS479">
        <v>0</v>
      </c>
      <c r="GT479">
        <v>25.0636</v>
      </c>
      <c r="GU479">
        <v>999.9</v>
      </c>
      <c r="GV479">
        <v>29.3</v>
      </c>
      <c r="GW479">
        <v>34.2</v>
      </c>
      <c r="GX479">
        <v>17.6081</v>
      </c>
      <c r="GY479">
        <v>62.3376</v>
      </c>
      <c r="GZ479">
        <v>35.1522</v>
      </c>
      <c r="HA479">
        <v>1</v>
      </c>
      <c r="HB479">
        <v>0.0385595</v>
      </c>
      <c r="HC479">
        <v>1.90053</v>
      </c>
      <c r="HD479">
        <v>20.3237</v>
      </c>
      <c r="HE479">
        <v>5.21864</v>
      </c>
      <c r="HF479">
        <v>12.0099</v>
      </c>
      <c r="HG479">
        <v>4.98915</v>
      </c>
      <c r="HH479">
        <v>3.2885</v>
      </c>
      <c r="HI479">
        <v>1038.1</v>
      </c>
      <c r="HJ479">
        <v>9779.4</v>
      </c>
      <c r="HK479">
        <v>5139.4</v>
      </c>
      <c r="HL479">
        <v>25.4</v>
      </c>
      <c r="HM479">
        <v>1.86748</v>
      </c>
      <c r="HN479">
        <v>1.86646</v>
      </c>
      <c r="HO479">
        <v>1.866</v>
      </c>
      <c r="HP479">
        <v>1.86586</v>
      </c>
      <c r="HQ479">
        <v>1.86768</v>
      </c>
      <c r="HR479">
        <v>1.87021</v>
      </c>
      <c r="HS479">
        <v>1.8689</v>
      </c>
      <c r="HT479">
        <v>1.87021</v>
      </c>
      <c r="HU479">
        <v>0</v>
      </c>
      <c r="HV479">
        <v>0</v>
      </c>
      <c r="HW479">
        <v>0</v>
      </c>
      <c r="HX479">
        <v>0</v>
      </c>
      <c r="HY479" t="s">
        <v>421</v>
      </c>
      <c r="HZ479" t="s">
        <v>422</v>
      </c>
      <c r="IA479" t="s">
        <v>423</v>
      </c>
      <c r="IB479" t="s">
        <v>423</v>
      </c>
      <c r="IC479" t="s">
        <v>423</v>
      </c>
      <c r="ID479" t="s">
        <v>423</v>
      </c>
      <c r="IE479">
        <v>0</v>
      </c>
      <c r="IF479">
        <v>100</v>
      </c>
      <c r="IG479">
        <v>100</v>
      </c>
      <c r="IH479">
        <v>-2.65</v>
      </c>
      <c r="II479">
        <v>0.0189</v>
      </c>
      <c r="IJ479">
        <v>-0.1559367209035702</v>
      </c>
      <c r="IK479">
        <v>-0.002077099775823331</v>
      </c>
      <c r="IL479">
        <v>4.593143279902166E-07</v>
      </c>
      <c r="IM479">
        <v>-1.865383991892071E-10</v>
      </c>
      <c r="IN479">
        <v>-0.0607165066849496</v>
      </c>
      <c r="IO479">
        <v>-0.01129461987421345</v>
      </c>
      <c r="IP479">
        <v>0.00116580895745559</v>
      </c>
      <c r="IQ479">
        <v>-1.679085872906199E-05</v>
      </c>
      <c r="IR479">
        <v>2</v>
      </c>
      <c r="IS479">
        <v>2290</v>
      </c>
      <c r="IT479">
        <v>0</v>
      </c>
      <c r="IU479">
        <v>32</v>
      </c>
      <c r="IV479">
        <v>19.7</v>
      </c>
      <c r="IW479">
        <v>19.5</v>
      </c>
      <c r="IX479">
        <v>2.82471</v>
      </c>
      <c r="IY479">
        <v>2.1814</v>
      </c>
      <c r="IZ479">
        <v>1.39648</v>
      </c>
      <c r="JA479">
        <v>2.35474</v>
      </c>
      <c r="JB479">
        <v>1.49536</v>
      </c>
      <c r="JC479">
        <v>2.31323</v>
      </c>
      <c r="JD479">
        <v>38.0377</v>
      </c>
      <c r="JE479">
        <v>24.035</v>
      </c>
      <c r="JF479">
        <v>18</v>
      </c>
      <c r="JG479">
        <v>511.199</v>
      </c>
      <c r="JH479">
        <v>429.701</v>
      </c>
      <c r="JI479">
        <v>22.8381</v>
      </c>
      <c r="JJ479">
        <v>27.8048</v>
      </c>
      <c r="JK479">
        <v>30</v>
      </c>
      <c r="JL479">
        <v>27.8088</v>
      </c>
      <c r="JM479">
        <v>27.7526</v>
      </c>
      <c r="JN479">
        <v>56.668</v>
      </c>
      <c r="JO479">
        <v>37.3182</v>
      </c>
      <c r="JP479">
        <v>0</v>
      </c>
      <c r="JQ479">
        <v>22.8305</v>
      </c>
      <c r="JR479">
        <v>1470.11</v>
      </c>
      <c r="JS479">
        <v>10.9079</v>
      </c>
      <c r="JT479">
        <v>100.427</v>
      </c>
      <c r="JU479">
        <v>100.36</v>
      </c>
    </row>
    <row r="480" spans="1:281">
      <c r="A480">
        <v>464</v>
      </c>
      <c r="B480">
        <v>1651866691</v>
      </c>
      <c r="C480">
        <v>2470.400000095367</v>
      </c>
      <c r="D480" t="s">
        <v>1351</v>
      </c>
      <c r="E480" t="s">
        <v>1352</v>
      </c>
      <c r="F480">
        <v>2</v>
      </c>
      <c r="G480" t="s">
        <v>908</v>
      </c>
      <c r="H480" t="s">
        <v>414</v>
      </c>
      <c r="I480">
        <v>1651866690</v>
      </c>
      <c r="J480">
        <f>(K480)/1000</f>
        <v>0</v>
      </c>
      <c r="K480">
        <f>IF(CZ480, AN480, AH480)</f>
        <v>0</v>
      </c>
      <c r="L480">
        <f>IF(CZ480, AI480, AG480)</f>
        <v>0</v>
      </c>
      <c r="M480">
        <f>DB480 - IF(AU480&gt;1, L480*CV480*100.0/(AW480*DP480), 0)</f>
        <v>0</v>
      </c>
      <c r="N480">
        <f>((T480-J480/2)*M480-L480)/(T480+J480/2)</f>
        <v>0</v>
      </c>
      <c r="O480">
        <f>N480*(DI480+DJ480)/1000.0</f>
        <v>0</v>
      </c>
      <c r="P480">
        <f>(DB480 - IF(AU480&gt;1, L480*CV480*100.0/(AW480*DP480), 0))*(DI480+DJ480)/1000.0</f>
        <v>0</v>
      </c>
      <c r="Q480">
        <f>2.0/((1/S480-1/R480)+SIGN(S480)*SQRT((1/S480-1/R480)*(1/S480-1/R480) + 4*CW480/((CW480+1)*(CW480+1))*(2*1/S480*1/R480-1/R480*1/R480)))</f>
        <v>0</v>
      </c>
      <c r="R480">
        <f>IF(LEFT(CX480,1)&lt;&gt;"0",IF(LEFT(CX480,1)="1",3.0,CY480),$D$5+$E$5*(DP480*DI480/($K$5*1000))+$F$5*(DP480*DI480/($K$5*1000))*MAX(MIN(CV480,$J$5),$I$5)*MAX(MIN(CV480,$J$5),$I$5)+$G$5*MAX(MIN(CV480,$J$5),$I$5)*(DP480*DI480/($K$5*1000))+$H$5*(DP480*DI480/($K$5*1000))*(DP480*DI480/($K$5*1000)))</f>
        <v>0</v>
      </c>
      <c r="S480">
        <f>J480*(1000-(1000*0.61365*exp(17.502*W480/(240.97+W480))/(DI480+DJ480)+DD480)/2)/(1000*0.61365*exp(17.502*W480/(240.97+W480))/(DI480+DJ480)-DD480)</f>
        <v>0</v>
      </c>
      <c r="T480">
        <f>1/((CW480+1)/(Q480/1.6)+1/(R480/1.37)) + CW480/((CW480+1)/(Q480/1.6) + CW480/(R480/1.37))</f>
        <v>0</v>
      </c>
      <c r="U480">
        <f>(CR480*CU480)</f>
        <v>0</v>
      </c>
      <c r="V480">
        <f>(DK480+(U480+2*0.95*5.67E-8*(((DK480+$B$7)+273)^4-(DK480+273)^4)-44100*J480)/(1.84*29.3*R480+8*0.95*5.67E-8*(DK480+273)^3))</f>
        <v>0</v>
      </c>
      <c r="W480">
        <f>($C$7*DL480+$D$7*DM480+$E$7*V480)</f>
        <v>0</v>
      </c>
      <c r="X480">
        <f>0.61365*exp(17.502*W480/(240.97+W480))</f>
        <v>0</v>
      </c>
      <c r="Y480">
        <f>(Z480/AA480*100)</f>
        <v>0</v>
      </c>
      <c r="Z480">
        <f>DD480*(DI480+DJ480)/1000</f>
        <v>0</v>
      </c>
      <c r="AA480">
        <f>0.61365*exp(17.502*DK480/(240.97+DK480))</f>
        <v>0</v>
      </c>
      <c r="AB480">
        <f>(X480-DD480*(DI480+DJ480)/1000)</f>
        <v>0</v>
      </c>
      <c r="AC480">
        <f>(-J480*44100)</f>
        <v>0</v>
      </c>
      <c r="AD480">
        <f>2*29.3*R480*0.92*(DK480-W480)</f>
        <v>0</v>
      </c>
      <c r="AE480">
        <f>2*0.95*5.67E-8*(((DK480+$B$7)+273)^4-(W480+273)^4)</f>
        <v>0</v>
      </c>
      <c r="AF480">
        <f>U480+AE480+AC480+AD480</f>
        <v>0</v>
      </c>
      <c r="AG480">
        <f>DH480*AU480*(DC480-DB480*(1000-AU480*DE480)/(1000-AU480*DD480))/(100*CV480)</f>
        <v>0</v>
      </c>
      <c r="AH480">
        <f>1000*DH480*AU480*(DD480-DE480)/(100*CV480*(1000-AU480*DD480))</f>
        <v>0</v>
      </c>
      <c r="AI480">
        <f>(AJ480 - AK480 - DI480*1E3/(8.314*(DK480+273.15)) * AM480/DH480 * AL480) * DH480/(100*CV480) * (1000 - DE480)/1000</f>
        <v>0</v>
      </c>
      <c r="AJ480">
        <v>1463.619398658641</v>
      </c>
      <c r="AK480">
        <v>1414.321939393939</v>
      </c>
      <c r="AL480">
        <v>3.408849753642547</v>
      </c>
      <c r="AM480">
        <v>66.38195617057868</v>
      </c>
      <c r="AN480">
        <f>(AP480 - AO480 + DI480*1E3/(8.314*(DK480+273.15)) * AR480/DH480 * AQ480) * DH480/(100*CV480) * 1000/(1000 - AP480)</f>
        <v>0</v>
      </c>
      <c r="AO480">
        <v>10.60867793775162</v>
      </c>
      <c r="AP480">
        <v>18.23186352941176</v>
      </c>
      <c r="AQ480">
        <v>-0.0003153566543131632</v>
      </c>
      <c r="AR480">
        <v>80.47178418790507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MAX(0,($B$13+$C$13*DP480)/(1+$D$13*DP480)*DI480/(DK480+273)*$E$13)</f>
        <v>0</v>
      </c>
      <c r="AX480" t="s">
        <v>417</v>
      </c>
      <c r="AY480" t="s">
        <v>417</v>
      </c>
      <c r="AZ480">
        <v>0</v>
      </c>
      <c r="BA480">
        <v>0</v>
      </c>
      <c r="BB480">
        <f>1-AZ480/BA480</f>
        <v>0</v>
      </c>
      <c r="BC480">
        <v>0</v>
      </c>
      <c r="BD480" t="s">
        <v>417</v>
      </c>
      <c r="BE480" t="s">
        <v>417</v>
      </c>
      <c r="BF480">
        <v>0</v>
      </c>
      <c r="BG480">
        <v>0</v>
      </c>
      <c r="BH480">
        <f>1-BF480/BG480</f>
        <v>0</v>
      </c>
      <c r="BI480">
        <v>0.5</v>
      </c>
      <c r="BJ480">
        <f>CS480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417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BZ480">
        <v>1249</v>
      </c>
      <c r="CA480">
        <v>300</v>
      </c>
      <c r="CB480">
        <v>300</v>
      </c>
      <c r="CC480">
        <v>300</v>
      </c>
      <c r="CD480">
        <v>10442.4</v>
      </c>
      <c r="CE480">
        <v>1239.69</v>
      </c>
      <c r="CF480">
        <v>-0.00735276</v>
      </c>
      <c r="CG480">
        <v>0.07000000000000001</v>
      </c>
      <c r="CH480" t="s">
        <v>417</v>
      </c>
      <c r="CI480" t="s">
        <v>417</v>
      </c>
      <c r="CJ480" t="s">
        <v>417</v>
      </c>
      <c r="CK480" t="s">
        <v>417</v>
      </c>
      <c r="CL480" t="s">
        <v>417</v>
      </c>
      <c r="CM480" t="s">
        <v>417</v>
      </c>
      <c r="CN480" t="s">
        <v>417</v>
      </c>
      <c r="CO480" t="s">
        <v>417</v>
      </c>
      <c r="CP480" t="s">
        <v>417</v>
      </c>
      <c r="CQ480" t="s">
        <v>417</v>
      </c>
      <c r="CR480">
        <f>$B$11*DQ480+$C$11*DR480+$F$11*EC480*(1-EF480)</f>
        <v>0</v>
      </c>
      <c r="CS480">
        <f>CR480*CT480</f>
        <v>0</v>
      </c>
      <c r="CT480">
        <f>($B$11*$D$9+$C$11*$D$9+$F$11*((EP480+EH480)/MAX(EP480+EH480+EQ480, 0.1)*$I$9+EQ480/MAX(EP480+EH480+EQ480, 0.1)*$J$9))/($B$11+$C$11+$F$11)</f>
        <v>0</v>
      </c>
      <c r="CU480">
        <f>($B$11*$K$9+$C$11*$K$9+$F$11*((EP480+EH480)/MAX(EP480+EH480+EQ480, 0.1)*$P$9+EQ480/MAX(EP480+EH480+EQ480, 0.1)*$Q$9))/($B$11+$C$11+$F$11)</f>
        <v>0</v>
      </c>
      <c r="CV480">
        <v>6</v>
      </c>
      <c r="CW480">
        <v>0.5</v>
      </c>
      <c r="CX480" t="s">
        <v>418</v>
      </c>
      <c r="CY480">
        <v>2</v>
      </c>
      <c r="CZ480" t="b">
        <v>1</v>
      </c>
      <c r="DA480">
        <v>1651866690</v>
      </c>
      <c r="DB480">
        <v>1386.87</v>
      </c>
      <c r="DC480">
        <v>1454.026666666667</v>
      </c>
      <c r="DD480">
        <v>18.23263333333334</v>
      </c>
      <c r="DE480">
        <v>10.70463333333333</v>
      </c>
      <c r="DF480">
        <v>1389.523333333333</v>
      </c>
      <c r="DG480">
        <v>18.21376666666667</v>
      </c>
      <c r="DH480">
        <v>500.0593333333334</v>
      </c>
      <c r="DI480">
        <v>89.91206666666666</v>
      </c>
      <c r="DJ480">
        <v>0.1001393333333333</v>
      </c>
      <c r="DK480">
        <v>25.9016</v>
      </c>
      <c r="DL480">
        <v>25.03963333333333</v>
      </c>
      <c r="DM480">
        <v>999.9</v>
      </c>
      <c r="DN480">
        <v>0</v>
      </c>
      <c r="DO480">
        <v>0</v>
      </c>
      <c r="DP480">
        <v>9980.206666666667</v>
      </c>
      <c r="DQ480">
        <v>0</v>
      </c>
      <c r="DR480">
        <v>3.20383</v>
      </c>
      <c r="DS480">
        <v>-67.15736666666668</v>
      </c>
      <c r="DT480">
        <v>1412.623333333333</v>
      </c>
      <c r="DU480">
        <v>1469.756666666667</v>
      </c>
      <c r="DV480">
        <v>7.527996666666667</v>
      </c>
      <c r="DW480">
        <v>1454.026666666667</v>
      </c>
      <c r="DX480">
        <v>10.70463333333333</v>
      </c>
      <c r="DY480">
        <v>1.639333333333333</v>
      </c>
      <c r="DZ480">
        <v>0.9624756666666667</v>
      </c>
      <c r="EA480">
        <v>14.3336</v>
      </c>
      <c r="EB480">
        <v>6.360376666666667</v>
      </c>
      <c r="EC480">
        <v>1499.953333333333</v>
      </c>
      <c r="ED480">
        <v>0.9730086666666665</v>
      </c>
      <c r="EE480">
        <v>0.0269913</v>
      </c>
      <c r="EF480">
        <v>0</v>
      </c>
      <c r="EG480">
        <v>887.1529999999999</v>
      </c>
      <c r="EH480">
        <v>5.00097</v>
      </c>
      <c r="EI480">
        <v>13188.56666666667</v>
      </c>
      <c r="EJ480">
        <v>12491.26666666667</v>
      </c>
      <c r="EK480">
        <v>37.437</v>
      </c>
      <c r="EL480">
        <v>38.812</v>
      </c>
      <c r="EM480">
        <v>37.875</v>
      </c>
      <c r="EN480">
        <v>38.437</v>
      </c>
      <c r="EO480">
        <v>38.375</v>
      </c>
      <c r="EP480">
        <v>1454.603333333333</v>
      </c>
      <c r="EQ480">
        <v>40.35</v>
      </c>
      <c r="ER480">
        <v>0</v>
      </c>
      <c r="ES480">
        <v>1208.600000143051</v>
      </c>
      <c r="ET480">
        <v>0</v>
      </c>
      <c r="EU480">
        <v>888.23356</v>
      </c>
      <c r="EV480">
        <v>-12.21815382680169</v>
      </c>
      <c r="EW480">
        <v>-172.9769227162952</v>
      </c>
      <c r="EX480">
        <v>13206.184</v>
      </c>
      <c r="EY480">
        <v>15</v>
      </c>
      <c r="EZ480">
        <v>1651865518.1</v>
      </c>
      <c r="FA480" t="s">
        <v>910</v>
      </c>
      <c r="FB480">
        <v>1651865507.1</v>
      </c>
      <c r="FC480">
        <v>1651865518.1</v>
      </c>
      <c r="FD480">
        <v>8</v>
      </c>
      <c r="FE480">
        <v>0.06</v>
      </c>
      <c r="FF480">
        <v>0</v>
      </c>
      <c r="FG480">
        <v>-0.927</v>
      </c>
      <c r="FH480">
        <v>-0.062</v>
      </c>
      <c r="FI480">
        <v>400</v>
      </c>
      <c r="FJ480">
        <v>11</v>
      </c>
      <c r="FK480">
        <v>0.11</v>
      </c>
      <c r="FL480">
        <v>0.01</v>
      </c>
      <c r="FM480">
        <v>-66.82745609756097</v>
      </c>
      <c r="FN480">
        <v>-1.727995818815352</v>
      </c>
      <c r="FO480">
        <v>0.2193396531373873</v>
      </c>
      <c r="FP480">
        <v>-1</v>
      </c>
      <c r="FQ480">
        <v>7.817252195121951</v>
      </c>
      <c r="FR480">
        <v>-1.820778397212543</v>
      </c>
      <c r="FS480">
        <v>0.1795845828505902</v>
      </c>
      <c r="FT480">
        <v>-1</v>
      </c>
      <c r="FU480">
        <v>0</v>
      </c>
      <c r="FV480">
        <v>0</v>
      </c>
      <c r="FW480">
        <v>0</v>
      </c>
      <c r="FX480">
        <v>-1</v>
      </c>
      <c r="FY480">
        <v>0</v>
      </c>
      <c r="FZ480">
        <v>0</v>
      </c>
      <c r="GA480" t="s">
        <v>420</v>
      </c>
      <c r="GB480">
        <v>2.98154</v>
      </c>
      <c r="GC480">
        <v>2.70606</v>
      </c>
      <c r="GD480">
        <v>0.210654</v>
      </c>
      <c r="GE480">
        <v>0.214351</v>
      </c>
      <c r="GF480">
        <v>0.0874036</v>
      </c>
      <c r="GG480">
        <v>0.0584785</v>
      </c>
      <c r="GH480">
        <v>24946.2</v>
      </c>
      <c r="GI480">
        <v>24882.6</v>
      </c>
      <c r="GJ480">
        <v>29380.9</v>
      </c>
      <c r="GK480">
        <v>29295.5</v>
      </c>
      <c r="GL480">
        <v>35504</v>
      </c>
      <c r="GM480">
        <v>36744.1</v>
      </c>
      <c r="GN480">
        <v>41354.1</v>
      </c>
      <c r="GO480">
        <v>41816.8</v>
      </c>
      <c r="GP480">
        <v>1.96642</v>
      </c>
      <c r="GQ480">
        <v>1.86162</v>
      </c>
      <c r="GR480">
        <v>-0.00186265</v>
      </c>
      <c r="GS480">
        <v>0</v>
      </c>
      <c r="GT480">
        <v>25.0636</v>
      </c>
      <c r="GU480">
        <v>999.9</v>
      </c>
      <c r="GV480">
        <v>29.3</v>
      </c>
      <c r="GW480">
        <v>34.2</v>
      </c>
      <c r="GX480">
        <v>17.606</v>
      </c>
      <c r="GY480">
        <v>62.6476</v>
      </c>
      <c r="GZ480">
        <v>35.3726</v>
      </c>
      <c r="HA480">
        <v>1</v>
      </c>
      <c r="HB480">
        <v>0.0385747</v>
      </c>
      <c r="HC480">
        <v>1.88784</v>
      </c>
      <c r="HD480">
        <v>20.3238</v>
      </c>
      <c r="HE480">
        <v>5.21879</v>
      </c>
      <c r="HF480">
        <v>12.0099</v>
      </c>
      <c r="HG480">
        <v>4.98915</v>
      </c>
      <c r="HH480">
        <v>3.2885</v>
      </c>
      <c r="HI480">
        <v>1038.1</v>
      </c>
      <c r="HJ480">
        <v>9779.4</v>
      </c>
      <c r="HK480">
        <v>5139.4</v>
      </c>
      <c r="HL480">
        <v>25.4</v>
      </c>
      <c r="HM480">
        <v>1.86747</v>
      </c>
      <c r="HN480">
        <v>1.86646</v>
      </c>
      <c r="HO480">
        <v>1.866</v>
      </c>
      <c r="HP480">
        <v>1.86586</v>
      </c>
      <c r="HQ480">
        <v>1.86768</v>
      </c>
      <c r="HR480">
        <v>1.8702</v>
      </c>
      <c r="HS480">
        <v>1.8689</v>
      </c>
      <c r="HT480">
        <v>1.87021</v>
      </c>
      <c r="HU480">
        <v>0</v>
      </c>
      <c r="HV480">
        <v>0</v>
      </c>
      <c r="HW480">
        <v>0</v>
      </c>
      <c r="HX480">
        <v>0</v>
      </c>
      <c r="HY480" t="s">
        <v>421</v>
      </c>
      <c r="HZ480" t="s">
        <v>422</v>
      </c>
      <c r="IA480" t="s">
        <v>423</v>
      </c>
      <c r="IB480" t="s">
        <v>423</v>
      </c>
      <c r="IC480" t="s">
        <v>423</v>
      </c>
      <c r="ID480" t="s">
        <v>423</v>
      </c>
      <c r="IE480">
        <v>0</v>
      </c>
      <c r="IF480">
        <v>100</v>
      </c>
      <c r="IG480">
        <v>100</v>
      </c>
      <c r="IH480">
        <v>-2.66</v>
      </c>
      <c r="II480">
        <v>0.0188</v>
      </c>
      <c r="IJ480">
        <v>-0.1559367209035702</v>
      </c>
      <c r="IK480">
        <v>-0.002077099775823331</v>
      </c>
      <c r="IL480">
        <v>4.593143279902166E-07</v>
      </c>
      <c r="IM480">
        <v>-1.865383991892071E-10</v>
      </c>
      <c r="IN480">
        <v>-0.0607165066849496</v>
      </c>
      <c r="IO480">
        <v>-0.01129461987421345</v>
      </c>
      <c r="IP480">
        <v>0.00116580895745559</v>
      </c>
      <c r="IQ480">
        <v>-1.679085872906199E-05</v>
      </c>
      <c r="IR480">
        <v>2</v>
      </c>
      <c r="IS480">
        <v>2290</v>
      </c>
      <c r="IT480">
        <v>0</v>
      </c>
      <c r="IU480">
        <v>32</v>
      </c>
      <c r="IV480">
        <v>19.7</v>
      </c>
      <c r="IW480">
        <v>19.5</v>
      </c>
      <c r="IX480">
        <v>2.83569</v>
      </c>
      <c r="IY480">
        <v>2.17773</v>
      </c>
      <c r="IZ480">
        <v>1.39648</v>
      </c>
      <c r="JA480">
        <v>2.35474</v>
      </c>
      <c r="JB480">
        <v>1.49536</v>
      </c>
      <c r="JC480">
        <v>2.37183</v>
      </c>
      <c r="JD480">
        <v>38.0134</v>
      </c>
      <c r="JE480">
        <v>24.0437</v>
      </c>
      <c r="JF480">
        <v>18</v>
      </c>
      <c r="JG480">
        <v>511.166</v>
      </c>
      <c r="JH480">
        <v>429.76</v>
      </c>
      <c r="JI480">
        <v>22.8238</v>
      </c>
      <c r="JJ480">
        <v>27.8042</v>
      </c>
      <c r="JK480">
        <v>30</v>
      </c>
      <c r="JL480">
        <v>27.8088</v>
      </c>
      <c r="JM480">
        <v>27.7526</v>
      </c>
      <c r="JN480">
        <v>56.8842</v>
      </c>
      <c r="JO480">
        <v>37.0372</v>
      </c>
      <c r="JP480">
        <v>0</v>
      </c>
      <c r="JQ480">
        <v>22.7882</v>
      </c>
      <c r="JR480">
        <v>1476.79</v>
      </c>
      <c r="JS480">
        <v>10.965</v>
      </c>
      <c r="JT480">
        <v>100.429</v>
      </c>
      <c r="JU480">
        <v>100.36</v>
      </c>
    </row>
    <row r="481" spans="1:281">
      <c r="A481">
        <v>465</v>
      </c>
      <c r="B481">
        <v>1651866693</v>
      </c>
      <c r="C481">
        <v>2472.400000095367</v>
      </c>
      <c r="D481" t="s">
        <v>1353</v>
      </c>
      <c r="E481" t="s">
        <v>1354</v>
      </c>
      <c r="F481">
        <v>2</v>
      </c>
      <c r="G481" t="s">
        <v>908</v>
      </c>
      <c r="H481" t="s">
        <v>414</v>
      </c>
      <c r="I481">
        <v>1651866691.625</v>
      </c>
      <c r="J481">
        <f>(K481)/1000</f>
        <v>0</v>
      </c>
      <c r="K481">
        <f>IF(CZ481, AN481, AH481)</f>
        <v>0</v>
      </c>
      <c r="L481">
        <f>IF(CZ481, AI481, AG481)</f>
        <v>0</v>
      </c>
      <c r="M481">
        <f>DB481 - IF(AU481&gt;1, L481*CV481*100.0/(AW481*DP481), 0)</f>
        <v>0</v>
      </c>
      <c r="N481">
        <f>((T481-J481/2)*M481-L481)/(T481+J481/2)</f>
        <v>0</v>
      </c>
      <c r="O481">
        <f>N481*(DI481+DJ481)/1000.0</f>
        <v>0</v>
      </c>
      <c r="P481">
        <f>(DB481 - IF(AU481&gt;1, L481*CV481*100.0/(AW481*DP481), 0))*(DI481+DJ481)/1000.0</f>
        <v>0</v>
      </c>
      <c r="Q481">
        <f>2.0/((1/S481-1/R481)+SIGN(S481)*SQRT((1/S481-1/R481)*(1/S481-1/R481) + 4*CW481/((CW481+1)*(CW481+1))*(2*1/S481*1/R481-1/R481*1/R481)))</f>
        <v>0</v>
      </c>
      <c r="R481">
        <f>IF(LEFT(CX481,1)&lt;&gt;"0",IF(LEFT(CX481,1)="1",3.0,CY481),$D$5+$E$5*(DP481*DI481/($K$5*1000))+$F$5*(DP481*DI481/($K$5*1000))*MAX(MIN(CV481,$J$5),$I$5)*MAX(MIN(CV481,$J$5),$I$5)+$G$5*MAX(MIN(CV481,$J$5),$I$5)*(DP481*DI481/($K$5*1000))+$H$5*(DP481*DI481/($K$5*1000))*(DP481*DI481/($K$5*1000)))</f>
        <v>0</v>
      </c>
      <c r="S481">
        <f>J481*(1000-(1000*0.61365*exp(17.502*W481/(240.97+W481))/(DI481+DJ481)+DD481)/2)/(1000*0.61365*exp(17.502*W481/(240.97+W481))/(DI481+DJ481)-DD481)</f>
        <v>0</v>
      </c>
      <c r="T481">
        <f>1/((CW481+1)/(Q481/1.6)+1/(R481/1.37)) + CW481/((CW481+1)/(Q481/1.6) + CW481/(R481/1.37))</f>
        <v>0</v>
      </c>
      <c r="U481">
        <f>(CR481*CU481)</f>
        <v>0</v>
      </c>
      <c r="V481">
        <f>(DK481+(U481+2*0.95*5.67E-8*(((DK481+$B$7)+273)^4-(DK481+273)^4)-44100*J481)/(1.84*29.3*R481+8*0.95*5.67E-8*(DK481+273)^3))</f>
        <v>0</v>
      </c>
      <c r="W481">
        <f>($C$7*DL481+$D$7*DM481+$E$7*V481)</f>
        <v>0</v>
      </c>
      <c r="X481">
        <f>0.61365*exp(17.502*W481/(240.97+W481))</f>
        <v>0</v>
      </c>
      <c r="Y481">
        <f>(Z481/AA481*100)</f>
        <v>0</v>
      </c>
      <c r="Z481">
        <f>DD481*(DI481+DJ481)/1000</f>
        <v>0</v>
      </c>
      <c r="AA481">
        <f>0.61365*exp(17.502*DK481/(240.97+DK481))</f>
        <v>0</v>
      </c>
      <c r="AB481">
        <f>(X481-DD481*(DI481+DJ481)/1000)</f>
        <v>0</v>
      </c>
      <c r="AC481">
        <f>(-J481*44100)</f>
        <v>0</v>
      </c>
      <c r="AD481">
        <f>2*29.3*R481*0.92*(DK481-W481)</f>
        <v>0</v>
      </c>
      <c r="AE481">
        <f>2*0.95*5.67E-8*(((DK481+$B$7)+273)^4-(W481+273)^4)</f>
        <v>0</v>
      </c>
      <c r="AF481">
        <f>U481+AE481+AC481+AD481</f>
        <v>0</v>
      </c>
      <c r="AG481">
        <f>DH481*AU481*(DC481-DB481*(1000-AU481*DE481)/(1000-AU481*DD481))/(100*CV481)</f>
        <v>0</v>
      </c>
      <c r="AH481">
        <f>1000*DH481*AU481*(DD481-DE481)/(100*CV481*(1000-AU481*DD481))</f>
        <v>0</v>
      </c>
      <c r="AI481">
        <f>(AJ481 - AK481 - DI481*1E3/(8.314*(DK481+273.15)) * AM481/DH481 * AL481) * DH481/(100*CV481) * (1000 - DE481)/1000</f>
        <v>0</v>
      </c>
      <c r="AJ481">
        <v>1470.502801291229</v>
      </c>
      <c r="AK481">
        <v>1421.112484848485</v>
      </c>
      <c r="AL481">
        <v>3.403877569836463</v>
      </c>
      <c r="AM481">
        <v>66.38195617057868</v>
      </c>
      <c r="AN481">
        <f>(AP481 - AO481 + DI481*1E3/(8.314*(DK481+273.15)) * AR481/DH481 * AQ481) * DH481/(100*CV481) * 1000/(1000 - AP481)</f>
        <v>0</v>
      </c>
      <c r="AO481">
        <v>10.66496157777851</v>
      </c>
      <c r="AP481">
        <v>18.22741617647058</v>
      </c>
      <c r="AQ481">
        <v>-0.0001998303292522384</v>
      </c>
      <c r="AR481">
        <v>80.47178418790507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MAX(0,($B$13+$C$13*DP481)/(1+$D$13*DP481)*DI481/(DK481+273)*$E$13)</f>
        <v>0</v>
      </c>
      <c r="AX481" t="s">
        <v>417</v>
      </c>
      <c r="AY481" t="s">
        <v>417</v>
      </c>
      <c r="AZ481">
        <v>0</v>
      </c>
      <c r="BA481">
        <v>0</v>
      </c>
      <c r="BB481">
        <f>1-AZ481/BA481</f>
        <v>0</v>
      </c>
      <c r="BC481">
        <v>0</v>
      </c>
      <c r="BD481" t="s">
        <v>417</v>
      </c>
      <c r="BE481" t="s">
        <v>417</v>
      </c>
      <c r="BF481">
        <v>0</v>
      </c>
      <c r="BG481">
        <v>0</v>
      </c>
      <c r="BH481">
        <f>1-BF481/BG481</f>
        <v>0</v>
      </c>
      <c r="BI481">
        <v>0.5</v>
      </c>
      <c r="BJ481">
        <f>CS481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417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BZ481">
        <v>1249</v>
      </c>
      <c r="CA481">
        <v>300</v>
      </c>
      <c r="CB481">
        <v>300</v>
      </c>
      <c r="CC481">
        <v>300</v>
      </c>
      <c r="CD481">
        <v>10442.4</v>
      </c>
      <c r="CE481">
        <v>1239.69</v>
      </c>
      <c r="CF481">
        <v>-0.00735276</v>
      </c>
      <c r="CG481">
        <v>0.07000000000000001</v>
      </c>
      <c r="CH481" t="s">
        <v>417</v>
      </c>
      <c r="CI481" t="s">
        <v>417</v>
      </c>
      <c r="CJ481" t="s">
        <v>417</v>
      </c>
      <c r="CK481" t="s">
        <v>417</v>
      </c>
      <c r="CL481" t="s">
        <v>417</v>
      </c>
      <c r="CM481" t="s">
        <v>417</v>
      </c>
      <c r="CN481" t="s">
        <v>417</v>
      </c>
      <c r="CO481" t="s">
        <v>417</v>
      </c>
      <c r="CP481" t="s">
        <v>417</v>
      </c>
      <c r="CQ481" t="s">
        <v>417</v>
      </c>
      <c r="CR481">
        <f>$B$11*DQ481+$C$11*DR481+$F$11*EC481*(1-EF481)</f>
        <v>0</v>
      </c>
      <c r="CS481">
        <f>CR481*CT481</f>
        <v>0</v>
      </c>
      <c r="CT481">
        <f>($B$11*$D$9+$C$11*$D$9+$F$11*((EP481+EH481)/MAX(EP481+EH481+EQ481, 0.1)*$I$9+EQ481/MAX(EP481+EH481+EQ481, 0.1)*$J$9))/($B$11+$C$11+$F$11)</f>
        <v>0</v>
      </c>
      <c r="CU481">
        <f>($B$11*$K$9+$C$11*$K$9+$F$11*((EP481+EH481)/MAX(EP481+EH481+EQ481, 0.1)*$P$9+EQ481/MAX(EP481+EH481+EQ481, 0.1)*$Q$9))/($B$11+$C$11+$F$11)</f>
        <v>0</v>
      </c>
      <c r="CV481">
        <v>6</v>
      </c>
      <c r="CW481">
        <v>0.5</v>
      </c>
      <c r="CX481" t="s">
        <v>418</v>
      </c>
      <c r="CY481">
        <v>2</v>
      </c>
      <c r="CZ481" t="b">
        <v>1</v>
      </c>
      <c r="DA481">
        <v>1651866691.625</v>
      </c>
      <c r="DB481">
        <v>1392.2825</v>
      </c>
      <c r="DC481">
        <v>1459.115</v>
      </c>
      <c r="DD481">
        <v>18.229025</v>
      </c>
      <c r="DE481">
        <v>10.751625</v>
      </c>
      <c r="DF481">
        <v>1394.9525</v>
      </c>
      <c r="DG481">
        <v>18.2102</v>
      </c>
      <c r="DH481">
        <v>500.0142500000001</v>
      </c>
      <c r="DI481">
        <v>89.91220000000001</v>
      </c>
      <c r="DJ481">
        <v>0.09996060000000001</v>
      </c>
      <c r="DK481">
        <v>25.900475</v>
      </c>
      <c r="DL481">
        <v>25.032725</v>
      </c>
      <c r="DM481">
        <v>999.9</v>
      </c>
      <c r="DN481">
        <v>0</v>
      </c>
      <c r="DO481">
        <v>0</v>
      </c>
      <c r="DP481">
        <v>10001.695</v>
      </c>
      <c r="DQ481">
        <v>0</v>
      </c>
      <c r="DR481">
        <v>3.20383</v>
      </c>
      <c r="DS481">
        <v>-66.83087499999999</v>
      </c>
      <c r="DT481">
        <v>1418.135</v>
      </c>
      <c r="DU481">
        <v>1474.97</v>
      </c>
      <c r="DV481">
        <v>7.477399999999999</v>
      </c>
      <c r="DW481">
        <v>1459.115</v>
      </c>
      <c r="DX481">
        <v>10.751625</v>
      </c>
      <c r="DY481">
        <v>1.639015</v>
      </c>
      <c r="DZ481">
        <v>0.96670325</v>
      </c>
      <c r="EA481">
        <v>14.330575</v>
      </c>
      <c r="EB481">
        <v>6.42394</v>
      </c>
      <c r="EC481">
        <v>1499.995</v>
      </c>
      <c r="ED481">
        <v>0.9730095</v>
      </c>
      <c r="EE481">
        <v>0.0269904</v>
      </c>
      <c r="EF481">
        <v>0</v>
      </c>
      <c r="EG481">
        <v>886.7682500000001</v>
      </c>
      <c r="EH481">
        <v>5.00097</v>
      </c>
      <c r="EI481">
        <v>13184.725</v>
      </c>
      <c r="EJ481">
        <v>12491.6</v>
      </c>
      <c r="EK481">
        <v>37.437</v>
      </c>
      <c r="EL481">
        <v>38.812</v>
      </c>
      <c r="EM481">
        <v>37.875</v>
      </c>
      <c r="EN481">
        <v>38.437</v>
      </c>
      <c r="EO481">
        <v>38.32774999999999</v>
      </c>
      <c r="EP481">
        <v>1454.645</v>
      </c>
      <c r="EQ481">
        <v>40.35</v>
      </c>
      <c r="ER481">
        <v>0</v>
      </c>
      <c r="ES481">
        <v>1210.400000095367</v>
      </c>
      <c r="ET481">
        <v>0</v>
      </c>
      <c r="EU481">
        <v>887.930076923077</v>
      </c>
      <c r="EV481">
        <v>-11.37634188623538</v>
      </c>
      <c r="EW481">
        <v>-171.4188034098535</v>
      </c>
      <c r="EX481">
        <v>13202</v>
      </c>
      <c r="EY481">
        <v>15</v>
      </c>
      <c r="EZ481">
        <v>1651865518.1</v>
      </c>
      <c r="FA481" t="s">
        <v>910</v>
      </c>
      <c r="FB481">
        <v>1651865507.1</v>
      </c>
      <c r="FC481">
        <v>1651865518.1</v>
      </c>
      <c r="FD481">
        <v>8</v>
      </c>
      <c r="FE481">
        <v>0.06</v>
      </c>
      <c r="FF481">
        <v>0</v>
      </c>
      <c r="FG481">
        <v>-0.927</v>
      </c>
      <c r="FH481">
        <v>-0.062</v>
      </c>
      <c r="FI481">
        <v>400</v>
      </c>
      <c r="FJ481">
        <v>11</v>
      </c>
      <c r="FK481">
        <v>0.11</v>
      </c>
      <c r="FL481">
        <v>0.01</v>
      </c>
      <c r="FM481">
        <v>-66.84659500000001</v>
      </c>
      <c r="FN481">
        <v>-1.617320825515846</v>
      </c>
      <c r="FO481">
        <v>0.2186541297917783</v>
      </c>
      <c r="FP481">
        <v>-1</v>
      </c>
      <c r="FQ481">
        <v>7.764279500000001</v>
      </c>
      <c r="FR481">
        <v>-1.827424615384634</v>
      </c>
      <c r="FS481">
        <v>0.1758406192827755</v>
      </c>
      <c r="FT481">
        <v>-1</v>
      </c>
      <c r="FU481">
        <v>0</v>
      </c>
      <c r="FV481">
        <v>0</v>
      </c>
      <c r="FW481">
        <v>0</v>
      </c>
      <c r="FX481">
        <v>-1</v>
      </c>
      <c r="FY481">
        <v>0</v>
      </c>
      <c r="FZ481">
        <v>0</v>
      </c>
      <c r="GA481" t="s">
        <v>420</v>
      </c>
      <c r="GB481">
        <v>2.98153</v>
      </c>
      <c r="GC481">
        <v>2.70629</v>
      </c>
      <c r="GD481">
        <v>0.211271</v>
      </c>
      <c r="GE481">
        <v>0.214914</v>
      </c>
      <c r="GF481">
        <v>0.0873932</v>
      </c>
      <c r="GG481">
        <v>0.0587297</v>
      </c>
      <c r="GH481">
        <v>24927.1</v>
      </c>
      <c r="GI481">
        <v>24864.8</v>
      </c>
      <c r="GJ481">
        <v>29381.4</v>
      </c>
      <c r="GK481">
        <v>29295.6</v>
      </c>
      <c r="GL481">
        <v>35505.1</v>
      </c>
      <c r="GM481">
        <v>36734.1</v>
      </c>
      <c r="GN481">
        <v>41354.9</v>
      </c>
      <c r="GO481">
        <v>41816.7</v>
      </c>
      <c r="GP481">
        <v>1.96637</v>
      </c>
      <c r="GQ481">
        <v>1.8617</v>
      </c>
      <c r="GR481">
        <v>-0.00216067</v>
      </c>
      <c r="GS481">
        <v>0</v>
      </c>
      <c r="GT481">
        <v>25.0636</v>
      </c>
      <c r="GU481">
        <v>999.9</v>
      </c>
      <c r="GV481">
        <v>29.3</v>
      </c>
      <c r="GW481">
        <v>34.2</v>
      </c>
      <c r="GX481">
        <v>17.6068</v>
      </c>
      <c r="GY481">
        <v>62.5076</v>
      </c>
      <c r="GZ481">
        <v>35.3085</v>
      </c>
      <c r="HA481">
        <v>1</v>
      </c>
      <c r="HB481">
        <v>0.0385518</v>
      </c>
      <c r="HC481">
        <v>1.93673</v>
      </c>
      <c r="HD481">
        <v>20.3234</v>
      </c>
      <c r="HE481">
        <v>5.21894</v>
      </c>
      <c r="HF481">
        <v>12.0099</v>
      </c>
      <c r="HG481">
        <v>4.9893</v>
      </c>
      <c r="HH481">
        <v>3.2885</v>
      </c>
      <c r="HI481">
        <v>1038.1</v>
      </c>
      <c r="HJ481">
        <v>9779.4</v>
      </c>
      <c r="HK481">
        <v>5139.4</v>
      </c>
      <c r="HL481">
        <v>25.4</v>
      </c>
      <c r="HM481">
        <v>1.86746</v>
      </c>
      <c r="HN481">
        <v>1.86646</v>
      </c>
      <c r="HO481">
        <v>1.866</v>
      </c>
      <c r="HP481">
        <v>1.86586</v>
      </c>
      <c r="HQ481">
        <v>1.86768</v>
      </c>
      <c r="HR481">
        <v>1.8702</v>
      </c>
      <c r="HS481">
        <v>1.8689</v>
      </c>
      <c r="HT481">
        <v>1.87022</v>
      </c>
      <c r="HU481">
        <v>0</v>
      </c>
      <c r="HV481">
        <v>0</v>
      </c>
      <c r="HW481">
        <v>0</v>
      </c>
      <c r="HX481">
        <v>0</v>
      </c>
      <c r="HY481" t="s">
        <v>421</v>
      </c>
      <c r="HZ481" t="s">
        <v>422</v>
      </c>
      <c r="IA481" t="s">
        <v>423</v>
      </c>
      <c r="IB481" t="s">
        <v>423</v>
      </c>
      <c r="IC481" t="s">
        <v>423</v>
      </c>
      <c r="ID481" t="s">
        <v>423</v>
      </c>
      <c r="IE481">
        <v>0</v>
      </c>
      <c r="IF481">
        <v>100</v>
      </c>
      <c r="IG481">
        <v>100</v>
      </c>
      <c r="IH481">
        <v>-2.67</v>
      </c>
      <c r="II481">
        <v>0.0187</v>
      </c>
      <c r="IJ481">
        <v>-0.1559367209035702</v>
      </c>
      <c r="IK481">
        <v>-0.002077099775823331</v>
      </c>
      <c r="IL481">
        <v>4.593143279902166E-07</v>
      </c>
      <c r="IM481">
        <v>-1.865383991892071E-10</v>
      </c>
      <c r="IN481">
        <v>-0.0607165066849496</v>
      </c>
      <c r="IO481">
        <v>-0.01129461987421345</v>
      </c>
      <c r="IP481">
        <v>0.00116580895745559</v>
      </c>
      <c r="IQ481">
        <v>-1.679085872906199E-05</v>
      </c>
      <c r="IR481">
        <v>2</v>
      </c>
      <c r="IS481">
        <v>2290</v>
      </c>
      <c r="IT481">
        <v>0</v>
      </c>
      <c r="IU481">
        <v>32</v>
      </c>
      <c r="IV481">
        <v>19.8</v>
      </c>
      <c r="IW481">
        <v>19.6</v>
      </c>
      <c r="IX481">
        <v>2.84668</v>
      </c>
      <c r="IY481">
        <v>2.17529</v>
      </c>
      <c r="IZ481">
        <v>1.39648</v>
      </c>
      <c r="JA481">
        <v>2.35474</v>
      </c>
      <c r="JB481">
        <v>1.49536</v>
      </c>
      <c r="JC481">
        <v>2.36572</v>
      </c>
      <c r="JD481">
        <v>38.0377</v>
      </c>
      <c r="JE481">
        <v>24.0437</v>
      </c>
      <c r="JF481">
        <v>18</v>
      </c>
      <c r="JG481">
        <v>511.124</v>
      </c>
      <c r="JH481">
        <v>429.802</v>
      </c>
      <c r="JI481">
        <v>22.8098</v>
      </c>
      <c r="JJ481">
        <v>27.8042</v>
      </c>
      <c r="JK481">
        <v>30</v>
      </c>
      <c r="JL481">
        <v>27.8077</v>
      </c>
      <c r="JM481">
        <v>27.7522</v>
      </c>
      <c r="JN481">
        <v>57.0953</v>
      </c>
      <c r="JO481">
        <v>36.7516</v>
      </c>
      <c r="JP481">
        <v>0</v>
      </c>
      <c r="JQ481">
        <v>22.7882</v>
      </c>
      <c r="JR481">
        <v>1483.47</v>
      </c>
      <c r="JS481">
        <v>11.0196</v>
      </c>
      <c r="JT481">
        <v>100.431</v>
      </c>
      <c r="JU481">
        <v>100.36</v>
      </c>
    </row>
    <row r="482" spans="1:281">
      <c r="A482">
        <v>466</v>
      </c>
      <c r="B482">
        <v>1651866695</v>
      </c>
      <c r="C482">
        <v>2474.400000095367</v>
      </c>
      <c r="D482" t="s">
        <v>1355</v>
      </c>
      <c r="E482" t="s">
        <v>1356</v>
      </c>
      <c r="F482">
        <v>2</v>
      </c>
      <c r="G482" t="s">
        <v>908</v>
      </c>
      <c r="H482" t="s">
        <v>414</v>
      </c>
      <c r="I482">
        <v>1651866694</v>
      </c>
      <c r="J482">
        <f>(K482)/1000</f>
        <v>0</v>
      </c>
      <c r="K482">
        <f>IF(CZ482, AN482, AH482)</f>
        <v>0</v>
      </c>
      <c r="L482">
        <f>IF(CZ482, AI482, AG482)</f>
        <v>0</v>
      </c>
      <c r="M482">
        <f>DB482 - IF(AU482&gt;1, L482*CV482*100.0/(AW482*DP482), 0)</f>
        <v>0</v>
      </c>
      <c r="N482">
        <f>((T482-J482/2)*M482-L482)/(T482+J482/2)</f>
        <v>0</v>
      </c>
      <c r="O482">
        <f>N482*(DI482+DJ482)/1000.0</f>
        <v>0</v>
      </c>
      <c r="P482">
        <f>(DB482 - IF(AU482&gt;1, L482*CV482*100.0/(AW482*DP482), 0))*(DI482+DJ482)/1000.0</f>
        <v>0</v>
      </c>
      <c r="Q482">
        <f>2.0/((1/S482-1/R482)+SIGN(S482)*SQRT((1/S482-1/R482)*(1/S482-1/R482) + 4*CW482/((CW482+1)*(CW482+1))*(2*1/S482*1/R482-1/R482*1/R482)))</f>
        <v>0</v>
      </c>
      <c r="R482">
        <f>IF(LEFT(CX482,1)&lt;&gt;"0",IF(LEFT(CX482,1)="1",3.0,CY482),$D$5+$E$5*(DP482*DI482/($K$5*1000))+$F$5*(DP482*DI482/($K$5*1000))*MAX(MIN(CV482,$J$5),$I$5)*MAX(MIN(CV482,$J$5),$I$5)+$G$5*MAX(MIN(CV482,$J$5),$I$5)*(DP482*DI482/($K$5*1000))+$H$5*(DP482*DI482/($K$5*1000))*(DP482*DI482/($K$5*1000)))</f>
        <v>0</v>
      </c>
      <c r="S482">
        <f>J482*(1000-(1000*0.61365*exp(17.502*W482/(240.97+W482))/(DI482+DJ482)+DD482)/2)/(1000*0.61365*exp(17.502*W482/(240.97+W482))/(DI482+DJ482)-DD482)</f>
        <v>0</v>
      </c>
      <c r="T482">
        <f>1/((CW482+1)/(Q482/1.6)+1/(R482/1.37)) + CW482/((CW482+1)/(Q482/1.6) + CW482/(R482/1.37))</f>
        <v>0</v>
      </c>
      <c r="U482">
        <f>(CR482*CU482)</f>
        <v>0</v>
      </c>
      <c r="V482">
        <f>(DK482+(U482+2*0.95*5.67E-8*(((DK482+$B$7)+273)^4-(DK482+273)^4)-44100*J482)/(1.84*29.3*R482+8*0.95*5.67E-8*(DK482+273)^3))</f>
        <v>0</v>
      </c>
      <c r="W482">
        <f>($C$7*DL482+$D$7*DM482+$E$7*V482)</f>
        <v>0</v>
      </c>
      <c r="X482">
        <f>0.61365*exp(17.502*W482/(240.97+W482))</f>
        <v>0</v>
      </c>
      <c r="Y482">
        <f>(Z482/AA482*100)</f>
        <v>0</v>
      </c>
      <c r="Z482">
        <f>DD482*(DI482+DJ482)/1000</f>
        <v>0</v>
      </c>
      <c r="AA482">
        <f>0.61365*exp(17.502*DK482/(240.97+DK482))</f>
        <v>0</v>
      </c>
      <c r="AB482">
        <f>(X482-DD482*(DI482+DJ482)/1000)</f>
        <v>0</v>
      </c>
      <c r="AC482">
        <f>(-J482*44100)</f>
        <v>0</v>
      </c>
      <c r="AD482">
        <f>2*29.3*R482*0.92*(DK482-W482)</f>
        <v>0</v>
      </c>
      <c r="AE482">
        <f>2*0.95*5.67E-8*(((DK482+$B$7)+273)^4-(W482+273)^4)</f>
        <v>0</v>
      </c>
      <c r="AF482">
        <f>U482+AE482+AC482+AD482</f>
        <v>0</v>
      </c>
      <c r="AG482">
        <f>DH482*AU482*(DC482-DB482*(1000-AU482*DE482)/(1000-AU482*DD482))/(100*CV482)</f>
        <v>0</v>
      </c>
      <c r="AH482">
        <f>1000*DH482*AU482*(DD482-DE482)/(100*CV482*(1000-AU482*DD482))</f>
        <v>0</v>
      </c>
      <c r="AI482">
        <f>(AJ482 - AK482 - DI482*1E3/(8.314*(DK482+273.15)) * AM482/DH482 * AL482) * DH482/(100*CV482) * (1000 - DE482)/1000</f>
        <v>0</v>
      </c>
      <c r="AJ482">
        <v>1476.91736671491</v>
      </c>
      <c r="AK482">
        <v>1427.796</v>
      </c>
      <c r="AL482">
        <v>3.367993021632532</v>
      </c>
      <c r="AM482">
        <v>66.38195617057868</v>
      </c>
      <c r="AN482">
        <f>(AP482 - AO482 + DI482*1E3/(8.314*(DK482+273.15)) * AR482/DH482 * AQ482) * DH482/(100*CV482) * 1000/(1000 - AP482)</f>
        <v>0</v>
      </c>
      <c r="AO482">
        <v>10.71865901868262</v>
      </c>
      <c r="AP482">
        <v>18.22465382352942</v>
      </c>
      <c r="AQ482">
        <v>-0.0001798007547567002</v>
      </c>
      <c r="AR482">
        <v>80.47178418790507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MAX(0,($B$13+$C$13*DP482)/(1+$D$13*DP482)*DI482/(DK482+273)*$E$13)</f>
        <v>0</v>
      </c>
      <c r="AX482" t="s">
        <v>417</v>
      </c>
      <c r="AY482" t="s">
        <v>417</v>
      </c>
      <c r="AZ482">
        <v>0</v>
      </c>
      <c r="BA482">
        <v>0</v>
      </c>
      <c r="BB482">
        <f>1-AZ482/BA482</f>
        <v>0</v>
      </c>
      <c r="BC482">
        <v>0</v>
      </c>
      <c r="BD482" t="s">
        <v>417</v>
      </c>
      <c r="BE482" t="s">
        <v>417</v>
      </c>
      <c r="BF482">
        <v>0</v>
      </c>
      <c r="BG482">
        <v>0</v>
      </c>
      <c r="BH482">
        <f>1-BF482/BG482</f>
        <v>0</v>
      </c>
      <c r="BI482">
        <v>0.5</v>
      </c>
      <c r="BJ482">
        <f>CS482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417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BZ482">
        <v>1249</v>
      </c>
      <c r="CA482">
        <v>300</v>
      </c>
      <c r="CB482">
        <v>300</v>
      </c>
      <c r="CC482">
        <v>300</v>
      </c>
      <c r="CD482">
        <v>10442.4</v>
      </c>
      <c r="CE482">
        <v>1239.69</v>
      </c>
      <c r="CF482">
        <v>-0.00735276</v>
      </c>
      <c r="CG482">
        <v>0.07000000000000001</v>
      </c>
      <c r="CH482" t="s">
        <v>417</v>
      </c>
      <c r="CI482" t="s">
        <v>417</v>
      </c>
      <c r="CJ482" t="s">
        <v>417</v>
      </c>
      <c r="CK482" t="s">
        <v>417</v>
      </c>
      <c r="CL482" t="s">
        <v>417</v>
      </c>
      <c r="CM482" t="s">
        <v>417</v>
      </c>
      <c r="CN482" t="s">
        <v>417</v>
      </c>
      <c r="CO482" t="s">
        <v>417</v>
      </c>
      <c r="CP482" t="s">
        <v>417</v>
      </c>
      <c r="CQ482" t="s">
        <v>417</v>
      </c>
      <c r="CR482">
        <f>$B$11*DQ482+$C$11*DR482+$F$11*EC482*(1-EF482)</f>
        <v>0</v>
      </c>
      <c r="CS482">
        <f>CR482*CT482</f>
        <v>0</v>
      </c>
      <c r="CT482">
        <f>($B$11*$D$9+$C$11*$D$9+$F$11*((EP482+EH482)/MAX(EP482+EH482+EQ482, 0.1)*$I$9+EQ482/MAX(EP482+EH482+EQ482, 0.1)*$J$9))/($B$11+$C$11+$F$11)</f>
        <v>0</v>
      </c>
      <c r="CU482">
        <f>($B$11*$K$9+$C$11*$K$9+$F$11*((EP482+EH482)/MAX(EP482+EH482+EQ482, 0.1)*$P$9+EQ482/MAX(EP482+EH482+EQ482, 0.1)*$Q$9))/($B$11+$C$11+$F$11)</f>
        <v>0</v>
      </c>
      <c r="CV482">
        <v>6</v>
      </c>
      <c r="CW482">
        <v>0.5</v>
      </c>
      <c r="CX482" t="s">
        <v>418</v>
      </c>
      <c r="CY482">
        <v>2</v>
      </c>
      <c r="CZ482" t="b">
        <v>1</v>
      </c>
      <c r="DA482">
        <v>1651866694</v>
      </c>
      <c r="DB482">
        <v>1400.13</v>
      </c>
      <c r="DC482">
        <v>1466.98</v>
      </c>
      <c r="DD482">
        <v>18.22553333333333</v>
      </c>
      <c r="DE482">
        <v>10.81886666666667</v>
      </c>
      <c r="DF482">
        <v>1402.813333333334</v>
      </c>
      <c r="DG482">
        <v>18.2068</v>
      </c>
      <c r="DH482">
        <v>500.049</v>
      </c>
      <c r="DI482">
        <v>89.91166666666668</v>
      </c>
      <c r="DJ482">
        <v>0.09985743333333334</v>
      </c>
      <c r="DK482">
        <v>25.89766666666667</v>
      </c>
      <c r="DL482">
        <v>25.031</v>
      </c>
      <c r="DM482">
        <v>999.9</v>
      </c>
      <c r="DN482">
        <v>0</v>
      </c>
      <c r="DO482">
        <v>0</v>
      </c>
      <c r="DP482">
        <v>10021.23333333333</v>
      </c>
      <c r="DQ482">
        <v>0</v>
      </c>
      <c r="DR482">
        <v>3.20383</v>
      </c>
      <c r="DS482">
        <v>-66.85023333333334</v>
      </c>
      <c r="DT482">
        <v>1426.123333333333</v>
      </c>
      <c r="DU482">
        <v>1483.026666666667</v>
      </c>
      <c r="DV482">
        <v>7.406643333333332</v>
      </c>
      <c r="DW482">
        <v>1466.98</v>
      </c>
      <c r="DX482">
        <v>10.81886666666667</v>
      </c>
      <c r="DY482">
        <v>1.638686666666667</v>
      </c>
      <c r="DZ482">
        <v>0.9727450000000001</v>
      </c>
      <c r="EA482">
        <v>14.3275</v>
      </c>
      <c r="EB482">
        <v>6.514413333333334</v>
      </c>
      <c r="EC482">
        <v>1500.06</v>
      </c>
      <c r="ED482">
        <v>0.9730036666666666</v>
      </c>
      <c r="EE482">
        <v>0.02699626666666667</v>
      </c>
      <c r="EF482">
        <v>0</v>
      </c>
      <c r="EG482">
        <v>886.3286666666667</v>
      </c>
      <c r="EH482">
        <v>5.00097</v>
      </c>
      <c r="EI482">
        <v>13178.1</v>
      </c>
      <c r="EJ482">
        <v>12492.1</v>
      </c>
      <c r="EK482">
        <v>37.437</v>
      </c>
      <c r="EL482">
        <v>38.812</v>
      </c>
      <c r="EM482">
        <v>37.875</v>
      </c>
      <c r="EN482">
        <v>38.437</v>
      </c>
      <c r="EO482">
        <v>38.312</v>
      </c>
      <c r="EP482">
        <v>1454.7</v>
      </c>
      <c r="EQ482">
        <v>40.36000000000001</v>
      </c>
      <c r="ER482">
        <v>0</v>
      </c>
      <c r="ES482">
        <v>1212.200000047684</v>
      </c>
      <c r="ET482">
        <v>0</v>
      </c>
      <c r="EU482">
        <v>887.50492</v>
      </c>
      <c r="EV482">
        <v>-10.28846152907318</v>
      </c>
      <c r="EW482">
        <v>-169.4846150176054</v>
      </c>
      <c r="EX482">
        <v>13196.132</v>
      </c>
      <c r="EY482">
        <v>15</v>
      </c>
      <c r="EZ482">
        <v>1651865518.1</v>
      </c>
      <c r="FA482" t="s">
        <v>910</v>
      </c>
      <c r="FB482">
        <v>1651865507.1</v>
      </c>
      <c r="FC482">
        <v>1651865518.1</v>
      </c>
      <c r="FD482">
        <v>8</v>
      </c>
      <c r="FE482">
        <v>0.06</v>
      </c>
      <c r="FF482">
        <v>0</v>
      </c>
      <c r="FG482">
        <v>-0.927</v>
      </c>
      <c r="FH482">
        <v>-0.062</v>
      </c>
      <c r="FI482">
        <v>400</v>
      </c>
      <c r="FJ482">
        <v>11</v>
      </c>
      <c r="FK482">
        <v>0.11</v>
      </c>
      <c r="FL482">
        <v>0.01</v>
      </c>
      <c r="FM482">
        <v>-66.87542926829269</v>
      </c>
      <c r="FN482">
        <v>-0.7056815331010056</v>
      </c>
      <c r="FO482">
        <v>0.1827664486527086</v>
      </c>
      <c r="FP482">
        <v>-1</v>
      </c>
      <c r="FQ482">
        <v>7.69624487804878</v>
      </c>
      <c r="FR482">
        <v>-1.841902787456436</v>
      </c>
      <c r="FS482">
        <v>0.181645383621051</v>
      </c>
      <c r="FT482">
        <v>-1</v>
      </c>
      <c r="FU482">
        <v>0</v>
      </c>
      <c r="FV482">
        <v>0</v>
      </c>
      <c r="FW482">
        <v>0</v>
      </c>
      <c r="FX482">
        <v>-1</v>
      </c>
      <c r="FY482">
        <v>0</v>
      </c>
      <c r="FZ482">
        <v>0</v>
      </c>
      <c r="GA482" t="s">
        <v>420</v>
      </c>
      <c r="GB482">
        <v>2.98169</v>
      </c>
      <c r="GC482">
        <v>2.7063</v>
      </c>
      <c r="GD482">
        <v>0.21188</v>
      </c>
      <c r="GE482">
        <v>0.215539</v>
      </c>
      <c r="GF482">
        <v>0.08737499999999999</v>
      </c>
      <c r="GG482">
        <v>0.0589455</v>
      </c>
      <c r="GH482">
        <v>24907.8</v>
      </c>
      <c r="GI482">
        <v>24845.1</v>
      </c>
      <c r="GJ482">
        <v>29381.3</v>
      </c>
      <c r="GK482">
        <v>29295.7</v>
      </c>
      <c r="GL482">
        <v>35505.7</v>
      </c>
      <c r="GM482">
        <v>36725.8</v>
      </c>
      <c r="GN482">
        <v>41354.8</v>
      </c>
      <c r="GO482">
        <v>41816.9</v>
      </c>
      <c r="GP482">
        <v>1.96625</v>
      </c>
      <c r="GQ482">
        <v>1.862</v>
      </c>
      <c r="GR482">
        <v>-0.00204891</v>
      </c>
      <c r="GS482">
        <v>0</v>
      </c>
      <c r="GT482">
        <v>25.0636</v>
      </c>
      <c r="GU482">
        <v>999.9</v>
      </c>
      <c r="GV482">
        <v>29.3</v>
      </c>
      <c r="GW482">
        <v>34.2</v>
      </c>
      <c r="GX482">
        <v>17.605</v>
      </c>
      <c r="GY482">
        <v>62.1876</v>
      </c>
      <c r="GZ482">
        <v>34.9599</v>
      </c>
      <c r="HA482">
        <v>1</v>
      </c>
      <c r="HB482">
        <v>0.0385595</v>
      </c>
      <c r="HC482">
        <v>1.91461</v>
      </c>
      <c r="HD482">
        <v>20.3238</v>
      </c>
      <c r="HE482">
        <v>5.21864</v>
      </c>
      <c r="HF482">
        <v>12.0099</v>
      </c>
      <c r="HG482">
        <v>4.9892</v>
      </c>
      <c r="HH482">
        <v>3.28848</v>
      </c>
      <c r="HI482">
        <v>1038.4</v>
      </c>
      <c r="HJ482">
        <v>9780.6</v>
      </c>
      <c r="HK482">
        <v>5139.4</v>
      </c>
      <c r="HL482">
        <v>25.4</v>
      </c>
      <c r="HM482">
        <v>1.86747</v>
      </c>
      <c r="HN482">
        <v>1.86646</v>
      </c>
      <c r="HO482">
        <v>1.866</v>
      </c>
      <c r="HP482">
        <v>1.86585</v>
      </c>
      <c r="HQ482">
        <v>1.86768</v>
      </c>
      <c r="HR482">
        <v>1.87018</v>
      </c>
      <c r="HS482">
        <v>1.8689</v>
      </c>
      <c r="HT482">
        <v>1.87022</v>
      </c>
      <c r="HU482">
        <v>0</v>
      </c>
      <c r="HV482">
        <v>0</v>
      </c>
      <c r="HW482">
        <v>0</v>
      </c>
      <c r="HX482">
        <v>0</v>
      </c>
      <c r="HY482" t="s">
        <v>421</v>
      </c>
      <c r="HZ482" t="s">
        <v>422</v>
      </c>
      <c r="IA482" t="s">
        <v>423</v>
      </c>
      <c r="IB482" t="s">
        <v>423</v>
      </c>
      <c r="IC482" t="s">
        <v>423</v>
      </c>
      <c r="ID482" t="s">
        <v>423</v>
      </c>
      <c r="IE482">
        <v>0</v>
      </c>
      <c r="IF482">
        <v>100</v>
      </c>
      <c r="IG482">
        <v>100</v>
      </c>
      <c r="IH482">
        <v>-2.69</v>
      </c>
      <c r="II482">
        <v>0.0187</v>
      </c>
      <c r="IJ482">
        <v>-0.1559367209035702</v>
      </c>
      <c r="IK482">
        <v>-0.002077099775823331</v>
      </c>
      <c r="IL482">
        <v>4.593143279902166E-07</v>
      </c>
      <c r="IM482">
        <v>-1.865383991892071E-10</v>
      </c>
      <c r="IN482">
        <v>-0.0607165066849496</v>
      </c>
      <c r="IO482">
        <v>-0.01129461987421345</v>
      </c>
      <c r="IP482">
        <v>0.00116580895745559</v>
      </c>
      <c r="IQ482">
        <v>-1.679085872906199E-05</v>
      </c>
      <c r="IR482">
        <v>2</v>
      </c>
      <c r="IS482">
        <v>2290</v>
      </c>
      <c r="IT482">
        <v>0</v>
      </c>
      <c r="IU482">
        <v>32</v>
      </c>
      <c r="IV482">
        <v>19.8</v>
      </c>
      <c r="IW482">
        <v>19.6</v>
      </c>
      <c r="IX482">
        <v>2.85645</v>
      </c>
      <c r="IY482">
        <v>2.18018</v>
      </c>
      <c r="IZ482">
        <v>1.39648</v>
      </c>
      <c r="JA482">
        <v>2.35474</v>
      </c>
      <c r="JB482">
        <v>1.49536</v>
      </c>
      <c r="JC482">
        <v>2.31323</v>
      </c>
      <c r="JD482">
        <v>38.0377</v>
      </c>
      <c r="JE482">
        <v>24.035</v>
      </c>
      <c r="JF482">
        <v>18</v>
      </c>
      <c r="JG482">
        <v>511.032</v>
      </c>
      <c r="JH482">
        <v>429.973</v>
      </c>
      <c r="JI482">
        <v>22.7908</v>
      </c>
      <c r="JJ482">
        <v>27.803</v>
      </c>
      <c r="JK482">
        <v>30</v>
      </c>
      <c r="JL482">
        <v>27.8065</v>
      </c>
      <c r="JM482">
        <v>27.751</v>
      </c>
      <c r="JN482">
        <v>57.2897</v>
      </c>
      <c r="JO482">
        <v>36.4076</v>
      </c>
      <c r="JP482">
        <v>0</v>
      </c>
      <c r="JQ482">
        <v>22.7567</v>
      </c>
      <c r="JR482">
        <v>1490.16</v>
      </c>
      <c r="JS482">
        <v>11.0884</v>
      </c>
      <c r="JT482">
        <v>100.43</v>
      </c>
      <c r="JU482">
        <v>100.361</v>
      </c>
    </row>
    <row r="483" spans="1:281">
      <c r="A483">
        <v>467</v>
      </c>
      <c r="B483">
        <v>1651866697</v>
      </c>
      <c r="C483">
        <v>2476.400000095367</v>
      </c>
      <c r="D483" t="s">
        <v>1357</v>
      </c>
      <c r="E483" t="s">
        <v>1358</v>
      </c>
      <c r="F483">
        <v>2</v>
      </c>
      <c r="G483" t="s">
        <v>908</v>
      </c>
      <c r="H483" t="s">
        <v>414</v>
      </c>
      <c r="I483">
        <v>1651866695.625</v>
      </c>
      <c r="J483">
        <f>(K483)/1000</f>
        <v>0</v>
      </c>
      <c r="K483">
        <f>IF(CZ483, AN483, AH483)</f>
        <v>0</v>
      </c>
      <c r="L483">
        <f>IF(CZ483, AI483, AG483)</f>
        <v>0</v>
      </c>
      <c r="M483">
        <f>DB483 - IF(AU483&gt;1, L483*CV483*100.0/(AW483*DP483), 0)</f>
        <v>0</v>
      </c>
      <c r="N483">
        <f>((T483-J483/2)*M483-L483)/(T483+J483/2)</f>
        <v>0</v>
      </c>
      <c r="O483">
        <f>N483*(DI483+DJ483)/1000.0</f>
        <v>0</v>
      </c>
      <c r="P483">
        <f>(DB483 - IF(AU483&gt;1, L483*CV483*100.0/(AW483*DP483), 0))*(DI483+DJ483)/1000.0</f>
        <v>0</v>
      </c>
      <c r="Q483">
        <f>2.0/((1/S483-1/R483)+SIGN(S483)*SQRT((1/S483-1/R483)*(1/S483-1/R483) + 4*CW483/((CW483+1)*(CW483+1))*(2*1/S483*1/R483-1/R483*1/R483)))</f>
        <v>0</v>
      </c>
      <c r="R483">
        <f>IF(LEFT(CX483,1)&lt;&gt;"0",IF(LEFT(CX483,1)="1",3.0,CY483),$D$5+$E$5*(DP483*DI483/($K$5*1000))+$F$5*(DP483*DI483/($K$5*1000))*MAX(MIN(CV483,$J$5),$I$5)*MAX(MIN(CV483,$J$5),$I$5)+$G$5*MAX(MIN(CV483,$J$5),$I$5)*(DP483*DI483/($K$5*1000))+$H$5*(DP483*DI483/($K$5*1000))*(DP483*DI483/($K$5*1000)))</f>
        <v>0</v>
      </c>
      <c r="S483">
        <f>J483*(1000-(1000*0.61365*exp(17.502*W483/(240.97+W483))/(DI483+DJ483)+DD483)/2)/(1000*0.61365*exp(17.502*W483/(240.97+W483))/(DI483+DJ483)-DD483)</f>
        <v>0</v>
      </c>
      <c r="T483">
        <f>1/((CW483+1)/(Q483/1.6)+1/(R483/1.37)) + CW483/((CW483+1)/(Q483/1.6) + CW483/(R483/1.37))</f>
        <v>0</v>
      </c>
      <c r="U483">
        <f>(CR483*CU483)</f>
        <v>0</v>
      </c>
      <c r="V483">
        <f>(DK483+(U483+2*0.95*5.67E-8*(((DK483+$B$7)+273)^4-(DK483+273)^4)-44100*J483)/(1.84*29.3*R483+8*0.95*5.67E-8*(DK483+273)^3))</f>
        <v>0</v>
      </c>
      <c r="W483">
        <f>($C$7*DL483+$D$7*DM483+$E$7*V483)</f>
        <v>0</v>
      </c>
      <c r="X483">
        <f>0.61365*exp(17.502*W483/(240.97+W483))</f>
        <v>0</v>
      </c>
      <c r="Y483">
        <f>(Z483/AA483*100)</f>
        <v>0</v>
      </c>
      <c r="Z483">
        <f>DD483*(DI483+DJ483)/1000</f>
        <v>0</v>
      </c>
      <c r="AA483">
        <f>0.61365*exp(17.502*DK483/(240.97+DK483))</f>
        <v>0</v>
      </c>
      <c r="AB483">
        <f>(X483-DD483*(DI483+DJ483)/1000)</f>
        <v>0</v>
      </c>
      <c r="AC483">
        <f>(-J483*44100)</f>
        <v>0</v>
      </c>
      <c r="AD483">
        <f>2*29.3*R483*0.92*(DK483-W483)</f>
        <v>0</v>
      </c>
      <c r="AE483">
        <f>2*0.95*5.67E-8*(((DK483+$B$7)+273)^4-(W483+273)^4)</f>
        <v>0</v>
      </c>
      <c r="AF483">
        <f>U483+AE483+AC483+AD483</f>
        <v>0</v>
      </c>
      <c r="AG483">
        <f>DH483*AU483*(DC483-DB483*(1000-AU483*DE483)/(1000-AU483*DD483))/(100*CV483)</f>
        <v>0</v>
      </c>
      <c r="AH483">
        <f>1000*DH483*AU483*(DD483-DE483)/(100*CV483*(1000-AU483*DD483))</f>
        <v>0</v>
      </c>
      <c r="AI483">
        <f>(AJ483 - AK483 - DI483*1E3/(8.314*(DK483+273.15)) * AM483/DH483 * AL483) * DH483/(100*CV483) * (1000 - DE483)/1000</f>
        <v>0</v>
      </c>
      <c r="AJ483">
        <v>1483.884324976557</v>
      </c>
      <c r="AK483">
        <v>1434.504242424242</v>
      </c>
      <c r="AL483">
        <v>3.350606568123438</v>
      </c>
      <c r="AM483">
        <v>66.38195617057868</v>
      </c>
      <c r="AN483">
        <f>(AP483 - AO483 + DI483*1E3/(8.314*(DK483+273.15)) * AR483/DH483 * AQ483) * DH483/(100*CV483) * 1000/(1000 - AP483)</f>
        <v>0</v>
      </c>
      <c r="AO483">
        <v>10.77636354051817</v>
      </c>
      <c r="AP483">
        <v>18.2172538235294</v>
      </c>
      <c r="AQ483">
        <v>-9.192718599492456E-05</v>
      </c>
      <c r="AR483">
        <v>80.47178418790507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MAX(0,($B$13+$C$13*DP483)/(1+$D$13*DP483)*DI483/(DK483+273)*$E$13)</f>
        <v>0</v>
      </c>
      <c r="AX483" t="s">
        <v>417</v>
      </c>
      <c r="AY483" t="s">
        <v>417</v>
      </c>
      <c r="AZ483">
        <v>0</v>
      </c>
      <c r="BA483">
        <v>0</v>
      </c>
      <c r="BB483">
        <f>1-AZ483/BA483</f>
        <v>0</v>
      </c>
      <c r="BC483">
        <v>0</v>
      </c>
      <c r="BD483" t="s">
        <v>417</v>
      </c>
      <c r="BE483" t="s">
        <v>417</v>
      </c>
      <c r="BF483">
        <v>0</v>
      </c>
      <c r="BG483">
        <v>0</v>
      </c>
      <c r="BH483">
        <f>1-BF483/BG483</f>
        <v>0</v>
      </c>
      <c r="BI483">
        <v>0.5</v>
      </c>
      <c r="BJ483">
        <f>CS483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417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BZ483">
        <v>1249</v>
      </c>
      <c r="CA483">
        <v>300</v>
      </c>
      <c r="CB483">
        <v>300</v>
      </c>
      <c r="CC483">
        <v>300</v>
      </c>
      <c r="CD483">
        <v>10442.4</v>
      </c>
      <c r="CE483">
        <v>1239.69</v>
      </c>
      <c r="CF483">
        <v>-0.00735276</v>
      </c>
      <c r="CG483">
        <v>0.07000000000000001</v>
      </c>
      <c r="CH483" t="s">
        <v>417</v>
      </c>
      <c r="CI483" t="s">
        <v>417</v>
      </c>
      <c r="CJ483" t="s">
        <v>417</v>
      </c>
      <c r="CK483" t="s">
        <v>417</v>
      </c>
      <c r="CL483" t="s">
        <v>417</v>
      </c>
      <c r="CM483" t="s">
        <v>417</v>
      </c>
      <c r="CN483" t="s">
        <v>417</v>
      </c>
      <c r="CO483" t="s">
        <v>417</v>
      </c>
      <c r="CP483" t="s">
        <v>417</v>
      </c>
      <c r="CQ483" t="s">
        <v>417</v>
      </c>
      <c r="CR483">
        <f>$B$11*DQ483+$C$11*DR483+$F$11*EC483*(1-EF483)</f>
        <v>0</v>
      </c>
      <c r="CS483">
        <f>CR483*CT483</f>
        <v>0</v>
      </c>
      <c r="CT483">
        <f>($B$11*$D$9+$C$11*$D$9+$F$11*((EP483+EH483)/MAX(EP483+EH483+EQ483, 0.1)*$I$9+EQ483/MAX(EP483+EH483+EQ483, 0.1)*$J$9))/($B$11+$C$11+$F$11)</f>
        <v>0</v>
      </c>
      <c r="CU483">
        <f>($B$11*$K$9+$C$11*$K$9+$F$11*((EP483+EH483)/MAX(EP483+EH483+EQ483, 0.1)*$P$9+EQ483/MAX(EP483+EH483+EQ483, 0.1)*$Q$9))/($B$11+$C$11+$F$11)</f>
        <v>0</v>
      </c>
      <c r="CV483">
        <v>6</v>
      </c>
      <c r="CW483">
        <v>0.5</v>
      </c>
      <c r="CX483" t="s">
        <v>418</v>
      </c>
      <c r="CY483">
        <v>2</v>
      </c>
      <c r="CZ483" t="b">
        <v>1</v>
      </c>
      <c r="DA483">
        <v>1651866695.625</v>
      </c>
      <c r="DB483">
        <v>1405.495</v>
      </c>
      <c r="DC483">
        <v>1472.6925</v>
      </c>
      <c r="DD483">
        <v>18.219925</v>
      </c>
      <c r="DE483">
        <v>10.864925</v>
      </c>
      <c r="DF483">
        <v>1408.185</v>
      </c>
      <c r="DG483">
        <v>18.20125</v>
      </c>
      <c r="DH483">
        <v>500.08025</v>
      </c>
      <c r="DI483">
        <v>89.91115000000001</v>
      </c>
      <c r="DJ483">
        <v>0.09994652499999999</v>
      </c>
      <c r="DK483">
        <v>25.89475</v>
      </c>
      <c r="DL483">
        <v>25.030425</v>
      </c>
      <c r="DM483">
        <v>999.9</v>
      </c>
      <c r="DN483">
        <v>0</v>
      </c>
      <c r="DO483">
        <v>0</v>
      </c>
      <c r="DP483">
        <v>10006.5575</v>
      </c>
      <c r="DQ483">
        <v>0</v>
      </c>
      <c r="DR483">
        <v>3.20383</v>
      </c>
      <c r="DS483">
        <v>-67.1974</v>
      </c>
      <c r="DT483">
        <v>1431.575</v>
      </c>
      <c r="DU483">
        <v>1488.865</v>
      </c>
      <c r="DV483">
        <v>7.354995000000001</v>
      </c>
      <c r="DW483">
        <v>1472.6925</v>
      </c>
      <c r="DX483">
        <v>10.864925</v>
      </c>
      <c r="DY483">
        <v>1.638175</v>
      </c>
      <c r="DZ483">
        <v>0.97687725</v>
      </c>
      <c r="EA483">
        <v>14.32265</v>
      </c>
      <c r="EB483">
        <v>6.57597</v>
      </c>
      <c r="EC483">
        <v>1500.0075</v>
      </c>
      <c r="ED483">
        <v>0.97300425</v>
      </c>
      <c r="EE483">
        <v>0.0269956</v>
      </c>
      <c r="EF483">
        <v>0</v>
      </c>
      <c r="EG483">
        <v>886.019</v>
      </c>
      <c r="EH483">
        <v>5.00097</v>
      </c>
      <c r="EI483">
        <v>13173.475</v>
      </c>
      <c r="EJ483">
        <v>12491.625</v>
      </c>
      <c r="EK483">
        <v>37.437</v>
      </c>
      <c r="EL483">
        <v>38.812</v>
      </c>
      <c r="EM483">
        <v>37.875</v>
      </c>
      <c r="EN483">
        <v>38.437</v>
      </c>
      <c r="EO483">
        <v>38.35925</v>
      </c>
      <c r="EP483">
        <v>1454.65</v>
      </c>
      <c r="EQ483">
        <v>40.3575</v>
      </c>
      <c r="ER483">
        <v>0</v>
      </c>
      <c r="ES483">
        <v>1214.600000143051</v>
      </c>
      <c r="ET483">
        <v>0</v>
      </c>
      <c r="EU483">
        <v>887.0631999999999</v>
      </c>
      <c r="EV483">
        <v>-10.82138460693633</v>
      </c>
      <c r="EW483">
        <v>-169.9461534972473</v>
      </c>
      <c r="EX483">
        <v>13189.22</v>
      </c>
      <c r="EY483">
        <v>15</v>
      </c>
      <c r="EZ483">
        <v>1651865518.1</v>
      </c>
      <c r="FA483" t="s">
        <v>910</v>
      </c>
      <c r="FB483">
        <v>1651865507.1</v>
      </c>
      <c r="FC483">
        <v>1651865518.1</v>
      </c>
      <c r="FD483">
        <v>8</v>
      </c>
      <c r="FE483">
        <v>0.06</v>
      </c>
      <c r="FF483">
        <v>0</v>
      </c>
      <c r="FG483">
        <v>-0.927</v>
      </c>
      <c r="FH483">
        <v>-0.062</v>
      </c>
      <c r="FI483">
        <v>400</v>
      </c>
      <c r="FJ483">
        <v>11</v>
      </c>
      <c r="FK483">
        <v>0.11</v>
      </c>
      <c r="FL483">
        <v>0.01</v>
      </c>
      <c r="FM483">
        <v>-66.93068500000001</v>
      </c>
      <c r="FN483">
        <v>-0.5902198874294708</v>
      </c>
      <c r="FO483">
        <v>0.1740100134331351</v>
      </c>
      <c r="FP483">
        <v>-1</v>
      </c>
      <c r="FQ483">
        <v>7.64276375</v>
      </c>
      <c r="FR483">
        <v>-1.844282138836804</v>
      </c>
      <c r="FS483">
        <v>0.1774424513143275</v>
      </c>
      <c r="FT483">
        <v>-1</v>
      </c>
      <c r="FU483">
        <v>0</v>
      </c>
      <c r="FV483">
        <v>0</v>
      </c>
      <c r="FW483">
        <v>0</v>
      </c>
      <c r="FX483">
        <v>-1</v>
      </c>
      <c r="FY483">
        <v>0</v>
      </c>
      <c r="FZ483">
        <v>0</v>
      </c>
      <c r="GA483" t="s">
        <v>420</v>
      </c>
      <c r="GB483">
        <v>2.98164</v>
      </c>
      <c r="GC483">
        <v>2.7061</v>
      </c>
      <c r="GD483">
        <v>0.212489</v>
      </c>
      <c r="GE483">
        <v>0.216147</v>
      </c>
      <c r="GF483">
        <v>0.0873493</v>
      </c>
      <c r="GG483">
        <v>0.059206</v>
      </c>
      <c r="GH483">
        <v>24888.1</v>
      </c>
      <c r="GI483">
        <v>24825.7</v>
      </c>
      <c r="GJ483">
        <v>29380.8</v>
      </c>
      <c r="GK483">
        <v>29295.5</v>
      </c>
      <c r="GL483">
        <v>35506.1</v>
      </c>
      <c r="GM483">
        <v>36715.5</v>
      </c>
      <c r="GN483">
        <v>41354</v>
      </c>
      <c r="GO483">
        <v>41816.7</v>
      </c>
      <c r="GP483">
        <v>1.966</v>
      </c>
      <c r="GQ483">
        <v>1.86213</v>
      </c>
      <c r="GR483">
        <v>-0.00219792</v>
      </c>
      <c r="GS483">
        <v>0</v>
      </c>
      <c r="GT483">
        <v>25.0632</v>
      </c>
      <c r="GU483">
        <v>999.9</v>
      </c>
      <c r="GV483">
        <v>29.3</v>
      </c>
      <c r="GW483">
        <v>34.2</v>
      </c>
      <c r="GX483">
        <v>17.6073</v>
      </c>
      <c r="GY483">
        <v>62.4976</v>
      </c>
      <c r="GZ483">
        <v>34.996</v>
      </c>
      <c r="HA483">
        <v>1</v>
      </c>
      <c r="HB483">
        <v>0.0385518</v>
      </c>
      <c r="HC483">
        <v>1.92904</v>
      </c>
      <c r="HD483">
        <v>20.3235</v>
      </c>
      <c r="HE483">
        <v>5.21879</v>
      </c>
      <c r="HF483">
        <v>12.0099</v>
      </c>
      <c r="HG483">
        <v>4.98925</v>
      </c>
      <c r="HH483">
        <v>3.28855</v>
      </c>
      <c r="HI483">
        <v>1038.4</v>
      </c>
      <c r="HJ483">
        <v>9780.6</v>
      </c>
      <c r="HK483">
        <v>5139.4</v>
      </c>
      <c r="HL483">
        <v>25.4</v>
      </c>
      <c r="HM483">
        <v>1.86745</v>
      </c>
      <c r="HN483">
        <v>1.86646</v>
      </c>
      <c r="HO483">
        <v>1.866</v>
      </c>
      <c r="HP483">
        <v>1.86584</v>
      </c>
      <c r="HQ483">
        <v>1.86769</v>
      </c>
      <c r="HR483">
        <v>1.87018</v>
      </c>
      <c r="HS483">
        <v>1.8689</v>
      </c>
      <c r="HT483">
        <v>1.87021</v>
      </c>
      <c r="HU483">
        <v>0</v>
      </c>
      <c r="HV483">
        <v>0</v>
      </c>
      <c r="HW483">
        <v>0</v>
      </c>
      <c r="HX483">
        <v>0</v>
      </c>
      <c r="HY483" t="s">
        <v>421</v>
      </c>
      <c r="HZ483" t="s">
        <v>422</v>
      </c>
      <c r="IA483" t="s">
        <v>423</v>
      </c>
      <c r="IB483" t="s">
        <v>423</v>
      </c>
      <c r="IC483" t="s">
        <v>423</v>
      </c>
      <c r="ID483" t="s">
        <v>423</v>
      </c>
      <c r="IE483">
        <v>0</v>
      </c>
      <c r="IF483">
        <v>100</v>
      </c>
      <c r="IG483">
        <v>100</v>
      </c>
      <c r="IH483">
        <v>-2.7</v>
      </c>
      <c r="II483">
        <v>0.0186</v>
      </c>
      <c r="IJ483">
        <v>-0.1559367209035702</v>
      </c>
      <c r="IK483">
        <v>-0.002077099775823331</v>
      </c>
      <c r="IL483">
        <v>4.593143279902166E-07</v>
      </c>
      <c r="IM483">
        <v>-1.865383991892071E-10</v>
      </c>
      <c r="IN483">
        <v>-0.0607165066849496</v>
      </c>
      <c r="IO483">
        <v>-0.01129461987421345</v>
      </c>
      <c r="IP483">
        <v>0.00116580895745559</v>
      </c>
      <c r="IQ483">
        <v>-1.679085872906199E-05</v>
      </c>
      <c r="IR483">
        <v>2</v>
      </c>
      <c r="IS483">
        <v>2290</v>
      </c>
      <c r="IT483">
        <v>0</v>
      </c>
      <c r="IU483">
        <v>32</v>
      </c>
      <c r="IV483">
        <v>19.8</v>
      </c>
      <c r="IW483">
        <v>19.6</v>
      </c>
      <c r="IX483">
        <v>2.86743</v>
      </c>
      <c r="IY483">
        <v>2.17651</v>
      </c>
      <c r="IZ483">
        <v>1.39648</v>
      </c>
      <c r="JA483">
        <v>2.35474</v>
      </c>
      <c r="JB483">
        <v>1.49536</v>
      </c>
      <c r="JC483">
        <v>2.29492</v>
      </c>
      <c r="JD483">
        <v>38.0377</v>
      </c>
      <c r="JE483">
        <v>24.035</v>
      </c>
      <c r="JF483">
        <v>18</v>
      </c>
      <c r="JG483">
        <v>510.87</v>
      </c>
      <c r="JH483">
        <v>430.042</v>
      </c>
      <c r="JI483">
        <v>22.7768</v>
      </c>
      <c r="JJ483">
        <v>27.8018</v>
      </c>
      <c r="JK483">
        <v>30</v>
      </c>
      <c r="JL483">
        <v>27.8065</v>
      </c>
      <c r="JM483">
        <v>27.7503</v>
      </c>
      <c r="JN483">
        <v>57.5031</v>
      </c>
      <c r="JO483">
        <v>36.1221</v>
      </c>
      <c r="JP483">
        <v>0</v>
      </c>
      <c r="JQ483">
        <v>22.7567</v>
      </c>
      <c r="JR483">
        <v>1496.83</v>
      </c>
      <c r="JS483">
        <v>11.1458</v>
      </c>
      <c r="JT483">
        <v>100.429</v>
      </c>
      <c r="JU483">
        <v>100.36</v>
      </c>
    </row>
    <row r="484" spans="1:281">
      <c r="A484">
        <v>468</v>
      </c>
      <c r="B484">
        <v>1651866699</v>
      </c>
      <c r="C484">
        <v>2478.400000095367</v>
      </c>
      <c r="D484" t="s">
        <v>1359</v>
      </c>
      <c r="E484" t="s">
        <v>1360</v>
      </c>
      <c r="F484">
        <v>2</v>
      </c>
      <c r="G484" t="s">
        <v>908</v>
      </c>
      <c r="H484" t="s">
        <v>414</v>
      </c>
      <c r="I484">
        <v>1651866698</v>
      </c>
      <c r="J484">
        <f>(K484)/1000</f>
        <v>0</v>
      </c>
      <c r="K484">
        <f>IF(CZ484, AN484, AH484)</f>
        <v>0</v>
      </c>
      <c r="L484">
        <f>IF(CZ484, AI484, AG484)</f>
        <v>0</v>
      </c>
      <c r="M484">
        <f>DB484 - IF(AU484&gt;1, L484*CV484*100.0/(AW484*DP484), 0)</f>
        <v>0</v>
      </c>
      <c r="N484">
        <f>((T484-J484/2)*M484-L484)/(T484+J484/2)</f>
        <v>0</v>
      </c>
      <c r="O484">
        <f>N484*(DI484+DJ484)/1000.0</f>
        <v>0</v>
      </c>
      <c r="P484">
        <f>(DB484 - IF(AU484&gt;1, L484*CV484*100.0/(AW484*DP484), 0))*(DI484+DJ484)/1000.0</f>
        <v>0</v>
      </c>
      <c r="Q484">
        <f>2.0/((1/S484-1/R484)+SIGN(S484)*SQRT((1/S484-1/R484)*(1/S484-1/R484) + 4*CW484/((CW484+1)*(CW484+1))*(2*1/S484*1/R484-1/R484*1/R484)))</f>
        <v>0</v>
      </c>
      <c r="R484">
        <f>IF(LEFT(CX484,1)&lt;&gt;"0",IF(LEFT(CX484,1)="1",3.0,CY484),$D$5+$E$5*(DP484*DI484/($K$5*1000))+$F$5*(DP484*DI484/($K$5*1000))*MAX(MIN(CV484,$J$5),$I$5)*MAX(MIN(CV484,$J$5),$I$5)+$G$5*MAX(MIN(CV484,$J$5),$I$5)*(DP484*DI484/($K$5*1000))+$H$5*(DP484*DI484/($K$5*1000))*(DP484*DI484/($K$5*1000)))</f>
        <v>0</v>
      </c>
      <c r="S484">
        <f>J484*(1000-(1000*0.61365*exp(17.502*W484/(240.97+W484))/(DI484+DJ484)+DD484)/2)/(1000*0.61365*exp(17.502*W484/(240.97+W484))/(DI484+DJ484)-DD484)</f>
        <v>0</v>
      </c>
      <c r="T484">
        <f>1/((CW484+1)/(Q484/1.6)+1/(R484/1.37)) + CW484/((CW484+1)/(Q484/1.6) + CW484/(R484/1.37))</f>
        <v>0</v>
      </c>
      <c r="U484">
        <f>(CR484*CU484)</f>
        <v>0</v>
      </c>
      <c r="V484">
        <f>(DK484+(U484+2*0.95*5.67E-8*(((DK484+$B$7)+273)^4-(DK484+273)^4)-44100*J484)/(1.84*29.3*R484+8*0.95*5.67E-8*(DK484+273)^3))</f>
        <v>0</v>
      </c>
      <c r="W484">
        <f>($C$7*DL484+$D$7*DM484+$E$7*V484)</f>
        <v>0</v>
      </c>
      <c r="X484">
        <f>0.61365*exp(17.502*W484/(240.97+W484))</f>
        <v>0</v>
      </c>
      <c r="Y484">
        <f>(Z484/AA484*100)</f>
        <v>0</v>
      </c>
      <c r="Z484">
        <f>DD484*(DI484+DJ484)/1000</f>
        <v>0</v>
      </c>
      <c r="AA484">
        <f>0.61365*exp(17.502*DK484/(240.97+DK484))</f>
        <v>0</v>
      </c>
      <c r="AB484">
        <f>(X484-DD484*(DI484+DJ484)/1000)</f>
        <v>0</v>
      </c>
      <c r="AC484">
        <f>(-J484*44100)</f>
        <v>0</v>
      </c>
      <c r="AD484">
        <f>2*29.3*R484*0.92*(DK484-W484)</f>
        <v>0</v>
      </c>
      <c r="AE484">
        <f>2*0.95*5.67E-8*(((DK484+$B$7)+273)^4-(W484+273)^4)</f>
        <v>0</v>
      </c>
      <c r="AF484">
        <f>U484+AE484+AC484+AD484</f>
        <v>0</v>
      </c>
      <c r="AG484">
        <f>DH484*AU484*(DC484-DB484*(1000-AU484*DE484)/(1000-AU484*DD484))/(100*CV484)</f>
        <v>0</v>
      </c>
      <c r="AH484">
        <f>1000*DH484*AU484*(DD484-DE484)/(100*CV484*(1000-AU484*DD484))</f>
        <v>0</v>
      </c>
      <c r="AI484">
        <f>(AJ484 - AK484 - DI484*1E3/(8.314*(DK484+273.15)) * AM484/DH484 * AL484) * DH484/(100*CV484) * (1000 - DE484)/1000</f>
        <v>0</v>
      </c>
      <c r="AJ484">
        <v>1491.030584824325</v>
      </c>
      <c r="AK484">
        <v>1441.356909090909</v>
      </c>
      <c r="AL484">
        <v>3.396614663029817</v>
      </c>
      <c r="AM484">
        <v>66.38195617057868</v>
      </c>
      <c r="AN484">
        <f>(AP484 - AO484 + DI484*1E3/(8.314*(DK484+273.15)) * AR484/DH484 * AQ484) * DH484/(100*CV484) * 1000/(1000 - AP484)</f>
        <v>0</v>
      </c>
      <c r="AO484">
        <v>10.83139350028184</v>
      </c>
      <c r="AP484">
        <v>18.20823676470589</v>
      </c>
      <c r="AQ484">
        <v>-8.676900432188012E-05</v>
      </c>
      <c r="AR484">
        <v>80.47178418790507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MAX(0,($B$13+$C$13*DP484)/(1+$D$13*DP484)*DI484/(DK484+273)*$E$13)</f>
        <v>0</v>
      </c>
      <c r="AX484" t="s">
        <v>417</v>
      </c>
      <c r="AY484" t="s">
        <v>417</v>
      </c>
      <c r="AZ484">
        <v>0</v>
      </c>
      <c r="BA484">
        <v>0</v>
      </c>
      <c r="BB484">
        <f>1-AZ484/BA484</f>
        <v>0</v>
      </c>
      <c r="BC484">
        <v>0</v>
      </c>
      <c r="BD484" t="s">
        <v>417</v>
      </c>
      <c r="BE484" t="s">
        <v>417</v>
      </c>
      <c r="BF484">
        <v>0</v>
      </c>
      <c r="BG484">
        <v>0</v>
      </c>
      <c r="BH484">
        <f>1-BF484/BG484</f>
        <v>0</v>
      </c>
      <c r="BI484">
        <v>0.5</v>
      </c>
      <c r="BJ484">
        <f>CS484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417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BZ484">
        <v>1249</v>
      </c>
      <c r="CA484">
        <v>300</v>
      </c>
      <c r="CB484">
        <v>300</v>
      </c>
      <c r="CC484">
        <v>300</v>
      </c>
      <c r="CD484">
        <v>10442.4</v>
      </c>
      <c r="CE484">
        <v>1239.69</v>
      </c>
      <c r="CF484">
        <v>-0.00735276</v>
      </c>
      <c r="CG484">
        <v>0.07000000000000001</v>
      </c>
      <c r="CH484" t="s">
        <v>417</v>
      </c>
      <c r="CI484" t="s">
        <v>417</v>
      </c>
      <c r="CJ484" t="s">
        <v>417</v>
      </c>
      <c r="CK484" t="s">
        <v>417</v>
      </c>
      <c r="CL484" t="s">
        <v>417</v>
      </c>
      <c r="CM484" t="s">
        <v>417</v>
      </c>
      <c r="CN484" t="s">
        <v>417</v>
      </c>
      <c r="CO484" t="s">
        <v>417</v>
      </c>
      <c r="CP484" t="s">
        <v>417</v>
      </c>
      <c r="CQ484" t="s">
        <v>417</v>
      </c>
      <c r="CR484">
        <f>$B$11*DQ484+$C$11*DR484+$F$11*EC484*(1-EF484)</f>
        <v>0</v>
      </c>
      <c r="CS484">
        <f>CR484*CT484</f>
        <v>0</v>
      </c>
      <c r="CT484">
        <f>($B$11*$D$9+$C$11*$D$9+$F$11*((EP484+EH484)/MAX(EP484+EH484+EQ484, 0.1)*$I$9+EQ484/MAX(EP484+EH484+EQ484, 0.1)*$J$9))/($B$11+$C$11+$F$11)</f>
        <v>0</v>
      </c>
      <c r="CU484">
        <f>($B$11*$K$9+$C$11*$K$9+$F$11*((EP484+EH484)/MAX(EP484+EH484+EQ484, 0.1)*$P$9+EQ484/MAX(EP484+EH484+EQ484, 0.1)*$Q$9))/($B$11+$C$11+$F$11)</f>
        <v>0</v>
      </c>
      <c r="CV484">
        <v>6</v>
      </c>
      <c r="CW484">
        <v>0.5</v>
      </c>
      <c r="CX484" t="s">
        <v>418</v>
      </c>
      <c r="CY484">
        <v>2</v>
      </c>
      <c r="CZ484" t="b">
        <v>1</v>
      </c>
      <c r="DA484">
        <v>1651866698</v>
      </c>
      <c r="DB484">
        <v>1413.43</v>
      </c>
      <c r="DC484">
        <v>1480.55</v>
      </c>
      <c r="DD484">
        <v>18.21063333333333</v>
      </c>
      <c r="DE484">
        <v>10.94596666666667</v>
      </c>
      <c r="DF484">
        <v>1416.14</v>
      </c>
      <c r="DG484">
        <v>18.1921</v>
      </c>
      <c r="DH484">
        <v>500.0463333333334</v>
      </c>
      <c r="DI484">
        <v>89.91073333333334</v>
      </c>
      <c r="DJ484">
        <v>0.1000069333333333</v>
      </c>
      <c r="DK484">
        <v>25.8926</v>
      </c>
      <c r="DL484">
        <v>25.03033333333333</v>
      </c>
      <c r="DM484">
        <v>999.9</v>
      </c>
      <c r="DN484">
        <v>0</v>
      </c>
      <c r="DO484">
        <v>0</v>
      </c>
      <c r="DP484">
        <v>9997.5</v>
      </c>
      <c r="DQ484">
        <v>0</v>
      </c>
      <c r="DR484">
        <v>3.20383</v>
      </c>
      <c r="DS484">
        <v>-67.11703333333334</v>
      </c>
      <c r="DT484">
        <v>1439.646666666667</v>
      </c>
      <c r="DU484">
        <v>1496.933333333333</v>
      </c>
      <c r="DV484">
        <v>7.264689999999999</v>
      </c>
      <c r="DW484">
        <v>1480.55</v>
      </c>
      <c r="DX484">
        <v>10.94596666666667</v>
      </c>
      <c r="DY484">
        <v>1.637333333333333</v>
      </c>
      <c r="DZ484">
        <v>0.9841596666666667</v>
      </c>
      <c r="EA484">
        <v>14.31473333333333</v>
      </c>
      <c r="EB484">
        <v>6.683946666666666</v>
      </c>
      <c r="EC484">
        <v>1500.133333333333</v>
      </c>
      <c r="ED484">
        <v>0.9730086666666665</v>
      </c>
      <c r="EE484">
        <v>0.0269913</v>
      </c>
      <c r="EF484">
        <v>0</v>
      </c>
      <c r="EG484">
        <v>885.6550000000001</v>
      </c>
      <c r="EH484">
        <v>5.00097</v>
      </c>
      <c r="EI484">
        <v>13168.56666666667</v>
      </c>
      <c r="EJ484">
        <v>12492.73333333333</v>
      </c>
      <c r="EK484">
        <v>37.437</v>
      </c>
      <c r="EL484">
        <v>38.812</v>
      </c>
      <c r="EM484">
        <v>37.854</v>
      </c>
      <c r="EN484">
        <v>38.437</v>
      </c>
      <c r="EO484">
        <v>38.312</v>
      </c>
      <c r="EP484">
        <v>1454.776666666667</v>
      </c>
      <c r="EQ484">
        <v>40.35666666666666</v>
      </c>
      <c r="ER484">
        <v>0</v>
      </c>
      <c r="ES484">
        <v>1216.400000095367</v>
      </c>
      <c r="ET484">
        <v>0</v>
      </c>
      <c r="EU484">
        <v>886.8088846153846</v>
      </c>
      <c r="EV484">
        <v>-11.42300856738946</v>
      </c>
      <c r="EW484">
        <v>-167.0700855033258</v>
      </c>
      <c r="EX484">
        <v>13185.05384615385</v>
      </c>
      <c r="EY484">
        <v>15</v>
      </c>
      <c r="EZ484">
        <v>1651865518.1</v>
      </c>
      <c r="FA484" t="s">
        <v>910</v>
      </c>
      <c r="FB484">
        <v>1651865507.1</v>
      </c>
      <c r="FC484">
        <v>1651865518.1</v>
      </c>
      <c r="FD484">
        <v>8</v>
      </c>
      <c r="FE484">
        <v>0.06</v>
      </c>
      <c r="FF484">
        <v>0</v>
      </c>
      <c r="FG484">
        <v>-0.927</v>
      </c>
      <c r="FH484">
        <v>-0.062</v>
      </c>
      <c r="FI484">
        <v>400</v>
      </c>
      <c r="FJ484">
        <v>11</v>
      </c>
      <c r="FK484">
        <v>0.11</v>
      </c>
      <c r="FL484">
        <v>0.01</v>
      </c>
      <c r="FM484">
        <v>-66.96150487804877</v>
      </c>
      <c r="FN484">
        <v>-1.033367247386872</v>
      </c>
      <c r="FO484">
        <v>0.1955065028563788</v>
      </c>
      <c r="FP484">
        <v>-1</v>
      </c>
      <c r="FQ484">
        <v>7.572083414634148</v>
      </c>
      <c r="FR484">
        <v>-1.867629198606271</v>
      </c>
      <c r="FS484">
        <v>0.1842222042390161</v>
      </c>
      <c r="FT484">
        <v>-1</v>
      </c>
      <c r="FU484">
        <v>0</v>
      </c>
      <c r="FV484">
        <v>0</v>
      </c>
      <c r="FW484">
        <v>0</v>
      </c>
      <c r="FX484">
        <v>-1</v>
      </c>
      <c r="FY484">
        <v>0</v>
      </c>
      <c r="FZ484">
        <v>0</v>
      </c>
      <c r="GA484" t="s">
        <v>420</v>
      </c>
      <c r="GB484">
        <v>2.98143</v>
      </c>
      <c r="GC484">
        <v>2.70617</v>
      </c>
      <c r="GD484">
        <v>0.213111</v>
      </c>
      <c r="GE484">
        <v>0.216714</v>
      </c>
      <c r="GF484">
        <v>0.08733539999999999</v>
      </c>
      <c r="GG484">
        <v>0.0594884</v>
      </c>
      <c r="GH484">
        <v>24868.5</v>
      </c>
      <c r="GI484">
        <v>24807.5</v>
      </c>
      <c r="GJ484">
        <v>29380.9</v>
      </c>
      <c r="GK484">
        <v>29295.3</v>
      </c>
      <c r="GL484">
        <v>35506.8</v>
      </c>
      <c r="GM484">
        <v>36704.1</v>
      </c>
      <c r="GN484">
        <v>41354.2</v>
      </c>
      <c r="GO484">
        <v>41816.3</v>
      </c>
      <c r="GP484">
        <v>1.96592</v>
      </c>
      <c r="GQ484">
        <v>1.86215</v>
      </c>
      <c r="GR484">
        <v>-0.00156462</v>
      </c>
      <c r="GS484">
        <v>0</v>
      </c>
      <c r="GT484">
        <v>25.0621</v>
      </c>
      <c r="GU484">
        <v>999.9</v>
      </c>
      <c r="GV484">
        <v>29.3</v>
      </c>
      <c r="GW484">
        <v>34.2</v>
      </c>
      <c r="GX484">
        <v>17.6071</v>
      </c>
      <c r="GY484">
        <v>62.5676</v>
      </c>
      <c r="GZ484">
        <v>35.3606</v>
      </c>
      <c r="HA484">
        <v>1</v>
      </c>
      <c r="HB484">
        <v>0.0385061</v>
      </c>
      <c r="HC484">
        <v>1.94658</v>
      </c>
      <c r="HD484">
        <v>20.3233</v>
      </c>
      <c r="HE484">
        <v>5.21864</v>
      </c>
      <c r="HF484">
        <v>12.0099</v>
      </c>
      <c r="HG484">
        <v>4.989</v>
      </c>
      <c r="HH484">
        <v>3.28855</v>
      </c>
      <c r="HI484">
        <v>1038.4</v>
      </c>
      <c r="HJ484">
        <v>9780.6</v>
      </c>
      <c r="HK484">
        <v>5139.4</v>
      </c>
      <c r="HL484">
        <v>25.4</v>
      </c>
      <c r="HM484">
        <v>1.86742</v>
      </c>
      <c r="HN484">
        <v>1.86646</v>
      </c>
      <c r="HO484">
        <v>1.866</v>
      </c>
      <c r="HP484">
        <v>1.86584</v>
      </c>
      <c r="HQ484">
        <v>1.86769</v>
      </c>
      <c r="HR484">
        <v>1.87018</v>
      </c>
      <c r="HS484">
        <v>1.8689</v>
      </c>
      <c r="HT484">
        <v>1.87022</v>
      </c>
      <c r="HU484">
        <v>0</v>
      </c>
      <c r="HV484">
        <v>0</v>
      </c>
      <c r="HW484">
        <v>0</v>
      </c>
      <c r="HX484">
        <v>0</v>
      </c>
      <c r="HY484" t="s">
        <v>421</v>
      </c>
      <c r="HZ484" t="s">
        <v>422</v>
      </c>
      <c r="IA484" t="s">
        <v>423</v>
      </c>
      <c r="IB484" t="s">
        <v>423</v>
      </c>
      <c r="IC484" t="s">
        <v>423</v>
      </c>
      <c r="ID484" t="s">
        <v>423</v>
      </c>
      <c r="IE484">
        <v>0</v>
      </c>
      <c r="IF484">
        <v>100</v>
      </c>
      <c r="IG484">
        <v>100</v>
      </c>
      <c r="IH484">
        <v>-2.71</v>
      </c>
      <c r="II484">
        <v>0.0185</v>
      </c>
      <c r="IJ484">
        <v>-0.1559367209035702</v>
      </c>
      <c r="IK484">
        <v>-0.002077099775823331</v>
      </c>
      <c r="IL484">
        <v>4.593143279902166E-07</v>
      </c>
      <c r="IM484">
        <v>-1.865383991892071E-10</v>
      </c>
      <c r="IN484">
        <v>-0.0607165066849496</v>
      </c>
      <c r="IO484">
        <v>-0.01129461987421345</v>
      </c>
      <c r="IP484">
        <v>0.00116580895745559</v>
      </c>
      <c r="IQ484">
        <v>-1.679085872906199E-05</v>
      </c>
      <c r="IR484">
        <v>2</v>
      </c>
      <c r="IS484">
        <v>2290</v>
      </c>
      <c r="IT484">
        <v>0</v>
      </c>
      <c r="IU484">
        <v>32</v>
      </c>
      <c r="IV484">
        <v>19.9</v>
      </c>
      <c r="IW484">
        <v>19.7</v>
      </c>
      <c r="IX484">
        <v>2.8772</v>
      </c>
      <c r="IY484">
        <v>2.17163</v>
      </c>
      <c r="IZ484">
        <v>1.39648</v>
      </c>
      <c r="JA484">
        <v>2.35474</v>
      </c>
      <c r="JB484">
        <v>1.49536</v>
      </c>
      <c r="JC484">
        <v>2.36328</v>
      </c>
      <c r="JD484">
        <v>38.0377</v>
      </c>
      <c r="JE484">
        <v>24.035</v>
      </c>
      <c r="JF484">
        <v>18</v>
      </c>
      <c r="JG484">
        <v>510.816</v>
      </c>
      <c r="JH484">
        <v>430.057</v>
      </c>
      <c r="JI484">
        <v>22.7626</v>
      </c>
      <c r="JJ484">
        <v>27.8018</v>
      </c>
      <c r="JK484">
        <v>30</v>
      </c>
      <c r="JL484">
        <v>27.8059</v>
      </c>
      <c r="JM484">
        <v>27.7503</v>
      </c>
      <c r="JN484">
        <v>57.7138</v>
      </c>
      <c r="JO484">
        <v>35.8216</v>
      </c>
      <c r="JP484">
        <v>0</v>
      </c>
      <c r="JQ484">
        <v>22.7567</v>
      </c>
      <c r="JR484">
        <v>1503.51</v>
      </c>
      <c r="JS484">
        <v>11.2003</v>
      </c>
      <c r="JT484">
        <v>100.429</v>
      </c>
      <c r="JU484">
        <v>100.359</v>
      </c>
    </row>
    <row r="485" spans="1:281">
      <c r="A485">
        <v>469</v>
      </c>
      <c r="B485">
        <v>1651866701</v>
      </c>
      <c r="C485">
        <v>2480.400000095367</v>
      </c>
      <c r="D485" t="s">
        <v>1361</v>
      </c>
      <c r="E485" t="s">
        <v>1362</v>
      </c>
      <c r="F485">
        <v>2</v>
      </c>
      <c r="G485" t="s">
        <v>908</v>
      </c>
      <c r="H485" t="s">
        <v>414</v>
      </c>
      <c r="I485">
        <v>1651866699.625</v>
      </c>
      <c r="J485">
        <f>(K485)/1000</f>
        <v>0</v>
      </c>
      <c r="K485">
        <f>IF(CZ485, AN485, AH485)</f>
        <v>0</v>
      </c>
      <c r="L485">
        <f>IF(CZ485, AI485, AG485)</f>
        <v>0</v>
      </c>
      <c r="M485">
        <f>DB485 - IF(AU485&gt;1, L485*CV485*100.0/(AW485*DP485), 0)</f>
        <v>0</v>
      </c>
      <c r="N485">
        <f>((T485-J485/2)*M485-L485)/(T485+J485/2)</f>
        <v>0</v>
      </c>
      <c r="O485">
        <f>N485*(DI485+DJ485)/1000.0</f>
        <v>0</v>
      </c>
      <c r="P485">
        <f>(DB485 - IF(AU485&gt;1, L485*CV485*100.0/(AW485*DP485), 0))*(DI485+DJ485)/1000.0</f>
        <v>0</v>
      </c>
      <c r="Q485">
        <f>2.0/((1/S485-1/R485)+SIGN(S485)*SQRT((1/S485-1/R485)*(1/S485-1/R485) + 4*CW485/((CW485+1)*(CW485+1))*(2*1/S485*1/R485-1/R485*1/R485)))</f>
        <v>0</v>
      </c>
      <c r="R485">
        <f>IF(LEFT(CX485,1)&lt;&gt;"0",IF(LEFT(CX485,1)="1",3.0,CY485),$D$5+$E$5*(DP485*DI485/($K$5*1000))+$F$5*(DP485*DI485/($K$5*1000))*MAX(MIN(CV485,$J$5),$I$5)*MAX(MIN(CV485,$J$5),$I$5)+$G$5*MAX(MIN(CV485,$J$5),$I$5)*(DP485*DI485/($K$5*1000))+$H$5*(DP485*DI485/($K$5*1000))*(DP485*DI485/($K$5*1000)))</f>
        <v>0</v>
      </c>
      <c r="S485">
        <f>J485*(1000-(1000*0.61365*exp(17.502*W485/(240.97+W485))/(DI485+DJ485)+DD485)/2)/(1000*0.61365*exp(17.502*W485/(240.97+W485))/(DI485+DJ485)-DD485)</f>
        <v>0</v>
      </c>
      <c r="T485">
        <f>1/((CW485+1)/(Q485/1.6)+1/(R485/1.37)) + CW485/((CW485+1)/(Q485/1.6) + CW485/(R485/1.37))</f>
        <v>0</v>
      </c>
      <c r="U485">
        <f>(CR485*CU485)</f>
        <v>0</v>
      </c>
      <c r="V485">
        <f>(DK485+(U485+2*0.95*5.67E-8*(((DK485+$B$7)+273)^4-(DK485+273)^4)-44100*J485)/(1.84*29.3*R485+8*0.95*5.67E-8*(DK485+273)^3))</f>
        <v>0</v>
      </c>
      <c r="W485">
        <f>($C$7*DL485+$D$7*DM485+$E$7*V485)</f>
        <v>0</v>
      </c>
      <c r="X485">
        <f>0.61365*exp(17.502*W485/(240.97+W485))</f>
        <v>0</v>
      </c>
      <c r="Y485">
        <f>(Z485/AA485*100)</f>
        <v>0</v>
      </c>
      <c r="Z485">
        <f>DD485*(DI485+DJ485)/1000</f>
        <v>0</v>
      </c>
      <c r="AA485">
        <f>0.61365*exp(17.502*DK485/(240.97+DK485))</f>
        <v>0</v>
      </c>
      <c r="AB485">
        <f>(X485-DD485*(DI485+DJ485)/1000)</f>
        <v>0</v>
      </c>
      <c r="AC485">
        <f>(-J485*44100)</f>
        <v>0</v>
      </c>
      <c r="AD485">
        <f>2*29.3*R485*0.92*(DK485-W485)</f>
        <v>0</v>
      </c>
      <c r="AE485">
        <f>2*0.95*5.67E-8*(((DK485+$B$7)+273)^4-(W485+273)^4)</f>
        <v>0</v>
      </c>
      <c r="AF485">
        <f>U485+AE485+AC485+AD485</f>
        <v>0</v>
      </c>
      <c r="AG485">
        <f>DH485*AU485*(DC485-DB485*(1000-AU485*DE485)/(1000-AU485*DD485))/(100*CV485)</f>
        <v>0</v>
      </c>
      <c r="AH485">
        <f>1000*DH485*AU485*(DD485-DE485)/(100*CV485*(1000-AU485*DD485))</f>
        <v>0</v>
      </c>
      <c r="AI485">
        <f>(AJ485 - AK485 - DI485*1E3/(8.314*(DK485+273.15)) * AM485/DH485 * AL485) * DH485/(100*CV485) * (1000 - DE485)/1000</f>
        <v>0</v>
      </c>
      <c r="AJ485">
        <v>1497.652836836093</v>
      </c>
      <c r="AK485">
        <v>1448.162121212122</v>
      </c>
      <c r="AL485">
        <v>3.409633267778913</v>
      </c>
      <c r="AM485">
        <v>66.38195617057868</v>
      </c>
      <c r="AN485">
        <f>(AP485 - AO485 + DI485*1E3/(8.314*(DK485+273.15)) * AR485/DH485 * AQ485) * DH485/(100*CV485) * 1000/(1000 - AP485)</f>
        <v>0</v>
      </c>
      <c r="AO485">
        <v>10.89358750596655</v>
      </c>
      <c r="AP485">
        <v>18.20897735294118</v>
      </c>
      <c r="AQ485">
        <v>-0.0002992341933326431</v>
      </c>
      <c r="AR485">
        <v>80.47178418790507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MAX(0,($B$13+$C$13*DP485)/(1+$D$13*DP485)*DI485/(DK485+273)*$E$13)</f>
        <v>0</v>
      </c>
      <c r="AX485" t="s">
        <v>417</v>
      </c>
      <c r="AY485" t="s">
        <v>417</v>
      </c>
      <c r="AZ485">
        <v>0</v>
      </c>
      <c r="BA485">
        <v>0</v>
      </c>
      <c r="BB485">
        <f>1-AZ485/BA485</f>
        <v>0</v>
      </c>
      <c r="BC485">
        <v>0</v>
      </c>
      <c r="BD485" t="s">
        <v>417</v>
      </c>
      <c r="BE485" t="s">
        <v>417</v>
      </c>
      <c r="BF485">
        <v>0</v>
      </c>
      <c r="BG485">
        <v>0</v>
      </c>
      <c r="BH485">
        <f>1-BF485/BG485</f>
        <v>0</v>
      </c>
      <c r="BI485">
        <v>0.5</v>
      </c>
      <c r="BJ485">
        <f>CS485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417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BZ485">
        <v>1249</v>
      </c>
      <c r="CA485">
        <v>300</v>
      </c>
      <c r="CB485">
        <v>300</v>
      </c>
      <c r="CC485">
        <v>300</v>
      </c>
      <c r="CD485">
        <v>10442.4</v>
      </c>
      <c r="CE485">
        <v>1239.69</v>
      </c>
      <c r="CF485">
        <v>-0.00735276</v>
      </c>
      <c r="CG485">
        <v>0.07000000000000001</v>
      </c>
      <c r="CH485" t="s">
        <v>417</v>
      </c>
      <c r="CI485" t="s">
        <v>417</v>
      </c>
      <c r="CJ485" t="s">
        <v>417</v>
      </c>
      <c r="CK485" t="s">
        <v>417</v>
      </c>
      <c r="CL485" t="s">
        <v>417</v>
      </c>
      <c r="CM485" t="s">
        <v>417</v>
      </c>
      <c r="CN485" t="s">
        <v>417</v>
      </c>
      <c r="CO485" t="s">
        <v>417</v>
      </c>
      <c r="CP485" t="s">
        <v>417</v>
      </c>
      <c r="CQ485" t="s">
        <v>417</v>
      </c>
      <c r="CR485">
        <f>$B$11*DQ485+$C$11*DR485+$F$11*EC485*(1-EF485)</f>
        <v>0</v>
      </c>
      <c r="CS485">
        <f>CR485*CT485</f>
        <v>0</v>
      </c>
      <c r="CT485">
        <f>($B$11*$D$9+$C$11*$D$9+$F$11*((EP485+EH485)/MAX(EP485+EH485+EQ485, 0.1)*$I$9+EQ485/MAX(EP485+EH485+EQ485, 0.1)*$J$9))/($B$11+$C$11+$F$11)</f>
        <v>0</v>
      </c>
      <c r="CU485">
        <f>($B$11*$K$9+$C$11*$K$9+$F$11*((EP485+EH485)/MAX(EP485+EH485+EQ485, 0.1)*$P$9+EQ485/MAX(EP485+EH485+EQ485, 0.1)*$Q$9))/($B$11+$C$11+$F$11)</f>
        <v>0</v>
      </c>
      <c r="CV485">
        <v>6</v>
      </c>
      <c r="CW485">
        <v>0.5</v>
      </c>
      <c r="CX485" t="s">
        <v>418</v>
      </c>
      <c r="CY485">
        <v>2</v>
      </c>
      <c r="CZ485" t="b">
        <v>1</v>
      </c>
      <c r="DA485">
        <v>1651866699.625</v>
      </c>
      <c r="DB485">
        <v>1418.865</v>
      </c>
      <c r="DC485">
        <v>1485.82</v>
      </c>
      <c r="DD485">
        <v>18.20985</v>
      </c>
      <c r="DE485">
        <v>10.99645</v>
      </c>
      <c r="DF485">
        <v>1421.585</v>
      </c>
      <c r="DG485">
        <v>18.1913</v>
      </c>
      <c r="DH485">
        <v>500.0305</v>
      </c>
      <c r="DI485">
        <v>89.91145</v>
      </c>
      <c r="DJ485">
        <v>0.099995625</v>
      </c>
      <c r="DK485">
        <v>25.8925</v>
      </c>
      <c r="DL485">
        <v>25.035275</v>
      </c>
      <c r="DM485">
        <v>999.9</v>
      </c>
      <c r="DN485">
        <v>0</v>
      </c>
      <c r="DO485">
        <v>0</v>
      </c>
      <c r="DP485">
        <v>10007.345</v>
      </c>
      <c r="DQ485">
        <v>0</v>
      </c>
      <c r="DR485">
        <v>3.2041825</v>
      </c>
      <c r="DS485">
        <v>-66.9539</v>
      </c>
      <c r="DT485">
        <v>1445.18</v>
      </c>
      <c r="DU485">
        <v>1502.34</v>
      </c>
      <c r="DV485">
        <v>7.213414999999999</v>
      </c>
      <c r="DW485">
        <v>1485.82</v>
      </c>
      <c r="DX485">
        <v>10.99645</v>
      </c>
      <c r="DY485">
        <v>1.637275</v>
      </c>
      <c r="DZ485">
        <v>0.9887049999999999</v>
      </c>
      <c r="EA485">
        <v>14.314175</v>
      </c>
      <c r="EB485">
        <v>6.750965</v>
      </c>
      <c r="EC485">
        <v>1500.0025</v>
      </c>
      <c r="ED485">
        <v>0.97300425</v>
      </c>
      <c r="EE485">
        <v>0.0269956</v>
      </c>
      <c r="EF485">
        <v>0</v>
      </c>
      <c r="EG485">
        <v>885.26875</v>
      </c>
      <c r="EH485">
        <v>5.00097</v>
      </c>
      <c r="EI485">
        <v>13162.6</v>
      </c>
      <c r="EJ485">
        <v>12491.65</v>
      </c>
      <c r="EK485">
        <v>37.437</v>
      </c>
      <c r="EL485">
        <v>38.79649999999999</v>
      </c>
      <c r="EM485">
        <v>37.8435</v>
      </c>
      <c r="EN485">
        <v>38.437</v>
      </c>
      <c r="EO485">
        <v>38.312</v>
      </c>
      <c r="EP485">
        <v>1454.645</v>
      </c>
      <c r="EQ485">
        <v>40.3575</v>
      </c>
      <c r="ER485">
        <v>0</v>
      </c>
      <c r="ES485">
        <v>1218.200000047684</v>
      </c>
      <c r="ET485">
        <v>0</v>
      </c>
      <c r="EU485">
        <v>886.4074000000001</v>
      </c>
      <c r="EV485">
        <v>-11.53346152952902</v>
      </c>
      <c r="EW485">
        <v>-164.8846151178986</v>
      </c>
      <c r="EX485">
        <v>13179.172</v>
      </c>
      <c r="EY485">
        <v>15</v>
      </c>
      <c r="EZ485">
        <v>1651865518.1</v>
      </c>
      <c r="FA485" t="s">
        <v>910</v>
      </c>
      <c r="FB485">
        <v>1651865507.1</v>
      </c>
      <c r="FC485">
        <v>1651865518.1</v>
      </c>
      <c r="FD485">
        <v>8</v>
      </c>
      <c r="FE485">
        <v>0.06</v>
      </c>
      <c r="FF485">
        <v>0</v>
      </c>
      <c r="FG485">
        <v>-0.927</v>
      </c>
      <c r="FH485">
        <v>-0.062</v>
      </c>
      <c r="FI485">
        <v>400</v>
      </c>
      <c r="FJ485">
        <v>11</v>
      </c>
      <c r="FK485">
        <v>0.11</v>
      </c>
      <c r="FL485">
        <v>0.01</v>
      </c>
      <c r="FM485">
        <v>-66.96684999999999</v>
      </c>
      <c r="FN485">
        <v>-0.8566581613507621</v>
      </c>
      <c r="FO485">
        <v>0.1948225461798497</v>
      </c>
      <c r="FP485">
        <v>-1</v>
      </c>
      <c r="FQ485">
        <v>7.516990000000002</v>
      </c>
      <c r="FR485">
        <v>-1.891824990619165</v>
      </c>
      <c r="FS485">
        <v>0.1820750276946292</v>
      </c>
      <c r="FT485">
        <v>-1</v>
      </c>
      <c r="FU485">
        <v>0</v>
      </c>
      <c r="FV485">
        <v>0</v>
      </c>
      <c r="FW485">
        <v>0</v>
      </c>
      <c r="FX485">
        <v>-1</v>
      </c>
      <c r="FY485">
        <v>0</v>
      </c>
      <c r="FZ485">
        <v>0</v>
      </c>
      <c r="GA485" t="s">
        <v>420</v>
      </c>
      <c r="GB485">
        <v>2.98161</v>
      </c>
      <c r="GC485">
        <v>2.70632</v>
      </c>
      <c r="GD485">
        <v>0.213727</v>
      </c>
      <c r="GE485">
        <v>0.217322</v>
      </c>
      <c r="GF485">
        <v>0.0873308</v>
      </c>
      <c r="GG485">
        <v>0.059706</v>
      </c>
      <c r="GH485">
        <v>24849.6</v>
      </c>
      <c r="GI485">
        <v>24788.1</v>
      </c>
      <c r="GJ485">
        <v>29381.6</v>
      </c>
      <c r="GK485">
        <v>29295.1</v>
      </c>
      <c r="GL485">
        <v>35507.5</v>
      </c>
      <c r="GM485">
        <v>36695.2</v>
      </c>
      <c r="GN485">
        <v>41354.8</v>
      </c>
      <c r="GO485">
        <v>41816</v>
      </c>
      <c r="GP485">
        <v>1.96615</v>
      </c>
      <c r="GQ485">
        <v>1.86222</v>
      </c>
      <c r="GR485">
        <v>-0.0013411</v>
      </c>
      <c r="GS485">
        <v>0</v>
      </c>
      <c r="GT485">
        <v>25.0615</v>
      </c>
      <c r="GU485">
        <v>999.9</v>
      </c>
      <c r="GV485">
        <v>29.3</v>
      </c>
      <c r="GW485">
        <v>34.2</v>
      </c>
      <c r="GX485">
        <v>17.6071</v>
      </c>
      <c r="GY485">
        <v>62.6376</v>
      </c>
      <c r="GZ485">
        <v>35.3045</v>
      </c>
      <c r="HA485">
        <v>1</v>
      </c>
      <c r="HB485">
        <v>0.0384604</v>
      </c>
      <c r="HC485">
        <v>1.91836</v>
      </c>
      <c r="HD485">
        <v>20.3235</v>
      </c>
      <c r="HE485">
        <v>5.21834</v>
      </c>
      <c r="HF485">
        <v>12.0099</v>
      </c>
      <c r="HG485">
        <v>4.9889</v>
      </c>
      <c r="HH485">
        <v>3.28845</v>
      </c>
      <c r="HI485">
        <v>1038.4</v>
      </c>
      <c r="HJ485">
        <v>9780.6</v>
      </c>
      <c r="HK485">
        <v>5139.4</v>
      </c>
      <c r="HL485">
        <v>25.4</v>
      </c>
      <c r="HM485">
        <v>1.86742</v>
      </c>
      <c r="HN485">
        <v>1.86646</v>
      </c>
      <c r="HO485">
        <v>1.866</v>
      </c>
      <c r="HP485">
        <v>1.86584</v>
      </c>
      <c r="HQ485">
        <v>1.86769</v>
      </c>
      <c r="HR485">
        <v>1.87018</v>
      </c>
      <c r="HS485">
        <v>1.8689</v>
      </c>
      <c r="HT485">
        <v>1.87024</v>
      </c>
      <c r="HU485">
        <v>0</v>
      </c>
      <c r="HV485">
        <v>0</v>
      </c>
      <c r="HW485">
        <v>0</v>
      </c>
      <c r="HX485">
        <v>0</v>
      </c>
      <c r="HY485" t="s">
        <v>421</v>
      </c>
      <c r="HZ485" t="s">
        <v>422</v>
      </c>
      <c r="IA485" t="s">
        <v>423</v>
      </c>
      <c r="IB485" t="s">
        <v>423</v>
      </c>
      <c r="IC485" t="s">
        <v>423</v>
      </c>
      <c r="ID485" t="s">
        <v>423</v>
      </c>
      <c r="IE485">
        <v>0</v>
      </c>
      <c r="IF485">
        <v>100</v>
      </c>
      <c r="IG485">
        <v>100</v>
      </c>
      <c r="IH485">
        <v>-2.73</v>
      </c>
      <c r="II485">
        <v>0.0185</v>
      </c>
      <c r="IJ485">
        <v>-0.1559367209035702</v>
      </c>
      <c r="IK485">
        <v>-0.002077099775823331</v>
      </c>
      <c r="IL485">
        <v>4.593143279902166E-07</v>
      </c>
      <c r="IM485">
        <v>-1.865383991892071E-10</v>
      </c>
      <c r="IN485">
        <v>-0.0607165066849496</v>
      </c>
      <c r="IO485">
        <v>-0.01129461987421345</v>
      </c>
      <c r="IP485">
        <v>0.00116580895745559</v>
      </c>
      <c r="IQ485">
        <v>-1.679085872906199E-05</v>
      </c>
      <c r="IR485">
        <v>2</v>
      </c>
      <c r="IS485">
        <v>2290</v>
      </c>
      <c r="IT485">
        <v>0</v>
      </c>
      <c r="IU485">
        <v>32</v>
      </c>
      <c r="IV485">
        <v>19.9</v>
      </c>
      <c r="IW485">
        <v>19.7</v>
      </c>
      <c r="IX485">
        <v>2.88818</v>
      </c>
      <c r="IY485">
        <v>2.17163</v>
      </c>
      <c r="IZ485">
        <v>1.39648</v>
      </c>
      <c r="JA485">
        <v>2.35474</v>
      </c>
      <c r="JB485">
        <v>1.49536</v>
      </c>
      <c r="JC485">
        <v>2.3584</v>
      </c>
      <c r="JD485">
        <v>38.0377</v>
      </c>
      <c r="JE485">
        <v>24.035</v>
      </c>
      <c r="JF485">
        <v>18</v>
      </c>
      <c r="JG485">
        <v>510.952</v>
      </c>
      <c r="JH485">
        <v>430.099</v>
      </c>
      <c r="JI485">
        <v>22.7486</v>
      </c>
      <c r="JJ485">
        <v>27.8018</v>
      </c>
      <c r="JK485">
        <v>30</v>
      </c>
      <c r="JL485">
        <v>27.8047</v>
      </c>
      <c r="JM485">
        <v>27.7498</v>
      </c>
      <c r="JN485">
        <v>57.9162</v>
      </c>
      <c r="JO485">
        <v>35.4679</v>
      </c>
      <c r="JP485">
        <v>0</v>
      </c>
      <c r="JQ485">
        <v>22.725</v>
      </c>
      <c r="JR485">
        <v>1510.19</v>
      </c>
      <c r="JS485">
        <v>11.2645</v>
      </c>
      <c r="JT485">
        <v>100.431</v>
      </c>
      <c r="JU485">
        <v>100.359</v>
      </c>
    </row>
    <row r="486" spans="1:281">
      <c r="A486">
        <v>470</v>
      </c>
      <c r="B486">
        <v>1651866703</v>
      </c>
      <c r="C486">
        <v>2482.400000095367</v>
      </c>
      <c r="D486" t="s">
        <v>1363</v>
      </c>
      <c r="E486" t="s">
        <v>1364</v>
      </c>
      <c r="F486">
        <v>2</v>
      </c>
      <c r="G486" t="s">
        <v>908</v>
      </c>
      <c r="H486" t="s">
        <v>414</v>
      </c>
      <c r="I486">
        <v>1651866702</v>
      </c>
      <c r="J486">
        <f>(K486)/1000</f>
        <v>0</v>
      </c>
      <c r="K486">
        <f>IF(CZ486, AN486, AH486)</f>
        <v>0</v>
      </c>
      <c r="L486">
        <f>IF(CZ486, AI486, AG486)</f>
        <v>0</v>
      </c>
      <c r="M486">
        <f>DB486 - IF(AU486&gt;1, L486*CV486*100.0/(AW486*DP486), 0)</f>
        <v>0</v>
      </c>
      <c r="N486">
        <f>((T486-J486/2)*M486-L486)/(T486+J486/2)</f>
        <v>0</v>
      </c>
      <c r="O486">
        <f>N486*(DI486+DJ486)/1000.0</f>
        <v>0</v>
      </c>
      <c r="P486">
        <f>(DB486 - IF(AU486&gt;1, L486*CV486*100.0/(AW486*DP486), 0))*(DI486+DJ486)/1000.0</f>
        <v>0</v>
      </c>
      <c r="Q486">
        <f>2.0/((1/S486-1/R486)+SIGN(S486)*SQRT((1/S486-1/R486)*(1/S486-1/R486) + 4*CW486/((CW486+1)*(CW486+1))*(2*1/S486*1/R486-1/R486*1/R486)))</f>
        <v>0</v>
      </c>
      <c r="R486">
        <f>IF(LEFT(CX486,1)&lt;&gt;"0",IF(LEFT(CX486,1)="1",3.0,CY486),$D$5+$E$5*(DP486*DI486/($K$5*1000))+$F$5*(DP486*DI486/($K$5*1000))*MAX(MIN(CV486,$J$5),$I$5)*MAX(MIN(CV486,$J$5),$I$5)+$G$5*MAX(MIN(CV486,$J$5),$I$5)*(DP486*DI486/($K$5*1000))+$H$5*(DP486*DI486/($K$5*1000))*(DP486*DI486/($K$5*1000)))</f>
        <v>0</v>
      </c>
      <c r="S486">
        <f>J486*(1000-(1000*0.61365*exp(17.502*W486/(240.97+W486))/(DI486+DJ486)+DD486)/2)/(1000*0.61365*exp(17.502*W486/(240.97+W486))/(DI486+DJ486)-DD486)</f>
        <v>0</v>
      </c>
      <c r="T486">
        <f>1/((CW486+1)/(Q486/1.6)+1/(R486/1.37)) + CW486/((CW486+1)/(Q486/1.6) + CW486/(R486/1.37))</f>
        <v>0</v>
      </c>
      <c r="U486">
        <f>(CR486*CU486)</f>
        <v>0</v>
      </c>
      <c r="V486">
        <f>(DK486+(U486+2*0.95*5.67E-8*(((DK486+$B$7)+273)^4-(DK486+273)^4)-44100*J486)/(1.84*29.3*R486+8*0.95*5.67E-8*(DK486+273)^3))</f>
        <v>0</v>
      </c>
      <c r="W486">
        <f>($C$7*DL486+$D$7*DM486+$E$7*V486)</f>
        <v>0</v>
      </c>
      <c r="X486">
        <f>0.61365*exp(17.502*W486/(240.97+W486))</f>
        <v>0</v>
      </c>
      <c r="Y486">
        <f>(Z486/AA486*100)</f>
        <v>0</v>
      </c>
      <c r="Z486">
        <f>DD486*(DI486+DJ486)/1000</f>
        <v>0</v>
      </c>
      <c r="AA486">
        <f>0.61365*exp(17.502*DK486/(240.97+DK486))</f>
        <v>0</v>
      </c>
      <c r="AB486">
        <f>(X486-DD486*(DI486+DJ486)/1000)</f>
        <v>0</v>
      </c>
      <c r="AC486">
        <f>(-J486*44100)</f>
        <v>0</v>
      </c>
      <c r="AD486">
        <f>2*29.3*R486*0.92*(DK486-W486)</f>
        <v>0</v>
      </c>
      <c r="AE486">
        <f>2*0.95*5.67E-8*(((DK486+$B$7)+273)^4-(W486+273)^4)</f>
        <v>0</v>
      </c>
      <c r="AF486">
        <f>U486+AE486+AC486+AD486</f>
        <v>0</v>
      </c>
      <c r="AG486">
        <f>DH486*AU486*(DC486-DB486*(1000-AU486*DE486)/(1000-AU486*DD486))/(100*CV486)</f>
        <v>0</v>
      </c>
      <c r="AH486">
        <f>1000*DH486*AU486*(DD486-DE486)/(100*CV486*(1000-AU486*DD486))</f>
        <v>0</v>
      </c>
      <c r="AI486">
        <f>(AJ486 - AK486 - DI486*1E3/(8.314*(DK486+273.15)) * AM486/DH486 * AL486) * DH486/(100*CV486) * (1000 - DE486)/1000</f>
        <v>0</v>
      </c>
      <c r="AJ486">
        <v>1504.40982470707</v>
      </c>
      <c r="AK486">
        <v>1454.944181818182</v>
      </c>
      <c r="AL486">
        <v>3.394783793270927</v>
      </c>
      <c r="AM486">
        <v>66.38195617057868</v>
      </c>
      <c r="AN486">
        <f>(AP486 - AO486 + DI486*1E3/(8.314*(DK486+273.15)) * AR486/DH486 * AQ486) * DH486/(100*CV486) * 1000/(1000 - AP486)</f>
        <v>0</v>
      </c>
      <c r="AO486">
        <v>10.96190066650045</v>
      </c>
      <c r="AP486">
        <v>18.20947529411766</v>
      </c>
      <c r="AQ486">
        <v>-0.0002249281368819454</v>
      </c>
      <c r="AR486">
        <v>80.47178418790507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MAX(0,($B$13+$C$13*DP486)/(1+$D$13*DP486)*DI486/(DK486+273)*$E$13)</f>
        <v>0</v>
      </c>
      <c r="AX486" t="s">
        <v>417</v>
      </c>
      <c r="AY486" t="s">
        <v>417</v>
      </c>
      <c r="AZ486">
        <v>0</v>
      </c>
      <c r="BA486">
        <v>0</v>
      </c>
      <c r="BB486">
        <f>1-AZ486/BA486</f>
        <v>0</v>
      </c>
      <c r="BC486">
        <v>0</v>
      </c>
      <c r="BD486" t="s">
        <v>417</v>
      </c>
      <c r="BE486" t="s">
        <v>417</v>
      </c>
      <c r="BF486">
        <v>0</v>
      </c>
      <c r="BG486">
        <v>0</v>
      </c>
      <c r="BH486">
        <f>1-BF486/BG486</f>
        <v>0</v>
      </c>
      <c r="BI486">
        <v>0.5</v>
      </c>
      <c r="BJ486">
        <f>CS486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417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BZ486">
        <v>1249</v>
      </c>
      <c r="CA486">
        <v>300</v>
      </c>
      <c r="CB486">
        <v>300</v>
      </c>
      <c r="CC486">
        <v>300</v>
      </c>
      <c r="CD486">
        <v>10442.4</v>
      </c>
      <c r="CE486">
        <v>1239.69</v>
      </c>
      <c r="CF486">
        <v>-0.00735276</v>
      </c>
      <c r="CG486">
        <v>0.07000000000000001</v>
      </c>
      <c r="CH486" t="s">
        <v>417</v>
      </c>
      <c r="CI486" t="s">
        <v>417</v>
      </c>
      <c r="CJ486" t="s">
        <v>417</v>
      </c>
      <c r="CK486" t="s">
        <v>417</v>
      </c>
      <c r="CL486" t="s">
        <v>417</v>
      </c>
      <c r="CM486" t="s">
        <v>417</v>
      </c>
      <c r="CN486" t="s">
        <v>417</v>
      </c>
      <c r="CO486" t="s">
        <v>417</v>
      </c>
      <c r="CP486" t="s">
        <v>417</v>
      </c>
      <c r="CQ486" t="s">
        <v>417</v>
      </c>
      <c r="CR486">
        <f>$B$11*DQ486+$C$11*DR486+$F$11*EC486*(1-EF486)</f>
        <v>0</v>
      </c>
      <c r="CS486">
        <f>CR486*CT486</f>
        <v>0</v>
      </c>
      <c r="CT486">
        <f>($B$11*$D$9+$C$11*$D$9+$F$11*((EP486+EH486)/MAX(EP486+EH486+EQ486, 0.1)*$I$9+EQ486/MAX(EP486+EH486+EQ486, 0.1)*$J$9))/($B$11+$C$11+$F$11)</f>
        <v>0</v>
      </c>
      <c r="CU486">
        <f>($B$11*$K$9+$C$11*$K$9+$F$11*((EP486+EH486)/MAX(EP486+EH486+EQ486, 0.1)*$P$9+EQ486/MAX(EP486+EH486+EQ486, 0.1)*$Q$9))/($B$11+$C$11+$F$11)</f>
        <v>0</v>
      </c>
      <c r="CV486">
        <v>6</v>
      </c>
      <c r="CW486">
        <v>0.5</v>
      </c>
      <c r="CX486" t="s">
        <v>418</v>
      </c>
      <c r="CY486">
        <v>2</v>
      </c>
      <c r="CZ486" t="b">
        <v>1</v>
      </c>
      <c r="DA486">
        <v>1651866702</v>
      </c>
      <c r="DB486">
        <v>1426.786666666667</v>
      </c>
      <c r="DC486">
        <v>1493.906666666667</v>
      </c>
      <c r="DD486">
        <v>18.20883333333333</v>
      </c>
      <c r="DE486">
        <v>11.05813333333333</v>
      </c>
      <c r="DF486">
        <v>1429.516666666667</v>
      </c>
      <c r="DG486">
        <v>18.1903</v>
      </c>
      <c r="DH486">
        <v>500.0413333333333</v>
      </c>
      <c r="DI486">
        <v>89.9122</v>
      </c>
      <c r="DJ486">
        <v>0.100179</v>
      </c>
      <c r="DK486">
        <v>25.88863333333333</v>
      </c>
      <c r="DL486">
        <v>25.03663333333333</v>
      </c>
      <c r="DM486">
        <v>999.9</v>
      </c>
      <c r="DN486">
        <v>0</v>
      </c>
      <c r="DO486">
        <v>0</v>
      </c>
      <c r="DP486">
        <v>9987.293333333333</v>
      </c>
      <c r="DQ486">
        <v>0</v>
      </c>
      <c r="DR486">
        <v>3.227716666666667</v>
      </c>
      <c r="DS486">
        <v>-67.11953333333334</v>
      </c>
      <c r="DT486">
        <v>1453.253333333333</v>
      </c>
      <c r="DU486">
        <v>1510.613333333333</v>
      </c>
      <c r="DV486">
        <v>7.15073</v>
      </c>
      <c r="DW486">
        <v>1493.906666666667</v>
      </c>
      <c r="DX486">
        <v>11.05813333333333</v>
      </c>
      <c r="DY486">
        <v>1.637196666666667</v>
      </c>
      <c r="DZ486">
        <v>0.9942573333333334</v>
      </c>
      <c r="EA486">
        <v>14.31343333333333</v>
      </c>
      <c r="EB486">
        <v>6.83249</v>
      </c>
      <c r="EC486">
        <v>1500.053333333333</v>
      </c>
      <c r="ED486">
        <v>0.973002</v>
      </c>
      <c r="EE486">
        <v>0.0269979</v>
      </c>
      <c r="EF486">
        <v>0</v>
      </c>
      <c r="EG486">
        <v>884.6893333333334</v>
      </c>
      <c r="EH486">
        <v>5.00097</v>
      </c>
      <c r="EI486">
        <v>13156.8</v>
      </c>
      <c r="EJ486">
        <v>12492</v>
      </c>
      <c r="EK486">
        <v>37.437</v>
      </c>
      <c r="EL486">
        <v>38.77066666666666</v>
      </c>
      <c r="EM486">
        <v>37.812</v>
      </c>
      <c r="EN486">
        <v>38.437</v>
      </c>
      <c r="EO486">
        <v>38.312</v>
      </c>
      <c r="EP486">
        <v>1454.69</v>
      </c>
      <c r="EQ486">
        <v>40.36333333333334</v>
      </c>
      <c r="ER486">
        <v>0</v>
      </c>
      <c r="ES486">
        <v>1220.600000143051</v>
      </c>
      <c r="ET486">
        <v>0</v>
      </c>
      <c r="EU486">
        <v>885.9339200000001</v>
      </c>
      <c r="EV486">
        <v>-11.89569229571477</v>
      </c>
      <c r="EW486">
        <v>-162.2692305880727</v>
      </c>
      <c r="EX486">
        <v>13172.78</v>
      </c>
      <c r="EY486">
        <v>15</v>
      </c>
      <c r="EZ486">
        <v>1651865518.1</v>
      </c>
      <c r="FA486" t="s">
        <v>910</v>
      </c>
      <c r="FB486">
        <v>1651865507.1</v>
      </c>
      <c r="FC486">
        <v>1651865518.1</v>
      </c>
      <c r="FD486">
        <v>8</v>
      </c>
      <c r="FE486">
        <v>0.06</v>
      </c>
      <c r="FF486">
        <v>0</v>
      </c>
      <c r="FG486">
        <v>-0.927</v>
      </c>
      <c r="FH486">
        <v>-0.062</v>
      </c>
      <c r="FI486">
        <v>400</v>
      </c>
      <c r="FJ486">
        <v>11</v>
      </c>
      <c r="FK486">
        <v>0.11</v>
      </c>
      <c r="FL486">
        <v>0.01</v>
      </c>
      <c r="FM486">
        <v>-67.01133658536585</v>
      </c>
      <c r="FN486">
        <v>-0.4127038327527154</v>
      </c>
      <c r="FO486">
        <v>0.1653220548875517</v>
      </c>
      <c r="FP486">
        <v>-1</v>
      </c>
      <c r="FQ486">
        <v>7.446676585365854</v>
      </c>
      <c r="FR486">
        <v>-1.898223763066206</v>
      </c>
      <c r="FS486">
        <v>0.1872504784143129</v>
      </c>
      <c r="FT486">
        <v>-1</v>
      </c>
      <c r="FU486">
        <v>0</v>
      </c>
      <c r="FV486">
        <v>0</v>
      </c>
      <c r="FW486">
        <v>0</v>
      </c>
      <c r="FX486">
        <v>-1</v>
      </c>
      <c r="FY486">
        <v>0</v>
      </c>
      <c r="FZ486">
        <v>0</v>
      </c>
      <c r="GA486" t="s">
        <v>420</v>
      </c>
      <c r="GB486">
        <v>2.98182</v>
      </c>
      <c r="GC486">
        <v>2.70616</v>
      </c>
      <c r="GD486">
        <v>0.214329</v>
      </c>
      <c r="GE486">
        <v>0.217929</v>
      </c>
      <c r="GF486">
        <v>0.087326</v>
      </c>
      <c r="GG486">
        <v>0.0599167</v>
      </c>
      <c r="GH486">
        <v>24830.7</v>
      </c>
      <c r="GI486">
        <v>24769</v>
      </c>
      <c r="GJ486">
        <v>29381.7</v>
      </c>
      <c r="GK486">
        <v>29295.2</v>
      </c>
      <c r="GL486">
        <v>35507.8</v>
      </c>
      <c r="GM486">
        <v>36687.2</v>
      </c>
      <c r="GN486">
        <v>41354.9</v>
      </c>
      <c r="GO486">
        <v>41816.2</v>
      </c>
      <c r="GP486">
        <v>1.96627</v>
      </c>
      <c r="GQ486">
        <v>1.86222</v>
      </c>
      <c r="GR486">
        <v>-0.00171363</v>
      </c>
      <c r="GS486">
        <v>0</v>
      </c>
      <c r="GT486">
        <v>25.0615</v>
      </c>
      <c r="GU486">
        <v>999.9</v>
      </c>
      <c r="GV486">
        <v>29.3</v>
      </c>
      <c r="GW486">
        <v>34.2</v>
      </c>
      <c r="GX486">
        <v>17.606</v>
      </c>
      <c r="GY486">
        <v>62.7076</v>
      </c>
      <c r="GZ486">
        <v>35.016</v>
      </c>
      <c r="HA486">
        <v>1</v>
      </c>
      <c r="HB486">
        <v>0.0384553</v>
      </c>
      <c r="HC486">
        <v>1.94602</v>
      </c>
      <c r="HD486">
        <v>20.3233</v>
      </c>
      <c r="HE486">
        <v>5.21864</v>
      </c>
      <c r="HF486">
        <v>12.0099</v>
      </c>
      <c r="HG486">
        <v>4.9894</v>
      </c>
      <c r="HH486">
        <v>3.28848</v>
      </c>
      <c r="HI486">
        <v>1038.4</v>
      </c>
      <c r="HJ486">
        <v>9780.6</v>
      </c>
      <c r="HK486">
        <v>5139.4</v>
      </c>
      <c r="HL486">
        <v>25.4</v>
      </c>
      <c r="HM486">
        <v>1.86746</v>
      </c>
      <c r="HN486">
        <v>1.86646</v>
      </c>
      <c r="HO486">
        <v>1.866</v>
      </c>
      <c r="HP486">
        <v>1.86584</v>
      </c>
      <c r="HQ486">
        <v>1.86769</v>
      </c>
      <c r="HR486">
        <v>1.87018</v>
      </c>
      <c r="HS486">
        <v>1.8689</v>
      </c>
      <c r="HT486">
        <v>1.87024</v>
      </c>
      <c r="HU486">
        <v>0</v>
      </c>
      <c r="HV486">
        <v>0</v>
      </c>
      <c r="HW486">
        <v>0</v>
      </c>
      <c r="HX486">
        <v>0</v>
      </c>
      <c r="HY486" t="s">
        <v>421</v>
      </c>
      <c r="HZ486" t="s">
        <v>422</v>
      </c>
      <c r="IA486" t="s">
        <v>423</v>
      </c>
      <c r="IB486" t="s">
        <v>423</v>
      </c>
      <c r="IC486" t="s">
        <v>423</v>
      </c>
      <c r="ID486" t="s">
        <v>423</v>
      </c>
      <c r="IE486">
        <v>0</v>
      </c>
      <c r="IF486">
        <v>100</v>
      </c>
      <c r="IG486">
        <v>100</v>
      </c>
      <c r="IH486">
        <v>-2.73</v>
      </c>
      <c r="II486">
        <v>0.0185</v>
      </c>
      <c r="IJ486">
        <v>-0.1559367209035702</v>
      </c>
      <c r="IK486">
        <v>-0.002077099775823331</v>
      </c>
      <c r="IL486">
        <v>4.593143279902166E-07</v>
      </c>
      <c r="IM486">
        <v>-1.865383991892071E-10</v>
      </c>
      <c r="IN486">
        <v>-0.0607165066849496</v>
      </c>
      <c r="IO486">
        <v>-0.01129461987421345</v>
      </c>
      <c r="IP486">
        <v>0.00116580895745559</v>
      </c>
      <c r="IQ486">
        <v>-1.679085872906199E-05</v>
      </c>
      <c r="IR486">
        <v>2</v>
      </c>
      <c r="IS486">
        <v>2290</v>
      </c>
      <c r="IT486">
        <v>0</v>
      </c>
      <c r="IU486">
        <v>32</v>
      </c>
      <c r="IV486">
        <v>19.9</v>
      </c>
      <c r="IW486">
        <v>19.7</v>
      </c>
      <c r="IX486">
        <v>2.89795</v>
      </c>
      <c r="IY486">
        <v>2.17773</v>
      </c>
      <c r="IZ486">
        <v>1.39648</v>
      </c>
      <c r="JA486">
        <v>2.35474</v>
      </c>
      <c r="JB486">
        <v>1.49536</v>
      </c>
      <c r="JC486">
        <v>2.3291</v>
      </c>
      <c r="JD486">
        <v>38.0377</v>
      </c>
      <c r="JE486">
        <v>24.035</v>
      </c>
      <c r="JF486">
        <v>18</v>
      </c>
      <c r="JG486">
        <v>511.028</v>
      </c>
      <c r="JH486">
        <v>430.09</v>
      </c>
      <c r="JI486">
        <v>22.7376</v>
      </c>
      <c r="JJ486">
        <v>27.8007</v>
      </c>
      <c r="JK486">
        <v>30</v>
      </c>
      <c r="JL486">
        <v>27.8041</v>
      </c>
      <c r="JM486">
        <v>27.7487</v>
      </c>
      <c r="JN486">
        <v>58.1204</v>
      </c>
      <c r="JO486">
        <v>35.1843</v>
      </c>
      <c r="JP486">
        <v>0</v>
      </c>
      <c r="JQ486">
        <v>22.725</v>
      </c>
      <c r="JR486">
        <v>1516.87</v>
      </c>
      <c r="JS486">
        <v>11.3215</v>
      </c>
      <c r="JT486">
        <v>100.431</v>
      </c>
      <c r="JU486">
        <v>100.359</v>
      </c>
    </row>
    <row r="487" spans="1:281">
      <c r="A487">
        <v>471</v>
      </c>
      <c r="B487">
        <v>1651866705</v>
      </c>
      <c r="C487">
        <v>2484.400000095367</v>
      </c>
      <c r="D487" t="s">
        <v>1365</v>
      </c>
      <c r="E487" t="s">
        <v>1366</v>
      </c>
      <c r="F487">
        <v>2</v>
      </c>
      <c r="G487" t="s">
        <v>908</v>
      </c>
      <c r="H487" t="s">
        <v>414</v>
      </c>
      <c r="I487">
        <v>1651866703.625</v>
      </c>
      <c r="J487">
        <f>(K487)/1000</f>
        <v>0</v>
      </c>
      <c r="K487">
        <f>IF(CZ487, AN487, AH487)</f>
        <v>0</v>
      </c>
      <c r="L487">
        <f>IF(CZ487, AI487, AG487)</f>
        <v>0</v>
      </c>
      <c r="M487">
        <f>DB487 - IF(AU487&gt;1, L487*CV487*100.0/(AW487*DP487), 0)</f>
        <v>0</v>
      </c>
      <c r="N487">
        <f>((T487-J487/2)*M487-L487)/(T487+J487/2)</f>
        <v>0</v>
      </c>
      <c r="O487">
        <f>N487*(DI487+DJ487)/1000.0</f>
        <v>0</v>
      </c>
      <c r="P487">
        <f>(DB487 - IF(AU487&gt;1, L487*CV487*100.0/(AW487*DP487), 0))*(DI487+DJ487)/1000.0</f>
        <v>0</v>
      </c>
      <c r="Q487">
        <f>2.0/((1/S487-1/R487)+SIGN(S487)*SQRT((1/S487-1/R487)*(1/S487-1/R487) + 4*CW487/((CW487+1)*(CW487+1))*(2*1/S487*1/R487-1/R487*1/R487)))</f>
        <v>0</v>
      </c>
      <c r="R487">
        <f>IF(LEFT(CX487,1)&lt;&gt;"0",IF(LEFT(CX487,1)="1",3.0,CY487),$D$5+$E$5*(DP487*DI487/($K$5*1000))+$F$5*(DP487*DI487/($K$5*1000))*MAX(MIN(CV487,$J$5),$I$5)*MAX(MIN(CV487,$J$5),$I$5)+$G$5*MAX(MIN(CV487,$J$5),$I$5)*(DP487*DI487/($K$5*1000))+$H$5*(DP487*DI487/($K$5*1000))*(DP487*DI487/($K$5*1000)))</f>
        <v>0</v>
      </c>
      <c r="S487">
        <f>J487*(1000-(1000*0.61365*exp(17.502*W487/(240.97+W487))/(DI487+DJ487)+DD487)/2)/(1000*0.61365*exp(17.502*W487/(240.97+W487))/(DI487+DJ487)-DD487)</f>
        <v>0</v>
      </c>
      <c r="T487">
        <f>1/((CW487+1)/(Q487/1.6)+1/(R487/1.37)) + CW487/((CW487+1)/(Q487/1.6) + CW487/(R487/1.37))</f>
        <v>0</v>
      </c>
      <c r="U487">
        <f>(CR487*CU487)</f>
        <v>0</v>
      </c>
      <c r="V487">
        <f>(DK487+(U487+2*0.95*5.67E-8*(((DK487+$B$7)+273)^4-(DK487+273)^4)-44100*J487)/(1.84*29.3*R487+8*0.95*5.67E-8*(DK487+273)^3))</f>
        <v>0</v>
      </c>
      <c r="W487">
        <f>($C$7*DL487+$D$7*DM487+$E$7*V487)</f>
        <v>0</v>
      </c>
      <c r="X487">
        <f>0.61365*exp(17.502*W487/(240.97+W487))</f>
        <v>0</v>
      </c>
      <c r="Y487">
        <f>(Z487/AA487*100)</f>
        <v>0</v>
      </c>
      <c r="Z487">
        <f>DD487*(DI487+DJ487)/1000</f>
        <v>0</v>
      </c>
      <c r="AA487">
        <f>0.61365*exp(17.502*DK487/(240.97+DK487))</f>
        <v>0</v>
      </c>
      <c r="AB487">
        <f>(X487-DD487*(DI487+DJ487)/1000)</f>
        <v>0</v>
      </c>
      <c r="AC487">
        <f>(-J487*44100)</f>
        <v>0</v>
      </c>
      <c r="AD487">
        <f>2*29.3*R487*0.92*(DK487-W487)</f>
        <v>0</v>
      </c>
      <c r="AE487">
        <f>2*0.95*5.67E-8*(((DK487+$B$7)+273)^4-(W487+273)^4)</f>
        <v>0</v>
      </c>
      <c r="AF487">
        <f>U487+AE487+AC487+AD487</f>
        <v>0</v>
      </c>
      <c r="AG487">
        <f>DH487*AU487*(DC487-DB487*(1000-AU487*DE487)/(1000-AU487*DD487))/(100*CV487)</f>
        <v>0</v>
      </c>
      <c r="AH487">
        <f>1000*DH487*AU487*(DD487-DE487)/(100*CV487*(1000-AU487*DD487))</f>
        <v>0</v>
      </c>
      <c r="AI487">
        <f>(AJ487 - AK487 - DI487*1E3/(8.314*(DK487+273.15)) * AM487/DH487 * AL487) * DH487/(100*CV487) * (1000 - DE487)/1000</f>
        <v>0</v>
      </c>
      <c r="AJ487">
        <v>1511.455044702855</v>
      </c>
      <c r="AK487">
        <v>1461.717757575757</v>
      </c>
      <c r="AL487">
        <v>3.384727602613541</v>
      </c>
      <c r="AM487">
        <v>66.38195617057868</v>
      </c>
      <c r="AN487">
        <f>(AP487 - AO487 + DI487*1E3/(8.314*(DK487+273.15)) * AR487/DH487 * AQ487) * DH487/(100*CV487) * 1000/(1000 - AP487)</f>
        <v>0</v>
      </c>
      <c r="AO487">
        <v>11.01925485058923</v>
      </c>
      <c r="AP487">
        <v>18.20380617647058</v>
      </c>
      <c r="AQ487">
        <v>-7.688532669274771E-07</v>
      </c>
      <c r="AR487">
        <v>80.47178418790507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MAX(0,($B$13+$C$13*DP487)/(1+$D$13*DP487)*DI487/(DK487+273)*$E$13)</f>
        <v>0</v>
      </c>
      <c r="AX487" t="s">
        <v>417</v>
      </c>
      <c r="AY487" t="s">
        <v>417</v>
      </c>
      <c r="AZ487">
        <v>0</v>
      </c>
      <c r="BA487">
        <v>0</v>
      </c>
      <c r="BB487">
        <f>1-AZ487/BA487</f>
        <v>0</v>
      </c>
      <c r="BC487">
        <v>0</v>
      </c>
      <c r="BD487" t="s">
        <v>417</v>
      </c>
      <c r="BE487" t="s">
        <v>417</v>
      </c>
      <c r="BF487">
        <v>0</v>
      </c>
      <c r="BG487">
        <v>0</v>
      </c>
      <c r="BH487">
        <f>1-BF487/BG487</f>
        <v>0</v>
      </c>
      <c r="BI487">
        <v>0.5</v>
      </c>
      <c r="BJ487">
        <f>CS487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417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BZ487">
        <v>1249</v>
      </c>
      <c r="CA487">
        <v>300</v>
      </c>
      <c r="CB487">
        <v>300</v>
      </c>
      <c r="CC487">
        <v>300</v>
      </c>
      <c r="CD487">
        <v>10442.4</v>
      </c>
      <c r="CE487">
        <v>1239.69</v>
      </c>
      <c r="CF487">
        <v>-0.00735276</v>
      </c>
      <c r="CG487">
        <v>0.07000000000000001</v>
      </c>
      <c r="CH487" t="s">
        <v>417</v>
      </c>
      <c r="CI487" t="s">
        <v>417</v>
      </c>
      <c r="CJ487" t="s">
        <v>417</v>
      </c>
      <c r="CK487" t="s">
        <v>417</v>
      </c>
      <c r="CL487" t="s">
        <v>417</v>
      </c>
      <c r="CM487" t="s">
        <v>417</v>
      </c>
      <c r="CN487" t="s">
        <v>417</v>
      </c>
      <c r="CO487" t="s">
        <v>417</v>
      </c>
      <c r="CP487" t="s">
        <v>417</v>
      </c>
      <c r="CQ487" t="s">
        <v>417</v>
      </c>
      <c r="CR487">
        <f>$B$11*DQ487+$C$11*DR487+$F$11*EC487*(1-EF487)</f>
        <v>0</v>
      </c>
      <c r="CS487">
        <f>CR487*CT487</f>
        <v>0</v>
      </c>
      <c r="CT487">
        <f>($B$11*$D$9+$C$11*$D$9+$F$11*((EP487+EH487)/MAX(EP487+EH487+EQ487, 0.1)*$I$9+EQ487/MAX(EP487+EH487+EQ487, 0.1)*$J$9))/($B$11+$C$11+$F$11)</f>
        <v>0</v>
      </c>
      <c r="CU487">
        <f>($B$11*$K$9+$C$11*$K$9+$F$11*((EP487+EH487)/MAX(EP487+EH487+EQ487, 0.1)*$P$9+EQ487/MAX(EP487+EH487+EQ487, 0.1)*$Q$9))/($B$11+$C$11+$F$11)</f>
        <v>0</v>
      </c>
      <c r="CV487">
        <v>6</v>
      </c>
      <c r="CW487">
        <v>0.5</v>
      </c>
      <c r="CX487" t="s">
        <v>418</v>
      </c>
      <c r="CY487">
        <v>2</v>
      </c>
      <c r="CZ487" t="b">
        <v>1</v>
      </c>
      <c r="DA487">
        <v>1651866703.625</v>
      </c>
      <c r="DB487">
        <v>1432.2</v>
      </c>
      <c r="DC487">
        <v>1499.405</v>
      </c>
      <c r="DD487">
        <v>18.205325</v>
      </c>
      <c r="DE487">
        <v>11.1017</v>
      </c>
      <c r="DF487">
        <v>1434.94</v>
      </c>
      <c r="DG487">
        <v>18.186825</v>
      </c>
      <c r="DH487">
        <v>500.06825</v>
      </c>
      <c r="DI487">
        <v>89.91142499999999</v>
      </c>
      <c r="DJ487">
        <v>0.10008575</v>
      </c>
      <c r="DK487">
        <v>25.887075</v>
      </c>
      <c r="DL487">
        <v>25.03735</v>
      </c>
      <c r="DM487">
        <v>999.9</v>
      </c>
      <c r="DN487">
        <v>0</v>
      </c>
      <c r="DO487">
        <v>0</v>
      </c>
      <c r="DP487">
        <v>9986.407499999999</v>
      </c>
      <c r="DQ487">
        <v>0</v>
      </c>
      <c r="DR487">
        <v>3.238960000000001</v>
      </c>
      <c r="DS487">
        <v>-67.20529999999999</v>
      </c>
      <c r="DT487">
        <v>1458.7575</v>
      </c>
      <c r="DU487">
        <v>1516.24</v>
      </c>
      <c r="DV487">
        <v>7.103602500000001</v>
      </c>
      <c r="DW487">
        <v>1499.405</v>
      </c>
      <c r="DX487">
        <v>11.1017</v>
      </c>
      <c r="DY487">
        <v>1.636865</v>
      </c>
      <c r="DZ487">
        <v>0.99817025</v>
      </c>
      <c r="EA487">
        <v>14.310325</v>
      </c>
      <c r="EB487">
        <v>6.88968</v>
      </c>
      <c r="EC487">
        <v>1500.08</v>
      </c>
      <c r="ED487">
        <v>0.9730045</v>
      </c>
      <c r="EE487">
        <v>0.02699535</v>
      </c>
      <c r="EF487">
        <v>0</v>
      </c>
      <c r="EG487">
        <v>884.3407500000001</v>
      </c>
      <c r="EH487">
        <v>5.00097</v>
      </c>
      <c r="EI487">
        <v>13152.1</v>
      </c>
      <c r="EJ487">
        <v>12492.275</v>
      </c>
      <c r="EK487">
        <v>37.437</v>
      </c>
      <c r="EL487">
        <v>38.79649999999999</v>
      </c>
      <c r="EM487">
        <v>37.812</v>
      </c>
      <c r="EN487">
        <v>38.437</v>
      </c>
      <c r="EO487">
        <v>38.312</v>
      </c>
      <c r="EP487">
        <v>1454.72</v>
      </c>
      <c r="EQ487">
        <v>40.36</v>
      </c>
      <c r="ER487">
        <v>0</v>
      </c>
      <c r="ES487">
        <v>1222.400000095367</v>
      </c>
      <c r="ET487">
        <v>0</v>
      </c>
      <c r="EU487">
        <v>885.6451153846153</v>
      </c>
      <c r="EV487">
        <v>-12.35333334480068</v>
      </c>
      <c r="EW487">
        <v>-164.0376070518714</v>
      </c>
      <c r="EX487">
        <v>13168.61923076923</v>
      </c>
      <c r="EY487">
        <v>15</v>
      </c>
      <c r="EZ487">
        <v>1651865518.1</v>
      </c>
      <c r="FA487" t="s">
        <v>910</v>
      </c>
      <c r="FB487">
        <v>1651865507.1</v>
      </c>
      <c r="FC487">
        <v>1651865518.1</v>
      </c>
      <c r="FD487">
        <v>8</v>
      </c>
      <c r="FE487">
        <v>0.06</v>
      </c>
      <c r="FF487">
        <v>0</v>
      </c>
      <c r="FG487">
        <v>-0.927</v>
      </c>
      <c r="FH487">
        <v>-0.062</v>
      </c>
      <c r="FI487">
        <v>400</v>
      </c>
      <c r="FJ487">
        <v>11</v>
      </c>
      <c r="FK487">
        <v>0.11</v>
      </c>
      <c r="FL487">
        <v>0.01</v>
      </c>
      <c r="FM487">
        <v>-67.03698750000001</v>
      </c>
      <c r="FN487">
        <v>-0.5663898686677902</v>
      </c>
      <c r="FO487">
        <v>0.1728633581582574</v>
      </c>
      <c r="FP487">
        <v>-1</v>
      </c>
      <c r="FQ487">
        <v>7.391879750000001</v>
      </c>
      <c r="FR487">
        <v>-1.885450694183866</v>
      </c>
      <c r="FS487">
        <v>0.1814688856317729</v>
      </c>
      <c r="FT487">
        <v>-1</v>
      </c>
      <c r="FU487">
        <v>0</v>
      </c>
      <c r="FV487">
        <v>0</v>
      </c>
      <c r="FW487">
        <v>0</v>
      </c>
      <c r="FX487">
        <v>-1</v>
      </c>
      <c r="FY487">
        <v>0</v>
      </c>
      <c r="FZ487">
        <v>0</v>
      </c>
      <c r="GA487" t="s">
        <v>420</v>
      </c>
      <c r="GB487">
        <v>2.98174</v>
      </c>
      <c r="GC487">
        <v>2.70605</v>
      </c>
      <c r="GD487">
        <v>0.214929</v>
      </c>
      <c r="GE487">
        <v>0.218501</v>
      </c>
      <c r="GF487">
        <v>0.08731419999999999</v>
      </c>
      <c r="GG487">
        <v>0.0601432</v>
      </c>
      <c r="GH487">
        <v>24811.3</v>
      </c>
      <c r="GI487">
        <v>24751</v>
      </c>
      <c r="GJ487">
        <v>29381.3</v>
      </c>
      <c r="GK487">
        <v>29295.4</v>
      </c>
      <c r="GL487">
        <v>35507.9</v>
      </c>
      <c r="GM487">
        <v>36678.5</v>
      </c>
      <c r="GN487">
        <v>41354.5</v>
      </c>
      <c r="GO487">
        <v>41816.4</v>
      </c>
      <c r="GP487">
        <v>1.96607</v>
      </c>
      <c r="GQ487">
        <v>1.86255</v>
      </c>
      <c r="GR487">
        <v>-0.0013411</v>
      </c>
      <c r="GS487">
        <v>0</v>
      </c>
      <c r="GT487">
        <v>25.0624</v>
      </c>
      <c r="GU487">
        <v>999.9</v>
      </c>
      <c r="GV487">
        <v>29.3</v>
      </c>
      <c r="GW487">
        <v>34.2</v>
      </c>
      <c r="GX487">
        <v>17.6062</v>
      </c>
      <c r="GY487">
        <v>62.7476</v>
      </c>
      <c r="GZ487">
        <v>34.9038</v>
      </c>
      <c r="HA487">
        <v>1</v>
      </c>
      <c r="HB487">
        <v>0.0384553</v>
      </c>
      <c r="HC487">
        <v>1.92602</v>
      </c>
      <c r="HD487">
        <v>20.3236</v>
      </c>
      <c r="HE487">
        <v>5.21849</v>
      </c>
      <c r="HF487">
        <v>12.0099</v>
      </c>
      <c r="HG487">
        <v>4.98945</v>
      </c>
      <c r="HH487">
        <v>3.28848</v>
      </c>
      <c r="HI487">
        <v>1038.4</v>
      </c>
      <c r="HJ487">
        <v>9780.6</v>
      </c>
      <c r="HK487">
        <v>5139.4</v>
      </c>
      <c r="HL487">
        <v>25.4</v>
      </c>
      <c r="HM487">
        <v>1.86747</v>
      </c>
      <c r="HN487">
        <v>1.86646</v>
      </c>
      <c r="HO487">
        <v>1.866</v>
      </c>
      <c r="HP487">
        <v>1.86585</v>
      </c>
      <c r="HQ487">
        <v>1.86769</v>
      </c>
      <c r="HR487">
        <v>1.8702</v>
      </c>
      <c r="HS487">
        <v>1.8689</v>
      </c>
      <c r="HT487">
        <v>1.87026</v>
      </c>
      <c r="HU487">
        <v>0</v>
      </c>
      <c r="HV487">
        <v>0</v>
      </c>
      <c r="HW487">
        <v>0</v>
      </c>
      <c r="HX487">
        <v>0</v>
      </c>
      <c r="HY487" t="s">
        <v>421</v>
      </c>
      <c r="HZ487" t="s">
        <v>422</v>
      </c>
      <c r="IA487" t="s">
        <v>423</v>
      </c>
      <c r="IB487" t="s">
        <v>423</v>
      </c>
      <c r="IC487" t="s">
        <v>423</v>
      </c>
      <c r="ID487" t="s">
        <v>423</v>
      </c>
      <c r="IE487">
        <v>0</v>
      </c>
      <c r="IF487">
        <v>100</v>
      </c>
      <c r="IG487">
        <v>100</v>
      </c>
      <c r="IH487">
        <v>-2.75</v>
      </c>
      <c r="II487">
        <v>0.0185</v>
      </c>
      <c r="IJ487">
        <v>-0.1559367209035702</v>
      </c>
      <c r="IK487">
        <v>-0.002077099775823331</v>
      </c>
      <c r="IL487">
        <v>4.593143279902166E-07</v>
      </c>
      <c r="IM487">
        <v>-1.865383991892071E-10</v>
      </c>
      <c r="IN487">
        <v>-0.0607165066849496</v>
      </c>
      <c r="IO487">
        <v>-0.01129461987421345</v>
      </c>
      <c r="IP487">
        <v>0.00116580895745559</v>
      </c>
      <c r="IQ487">
        <v>-1.679085872906199E-05</v>
      </c>
      <c r="IR487">
        <v>2</v>
      </c>
      <c r="IS487">
        <v>2290</v>
      </c>
      <c r="IT487">
        <v>0</v>
      </c>
      <c r="IU487">
        <v>32</v>
      </c>
      <c r="IV487">
        <v>20</v>
      </c>
      <c r="IW487">
        <v>19.8</v>
      </c>
      <c r="IX487">
        <v>2.90894</v>
      </c>
      <c r="IY487">
        <v>2.17896</v>
      </c>
      <c r="IZ487">
        <v>1.39648</v>
      </c>
      <c r="JA487">
        <v>2.35474</v>
      </c>
      <c r="JB487">
        <v>1.49536</v>
      </c>
      <c r="JC487">
        <v>2.28516</v>
      </c>
      <c r="JD487">
        <v>38.0377</v>
      </c>
      <c r="JE487">
        <v>24.035</v>
      </c>
      <c r="JF487">
        <v>18</v>
      </c>
      <c r="JG487">
        <v>510.898</v>
      </c>
      <c r="JH487">
        <v>430.279</v>
      </c>
      <c r="JI487">
        <v>22.7239</v>
      </c>
      <c r="JJ487">
        <v>27.7995</v>
      </c>
      <c r="JK487">
        <v>30</v>
      </c>
      <c r="JL487">
        <v>27.8041</v>
      </c>
      <c r="JM487">
        <v>27.748</v>
      </c>
      <c r="JN487">
        <v>58.3325</v>
      </c>
      <c r="JO487">
        <v>34.827</v>
      </c>
      <c r="JP487">
        <v>0</v>
      </c>
      <c r="JQ487">
        <v>22.6876</v>
      </c>
      <c r="JR487">
        <v>1523.55</v>
      </c>
      <c r="JS487">
        <v>11.3792</v>
      </c>
      <c r="JT487">
        <v>100.43</v>
      </c>
      <c r="JU487">
        <v>100.36</v>
      </c>
    </row>
    <row r="488" spans="1:281">
      <c r="A488">
        <v>472</v>
      </c>
      <c r="B488">
        <v>1651866707</v>
      </c>
      <c r="C488">
        <v>2486.400000095367</v>
      </c>
      <c r="D488" t="s">
        <v>1367</v>
      </c>
      <c r="E488" t="s">
        <v>1368</v>
      </c>
      <c r="F488">
        <v>2</v>
      </c>
      <c r="G488" t="s">
        <v>908</v>
      </c>
      <c r="H488" t="s">
        <v>414</v>
      </c>
      <c r="I488">
        <v>1651866706</v>
      </c>
      <c r="J488">
        <f>(K488)/1000</f>
        <v>0</v>
      </c>
      <c r="K488">
        <f>IF(CZ488, AN488, AH488)</f>
        <v>0</v>
      </c>
      <c r="L488">
        <f>IF(CZ488, AI488, AG488)</f>
        <v>0</v>
      </c>
      <c r="M488">
        <f>DB488 - IF(AU488&gt;1, L488*CV488*100.0/(AW488*DP488), 0)</f>
        <v>0</v>
      </c>
      <c r="N488">
        <f>((T488-J488/2)*M488-L488)/(T488+J488/2)</f>
        <v>0</v>
      </c>
      <c r="O488">
        <f>N488*(DI488+DJ488)/1000.0</f>
        <v>0</v>
      </c>
      <c r="P488">
        <f>(DB488 - IF(AU488&gt;1, L488*CV488*100.0/(AW488*DP488), 0))*(DI488+DJ488)/1000.0</f>
        <v>0</v>
      </c>
      <c r="Q488">
        <f>2.0/((1/S488-1/R488)+SIGN(S488)*SQRT((1/S488-1/R488)*(1/S488-1/R488) + 4*CW488/((CW488+1)*(CW488+1))*(2*1/S488*1/R488-1/R488*1/R488)))</f>
        <v>0</v>
      </c>
      <c r="R488">
        <f>IF(LEFT(CX488,1)&lt;&gt;"0",IF(LEFT(CX488,1)="1",3.0,CY488),$D$5+$E$5*(DP488*DI488/($K$5*1000))+$F$5*(DP488*DI488/($K$5*1000))*MAX(MIN(CV488,$J$5),$I$5)*MAX(MIN(CV488,$J$5),$I$5)+$G$5*MAX(MIN(CV488,$J$5),$I$5)*(DP488*DI488/($K$5*1000))+$H$5*(DP488*DI488/($K$5*1000))*(DP488*DI488/($K$5*1000)))</f>
        <v>0</v>
      </c>
      <c r="S488">
        <f>J488*(1000-(1000*0.61365*exp(17.502*W488/(240.97+W488))/(DI488+DJ488)+DD488)/2)/(1000*0.61365*exp(17.502*W488/(240.97+W488))/(DI488+DJ488)-DD488)</f>
        <v>0</v>
      </c>
      <c r="T488">
        <f>1/((CW488+1)/(Q488/1.6)+1/(R488/1.37)) + CW488/((CW488+1)/(Q488/1.6) + CW488/(R488/1.37))</f>
        <v>0</v>
      </c>
      <c r="U488">
        <f>(CR488*CU488)</f>
        <v>0</v>
      </c>
      <c r="V488">
        <f>(DK488+(U488+2*0.95*5.67E-8*(((DK488+$B$7)+273)^4-(DK488+273)^4)-44100*J488)/(1.84*29.3*R488+8*0.95*5.67E-8*(DK488+273)^3))</f>
        <v>0</v>
      </c>
      <c r="W488">
        <f>($C$7*DL488+$D$7*DM488+$E$7*V488)</f>
        <v>0</v>
      </c>
      <c r="X488">
        <f>0.61365*exp(17.502*W488/(240.97+W488))</f>
        <v>0</v>
      </c>
      <c r="Y488">
        <f>(Z488/AA488*100)</f>
        <v>0</v>
      </c>
      <c r="Z488">
        <f>DD488*(DI488+DJ488)/1000</f>
        <v>0</v>
      </c>
      <c r="AA488">
        <f>0.61365*exp(17.502*DK488/(240.97+DK488))</f>
        <v>0</v>
      </c>
      <c r="AB488">
        <f>(X488-DD488*(DI488+DJ488)/1000)</f>
        <v>0</v>
      </c>
      <c r="AC488">
        <f>(-J488*44100)</f>
        <v>0</v>
      </c>
      <c r="AD488">
        <f>2*29.3*R488*0.92*(DK488-W488)</f>
        <v>0</v>
      </c>
      <c r="AE488">
        <f>2*0.95*5.67E-8*(((DK488+$B$7)+273)^4-(W488+273)^4)</f>
        <v>0</v>
      </c>
      <c r="AF488">
        <f>U488+AE488+AC488+AD488</f>
        <v>0</v>
      </c>
      <c r="AG488">
        <f>DH488*AU488*(DC488-DB488*(1000-AU488*DE488)/(1000-AU488*DD488))/(100*CV488)</f>
        <v>0</v>
      </c>
      <c r="AH488">
        <f>1000*DH488*AU488*(DD488-DE488)/(100*CV488*(1000-AU488*DD488))</f>
        <v>0</v>
      </c>
      <c r="AI488">
        <f>(AJ488 - AK488 - DI488*1E3/(8.314*(DK488+273.15)) * AM488/DH488 * AL488) * DH488/(100*CV488) * (1000 - DE488)/1000</f>
        <v>0</v>
      </c>
      <c r="AJ488">
        <v>1518.283184676557</v>
      </c>
      <c r="AK488">
        <v>1468.36096969697</v>
      </c>
      <c r="AL488">
        <v>3.347084006851159</v>
      </c>
      <c r="AM488">
        <v>66.38195617057868</v>
      </c>
      <c r="AN488">
        <f>(AP488 - AO488 + DI488*1E3/(8.314*(DK488+273.15)) * AR488/DH488 * AQ488) * DH488/(100*CV488) * 1000/(1000 - AP488)</f>
        <v>0</v>
      </c>
      <c r="AO488">
        <v>11.07059189672438</v>
      </c>
      <c r="AP488">
        <v>18.20059588235294</v>
      </c>
      <c r="AQ488">
        <v>-4.090201167030927E-05</v>
      </c>
      <c r="AR488">
        <v>80.47178418790507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MAX(0,($B$13+$C$13*DP488)/(1+$D$13*DP488)*DI488/(DK488+273)*$E$13)</f>
        <v>0</v>
      </c>
      <c r="AX488" t="s">
        <v>417</v>
      </c>
      <c r="AY488" t="s">
        <v>417</v>
      </c>
      <c r="AZ488">
        <v>0</v>
      </c>
      <c r="BA488">
        <v>0</v>
      </c>
      <c r="BB488">
        <f>1-AZ488/BA488</f>
        <v>0</v>
      </c>
      <c r="BC488">
        <v>0</v>
      </c>
      <c r="BD488" t="s">
        <v>417</v>
      </c>
      <c r="BE488" t="s">
        <v>417</v>
      </c>
      <c r="BF488">
        <v>0</v>
      </c>
      <c r="BG488">
        <v>0</v>
      </c>
      <c r="BH488">
        <f>1-BF488/BG488</f>
        <v>0</v>
      </c>
      <c r="BI488">
        <v>0.5</v>
      </c>
      <c r="BJ488">
        <f>CS488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417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BZ488">
        <v>1249</v>
      </c>
      <c r="CA488">
        <v>300</v>
      </c>
      <c r="CB488">
        <v>300</v>
      </c>
      <c r="CC488">
        <v>300</v>
      </c>
      <c r="CD488">
        <v>10442.4</v>
      </c>
      <c r="CE488">
        <v>1239.69</v>
      </c>
      <c r="CF488">
        <v>-0.00735276</v>
      </c>
      <c r="CG488">
        <v>0.07000000000000001</v>
      </c>
      <c r="CH488" t="s">
        <v>417</v>
      </c>
      <c r="CI488" t="s">
        <v>417</v>
      </c>
      <c r="CJ488" t="s">
        <v>417</v>
      </c>
      <c r="CK488" t="s">
        <v>417</v>
      </c>
      <c r="CL488" t="s">
        <v>417</v>
      </c>
      <c r="CM488" t="s">
        <v>417</v>
      </c>
      <c r="CN488" t="s">
        <v>417</v>
      </c>
      <c r="CO488" t="s">
        <v>417</v>
      </c>
      <c r="CP488" t="s">
        <v>417</v>
      </c>
      <c r="CQ488" t="s">
        <v>417</v>
      </c>
      <c r="CR488">
        <f>$B$11*DQ488+$C$11*DR488+$F$11*EC488*(1-EF488)</f>
        <v>0</v>
      </c>
      <c r="CS488">
        <f>CR488*CT488</f>
        <v>0</v>
      </c>
      <c r="CT488">
        <f>($B$11*$D$9+$C$11*$D$9+$F$11*((EP488+EH488)/MAX(EP488+EH488+EQ488, 0.1)*$I$9+EQ488/MAX(EP488+EH488+EQ488, 0.1)*$J$9))/($B$11+$C$11+$F$11)</f>
        <v>0</v>
      </c>
      <c r="CU488">
        <f>($B$11*$K$9+$C$11*$K$9+$F$11*((EP488+EH488)/MAX(EP488+EH488+EQ488, 0.1)*$P$9+EQ488/MAX(EP488+EH488+EQ488, 0.1)*$Q$9))/($B$11+$C$11+$F$11)</f>
        <v>0</v>
      </c>
      <c r="CV488">
        <v>6</v>
      </c>
      <c r="CW488">
        <v>0.5</v>
      </c>
      <c r="CX488" t="s">
        <v>418</v>
      </c>
      <c r="CY488">
        <v>2</v>
      </c>
      <c r="CZ488" t="b">
        <v>1</v>
      </c>
      <c r="DA488">
        <v>1651866706</v>
      </c>
      <c r="DB488">
        <v>1440.003333333333</v>
      </c>
      <c r="DC488">
        <v>1507.243333333333</v>
      </c>
      <c r="DD488">
        <v>18.20176666666667</v>
      </c>
      <c r="DE488">
        <v>11.1692</v>
      </c>
      <c r="DF488">
        <v>1442.756666666666</v>
      </c>
      <c r="DG488">
        <v>18.18336666666667</v>
      </c>
      <c r="DH488">
        <v>500.0646666666667</v>
      </c>
      <c r="DI488">
        <v>89.91113333333334</v>
      </c>
      <c r="DJ488">
        <v>0.09990343333333333</v>
      </c>
      <c r="DK488">
        <v>25.8885</v>
      </c>
      <c r="DL488">
        <v>25.0463</v>
      </c>
      <c r="DM488">
        <v>999.9</v>
      </c>
      <c r="DN488">
        <v>0</v>
      </c>
      <c r="DO488">
        <v>0</v>
      </c>
      <c r="DP488">
        <v>10010.2</v>
      </c>
      <c r="DQ488">
        <v>0</v>
      </c>
      <c r="DR488">
        <v>3.23193</v>
      </c>
      <c r="DS488">
        <v>-67.24133333333333</v>
      </c>
      <c r="DT488">
        <v>1466.7</v>
      </c>
      <c r="DU488">
        <v>1524.27</v>
      </c>
      <c r="DV488">
        <v>7.032586666666667</v>
      </c>
      <c r="DW488">
        <v>1507.243333333333</v>
      </c>
      <c r="DX488">
        <v>11.1692</v>
      </c>
      <c r="DY488">
        <v>1.636543333333333</v>
      </c>
      <c r="DZ488">
        <v>1.004233333333333</v>
      </c>
      <c r="EA488">
        <v>14.30726666666667</v>
      </c>
      <c r="EB488">
        <v>6.97794</v>
      </c>
      <c r="EC488">
        <v>1499.943333333333</v>
      </c>
      <c r="ED488">
        <v>0.9730086666666665</v>
      </c>
      <c r="EE488">
        <v>0.0269913</v>
      </c>
      <c r="EF488">
        <v>0</v>
      </c>
      <c r="EG488">
        <v>883.9103333333333</v>
      </c>
      <c r="EH488">
        <v>5.00097</v>
      </c>
      <c r="EI488">
        <v>13144.53333333333</v>
      </c>
      <c r="EJ488">
        <v>12491.2</v>
      </c>
      <c r="EK488">
        <v>37.437</v>
      </c>
      <c r="EL488">
        <v>38.75</v>
      </c>
      <c r="EM488">
        <v>37.812</v>
      </c>
      <c r="EN488">
        <v>38.39566666666666</v>
      </c>
      <c r="EO488">
        <v>38.312</v>
      </c>
      <c r="EP488">
        <v>1454.593333333333</v>
      </c>
      <c r="EQ488">
        <v>40.35</v>
      </c>
      <c r="ER488">
        <v>0</v>
      </c>
      <c r="ES488">
        <v>1224.200000047684</v>
      </c>
      <c r="ET488">
        <v>0</v>
      </c>
      <c r="EU488">
        <v>885.22692</v>
      </c>
      <c r="EV488">
        <v>-12.37984614154632</v>
      </c>
      <c r="EW488">
        <v>-163.6692306119276</v>
      </c>
      <c r="EX488">
        <v>13162.8</v>
      </c>
      <c r="EY488">
        <v>15</v>
      </c>
      <c r="EZ488">
        <v>1651865518.1</v>
      </c>
      <c r="FA488" t="s">
        <v>910</v>
      </c>
      <c r="FB488">
        <v>1651865507.1</v>
      </c>
      <c r="FC488">
        <v>1651865518.1</v>
      </c>
      <c r="FD488">
        <v>8</v>
      </c>
      <c r="FE488">
        <v>0.06</v>
      </c>
      <c r="FF488">
        <v>0</v>
      </c>
      <c r="FG488">
        <v>-0.927</v>
      </c>
      <c r="FH488">
        <v>-0.062</v>
      </c>
      <c r="FI488">
        <v>400</v>
      </c>
      <c r="FJ488">
        <v>11</v>
      </c>
      <c r="FK488">
        <v>0.11</v>
      </c>
      <c r="FL488">
        <v>0.01</v>
      </c>
      <c r="FM488">
        <v>-67.06567073170731</v>
      </c>
      <c r="FN488">
        <v>-0.7232864111497875</v>
      </c>
      <c r="FO488">
        <v>0.1782019000800707</v>
      </c>
      <c r="FP488">
        <v>-1</v>
      </c>
      <c r="FQ488">
        <v>7.322205609756097</v>
      </c>
      <c r="FR488">
        <v>-1.864320836236907</v>
      </c>
      <c r="FS488">
        <v>0.1839316228736126</v>
      </c>
      <c r="FT488">
        <v>-1</v>
      </c>
      <c r="FU488">
        <v>0</v>
      </c>
      <c r="FV488">
        <v>0</v>
      </c>
      <c r="FW488">
        <v>0</v>
      </c>
      <c r="FX488">
        <v>-1</v>
      </c>
      <c r="FY488">
        <v>0</v>
      </c>
      <c r="FZ488">
        <v>0</v>
      </c>
      <c r="GA488" t="s">
        <v>420</v>
      </c>
      <c r="GB488">
        <v>2.98154</v>
      </c>
      <c r="GC488">
        <v>2.70624</v>
      </c>
      <c r="GD488">
        <v>0.215533</v>
      </c>
      <c r="GE488">
        <v>0.219088</v>
      </c>
      <c r="GF488">
        <v>0.0872964</v>
      </c>
      <c r="GG488">
        <v>0.0603822</v>
      </c>
      <c r="GH488">
        <v>24792.2</v>
      </c>
      <c r="GI488">
        <v>24732.6</v>
      </c>
      <c r="GJ488">
        <v>29381.3</v>
      </c>
      <c r="GK488">
        <v>29295.5</v>
      </c>
      <c r="GL488">
        <v>35508.6</v>
      </c>
      <c r="GM488">
        <v>36669.1</v>
      </c>
      <c r="GN488">
        <v>41354.4</v>
      </c>
      <c r="GO488">
        <v>41816.4</v>
      </c>
      <c r="GP488">
        <v>1.96592</v>
      </c>
      <c r="GQ488">
        <v>1.86275</v>
      </c>
      <c r="GR488">
        <v>-0.0007823110000000001</v>
      </c>
      <c r="GS488">
        <v>0</v>
      </c>
      <c r="GT488">
        <v>25.0635</v>
      </c>
      <c r="GU488">
        <v>999.9</v>
      </c>
      <c r="GV488">
        <v>29.3</v>
      </c>
      <c r="GW488">
        <v>34.2</v>
      </c>
      <c r="GX488">
        <v>17.6066</v>
      </c>
      <c r="GY488">
        <v>62.6976</v>
      </c>
      <c r="GZ488">
        <v>35.1963</v>
      </c>
      <c r="HA488">
        <v>1</v>
      </c>
      <c r="HB488">
        <v>0.038435</v>
      </c>
      <c r="HC488">
        <v>1.96375</v>
      </c>
      <c r="HD488">
        <v>20.3232</v>
      </c>
      <c r="HE488">
        <v>5.21864</v>
      </c>
      <c r="HF488">
        <v>12.0099</v>
      </c>
      <c r="HG488">
        <v>4.98945</v>
      </c>
      <c r="HH488">
        <v>3.28845</v>
      </c>
      <c r="HI488">
        <v>1038.6</v>
      </c>
      <c r="HJ488">
        <v>9781.6</v>
      </c>
      <c r="HK488">
        <v>5139.4</v>
      </c>
      <c r="HL488">
        <v>25.4</v>
      </c>
      <c r="HM488">
        <v>1.86746</v>
      </c>
      <c r="HN488">
        <v>1.86646</v>
      </c>
      <c r="HO488">
        <v>1.866</v>
      </c>
      <c r="HP488">
        <v>1.86585</v>
      </c>
      <c r="HQ488">
        <v>1.86769</v>
      </c>
      <c r="HR488">
        <v>1.87021</v>
      </c>
      <c r="HS488">
        <v>1.8689</v>
      </c>
      <c r="HT488">
        <v>1.87024</v>
      </c>
      <c r="HU488">
        <v>0</v>
      </c>
      <c r="HV488">
        <v>0</v>
      </c>
      <c r="HW488">
        <v>0</v>
      </c>
      <c r="HX488">
        <v>0</v>
      </c>
      <c r="HY488" t="s">
        <v>421</v>
      </c>
      <c r="HZ488" t="s">
        <v>422</v>
      </c>
      <c r="IA488" t="s">
        <v>423</v>
      </c>
      <c r="IB488" t="s">
        <v>423</v>
      </c>
      <c r="IC488" t="s">
        <v>423</v>
      </c>
      <c r="ID488" t="s">
        <v>423</v>
      </c>
      <c r="IE488">
        <v>0</v>
      </c>
      <c r="IF488">
        <v>100</v>
      </c>
      <c r="IG488">
        <v>100</v>
      </c>
      <c r="IH488">
        <v>-2.76</v>
      </c>
      <c r="II488">
        <v>0.0184</v>
      </c>
      <c r="IJ488">
        <v>-0.1559367209035702</v>
      </c>
      <c r="IK488">
        <v>-0.002077099775823331</v>
      </c>
      <c r="IL488">
        <v>4.593143279902166E-07</v>
      </c>
      <c r="IM488">
        <v>-1.865383991892071E-10</v>
      </c>
      <c r="IN488">
        <v>-0.0607165066849496</v>
      </c>
      <c r="IO488">
        <v>-0.01129461987421345</v>
      </c>
      <c r="IP488">
        <v>0.00116580895745559</v>
      </c>
      <c r="IQ488">
        <v>-1.679085872906199E-05</v>
      </c>
      <c r="IR488">
        <v>2</v>
      </c>
      <c r="IS488">
        <v>2290</v>
      </c>
      <c r="IT488">
        <v>0</v>
      </c>
      <c r="IU488">
        <v>32</v>
      </c>
      <c r="IV488">
        <v>20</v>
      </c>
      <c r="IW488">
        <v>19.8</v>
      </c>
      <c r="IX488">
        <v>2.9187</v>
      </c>
      <c r="IY488">
        <v>2.17651</v>
      </c>
      <c r="IZ488">
        <v>1.39648</v>
      </c>
      <c r="JA488">
        <v>2.35474</v>
      </c>
      <c r="JB488">
        <v>1.49536</v>
      </c>
      <c r="JC488">
        <v>2.32788</v>
      </c>
      <c r="JD488">
        <v>38.0377</v>
      </c>
      <c r="JE488">
        <v>24.0437</v>
      </c>
      <c r="JF488">
        <v>18</v>
      </c>
      <c r="JG488">
        <v>510.791</v>
      </c>
      <c r="JH488">
        <v>430.399</v>
      </c>
      <c r="JI488">
        <v>22.7122</v>
      </c>
      <c r="JJ488">
        <v>27.7995</v>
      </c>
      <c r="JK488">
        <v>29.9999</v>
      </c>
      <c r="JL488">
        <v>27.803</v>
      </c>
      <c r="JM488">
        <v>27.748</v>
      </c>
      <c r="JN488">
        <v>58.5363</v>
      </c>
      <c r="JO488">
        <v>34.5121</v>
      </c>
      <c r="JP488">
        <v>0</v>
      </c>
      <c r="JQ488">
        <v>22.6876</v>
      </c>
      <c r="JR488">
        <v>1530.24</v>
      </c>
      <c r="JS488">
        <v>11.45</v>
      </c>
      <c r="JT488">
        <v>100.43</v>
      </c>
      <c r="JU488">
        <v>100.36</v>
      </c>
    </row>
    <row r="489" spans="1:281">
      <c r="A489">
        <v>473</v>
      </c>
      <c r="B489">
        <v>1651866708.5</v>
      </c>
      <c r="C489">
        <v>2487.900000095367</v>
      </c>
      <c r="D489" t="s">
        <v>1369</v>
      </c>
      <c r="E489" t="s">
        <v>1370</v>
      </c>
      <c r="F489">
        <v>2</v>
      </c>
      <c r="G489" t="s">
        <v>908</v>
      </c>
      <c r="H489" t="s">
        <v>414</v>
      </c>
      <c r="I489">
        <v>1651866707.333333</v>
      </c>
      <c r="J489">
        <f>(K489)/1000</f>
        <v>0</v>
      </c>
      <c r="K489">
        <f>IF(CZ489, AN489, AH489)</f>
        <v>0</v>
      </c>
      <c r="L489">
        <f>IF(CZ489, AI489, AG489)</f>
        <v>0</v>
      </c>
      <c r="M489">
        <f>DB489 - IF(AU489&gt;1, L489*CV489*100.0/(AW489*DP489), 0)</f>
        <v>0</v>
      </c>
      <c r="N489">
        <f>((T489-J489/2)*M489-L489)/(T489+J489/2)</f>
        <v>0</v>
      </c>
      <c r="O489">
        <f>N489*(DI489+DJ489)/1000.0</f>
        <v>0</v>
      </c>
      <c r="P489">
        <f>(DB489 - IF(AU489&gt;1, L489*CV489*100.0/(AW489*DP489), 0))*(DI489+DJ489)/1000.0</f>
        <v>0</v>
      </c>
      <c r="Q489">
        <f>2.0/((1/S489-1/R489)+SIGN(S489)*SQRT((1/S489-1/R489)*(1/S489-1/R489) + 4*CW489/((CW489+1)*(CW489+1))*(2*1/S489*1/R489-1/R489*1/R489)))</f>
        <v>0</v>
      </c>
      <c r="R489">
        <f>IF(LEFT(CX489,1)&lt;&gt;"0",IF(LEFT(CX489,1)="1",3.0,CY489),$D$5+$E$5*(DP489*DI489/($K$5*1000))+$F$5*(DP489*DI489/($K$5*1000))*MAX(MIN(CV489,$J$5),$I$5)*MAX(MIN(CV489,$J$5),$I$5)+$G$5*MAX(MIN(CV489,$J$5),$I$5)*(DP489*DI489/($K$5*1000))+$H$5*(DP489*DI489/($K$5*1000))*(DP489*DI489/($K$5*1000)))</f>
        <v>0</v>
      </c>
      <c r="S489">
        <f>J489*(1000-(1000*0.61365*exp(17.502*W489/(240.97+W489))/(DI489+DJ489)+DD489)/2)/(1000*0.61365*exp(17.502*W489/(240.97+W489))/(DI489+DJ489)-DD489)</f>
        <v>0</v>
      </c>
      <c r="T489">
        <f>1/((CW489+1)/(Q489/1.6)+1/(R489/1.37)) + CW489/((CW489+1)/(Q489/1.6) + CW489/(R489/1.37))</f>
        <v>0</v>
      </c>
      <c r="U489">
        <f>(CR489*CU489)</f>
        <v>0</v>
      </c>
      <c r="V489">
        <f>(DK489+(U489+2*0.95*5.67E-8*(((DK489+$B$7)+273)^4-(DK489+273)^4)-44100*J489)/(1.84*29.3*R489+8*0.95*5.67E-8*(DK489+273)^3))</f>
        <v>0</v>
      </c>
      <c r="W489">
        <f>($C$7*DL489+$D$7*DM489+$E$7*V489)</f>
        <v>0</v>
      </c>
      <c r="X489">
        <f>0.61365*exp(17.502*W489/(240.97+W489))</f>
        <v>0</v>
      </c>
      <c r="Y489">
        <f>(Z489/AA489*100)</f>
        <v>0</v>
      </c>
      <c r="Z489">
        <f>DD489*(DI489+DJ489)/1000</f>
        <v>0</v>
      </c>
      <c r="AA489">
        <f>0.61365*exp(17.502*DK489/(240.97+DK489))</f>
        <v>0</v>
      </c>
      <c r="AB489">
        <f>(X489-DD489*(DI489+DJ489)/1000)</f>
        <v>0</v>
      </c>
      <c r="AC489">
        <f>(-J489*44100)</f>
        <v>0</v>
      </c>
      <c r="AD489">
        <f>2*29.3*R489*0.92*(DK489-W489)</f>
        <v>0</v>
      </c>
      <c r="AE489">
        <f>2*0.95*5.67E-8*(((DK489+$B$7)+273)^4-(W489+273)^4)</f>
        <v>0</v>
      </c>
      <c r="AF489">
        <f>U489+AE489+AC489+AD489</f>
        <v>0</v>
      </c>
      <c r="AG489">
        <f>DH489*AU489*(DC489-DB489*(1000-AU489*DE489)/(1000-AU489*DD489))/(100*CV489)</f>
        <v>0</v>
      </c>
      <c r="AH489">
        <f>1000*DH489*AU489*(DD489-DE489)/(100*CV489*(1000-AU489*DD489))</f>
        <v>0</v>
      </c>
      <c r="AI489">
        <f>(AJ489 - AK489 - DI489*1E3/(8.314*(DK489+273.15)) * AM489/DH489 * AL489) * DH489/(100*CV489) * (1000 - DE489)/1000</f>
        <v>0</v>
      </c>
      <c r="AJ489">
        <v>1523.342952548943</v>
      </c>
      <c r="AK489">
        <v>1473.448363636363</v>
      </c>
      <c r="AL489">
        <v>3.358249884751455</v>
      </c>
      <c r="AM489">
        <v>66.38195617057868</v>
      </c>
      <c r="AN489">
        <f>(AP489 - AO489 + DI489*1E3/(8.314*(DK489+273.15)) * AR489/DH489 * AQ489) * DH489/(100*CV489) * 1000/(1000 - AP489)</f>
        <v>0</v>
      </c>
      <c r="AO489">
        <v>11.11095182366825</v>
      </c>
      <c r="AP489">
        <v>18.19722911764706</v>
      </c>
      <c r="AQ489">
        <v>-6.423829445937884E-05</v>
      </c>
      <c r="AR489">
        <v>80.47178418790507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MAX(0,($B$13+$C$13*DP489)/(1+$D$13*DP489)*DI489/(DK489+273)*$E$13)</f>
        <v>0</v>
      </c>
      <c r="AX489" t="s">
        <v>417</v>
      </c>
      <c r="AY489" t="s">
        <v>417</v>
      </c>
      <c r="AZ489">
        <v>0</v>
      </c>
      <c r="BA489">
        <v>0</v>
      </c>
      <c r="BB489">
        <f>1-AZ489/BA489</f>
        <v>0</v>
      </c>
      <c r="BC489">
        <v>0</v>
      </c>
      <c r="BD489" t="s">
        <v>417</v>
      </c>
      <c r="BE489" t="s">
        <v>417</v>
      </c>
      <c r="BF489">
        <v>0</v>
      </c>
      <c r="BG489">
        <v>0</v>
      </c>
      <c r="BH489">
        <f>1-BF489/BG489</f>
        <v>0</v>
      </c>
      <c r="BI489">
        <v>0.5</v>
      </c>
      <c r="BJ489">
        <f>CS489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417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BZ489">
        <v>1249</v>
      </c>
      <c r="CA489">
        <v>300</v>
      </c>
      <c r="CB489">
        <v>300</v>
      </c>
      <c r="CC489">
        <v>300</v>
      </c>
      <c r="CD489">
        <v>10442.4</v>
      </c>
      <c r="CE489">
        <v>1239.69</v>
      </c>
      <c r="CF489">
        <v>-0.00735276</v>
      </c>
      <c r="CG489">
        <v>0.07000000000000001</v>
      </c>
      <c r="CH489" t="s">
        <v>417</v>
      </c>
      <c r="CI489" t="s">
        <v>417</v>
      </c>
      <c r="CJ489" t="s">
        <v>417</v>
      </c>
      <c r="CK489" t="s">
        <v>417</v>
      </c>
      <c r="CL489" t="s">
        <v>417</v>
      </c>
      <c r="CM489" t="s">
        <v>417</v>
      </c>
      <c r="CN489" t="s">
        <v>417</v>
      </c>
      <c r="CO489" t="s">
        <v>417</v>
      </c>
      <c r="CP489" t="s">
        <v>417</v>
      </c>
      <c r="CQ489" t="s">
        <v>417</v>
      </c>
      <c r="CR489">
        <f>$B$11*DQ489+$C$11*DR489+$F$11*EC489*(1-EF489)</f>
        <v>0</v>
      </c>
      <c r="CS489">
        <f>CR489*CT489</f>
        <v>0</v>
      </c>
      <c r="CT489">
        <f>($B$11*$D$9+$C$11*$D$9+$F$11*((EP489+EH489)/MAX(EP489+EH489+EQ489, 0.1)*$I$9+EQ489/MAX(EP489+EH489+EQ489, 0.1)*$J$9))/($B$11+$C$11+$F$11)</f>
        <v>0</v>
      </c>
      <c r="CU489">
        <f>($B$11*$K$9+$C$11*$K$9+$F$11*((EP489+EH489)/MAX(EP489+EH489+EQ489, 0.1)*$P$9+EQ489/MAX(EP489+EH489+EQ489, 0.1)*$Q$9))/($B$11+$C$11+$F$11)</f>
        <v>0</v>
      </c>
      <c r="CV489">
        <v>6</v>
      </c>
      <c r="CW489">
        <v>0.5</v>
      </c>
      <c r="CX489" t="s">
        <v>418</v>
      </c>
      <c r="CY489">
        <v>2</v>
      </c>
      <c r="CZ489" t="b">
        <v>1</v>
      </c>
      <c r="DA489">
        <v>1651866707.333333</v>
      </c>
      <c r="DB489">
        <v>1444.416666666667</v>
      </c>
      <c r="DC489">
        <v>1511.646666666667</v>
      </c>
      <c r="DD489">
        <v>18.19883333333334</v>
      </c>
      <c r="DE489">
        <v>11.2107</v>
      </c>
      <c r="DF489">
        <v>1447.18</v>
      </c>
      <c r="DG489">
        <v>18.18043333333333</v>
      </c>
      <c r="DH489">
        <v>500.035</v>
      </c>
      <c r="DI489">
        <v>89.91106666666667</v>
      </c>
      <c r="DJ489">
        <v>0.09990796666666667</v>
      </c>
      <c r="DK489">
        <v>25.88786666666667</v>
      </c>
      <c r="DL489">
        <v>25.04923333333333</v>
      </c>
      <c r="DM489">
        <v>999.9</v>
      </c>
      <c r="DN489">
        <v>0</v>
      </c>
      <c r="DO489">
        <v>0</v>
      </c>
      <c r="DP489">
        <v>10018.56666666667</v>
      </c>
      <c r="DQ489">
        <v>0</v>
      </c>
      <c r="DR489">
        <v>3.23193</v>
      </c>
      <c r="DS489">
        <v>-67.23193333333334</v>
      </c>
      <c r="DT489">
        <v>1471.19</v>
      </c>
      <c r="DU489">
        <v>1528.783333333334</v>
      </c>
      <c r="DV489">
        <v>6.988123333333333</v>
      </c>
      <c r="DW489">
        <v>1511.646666666667</v>
      </c>
      <c r="DX489">
        <v>11.2107</v>
      </c>
      <c r="DY489">
        <v>1.636276666666667</v>
      </c>
      <c r="DZ489">
        <v>1.007966666666667</v>
      </c>
      <c r="EA489">
        <v>14.30476666666667</v>
      </c>
      <c r="EB489">
        <v>7.032013333333334</v>
      </c>
      <c r="EC489">
        <v>1500.063333333334</v>
      </c>
      <c r="ED489">
        <v>0.9729953333333333</v>
      </c>
      <c r="EE489">
        <v>0.02700463333333333</v>
      </c>
      <c r="EF489">
        <v>0</v>
      </c>
      <c r="EG489">
        <v>883.7779999999999</v>
      </c>
      <c r="EH489">
        <v>5.00097</v>
      </c>
      <c r="EI489">
        <v>13142.46666666667</v>
      </c>
      <c r="EJ489">
        <v>12492.13333333333</v>
      </c>
      <c r="EK489">
        <v>37.437</v>
      </c>
      <c r="EL489">
        <v>38.75</v>
      </c>
      <c r="EM489">
        <v>37.812</v>
      </c>
      <c r="EN489">
        <v>38.437</v>
      </c>
      <c r="EO489">
        <v>38.312</v>
      </c>
      <c r="EP489">
        <v>1454.69</v>
      </c>
      <c r="EQ489">
        <v>40.37333333333333</v>
      </c>
      <c r="ER489">
        <v>0</v>
      </c>
      <c r="ES489">
        <v>1226</v>
      </c>
      <c r="ET489">
        <v>0</v>
      </c>
      <c r="EU489">
        <v>884.938846153846</v>
      </c>
      <c r="EV489">
        <v>-11.51179488192762</v>
      </c>
      <c r="EW489">
        <v>-162.3829062044608</v>
      </c>
      <c r="EX489">
        <v>13158.83461538462</v>
      </c>
      <c r="EY489">
        <v>15</v>
      </c>
      <c r="EZ489">
        <v>1651865518.1</v>
      </c>
      <c r="FA489" t="s">
        <v>910</v>
      </c>
      <c r="FB489">
        <v>1651865507.1</v>
      </c>
      <c r="FC489">
        <v>1651865518.1</v>
      </c>
      <c r="FD489">
        <v>8</v>
      </c>
      <c r="FE489">
        <v>0.06</v>
      </c>
      <c r="FF489">
        <v>0</v>
      </c>
      <c r="FG489">
        <v>-0.927</v>
      </c>
      <c r="FH489">
        <v>-0.062</v>
      </c>
      <c r="FI489">
        <v>400</v>
      </c>
      <c r="FJ489">
        <v>11</v>
      </c>
      <c r="FK489">
        <v>0.11</v>
      </c>
      <c r="FL489">
        <v>0.01</v>
      </c>
      <c r="FM489">
        <v>-67.0887875</v>
      </c>
      <c r="FN489">
        <v>-0.7696153846151965</v>
      </c>
      <c r="FO489">
        <v>0.1803670094383948</v>
      </c>
      <c r="FP489">
        <v>-1</v>
      </c>
      <c r="FQ489">
        <v>7.26840625</v>
      </c>
      <c r="FR489">
        <v>-1.870710506566612</v>
      </c>
      <c r="FS489">
        <v>0.1800592393864793</v>
      </c>
      <c r="FT489">
        <v>-1</v>
      </c>
      <c r="FU489">
        <v>0</v>
      </c>
      <c r="FV489">
        <v>0</v>
      </c>
      <c r="FW489">
        <v>0</v>
      </c>
      <c r="FX489">
        <v>-1</v>
      </c>
      <c r="FY489">
        <v>0</v>
      </c>
      <c r="FZ489">
        <v>0</v>
      </c>
      <c r="GA489" t="s">
        <v>420</v>
      </c>
      <c r="GB489">
        <v>2.98165</v>
      </c>
      <c r="GC489">
        <v>2.70634</v>
      </c>
      <c r="GD489">
        <v>0.215985</v>
      </c>
      <c r="GE489">
        <v>0.21953</v>
      </c>
      <c r="GF489">
        <v>0.0872883</v>
      </c>
      <c r="GG489">
        <v>0.0605931</v>
      </c>
      <c r="GH489">
        <v>24778</v>
      </c>
      <c r="GI489">
        <v>24718.7</v>
      </c>
      <c r="GJ489">
        <v>29381.4</v>
      </c>
      <c r="GK489">
        <v>29295.7</v>
      </c>
      <c r="GL489">
        <v>35509</v>
      </c>
      <c r="GM489">
        <v>36661</v>
      </c>
      <c r="GN489">
        <v>41354.5</v>
      </c>
      <c r="GO489">
        <v>41816.5</v>
      </c>
      <c r="GP489">
        <v>1.96602</v>
      </c>
      <c r="GQ489">
        <v>1.86275</v>
      </c>
      <c r="GR489">
        <v>-0.000879169</v>
      </c>
      <c r="GS489">
        <v>0</v>
      </c>
      <c r="GT489">
        <v>25.0636</v>
      </c>
      <c r="GU489">
        <v>999.9</v>
      </c>
      <c r="GV489">
        <v>29.3</v>
      </c>
      <c r="GW489">
        <v>34.2</v>
      </c>
      <c r="GX489">
        <v>17.6071</v>
      </c>
      <c r="GY489">
        <v>62.3876</v>
      </c>
      <c r="GZ489">
        <v>34.9639</v>
      </c>
      <c r="HA489">
        <v>1</v>
      </c>
      <c r="HB489">
        <v>0.03844</v>
      </c>
      <c r="HC489">
        <v>1.99308</v>
      </c>
      <c r="HD489">
        <v>20.3228</v>
      </c>
      <c r="HE489">
        <v>5.21864</v>
      </c>
      <c r="HF489">
        <v>12.0099</v>
      </c>
      <c r="HG489">
        <v>4.98945</v>
      </c>
      <c r="HH489">
        <v>3.28845</v>
      </c>
      <c r="HI489">
        <v>1038.6</v>
      </c>
      <c r="HJ489">
        <v>9781.6</v>
      </c>
      <c r="HK489">
        <v>5139.4</v>
      </c>
      <c r="HL489">
        <v>25.4</v>
      </c>
      <c r="HM489">
        <v>1.86747</v>
      </c>
      <c r="HN489">
        <v>1.86646</v>
      </c>
      <c r="HO489">
        <v>1.866</v>
      </c>
      <c r="HP489">
        <v>1.86584</v>
      </c>
      <c r="HQ489">
        <v>1.86768</v>
      </c>
      <c r="HR489">
        <v>1.87021</v>
      </c>
      <c r="HS489">
        <v>1.8689</v>
      </c>
      <c r="HT489">
        <v>1.87024</v>
      </c>
      <c r="HU489">
        <v>0</v>
      </c>
      <c r="HV489">
        <v>0</v>
      </c>
      <c r="HW489">
        <v>0</v>
      </c>
      <c r="HX489">
        <v>0</v>
      </c>
      <c r="HY489" t="s">
        <v>421</v>
      </c>
      <c r="HZ489" t="s">
        <v>422</v>
      </c>
      <c r="IA489" t="s">
        <v>423</v>
      </c>
      <c r="IB489" t="s">
        <v>423</v>
      </c>
      <c r="IC489" t="s">
        <v>423</v>
      </c>
      <c r="ID489" t="s">
        <v>423</v>
      </c>
      <c r="IE489">
        <v>0</v>
      </c>
      <c r="IF489">
        <v>100</v>
      </c>
      <c r="IG489">
        <v>100</v>
      </c>
      <c r="IH489">
        <v>-2.77</v>
      </c>
      <c r="II489">
        <v>0.0184</v>
      </c>
      <c r="IJ489">
        <v>-0.1559367209035702</v>
      </c>
      <c r="IK489">
        <v>-0.002077099775823331</v>
      </c>
      <c r="IL489">
        <v>4.593143279902166E-07</v>
      </c>
      <c r="IM489">
        <v>-1.865383991892071E-10</v>
      </c>
      <c r="IN489">
        <v>-0.0607165066849496</v>
      </c>
      <c r="IO489">
        <v>-0.01129461987421345</v>
      </c>
      <c r="IP489">
        <v>0.00116580895745559</v>
      </c>
      <c r="IQ489">
        <v>-1.679085872906199E-05</v>
      </c>
      <c r="IR489">
        <v>2</v>
      </c>
      <c r="IS489">
        <v>2290</v>
      </c>
      <c r="IT489">
        <v>0</v>
      </c>
      <c r="IU489">
        <v>32</v>
      </c>
      <c r="IV489">
        <v>20</v>
      </c>
      <c r="IW489">
        <v>19.8</v>
      </c>
      <c r="IX489">
        <v>2.92969</v>
      </c>
      <c r="IY489">
        <v>2.17285</v>
      </c>
      <c r="IZ489">
        <v>1.39648</v>
      </c>
      <c r="JA489">
        <v>2.35474</v>
      </c>
      <c r="JB489">
        <v>1.49536</v>
      </c>
      <c r="JC489">
        <v>2.37915</v>
      </c>
      <c r="JD489">
        <v>38.0377</v>
      </c>
      <c r="JE489">
        <v>24.0437</v>
      </c>
      <c r="JF489">
        <v>18</v>
      </c>
      <c r="JG489">
        <v>510.849</v>
      </c>
      <c r="JH489">
        <v>430.395</v>
      </c>
      <c r="JI489">
        <v>22.7009</v>
      </c>
      <c r="JJ489">
        <v>27.7995</v>
      </c>
      <c r="JK489">
        <v>29.9999</v>
      </c>
      <c r="JL489">
        <v>27.8022</v>
      </c>
      <c r="JM489">
        <v>27.7473</v>
      </c>
      <c r="JN489">
        <v>58.7083</v>
      </c>
      <c r="JO489">
        <v>34.5121</v>
      </c>
      <c r="JP489">
        <v>0</v>
      </c>
      <c r="JQ489">
        <v>22.6876</v>
      </c>
      <c r="JR489">
        <v>1536.92</v>
      </c>
      <c r="JS489">
        <v>11.4896</v>
      </c>
      <c r="JT489">
        <v>100.43</v>
      </c>
      <c r="JU489">
        <v>100.36</v>
      </c>
    </row>
    <row r="490" spans="1:281">
      <c r="A490">
        <v>474</v>
      </c>
      <c r="B490">
        <v>1651866710.5</v>
      </c>
      <c r="C490">
        <v>2489.900000095367</v>
      </c>
      <c r="D490" t="s">
        <v>1371</v>
      </c>
      <c r="E490" t="s">
        <v>1372</v>
      </c>
      <c r="F490">
        <v>2</v>
      </c>
      <c r="G490" t="s">
        <v>908</v>
      </c>
      <c r="H490" t="s">
        <v>414</v>
      </c>
      <c r="I490">
        <v>1651866709.5</v>
      </c>
      <c r="J490">
        <f>(K490)/1000</f>
        <v>0</v>
      </c>
      <c r="K490">
        <f>IF(CZ490, AN490, AH490)</f>
        <v>0</v>
      </c>
      <c r="L490">
        <f>IF(CZ490, AI490, AG490)</f>
        <v>0</v>
      </c>
      <c r="M490">
        <f>DB490 - IF(AU490&gt;1, L490*CV490*100.0/(AW490*DP490), 0)</f>
        <v>0</v>
      </c>
      <c r="N490">
        <f>((T490-J490/2)*M490-L490)/(T490+J490/2)</f>
        <v>0</v>
      </c>
      <c r="O490">
        <f>N490*(DI490+DJ490)/1000.0</f>
        <v>0</v>
      </c>
      <c r="P490">
        <f>(DB490 - IF(AU490&gt;1, L490*CV490*100.0/(AW490*DP490), 0))*(DI490+DJ490)/1000.0</f>
        <v>0</v>
      </c>
      <c r="Q490">
        <f>2.0/((1/S490-1/R490)+SIGN(S490)*SQRT((1/S490-1/R490)*(1/S490-1/R490) + 4*CW490/((CW490+1)*(CW490+1))*(2*1/S490*1/R490-1/R490*1/R490)))</f>
        <v>0</v>
      </c>
      <c r="R490">
        <f>IF(LEFT(CX490,1)&lt;&gt;"0",IF(LEFT(CX490,1)="1",3.0,CY490),$D$5+$E$5*(DP490*DI490/($K$5*1000))+$F$5*(DP490*DI490/($K$5*1000))*MAX(MIN(CV490,$J$5),$I$5)*MAX(MIN(CV490,$J$5),$I$5)+$G$5*MAX(MIN(CV490,$J$5),$I$5)*(DP490*DI490/($K$5*1000))+$H$5*(DP490*DI490/($K$5*1000))*(DP490*DI490/($K$5*1000)))</f>
        <v>0</v>
      </c>
      <c r="S490">
        <f>J490*(1000-(1000*0.61365*exp(17.502*W490/(240.97+W490))/(DI490+DJ490)+DD490)/2)/(1000*0.61365*exp(17.502*W490/(240.97+W490))/(DI490+DJ490)-DD490)</f>
        <v>0</v>
      </c>
      <c r="T490">
        <f>1/((CW490+1)/(Q490/1.6)+1/(R490/1.37)) + CW490/((CW490+1)/(Q490/1.6) + CW490/(R490/1.37))</f>
        <v>0</v>
      </c>
      <c r="U490">
        <f>(CR490*CU490)</f>
        <v>0</v>
      </c>
      <c r="V490">
        <f>(DK490+(U490+2*0.95*5.67E-8*(((DK490+$B$7)+273)^4-(DK490+273)^4)-44100*J490)/(1.84*29.3*R490+8*0.95*5.67E-8*(DK490+273)^3))</f>
        <v>0</v>
      </c>
      <c r="W490">
        <f>($C$7*DL490+$D$7*DM490+$E$7*V490)</f>
        <v>0</v>
      </c>
      <c r="X490">
        <f>0.61365*exp(17.502*W490/(240.97+W490))</f>
        <v>0</v>
      </c>
      <c r="Y490">
        <f>(Z490/AA490*100)</f>
        <v>0</v>
      </c>
      <c r="Z490">
        <f>DD490*(DI490+DJ490)/1000</f>
        <v>0</v>
      </c>
      <c r="AA490">
        <f>0.61365*exp(17.502*DK490/(240.97+DK490))</f>
        <v>0</v>
      </c>
      <c r="AB490">
        <f>(X490-DD490*(DI490+DJ490)/1000)</f>
        <v>0</v>
      </c>
      <c r="AC490">
        <f>(-J490*44100)</f>
        <v>0</v>
      </c>
      <c r="AD490">
        <f>2*29.3*R490*0.92*(DK490-W490)</f>
        <v>0</v>
      </c>
      <c r="AE490">
        <f>2*0.95*5.67E-8*(((DK490+$B$7)+273)^4-(W490+273)^4)</f>
        <v>0</v>
      </c>
      <c r="AF490">
        <f>U490+AE490+AC490+AD490</f>
        <v>0</v>
      </c>
      <c r="AG490">
        <f>DH490*AU490*(DC490-DB490*(1000-AU490*DE490)/(1000-AU490*DD490))/(100*CV490)</f>
        <v>0</v>
      </c>
      <c r="AH490">
        <f>1000*DH490*AU490*(DD490-DE490)/(100*CV490*(1000-AU490*DD490))</f>
        <v>0</v>
      </c>
      <c r="AI490">
        <f>(AJ490 - AK490 - DI490*1E3/(8.314*(DK490+273.15)) * AM490/DH490 * AL490) * DH490/(100*CV490) * (1000 - DE490)/1000</f>
        <v>0</v>
      </c>
      <c r="AJ490">
        <v>1530.146593802497</v>
      </c>
      <c r="AK490">
        <v>1480.274848484849</v>
      </c>
      <c r="AL490">
        <v>3.40079272558109</v>
      </c>
      <c r="AM490">
        <v>66.38195617057868</v>
      </c>
      <c r="AN490">
        <f>(AP490 - AO490 + DI490*1E3/(8.314*(DK490+273.15)) * AR490/DH490 * AQ490) * DH490/(100*CV490) * 1000/(1000 - AP490)</f>
        <v>0</v>
      </c>
      <c r="AO490">
        <v>11.16878151665271</v>
      </c>
      <c r="AP490">
        <v>18.19368882352941</v>
      </c>
      <c r="AQ490">
        <v>-8.518307127196281E-05</v>
      </c>
      <c r="AR490">
        <v>80.47178418790507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MAX(0,($B$13+$C$13*DP490)/(1+$D$13*DP490)*DI490/(DK490+273)*$E$13)</f>
        <v>0</v>
      </c>
      <c r="AX490" t="s">
        <v>417</v>
      </c>
      <c r="AY490" t="s">
        <v>417</v>
      </c>
      <c r="AZ490">
        <v>0</v>
      </c>
      <c r="BA490">
        <v>0</v>
      </c>
      <c r="BB490">
        <f>1-AZ490/BA490</f>
        <v>0</v>
      </c>
      <c r="BC490">
        <v>0</v>
      </c>
      <c r="BD490" t="s">
        <v>417</v>
      </c>
      <c r="BE490" t="s">
        <v>417</v>
      </c>
      <c r="BF490">
        <v>0</v>
      </c>
      <c r="BG490">
        <v>0</v>
      </c>
      <c r="BH490">
        <f>1-BF490/BG490</f>
        <v>0</v>
      </c>
      <c r="BI490">
        <v>0.5</v>
      </c>
      <c r="BJ490">
        <f>CS490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417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BZ490">
        <v>1249</v>
      </c>
      <c r="CA490">
        <v>300</v>
      </c>
      <c r="CB490">
        <v>300</v>
      </c>
      <c r="CC490">
        <v>300</v>
      </c>
      <c r="CD490">
        <v>10442.4</v>
      </c>
      <c r="CE490">
        <v>1239.69</v>
      </c>
      <c r="CF490">
        <v>-0.00735276</v>
      </c>
      <c r="CG490">
        <v>0.07000000000000001</v>
      </c>
      <c r="CH490" t="s">
        <v>417</v>
      </c>
      <c r="CI490" t="s">
        <v>417</v>
      </c>
      <c r="CJ490" t="s">
        <v>417</v>
      </c>
      <c r="CK490" t="s">
        <v>417</v>
      </c>
      <c r="CL490" t="s">
        <v>417</v>
      </c>
      <c r="CM490" t="s">
        <v>417</v>
      </c>
      <c r="CN490" t="s">
        <v>417</v>
      </c>
      <c r="CO490" t="s">
        <v>417</v>
      </c>
      <c r="CP490" t="s">
        <v>417</v>
      </c>
      <c r="CQ490" t="s">
        <v>417</v>
      </c>
      <c r="CR490">
        <f>$B$11*DQ490+$C$11*DR490+$F$11*EC490*(1-EF490)</f>
        <v>0</v>
      </c>
      <c r="CS490">
        <f>CR490*CT490</f>
        <v>0</v>
      </c>
      <c r="CT490">
        <f>($B$11*$D$9+$C$11*$D$9+$F$11*((EP490+EH490)/MAX(EP490+EH490+EQ490, 0.1)*$I$9+EQ490/MAX(EP490+EH490+EQ490, 0.1)*$J$9))/($B$11+$C$11+$F$11)</f>
        <v>0</v>
      </c>
      <c r="CU490">
        <f>($B$11*$K$9+$C$11*$K$9+$F$11*((EP490+EH490)/MAX(EP490+EH490+EQ490, 0.1)*$P$9+EQ490/MAX(EP490+EH490+EQ490, 0.1)*$Q$9))/($B$11+$C$11+$F$11)</f>
        <v>0</v>
      </c>
      <c r="CV490">
        <v>6</v>
      </c>
      <c r="CW490">
        <v>0.5</v>
      </c>
      <c r="CX490" t="s">
        <v>418</v>
      </c>
      <c r="CY490">
        <v>2</v>
      </c>
      <c r="CZ490" t="b">
        <v>1</v>
      </c>
      <c r="DA490">
        <v>1651866709.5</v>
      </c>
      <c r="DB490">
        <v>1451.666666666667</v>
      </c>
      <c r="DC490">
        <v>1518.966666666666</v>
      </c>
      <c r="DD490">
        <v>18.19466666666667</v>
      </c>
      <c r="DE490">
        <v>11.28303333333333</v>
      </c>
      <c r="DF490">
        <v>1454.443333333333</v>
      </c>
      <c r="DG490">
        <v>18.17633333333334</v>
      </c>
      <c r="DH490">
        <v>500.0196666666666</v>
      </c>
      <c r="DI490">
        <v>89.90973333333334</v>
      </c>
      <c r="DJ490">
        <v>0.09985663333333333</v>
      </c>
      <c r="DK490">
        <v>25.8839</v>
      </c>
      <c r="DL490">
        <v>25.04493333333333</v>
      </c>
      <c r="DM490">
        <v>999.9</v>
      </c>
      <c r="DN490">
        <v>0</v>
      </c>
      <c r="DO490">
        <v>0</v>
      </c>
      <c r="DP490">
        <v>10029.36666666667</v>
      </c>
      <c r="DQ490">
        <v>0</v>
      </c>
      <c r="DR490">
        <v>3.23193</v>
      </c>
      <c r="DS490">
        <v>-67.29953333333333</v>
      </c>
      <c r="DT490">
        <v>1478.566666666667</v>
      </c>
      <c r="DU490">
        <v>1536.3</v>
      </c>
      <c r="DV490">
        <v>6.911626666666666</v>
      </c>
      <c r="DW490">
        <v>1518.966666666666</v>
      </c>
      <c r="DX490">
        <v>11.28303333333333</v>
      </c>
      <c r="DY490">
        <v>1.635876666666667</v>
      </c>
      <c r="DZ490">
        <v>1.014456666666667</v>
      </c>
      <c r="EA490">
        <v>14.30096666666667</v>
      </c>
      <c r="EB490">
        <v>7.12563</v>
      </c>
      <c r="EC490">
        <v>1499.95</v>
      </c>
      <c r="ED490">
        <v>0.9730086666666665</v>
      </c>
      <c r="EE490">
        <v>0.0269913</v>
      </c>
      <c r="EF490">
        <v>0</v>
      </c>
      <c r="EG490">
        <v>883.5026666666666</v>
      </c>
      <c r="EH490">
        <v>5.00097</v>
      </c>
      <c r="EI490">
        <v>13135.76666666667</v>
      </c>
      <c r="EJ490">
        <v>12491.16666666667</v>
      </c>
      <c r="EK490">
        <v>37.437</v>
      </c>
      <c r="EL490">
        <v>38.75</v>
      </c>
      <c r="EM490">
        <v>37.812</v>
      </c>
      <c r="EN490">
        <v>38.437</v>
      </c>
      <c r="EO490">
        <v>38.312</v>
      </c>
      <c r="EP490">
        <v>1454.6</v>
      </c>
      <c r="EQ490">
        <v>40.35</v>
      </c>
      <c r="ER490">
        <v>0</v>
      </c>
      <c r="ES490">
        <v>1228.400000095367</v>
      </c>
      <c r="ET490">
        <v>0</v>
      </c>
      <c r="EU490">
        <v>884.5012307692307</v>
      </c>
      <c r="EV490">
        <v>-10.24649573234329</v>
      </c>
      <c r="EW490">
        <v>-160.7965813589651</v>
      </c>
      <c r="EX490">
        <v>13152.38076923077</v>
      </c>
      <c r="EY490">
        <v>15</v>
      </c>
      <c r="EZ490">
        <v>1651865518.1</v>
      </c>
      <c r="FA490" t="s">
        <v>910</v>
      </c>
      <c r="FB490">
        <v>1651865507.1</v>
      </c>
      <c r="FC490">
        <v>1651865518.1</v>
      </c>
      <c r="FD490">
        <v>8</v>
      </c>
      <c r="FE490">
        <v>0.06</v>
      </c>
      <c r="FF490">
        <v>0</v>
      </c>
      <c r="FG490">
        <v>-0.927</v>
      </c>
      <c r="FH490">
        <v>-0.062</v>
      </c>
      <c r="FI490">
        <v>400</v>
      </c>
      <c r="FJ490">
        <v>11</v>
      </c>
      <c r="FK490">
        <v>0.11</v>
      </c>
      <c r="FL490">
        <v>0.01</v>
      </c>
      <c r="FM490">
        <v>-67.09892195121951</v>
      </c>
      <c r="FN490">
        <v>-1.012852264808363</v>
      </c>
      <c r="FO490">
        <v>0.1844412650408015</v>
      </c>
      <c r="FP490">
        <v>-1</v>
      </c>
      <c r="FQ490">
        <v>7.229115609756098</v>
      </c>
      <c r="FR490">
        <v>-1.878332822299666</v>
      </c>
      <c r="FS490">
        <v>0.1853103583780172</v>
      </c>
      <c r="FT490">
        <v>-1</v>
      </c>
      <c r="FU490">
        <v>0</v>
      </c>
      <c r="FV490">
        <v>0</v>
      </c>
      <c r="FW490">
        <v>0</v>
      </c>
      <c r="FX490">
        <v>-1</v>
      </c>
      <c r="FY490">
        <v>0</v>
      </c>
      <c r="FZ490">
        <v>0</v>
      </c>
      <c r="GA490" t="s">
        <v>420</v>
      </c>
      <c r="GB490">
        <v>2.9817</v>
      </c>
      <c r="GC490">
        <v>2.70632</v>
      </c>
      <c r="GD490">
        <v>0.216586</v>
      </c>
      <c r="GE490">
        <v>0.220123</v>
      </c>
      <c r="GF490">
        <v>0.08728</v>
      </c>
      <c r="GG490">
        <v>0.0608408</v>
      </c>
      <c r="GH490">
        <v>24759.1</v>
      </c>
      <c r="GI490">
        <v>24700</v>
      </c>
      <c r="GJ490">
        <v>29381.4</v>
      </c>
      <c r="GK490">
        <v>29295.7</v>
      </c>
      <c r="GL490">
        <v>35509.5</v>
      </c>
      <c r="GM490">
        <v>36651.4</v>
      </c>
      <c r="GN490">
        <v>41354.7</v>
      </c>
      <c r="GO490">
        <v>41816.6</v>
      </c>
      <c r="GP490">
        <v>1.96585</v>
      </c>
      <c r="GQ490">
        <v>1.86292</v>
      </c>
      <c r="GR490">
        <v>-0.0013411</v>
      </c>
      <c r="GS490">
        <v>0</v>
      </c>
      <c r="GT490">
        <v>25.0636</v>
      </c>
      <c r="GU490">
        <v>999.9</v>
      </c>
      <c r="GV490">
        <v>29.3</v>
      </c>
      <c r="GW490">
        <v>34.2</v>
      </c>
      <c r="GX490">
        <v>17.6076</v>
      </c>
      <c r="GY490">
        <v>62.5476</v>
      </c>
      <c r="GZ490">
        <v>34.8838</v>
      </c>
      <c r="HA490">
        <v>1</v>
      </c>
      <c r="HB490">
        <v>0.0384375</v>
      </c>
      <c r="HC490">
        <v>1.97256</v>
      </c>
      <c r="HD490">
        <v>20.3229</v>
      </c>
      <c r="HE490">
        <v>5.21879</v>
      </c>
      <c r="HF490">
        <v>12.0099</v>
      </c>
      <c r="HG490">
        <v>4.98935</v>
      </c>
      <c r="HH490">
        <v>3.28855</v>
      </c>
      <c r="HI490">
        <v>1038.6</v>
      </c>
      <c r="HJ490">
        <v>9781.6</v>
      </c>
      <c r="HK490">
        <v>5139.4</v>
      </c>
      <c r="HL490">
        <v>25.4</v>
      </c>
      <c r="HM490">
        <v>1.86749</v>
      </c>
      <c r="HN490">
        <v>1.86646</v>
      </c>
      <c r="HO490">
        <v>1.866</v>
      </c>
      <c r="HP490">
        <v>1.86584</v>
      </c>
      <c r="HQ490">
        <v>1.86768</v>
      </c>
      <c r="HR490">
        <v>1.87021</v>
      </c>
      <c r="HS490">
        <v>1.8689</v>
      </c>
      <c r="HT490">
        <v>1.87026</v>
      </c>
      <c r="HU490">
        <v>0</v>
      </c>
      <c r="HV490">
        <v>0</v>
      </c>
      <c r="HW490">
        <v>0</v>
      </c>
      <c r="HX490">
        <v>0</v>
      </c>
      <c r="HY490" t="s">
        <v>421</v>
      </c>
      <c r="HZ490" t="s">
        <v>422</v>
      </c>
      <c r="IA490" t="s">
        <v>423</v>
      </c>
      <c r="IB490" t="s">
        <v>423</v>
      </c>
      <c r="IC490" t="s">
        <v>423</v>
      </c>
      <c r="ID490" t="s">
        <v>423</v>
      </c>
      <c r="IE490">
        <v>0</v>
      </c>
      <c r="IF490">
        <v>100</v>
      </c>
      <c r="IG490">
        <v>100</v>
      </c>
      <c r="IH490">
        <v>-2.79</v>
      </c>
      <c r="II490">
        <v>0.0183</v>
      </c>
      <c r="IJ490">
        <v>-0.1559367209035702</v>
      </c>
      <c r="IK490">
        <v>-0.002077099775823331</v>
      </c>
      <c r="IL490">
        <v>4.593143279902166E-07</v>
      </c>
      <c r="IM490">
        <v>-1.865383991892071E-10</v>
      </c>
      <c r="IN490">
        <v>-0.0607165066849496</v>
      </c>
      <c r="IO490">
        <v>-0.01129461987421345</v>
      </c>
      <c r="IP490">
        <v>0.00116580895745559</v>
      </c>
      <c r="IQ490">
        <v>-1.679085872906199E-05</v>
      </c>
      <c r="IR490">
        <v>2</v>
      </c>
      <c r="IS490">
        <v>2290</v>
      </c>
      <c r="IT490">
        <v>0</v>
      </c>
      <c r="IU490">
        <v>32</v>
      </c>
      <c r="IV490">
        <v>20.1</v>
      </c>
      <c r="IW490">
        <v>19.9</v>
      </c>
      <c r="IX490">
        <v>2.93945</v>
      </c>
      <c r="IY490">
        <v>2.17773</v>
      </c>
      <c r="IZ490">
        <v>1.39648</v>
      </c>
      <c r="JA490">
        <v>2.35596</v>
      </c>
      <c r="JB490">
        <v>1.49536</v>
      </c>
      <c r="JC490">
        <v>2.35596</v>
      </c>
      <c r="JD490">
        <v>38.0377</v>
      </c>
      <c r="JE490">
        <v>24.035</v>
      </c>
      <c r="JF490">
        <v>18</v>
      </c>
      <c r="JG490">
        <v>510.731</v>
      </c>
      <c r="JH490">
        <v>430.491</v>
      </c>
      <c r="JI490">
        <v>22.687</v>
      </c>
      <c r="JJ490">
        <v>27.7987</v>
      </c>
      <c r="JK490">
        <v>29.9999</v>
      </c>
      <c r="JL490">
        <v>27.8018</v>
      </c>
      <c r="JM490">
        <v>27.7462</v>
      </c>
      <c r="JN490">
        <v>58.9106</v>
      </c>
      <c r="JO490">
        <v>33.893</v>
      </c>
      <c r="JP490">
        <v>0</v>
      </c>
      <c r="JQ490">
        <v>22.6403</v>
      </c>
      <c r="JR490">
        <v>1543.61</v>
      </c>
      <c r="JS490">
        <v>11.5498</v>
      </c>
      <c r="JT490">
        <v>100.43</v>
      </c>
      <c r="JU490">
        <v>100.36</v>
      </c>
    </row>
    <row r="491" spans="1:281">
      <c r="A491">
        <v>475</v>
      </c>
      <c r="B491">
        <v>1651866712.5</v>
      </c>
      <c r="C491">
        <v>2491.900000095367</v>
      </c>
      <c r="D491" t="s">
        <v>1373</v>
      </c>
      <c r="E491" t="s">
        <v>1374</v>
      </c>
      <c r="F491">
        <v>2</v>
      </c>
      <c r="G491" t="s">
        <v>908</v>
      </c>
      <c r="H491" t="s">
        <v>414</v>
      </c>
      <c r="I491">
        <v>1651866711.125</v>
      </c>
      <c r="J491">
        <f>(K491)/1000</f>
        <v>0</v>
      </c>
      <c r="K491">
        <f>IF(CZ491, AN491, AH491)</f>
        <v>0</v>
      </c>
      <c r="L491">
        <f>IF(CZ491, AI491, AG491)</f>
        <v>0</v>
      </c>
      <c r="M491">
        <f>DB491 - IF(AU491&gt;1, L491*CV491*100.0/(AW491*DP491), 0)</f>
        <v>0</v>
      </c>
      <c r="N491">
        <f>((T491-J491/2)*M491-L491)/(T491+J491/2)</f>
        <v>0</v>
      </c>
      <c r="O491">
        <f>N491*(DI491+DJ491)/1000.0</f>
        <v>0</v>
      </c>
      <c r="P491">
        <f>(DB491 - IF(AU491&gt;1, L491*CV491*100.0/(AW491*DP491), 0))*(DI491+DJ491)/1000.0</f>
        <v>0</v>
      </c>
      <c r="Q491">
        <f>2.0/((1/S491-1/R491)+SIGN(S491)*SQRT((1/S491-1/R491)*(1/S491-1/R491) + 4*CW491/((CW491+1)*(CW491+1))*(2*1/S491*1/R491-1/R491*1/R491)))</f>
        <v>0</v>
      </c>
      <c r="R491">
        <f>IF(LEFT(CX491,1)&lt;&gt;"0",IF(LEFT(CX491,1)="1",3.0,CY491),$D$5+$E$5*(DP491*DI491/($K$5*1000))+$F$5*(DP491*DI491/($K$5*1000))*MAX(MIN(CV491,$J$5),$I$5)*MAX(MIN(CV491,$J$5),$I$5)+$G$5*MAX(MIN(CV491,$J$5),$I$5)*(DP491*DI491/($K$5*1000))+$H$5*(DP491*DI491/($K$5*1000))*(DP491*DI491/($K$5*1000)))</f>
        <v>0</v>
      </c>
      <c r="S491">
        <f>J491*(1000-(1000*0.61365*exp(17.502*W491/(240.97+W491))/(DI491+DJ491)+DD491)/2)/(1000*0.61365*exp(17.502*W491/(240.97+W491))/(DI491+DJ491)-DD491)</f>
        <v>0</v>
      </c>
      <c r="T491">
        <f>1/((CW491+1)/(Q491/1.6)+1/(R491/1.37)) + CW491/((CW491+1)/(Q491/1.6) + CW491/(R491/1.37))</f>
        <v>0</v>
      </c>
      <c r="U491">
        <f>(CR491*CU491)</f>
        <v>0</v>
      </c>
      <c r="V491">
        <f>(DK491+(U491+2*0.95*5.67E-8*(((DK491+$B$7)+273)^4-(DK491+273)^4)-44100*J491)/(1.84*29.3*R491+8*0.95*5.67E-8*(DK491+273)^3))</f>
        <v>0</v>
      </c>
      <c r="W491">
        <f>($C$7*DL491+$D$7*DM491+$E$7*V491)</f>
        <v>0</v>
      </c>
      <c r="X491">
        <f>0.61365*exp(17.502*W491/(240.97+W491))</f>
        <v>0</v>
      </c>
      <c r="Y491">
        <f>(Z491/AA491*100)</f>
        <v>0</v>
      </c>
      <c r="Z491">
        <f>DD491*(DI491+DJ491)/1000</f>
        <v>0</v>
      </c>
      <c r="AA491">
        <f>0.61365*exp(17.502*DK491/(240.97+DK491))</f>
        <v>0</v>
      </c>
      <c r="AB491">
        <f>(X491-DD491*(DI491+DJ491)/1000)</f>
        <v>0</v>
      </c>
      <c r="AC491">
        <f>(-J491*44100)</f>
        <v>0</v>
      </c>
      <c r="AD491">
        <f>2*29.3*R491*0.92*(DK491-W491)</f>
        <v>0</v>
      </c>
      <c r="AE491">
        <f>2*0.95*5.67E-8*(((DK491+$B$7)+273)^4-(W491+273)^4)</f>
        <v>0</v>
      </c>
      <c r="AF491">
        <f>U491+AE491+AC491+AD491</f>
        <v>0</v>
      </c>
      <c r="AG491">
        <f>DH491*AU491*(DC491-DB491*(1000-AU491*DE491)/(1000-AU491*DD491))/(100*CV491)</f>
        <v>0</v>
      </c>
      <c r="AH491">
        <f>1000*DH491*AU491*(DD491-DE491)/(100*CV491*(1000-AU491*DD491))</f>
        <v>0</v>
      </c>
      <c r="AI491">
        <f>(AJ491 - AK491 - DI491*1E3/(8.314*(DK491+273.15)) * AM491/DH491 * AL491) * DH491/(100*CV491) * (1000 - DE491)/1000</f>
        <v>0</v>
      </c>
      <c r="AJ491">
        <v>1537.102011842048</v>
      </c>
      <c r="AK491">
        <v>1487.032484848485</v>
      </c>
      <c r="AL491">
        <v>3.392540328617452</v>
      </c>
      <c r="AM491">
        <v>66.38195617057868</v>
      </c>
      <c r="AN491">
        <f>(AP491 - AO491 + DI491*1E3/(8.314*(DK491+273.15)) * AR491/DH491 * AQ491) * DH491/(100*CV491) * 1000/(1000 - AP491)</f>
        <v>0</v>
      </c>
      <c r="AO491">
        <v>11.23332715276093</v>
      </c>
      <c r="AP491">
        <v>18.1950588235294</v>
      </c>
      <c r="AQ491">
        <v>-0.000139993445849758</v>
      </c>
      <c r="AR491">
        <v>80.47178418790507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MAX(0,($B$13+$C$13*DP491)/(1+$D$13*DP491)*DI491/(DK491+273)*$E$13)</f>
        <v>0</v>
      </c>
      <c r="AX491" t="s">
        <v>417</v>
      </c>
      <c r="AY491" t="s">
        <v>417</v>
      </c>
      <c r="AZ491">
        <v>0</v>
      </c>
      <c r="BA491">
        <v>0</v>
      </c>
      <c r="BB491">
        <f>1-AZ491/BA491</f>
        <v>0</v>
      </c>
      <c r="BC491">
        <v>0</v>
      </c>
      <c r="BD491" t="s">
        <v>417</v>
      </c>
      <c r="BE491" t="s">
        <v>417</v>
      </c>
      <c r="BF491">
        <v>0</v>
      </c>
      <c r="BG491">
        <v>0</v>
      </c>
      <c r="BH491">
        <f>1-BF491/BG491</f>
        <v>0</v>
      </c>
      <c r="BI491">
        <v>0.5</v>
      </c>
      <c r="BJ491">
        <f>CS491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417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BZ491">
        <v>1249</v>
      </c>
      <c r="CA491">
        <v>300</v>
      </c>
      <c r="CB491">
        <v>300</v>
      </c>
      <c r="CC491">
        <v>300</v>
      </c>
      <c r="CD491">
        <v>10442.4</v>
      </c>
      <c r="CE491">
        <v>1239.69</v>
      </c>
      <c r="CF491">
        <v>-0.00735276</v>
      </c>
      <c r="CG491">
        <v>0.07000000000000001</v>
      </c>
      <c r="CH491" t="s">
        <v>417</v>
      </c>
      <c r="CI491" t="s">
        <v>417</v>
      </c>
      <c r="CJ491" t="s">
        <v>417</v>
      </c>
      <c r="CK491" t="s">
        <v>417</v>
      </c>
      <c r="CL491" t="s">
        <v>417</v>
      </c>
      <c r="CM491" t="s">
        <v>417</v>
      </c>
      <c r="CN491" t="s">
        <v>417</v>
      </c>
      <c r="CO491" t="s">
        <v>417</v>
      </c>
      <c r="CP491" t="s">
        <v>417</v>
      </c>
      <c r="CQ491" t="s">
        <v>417</v>
      </c>
      <c r="CR491">
        <f>$B$11*DQ491+$C$11*DR491+$F$11*EC491*(1-EF491)</f>
        <v>0</v>
      </c>
      <c r="CS491">
        <f>CR491*CT491</f>
        <v>0</v>
      </c>
      <c r="CT491">
        <f>($B$11*$D$9+$C$11*$D$9+$F$11*((EP491+EH491)/MAX(EP491+EH491+EQ491, 0.1)*$I$9+EQ491/MAX(EP491+EH491+EQ491, 0.1)*$J$9))/($B$11+$C$11+$F$11)</f>
        <v>0</v>
      </c>
      <c r="CU491">
        <f>($B$11*$K$9+$C$11*$K$9+$F$11*((EP491+EH491)/MAX(EP491+EH491+EQ491, 0.1)*$P$9+EQ491/MAX(EP491+EH491+EQ491, 0.1)*$Q$9))/($B$11+$C$11+$F$11)</f>
        <v>0</v>
      </c>
      <c r="CV491">
        <v>6</v>
      </c>
      <c r="CW491">
        <v>0.5</v>
      </c>
      <c r="CX491" t="s">
        <v>418</v>
      </c>
      <c r="CY491">
        <v>2</v>
      </c>
      <c r="CZ491" t="b">
        <v>1</v>
      </c>
      <c r="DA491">
        <v>1651866711.125</v>
      </c>
      <c r="DB491">
        <v>1457.0725</v>
      </c>
      <c r="DC491">
        <v>1524.4875</v>
      </c>
      <c r="DD491">
        <v>18.19505</v>
      </c>
      <c r="DE491">
        <v>11.32825</v>
      </c>
      <c r="DF491">
        <v>1459.8625</v>
      </c>
      <c r="DG491">
        <v>18.176725</v>
      </c>
      <c r="DH491">
        <v>500.04725</v>
      </c>
      <c r="DI491">
        <v>89.90812500000001</v>
      </c>
      <c r="DJ491">
        <v>0.100052475</v>
      </c>
      <c r="DK491">
        <v>25.882025</v>
      </c>
      <c r="DL491">
        <v>25.04095</v>
      </c>
      <c r="DM491">
        <v>999.9</v>
      </c>
      <c r="DN491">
        <v>0</v>
      </c>
      <c r="DO491">
        <v>0</v>
      </c>
      <c r="DP491">
        <v>10008.9125</v>
      </c>
      <c r="DQ491">
        <v>0</v>
      </c>
      <c r="DR491">
        <v>3.2417725</v>
      </c>
      <c r="DS491">
        <v>-67.41567499999999</v>
      </c>
      <c r="DT491">
        <v>1484.075</v>
      </c>
      <c r="DU491">
        <v>1541.9575</v>
      </c>
      <c r="DV491">
        <v>6.866782499999999</v>
      </c>
      <c r="DW491">
        <v>1524.4875</v>
      </c>
      <c r="DX491">
        <v>11.32825</v>
      </c>
      <c r="DY491">
        <v>1.63588</v>
      </c>
      <c r="DZ491">
        <v>1.0185025</v>
      </c>
      <c r="EA491">
        <v>14.301</v>
      </c>
      <c r="EB491">
        <v>7.183755</v>
      </c>
      <c r="EC491">
        <v>1500.0025</v>
      </c>
      <c r="ED491">
        <v>0.9730082499999999</v>
      </c>
      <c r="EE491">
        <v>0.02699174999999999</v>
      </c>
      <c r="EF491">
        <v>0</v>
      </c>
      <c r="EG491">
        <v>883.231</v>
      </c>
      <c r="EH491">
        <v>5.00097</v>
      </c>
      <c r="EI491">
        <v>13132.375</v>
      </c>
      <c r="EJ491">
        <v>12491.625</v>
      </c>
      <c r="EK491">
        <v>37.437</v>
      </c>
      <c r="EL491">
        <v>38.75</v>
      </c>
      <c r="EM491">
        <v>37.812</v>
      </c>
      <c r="EN491">
        <v>38.3905</v>
      </c>
      <c r="EO491">
        <v>38.312</v>
      </c>
      <c r="EP491">
        <v>1454.65</v>
      </c>
      <c r="EQ491">
        <v>40.35250000000001</v>
      </c>
      <c r="ER491">
        <v>0</v>
      </c>
      <c r="ES491">
        <v>1230.200000047684</v>
      </c>
      <c r="ET491">
        <v>0</v>
      </c>
      <c r="EU491">
        <v>884.13088</v>
      </c>
      <c r="EV491">
        <v>-10.27076921171093</v>
      </c>
      <c r="EW491">
        <v>-157.4076920613674</v>
      </c>
      <c r="EX491">
        <v>13146.9</v>
      </c>
      <c r="EY491">
        <v>15</v>
      </c>
      <c r="EZ491">
        <v>1651865518.1</v>
      </c>
      <c r="FA491" t="s">
        <v>910</v>
      </c>
      <c r="FB491">
        <v>1651865507.1</v>
      </c>
      <c r="FC491">
        <v>1651865518.1</v>
      </c>
      <c r="FD491">
        <v>8</v>
      </c>
      <c r="FE491">
        <v>0.06</v>
      </c>
      <c r="FF491">
        <v>0</v>
      </c>
      <c r="FG491">
        <v>-0.927</v>
      </c>
      <c r="FH491">
        <v>-0.062</v>
      </c>
      <c r="FI491">
        <v>400</v>
      </c>
      <c r="FJ491">
        <v>11</v>
      </c>
      <c r="FK491">
        <v>0.11</v>
      </c>
      <c r="FL491">
        <v>0.01</v>
      </c>
      <c r="FM491">
        <v>-67.149945</v>
      </c>
      <c r="FN491">
        <v>-1.497192495309637</v>
      </c>
      <c r="FO491">
        <v>0.1973729502110146</v>
      </c>
      <c r="FP491">
        <v>-1</v>
      </c>
      <c r="FQ491">
        <v>7.142822750000001</v>
      </c>
      <c r="FR491">
        <v>-1.87062787992495</v>
      </c>
      <c r="FS491">
        <v>0.1800565256383048</v>
      </c>
      <c r="FT491">
        <v>-1</v>
      </c>
      <c r="FU491">
        <v>0</v>
      </c>
      <c r="FV491">
        <v>0</v>
      </c>
      <c r="FW491">
        <v>0</v>
      </c>
      <c r="FX491">
        <v>-1</v>
      </c>
      <c r="FY491">
        <v>0</v>
      </c>
      <c r="FZ491">
        <v>0</v>
      </c>
      <c r="GA491" t="s">
        <v>420</v>
      </c>
      <c r="GB491">
        <v>2.9817</v>
      </c>
      <c r="GC491">
        <v>2.70629</v>
      </c>
      <c r="GD491">
        <v>0.217185</v>
      </c>
      <c r="GE491">
        <v>0.220713</v>
      </c>
      <c r="GF491">
        <v>0.08727409999999999</v>
      </c>
      <c r="GG491">
        <v>0.0610527</v>
      </c>
      <c r="GH491">
        <v>24740.2</v>
      </c>
      <c r="GI491">
        <v>24681.3</v>
      </c>
      <c r="GJ491">
        <v>29381.5</v>
      </c>
      <c r="GK491">
        <v>29295.8</v>
      </c>
      <c r="GL491">
        <v>35510</v>
      </c>
      <c r="GM491">
        <v>36643.1</v>
      </c>
      <c r="GN491">
        <v>41355</v>
      </c>
      <c r="GO491">
        <v>41816.7</v>
      </c>
      <c r="GP491">
        <v>1.96575</v>
      </c>
      <c r="GQ491">
        <v>1.8631</v>
      </c>
      <c r="GR491">
        <v>-0.00157207</v>
      </c>
      <c r="GS491">
        <v>0</v>
      </c>
      <c r="GT491">
        <v>25.0647</v>
      </c>
      <c r="GU491">
        <v>999.9</v>
      </c>
      <c r="GV491">
        <v>29.3</v>
      </c>
      <c r="GW491">
        <v>34.2</v>
      </c>
      <c r="GX491">
        <v>17.6067</v>
      </c>
      <c r="GY491">
        <v>62.5576</v>
      </c>
      <c r="GZ491">
        <v>34.9239</v>
      </c>
      <c r="HA491">
        <v>1</v>
      </c>
      <c r="HB491">
        <v>0.0382419</v>
      </c>
      <c r="HC491">
        <v>2.03389</v>
      </c>
      <c r="HD491">
        <v>20.3222</v>
      </c>
      <c r="HE491">
        <v>5.21924</v>
      </c>
      <c r="HF491">
        <v>12.0099</v>
      </c>
      <c r="HG491">
        <v>4.98935</v>
      </c>
      <c r="HH491">
        <v>3.28865</v>
      </c>
      <c r="HI491">
        <v>1038.6</v>
      </c>
      <c r="HJ491">
        <v>9781.6</v>
      </c>
      <c r="HK491">
        <v>5139.4</v>
      </c>
      <c r="HL491">
        <v>25.4</v>
      </c>
      <c r="HM491">
        <v>1.86749</v>
      </c>
      <c r="HN491">
        <v>1.86646</v>
      </c>
      <c r="HO491">
        <v>1.866</v>
      </c>
      <c r="HP491">
        <v>1.86586</v>
      </c>
      <c r="HQ491">
        <v>1.86768</v>
      </c>
      <c r="HR491">
        <v>1.87022</v>
      </c>
      <c r="HS491">
        <v>1.8689</v>
      </c>
      <c r="HT491">
        <v>1.87022</v>
      </c>
      <c r="HU491">
        <v>0</v>
      </c>
      <c r="HV491">
        <v>0</v>
      </c>
      <c r="HW491">
        <v>0</v>
      </c>
      <c r="HX491">
        <v>0</v>
      </c>
      <c r="HY491" t="s">
        <v>421</v>
      </c>
      <c r="HZ491" t="s">
        <v>422</v>
      </c>
      <c r="IA491" t="s">
        <v>423</v>
      </c>
      <c r="IB491" t="s">
        <v>423</v>
      </c>
      <c r="IC491" t="s">
        <v>423</v>
      </c>
      <c r="ID491" t="s">
        <v>423</v>
      </c>
      <c r="IE491">
        <v>0</v>
      </c>
      <c r="IF491">
        <v>100</v>
      </c>
      <c r="IG491">
        <v>100</v>
      </c>
      <c r="IH491">
        <v>-2.8</v>
      </c>
      <c r="II491">
        <v>0.0183</v>
      </c>
      <c r="IJ491">
        <v>-0.1559367209035702</v>
      </c>
      <c r="IK491">
        <v>-0.002077099775823331</v>
      </c>
      <c r="IL491">
        <v>4.593143279902166E-07</v>
      </c>
      <c r="IM491">
        <v>-1.865383991892071E-10</v>
      </c>
      <c r="IN491">
        <v>-0.0607165066849496</v>
      </c>
      <c r="IO491">
        <v>-0.01129461987421345</v>
      </c>
      <c r="IP491">
        <v>0.00116580895745559</v>
      </c>
      <c r="IQ491">
        <v>-1.679085872906199E-05</v>
      </c>
      <c r="IR491">
        <v>2</v>
      </c>
      <c r="IS491">
        <v>2290</v>
      </c>
      <c r="IT491">
        <v>0</v>
      </c>
      <c r="IU491">
        <v>32</v>
      </c>
      <c r="IV491">
        <v>20.1</v>
      </c>
      <c r="IW491">
        <v>19.9</v>
      </c>
      <c r="IX491">
        <v>2.94922</v>
      </c>
      <c r="IY491">
        <v>2.1814</v>
      </c>
      <c r="IZ491">
        <v>1.39648</v>
      </c>
      <c r="JA491">
        <v>2.35474</v>
      </c>
      <c r="JB491">
        <v>1.49536</v>
      </c>
      <c r="JC491">
        <v>2.27295</v>
      </c>
      <c r="JD491">
        <v>38.0377</v>
      </c>
      <c r="JE491">
        <v>24.035</v>
      </c>
      <c r="JF491">
        <v>18</v>
      </c>
      <c r="JG491">
        <v>510.665</v>
      </c>
      <c r="JH491">
        <v>430.591</v>
      </c>
      <c r="JI491">
        <v>22.6729</v>
      </c>
      <c r="JJ491">
        <v>27.7975</v>
      </c>
      <c r="JK491">
        <v>29.9999</v>
      </c>
      <c r="JL491">
        <v>27.8016</v>
      </c>
      <c r="JM491">
        <v>27.7456</v>
      </c>
      <c r="JN491">
        <v>59.1178</v>
      </c>
      <c r="JO491">
        <v>33.5696</v>
      </c>
      <c r="JP491">
        <v>0</v>
      </c>
      <c r="JQ491">
        <v>22.6403</v>
      </c>
      <c r="JR491">
        <v>1550.3</v>
      </c>
      <c r="JS491">
        <v>11.6161</v>
      </c>
      <c r="JT491">
        <v>100.431</v>
      </c>
      <c r="JU491">
        <v>100.361</v>
      </c>
    </row>
    <row r="492" spans="1:281">
      <c r="A492">
        <v>476</v>
      </c>
      <c r="B492">
        <v>1651866714.5</v>
      </c>
      <c r="C492">
        <v>2493.900000095367</v>
      </c>
      <c r="D492" t="s">
        <v>1375</v>
      </c>
      <c r="E492" t="s">
        <v>1376</v>
      </c>
      <c r="F492">
        <v>2</v>
      </c>
      <c r="G492" t="s">
        <v>908</v>
      </c>
      <c r="H492" t="s">
        <v>414</v>
      </c>
      <c r="I492">
        <v>1651866713.5</v>
      </c>
      <c r="J492">
        <f>(K492)/1000</f>
        <v>0</v>
      </c>
      <c r="K492">
        <f>IF(CZ492, AN492, AH492)</f>
        <v>0</v>
      </c>
      <c r="L492">
        <f>IF(CZ492, AI492, AG492)</f>
        <v>0</v>
      </c>
      <c r="M492">
        <f>DB492 - IF(AU492&gt;1, L492*CV492*100.0/(AW492*DP492), 0)</f>
        <v>0</v>
      </c>
      <c r="N492">
        <f>((T492-J492/2)*M492-L492)/(T492+J492/2)</f>
        <v>0</v>
      </c>
      <c r="O492">
        <f>N492*(DI492+DJ492)/1000.0</f>
        <v>0</v>
      </c>
      <c r="P492">
        <f>(DB492 - IF(AU492&gt;1, L492*CV492*100.0/(AW492*DP492), 0))*(DI492+DJ492)/1000.0</f>
        <v>0</v>
      </c>
      <c r="Q492">
        <f>2.0/((1/S492-1/R492)+SIGN(S492)*SQRT((1/S492-1/R492)*(1/S492-1/R492) + 4*CW492/((CW492+1)*(CW492+1))*(2*1/S492*1/R492-1/R492*1/R492)))</f>
        <v>0</v>
      </c>
      <c r="R492">
        <f>IF(LEFT(CX492,1)&lt;&gt;"0",IF(LEFT(CX492,1)="1",3.0,CY492),$D$5+$E$5*(DP492*DI492/($K$5*1000))+$F$5*(DP492*DI492/($K$5*1000))*MAX(MIN(CV492,$J$5),$I$5)*MAX(MIN(CV492,$J$5),$I$5)+$G$5*MAX(MIN(CV492,$J$5),$I$5)*(DP492*DI492/($K$5*1000))+$H$5*(DP492*DI492/($K$5*1000))*(DP492*DI492/($K$5*1000)))</f>
        <v>0</v>
      </c>
      <c r="S492">
        <f>J492*(1000-(1000*0.61365*exp(17.502*W492/(240.97+W492))/(DI492+DJ492)+DD492)/2)/(1000*0.61365*exp(17.502*W492/(240.97+W492))/(DI492+DJ492)-DD492)</f>
        <v>0</v>
      </c>
      <c r="T492">
        <f>1/((CW492+1)/(Q492/1.6)+1/(R492/1.37)) + CW492/((CW492+1)/(Q492/1.6) + CW492/(R492/1.37))</f>
        <v>0</v>
      </c>
      <c r="U492">
        <f>(CR492*CU492)</f>
        <v>0</v>
      </c>
      <c r="V492">
        <f>(DK492+(U492+2*0.95*5.67E-8*(((DK492+$B$7)+273)^4-(DK492+273)^4)-44100*J492)/(1.84*29.3*R492+8*0.95*5.67E-8*(DK492+273)^3))</f>
        <v>0</v>
      </c>
      <c r="W492">
        <f>($C$7*DL492+$D$7*DM492+$E$7*V492)</f>
        <v>0</v>
      </c>
      <c r="X492">
        <f>0.61365*exp(17.502*W492/(240.97+W492))</f>
        <v>0</v>
      </c>
      <c r="Y492">
        <f>(Z492/AA492*100)</f>
        <v>0</v>
      </c>
      <c r="Z492">
        <f>DD492*(DI492+DJ492)/1000</f>
        <v>0</v>
      </c>
      <c r="AA492">
        <f>0.61365*exp(17.502*DK492/(240.97+DK492))</f>
        <v>0</v>
      </c>
      <c r="AB492">
        <f>(X492-DD492*(DI492+DJ492)/1000)</f>
        <v>0</v>
      </c>
      <c r="AC492">
        <f>(-J492*44100)</f>
        <v>0</v>
      </c>
      <c r="AD492">
        <f>2*29.3*R492*0.92*(DK492-W492)</f>
        <v>0</v>
      </c>
      <c r="AE492">
        <f>2*0.95*5.67E-8*(((DK492+$B$7)+273)^4-(W492+273)^4)</f>
        <v>0</v>
      </c>
      <c r="AF492">
        <f>U492+AE492+AC492+AD492</f>
        <v>0</v>
      </c>
      <c r="AG492">
        <f>DH492*AU492*(DC492-DB492*(1000-AU492*DE492)/(1000-AU492*DD492))/(100*CV492)</f>
        <v>0</v>
      </c>
      <c r="AH492">
        <f>1000*DH492*AU492*(DD492-DE492)/(100*CV492*(1000-AU492*DD492))</f>
        <v>0</v>
      </c>
      <c r="AI492">
        <f>(AJ492 - AK492 - DI492*1E3/(8.314*(DK492+273.15)) * AM492/DH492 * AL492) * DH492/(100*CV492) * (1000 - DE492)/1000</f>
        <v>0</v>
      </c>
      <c r="AJ492">
        <v>1544.073437214472</v>
      </c>
      <c r="AK492">
        <v>1493.853515151515</v>
      </c>
      <c r="AL492">
        <v>3.398124384105996</v>
      </c>
      <c r="AM492">
        <v>66.38195617057868</v>
      </c>
      <c r="AN492">
        <f>(AP492 - AO492 + DI492*1E3/(8.314*(DK492+273.15)) * AR492/DH492 * AQ492) * DH492/(100*CV492) * 1000/(1000 - AP492)</f>
        <v>0</v>
      </c>
      <c r="AO492">
        <v>11.29602136924784</v>
      </c>
      <c r="AP492">
        <v>18.19170323529411</v>
      </c>
      <c r="AQ492">
        <v>-4.065659088802071E-05</v>
      </c>
      <c r="AR492">
        <v>80.47178418790507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MAX(0,($B$13+$C$13*DP492)/(1+$D$13*DP492)*DI492/(DK492+273)*$E$13)</f>
        <v>0</v>
      </c>
      <c r="AX492" t="s">
        <v>417</v>
      </c>
      <c r="AY492" t="s">
        <v>417</v>
      </c>
      <c r="AZ492">
        <v>0</v>
      </c>
      <c r="BA492">
        <v>0</v>
      </c>
      <c r="BB492">
        <f>1-AZ492/BA492</f>
        <v>0</v>
      </c>
      <c r="BC492">
        <v>0</v>
      </c>
      <c r="BD492" t="s">
        <v>417</v>
      </c>
      <c r="BE492" t="s">
        <v>417</v>
      </c>
      <c r="BF492">
        <v>0</v>
      </c>
      <c r="BG492">
        <v>0</v>
      </c>
      <c r="BH492">
        <f>1-BF492/BG492</f>
        <v>0</v>
      </c>
      <c r="BI492">
        <v>0.5</v>
      </c>
      <c r="BJ492">
        <f>CS492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417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BZ492">
        <v>1249</v>
      </c>
      <c r="CA492">
        <v>300</v>
      </c>
      <c r="CB492">
        <v>300</v>
      </c>
      <c r="CC492">
        <v>300</v>
      </c>
      <c r="CD492">
        <v>10442.4</v>
      </c>
      <c r="CE492">
        <v>1239.69</v>
      </c>
      <c r="CF492">
        <v>-0.00735276</v>
      </c>
      <c r="CG492">
        <v>0.07000000000000001</v>
      </c>
      <c r="CH492" t="s">
        <v>417</v>
      </c>
      <c r="CI492" t="s">
        <v>417</v>
      </c>
      <c r="CJ492" t="s">
        <v>417</v>
      </c>
      <c r="CK492" t="s">
        <v>417</v>
      </c>
      <c r="CL492" t="s">
        <v>417</v>
      </c>
      <c r="CM492" t="s">
        <v>417</v>
      </c>
      <c r="CN492" t="s">
        <v>417</v>
      </c>
      <c r="CO492" t="s">
        <v>417</v>
      </c>
      <c r="CP492" t="s">
        <v>417</v>
      </c>
      <c r="CQ492" t="s">
        <v>417</v>
      </c>
      <c r="CR492">
        <f>$B$11*DQ492+$C$11*DR492+$F$11*EC492*(1-EF492)</f>
        <v>0</v>
      </c>
      <c r="CS492">
        <f>CR492*CT492</f>
        <v>0</v>
      </c>
      <c r="CT492">
        <f>($B$11*$D$9+$C$11*$D$9+$F$11*((EP492+EH492)/MAX(EP492+EH492+EQ492, 0.1)*$I$9+EQ492/MAX(EP492+EH492+EQ492, 0.1)*$J$9))/($B$11+$C$11+$F$11)</f>
        <v>0</v>
      </c>
      <c r="CU492">
        <f>($B$11*$K$9+$C$11*$K$9+$F$11*((EP492+EH492)/MAX(EP492+EH492+EQ492, 0.1)*$P$9+EQ492/MAX(EP492+EH492+EQ492, 0.1)*$Q$9))/($B$11+$C$11+$F$11)</f>
        <v>0</v>
      </c>
      <c r="CV492">
        <v>6</v>
      </c>
      <c r="CW492">
        <v>0.5</v>
      </c>
      <c r="CX492" t="s">
        <v>418</v>
      </c>
      <c r="CY492">
        <v>2</v>
      </c>
      <c r="CZ492" t="b">
        <v>1</v>
      </c>
      <c r="DA492">
        <v>1651866713.5</v>
      </c>
      <c r="DB492">
        <v>1465</v>
      </c>
      <c r="DC492">
        <v>1532.366666666667</v>
      </c>
      <c r="DD492">
        <v>18.1919</v>
      </c>
      <c r="DE492">
        <v>11.3977</v>
      </c>
      <c r="DF492">
        <v>1467.806666666667</v>
      </c>
      <c r="DG492">
        <v>18.1736</v>
      </c>
      <c r="DH492">
        <v>500.0910000000001</v>
      </c>
      <c r="DI492">
        <v>89.9087</v>
      </c>
      <c r="DJ492">
        <v>0.1000968</v>
      </c>
      <c r="DK492">
        <v>25.87956666666667</v>
      </c>
      <c r="DL492">
        <v>25.03873333333334</v>
      </c>
      <c r="DM492">
        <v>999.9</v>
      </c>
      <c r="DN492">
        <v>0</v>
      </c>
      <c r="DO492">
        <v>0</v>
      </c>
      <c r="DP492">
        <v>9989.983333333334</v>
      </c>
      <c r="DQ492">
        <v>0</v>
      </c>
      <c r="DR492">
        <v>3.259103333333333</v>
      </c>
      <c r="DS492">
        <v>-67.364</v>
      </c>
      <c r="DT492">
        <v>1492.15</v>
      </c>
      <c r="DU492">
        <v>1550.033333333334</v>
      </c>
      <c r="DV492">
        <v>6.794176666666666</v>
      </c>
      <c r="DW492">
        <v>1532.366666666667</v>
      </c>
      <c r="DX492">
        <v>11.3977</v>
      </c>
      <c r="DY492">
        <v>1.635606666666667</v>
      </c>
      <c r="DZ492">
        <v>1.024753333333333</v>
      </c>
      <c r="EA492">
        <v>14.29843333333334</v>
      </c>
      <c r="EB492">
        <v>7.273116666666667</v>
      </c>
      <c r="EC492">
        <v>1500.06</v>
      </c>
      <c r="ED492">
        <v>0.9730103333333333</v>
      </c>
      <c r="EE492">
        <v>0.0269895</v>
      </c>
      <c r="EF492">
        <v>0</v>
      </c>
      <c r="EG492">
        <v>882.7343333333333</v>
      </c>
      <c r="EH492">
        <v>5.00097</v>
      </c>
      <c r="EI492">
        <v>13127.26666666667</v>
      </c>
      <c r="EJ492">
        <v>12492.13333333333</v>
      </c>
      <c r="EK492">
        <v>37.39566666666666</v>
      </c>
      <c r="EL492">
        <v>38.75</v>
      </c>
      <c r="EM492">
        <v>37.812</v>
      </c>
      <c r="EN492">
        <v>38.375</v>
      </c>
      <c r="EO492">
        <v>38.312</v>
      </c>
      <c r="EP492">
        <v>1454.71</v>
      </c>
      <c r="EQ492">
        <v>40.35</v>
      </c>
      <c r="ER492">
        <v>0</v>
      </c>
      <c r="ES492">
        <v>1232</v>
      </c>
      <c r="ET492">
        <v>0</v>
      </c>
      <c r="EU492">
        <v>883.8561538461539</v>
      </c>
      <c r="EV492">
        <v>-10.13394871748733</v>
      </c>
      <c r="EW492">
        <v>-157.3982906428836</v>
      </c>
      <c r="EX492">
        <v>13142.95</v>
      </c>
      <c r="EY492">
        <v>15</v>
      </c>
      <c r="EZ492">
        <v>1651865518.1</v>
      </c>
      <c r="FA492" t="s">
        <v>910</v>
      </c>
      <c r="FB492">
        <v>1651865507.1</v>
      </c>
      <c r="FC492">
        <v>1651865518.1</v>
      </c>
      <c r="FD492">
        <v>8</v>
      </c>
      <c r="FE492">
        <v>0.06</v>
      </c>
      <c r="FF492">
        <v>0</v>
      </c>
      <c r="FG492">
        <v>-0.927</v>
      </c>
      <c r="FH492">
        <v>-0.062</v>
      </c>
      <c r="FI492">
        <v>400</v>
      </c>
      <c r="FJ492">
        <v>11</v>
      </c>
      <c r="FK492">
        <v>0.11</v>
      </c>
      <c r="FL492">
        <v>0.01</v>
      </c>
      <c r="FM492">
        <v>-67.19263414634146</v>
      </c>
      <c r="FN492">
        <v>-1.297314982578399</v>
      </c>
      <c r="FO492">
        <v>0.1773412496686183</v>
      </c>
      <c r="FP492">
        <v>-1</v>
      </c>
      <c r="FQ492">
        <v>7.104023170731708</v>
      </c>
      <c r="FR492">
        <v>-1.864242648083624</v>
      </c>
      <c r="FS492">
        <v>0.1839244763143487</v>
      </c>
      <c r="FT492">
        <v>-1</v>
      </c>
      <c r="FU492">
        <v>0</v>
      </c>
      <c r="FV492">
        <v>0</v>
      </c>
      <c r="FW492">
        <v>0</v>
      </c>
      <c r="FX492">
        <v>-1</v>
      </c>
      <c r="FY492">
        <v>0</v>
      </c>
      <c r="FZ492">
        <v>0</v>
      </c>
      <c r="GA492" t="s">
        <v>420</v>
      </c>
      <c r="GB492">
        <v>2.98163</v>
      </c>
      <c r="GC492">
        <v>2.70606</v>
      </c>
      <c r="GD492">
        <v>0.217789</v>
      </c>
      <c r="GE492">
        <v>0.221276</v>
      </c>
      <c r="GF492">
        <v>0.0872652</v>
      </c>
      <c r="GG492">
        <v>0.061326</v>
      </c>
      <c r="GH492">
        <v>24721.4</v>
      </c>
      <c r="GI492">
        <v>24663.7</v>
      </c>
      <c r="GJ492">
        <v>29381.8</v>
      </c>
      <c r="GK492">
        <v>29296</v>
      </c>
      <c r="GL492">
        <v>35510.7</v>
      </c>
      <c r="GM492">
        <v>36632.6</v>
      </c>
      <c r="GN492">
        <v>41355.5</v>
      </c>
      <c r="GO492">
        <v>41816.9</v>
      </c>
      <c r="GP492">
        <v>1.96577</v>
      </c>
      <c r="GQ492">
        <v>1.86325</v>
      </c>
      <c r="GR492">
        <v>-0.00154227</v>
      </c>
      <c r="GS492">
        <v>0</v>
      </c>
      <c r="GT492">
        <v>25.0657</v>
      </c>
      <c r="GU492">
        <v>999.9</v>
      </c>
      <c r="GV492">
        <v>29.3</v>
      </c>
      <c r="GW492">
        <v>34.2</v>
      </c>
      <c r="GX492">
        <v>17.6077</v>
      </c>
      <c r="GY492">
        <v>62.4176</v>
      </c>
      <c r="GZ492">
        <v>34.9679</v>
      </c>
      <c r="HA492">
        <v>1</v>
      </c>
      <c r="HB492">
        <v>0.038031</v>
      </c>
      <c r="HC492">
        <v>2.06401</v>
      </c>
      <c r="HD492">
        <v>20.322</v>
      </c>
      <c r="HE492">
        <v>5.21954</v>
      </c>
      <c r="HF492">
        <v>12.0099</v>
      </c>
      <c r="HG492">
        <v>4.98935</v>
      </c>
      <c r="HH492">
        <v>3.28865</v>
      </c>
      <c r="HI492">
        <v>1038.6</v>
      </c>
      <c r="HJ492">
        <v>9781.6</v>
      </c>
      <c r="HK492">
        <v>5139.4</v>
      </c>
      <c r="HL492">
        <v>25.4</v>
      </c>
      <c r="HM492">
        <v>1.86749</v>
      </c>
      <c r="HN492">
        <v>1.86646</v>
      </c>
      <c r="HO492">
        <v>1.866</v>
      </c>
      <c r="HP492">
        <v>1.86587</v>
      </c>
      <c r="HQ492">
        <v>1.86768</v>
      </c>
      <c r="HR492">
        <v>1.87024</v>
      </c>
      <c r="HS492">
        <v>1.8689</v>
      </c>
      <c r="HT492">
        <v>1.87021</v>
      </c>
      <c r="HU492">
        <v>0</v>
      </c>
      <c r="HV492">
        <v>0</v>
      </c>
      <c r="HW492">
        <v>0</v>
      </c>
      <c r="HX492">
        <v>0</v>
      </c>
      <c r="HY492" t="s">
        <v>421</v>
      </c>
      <c r="HZ492" t="s">
        <v>422</v>
      </c>
      <c r="IA492" t="s">
        <v>423</v>
      </c>
      <c r="IB492" t="s">
        <v>423</v>
      </c>
      <c r="IC492" t="s">
        <v>423</v>
      </c>
      <c r="ID492" t="s">
        <v>423</v>
      </c>
      <c r="IE492">
        <v>0</v>
      </c>
      <c r="IF492">
        <v>100</v>
      </c>
      <c r="IG492">
        <v>100</v>
      </c>
      <c r="IH492">
        <v>-2.81</v>
      </c>
      <c r="II492">
        <v>0.0182</v>
      </c>
      <c r="IJ492">
        <v>-0.1559367209035702</v>
      </c>
      <c r="IK492">
        <v>-0.002077099775823331</v>
      </c>
      <c r="IL492">
        <v>4.593143279902166E-07</v>
      </c>
      <c r="IM492">
        <v>-1.865383991892071E-10</v>
      </c>
      <c r="IN492">
        <v>-0.0607165066849496</v>
      </c>
      <c r="IO492">
        <v>-0.01129461987421345</v>
      </c>
      <c r="IP492">
        <v>0.00116580895745559</v>
      </c>
      <c r="IQ492">
        <v>-1.679085872906199E-05</v>
      </c>
      <c r="IR492">
        <v>2</v>
      </c>
      <c r="IS492">
        <v>2290</v>
      </c>
      <c r="IT492">
        <v>0</v>
      </c>
      <c r="IU492">
        <v>32</v>
      </c>
      <c r="IV492">
        <v>20.1</v>
      </c>
      <c r="IW492">
        <v>19.9</v>
      </c>
      <c r="IX492">
        <v>2.96021</v>
      </c>
      <c r="IY492">
        <v>2.17651</v>
      </c>
      <c r="IZ492">
        <v>1.39648</v>
      </c>
      <c r="JA492">
        <v>2.35474</v>
      </c>
      <c r="JB492">
        <v>1.49536</v>
      </c>
      <c r="JC492">
        <v>2.29736</v>
      </c>
      <c r="JD492">
        <v>38.0134</v>
      </c>
      <c r="JE492">
        <v>24.0437</v>
      </c>
      <c r="JF492">
        <v>18</v>
      </c>
      <c r="JG492">
        <v>510.672</v>
      </c>
      <c r="JH492">
        <v>430.681</v>
      </c>
      <c r="JI492">
        <v>22.6533</v>
      </c>
      <c r="JJ492">
        <v>27.7971</v>
      </c>
      <c r="JK492">
        <v>30</v>
      </c>
      <c r="JL492">
        <v>27.8004</v>
      </c>
      <c r="JM492">
        <v>27.7456</v>
      </c>
      <c r="JN492">
        <v>59.3337</v>
      </c>
      <c r="JO492">
        <v>33.5696</v>
      </c>
      <c r="JP492">
        <v>0</v>
      </c>
      <c r="JQ492">
        <v>22.6403</v>
      </c>
      <c r="JR492">
        <v>1556.98</v>
      </c>
      <c r="JS492">
        <v>11.6736</v>
      </c>
      <c r="JT492">
        <v>100.432</v>
      </c>
      <c r="JU492">
        <v>100.361</v>
      </c>
    </row>
    <row r="493" spans="1:281">
      <c r="A493">
        <v>477</v>
      </c>
      <c r="B493">
        <v>1651866716.5</v>
      </c>
      <c r="C493">
        <v>2495.900000095367</v>
      </c>
      <c r="D493" t="s">
        <v>1377</v>
      </c>
      <c r="E493" t="s">
        <v>1378</v>
      </c>
      <c r="F493">
        <v>2</v>
      </c>
      <c r="G493" t="s">
        <v>908</v>
      </c>
      <c r="H493" t="s">
        <v>414</v>
      </c>
      <c r="I493">
        <v>1651866715.125</v>
      </c>
      <c r="J493">
        <f>(K493)/1000</f>
        <v>0</v>
      </c>
      <c r="K493">
        <f>IF(CZ493, AN493, AH493)</f>
        <v>0</v>
      </c>
      <c r="L493">
        <f>IF(CZ493, AI493, AG493)</f>
        <v>0</v>
      </c>
      <c r="M493">
        <f>DB493 - IF(AU493&gt;1, L493*CV493*100.0/(AW493*DP493), 0)</f>
        <v>0</v>
      </c>
      <c r="N493">
        <f>((T493-J493/2)*M493-L493)/(T493+J493/2)</f>
        <v>0</v>
      </c>
      <c r="O493">
        <f>N493*(DI493+DJ493)/1000.0</f>
        <v>0</v>
      </c>
      <c r="P493">
        <f>(DB493 - IF(AU493&gt;1, L493*CV493*100.0/(AW493*DP493), 0))*(DI493+DJ493)/1000.0</f>
        <v>0</v>
      </c>
      <c r="Q493">
        <f>2.0/((1/S493-1/R493)+SIGN(S493)*SQRT((1/S493-1/R493)*(1/S493-1/R493) + 4*CW493/((CW493+1)*(CW493+1))*(2*1/S493*1/R493-1/R493*1/R493)))</f>
        <v>0</v>
      </c>
      <c r="R493">
        <f>IF(LEFT(CX493,1)&lt;&gt;"0",IF(LEFT(CX493,1)="1",3.0,CY493),$D$5+$E$5*(DP493*DI493/($K$5*1000))+$F$5*(DP493*DI493/($K$5*1000))*MAX(MIN(CV493,$J$5),$I$5)*MAX(MIN(CV493,$J$5),$I$5)+$G$5*MAX(MIN(CV493,$J$5),$I$5)*(DP493*DI493/($K$5*1000))+$H$5*(DP493*DI493/($K$5*1000))*(DP493*DI493/($K$5*1000)))</f>
        <v>0</v>
      </c>
      <c r="S493">
        <f>J493*(1000-(1000*0.61365*exp(17.502*W493/(240.97+W493))/(DI493+DJ493)+DD493)/2)/(1000*0.61365*exp(17.502*W493/(240.97+W493))/(DI493+DJ493)-DD493)</f>
        <v>0</v>
      </c>
      <c r="T493">
        <f>1/((CW493+1)/(Q493/1.6)+1/(R493/1.37)) + CW493/((CW493+1)/(Q493/1.6) + CW493/(R493/1.37))</f>
        <v>0</v>
      </c>
      <c r="U493">
        <f>(CR493*CU493)</f>
        <v>0</v>
      </c>
      <c r="V493">
        <f>(DK493+(U493+2*0.95*5.67E-8*(((DK493+$B$7)+273)^4-(DK493+273)^4)-44100*J493)/(1.84*29.3*R493+8*0.95*5.67E-8*(DK493+273)^3))</f>
        <v>0</v>
      </c>
      <c r="W493">
        <f>($C$7*DL493+$D$7*DM493+$E$7*V493)</f>
        <v>0</v>
      </c>
      <c r="X493">
        <f>0.61365*exp(17.502*W493/(240.97+W493))</f>
        <v>0</v>
      </c>
      <c r="Y493">
        <f>(Z493/AA493*100)</f>
        <v>0</v>
      </c>
      <c r="Z493">
        <f>DD493*(DI493+DJ493)/1000</f>
        <v>0</v>
      </c>
      <c r="AA493">
        <f>0.61365*exp(17.502*DK493/(240.97+DK493))</f>
        <v>0</v>
      </c>
      <c r="AB493">
        <f>(X493-DD493*(DI493+DJ493)/1000)</f>
        <v>0</v>
      </c>
      <c r="AC493">
        <f>(-J493*44100)</f>
        <v>0</v>
      </c>
      <c r="AD493">
        <f>2*29.3*R493*0.92*(DK493-W493)</f>
        <v>0</v>
      </c>
      <c r="AE493">
        <f>2*0.95*5.67E-8*(((DK493+$B$7)+273)^4-(W493+273)^4)</f>
        <v>0</v>
      </c>
      <c r="AF493">
        <f>U493+AE493+AC493+AD493</f>
        <v>0</v>
      </c>
      <c r="AG493">
        <f>DH493*AU493*(DC493-DB493*(1000-AU493*DE493)/(1000-AU493*DD493))/(100*CV493)</f>
        <v>0</v>
      </c>
      <c r="AH493">
        <f>1000*DH493*AU493*(DD493-DE493)/(100*CV493*(1000-AU493*DD493))</f>
        <v>0</v>
      </c>
      <c r="AI493">
        <f>(AJ493 - AK493 - DI493*1E3/(8.314*(DK493+273.15)) * AM493/DH493 * AL493) * DH493/(100*CV493) * (1000 - DE493)/1000</f>
        <v>0</v>
      </c>
      <c r="AJ493">
        <v>1550.786571722829</v>
      </c>
      <c r="AK493">
        <v>1500.655878787878</v>
      </c>
      <c r="AL493">
        <v>3.404362545200578</v>
      </c>
      <c r="AM493">
        <v>66.38195617057868</v>
      </c>
      <c r="AN493">
        <f>(AP493 - AO493 + DI493*1E3/(8.314*(DK493+273.15)) * AR493/DH493 * AQ493) * DH493/(100*CV493) * 1000/(1000 - AP493)</f>
        <v>0</v>
      </c>
      <c r="AO493">
        <v>11.35130359592953</v>
      </c>
      <c r="AP493">
        <v>18.18738617647058</v>
      </c>
      <c r="AQ493">
        <v>-2.107385907225313E-06</v>
      </c>
      <c r="AR493">
        <v>80.47178418790507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MAX(0,($B$13+$C$13*DP493)/(1+$D$13*DP493)*DI493/(DK493+273)*$E$13)</f>
        <v>0</v>
      </c>
      <c r="AX493" t="s">
        <v>417</v>
      </c>
      <c r="AY493" t="s">
        <v>417</v>
      </c>
      <c r="AZ493">
        <v>0</v>
      </c>
      <c r="BA493">
        <v>0</v>
      </c>
      <c r="BB493">
        <f>1-AZ493/BA493</f>
        <v>0</v>
      </c>
      <c r="BC493">
        <v>0</v>
      </c>
      <c r="BD493" t="s">
        <v>417</v>
      </c>
      <c r="BE493" t="s">
        <v>417</v>
      </c>
      <c r="BF493">
        <v>0</v>
      </c>
      <c r="BG493">
        <v>0</v>
      </c>
      <c r="BH493">
        <f>1-BF493/BG493</f>
        <v>0</v>
      </c>
      <c r="BI493">
        <v>0.5</v>
      </c>
      <c r="BJ493">
        <f>CS493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417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BZ493">
        <v>1249</v>
      </c>
      <c r="CA493">
        <v>300</v>
      </c>
      <c r="CB493">
        <v>300</v>
      </c>
      <c r="CC493">
        <v>300</v>
      </c>
      <c r="CD493">
        <v>10442.4</v>
      </c>
      <c r="CE493">
        <v>1239.69</v>
      </c>
      <c r="CF493">
        <v>-0.00735276</v>
      </c>
      <c r="CG493">
        <v>0.07000000000000001</v>
      </c>
      <c r="CH493" t="s">
        <v>417</v>
      </c>
      <c r="CI493" t="s">
        <v>417</v>
      </c>
      <c r="CJ493" t="s">
        <v>417</v>
      </c>
      <c r="CK493" t="s">
        <v>417</v>
      </c>
      <c r="CL493" t="s">
        <v>417</v>
      </c>
      <c r="CM493" t="s">
        <v>417</v>
      </c>
      <c r="CN493" t="s">
        <v>417</v>
      </c>
      <c r="CO493" t="s">
        <v>417</v>
      </c>
      <c r="CP493" t="s">
        <v>417</v>
      </c>
      <c r="CQ493" t="s">
        <v>417</v>
      </c>
      <c r="CR493">
        <f>$B$11*DQ493+$C$11*DR493+$F$11*EC493*(1-EF493)</f>
        <v>0</v>
      </c>
      <c r="CS493">
        <f>CR493*CT493</f>
        <v>0</v>
      </c>
      <c r="CT493">
        <f>($B$11*$D$9+$C$11*$D$9+$F$11*((EP493+EH493)/MAX(EP493+EH493+EQ493, 0.1)*$I$9+EQ493/MAX(EP493+EH493+EQ493, 0.1)*$J$9))/($B$11+$C$11+$F$11)</f>
        <v>0</v>
      </c>
      <c r="CU493">
        <f>($B$11*$K$9+$C$11*$K$9+$F$11*((EP493+EH493)/MAX(EP493+EH493+EQ493, 0.1)*$P$9+EQ493/MAX(EP493+EH493+EQ493, 0.1)*$Q$9))/($B$11+$C$11+$F$11)</f>
        <v>0</v>
      </c>
      <c r="CV493">
        <v>6</v>
      </c>
      <c r="CW493">
        <v>0.5</v>
      </c>
      <c r="CX493" t="s">
        <v>418</v>
      </c>
      <c r="CY493">
        <v>2</v>
      </c>
      <c r="CZ493" t="b">
        <v>1</v>
      </c>
      <c r="DA493">
        <v>1651866715.125</v>
      </c>
      <c r="DB493">
        <v>1470.44</v>
      </c>
      <c r="DC493">
        <v>1537.68</v>
      </c>
      <c r="DD493">
        <v>18.189</v>
      </c>
      <c r="DE493">
        <v>11.455325</v>
      </c>
      <c r="DF493">
        <v>1473.255</v>
      </c>
      <c r="DG493">
        <v>18.170725</v>
      </c>
      <c r="DH493">
        <v>500.0475</v>
      </c>
      <c r="DI493">
        <v>89.909075</v>
      </c>
      <c r="DJ493">
        <v>0.099872775</v>
      </c>
      <c r="DK493">
        <v>25.876975</v>
      </c>
      <c r="DL493">
        <v>25.0407</v>
      </c>
      <c r="DM493">
        <v>999.9</v>
      </c>
      <c r="DN493">
        <v>0</v>
      </c>
      <c r="DO493">
        <v>0</v>
      </c>
      <c r="DP493">
        <v>10010.6</v>
      </c>
      <c r="DQ493">
        <v>0</v>
      </c>
      <c r="DR493">
        <v>3.250205</v>
      </c>
      <c r="DS493">
        <v>-67.241625</v>
      </c>
      <c r="DT493">
        <v>1497.68</v>
      </c>
      <c r="DU493">
        <v>1555.5</v>
      </c>
      <c r="DV493">
        <v>6.73366</v>
      </c>
      <c r="DW493">
        <v>1537.68</v>
      </c>
      <c r="DX493">
        <v>11.455325</v>
      </c>
      <c r="DY493">
        <v>1.635355</v>
      </c>
      <c r="DZ493">
        <v>1.0299375</v>
      </c>
      <c r="EA493">
        <v>14.29605</v>
      </c>
      <c r="EB493">
        <v>7.3468775</v>
      </c>
      <c r="EC493">
        <v>1500.085</v>
      </c>
      <c r="ED493">
        <v>0.97301075</v>
      </c>
      <c r="EE493">
        <v>0.02698905</v>
      </c>
      <c r="EF493">
        <v>0</v>
      </c>
      <c r="EG493">
        <v>882.4404999999999</v>
      </c>
      <c r="EH493">
        <v>5.00097</v>
      </c>
      <c r="EI493">
        <v>13123.125</v>
      </c>
      <c r="EJ493">
        <v>12492.375</v>
      </c>
      <c r="EK493">
        <v>37.375</v>
      </c>
      <c r="EL493">
        <v>38.75</v>
      </c>
      <c r="EM493">
        <v>37.812</v>
      </c>
      <c r="EN493">
        <v>38.375</v>
      </c>
      <c r="EO493">
        <v>38.312</v>
      </c>
      <c r="EP493">
        <v>1454.735</v>
      </c>
      <c r="EQ493">
        <v>40.35</v>
      </c>
      <c r="ER493">
        <v>0</v>
      </c>
      <c r="ES493">
        <v>1234.400000095367</v>
      </c>
      <c r="ET493">
        <v>0</v>
      </c>
      <c r="EU493">
        <v>883.4569230769231</v>
      </c>
      <c r="EV493">
        <v>-9.73811966497361</v>
      </c>
      <c r="EW493">
        <v>-155.958974365244</v>
      </c>
      <c r="EX493">
        <v>13136.56153846154</v>
      </c>
      <c r="EY493">
        <v>15</v>
      </c>
      <c r="EZ493">
        <v>1651865518.1</v>
      </c>
      <c r="FA493" t="s">
        <v>910</v>
      </c>
      <c r="FB493">
        <v>1651865507.1</v>
      </c>
      <c r="FC493">
        <v>1651865518.1</v>
      </c>
      <c r="FD493">
        <v>8</v>
      </c>
      <c r="FE493">
        <v>0.06</v>
      </c>
      <c r="FF493">
        <v>0</v>
      </c>
      <c r="FG493">
        <v>-0.927</v>
      </c>
      <c r="FH493">
        <v>-0.062</v>
      </c>
      <c r="FI493">
        <v>400</v>
      </c>
      <c r="FJ493">
        <v>11</v>
      </c>
      <c r="FK493">
        <v>0.11</v>
      </c>
      <c r="FL493">
        <v>0.01</v>
      </c>
      <c r="FM493">
        <v>-67.22255</v>
      </c>
      <c r="FN493">
        <v>-0.9450979362099878</v>
      </c>
      <c r="FO493">
        <v>0.1482970228966178</v>
      </c>
      <c r="FP493">
        <v>-1</v>
      </c>
      <c r="FQ493">
        <v>7.016446999999999</v>
      </c>
      <c r="FR493">
        <v>-1.859104390243909</v>
      </c>
      <c r="FS493">
        <v>0.1789448610214889</v>
      </c>
      <c r="FT493">
        <v>-1</v>
      </c>
      <c r="FU493">
        <v>0</v>
      </c>
      <c r="FV493">
        <v>0</v>
      </c>
      <c r="FW493">
        <v>0</v>
      </c>
      <c r="FX493">
        <v>-1</v>
      </c>
      <c r="FY493">
        <v>0</v>
      </c>
      <c r="FZ493">
        <v>0</v>
      </c>
      <c r="GA493" t="s">
        <v>420</v>
      </c>
      <c r="GB493">
        <v>2.98165</v>
      </c>
      <c r="GC493">
        <v>2.70616</v>
      </c>
      <c r="GD493">
        <v>0.218388</v>
      </c>
      <c r="GE493">
        <v>0.221857</v>
      </c>
      <c r="GF493">
        <v>0.08726689999999999</v>
      </c>
      <c r="GG493">
        <v>0.0615934</v>
      </c>
      <c r="GH493">
        <v>24702.6</v>
      </c>
      <c r="GI493">
        <v>24645.4</v>
      </c>
      <c r="GJ493">
        <v>29382</v>
      </c>
      <c r="GK493">
        <v>29296.1</v>
      </c>
      <c r="GL493">
        <v>35510.9</v>
      </c>
      <c r="GM493">
        <v>36622.3</v>
      </c>
      <c r="GN493">
        <v>41355.7</v>
      </c>
      <c r="GO493">
        <v>41817.2</v>
      </c>
      <c r="GP493">
        <v>1.9658</v>
      </c>
      <c r="GQ493">
        <v>1.86332</v>
      </c>
      <c r="GR493">
        <v>-0.00149384</v>
      </c>
      <c r="GS493">
        <v>0</v>
      </c>
      <c r="GT493">
        <v>25.0657</v>
      </c>
      <c r="GU493">
        <v>999.9</v>
      </c>
      <c r="GV493">
        <v>29.3</v>
      </c>
      <c r="GW493">
        <v>34.2</v>
      </c>
      <c r="GX493">
        <v>17.607</v>
      </c>
      <c r="GY493">
        <v>62.3076</v>
      </c>
      <c r="GZ493">
        <v>34.9079</v>
      </c>
      <c r="HA493">
        <v>1</v>
      </c>
      <c r="HB493">
        <v>0.0380869</v>
      </c>
      <c r="HC493">
        <v>2.0518</v>
      </c>
      <c r="HD493">
        <v>20.3222</v>
      </c>
      <c r="HE493">
        <v>5.21969</v>
      </c>
      <c r="HF493">
        <v>12.0099</v>
      </c>
      <c r="HG493">
        <v>4.98945</v>
      </c>
      <c r="HH493">
        <v>3.28865</v>
      </c>
      <c r="HI493">
        <v>1038.8</v>
      </c>
      <c r="HJ493">
        <v>9782.700000000001</v>
      </c>
      <c r="HK493">
        <v>5139.4</v>
      </c>
      <c r="HL493">
        <v>25.4</v>
      </c>
      <c r="HM493">
        <v>1.86749</v>
      </c>
      <c r="HN493">
        <v>1.86646</v>
      </c>
      <c r="HO493">
        <v>1.866</v>
      </c>
      <c r="HP493">
        <v>1.86587</v>
      </c>
      <c r="HQ493">
        <v>1.86768</v>
      </c>
      <c r="HR493">
        <v>1.87024</v>
      </c>
      <c r="HS493">
        <v>1.8689</v>
      </c>
      <c r="HT493">
        <v>1.87022</v>
      </c>
      <c r="HU493">
        <v>0</v>
      </c>
      <c r="HV493">
        <v>0</v>
      </c>
      <c r="HW493">
        <v>0</v>
      </c>
      <c r="HX493">
        <v>0</v>
      </c>
      <c r="HY493" t="s">
        <v>421</v>
      </c>
      <c r="HZ493" t="s">
        <v>422</v>
      </c>
      <c r="IA493" t="s">
        <v>423</v>
      </c>
      <c r="IB493" t="s">
        <v>423</v>
      </c>
      <c r="IC493" t="s">
        <v>423</v>
      </c>
      <c r="ID493" t="s">
        <v>423</v>
      </c>
      <c r="IE493">
        <v>0</v>
      </c>
      <c r="IF493">
        <v>100</v>
      </c>
      <c r="IG493">
        <v>100</v>
      </c>
      <c r="IH493">
        <v>-2.82</v>
      </c>
      <c r="II493">
        <v>0.0183</v>
      </c>
      <c r="IJ493">
        <v>-0.1559367209035702</v>
      </c>
      <c r="IK493">
        <v>-0.002077099775823331</v>
      </c>
      <c r="IL493">
        <v>4.593143279902166E-07</v>
      </c>
      <c r="IM493">
        <v>-1.865383991892071E-10</v>
      </c>
      <c r="IN493">
        <v>-0.0607165066849496</v>
      </c>
      <c r="IO493">
        <v>-0.01129461987421345</v>
      </c>
      <c r="IP493">
        <v>0.00116580895745559</v>
      </c>
      <c r="IQ493">
        <v>-1.679085872906199E-05</v>
      </c>
      <c r="IR493">
        <v>2</v>
      </c>
      <c r="IS493">
        <v>2290</v>
      </c>
      <c r="IT493">
        <v>0</v>
      </c>
      <c r="IU493">
        <v>32</v>
      </c>
      <c r="IV493">
        <v>20.2</v>
      </c>
      <c r="IW493">
        <v>20</v>
      </c>
      <c r="IX493">
        <v>2.96997</v>
      </c>
      <c r="IY493">
        <v>2.17163</v>
      </c>
      <c r="IZ493">
        <v>1.39648</v>
      </c>
      <c r="JA493">
        <v>2.35474</v>
      </c>
      <c r="JB493">
        <v>1.49536</v>
      </c>
      <c r="JC493">
        <v>2.35474</v>
      </c>
      <c r="JD493">
        <v>38.0377</v>
      </c>
      <c r="JE493">
        <v>24.0437</v>
      </c>
      <c r="JF493">
        <v>18</v>
      </c>
      <c r="JG493">
        <v>510.679</v>
      </c>
      <c r="JH493">
        <v>430.717</v>
      </c>
      <c r="JI493">
        <v>22.6346</v>
      </c>
      <c r="JJ493">
        <v>27.7971</v>
      </c>
      <c r="JK493">
        <v>30.0001</v>
      </c>
      <c r="JL493">
        <v>27.7994</v>
      </c>
      <c r="JM493">
        <v>27.7444</v>
      </c>
      <c r="JN493">
        <v>59.5361</v>
      </c>
      <c r="JO493">
        <v>33.239</v>
      </c>
      <c r="JP493">
        <v>0</v>
      </c>
      <c r="JQ493">
        <v>22.6003</v>
      </c>
      <c r="JR493">
        <v>1563.69</v>
      </c>
      <c r="JS493">
        <v>11.7307</v>
      </c>
      <c r="JT493">
        <v>100.433</v>
      </c>
      <c r="JU493">
        <v>100.362</v>
      </c>
    </row>
    <row r="494" spans="1:281">
      <c r="A494">
        <v>478</v>
      </c>
      <c r="B494">
        <v>1651866718.5</v>
      </c>
      <c r="C494">
        <v>2497.900000095367</v>
      </c>
      <c r="D494" t="s">
        <v>1379</v>
      </c>
      <c r="E494" t="s">
        <v>1380</v>
      </c>
      <c r="F494">
        <v>2</v>
      </c>
      <c r="G494" t="s">
        <v>908</v>
      </c>
      <c r="H494" t="s">
        <v>414</v>
      </c>
      <c r="I494">
        <v>1651866717.5</v>
      </c>
      <c r="J494">
        <f>(K494)/1000</f>
        <v>0</v>
      </c>
      <c r="K494">
        <f>IF(CZ494, AN494, AH494)</f>
        <v>0</v>
      </c>
      <c r="L494">
        <f>IF(CZ494, AI494, AG494)</f>
        <v>0</v>
      </c>
      <c r="M494">
        <f>DB494 - IF(AU494&gt;1, L494*CV494*100.0/(AW494*DP494), 0)</f>
        <v>0</v>
      </c>
      <c r="N494">
        <f>((T494-J494/2)*M494-L494)/(T494+J494/2)</f>
        <v>0</v>
      </c>
      <c r="O494">
        <f>N494*(DI494+DJ494)/1000.0</f>
        <v>0</v>
      </c>
      <c r="P494">
        <f>(DB494 - IF(AU494&gt;1, L494*CV494*100.0/(AW494*DP494), 0))*(DI494+DJ494)/1000.0</f>
        <v>0</v>
      </c>
      <c r="Q494">
        <f>2.0/((1/S494-1/R494)+SIGN(S494)*SQRT((1/S494-1/R494)*(1/S494-1/R494) + 4*CW494/((CW494+1)*(CW494+1))*(2*1/S494*1/R494-1/R494*1/R494)))</f>
        <v>0</v>
      </c>
      <c r="R494">
        <f>IF(LEFT(CX494,1)&lt;&gt;"0",IF(LEFT(CX494,1)="1",3.0,CY494),$D$5+$E$5*(DP494*DI494/($K$5*1000))+$F$5*(DP494*DI494/($K$5*1000))*MAX(MIN(CV494,$J$5),$I$5)*MAX(MIN(CV494,$J$5),$I$5)+$G$5*MAX(MIN(CV494,$J$5),$I$5)*(DP494*DI494/($K$5*1000))+$H$5*(DP494*DI494/($K$5*1000))*(DP494*DI494/($K$5*1000)))</f>
        <v>0</v>
      </c>
      <c r="S494">
        <f>J494*(1000-(1000*0.61365*exp(17.502*W494/(240.97+W494))/(DI494+DJ494)+DD494)/2)/(1000*0.61365*exp(17.502*W494/(240.97+W494))/(DI494+DJ494)-DD494)</f>
        <v>0</v>
      </c>
      <c r="T494">
        <f>1/((CW494+1)/(Q494/1.6)+1/(R494/1.37)) + CW494/((CW494+1)/(Q494/1.6) + CW494/(R494/1.37))</f>
        <v>0</v>
      </c>
      <c r="U494">
        <f>(CR494*CU494)</f>
        <v>0</v>
      </c>
      <c r="V494">
        <f>(DK494+(U494+2*0.95*5.67E-8*(((DK494+$B$7)+273)^4-(DK494+273)^4)-44100*J494)/(1.84*29.3*R494+8*0.95*5.67E-8*(DK494+273)^3))</f>
        <v>0</v>
      </c>
      <c r="W494">
        <f>($C$7*DL494+$D$7*DM494+$E$7*V494)</f>
        <v>0</v>
      </c>
      <c r="X494">
        <f>0.61365*exp(17.502*W494/(240.97+W494))</f>
        <v>0</v>
      </c>
      <c r="Y494">
        <f>(Z494/AA494*100)</f>
        <v>0</v>
      </c>
      <c r="Z494">
        <f>DD494*(DI494+DJ494)/1000</f>
        <v>0</v>
      </c>
      <c r="AA494">
        <f>0.61365*exp(17.502*DK494/(240.97+DK494))</f>
        <v>0</v>
      </c>
      <c r="AB494">
        <f>(X494-DD494*(DI494+DJ494)/1000)</f>
        <v>0</v>
      </c>
      <c r="AC494">
        <f>(-J494*44100)</f>
        <v>0</v>
      </c>
      <c r="AD494">
        <f>2*29.3*R494*0.92*(DK494-W494)</f>
        <v>0</v>
      </c>
      <c r="AE494">
        <f>2*0.95*5.67E-8*(((DK494+$B$7)+273)^4-(W494+273)^4)</f>
        <v>0</v>
      </c>
      <c r="AF494">
        <f>U494+AE494+AC494+AD494</f>
        <v>0</v>
      </c>
      <c r="AG494">
        <f>DH494*AU494*(DC494-DB494*(1000-AU494*DE494)/(1000-AU494*DD494))/(100*CV494)</f>
        <v>0</v>
      </c>
      <c r="AH494">
        <f>1000*DH494*AU494*(DD494-DE494)/(100*CV494*(1000-AU494*DD494))</f>
        <v>0</v>
      </c>
      <c r="AI494">
        <f>(AJ494 - AK494 - DI494*1E3/(8.314*(DK494+273.15)) * AM494/DH494 * AL494) * DH494/(100*CV494) * (1000 - DE494)/1000</f>
        <v>0</v>
      </c>
      <c r="AJ494">
        <v>1557.533760822105</v>
      </c>
      <c r="AK494">
        <v>1507.427818181818</v>
      </c>
      <c r="AL494">
        <v>3.392545073907075</v>
      </c>
      <c r="AM494">
        <v>66.38195617057868</v>
      </c>
      <c r="AN494">
        <f>(AP494 - AO494 + DI494*1E3/(8.314*(DK494+273.15)) * AR494/DH494 * AQ494) * DH494/(100*CV494) * 1000/(1000 - AP494)</f>
        <v>0</v>
      </c>
      <c r="AO494">
        <v>11.41610504850772</v>
      </c>
      <c r="AP494">
        <v>18.18925382352941</v>
      </c>
      <c r="AQ494">
        <v>-9.638075460804735E-05</v>
      </c>
      <c r="AR494">
        <v>80.47178418790507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MAX(0,($B$13+$C$13*DP494)/(1+$D$13*DP494)*DI494/(DK494+273)*$E$13)</f>
        <v>0</v>
      </c>
      <c r="AX494" t="s">
        <v>417</v>
      </c>
      <c r="AY494" t="s">
        <v>417</v>
      </c>
      <c r="AZ494">
        <v>0</v>
      </c>
      <c r="BA494">
        <v>0</v>
      </c>
      <c r="BB494">
        <f>1-AZ494/BA494</f>
        <v>0</v>
      </c>
      <c r="BC494">
        <v>0</v>
      </c>
      <c r="BD494" t="s">
        <v>417</v>
      </c>
      <c r="BE494" t="s">
        <v>417</v>
      </c>
      <c r="BF494">
        <v>0</v>
      </c>
      <c r="BG494">
        <v>0</v>
      </c>
      <c r="BH494">
        <f>1-BF494/BG494</f>
        <v>0</v>
      </c>
      <c r="BI494">
        <v>0.5</v>
      </c>
      <c r="BJ494">
        <f>CS494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417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BZ494">
        <v>1249</v>
      </c>
      <c r="CA494">
        <v>300</v>
      </c>
      <c r="CB494">
        <v>300</v>
      </c>
      <c r="CC494">
        <v>300</v>
      </c>
      <c r="CD494">
        <v>10442.4</v>
      </c>
      <c r="CE494">
        <v>1239.69</v>
      </c>
      <c r="CF494">
        <v>-0.00735276</v>
      </c>
      <c r="CG494">
        <v>0.07000000000000001</v>
      </c>
      <c r="CH494" t="s">
        <v>417</v>
      </c>
      <c r="CI494" t="s">
        <v>417</v>
      </c>
      <c r="CJ494" t="s">
        <v>417</v>
      </c>
      <c r="CK494" t="s">
        <v>417</v>
      </c>
      <c r="CL494" t="s">
        <v>417</v>
      </c>
      <c r="CM494" t="s">
        <v>417</v>
      </c>
      <c r="CN494" t="s">
        <v>417</v>
      </c>
      <c r="CO494" t="s">
        <v>417</v>
      </c>
      <c r="CP494" t="s">
        <v>417</v>
      </c>
      <c r="CQ494" t="s">
        <v>417</v>
      </c>
      <c r="CR494">
        <f>$B$11*DQ494+$C$11*DR494+$F$11*EC494*(1-EF494)</f>
        <v>0</v>
      </c>
      <c r="CS494">
        <f>CR494*CT494</f>
        <v>0</v>
      </c>
      <c r="CT494">
        <f>($B$11*$D$9+$C$11*$D$9+$F$11*((EP494+EH494)/MAX(EP494+EH494+EQ494, 0.1)*$I$9+EQ494/MAX(EP494+EH494+EQ494, 0.1)*$J$9))/($B$11+$C$11+$F$11)</f>
        <v>0</v>
      </c>
      <c r="CU494">
        <f>($B$11*$K$9+$C$11*$K$9+$F$11*((EP494+EH494)/MAX(EP494+EH494+EQ494, 0.1)*$P$9+EQ494/MAX(EP494+EH494+EQ494, 0.1)*$Q$9))/($B$11+$C$11+$F$11)</f>
        <v>0</v>
      </c>
      <c r="CV494">
        <v>6</v>
      </c>
      <c r="CW494">
        <v>0.5</v>
      </c>
      <c r="CX494" t="s">
        <v>418</v>
      </c>
      <c r="CY494">
        <v>2</v>
      </c>
      <c r="CZ494" t="b">
        <v>1</v>
      </c>
      <c r="DA494">
        <v>1651866717.5</v>
      </c>
      <c r="DB494">
        <v>1478.343333333333</v>
      </c>
      <c r="DC494">
        <v>1545.81</v>
      </c>
      <c r="DD494">
        <v>18.18906666666667</v>
      </c>
      <c r="DE494">
        <v>11.5256</v>
      </c>
      <c r="DF494">
        <v>1481.17</v>
      </c>
      <c r="DG494">
        <v>18.17076666666667</v>
      </c>
      <c r="DH494">
        <v>500.0053333333333</v>
      </c>
      <c r="DI494">
        <v>89.90906666666667</v>
      </c>
      <c r="DJ494">
        <v>0.09997859999999999</v>
      </c>
      <c r="DK494">
        <v>25.8736</v>
      </c>
      <c r="DL494">
        <v>25.03973333333333</v>
      </c>
      <c r="DM494">
        <v>999.9</v>
      </c>
      <c r="DN494">
        <v>0</v>
      </c>
      <c r="DO494">
        <v>0</v>
      </c>
      <c r="DP494">
        <v>10006.25</v>
      </c>
      <c r="DQ494">
        <v>0</v>
      </c>
      <c r="DR494">
        <v>3.232866666666667</v>
      </c>
      <c r="DS494">
        <v>-67.4665</v>
      </c>
      <c r="DT494">
        <v>1505.726666666667</v>
      </c>
      <c r="DU494">
        <v>1563.83</v>
      </c>
      <c r="DV494">
        <v>6.663396666666667</v>
      </c>
      <c r="DW494">
        <v>1545.81</v>
      </c>
      <c r="DX494">
        <v>11.5256</v>
      </c>
      <c r="DY494">
        <v>1.635356666666667</v>
      </c>
      <c r="DZ494">
        <v>1.03626</v>
      </c>
      <c r="EA494">
        <v>14.2961</v>
      </c>
      <c r="EB494">
        <v>7.4364</v>
      </c>
      <c r="EC494">
        <v>1499.963333333333</v>
      </c>
      <c r="ED494">
        <v>0.973002</v>
      </c>
      <c r="EE494">
        <v>0.02699806666666667</v>
      </c>
      <c r="EF494">
        <v>0</v>
      </c>
      <c r="EG494">
        <v>882.3646666666667</v>
      </c>
      <c r="EH494">
        <v>5.00097</v>
      </c>
      <c r="EI494">
        <v>13115.8</v>
      </c>
      <c r="EJ494">
        <v>12491.3</v>
      </c>
      <c r="EK494">
        <v>37.375</v>
      </c>
      <c r="EL494">
        <v>38.75</v>
      </c>
      <c r="EM494">
        <v>37.812</v>
      </c>
      <c r="EN494">
        <v>38.375</v>
      </c>
      <c r="EO494">
        <v>38.312</v>
      </c>
      <c r="EP494">
        <v>1454.603333333333</v>
      </c>
      <c r="EQ494">
        <v>40.36000000000001</v>
      </c>
      <c r="ER494">
        <v>0</v>
      </c>
      <c r="ES494">
        <v>1236.200000047684</v>
      </c>
      <c r="ET494">
        <v>0</v>
      </c>
      <c r="EU494">
        <v>883.1136</v>
      </c>
      <c r="EV494">
        <v>-9.371846143339683</v>
      </c>
      <c r="EW494">
        <v>-154.9692303873194</v>
      </c>
      <c r="EX494">
        <v>13131.128</v>
      </c>
      <c r="EY494">
        <v>15</v>
      </c>
      <c r="EZ494">
        <v>1651865518.1</v>
      </c>
      <c r="FA494" t="s">
        <v>910</v>
      </c>
      <c r="FB494">
        <v>1651865507.1</v>
      </c>
      <c r="FC494">
        <v>1651865518.1</v>
      </c>
      <c r="FD494">
        <v>8</v>
      </c>
      <c r="FE494">
        <v>0.06</v>
      </c>
      <c r="FF494">
        <v>0</v>
      </c>
      <c r="FG494">
        <v>-0.927</v>
      </c>
      <c r="FH494">
        <v>-0.062</v>
      </c>
      <c r="FI494">
        <v>400</v>
      </c>
      <c r="FJ494">
        <v>11</v>
      </c>
      <c r="FK494">
        <v>0.11</v>
      </c>
      <c r="FL494">
        <v>0.01</v>
      </c>
      <c r="FM494">
        <v>-67.22874146341465</v>
      </c>
      <c r="FN494">
        <v>-1.114076655052257</v>
      </c>
      <c r="FO494">
        <v>0.1521060861751327</v>
      </c>
      <c r="FP494">
        <v>-1</v>
      </c>
      <c r="FQ494">
        <v>6.977044390243903</v>
      </c>
      <c r="FR494">
        <v>-1.863138188153312</v>
      </c>
      <c r="FS494">
        <v>0.183815132595142</v>
      </c>
      <c r="FT494">
        <v>-1</v>
      </c>
      <c r="FU494">
        <v>0</v>
      </c>
      <c r="FV494">
        <v>0</v>
      </c>
      <c r="FW494">
        <v>0</v>
      </c>
      <c r="FX494">
        <v>-1</v>
      </c>
      <c r="FY494">
        <v>0</v>
      </c>
      <c r="FZ494">
        <v>0</v>
      </c>
      <c r="GA494" t="s">
        <v>420</v>
      </c>
      <c r="GB494">
        <v>2.98167</v>
      </c>
      <c r="GC494">
        <v>2.70623</v>
      </c>
      <c r="GD494">
        <v>0.218991</v>
      </c>
      <c r="GE494">
        <v>0.222475</v>
      </c>
      <c r="GF494">
        <v>0.0872634</v>
      </c>
      <c r="GG494">
        <v>0.0618029</v>
      </c>
      <c r="GH494">
        <v>24683.7</v>
      </c>
      <c r="GI494">
        <v>24626</v>
      </c>
      <c r="GJ494">
        <v>29382.2</v>
      </c>
      <c r="GK494">
        <v>29296.4</v>
      </c>
      <c r="GL494">
        <v>35511.2</v>
      </c>
      <c r="GM494">
        <v>36614.5</v>
      </c>
      <c r="GN494">
        <v>41355.9</v>
      </c>
      <c r="GO494">
        <v>41817.7</v>
      </c>
      <c r="GP494">
        <v>1.96577</v>
      </c>
      <c r="GQ494">
        <v>1.86332</v>
      </c>
      <c r="GR494">
        <v>-0.00185147</v>
      </c>
      <c r="GS494">
        <v>0</v>
      </c>
      <c r="GT494">
        <v>25.0657</v>
      </c>
      <c r="GU494">
        <v>999.9</v>
      </c>
      <c r="GV494">
        <v>29.3</v>
      </c>
      <c r="GW494">
        <v>34.2</v>
      </c>
      <c r="GX494">
        <v>17.6067</v>
      </c>
      <c r="GY494">
        <v>62.6176</v>
      </c>
      <c r="GZ494">
        <v>35.1162</v>
      </c>
      <c r="HA494">
        <v>1</v>
      </c>
      <c r="HB494">
        <v>0.0384096</v>
      </c>
      <c r="HC494">
        <v>2.08497</v>
      </c>
      <c r="HD494">
        <v>20.3218</v>
      </c>
      <c r="HE494">
        <v>5.21939</v>
      </c>
      <c r="HF494">
        <v>12.0099</v>
      </c>
      <c r="HG494">
        <v>4.9895</v>
      </c>
      <c r="HH494">
        <v>3.28865</v>
      </c>
      <c r="HI494">
        <v>1038.8</v>
      </c>
      <c r="HJ494">
        <v>9782.700000000001</v>
      </c>
      <c r="HK494">
        <v>5139.4</v>
      </c>
      <c r="HL494">
        <v>25.4</v>
      </c>
      <c r="HM494">
        <v>1.86748</v>
      </c>
      <c r="HN494">
        <v>1.86646</v>
      </c>
      <c r="HO494">
        <v>1.866</v>
      </c>
      <c r="HP494">
        <v>1.86586</v>
      </c>
      <c r="HQ494">
        <v>1.86768</v>
      </c>
      <c r="HR494">
        <v>1.87022</v>
      </c>
      <c r="HS494">
        <v>1.8689</v>
      </c>
      <c r="HT494">
        <v>1.87021</v>
      </c>
      <c r="HU494">
        <v>0</v>
      </c>
      <c r="HV494">
        <v>0</v>
      </c>
      <c r="HW494">
        <v>0</v>
      </c>
      <c r="HX494">
        <v>0</v>
      </c>
      <c r="HY494" t="s">
        <v>421</v>
      </c>
      <c r="HZ494" t="s">
        <v>422</v>
      </c>
      <c r="IA494" t="s">
        <v>423</v>
      </c>
      <c r="IB494" t="s">
        <v>423</v>
      </c>
      <c r="IC494" t="s">
        <v>423</v>
      </c>
      <c r="ID494" t="s">
        <v>423</v>
      </c>
      <c r="IE494">
        <v>0</v>
      </c>
      <c r="IF494">
        <v>100</v>
      </c>
      <c r="IG494">
        <v>100</v>
      </c>
      <c r="IH494">
        <v>-2.84</v>
      </c>
      <c r="II494">
        <v>0.0183</v>
      </c>
      <c r="IJ494">
        <v>-0.1559367209035702</v>
      </c>
      <c r="IK494">
        <v>-0.002077099775823331</v>
      </c>
      <c r="IL494">
        <v>4.593143279902166E-07</v>
      </c>
      <c r="IM494">
        <v>-1.865383991892071E-10</v>
      </c>
      <c r="IN494">
        <v>-0.0607165066849496</v>
      </c>
      <c r="IO494">
        <v>-0.01129461987421345</v>
      </c>
      <c r="IP494">
        <v>0.00116580895745559</v>
      </c>
      <c r="IQ494">
        <v>-1.679085872906199E-05</v>
      </c>
      <c r="IR494">
        <v>2</v>
      </c>
      <c r="IS494">
        <v>2290</v>
      </c>
      <c r="IT494">
        <v>0</v>
      </c>
      <c r="IU494">
        <v>32</v>
      </c>
      <c r="IV494">
        <v>20.2</v>
      </c>
      <c r="IW494">
        <v>20</v>
      </c>
      <c r="IX494">
        <v>2.98096</v>
      </c>
      <c r="IY494">
        <v>2.17163</v>
      </c>
      <c r="IZ494">
        <v>1.39648</v>
      </c>
      <c r="JA494">
        <v>2.35474</v>
      </c>
      <c r="JB494">
        <v>1.49536</v>
      </c>
      <c r="JC494">
        <v>2.35962</v>
      </c>
      <c r="JD494">
        <v>38.0377</v>
      </c>
      <c r="JE494">
        <v>24.0437</v>
      </c>
      <c r="JF494">
        <v>18</v>
      </c>
      <c r="JG494">
        <v>510.661</v>
      </c>
      <c r="JH494">
        <v>430.709</v>
      </c>
      <c r="JI494">
        <v>22.6176</v>
      </c>
      <c r="JJ494">
        <v>27.7969</v>
      </c>
      <c r="JK494">
        <v>30.0002</v>
      </c>
      <c r="JL494">
        <v>27.7993</v>
      </c>
      <c r="JM494">
        <v>27.7433</v>
      </c>
      <c r="JN494">
        <v>59.7348</v>
      </c>
      <c r="JO494">
        <v>32.8812</v>
      </c>
      <c r="JP494">
        <v>0</v>
      </c>
      <c r="JQ494">
        <v>22.6003</v>
      </c>
      <c r="JR494">
        <v>1570.4</v>
      </c>
      <c r="JS494">
        <v>11.7923</v>
      </c>
      <c r="JT494">
        <v>100.433</v>
      </c>
      <c r="JU494">
        <v>100.363</v>
      </c>
    </row>
    <row r="495" spans="1:281">
      <c r="A495">
        <v>479</v>
      </c>
      <c r="B495">
        <v>1651866720.5</v>
      </c>
      <c r="C495">
        <v>2499.900000095367</v>
      </c>
      <c r="D495" t="s">
        <v>1381</v>
      </c>
      <c r="E495" t="s">
        <v>1382</v>
      </c>
      <c r="F495">
        <v>2</v>
      </c>
      <c r="G495" t="s">
        <v>908</v>
      </c>
      <c r="H495" t="s">
        <v>414</v>
      </c>
      <c r="I495">
        <v>1651866719.125</v>
      </c>
      <c r="J495">
        <f>(K495)/1000</f>
        <v>0</v>
      </c>
      <c r="K495">
        <f>IF(CZ495, AN495, AH495)</f>
        <v>0</v>
      </c>
      <c r="L495">
        <f>IF(CZ495, AI495, AG495)</f>
        <v>0</v>
      </c>
      <c r="M495">
        <f>DB495 - IF(AU495&gt;1, L495*CV495*100.0/(AW495*DP495), 0)</f>
        <v>0</v>
      </c>
      <c r="N495">
        <f>((T495-J495/2)*M495-L495)/(T495+J495/2)</f>
        <v>0</v>
      </c>
      <c r="O495">
        <f>N495*(DI495+DJ495)/1000.0</f>
        <v>0</v>
      </c>
      <c r="P495">
        <f>(DB495 - IF(AU495&gt;1, L495*CV495*100.0/(AW495*DP495), 0))*(DI495+DJ495)/1000.0</f>
        <v>0</v>
      </c>
      <c r="Q495">
        <f>2.0/((1/S495-1/R495)+SIGN(S495)*SQRT((1/S495-1/R495)*(1/S495-1/R495) + 4*CW495/((CW495+1)*(CW495+1))*(2*1/S495*1/R495-1/R495*1/R495)))</f>
        <v>0</v>
      </c>
      <c r="R495">
        <f>IF(LEFT(CX495,1)&lt;&gt;"0",IF(LEFT(CX495,1)="1",3.0,CY495),$D$5+$E$5*(DP495*DI495/($K$5*1000))+$F$5*(DP495*DI495/($K$5*1000))*MAX(MIN(CV495,$J$5),$I$5)*MAX(MIN(CV495,$J$5),$I$5)+$G$5*MAX(MIN(CV495,$J$5),$I$5)*(DP495*DI495/($K$5*1000))+$H$5*(DP495*DI495/($K$5*1000))*(DP495*DI495/($K$5*1000)))</f>
        <v>0</v>
      </c>
      <c r="S495">
        <f>J495*(1000-(1000*0.61365*exp(17.502*W495/(240.97+W495))/(DI495+DJ495)+DD495)/2)/(1000*0.61365*exp(17.502*W495/(240.97+W495))/(DI495+DJ495)-DD495)</f>
        <v>0</v>
      </c>
      <c r="T495">
        <f>1/((CW495+1)/(Q495/1.6)+1/(R495/1.37)) + CW495/((CW495+1)/(Q495/1.6) + CW495/(R495/1.37))</f>
        <v>0</v>
      </c>
      <c r="U495">
        <f>(CR495*CU495)</f>
        <v>0</v>
      </c>
      <c r="V495">
        <f>(DK495+(U495+2*0.95*5.67E-8*(((DK495+$B$7)+273)^4-(DK495+273)^4)-44100*J495)/(1.84*29.3*R495+8*0.95*5.67E-8*(DK495+273)^3))</f>
        <v>0</v>
      </c>
      <c r="W495">
        <f>($C$7*DL495+$D$7*DM495+$E$7*V495)</f>
        <v>0</v>
      </c>
      <c r="X495">
        <f>0.61365*exp(17.502*W495/(240.97+W495))</f>
        <v>0</v>
      </c>
      <c r="Y495">
        <f>(Z495/AA495*100)</f>
        <v>0</v>
      </c>
      <c r="Z495">
        <f>DD495*(DI495+DJ495)/1000</f>
        <v>0</v>
      </c>
      <c r="AA495">
        <f>0.61365*exp(17.502*DK495/(240.97+DK495))</f>
        <v>0</v>
      </c>
      <c r="AB495">
        <f>(X495-DD495*(DI495+DJ495)/1000)</f>
        <v>0</v>
      </c>
      <c r="AC495">
        <f>(-J495*44100)</f>
        <v>0</v>
      </c>
      <c r="AD495">
        <f>2*29.3*R495*0.92*(DK495-W495)</f>
        <v>0</v>
      </c>
      <c r="AE495">
        <f>2*0.95*5.67E-8*(((DK495+$B$7)+273)^4-(W495+273)^4)</f>
        <v>0</v>
      </c>
      <c r="AF495">
        <f>U495+AE495+AC495+AD495</f>
        <v>0</v>
      </c>
      <c r="AG495">
        <f>DH495*AU495*(DC495-DB495*(1000-AU495*DE495)/(1000-AU495*DD495))/(100*CV495)</f>
        <v>0</v>
      </c>
      <c r="AH495">
        <f>1000*DH495*AU495*(DD495-DE495)/(100*CV495*(1000-AU495*DD495))</f>
        <v>0</v>
      </c>
      <c r="AI495">
        <f>(AJ495 - AK495 - DI495*1E3/(8.314*(DK495+273.15)) * AM495/DH495 * AL495) * DH495/(100*CV495) * (1000 - DE495)/1000</f>
        <v>0</v>
      </c>
      <c r="AJ495">
        <v>1564.67586229842</v>
      </c>
      <c r="AK495">
        <v>1514.345333333333</v>
      </c>
      <c r="AL495">
        <v>3.434009490579387</v>
      </c>
      <c r="AM495">
        <v>66.38195617057868</v>
      </c>
      <c r="AN495">
        <f>(AP495 - AO495 + DI495*1E3/(8.314*(DK495+273.15)) * AR495/DH495 * AQ495) * DH495/(100*CV495) * 1000/(1000 - AP495)</f>
        <v>0</v>
      </c>
      <c r="AO495">
        <v>11.48278182224141</v>
      </c>
      <c r="AP495">
        <v>18.18912617647058</v>
      </c>
      <c r="AQ495">
        <v>-4.744191893995226E-05</v>
      </c>
      <c r="AR495">
        <v>80.47178418790507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MAX(0,($B$13+$C$13*DP495)/(1+$D$13*DP495)*DI495/(DK495+273)*$E$13)</f>
        <v>0</v>
      </c>
      <c r="AX495" t="s">
        <v>417</v>
      </c>
      <c r="AY495" t="s">
        <v>417</v>
      </c>
      <c r="AZ495">
        <v>0</v>
      </c>
      <c r="BA495">
        <v>0</v>
      </c>
      <c r="BB495">
        <f>1-AZ495/BA495</f>
        <v>0</v>
      </c>
      <c r="BC495">
        <v>0</v>
      </c>
      <c r="BD495" t="s">
        <v>417</v>
      </c>
      <c r="BE495" t="s">
        <v>417</v>
      </c>
      <c r="BF495">
        <v>0</v>
      </c>
      <c r="BG495">
        <v>0</v>
      </c>
      <c r="BH495">
        <f>1-BF495/BG495</f>
        <v>0</v>
      </c>
      <c r="BI495">
        <v>0.5</v>
      </c>
      <c r="BJ495">
        <f>CS495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417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BZ495">
        <v>1249</v>
      </c>
      <c r="CA495">
        <v>300</v>
      </c>
      <c r="CB495">
        <v>300</v>
      </c>
      <c r="CC495">
        <v>300</v>
      </c>
      <c r="CD495">
        <v>10442.4</v>
      </c>
      <c r="CE495">
        <v>1239.69</v>
      </c>
      <c r="CF495">
        <v>-0.00735276</v>
      </c>
      <c r="CG495">
        <v>0.07000000000000001</v>
      </c>
      <c r="CH495" t="s">
        <v>417</v>
      </c>
      <c r="CI495" t="s">
        <v>417</v>
      </c>
      <c r="CJ495" t="s">
        <v>417</v>
      </c>
      <c r="CK495" t="s">
        <v>417</v>
      </c>
      <c r="CL495" t="s">
        <v>417</v>
      </c>
      <c r="CM495" t="s">
        <v>417</v>
      </c>
      <c r="CN495" t="s">
        <v>417</v>
      </c>
      <c r="CO495" t="s">
        <v>417</v>
      </c>
      <c r="CP495" t="s">
        <v>417</v>
      </c>
      <c r="CQ495" t="s">
        <v>417</v>
      </c>
      <c r="CR495">
        <f>$B$11*DQ495+$C$11*DR495+$F$11*EC495*(1-EF495)</f>
        <v>0</v>
      </c>
      <c r="CS495">
        <f>CR495*CT495</f>
        <v>0</v>
      </c>
      <c r="CT495">
        <f>($B$11*$D$9+$C$11*$D$9+$F$11*((EP495+EH495)/MAX(EP495+EH495+EQ495, 0.1)*$I$9+EQ495/MAX(EP495+EH495+EQ495, 0.1)*$J$9))/($B$11+$C$11+$F$11)</f>
        <v>0</v>
      </c>
      <c r="CU495">
        <f>($B$11*$K$9+$C$11*$K$9+$F$11*((EP495+EH495)/MAX(EP495+EH495+EQ495, 0.1)*$P$9+EQ495/MAX(EP495+EH495+EQ495, 0.1)*$Q$9))/($B$11+$C$11+$F$11)</f>
        <v>0</v>
      </c>
      <c r="CV495">
        <v>6</v>
      </c>
      <c r="CW495">
        <v>0.5</v>
      </c>
      <c r="CX495" t="s">
        <v>418</v>
      </c>
      <c r="CY495">
        <v>2</v>
      </c>
      <c r="CZ495" t="b">
        <v>1</v>
      </c>
      <c r="DA495">
        <v>1651866719.125</v>
      </c>
      <c r="DB495">
        <v>1483.83</v>
      </c>
      <c r="DC495">
        <v>1551.4025</v>
      </c>
      <c r="DD495">
        <v>18.188775</v>
      </c>
      <c r="DE495">
        <v>11.569925</v>
      </c>
      <c r="DF495">
        <v>1486.67</v>
      </c>
      <c r="DG495">
        <v>18.17055</v>
      </c>
      <c r="DH495">
        <v>500.063</v>
      </c>
      <c r="DI495">
        <v>89.90985000000001</v>
      </c>
      <c r="DJ495">
        <v>0.100024075</v>
      </c>
      <c r="DK495">
        <v>25.870625</v>
      </c>
      <c r="DL495">
        <v>25.033</v>
      </c>
      <c r="DM495">
        <v>999.9</v>
      </c>
      <c r="DN495">
        <v>0</v>
      </c>
      <c r="DO495">
        <v>0</v>
      </c>
      <c r="DP495">
        <v>9991.875</v>
      </c>
      <c r="DQ495">
        <v>0</v>
      </c>
      <c r="DR495">
        <v>3.23193</v>
      </c>
      <c r="DS495">
        <v>-67.57425000000001</v>
      </c>
      <c r="DT495">
        <v>1511.3175</v>
      </c>
      <c r="DU495">
        <v>1569.5625</v>
      </c>
      <c r="DV495">
        <v>6.618815</v>
      </c>
      <c r="DW495">
        <v>1551.4025</v>
      </c>
      <c r="DX495">
        <v>11.569925</v>
      </c>
      <c r="DY495">
        <v>1.63535</v>
      </c>
      <c r="DZ495">
        <v>1.04025</v>
      </c>
      <c r="EA495">
        <v>14.296</v>
      </c>
      <c r="EB495">
        <v>7.4926675</v>
      </c>
      <c r="EC495">
        <v>1500.18</v>
      </c>
      <c r="ED495">
        <v>0.9729895000000001</v>
      </c>
      <c r="EE495">
        <v>0.02701045</v>
      </c>
      <c r="EF495">
        <v>0</v>
      </c>
      <c r="EG495">
        <v>881.6007499999999</v>
      </c>
      <c r="EH495">
        <v>5.00097</v>
      </c>
      <c r="EI495">
        <v>13113.9</v>
      </c>
      <c r="EJ495">
        <v>12493.025</v>
      </c>
      <c r="EK495">
        <v>37.375</v>
      </c>
      <c r="EL495">
        <v>38.75</v>
      </c>
      <c r="EM495">
        <v>37.79649999999999</v>
      </c>
      <c r="EN495">
        <v>38.375</v>
      </c>
      <c r="EO495">
        <v>38.312</v>
      </c>
      <c r="EP495">
        <v>1454.795</v>
      </c>
      <c r="EQ495">
        <v>40.38500000000001</v>
      </c>
      <c r="ER495">
        <v>0</v>
      </c>
      <c r="ES495">
        <v>1238</v>
      </c>
      <c r="ET495">
        <v>0</v>
      </c>
      <c r="EU495">
        <v>882.8520384615385</v>
      </c>
      <c r="EV495">
        <v>-10.18588035220654</v>
      </c>
      <c r="EW495">
        <v>-151.7538461057289</v>
      </c>
      <c r="EX495">
        <v>13127.4</v>
      </c>
      <c r="EY495">
        <v>15</v>
      </c>
      <c r="EZ495">
        <v>1651865518.1</v>
      </c>
      <c r="FA495" t="s">
        <v>910</v>
      </c>
      <c r="FB495">
        <v>1651865507.1</v>
      </c>
      <c r="FC495">
        <v>1651865518.1</v>
      </c>
      <c r="FD495">
        <v>8</v>
      </c>
      <c r="FE495">
        <v>0.06</v>
      </c>
      <c r="FF495">
        <v>0</v>
      </c>
      <c r="FG495">
        <v>-0.927</v>
      </c>
      <c r="FH495">
        <v>-0.062</v>
      </c>
      <c r="FI495">
        <v>400</v>
      </c>
      <c r="FJ495">
        <v>11</v>
      </c>
      <c r="FK495">
        <v>0.11</v>
      </c>
      <c r="FL495">
        <v>0.01</v>
      </c>
      <c r="FM495">
        <v>-67.30608500000001</v>
      </c>
      <c r="FN495">
        <v>-1.24725253283286</v>
      </c>
      <c r="FO495">
        <v>0.1559563761921903</v>
      </c>
      <c r="FP495">
        <v>-1</v>
      </c>
      <c r="FQ495">
        <v>6.893203750000001</v>
      </c>
      <c r="FR495">
        <v>-1.883214821763606</v>
      </c>
      <c r="FS495">
        <v>0.1812241717416236</v>
      </c>
      <c r="FT495">
        <v>-1</v>
      </c>
      <c r="FU495">
        <v>0</v>
      </c>
      <c r="FV495">
        <v>0</v>
      </c>
      <c r="FW495">
        <v>0</v>
      </c>
      <c r="FX495">
        <v>-1</v>
      </c>
      <c r="FY495">
        <v>0</v>
      </c>
      <c r="FZ495">
        <v>0</v>
      </c>
      <c r="GA495" t="s">
        <v>420</v>
      </c>
      <c r="GB495">
        <v>2.98163</v>
      </c>
      <c r="GC495">
        <v>2.70606</v>
      </c>
      <c r="GD495">
        <v>0.219602</v>
      </c>
      <c r="GE495">
        <v>0.223051</v>
      </c>
      <c r="GF495">
        <v>0.0872592</v>
      </c>
      <c r="GG495">
        <v>0.0620455</v>
      </c>
      <c r="GH495">
        <v>24664.6</v>
      </c>
      <c r="GI495">
        <v>24608.1</v>
      </c>
      <c r="GJ495">
        <v>29382.3</v>
      </c>
      <c r="GK495">
        <v>29296.8</v>
      </c>
      <c r="GL495">
        <v>35511.6</v>
      </c>
      <c r="GM495">
        <v>36605.5</v>
      </c>
      <c r="GN495">
        <v>41356.2</v>
      </c>
      <c r="GO495">
        <v>41818.2</v>
      </c>
      <c r="GP495">
        <v>1.96557</v>
      </c>
      <c r="GQ495">
        <v>1.8637</v>
      </c>
      <c r="GR495">
        <v>-0.00205636</v>
      </c>
      <c r="GS495">
        <v>0</v>
      </c>
      <c r="GT495">
        <v>25.0663</v>
      </c>
      <c r="GU495">
        <v>999.9</v>
      </c>
      <c r="GV495">
        <v>29.3</v>
      </c>
      <c r="GW495">
        <v>34.2</v>
      </c>
      <c r="GX495">
        <v>17.6064</v>
      </c>
      <c r="GY495">
        <v>62.2376</v>
      </c>
      <c r="GZ495">
        <v>35.1923</v>
      </c>
      <c r="HA495">
        <v>1</v>
      </c>
      <c r="HB495">
        <v>0.0385671</v>
      </c>
      <c r="HC495">
        <v>2.05782</v>
      </c>
      <c r="HD495">
        <v>20.3221</v>
      </c>
      <c r="HE495">
        <v>5.21894</v>
      </c>
      <c r="HF495">
        <v>12.0099</v>
      </c>
      <c r="HG495">
        <v>4.98905</v>
      </c>
      <c r="HH495">
        <v>3.28863</v>
      </c>
      <c r="HI495">
        <v>1038.8</v>
      </c>
      <c r="HJ495">
        <v>9782.700000000001</v>
      </c>
      <c r="HK495">
        <v>5139.4</v>
      </c>
      <c r="HL495">
        <v>25.4</v>
      </c>
      <c r="HM495">
        <v>1.86748</v>
      </c>
      <c r="HN495">
        <v>1.86646</v>
      </c>
      <c r="HO495">
        <v>1.866</v>
      </c>
      <c r="HP495">
        <v>1.86584</v>
      </c>
      <c r="HQ495">
        <v>1.86768</v>
      </c>
      <c r="HR495">
        <v>1.87023</v>
      </c>
      <c r="HS495">
        <v>1.8689</v>
      </c>
      <c r="HT495">
        <v>1.87024</v>
      </c>
      <c r="HU495">
        <v>0</v>
      </c>
      <c r="HV495">
        <v>0</v>
      </c>
      <c r="HW495">
        <v>0</v>
      </c>
      <c r="HX495">
        <v>0</v>
      </c>
      <c r="HY495" t="s">
        <v>421</v>
      </c>
      <c r="HZ495" t="s">
        <v>422</v>
      </c>
      <c r="IA495" t="s">
        <v>423</v>
      </c>
      <c r="IB495" t="s">
        <v>423</v>
      </c>
      <c r="IC495" t="s">
        <v>423</v>
      </c>
      <c r="ID495" t="s">
        <v>423</v>
      </c>
      <c r="IE495">
        <v>0</v>
      </c>
      <c r="IF495">
        <v>100</v>
      </c>
      <c r="IG495">
        <v>100</v>
      </c>
      <c r="IH495">
        <v>-2.85</v>
      </c>
      <c r="II495">
        <v>0.0182</v>
      </c>
      <c r="IJ495">
        <v>-0.1559367209035702</v>
      </c>
      <c r="IK495">
        <v>-0.002077099775823331</v>
      </c>
      <c r="IL495">
        <v>4.593143279902166E-07</v>
      </c>
      <c r="IM495">
        <v>-1.865383991892071E-10</v>
      </c>
      <c r="IN495">
        <v>-0.0607165066849496</v>
      </c>
      <c r="IO495">
        <v>-0.01129461987421345</v>
      </c>
      <c r="IP495">
        <v>0.00116580895745559</v>
      </c>
      <c r="IQ495">
        <v>-1.679085872906199E-05</v>
      </c>
      <c r="IR495">
        <v>2</v>
      </c>
      <c r="IS495">
        <v>2290</v>
      </c>
      <c r="IT495">
        <v>0</v>
      </c>
      <c r="IU495">
        <v>32</v>
      </c>
      <c r="IV495">
        <v>20.2</v>
      </c>
      <c r="IW495">
        <v>20</v>
      </c>
      <c r="IX495">
        <v>2.99072</v>
      </c>
      <c r="IY495">
        <v>2.17896</v>
      </c>
      <c r="IZ495">
        <v>1.39648</v>
      </c>
      <c r="JA495">
        <v>2.35474</v>
      </c>
      <c r="JB495">
        <v>1.49536</v>
      </c>
      <c r="JC495">
        <v>2.28027</v>
      </c>
      <c r="JD495">
        <v>38.0377</v>
      </c>
      <c r="JE495">
        <v>24.035</v>
      </c>
      <c r="JF495">
        <v>18</v>
      </c>
      <c r="JG495">
        <v>510.521</v>
      </c>
      <c r="JH495">
        <v>430.933</v>
      </c>
      <c r="JI495">
        <v>22.5989</v>
      </c>
      <c r="JJ495">
        <v>27.7957</v>
      </c>
      <c r="JK495">
        <v>30.0001</v>
      </c>
      <c r="JL495">
        <v>27.798</v>
      </c>
      <c r="JM495">
        <v>27.7433</v>
      </c>
      <c r="JN495">
        <v>59.9454</v>
      </c>
      <c r="JO495">
        <v>32.5719</v>
      </c>
      <c r="JP495">
        <v>0</v>
      </c>
      <c r="JQ495">
        <v>22.563</v>
      </c>
      <c r="JR495">
        <v>1577.11</v>
      </c>
      <c r="JS495">
        <v>11.8539</v>
      </c>
      <c r="JT495">
        <v>100.434</v>
      </c>
      <c r="JU495">
        <v>100.364</v>
      </c>
    </row>
    <row r="496" spans="1:281">
      <c r="A496">
        <v>480</v>
      </c>
      <c r="B496">
        <v>1651866722.5</v>
      </c>
      <c r="C496">
        <v>2501.900000095367</v>
      </c>
      <c r="D496" t="s">
        <v>1383</v>
      </c>
      <c r="E496" t="s">
        <v>1384</v>
      </c>
      <c r="F496">
        <v>2</v>
      </c>
      <c r="G496" t="s">
        <v>908</v>
      </c>
      <c r="H496" t="s">
        <v>414</v>
      </c>
      <c r="I496">
        <v>1651866721.5</v>
      </c>
      <c r="J496">
        <f>(K496)/1000</f>
        <v>0</v>
      </c>
      <c r="K496">
        <f>IF(CZ496, AN496, AH496)</f>
        <v>0</v>
      </c>
      <c r="L496">
        <f>IF(CZ496, AI496, AG496)</f>
        <v>0</v>
      </c>
      <c r="M496">
        <f>DB496 - IF(AU496&gt;1, L496*CV496*100.0/(AW496*DP496), 0)</f>
        <v>0</v>
      </c>
      <c r="N496">
        <f>((T496-J496/2)*M496-L496)/(T496+J496/2)</f>
        <v>0</v>
      </c>
      <c r="O496">
        <f>N496*(DI496+DJ496)/1000.0</f>
        <v>0</v>
      </c>
      <c r="P496">
        <f>(DB496 - IF(AU496&gt;1, L496*CV496*100.0/(AW496*DP496), 0))*(DI496+DJ496)/1000.0</f>
        <v>0</v>
      </c>
      <c r="Q496">
        <f>2.0/((1/S496-1/R496)+SIGN(S496)*SQRT((1/S496-1/R496)*(1/S496-1/R496) + 4*CW496/((CW496+1)*(CW496+1))*(2*1/S496*1/R496-1/R496*1/R496)))</f>
        <v>0</v>
      </c>
      <c r="R496">
        <f>IF(LEFT(CX496,1)&lt;&gt;"0",IF(LEFT(CX496,1)="1",3.0,CY496),$D$5+$E$5*(DP496*DI496/($K$5*1000))+$F$5*(DP496*DI496/($K$5*1000))*MAX(MIN(CV496,$J$5),$I$5)*MAX(MIN(CV496,$J$5),$I$5)+$G$5*MAX(MIN(CV496,$J$5),$I$5)*(DP496*DI496/($K$5*1000))+$H$5*(DP496*DI496/($K$5*1000))*(DP496*DI496/($K$5*1000)))</f>
        <v>0</v>
      </c>
      <c r="S496">
        <f>J496*(1000-(1000*0.61365*exp(17.502*W496/(240.97+W496))/(DI496+DJ496)+DD496)/2)/(1000*0.61365*exp(17.502*W496/(240.97+W496))/(DI496+DJ496)-DD496)</f>
        <v>0</v>
      </c>
      <c r="T496">
        <f>1/((CW496+1)/(Q496/1.6)+1/(R496/1.37)) + CW496/((CW496+1)/(Q496/1.6) + CW496/(R496/1.37))</f>
        <v>0</v>
      </c>
      <c r="U496">
        <f>(CR496*CU496)</f>
        <v>0</v>
      </c>
      <c r="V496">
        <f>(DK496+(U496+2*0.95*5.67E-8*(((DK496+$B$7)+273)^4-(DK496+273)^4)-44100*J496)/(1.84*29.3*R496+8*0.95*5.67E-8*(DK496+273)^3))</f>
        <v>0</v>
      </c>
      <c r="W496">
        <f>($C$7*DL496+$D$7*DM496+$E$7*V496)</f>
        <v>0</v>
      </c>
      <c r="X496">
        <f>0.61365*exp(17.502*W496/(240.97+W496))</f>
        <v>0</v>
      </c>
      <c r="Y496">
        <f>(Z496/AA496*100)</f>
        <v>0</v>
      </c>
      <c r="Z496">
        <f>DD496*(DI496+DJ496)/1000</f>
        <v>0</v>
      </c>
      <c r="AA496">
        <f>0.61365*exp(17.502*DK496/(240.97+DK496))</f>
        <v>0</v>
      </c>
      <c r="AB496">
        <f>(X496-DD496*(DI496+DJ496)/1000)</f>
        <v>0</v>
      </c>
      <c r="AC496">
        <f>(-J496*44100)</f>
        <v>0</v>
      </c>
      <c r="AD496">
        <f>2*29.3*R496*0.92*(DK496-W496)</f>
        <v>0</v>
      </c>
      <c r="AE496">
        <f>2*0.95*5.67E-8*(((DK496+$B$7)+273)^4-(W496+273)^4)</f>
        <v>0</v>
      </c>
      <c r="AF496">
        <f>U496+AE496+AC496+AD496</f>
        <v>0</v>
      </c>
      <c r="AG496">
        <f>DH496*AU496*(DC496-DB496*(1000-AU496*DE496)/(1000-AU496*DD496))/(100*CV496)</f>
        <v>0</v>
      </c>
      <c r="AH496">
        <f>1000*DH496*AU496*(DD496-DE496)/(100*CV496*(1000-AU496*DD496))</f>
        <v>0</v>
      </c>
      <c r="AI496">
        <f>(AJ496 - AK496 - DI496*1E3/(8.314*(DK496+273.15)) * AM496/DH496 * AL496) * DH496/(100*CV496) * (1000 - DE496)/1000</f>
        <v>0</v>
      </c>
      <c r="AJ496">
        <v>1571.656860341456</v>
      </c>
      <c r="AK496">
        <v>1521.260909090909</v>
      </c>
      <c r="AL496">
        <v>3.456606009854228</v>
      </c>
      <c r="AM496">
        <v>66.38195617057868</v>
      </c>
      <c r="AN496">
        <f>(AP496 - AO496 + DI496*1E3/(8.314*(DK496+273.15)) * AR496/DH496 * AQ496) * DH496/(100*CV496) * 1000/(1000 - AP496)</f>
        <v>0</v>
      </c>
      <c r="AO496">
        <v>11.53799532233665</v>
      </c>
      <c r="AP496">
        <v>18.18725970588234</v>
      </c>
      <c r="AQ496">
        <v>1.488021542351068E-05</v>
      </c>
      <c r="AR496">
        <v>80.47178418790507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MAX(0,($B$13+$C$13*DP496)/(1+$D$13*DP496)*DI496/(DK496+273)*$E$13)</f>
        <v>0</v>
      </c>
      <c r="AX496" t="s">
        <v>417</v>
      </c>
      <c r="AY496" t="s">
        <v>417</v>
      </c>
      <c r="AZ496">
        <v>0</v>
      </c>
      <c r="BA496">
        <v>0</v>
      </c>
      <c r="BB496">
        <f>1-AZ496/BA496</f>
        <v>0</v>
      </c>
      <c r="BC496">
        <v>0</v>
      </c>
      <c r="BD496" t="s">
        <v>417</v>
      </c>
      <c r="BE496" t="s">
        <v>417</v>
      </c>
      <c r="BF496">
        <v>0</v>
      </c>
      <c r="BG496">
        <v>0</v>
      </c>
      <c r="BH496">
        <f>1-BF496/BG496</f>
        <v>0</v>
      </c>
      <c r="BI496">
        <v>0.5</v>
      </c>
      <c r="BJ496">
        <f>CS496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417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BZ496">
        <v>1249</v>
      </c>
      <c r="CA496">
        <v>300</v>
      </c>
      <c r="CB496">
        <v>300</v>
      </c>
      <c r="CC496">
        <v>300</v>
      </c>
      <c r="CD496">
        <v>10442.4</v>
      </c>
      <c r="CE496">
        <v>1239.69</v>
      </c>
      <c r="CF496">
        <v>-0.00735276</v>
      </c>
      <c r="CG496">
        <v>0.07000000000000001</v>
      </c>
      <c r="CH496" t="s">
        <v>417</v>
      </c>
      <c r="CI496" t="s">
        <v>417</v>
      </c>
      <c r="CJ496" t="s">
        <v>417</v>
      </c>
      <c r="CK496" t="s">
        <v>417</v>
      </c>
      <c r="CL496" t="s">
        <v>417</v>
      </c>
      <c r="CM496" t="s">
        <v>417</v>
      </c>
      <c r="CN496" t="s">
        <v>417</v>
      </c>
      <c r="CO496" t="s">
        <v>417</v>
      </c>
      <c r="CP496" t="s">
        <v>417</v>
      </c>
      <c r="CQ496" t="s">
        <v>417</v>
      </c>
      <c r="CR496">
        <f>$B$11*DQ496+$C$11*DR496+$F$11*EC496*(1-EF496)</f>
        <v>0</v>
      </c>
      <c r="CS496">
        <f>CR496*CT496</f>
        <v>0</v>
      </c>
      <c r="CT496">
        <f>($B$11*$D$9+$C$11*$D$9+$F$11*((EP496+EH496)/MAX(EP496+EH496+EQ496, 0.1)*$I$9+EQ496/MAX(EP496+EH496+EQ496, 0.1)*$J$9))/($B$11+$C$11+$F$11)</f>
        <v>0</v>
      </c>
      <c r="CU496">
        <f>($B$11*$K$9+$C$11*$K$9+$F$11*((EP496+EH496)/MAX(EP496+EH496+EQ496, 0.1)*$P$9+EQ496/MAX(EP496+EH496+EQ496, 0.1)*$Q$9))/($B$11+$C$11+$F$11)</f>
        <v>0</v>
      </c>
      <c r="CV496">
        <v>6</v>
      </c>
      <c r="CW496">
        <v>0.5</v>
      </c>
      <c r="CX496" t="s">
        <v>418</v>
      </c>
      <c r="CY496">
        <v>2</v>
      </c>
      <c r="CZ496" t="b">
        <v>1</v>
      </c>
      <c r="DA496">
        <v>1651866721.5</v>
      </c>
      <c r="DB496">
        <v>1491.9</v>
      </c>
      <c r="DC496">
        <v>1559.21</v>
      </c>
      <c r="DD496">
        <v>18.18783333333333</v>
      </c>
      <c r="DE496">
        <v>11.64353333333333</v>
      </c>
      <c r="DF496">
        <v>1494.753333333333</v>
      </c>
      <c r="DG496">
        <v>18.16963333333333</v>
      </c>
      <c r="DH496">
        <v>500.0353333333333</v>
      </c>
      <c r="DI496">
        <v>89.90983333333334</v>
      </c>
      <c r="DJ496">
        <v>0.09985106666666665</v>
      </c>
      <c r="DK496">
        <v>25.8684</v>
      </c>
      <c r="DL496">
        <v>25.03266666666667</v>
      </c>
      <c r="DM496">
        <v>999.9</v>
      </c>
      <c r="DN496">
        <v>0</v>
      </c>
      <c r="DO496">
        <v>0</v>
      </c>
      <c r="DP496">
        <v>10006.23333333333</v>
      </c>
      <c r="DQ496">
        <v>0</v>
      </c>
      <c r="DR496">
        <v>3.23193</v>
      </c>
      <c r="DS496">
        <v>-67.30743333333332</v>
      </c>
      <c r="DT496">
        <v>1519.533333333333</v>
      </c>
      <c r="DU496">
        <v>1577.576666666667</v>
      </c>
      <c r="DV496">
        <v>6.544313333333334</v>
      </c>
      <c r="DW496">
        <v>1559.21</v>
      </c>
      <c r="DX496">
        <v>11.64353333333333</v>
      </c>
      <c r="DY496">
        <v>1.635266666666667</v>
      </c>
      <c r="DZ496">
        <v>1.04687</v>
      </c>
      <c r="EA496">
        <v>14.2952</v>
      </c>
      <c r="EB496">
        <v>7.585516666666667</v>
      </c>
      <c r="EC496">
        <v>1499.97</v>
      </c>
      <c r="ED496">
        <v>0.9730013333333334</v>
      </c>
      <c r="EE496">
        <v>0.0269984</v>
      </c>
      <c r="EF496">
        <v>0</v>
      </c>
      <c r="EG496">
        <v>881.6746666666667</v>
      </c>
      <c r="EH496">
        <v>5.00097</v>
      </c>
      <c r="EI496">
        <v>13105.8</v>
      </c>
      <c r="EJ496">
        <v>12491.3</v>
      </c>
      <c r="EK496">
        <v>37.375</v>
      </c>
      <c r="EL496">
        <v>38.729</v>
      </c>
      <c r="EM496">
        <v>37.75</v>
      </c>
      <c r="EN496">
        <v>38.375</v>
      </c>
      <c r="EO496">
        <v>38.312</v>
      </c>
      <c r="EP496">
        <v>1454.61</v>
      </c>
      <c r="EQ496">
        <v>40.36000000000001</v>
      </c>
      <c r="ER496">
        <v>0</v>
      </c>
      <c r="ES496">
        <v>1240.400000095367</v>
      </c>
      <c r="ET496">
        <v>0</v>
      </c>
      <c r="EU496">
        <v>882.4776923076923</v>
      </c>
      <c r="EV496">
        <v>-10.74434189048779</v>
      </c>
      <c r="EW496">
        <v>-149.1111110191259</v>
      </c>
      <c r="EX496">
        <v>13121.38846153846</v>
      </c>
      <c r="EY496">
        <v>15</v>
      </c>
      <c r="EZ496">
        <v>1651865518.1</v>
      </c>
      <c r="FA496" t="s">
        <v>910</v>
      </c>
      <c r="FB496">
        <v>1651865507.1</v>
      </c>
      <c r="FC496">
        <v>1651865518.1</v>
      </c>
      <c r="FD496">
        <v>8</v>
      </c>
      <c r="FE496">
        <v>0.06</v>
      </c>
      <c r="FF496">
        <v>0</v>
      </c>
      <c r="FG496">
        <v>-0.927</v>
      </c>
      <c r="FH496">
        <v>-0.062</v>
      </c>
      <c r="FI496">
        <v>400</v>
      </c>
      <c r="FJ496">
        <v>11</v>
      </c>
      <c r="FK496">
        <v>0.11</v>
      </c>
      <c r="FL496">
        <v>0.01</v>
      </c>
      <c r="FM496">
        <v>-67.32583902439025</v>
      </c>
      <c r="FN496">
        <v>-0.9796055749129797</v>
      </c>
      <c r="FO496">
        <v>0.1410314769882498</v>
      </c>
      <c r="FP496">
        <v>-1</v>
      </c>
      <c r="FQ496">
        <v>6.854652926829268</v>
      </c>
      <c r="FR496">
        <v>-1.88679951219512</v>
      </c>
      <c r="FS496">
        <v>0.1860966833198625</v>
      </c>
      <c r="FT496">
        <v>-1</v>
      </c>
      <c r="FU496">
        <v>0</v>
      </c>
      <c r="FV496">
        <v>0</v>
      </c>
      <c r="FW496">
        <v>0</v>
      </c>
      <c r="FX496">
        <v>-1</v>
      </c>
      <c r="FY496">
        <v>0</v>
      </c>
      <c r="FZ496">
        <v>0</v>
      </c>
      <c r="GA496" t="s">
        <v>420</v>
      </c>
      <c r="GB496">
        <v>2.98158</v>
      </c>
      <c r="GC496">
        <v>2.70618</v>
      </c>
      <c r="GD496">
        <v>0.2202</v>
      </c>
      <c r="GE496">
        <v>0.223611</v>
      </c>
      <c r="GF496">
        <v>0.08725869999999999</v>
      </c>
      <c r="GG496">
        <v>0.0622819</v>
      </c>
      <c r="GH496">
        <v>24645.5</v>
      </c>
      <c r="GI496">
        <v>24590.3</v>
      </c>
      <c r="GJ496">
        <v>29382.1</v>
      </c>
      <c r="GK496">
        <v>29296.8</v>
      </c>
      <c r="GL496">
        <v>35511.6</v>
      </c>
      <c r="GM496">
        <v>36596.2</v>
      </c>
      <c r="GN496">
        <v>41356.1</v>
      </c>
      <c r="GO496">
        <v>41818.2</v>
      </c>
      <c r="GP496">
        <v>1.96548</v>
      </c>
      <c r="GQ496">
        <v>1.864</v>
      </c>
      <c r="GR496">
        <v>-0.00213087</v>
      </c>
      <c r="GS496">
        <v>0</v>
      </c>
      <c r="GT496">
        <v>25.0674</v>
      </c>
      <c r="GU496">
        <v>999.9</v>
      </c>
      <c r="GV496">
        <v>29.3</v>
      </c>
      <c r="GW496">
        <v>34.2</v>
      </c>
      <c r="GX496">
        <v>17.6057</v>
      </c>
      <c r="GY496">
        <v>62.3376</v>
      </c>
      <c r="GZ496">
        <v>34.8558</v>
      </c>
      <c r="HA496">
        <v>1</v>
      </c>
      <c r="HB496">
        <v>0.0381402</v>
      </c>
      <c r="HC496">
        <v>2.08481</v>
      </c>
      <c r="HD496">
        <v>20.3218</v>
      </c>
      <c r="HE496">
        <v>5.21864</v>
      </c>
      <c r="HF496">
        <v>12.0099</v>
      </c>
      <c r="HG496">
        <v>4.9889</v>
      </c>
      <c r="HH496">
        <v>3.28855</v>
      </c>
      <c r="HI496">
        <v>1038.8</v>
      </c>
      <c r="HJ496">
        <v>9782.700000000001</v>
      </c>
      <c r="HK496">
        <v>5139.4</v>
      </c>
      <c r="HL496">
        <v>25.4</v>
      </c>
      <c r="HM496">
        <v>1.86748</v>
      </c>
      <c r="HN496">
        <v>1.86646</v>
      </c>
      <c r="HO496">
        <v>1.866</v>
      </c>
      <c r="HP496">
        <v>1.86584</v>
      </c>
      <c r="HQ496">
        <v>1.86768</v>
      </c>
      <c r="HR496">
        <v>1.87022</v>
      </c>
      <c r="HS496">
        <v>1.8689</v>
      </c>
      <c r="HT496">
        <v>1.87024</v>
      </c>
      <c r="HU496">
        <v>0</v>
      </c>
      <c r="HV496">
        <v>0</v>
      </c>
      <c r="HW496">
        <v>0</v>
      </c>
      <c r="HX496">
        <v>0</v>
      </c>
      <c r="HY496" t="s">
        <v>421</v>
      </c>
      <c r="HZ496" t="s">
        <v>422</v>
      </c>
      <c r="IA496" t="s">
        <v>423</v>
      </c>
      <c r="IB496" t="s">
        <v>423</v>
      </c>
      <c r="IC496" t="s">
        <v>423</v>
      </c>
      <c r="ID496" t="s">
        <v>423</v>
      </c>
      <c r="IE496">
        <v>0</v>
      </c>
      <c r="IF496">
        <v>100</v>
      </c>
      <c r="IG496">
        <v>100</v>
      </c>
      <c r="IH496">
        <v>-2.86</v>
      </c>
      <c r="II496">
        <v>0.0183</v>
      </c>
      <c r="IJ496">
        <v>-0.1559367209035702</v>
      </c>
      <c r="IK496">
        <v>-0.002077099775823331</v>
      </c>
      <c r="IL496">
        <v>4.593143279902166E-07</v>
      </c>
      <c r="IM496">
        <v>-1.865383991892071E-10</v>
      </c>
      <c r="IN496">
        <v>-0.0607165066849496</v>
      </c>
      <c r="IO496">
        <v>-0.01129461987421345</v>
      </c>
      <c r="IP496">
        <v>0.00116580895745559</v>
      </c>
      <c r="IQ496">
        <v>-1.679085872906199E-05</v>
      </c>
      <c r="IR496">
        <v>2</v>
      </c>
      <c r="IS496">
        <v>2290</v>
      </c>
      <c r="IT496">
        <v>0</v>
      </c>
      <c r="IU496">
        <v>32</v>
      </c>
      <c r="IV496">
        <v>20.3</v>
      </c>
      <c r="IW496">
        <v>20.1</v>
      </c>
      <c r="IX496">
        <v>3.00049</v>
      </c>
      <c r="IY496">
        <v>2.17651</v>
      </c>
      <c r="IZ496">
        <v>1.39648</v>
      </c>
      <c r="JA496">
        <v>2.35474</v>
      </c>
      <c r="JB496">
        <v>1.49536</v>
      </c>
      <c r="JC496">
        <v>2.30835</v>
      </c>
      <c r="JD496">
        <v>38.0134</v>
      </c>
      <c r="JE496">
        <v>24.035</v>
      </c>
      <c r="JF496">
        <v>18</v>
      </c>
      <c r="JG496">
        <v>510.447</v>
      </c>
      <c r="JH496">
        <v>431.113</v>
      </c>
      <c r="JI496">
        <v>22.5841</v>
      </c>
      <c r="JJ496">
        <v>27.7947</v>
      </c>
      <c r="JK496">
        <v>29.9999</v>
      </c>
      <c r="JL496">
        <v>27.7971</v>
      </c>
      <c r="JM496">
        <v>27.7432</v>
      </c>
      <c r="JN496">
        <v>60.152</v>
      </c>
      <c r="JO496">
        <v>31.9916</v>
      </c>
      <c r="JP496">
        <v>0</v>
      </c>
      <c r="JQ496">
        <v>22.563</v>
      </c>
      <c r="JR496">
        <v>1583.83</v>
      </c>
      <c r="JS496">
        <v>11.9166</v>
      </c>
      <c r="JT496">
        <v>100.433</v>
      </c>
      <c r="JU496">
        <v>100.364</v>
      </c>
    </row>
    <row r="497" spans="1:281">
      <c r="A497">
        <v>481</v>
      </c>
      <c r="B497">
        <v>1651866724.5</v>
      </c>
      <c r="C497">
        <v>2503.900000095367</v>
      </c>
      <c r="D497" t="s">
        <v>1385</v>
      </c>
      <c r="E497" t="s">
        <v>1386</v>
      </c>
      <c r="F497">
        <v>2</v>
      </c>
      <c r="G497" t="s">
        <v>908</v>
      </c>
      <c r="H497" t="s">
        <v>414</v>
      </c>
      <c r="I497">
        <v>1651866723.125</v>
      </c>
      <c r="J497">
        <f>(K497)/1000</f>
        <v>0</v>
      </c>
      <c r="K497">
        <f>IF(CZ497, AN497, AH497)</f>
        <v>0</v>
      </c>
      <c r="L497">
        <f>IF(CZ497, AI497, AG497)</f>
        <v>0</v>
      </c>
      <c r="M497">
        <f>DB497 - IF(AU497&gt;1, L497*CV497*100.0/(AW497*DP497), 0)</f>
        <v>0</v>
      </c>
      <c r="N497">
        <f>((T497-J497/2)*M497-L497)/(T497+J497/2)</f>
        <v>0</v>
      </c>
      <c r="O497">
        <f>N497*(DI497+DJ497)/1000.0</f>
        <v>0</v>
      </c>
      <c r="P497">
        <f>(DB497 - IF(AU497&gt;1, L497*CV497*100.0/(AW497*DP497), 0))*(DI497+DJ497)/1000.0</f>
        <v>0</v>
      </c>
      <c r="Q497">
        <f>2.0/((1/S497-1/R497)+SIGN(S497)*SQRT((1/S497-1/R497)*(1/S497-1/R497) + 4*CW497/((CW497+1)*(CW497+1))*(2*1/S497*1/R497-1/R497*1/R497)))</f>
        <v>0</v>
      </c>
      <c r="R497">
        <f>IF(LEFT(CX497,1)&lt;&gt;"0",IF(LEFT(CX497,1)="1",3.0,CY497),$D$5+$E$5*(DP497*DI497/($K$5*1000))+$F$5*(DP497*DI497/($K$5*1000))*MAX(MIN(CV497,$J$5),$I$5)*MAX(MIN(CV497,$J$5),$I$5)+$G$5*MAX(MIN(CV497,$J$5),$I$5)*(DP497*DI497/($K$5*1000))+$H$5*(DP497*DI497/($K$5*1000))*(DP497*DI497/($K$5*1000)))</f>
        <v>0</v>
      </c>
      <c r="S497">
        <f>J497*(1000-(1000*0.61365*exp(17.502*W497/(240.97+W497))/(DI497+DJ497)+DD497)/2)/(1000*0.61365*exp(17.502*W497/(240.97+W497))/(DI497+DJ497)-DD497)</f>
        <v>0</v>
      </c>
      <c r="T497">
        <f>1/((CW497+1)/(Q497/1.6)+1/(R497/1.37)) + CW497/((CW497+1)/(Q497/1.6) + CW497/(R497/1.37))</f>
        <v>0</v>
      </c>
      <c r="U497">
        <f>(CR497*CU497)</f>
        <v>0</v>
      </c>
      <c r="V497">
        <f>(DK497+(U497+2*0.95*5.67E-8*(((DK497+$B$7)+273)^4-(DK497+273)^4)-44100*J497)/(1.84*29.3*R497+8*0.95*5.67E-8*(DK497+273)^3))</f>
        <v>0</v>
      </c>
      <c r="W497">
        <f>($C$7*DL497+$D$7*DM497+$E$7*V497)</f>
        <v>0</v>
      </c>
      <c r="X497">
        <f>0.61365*exp(17.502*W497/(240.97+W497))</f>
        <v>0</v>
      </c>
      <c r="Y497">
        <f>(Z497/AA497*100)</f>
        <v>0</v>
      </c>
      <c r="Z497">
        <f>DD497*(DI497+DJ497)/1000</f>
        <v>0</v>
      </c>
      <c r="AA497">
        <f>0.61365*exp(17.502*DK497/(240.97+DK497))</f>
        <v>0</v>
      </c>
      <c r="AB497">
        <f>(X497-DD497*(DI497+DJ497)/1000)</f>
        <v>0</v>
      </c>
      <c r="AC497">
        <f>(-J497*44100)</f>
        <v>0</v>
      </c>
      <c r="AD497">
        <f>2*29.3*R497*0.92*(DK497-W497)</f>
        <v>0</v>
      </c>
      <c r="AE497">
        <f>2*0.95*5.67E-8*(((DK497+$B$7)+273)^4-(W497+273)^4)</f>
        <v>0</v>
      </c>
      <c r="AF497">
        <f>U497+AE497+AC497+AD497</f>
        <v>0</v>
      </c>
      <c r="AG497">
        <f>DH497*AU497*(DC497-DB497*(1000-AU497*DE497)/(1000-AU497*DD497))/(100*CV497)</f>
        <v>0</v>
      </c>
      <c r="AH497">
        <f>1000*DH497*AU497*(DD497-DE497)/(100*CV497*(1000-AU497*DD497))</f>
        <v>0</v>
      </c>
      <c r="AI497">
        <f>(AJ497 - AK497 - DI497*1E3/(8.314*(DK497+273.15)) * AM497/DH497 * AL497) * DH497/(100*CV497) * (1000 - DE497)/1000</f>
        <v>0</v>
      </c>
      <c r="AJ497">
        <v>1578.336280224147</v>
      </c>
      <c r="AK497">
        <v>1527.985272727273</v>
      </c>
      <c r="AL497">
        <v>3.395503859248044</v>
      </c>
      <c r="AM497">
        <v>66.38195617057868</v>
      </c>
      <c r="AN497">
        <f>(AP497 - AO497 + DI497*1E3/(8.314*(DK497+273.15)) * AR497/DH497 * AQ497) * DH497/(100*CV497) * 1000/(1000 - AP497)</f>
        <v>0</v>
      </c>
      <c r="AO497">
        <v>11.59643077650014</v>
      </c>
      <c r="AP497">
        <v>18.18624147058823</v>
      </c>
      <c r="AQ497">
        <v>-6.290031569378614E-06</v>
      </c>
      <c r="AR497">
        <v>80.47178418790507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MAX(0,($B$13+$C$13*DP497)/(1+$D$13*DP497)*DI497/(DK497+273)*$E$13)</f>
        <v>0</v>
      </c>
      <c r="AX497" t="s">
        <v>417</v>
      </c>
      <c r="AY497" t="s">
        <v>417</v>
      </c>
      <c r="AZ497">
        <v>0</v>
      </c>
      <c r="BA497">
        <v>0</v>
      </c>
      <c r="BB497">
        <f>1-AZ497/BA497</f>
        <v>0</v>
      </c>
      <c r="BC497">
        <v>0</v>
      </c>
      <c r="BD497" t="s">
        <v>417</v>
      </c>
      <c r="BE497" t="s">
        <v>417</v>
      </c>
      <c r="BF497">
        <v>0</v>
      </c>
      <c r="BG497">
        <v>0</v>
      </c>
      <c r="BH497">
        <f>1-BF497/BG497</f>
        <v>0</v>
      </c>
      <c r="BI497">
        <v>0.5</v>
      </c>
      <c r="BJ497">
        <f>CS497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417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BZ497">
        <v>1249</v>
      </c>
      <c r="CA497">
        <v>300</v>
      </c>
      <c r="CB497">
        <v>300</v>
      </c>
      <c r="CC497">
        <v>300</v>
      </c>
      <c r="CD497">
        <v>10442.4</v>
      </c>
      <c r="CE497">
        <v>1239.69</v>
      </c>
      <c r="CF497">
        <v>-0.00735276</v>
      </c>
      <c r="CG497">
        <v>0.07000000000000001</v>
      </c>
      <c r="CH497" t="s">
        <v>417</v>
      </c>
      <c r="CI497" t="s">
        <v>417</v>
      </c>
      <c r="CJ497" t="s">
        <v>417</v>
      </c>
      <c r="CK497" t="s">
        <v>417</v>
      </c>
      <c r="CL497" t="s">
        <v>417</v>
      </c>
      <c r="CM497" t="s">
        <v>417</v>
      </c>
      <c r="CN497" t="s">
        <v>417</v>
      </c>
      <c r="CO497" t="s">
        <v>417</v>
      </c>
      <c r="CP497" t="s">
        <v>417</v>
      </c>
      <c r="CQ497" t="s">
        <v>417</v>
      </c>
      <c r="CR497">
        <f>$B$11*DQ497+$C$11*DR497+$F$11*EC497*(1-EF497)</f>
        <v>0</v>
      </c>
      <c r="CS497">
        <f>CR497*CT497</f>
        <v>0</v>
      </c>
      <c r="CT497">
        <f>($B$11*$D$9+$C$11*$D$9+$F$11*((EP497+EH497)/MAX(EP497+EH497+EQ497, 0.1)*$I$9+EQ497/MAX(EP497+EH497+EQ497, 0.1)*$J$9))/($B$11+$C$11+$F$11)</f>
        <v>0</v>
      </c>
      <c r="CU497">
        <f>($B$11*$K$9+$C$11*$K$9+$F$11*((EP497+EH497)/MAX(EP497+EH497+EQ497, 0.1)*$P$9+EQ497/MAX(EP497+EH497+EQ497, 0.1)*$Q$9))/($B$11+$C$11+$F$11)</f>
        <v>0</v>
      </c>
      <c r="CV497">
        <v>6</v>
      </c>
      <c r="CW497">
        <v>0.5</v>
      </c>
      <c r="CX497" t="s">
        <v>418</v>
      </c>
      <c r="CY497">
        <v>2</v>
      </c>
      <c r="CZ497" t="b">
        <v>1</v>
      </c>
      <c r="DA497">
        <v>1651866723.125</v>
      </c>
      <c r="DB497">
        <v>1497.3075</v>
      </c>
      <c r="DC497">
        <v>1564.545</v>
      </c>
      <c r="DD497">
        <v>18.186975</v>
      </c>
      <c r="DE497">
        <v>11.687975</v>
      </c>
      <c r="DF497">
        <v>1500.175</v>
      </c>
      <c r="DG497">
        <v>18.16875</v>
      </c>
      <c r="DH497">
        <v>500.043</v>
      </c>
      <c r="DI497">
        <v>89.90967499999999</v>
      </c>
      <c r="DJ497">
        <v>0.09996137500000001</v>
      </c>
      <c r="DK497">
        <v>25.866675</v>
      </c>
      <c r="DL497">
        <v>25.032875</v>
      </c>
      <c r="DM497">
        <v>999.9</v>
      </c>
      <c r="DN497">
        <v>0</v>
      </c>
      <c r="DO497">
        <v>0</v>
      </c>
      <c r="DP497">
        <v>10010.625</v>
      </c>
      <c r="DQ497">
        <v>0</v>
      </c>
      <c r="DR497">
        <v>3.23193</v>
      </c>
      <c r="DS497">
        <v>-67.2368</v>
      </c>
      <c r="DT497">
        <v>1525.045</v>
      </c>
      <c r="DU497">
        <v>1583.0475</v>
      </c>
      <c r="DV497">
        <v>6.4989875</v>
      </c>
      <c r="DW497">
        <v>1564.545</v>
      </c>
      <c r="DX497">
        <v>11.687975</v>
      </c>
      <c r="DY497">
        <v>1.635185</v>
      </c>
      <c r="DZ497">
        <v>1.0508625</v>
      </c>
      <c r="EA497">
        <v>14.29445</v>
      </c>
      <c r="EB497">
        <v>7.6413025</v>
      </c>
      <c r="EC497">
        <v>1500.0025</v>
      </c>
      <c r="ED497">
        <v>0.973008</v>
      </c>
      <c r="EE497">
        <v>0.026991875</v>
      </c>
      <c r="EF497">
        <v>0</v>
      </c>
      <c r="EG497">
        <v>880.9717499999999</v>
      </c>
      <c r="EH497">
        <v>5.00097</v>
      </c>
      <c r="EI497">
        <v>13102.975</v>
      </c>
      <c r="EJ497">
        <v>12491.65</v>
      </c>
      <c r="EK497">
        <v>37.375</v>
      </c>
      <c r="EL497">
        <v>38.75</v>
      </c>
      <c r="EM497">
        <v>37.75</v>
      </c>
      <c r="EN497">
        <v>38.375</v>
      </c>
      <c r="EO497">
        <v>38.2655</v>
      </c>
      <c r="EP497">
        <v>1454.65</v>
      </c>
      <c r="EQ497">
        <v>40.35250000000001</v>
      </c>
      <c r="ER497">
        <v>0</v>
      </c>
      <c r="ES497">
        <v>1242.200000047684</v>
      </c>
      <c r="ET497">
        <v>0</v>
      </c>
      <c r="EU497">
        <v>882.0799599999998</v>
      </c>
      <c r="EV497">
        <v>-10.95807690700392</v>
      </c>
      <c r="EW497">
        <v>-144.2923072665523</v>
      </c>
      <c r="EX497">
        <v>13116.324</v>
      </c>
      <c r="EY497">
        <v>15</v>
      </c>
      <c r="EZ497">
        <v>1651865518.1</v>
      </c>
      <c r="FA497" t="s">
        <v>910</v>
      </c>
      <c r="FB497">
        <v>1651865507.1</v>
      </c>
      <c r="FC497">
        <v>1651865518.1</v>
      </c>
      <c r="FD497">
        <v>8</v>
      </c>
      <c r="FE497">
        <v>0.06</v>
      </c>
      <c r="FF497">
        <v>0</v>
      </c>
      <c r="FG497">
        <v>-0.927</v>
      </c>
      <c r="FH497">
        <v>-0.062</v>
      </c>
      <c r="FI497">
        <v>400</v>
      </c>
      <c r="FJ497">
        <v>11</v>
      </c>
      <c r="FK497">
        <v>0.11</v>
      </c>
      <c r="FL497">
        <v>0.01</v>
      </c>
      <c r="FM497">
        <v>-67.33587250000001</v>
      </c>
      <c r="FN497">
        <v>-0.4179208255158034</v>
      </c>
      <c r="FO497">
        <v>0.1309895758972828</v>
      </c>
      <c r="FP497">
        <v>-1</v>
      </c>
      <c r="FQ497">
        <v>6.769442499999999</v>
      </c>
      <c r="FR497">
        <v>-1.870668517823646</v>
      </c>
      <c r="FS497">
        <v>0.1800272295064</v>
      </c>
      <c r="FT497">
        <v>-1</v>
      </c>
      <c r="FU497">
        <v>0</v>
      </c>
      <c r="FV497">
        <v>0</v>
      </c>
      <c r="FW497">
        <v>0</v>
      </c>
      <c r="FX497">
        <v>-1</v>
      </c>
      <c r="FY497">
        <v>0</v>
      </c>
      <c r="FZ497">
        <v>0</v>
      </c>
      <c r="GA497" t="s">
        <v>420</v>
      </c>
      <c r="GB497">
        <v>2.98158</v>
      </c>
      <c r="GC497">
        <v>2.7063</v>
      </c>
      <c r="GD497">
        <v>0.220791</v>
      </c>
      <c r="GE497">
        <v>0.224193</v>
      </c>
      <c r="GF497">
        <v>0.0872484</v>
      </c>
      <c r="GG497">
        <v>0.0624889</v>
      </c>
      <c r="GH497">
        <v>24627.1</v>
      </c>
      <c r="GI497">
        <v>24571.8</v>
      </c>
      <c r="GJ497">
        <v>29382.5</v>
      </c>
      <c r="GK497">
        <v>29296.7</v>
      </c>
      <c r="GL497">
        <v>35512.3</v>
      </c>
      <c r="GM497">
        <v>36588.1</v>
      </c>
      <c r="GN497">
        <v>41356.5</v>
      </c>
      <c r="GO497">
        <v>41818.2</v>
      </c>
      <c r="GP497">
        <v>1.96548</v>
      </c>
      <c r="GQ497">
        <v>1.86402</v>
      </c>
      <c r="GR497">
        <v>-0.00204891</v>
      </c>
      <c r="GS497">
        <v>0</v>
      </c>
      <c r="GT497">
        <v>25.0678</v>
      </c>
      <c r="GU497">
        <v>999.9</v>
      </c>
      <c r="GV497">
        <v>29.3</v>
      </c>
      <c r="GW497">
        <v>34.2</v>
      </c>
      <c r="GX497">
        <v>17.6071</v>
      </c>
      <c r="GY497">
        <v>62.4376</v>
      </c>
      <c r="GZ497">
        <v>35.0521</v>
      </c>
      <c r="HA497">
        <v>1</v>
      </c>
      <c r="HB497">
        <v>0.0379344</v>
      </c>
      <c r="HC497">
        <v>2.09016</v>
      </c>
      <c r="HD497">
        <v>20.3218</v>
      </c>
      <c r="HE497">
        <v>5.21864</v>
      </c>
      <c r="HF497">
        <v>12.0099</v>
      </c>
      <c r="HG497">
        <v>4.98915</v>
      </c>
      <c r="HH497">
        <v>3.2885</v>
      </c>
      <c r="HI497">
        <v>1038.8</v>
      </c>
      <c r="HJ497">
        <v>9782.700000000001</v>
      </c>
      <c r="HK497">
        <v>5139.4</v>
      </c>
      <c r="HL497">
        <v>25.4</v>
      </c>
      <c r="HM497">
        <v>1.86747</v>
      </c>
      <c r="HN497">
        <v>1.86646</v>
      </c>
      <c r="HO497">
        <v>1.866</v>
      </c>
      <c r="HP497">
        <v>1.86584</v>
      </c>
      <c r="HQ497">
        <v>1.86768</v>
      </c>
      <c r="HR497">
        <v>1.87021</v>
      </c>
      <c r="HS497">
        <v>1.8689</v>
      </c>
      <c r="HT497">
        <v>1.87023</v>
      </c>
      <c r="HU497">
        <v>0</v>
      </c>
      <c r="HV497">
        <v>0</v>
      </c>
      <c r="HW497">
        <v>0</v>
      </c>
      <c r="HX497">
        <v>0</v>
      </c>
      <c r="HY497" t="s">
        <v>421</v>
      </c>
      <c r="HZ497" t="s">
        <v>422</v>
      </c>
      <c r="IA497" t="s">
        <v>423</v>
      </c>
      <c r="IB497" t="s">
        <v>423</v>
      </c>
      <c r="IC497" t="s">
        <v>423</v>
      </c>
      <c r="ID497" t="s">
        <v>423</v>
      </c>
      <c r="IE497">
        <v>0</v>
      </c>
      <c r="IF497">
        <v>100</v>
      </c>
      <c r="IG497">
        <v>100</v>
      </c>
      <c r="IH497">
        <v>-2.88</v>
      </c>
      <c r="II497">
        <v>0.0182</v>
      </c>
      <c r="IJ497">
        <v>-0.1559367209035702</v>
      </c>
      <c r="IK497">
        <v>-0.002077099775823331</v>
      </c>
      <c r="IL497">
        <v>4.593143279902166E-07</v>
      </c>
      <c r="IM497">
        <v>-1.865383991892071E-10</v>
      </c>
      <c r="IN497">
        <v>-0.0607165066849496</v>
      </c>
      <c r="IO497">
        <v>-0.01129461987421345</v>
      </c>
      <c r="IP497">
        <v>0.00116580895745559</v>
      </c>
      <c r="IQ497">
        <v>-1.679085872906199E-05</v>
      </c>
      <c r="IR497">
        <v>2</v>
      </c>
      <c r="IS497">
        <v>2290</v>
      </c>
      <c r="IT497">
        <v>0</v>
      </c>
      <c r="IU497">
        <v>32</v>
      </c>
      <c r="IV497">
        <v>20.3</v>
      </c>
      <c r="IW497">
        <v>20.1</v>
      </c>
      <c r="IX497">
        <v>3.01147</v>
      </c>
      <c r="IY497">
        <v>2.17041</v>
      </c>
      <c r="IZ497">
        <v>1.39648</v>
      </c>
      <c r="JA497">
        <v>2.35474</v>
      </c>
      <c r="JB497">
        <v>1.49536</v>
      </c>
      <c r="JC497">
        <v>2.3645</v>
      </c>
      <c r="JD497">
        <v>38.0134</v>
      </c>
      <c r="JE497">
        <v>24.0437</v>
      </c>
      <c r="JF497">
        <v>18</v>
      </c>
      <c r="JG497">
        <v>510.447</v>
      </c>
      <c r="JH497">
        <v>431.119</v>
      </c>
      <c r="JI497">
        <v>22.5674</v>
      </c>
      <c r="JJ497">
        <v>27.7947</v>
      </c>
      <c r="JK497">
        <v>30</v>
      </c>
      <c r="JL497">
        <v>27.7971</v>
      </c>
      <c r="JM497">
        <v>27.742</v>
      </c>
      <c r="JN497">
        <v>60.3562</v>
      </c>
      <c r="JO497">
        <v>31.7192</v>
      </c>
      <c r="JP497">
        <v>0</v>
      </c>
      <c r="JQ497">
        <v>22.563</v>
      </c>
      <c r="JR497">
        <v>1590.54</v>
      </c>
      <c r="JS497">
        <v>11.9823</v>
      </c>
      <c r="JT497">
        <v>100.435</v>
      </c>
      <c r="JU497">
        <v>100.364</v>
      </c>
    </row>
    <row r="498" spans="1:281">
      <c r="A498">
        <v>482</v>
      </c>
      <c r="B498">
        <v>1651866726.5</v>
      </c>
      <c r="C498">
        <v>2505.900000095367</v>
      </c>
      <c r="D498" t="s">
        <v>1387</v>
      </c>
      <c r="E498" t="s">
        <v>1388</v>
      </c>
      <c r="F498">
        <v>2</v>
      </c>
      <c r="G498" t="s">
        <v>908</v>
      </c>
      <c r="H498" t="s">
        <v>414</v>
      </c>
      <c r="I498">
        <v>1651866725.5</v>
      </c>
      <c r="J498">
        <f>(K498)/1000</f>
        <v>0</v>
      </c>
      <c r="K498">
        <f>IF(CZ498, AN498, AH498)</f>
        <v>0</v>
      </c>
      <c r="L498">
        <f>IF(CZ498, AI498, AG498)</f>
        <v>0</v>
      </c>
      <c r="M498">
        <f>DB498 - IF(AU498&gt;1, L498*CV498*100.0/(AW498*DP498), 0)</f>
        <v>0</v>
      </c>
      <c r="N498">
        <f>((T498-J498/2)*M498-L498)/(T498+J498/2)</f>
        <v>0</v>
      </c>
      <c r="O498">
        <f>N498*(DI498+DJ498)/1000.0</f>
        <v>0</v>
      </c>
      <c r="P498">
        <f>(DB498 - IF(AU498&gt;1, L498*CV498*100.0/(AW498*DP498), 0))*(DI498+DJ498)/1000.0</f>
        <v>0</v>
      </c>
      <c r="Q498">
        <f>2.0/((1/S498-1/R498)+SIGN(S498)*SQRT((1/S498-1/R498)*(1/S498-1/R498) + 4*CW498/((CW498+1)*(CW498+1))*(2*1/S498*1/R498-1/R498*1/R498)))</f>
        <v>0</v>
      </c>
      <c r="R498">
        <f>IF(LEFT(CX498,1)&lt;&gt;"0",IF(LEFT(CX498,1)="1",3.0,CY498),$D$5+$E$5*(DP498*DI498/($K$5*1000))+$F$5*(DP498*DI498/($K$5*1000))*MAX(MIN(CV498,$J$5),$I$5)*MAX(MIN(CV498,$J$5),$I$5)+$G$5*MAX(MIN(CV498,$J$5),$I$5)*(DP498*DI498/($K$5*1000))+$H$5*(DP498*DI498/($K$5*1000))*(DP498*DI498/($K$5*1000)))</f>
        <v>0</v>
      </c>
      <c r="S498">
        <f>J498*(1000-(1000*0.61365*exp(17.502*W498/(240.97+W498))/(DI498+DJ498)+DD498)/2)/(1000*0.61365*exp(17.502*W498/(240.97+W498))/(DI498+DJ498)-DD498)</f>
        <v>0</v>
      </c>
      <c r="T498">
        <f>1/((CW498+1)/(Q498/1.6)+1/(R498/1.37)) + CW498/((CW498+1)/(Q498/1.6) + CW498/(R498/1.37))</f>
        <v>0</v>
      </c>
      <c r="U498">
        <f>(CR498*CU498)</f>
        <v>0</v>
      </c>
      <c r="V498">
        <f>(DK498+(U498+2*0.95*5.67E-8*(((DK498+$B$7)+273)^4-(DK498+273)^4)-44100*J498)/(1.84*29.3*R498+8*0.95*5.67E-8*(DK498+273)^3))</f>
        <v>0</v>
      </c>
      <c r="W498">
        <f>($C$7*DL498+$D$7*DM498+$E$7*V498)</f>
        <v>0</v>
      </c>
      <c r="X498">
        <f>0.61365*exp(17.502*W498/(240.97+W498))</f>
        <v>0</v>
      </c>
      <c r="Y498">
        <f>(Z498/AA498*100)</f>
        <v>0</v>
      </c>
      <c r="Z498">
        <f>DD498*(DI498+DJ498)/1000</f>
        <v>0</v>
      </c>
      <c r="AA498">
        <f>0.61365*exp(17.502*DK498/(240.97+DK498))</f>
        <v>0</v>
      </c>
      <c r="AB498">
        <f>(X498-DD498*(DI498+DJ498)/1000)</f>
        <v>0</v>
      </c>
      <c r="AC498">
        <f>(-J498*44100)</f>
        <v>0</v>
      </c>
      <c r="AD498">
        <f>2*29.3*R498*0.92*(DK498-W498)</f>
        <v>0</v>
      </c>
      <c r="AE498">
        <f>2*0.95*5.67E-8*(((DK498+$B$7)+273)^4-(W498+273)^4)</f>
        <v>0</v>
      </c>
      <c r="AF498">
        <f>U498+AE498+AC498+AD498</f>
        <v>0</v>
      </c>
      <c r="AG498">
        <f>DH498*AU498*(DC498-DB498*(1000-AU498*DE498)/(1000-AU498*DD498))/(100*CV498)</f>
        <v>0</v>
      </c>
      <c r="AH498">
        <f>1000*DH498*AU498*(DD498-DE498)/(100*CV498*(1000-AU498*DD498))</f>
        <v>0</v>
      </c>
      <c r="AI498">
        <f>(AJ498 - AK498 - DI498*1E3/(8.314*(DK498+273.15)) * AM498/DH498 * AL498) * DH498/(100*CV498) * (1000 - DE498)/1000</f>
        <v>0</v>
      </c>
      <c r="AJ498">
        <v>1585.138789809174</v>
      </c>
      <c r="AK498">
        <v>1534.813212121212</v>
      </c>
      <c r="AL498">
        <v>3.396368127894463</v>
      </c>
      <c r="AM498">
        <v>66.38195617057868</v>
      </c>
      <c r="AN498">
        <f>(AP498 - AO498 + DI498*1E3/(8.314*(DK498+273.15)) * AR498/DH498 * AQ498) * DH498/(100*CV498) * 1000/(1000 - AP498)</f>
        <v>0</v>
      </c>
      <c r="AO498">
        <v>11.65685860627544</v>
      </c>
      <c r="AP498">
        <v>18.18002470588236</v>
      </c>
      <c r="AQ498">
        <v>1.434931116248657E-05</v>
      </c>
      <c r="AR498">
        <v>80.47178418790507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MAX(0,($B$13+$C$13*DP498)/(1+$D$13*DP498)*DI498/(DK498+273)*$E$13)</f>
        <v>0</v>
      </c>
      <c r="AX498" t="s">
        <v>417</v>
      </c>
      <c r="AY498" t="s">
        <v>417</v>
      </c>
      <c r="AZ498">
        <v>0</v>
      </c>
      <c r="BA498">
        <v>0</v>
      </c>
      <c r="BB498">
        <f>1-AZ498/BA498</f>
        <v>0</v>
      </c>
      <c r="BC498">
        <v>0</v>
      </c>
      <c r="BD498" t="s">
        <v>417</v>
      </c>
      <c r="BE498" t="s">
        <v>417</v>
      </c>
      <c r="BF498">
        <v>0</v>
      </c>
      <c r="BG498">
        <v>0</v>
      </c>
      <c r="BH498">
        <f>1-BF498/BG498</f>
        <v>0</v>
      </c>
      <c r="BI498">
        <v>0.5</v>
      </c>
      <c r="BJ498">
        <f>CS498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417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BZ498">
        <v>1249</v>
      </c>
      <c r="CA498">
        <v>300</v>
      </c>
      <c r="CB498">
        <v>300</v>
      </c>
      <c r="CC498">
        <v>300</v>
      </c>
      <c r="CD498">
        <v>10442.4</v>
      </c>
      <c r="CE498">
        <v>1239.69</v>
      </c>
      <c r="CF498">
        <v>-0.00735276</v>
      </c>
      <c r="CG498">
        <v>0.07000000000000001</v>
      </c>
      <c r="CH498" t="s">
        <v>417</v>
      </c>
      <c r="CI498" t="s">
        <v>417</v>
      </c>
      <c r="CJ498" t="s">
        <v>417</v>
      </c>
      <c r="CK498" t="s">
        <v>417</v>
      </c>
      <c r="CL498" t="s">
        <v>417</v>
      </c>
      <c r="CM498" t="s">
        <v>417</v>
      </c>
      <c r="CN498" t="s">
        <v>417</v>
      </c>
      <c r="CO498" t="s">
        <v>417</v>
      </c>
      <c r="CP498" t="s">
        <v>417</v>
      </c>
      <c r="CQ498" t="s">
        <v>417</v>
      </c>
      <c r="CR498">
        <f>$B$11*DQ498+$C$11*DR498+$F$11*EC498*(1-EF498)</f>
        <v>0</v>
      </c>
      <c r="CS498">
        <f>CR498*CT498</f>
        <v>0</v>
      </c>
      <c r="CT498">
        <f>($B$11*$D$9+$C$11*$D$9+$F$11*((EP498+EH498)/MAX(EP498+EH498+EQ498, 0.1)*$I$9+EQ498/MAX(EP498+EH498+EQ498, 0.1)*$J$9))/($B$11+$C$11+$F$11)</f>
        <v>0</v>
      </c>
      <c r="CU498">
        <f>($B$11*$K$9+$C$11*$K$9+$F$11*((EP498+EH498)/MAX(EP498+EH498+EQ498, 0.1)*$P$9+EQ498/MAX(EP498+EH498+EQ498, 0.1)*$Q$9))/($B$11+$C$11+$F$11)</f>
        <v>0</v>
      </c>
      <c r="CV498">
        <v>6</v>
      </c>
      <c r="CW498">
        <v>0.5</v>
      </c>
      <c r="CX498" t="s">
        <v>418</v>
      </c>
      <c r="CY498">
        <v>2</v>
      </c>
      <c r="CZ498" t="b">
        <v>1</v>
      </c>
      <c r="DA498">
        <v>1651866725.5</v>
      </c>
      <c r="DB498">
        <v>1505.233333333333</v>
      </c>
      <c r="DC498">
        <v>1572.576666666667</v>
      </c>
      <c r="DD498">
        <v>18.1811</v>
      </c>
      <c r="DE498">
        <v>11.7502</v>
      </c>
      <c r="DF498">
        <v>1508.116666666667</v>
      </c>
      <c r="DG498">
        <v>18.16296666666667</v>
      </c>
      <c r="DH498">
        <v>500.041</v>
      </c>
      <c r="DI498">
        <v>89.90940000000001</v>
      </c>
      <c r="DJ498">
        <v>0.09996476666666666</v>
      </c>
      <c r="DK498">
        <v>25.8624</v>
      </c>
      <c r="DL498">
        <v>25.0363</v>
      </c>
      <c r="DM498">
        <v>999.9</v>
      </c>
      <c r="DN498">
        <v>0</v>
      </c>
      <c r="DO498">
        <v>0</v>
      </c>
      <c r="DP498">
        <v>10020</v>
      </c>
      <c r="DQ498">
        <v>0</v>
      </c>
      <c r="DR498">
        <v>3.22678</v>
      </c>
      <c r="DS498">
        <v>-67.34306666666667</v>
      </c>
      <c r="DT498">
        <v>1533.106666666667</v>
      </c>
      <c r="DU498">
        <v>1591.273333333333</v>
      </c>
      <c r="DV498">
        <v>6.430910000000001</v>
      </c>
      <c r="DW498">
        <v>1572.576666666667</v>
      </c>
      <c r="DX498">
        <v>11.7502</v>
      </c>
      <c r="DY498">
        <v>1.63465</v>
      </c>
      <c r="DZ498">
        <v>1.056453333333333</v>
      </c>
      <c r="EA498">
        <v>14.2894</v>
      </c>
      <c r="EB498">
        <v>7.719083333333334</v>
      </c>
      <c r="EC498">
        <v>1499.956666666667</v>
      </c>
      <c r="ED498">
        <v>0.9730086666666665</v>
      </c>
      <c r="EE498">
        <v>0.0269913</v>
      </c>
      <c r="EF498">
        <v>0</v>
      </c>
      <c r="EG498">
        <v>880.9050000000001</v>
      </c>
      <c r="EH498">
        <v>5.00097</v>
      </c>
      <c r="EI498">
        <v>13097.1</v>
      </c>
      <c r="EJ498">
        <v>12491.3</v>
      </c>
      <c r="EK498">
        <v>37.375</v>
      </c>
      <c r="EL498">
        <v>38.75</v>
      </c>
      <c r="EM498">
        <v>37.75</v>
      </c>
      <c r="EN498">
        <v>38.375</v>
      </c>
      <c r="EO498">
        <v>38.27066666666666</v>
      </c>
      <c r="EP498">
        <v>1454.606666666667</v>
      </c>
      <c r="EQ498">
        <v>40.35</v>
      </c>
      <c r="ER498">
        <v>0</v>
      </c>
      <c r="ES498">
        <v>1244</v>
      </c>
      <c r="ET498">
        <v>0</v>
      </c>
      <c r="EU498">
        <v>881.8215</v>
      </c>
      <c r="EV498">
        <v>-10.25924786933169</v>
      </c>
      <c r="EW498">
        <v>-144.0239315408417</v>
      </c>
      <c r="EX498">
        <v>13112.69615384615</v>
      </c>
      <c r="EY498">
        <v>15</v>
      </c>
      <c r="EZ498">
        <v>1651865518.1</v>
      </c>
      <c r="FA498" t="s">
        <v>910</v>
      </c>
      <c r="FB498">
        <v>1651865507.1</v>
      </c>
      <c r="FC498">
        <v>1651865518.1</v>
      </c>
      <c r="FD498">
        <v>8</v>
      </c>
      <c r="FE498">
        <v>0.06</v>
      </c>
      <c r="FF498">
        <v>0</v>
      </c>
      <c r="FG498">
        <v>-0.927</v>
      </c>
      <c r="FH498">
        <v>-0.062</v>
      </c>
      <c r="FI498">
        <v>400</v>
      </c>
      <c r="FJ498">
        <v>11</v>
      </c>
      <c r="FK498">
        <v>0.11</v>
      </c>
      <c r="FL498">
        <v>0.01</v>
      </c>
      <c r="FM498">
        <v>-67.34509249999999</v>
      </c>
      <c r="FN498">
        <v>-0.2779148217638322</v>
      </c>
      <c r="FO498">
        <v>0.1253988903210471</v>
      </c>
      <c r="FP498">
        <v>-1</v>
      </c>
      <c r="FQ498">
        <v>6.7385515</v>
      </c>
      <c r="FR498">
        <v>-1.856115196998149</v>
      </c>
      <c r="FS498">
        <v>0.1786352912997597</v>
      </c>
      <c r="FT498">
        <v>-1</v>
      </c>
      <c r="FU498">
        <v>0</v>
      </c>
      <c r="FV498">
        <v>0</v>
      </c>
      <c r="FW498">
        <v>0</v>
      </c>
      <c r="FX498">
        <v>-1</v>
      </c>
      <c r="FY498">
        <v>0</v>
      </c>
      <c r="FZ498">
        <v>0</v>
      </c>
      <c r="GA498" t="s">
        <v>420</v>
      </c>
      <c r="GB498">
        <v>2.98172</v>
      </c>
      <c r="GC498">
        <v>2.70616</v>
      </c>
      <c r="GD498">
        <v>0.221385</v>
      </c>
      <c r="GE498">
        <v>0.224757</v>
      </c>
      <c r="GF498">
        <v>0.0872264</v>
      </c>
      <c r="GG498">
        <v>0.06271119999999999</v>
      </c>
      <c r="GH498">
        <v>24608.4</v>
      </c>
      <c r="GI498">
        <v>24554</v>
      </c>
      <c r="GJ498">
        <v>29382.6</v>
      </c>
      <c r="GK498">
        <v>29296.7</v>
      </c>
      <c r="GL498">
        <v>35513</v>
      </c>
      <c r="GM498">
        <v>36579.4</v>
      </c>
      <c r="GN498">
        <v>41356.3</v>
      </c>
      <c r="GO498">
        <v>41818.3</v>
      </c>
      <c r="GP498">
        <v>1.96545</v>
      </c>
      <c r="GQ498">
        <v>1.86405</v>
      </c>
      <c r="GR498">
        <v>-0.0018999</v>
      </c>
      <c r="GS498">
        <v>0</v>
      </c>
      <c r="GT498">
        <v>25.0678</v>
      </c>
      <c r="GU498">
        <v>999.9</v>
      </c>
      <c r="GV498">
        <v>29.3</v>
      </c>
      <c r="GW498">
        <v>34.2</v>
      </c>
      <c r="GX498">
        <v>17.607</v>
      </c>
      <c r="GY498">
        <v>62.4776</v>
      </c>
      <c r="GZ498">
        <v>34.992</v>
      </c>
      <c r="HA498">
        <v>1</v>
      </c>
      <c r="HB498">
        <v>0.0380412</v>
      </c>
      <c r="HC498">
        <v>2.0817</v>
      </c>
      <c r="HD498">
        <v>20.3219</v>
      </c>
      <c r="HE498">
        <v>5.21864</v>
      </c>
      <c r="HF498">
        <v>12.0099</v>
      </c>
      <c r="HG498">
        <v>4.98905</v>
      </c>
      <c r="HH498">
        <v>3.28848</v>
      </c>
      <c r="HI498">
        <v>1039</v>
      </c>
      <c r="HJ498">
        <v>9783.6</v>
      </c>
      <c r="HK498">
        <v>5139.4</v>
      </c>
      <c r="HL498">
        <v>25.4</v>
      </c>
      <c r="HM498">
        <v>1.86744</v>
      </c>
      <c r="HN498">
        <v>1.86645</v>
      </c>
      <c r="HO498">
        <v>1.866</v>
      </c>
      <c r="HP498">
        <v>1.86584</v>
      </c>
      <c r="HQ498">
        <v>1.86768</v>
      </c>
      <c r="HR498">
        <v>1.8702</v>
      </c>
      <c r="HS498">
        <v>1.8689</v>
      </c>
      <c r="HT498">
        <v>1.87021</v>
      </c>
      <c r="HU498">
        <v>0</v>
      </c>
      <c r="HV498">
        <v>0</v>
      </c>
      <c r="HW498">
        <v>0</v>
      </c>
      <c r="HX498">
        <v>0</v>
      </c>
      <c r="HY498" t="s">
        <v>421</v>
      </c>
      <c r="HZ498" t="s">
        <v>422</v>
      </c>
      <c r="IA498" t="s">
        <v>423</v>
      </c>
      <c r="IB498" t="s">
        <v>423</v>
      </c>
      <c r="IC498" t="s">
        <v>423</v>
      </c>
      <c r="ID498" t="s">
        <v>423</v>
      </c>
      <c r="IE498">
        <v>0</v>
      </c>
      <c r="IF498">
        <v>100</v>
      </c>
      <c r="IG498">
        <v>100</v>
      </c>
      <c r="IH498">
        <v>-2.89</v>
      </c>
      <c r="II498">
        <v>0.0181</v>
      </c>
      <c r="IJ498">
        <v>-0.1559367209035702</v>
      </c>
      <c r="IK498">
        <v>-0.002077099775823331</v>
      </c>
      <c r="IL498">
        <v>4.593143279902166E-07</v>
      </c>
      <c r="IM498">
        <v>-1.865383991892071E-10</v>
      </c>
      <c r="IN498">
        <v>-0.0607165066849496</v>
      </c>
      <c r="IO498">
        <v>-0.01129461987421345</v>
      </c>
      <c r="IP498">
        <v>0.00116580895745559</v>
      </c>
      <c r="IQ498">
        <v>-1.679085872906199E-05</v>
      </c>
      <c r="IR498">
        <v>2</v>
      </c>
      <c r="IS498">
        <v>2290</v>
      </c>
      <c r="IT498">
        <v>0</v>
      </c>
      <c r="IU498">
        <v>32</v>
      </c>
      <c r="IV498">
        <v>20.3</v>
      </c>
      <c r="IW498">
        <v>20.1</v>
      </c>
      <c r="IX498">
        <v>3.02246</v>
      </c>
      <c r="IY498">
        <v>2.17407</v>
      </c>
      <c r="IZ498">
        <v>1.39648</v>
      </c>
      <c r="JA498">
        <v>2.35474</v>
      </c>
      <c r="JB498">
        <v>1.49536</v>
      </c>
      <c r="JC498">
        <v>2.37061</v>
      </c>
      <c r="JD498">
        <v>38.0377</v>
      </c>
      <c r="JE498">
        <v>24.035</v>
      </c>
      <c r="JF498">
        <v>18</v>
      </c>
      <c r="JG498">
        <v>510.43</v>
      </c>
      <c r="JH498">
        <v>431.125</v>
      </c>
      <c r="JI498">
        <v>22.5512</v>
      </c>
      <c r="JJ498">
        <v>27.7945</v>
      </c>
      <c r="JK498">
        <v>30.0001</v>
      </c>
      <c r="JL498">
        <v>27.7968</v>
      </c>
      <c r="JM498">
        <v>27.7409</v>
      </c>
      <c r="JN498">
        <v>60.5765</v>
      </c>
      <c r="JO498">
        <v>31.4244</v>
      </c>
      <c r="JP498">
        <v>0</v>
      </c>
      <c r="JQ498">
        <v>22.5297</v>
      </c>
      <c r="JR498">
        <v>1597.26</v>
      </c>
      <c r="JS498">
        <v>12.047</v>
      </c>
      <c r="JT498">
        <v>100.434</v>
      </c>
      <c r="JU498">
        <v>100.364</v>
      </c>
    </row>
    <row r="499" spans="1:281">
      <c r="A499">
        <v>483</v>
      </c>
      <c r="B499">
        <v>1651866728.5</v>
      </c>
      <c r="C499">
        <v>2507.900000095367</v>
      </c>
      <c r="D499" t="s">
        <v>1389</v>
      </c>
      <c r="E499" t="s">
        <v>1390</v>
      </c>
      <c r="F499">
        <v>2</v>
      </c>
      <c r="G499" t="s">
        <v>908</v>
      </c>
      <c r="H499" t="s">
        <v>414</v>
      </c>
      <c r="I499">
        <v>1651866727.125</v>
      </c>
      <c r="J499">
        <f>(K499)/1000</f>
        <v>0</v>
      </c>
      <c r="K499">
        <f>IF(CZ499, AN499, AH499)</f>
        <v>0</v>
      </c>
      <c r="L499">
        <f>IF(CZ499, AI499, AG499)</f>
        <v>0</v>
      </c>
      <c r="M499">
        <f>DB499 - IF(AU499&gt;1, L499*CV499*100.0/(AW499*DP499), 0)</f>
        <v>0</v>
      </c>
      <c r="N499">
        <f>((T499-J499/2)*M499-L499)/(T499+J499/2)</f>
        <v>0</v>
      </c>
      <c r="O499">
        <f>N499*(DI499+DJ499)/1000.0</f>
        <v>0</v>
      </c>
      <c r="P499">
        <f>(DB499 - IF(AU499&gt;1, L499*CV499*100.0/(AW499*DP499), 0))*(DI499+DJ499)/1000.0</f>
        <v>0</v>
      </c>
      <c r="Q499">
        <f>2.0/((1/S499-1/R499)+SIGN(S499)*SQRT((1/S499-1/R499)*(1/S499-1/R499) + 4*CW499/((CW499+1)*(CW499+1))*(2*1/S499*1/R499-1/R499*1/R499)))</f>
        <v>0</v>
      </c>
      <c r="R499">
        <f>IF(LEFT(CX499,1)&lt;&gt;"0",IF(LEFT(CX499,1)="1",3.0,CY499),$D$5+$E$5*(DP499*DI499/($K$5*1000))+$F$5*(DP499*DI499/($K$5*1000))*MAX(MIN(CV499,$J$5),$I$5)*MAX(MIN(CV499,$J$5),$I$5)+$G$5*MAX(MIN(CV499,$J$5),$I$5)*(DP499*DI499/($K$5*1000))+$H$5*(DP499*DI499/($K$5*1000))*(DP499*DI499/($K$5*1000)))</f>
        <v>0</v>
      </c>
      <c r="S499">
        <f>J499*(1000-(1000*0.61365*exp(17.502*W499/(240.97+W499))/(DI499+DJ499)+DD499)/2)/(1000*0.61365*exp(17.502*W499/(240.97+W499))/(DI499+DJ499)-DD499)</f>
        <v>0</v>
      </c>
      <c r="T499">
        <f>1/((CW499+1)/(Q499/1.6)+1/(R499/1.37)) + CW499/((CW499+1)/(Q499/1.6) + CW499/(R499/1.37))</f>
        <v>0</v>
      </c>
      <c r="U499">
        <f>(CR499*CU499)</f>
        <v>0</v>
      </c>
      <c r="V499">
        <f>(DK499+(U499+2*0.95*5.67E-8*(((DK499+$B$7)+273)^4-(DK499+273)^4)-44100*J499)/(1.84*29.3*R499+8*0.95*5.67E-8*(DK499+273)^3))</f>
        <v>0</v>
      </c>
      <c r="W499">
        <f>($C$7*DL499+$D$7*DM499+$E$7*V499)</f>
        <v>0</v>
      </c>
      <c r="X499">
        <f>0.61365*exp(17.502*W499/(240.97+W499))</f>
        <v>0</v>
      </c>
      <c r="Y499">
        <f>(Z499/AA499*100)</f>
        <v>0</v>
      </c>
      <c r="Z499">
        <f>DD499*(DI499+DJ499)/1000</f>
        <v>0</v>
      </c>
      <c r="AA499">
        <f>0.61365*exp(17.502*DK499/(240.97+DK499))</f>
        <v>0</v>
      </c>
      <c r="AB499">
        <f>(X499-DD499*(DI499+DJ499)/1000)</f>
        <v>0</v>
      </c>
      <c r="AC499">
        <f>(-J499*44100)</f>
        <v>0</v>
      </c>
      <c r="AD499">
        <f>2*29.3*R499*0.92*(DK499-W499)</f>
        <v>0</v>
      </c>
      <c r="AE499">
        <f>2*0.95*5.67E-8*(((DK499+$B$7)+273)^4-(W499+273)^4)</f>
        <v>0</v>
      </c>
      <c r="AF499">
        <f>U499+AE499+AC499+AD499</f>
        <v>0</v>
      </c>
      <c r="AG499">
        <f>DH499*AU499*(DC499-DB499*(1000-AU499*DE499)/(1000-AU499*DD499))/(100*CV499)</f>
        <v>0</v>
      </c>
      <c r="AH499">
        <f>1000*DH499*AU499*(DD499-DE499)/(100*CV499*(1000-AU499*DD499))</f>
        <v>0</v>
      </c>
      <c r="AI499">
        <f>(AJ499 - AK499 - DI499*1E3/(8.314*(DK499+273.15)) * AM499/DH499 * AL499) * DH499/(100*CV499) * (1000 - DE499)/1000</f>
        <v>0</v>
      </c>
      <c r="AJ499">
        <v>1592.009039896512</v>
      </c>
      <c r="AK499">
        <v>1541.662606060606</v>
      </c>
      <c r="AL499">
        <v>3.420182528706149</v>
      </c>
      <c r="AM499">
        <v>66.38195617057868</v>
      </c>
      <c r="AN499">
        <f>(AP499 - AO499 + DI499*1E3/(8.314*(DK499+273.15)) * AR499/DH499 * AQ499) * DH499/(100*CV499) * 1000/(1000 - AP499)</f>
        <v>0</v>
      </c>
      <c r="AO499">
        <v>11.70963631275585</v>
      </c>
      <c r="AP499">
        <v>18.17536470588235</v>
      </c>
      <c r="AQ499">
        <v>-3.357002925662144E-05</v>
      </c>
      <c r="AR499">
        <v>80.47178418790507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MAX(0,($B$13+$C$13*DP499)/(1+$D$13*DP499)*DI499/(DK499+273)*$E$13)</f>
        <v>0</v>
      </c>
      <c r="AX499" t="s">
        <v>417</v>
      </c>
      <c r="AY499" t="s">
        <v>417</v>
      </c>
      <c r="AZ499">
        <v>0</v>
      </c>
      <c r="BA499">
        <v>0</v>
      </c>
      <c r="BB499">
        <f>1-AZ499/BA499</f>
        <v>0</v>
      </c>
      <c r="BC499">
        <v>0</v>
      </c>
      <c r="BD499" t="s">
        <v>417</v>
      </c>
      <c r="BE499" t="s">
        <v>417</v>
      </c>
      <c r="BF499">
        <v>0</v>
      </c>
      <c r="BG499">
        <v>0</v>
      </c>
      <c r="BH499">
        <f>1-BF499/BG499</f>
        <v>0</v>
      </c>
      <c r="BI499">
        <v>0.5</v>
      </c>
      <c r="BJ499">
        <f>CS499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417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BZ499">
        <v>1249</v>
      </c>
      <c r="CA499">
        <v>300</v>
      </c>
      <c r="CB499">
        <v>300</v>
      </c>
      <c r="CC499">
        <v>300</v>
      </c>
      <c r="CD499">
        <v>10442.4</v>
      </c>
      <c r="CE499">
        <v>1239.69</v>
      </c>
      <c r="CF499">
        <v>-0.00735276</v>
      </c>
      <c r="CG499">
        <v>0.07000000000000001</v>
      </c>
      <c r="CH499" t="s">
        <v>417</v>
      </c>
      <c r="CI499" t="s">
        <v>417</v>
      </c>
      <c r="CJ499" t="s">
        <v>417</v>
      </c>
      <c r="CK499" t="s">
        <v>417</v>
      </c>
      <c r="CL499" t="s">
        <v>417</v>
      </c>
      <c r="CM499" t="s">
        <v>417</v>
      </c>
      <c r="CN499" t="s">
        <v>417</v>
      </c>
      <c r="CO499" t="s">
        <v>417</v>
      </c>
      <c r="CP499" t="s">
        <v>417</v>
      </c>
      <c r="CQ499" t="s">
        <v>417</v>
      </c>
      <c r="CR499">
        <f>$B$11*DQ499+$C$11*DR499+$F$11*EC499*(1-EF499)</f>
        <v>0</v>
      </c>
      <c r="CS499">
        <f>CR499*CT499</f>
        <v>0</v>
      </c>
      <c r="CT499">
        <f>($B$11*$D$9+$C$11*$D$9+$F$11*((EP499+EH499)/MAX(EP499+EH499+EQ499, 0.1)*$I$9+EQ499/MAX(EP499+EH499+EQ499, 0.1)*$J$9))/($B$11+$C$11+$F$11)</f>
        <v>0</v>
      </c>
      <c r="CU499">
        <f>($B$11*$K$9+$C$11*$K$9+$F$11*((EP499+EH499)/MAX(EP499+EH499+EQ499, 0.1)*$P$9+EQ499/MAX(EP499+EH499+EQ499, 0.1)*$Q$9))/($B$11+$C$11+$F$11)</f>
        <v>0</v>
      </c>
      <c r="CV499">
        <v>6</v>
      </c>
      <c r="CW499">
        <v>0.5</v>
      </c>
      <c r="CX499" t="s">
        <v>418</v>
      </c>
      <c r="CY499">
        <v>2</v>
      </c>
      <c r="CZ499" t="b">
        <v>1</v>
      </c>
      <c r="DA499">
        <v>1651866727.125</v>
      </c>
      <c r="DB499">
        <v>1510.6975</v>
      </c>
      <c r="DC499">
        <v>1578.025</v>
      </c>
      <c r="DD499">
        <v>18.17775</v>
      </c>
      <c r="DE499">
        <v>11.8</v>
      </c>
      <c r="DF499">
        <v>1513.595</v>
      </c>
      <c r="DG499">
        <v>18.159675</v>
      </c>
      <c r="DH499">
        <v>500.041</v>
      </c>
      <c r="DI499">
        <v>89.908675</v>
      </c>
      <c r="DJ499">
        <v>0.099906125</v>
      </c>
      <c r="DK499">
        <v>25.86015</v>
      </c>
      <c r="DL499">
        <v>25.036375</v>
      </c>
      <c r="DM499">
        <v>999.9</v>
      </c>
      <c r="DN499">
        <v>0</v>
      </c>
      <c r="DO499">
        <v>0</v>
      </c>
      <c r="DP499">
        <v>10009.675</v>
      </c>
      <c r="DQ499">
        <v>0</v>
      </c>
      <c r="DR499">
        <v>3.21472</v>
      </c>
      <c r="DS499">
        <v>-67.326525</v>
      </c>
      <c r="DT499">
        <v>1538.6675</v>
      </c>
      <c r="DU499">
        <v>1596.8675</v>
      </c>
      <c r="DV499">
        <v>6.37775</v>
      </c>
      <c r="DW499">
        <v>1578.025</v>
      </c>
      <c r="DX499">
        <v>11.8</v>
      </c>
      <c r="DY499">
        <v>1.634335</v>
      </c>
      <c r="DZ499">
        <v>1.06092</v>
      </c>
      <c r="EA499">
        <v>14.286425</v>
      </c>
      <c r="EB499">
        <v>7.780995</v>
      </c>
      <c r="EC499">
        <v>1500.085</v>
      </c>
      <c r="ED499">
        <v>0.97301075</v>
      </c>
      <c r="EE499">
        <v>0.02698905</v>
      </c>
      <c r="EF499">
        <v>0</v>
      </c>
      <c r="EG499">
        <v>880.7625</v>
      </c>
      <c r="EH499">
        <v>5.00097</v>
      </c>
      <c r="EI499">
        <v>13094.5</v>
      </c>
      <c r="EJ499">
        <v>12492.325</v>
      </c>
      <c r="EK499">
        <v>37.375</v>
      </c>
      <c r="EL499">
        <v>38.7185</v>
      </c>
      <c r="EM499">
        <v>37.75</v>
      </c>
      <c r="EN499">
        <v>38.375</v>
      </c>
      <c r="EO499">
        <v>38.25</v>
      </c>
      <c r="EP499">
        <v>1454.735</v>
      </c>
      <c r="EQ499">
        <v>40.35</v>
      </c>
      <c r="ER499">
        <v>0</v>
      </c>
      <c r="ES499">
        <v>1246.400000095367</v>
      </c>
      <c r="ET499">
        <v>0</v>
      </c>
      <c r="EU499">
        <v>881.472576923077</v>
      </c>
      <c r="EV499">
        <v>-9.302188039172009</v>
      </c>
      <c r="EW499">
        <v>-143.1794871399102</v>
      </c>
      <c r="EX499">
        <v>13106.82307692308</v>
      </c>
      <c r="EY499">
        <v>15</v>
      </c>
      <c r="EZ499">
        <v>1651865518.1</v>
      </c>
      <c r="FA499" t="s">
        <v>910</v>
      </c>
      <c r="FB499">
        <v>1651865507.1</v>
      </c>
      <c r="FC499">
        <v>1651865518.1</v>
      </c>
      <c r="FD499">
        <v>8</v>
      </c>
      <c r="FE499">
        <v>0.06</v>
      </c>
      <c r="FF499">
        <v>0</v>
      </c>
      <c r="FG499">
        <v>-0.927</v>
      </c>
      <c r="FH499">
        <v>-0.062</v>
      </c>
      <c r="FI499">
        <v>400</v>
      </c>
      <c r="FJ499">
        <v>11</v>
      </c>
      <c r="FK499">
        <v>0.11</v>
      </c>
      <c r="FL499">
        <v>0.01</v>
      </c>
      <c r="FM499">
        <v>-67.356075</v>
      </c>
      <c r="FN499">
        <v>0.1363159474672433</v>
      </c>
      <c r="FO499">
        <v>0.1221240736914718</v>
      </c>
      <c r="FP499">
        <v>-1</v>
      </c>
      <c r="FQ499">
        <v>6.645962</v>
      </c>
      <c r="FR499">
        <v>-1.820673545966249</v>
      </c>
      <c r="FS499">
        <v>0.1752017690863879</v>
      </c>
      <c r="FT499">
        <v>-1</v>
      </c>
      <c r="FU499">
        <v>0</v>
      </c>
      <c r="FV499">
        <v>0</v>
      </c>
      <c r="FW499">
        <v>0</v>
      </c>
      <c r="FX499">
        <v>-1</v>
      </c>
      <c r="FY499">
        <v>0</v>
      </c>
      <c r="FZ499">
        <v>0</v>
      </c>
      <c r="GA499" t="s">
        <v>420</v>
      </c>
      <c r="GB499">
        <v>2.9815</v>
      </c>
      <c r="GC499">
        <v>2.70602</v>
      </c>
      <c r="GD499">
        <v>0.221971</v>
      </c>
      <c r="GE499">
        <v>0.225347</v>
      </c>
      <c r="GF499">
        <v>0.08722199999999999</v>
      </c>
      <c r="GG499">
        <v>0.06296350000000001</v>
      </c>
      <c r="GH499">
        <v>24589.7</v>
      </c>
      <c r="GI499">
        <v>24535.2</v>
      </c>
      <c r="GJ499">
        <v>29382.4</v>
      </c>
      <c r="GK499">
        <v>29296.6</v>
      </c>
      <c r="GL499">
        <v>35512.9</v>
      </c>
      <c r="GM499">
        <v>36569.4</v>
      </c>
      <c r="GN499">
        <v>41355.9</v>
      </c>
      <c r="GO499">
        <v>41818.2</v>
      </c>
      <c r="GP499">
        <v>1.96557</v>
      </c>
      <c r="GQ499">
        <v>1.86432</v>
      </c>
      <c r="GR499">
        <v>-0.00210106</v>
      </c>
      <c r="GS499">
        <v>0</v>
      </c>
      <c r="GT499">
        <v>25.0678</v>
      </c>
      <c r="GU499">
        <v>999.9</v>
      </c>
      <c r="GV499">
        <v>29.3</v>
      </c>
      <c r="GW499">
        <v>34.2</v>
      </c>
      <c r="GX499">
        <v>17.6082</v>
      </c>
      <c r="GY499">
        <v>62.2476</v>
      </c>
      <c r="GZ499">
        <v>35.1923</v>
      </c>
      <c r="HA499">
        <v>1</v>
      </c>
      <c r="HB499">
        <v>0.0381326</v>
      </c>
      <c r="HC499">
        <v>2.09906</v>
      </c>
      <c r="HD499">
        <v>20.3217</v>
      </c>
      <c r="HE499">
        <v>5.21894</v>
      </c>
      <c r="HF499">
        <v>12.0099</v>
      </c>
      <c r="HG499">
        <v>4.98915</v>
      </c>
      <c r="HH499">
        <v>3.28855</v>
      </c>
      <c r="HI499">
        <v>1039</v>
      </c>
      <c r="HJ499">
        <v>9783.6</v>
      </c>
      <c r="HK499">
        <v>5139.4</v>
      </c>
      <c r="HL499">
        <v>25.4</v>
      </c>
      <c r="HM499">
        <v>1.86744</v>
      </c>
      <c r="HN499">
        <v>1.86646</v>
      </c>
      <c r="HO499">
        <v>1.866</v>
      </c>
      <c r="HP499">
        <v>1.86585</v>
      </c>
      <c r="HQ499">
        <v>1.86768</v>
      </c>
      <c r="HR499">
        <v>1.87021</v>
      </c>
      <c r="HS499">
        <v>1.8689</v>
      </c>
      <c r="HT499">
        <v>1.87021</v>
      </c>
      <c r="HU499">
        <v>0</v>
      </c>
      <c r="HV499">
        <v>0</v>
      </c>
      <c r="HW499">
        <v>0</v>
      </c>
      <c r="HX499">
        <v>0</v>
      </c>
      <c r="HY499" t="s">
        <v>421</v>
      </c>
      <c r="HZ499" t="s">
        <v>422</v>
      </c>
      <c r="IA499" t="s">
        <v>423</v>
      </c>
      <c r="IB499" t="s">
        <v>423</v>
      </c>
      <c r="IC499" t="s">
        <v>423</v>
      </c>
      <c r="ID499" t="s">
        <v>423</v>
      </c>
      <c r="IE499">
        <v>0</v>
      </c>
      <c r="IF499">
        <v>100</v>
      </c>
      <c r="IG499">
        <v>100</v>
      </c>
      <c r="IH499">
        <v>-2.9</v>
      </c>
      <c r="II499">
        <v>0.0181</v>
      </c>
      <c r="IJ499">
        <v>-0.1559367209035702</v>
      </c>
      <c r="IK499">
        <v>-0.002077099775823331</v>
      </c>
      <c r="IL499">
        <v>4.593143279902166E-07</v>
      </c>
      <c r="IM499">
        <v>-1.865383991892071E-10</v>
      </c>
      <c r="IN499">
        <v>-0.0607165066849496</v>
      </c>
      <c r="IO499">
        <v>-0.01129461987421345</v>
      </c>
      <c r="IP499">
        <v>0.00116580895745559</v>
      </c>
      <c r="IQ499">
        <v>-1.679085872906199E-05</v>
      </c>
      <c r="IR499">
        <v>2</v>
      </c>
      <c r="IS499">
        <v>2290</v>
      </c>
      <c r="IT499">
        <v>0</v>
      </c>
      <c r="IU499">
        <v>32</v>
      </c>
      <c r="IV499">
        <v>20.4</v>
      </c>
      <c r="IW499">
        <v>20.2</v>
      </c>
      <c r="IX499">
        <v>3.03223</v>
      </c>
      <c r="IY499">
        <v>2.17651</v>
      </c>
      <c r="IZ499">
        <v>1.39648</v>
      </c>
      <c r="JA499">
        <v>2.35474</v>
      </c>
      <c r="JB499">
        <v>1.49536</v>
      </c>
      <c r="JC499">
        <v>2.31201</v>
      </c>
      <c r="JD499">
        <v>38.0377</v>
      </c>
      <c r="JE499">
        <v>24.035</v>
      </c>
      <c r="JF499">
        <v>18</v>
      </c>
      <c r="JG499">
        <v>510.5</v>
      </c>
      <c r="JH499">
        <v>431.29</v>
      </c>
      <c r="JI499">
        <v>22.5393</v>
      </c>
      <c r="JJ499">
        <v>27.7933</v>
      </c>
      <c r="JK499">
        <v>30.0002</v>
      </c>
      <c r="JL499">
        <v>27.7957</v>
      </c>
      <c r="JM499">
        <v>27.7409</v>
      </c>
      <c r="JN499">
        <v>60.7657</v>
      </c>
      <c r="JO499">
        <v>31.0945</v>
      </c>
      <c r="JP499">
        <v>0</v>
      </c>
      <c r="JQ499">
        <v>22.5297</v>
      </c>
      <c r="JR499">
        <v>1603.97</v>
      </c>
      <c r="JS499">
        <v>12.1038</v>
      </c>
      <c r="JT499">
        <v>100.433</v>
      </c>
      <c r="JU499">
        <v>100.364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2022-05-06T19:53:30Z</dcterms:created>
  <dcterms:modified xsi:type="dcterms:W3CDTF">2022-05-06T19:53:30Z</dcterms:modified>
</cp:coreProperties>
</file>