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<sst xmlns="http://schemas.openxmlformats.org/spreadsheetml/2006/main" count="3438" uniqueCount="658">
  <si>
    <t>File opened</t>
  </si>
  <si>
    <t>2022-05-05 12:26:29</t>
  </si>
  <si>
    <t>Console s/n</t>
  </si>
  <si>
    <t>68C-022608</t>
  </si>
  <si>
    <t>Console ver</t>
  </si>
  <si>
    <t>Bluestem v.2.0.04</t>
  </si>
  <si>
    <t>Scripts ver</t>
  </si>
  <si>
    <t>2021.08  2.0.04, Aug 2021</t>
  </si>
  <si>
    <t>Head s/n</t>
  </si>
  <si>
    <t>68H-422598</t>
  </si>
  <si>
    <t>Head ver</t>
  </si>
  <si>
    <t>1.4.7</t>
  </si>
  <si>
    <t>Head cal</t>
  </si>
  <si>
    <t>{"oxygen": "21", "co2azero": "0.924103", "co2aspan1": "1.00016", "co2aspan2": "-0.0254498", "co2aspan2a": "0.319337", "co2aspan2b": "0.316792", "co2aspanconc1": "2491", "co2aspanconc2": "303.6", "co2bzero": "0.921137", "co2bspan1": "0.99991", "co2bspan2": "-0.0259223", "co2bspan2a": "0.316673", "co2bspan2b": "0.314045", "co2bspanconc1": "2491", "co2bspanconc2": "303.6", "h2oazero": "1.06186", "h2oaspan1": "1.01033", "h2oaspan2": "0", "h2oaspan2a": "0.0705651", "h2oaspan2b": "0.0712942", "h2oaspanconc1": "12.15", "h2oaspanconc2": "0", "h2obzero": "1.07114", "h2obspan1": "1.02672", "h2obspan2": "0", "h2obspan2a": "0.0697958", "h2obspan2b": "0.0716606", "h2obspanconc1": "12.15", "h2obspanconc2": "0", "tazero": "0.108437", "tbzero": "0.225744", "flowmeterzero": "0.992949", "flowazero": "0.30168", "flowbzero": "0.30516", "chamberpressurezero": "2.55773", "ssa_ref": "35216.5", "ssb_ref": "35428.5"}</t>
  </si>
  <si>
    <t>CO2 rangematch</t>
  </si>
  <si>
    <t>Thu May  5 11:59</t>
  </si>
  <si>
    <t>H2O rangematch</t>
  </si>
  <si>
    <t>Thu May  5 12:05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</si>
  <si>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</si>
  <si>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</si>
  <si>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</si>
  <si>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</si>
  <si>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</si>
  <si>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</si>
  <si>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</si>
  <si>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</si>
  <si>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</si>
  <si>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12:26:29</t>
  </si>
  <si>
    <t>Stability Definition:	ΔCO2 (Meas2): Slp&lt;0.1 Per=20	ΔH2O (Meas2): Slp&lt;0.5 Per=20	state (FlrLS): Slp&lt;1 Per=15</t>
  </si>
  <si>
    <t>12:27:02</t>
  </si>
  <si>
    <t>soy_noAcclim</t>
  </si>
  <si>
    <t>12:27:03</t>
  </si>
  <si>
    <t>12:27:08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</si>
  <si>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</si>
  <si>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</si>
  <si>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</si>
  <si>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</si>
  <si>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</si>
  <si>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</si>
  <si>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</si>
  <si>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</si>
  <si>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</si>
  <si>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</si>
  <si>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</si>
  <si>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</si>
  <si>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</si>
  <si>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</si>
  <si>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</si>
  <si>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</si>
  <si>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</si>
  <si>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</si>
  <si>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</si>
  <si>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</si>
  <si>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</si>
  <si>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</si>
  <si>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</si>
  <si>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</si>
  <si>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</si>
  <si>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</si>
  <si>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</si>
  <si>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</si>
  <si>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</si>
  <si>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</si>
  <si>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</si>
  <si>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</si>
  <si>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</si>
  <si>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</si>
  <si>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</si>
  <si>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</si>
  <si>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</si>
  <si>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</si>
  <si>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</si>
  <si>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</si>
  <si>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</si>
  <si>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</si>
  <si>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</si>
  <si>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</si>
  <si>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</si>
  <si>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</si>
  <si>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</si>
  <si>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</si>
  <si>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</si>
  <si>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</si>
  <si>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</si>
  <si>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3.1757 77.3571 385.69 639.154 892.388 1098.32 1290.39 1452.05</t>
  </si>
  <si>
    <t>Fs_true</t>
  </si>
  <si>
    <t>0.24549 101.752 401.41 602.78 801.173 1000.34 1200.76 1401.1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</si>
  <si>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</si>
  <si>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</si>
  <si>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</si>
  <si>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</si>
  <si>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</si>
  <si>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</si>
  <si>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</si>
  <si>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</si>
  <si>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</si>
  <si>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</si>
  <si>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</si>
  <si>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</si>
  <si>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</si>
  <si>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</si>
  <si>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</si>
  <si>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</si>
  <si>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</si>
  <si>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</si>
  <si>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</si>
  <si>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</si>
  <si>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</si>
  <si>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</si>
  <si>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</si>
  <si>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</si>
  <si>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</si>
  <si>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</si>
  <si>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</si>
  <si>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</si>
  <si>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</si>
  <si>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</si>
  <si>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</si>
  <si>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</si>
  <si>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</si>
  <si>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</si>
  <si>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</si>
  <si>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</si>
  <si>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</si>
  <si>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</si>
  <si>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</si>
  <si>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</si>
  <si>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</si>
  <si>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</si>
  <si>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</si>
  <si>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</si>
  <si>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</si>
  <si>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</si>
  <si>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</si>
  <si>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</si>
  <si>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</si>
  <si>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</si>
  <si>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</si>
  <si>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</si>
  <si>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</si>
  <si>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</si>
  <si>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</si>
  <si>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</si>
  <si>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</si>
  <si>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</si>
  <si>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</si>
  <si>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</si>
  <si>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</si>
  <si>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</si>
  <si>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</si>
  <si>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</si>
  <si>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</si>
  <si>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</si>
  <si>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</si>
  <si>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</si>
  <si>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</si>
  <si>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</si>
  <si>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</si>
  <si>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</si>
  <si>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</si>
  <si>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</si>
  <si>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</si>
  <si>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</si>
  <si>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</si>
  <si>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</si>
  <si>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</si>
  <si>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</si>
  <si>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</si>
  <si>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</si>
  <si>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</si>
  <si>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</si>
  <si>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</si>
  <si>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</si>
  <si>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</si>
  <si>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</si>
  <si>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 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</si>
  <si>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</si>
  <si>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</si>
  <si>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</si>
  <si>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</si>
  <si>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</si>
  <si>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</si>
  <si>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</si>
  <si>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</si>
  <si>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</si>
  <si>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</si>
  <si>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</si>
  <si>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</si>
  <si>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</si>
  <si>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</si>
  <si>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</si>
  <si>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</si>
  <si>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</si>
  <si>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</si>
  <si>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Duration</t>
  </si>
  <si>
    <t>F1</t>
  </si>
  <si>
    <t>F2</t>
  </si>
  <si>
    <t>Fmax</t>
  </si>
  <si>
    <t>T@HIR</t>
  </si>
  <si>
    <t>T@F1</t>
  </si>
  <si>
    <t>T@F2</t>
  </si>
  <si>
    <t>T@Fmax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</si>
  <si>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</si>
  <si>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</si>
  <si>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</si>
  <si>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</si>
  <si>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</si>
  <si>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</si>
  <si>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</si>
  <si>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</si>
  <si>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</si>
  <si>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</si>
  <si>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</si>
  <si>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</si>
  <si>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</si>
  <si>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</si>
  <si>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</si>
  <si>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</si>
  <si>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</si>
  <si>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</si>
  <si>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</si>
  <si>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</si>
  <si>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</si>
  <si>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</si>
  <si>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</si>
  <si>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</si>
  <si>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</si>
  <si>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</si>
  <si>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</si>
  <si>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</si>
  <si>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</si>
  <si>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</si>
  <si>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</si>
  <si>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</si>
  <si>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</si>
  <si>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</si>
  <si>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</si>
  <si>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</si>
  <si>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</si>
  <si>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</si>
  <si>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</si>
  <si>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</si>
  <si>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</si>
  <si>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</si>
  <si>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</si>
  <si>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</si>
  <si>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</si>
  <si>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</si>
  <si>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</si>
  <si>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</si>
  <si>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</si>
  <si>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</si>
  <si>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</si>
  <si>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</si>
  <si>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</si>
  <si>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</si>
  <si>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</si>
  <si>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</si>
  <si>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</si>
  <si>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</si>
  <si>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</si>
  <si>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</si>
  <si>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</si>
  <si>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</si>
  <si>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</si>
  <si>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</si>
  <si>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</si>
  <si>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</si>
  <si>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</si>
  <si>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</si>
  <si>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</si>
  <si>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</si>
  <si>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</si>
  <si>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</si>
  <si>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</si>
  <si>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</si>
  <si>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</si>
  <si>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</si>
  <si>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</si>
  <si>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</si>
  <si>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state:MN</t>
  </si>
  <si>
    <t>state:SLP</t>
  </si>
  <si>
    <t>state:SD</t>
  </si>
  <si>
    <t>state:OK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</si>
  <si>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</si>
  <si>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</si>
  <si>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</si>
  <si>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</si>
  <si>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</si>
  <si>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</si>
  <si>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</si>
  <si>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</si>
  <si>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</si>
  <si>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</si>
  <si>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</si>
  <si>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</si>
  <si>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</si>
  <si>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</si>
  <si>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</si>
  <si>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</si>
  <si>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</si>
  <si>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</si>
  <si>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</si>
  <si>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</si>
  <si>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</si>
  <si>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</si>
  <si>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</si>
  <si>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</si>
  <si>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</si>
  <si>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</si>
  <si>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</si>
  <si>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</si>
  <si>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</si>
  <si>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</si>
  <si>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</si>
  <si>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</si>
  <si>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</si>
  <si>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</si>
  <si>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</si>
  <si>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</si>
  <si>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</si>
  <si>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</si>
  <si>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</si>
  <si>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</si>
  <si>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</si>
  <si>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</si>
  <si>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</si>
  <si>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</si>
  <si>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</si>
  <si>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</si>
  <si>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</si>
  <si>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</si>
  <si>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</si>
  <si>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</si>
  <si>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</si>
  <si>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</si>
  <si>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</si>
  <si>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</si>
  <si>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</si>
  <si>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</si>
  <si>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</si>
  <si>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</si>
  <si>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</si>
  <si>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</si>
  <si>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</si>
  <si>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</si>
  <si>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</si>
  <si>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</si>
  <si>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</si>
  <si>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</si>
  <si>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</si>
  <si>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</si>
  <si>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</si>
  <si>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</si>
  <si>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</si>
  <si>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</si>
  <si>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</si>
  <si>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</si>
  <si>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</si>
  <si>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</si>
  <si>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</si>
  <si>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</si>
  <si>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</si>
  <si>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</si>
  <si>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</si>
  <si>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</si>
  <si>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</si>
  <si>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</si>
  <si>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</si>
  <si>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</si>
  <si>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</si>
  <si>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</si>
  <si>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</si>
  <si>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</si>
  <si>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</si>
  <si>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</si>
  <si>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</si>
  <si>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</si>
  <si>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</si>
  <si>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</si>
  <si>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</si>
  <si>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</si>
  <si>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</si>
  <si>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</si>
  <si>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</si>
  <si>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</si>
  <si>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</si>
  <si>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</si>
  <si>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</si>
  <si>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</si>
  <si>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</si>
  <si>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</si>
  <si>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</si>
  <si>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</si>
  <si>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</si>
  <si>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</si>
  <si>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</si>
  <si>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</si>
  <si>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</si>
  <si>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</si>
  <si>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</si>
  <si>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mol m⁻² s⁻²</t>
  </si>
  <si>
    <t>J/µmol</t>
  </si>
  <si>
    <t>cm²</t>
  </si>
  <si>
    <t>rpm</t>
  </si>
  <si>
    <t>min⁻¹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</si>
  <si>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</si>
  <si>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</si>
  <si>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</si>
  <si>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</si>
  <si>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</si>
  <si>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</si>
  <si>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</si>
  <si>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</si>
  <si>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</si>
  <si>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20220505 12:31:17</t>
  </si>
  <si>
    <t>12:31:17</t>
  </si>
  <si>
    <t>stan</t>
  </si>
  <si>
    <t>-</t>
  </si>
  <si>
    <t>0: Broadleaf</t>
  </si>
  <si>
    <t>--:--:--</t>
  </si>
  <si>
    <t>2/3</t>
  </si>
  <si>
    <t>00000000</t>
  </si>
  <si>
    <t>iiiiiiii</t>
  </si>
  <si>
    <t>off</t>
  </si>
  <si>
    <t>20220505 12:31:22</t>
  </si>
  <si>
    <t>12:31:22</t>
  </si>
  <si>
    <t>20220505 12:31:27</t>
  </si>
  <si>
    <t>12:31:27</t>
  </si>
  <si>
    <t>20220505 12:31:32</t>
  </si>
  <si>
    <t>12:31:32</t>
  </si>
  <si>
    <t>20220505 12:31:37</t>
  </si>
  <si>
    <t>12:31:37</t>
  </si>
  <si>
    <t>20220505 12:31:42</t>
  </si>
  <si>
    <t>12:31:42</t>
  </si>
  <si>
    <t>20220505 12:31:47</t>
  </si>
  <si>
    <t>12:31:47</t>
  </si>
  <si>
    <t>20220505 12:31:52</t>
  </si>
  <si>
    <t>12:31:52</t>
  </si>
  <si>
    <t>20220505 12:31:57</t>
  </si>
  <si>
    <t>12:31:57</t>
  </si>
  <si>
    <t>20220505 12:32:02</t>
  </si>
  <si>
    <t>12:32:02</t>
  </si>
  <si>
    <t>20220505 12:32:07</t>
  </si>
  <si>
    <t>12:32:07</t>
  </si>
  <si>
    <t>20220505 12:32:12</t>
  </si>
  <si>
    <t>12:32:12</t>
  </si>
  <si>
    <t>20220505 12:32:17</t>
  </si>
  <si>
    <t>12:32:17</t>
  </si>
  <si>
    <t>20220505 12:32:22</t>
  </si>
  <si>
    <t>12:32:22</t>
  </si>
  <si>
    <t>20220505 12:32:27</t>
  </si>
  <si>
    <t>12:32:27</t>
  </si>
  <si>
    <t>20220505 12:32:32</t>
  </si>
  <si>
    <t>12:32:32</t>
  </si>
  <si>
    <t>20220505 12:32:37</t>
  </si>
  <si>
    <t>12:32:37</t>
  </si>
  <si>
    <t>20220505 12:32:42</t>
  </si>
  <si>
    <t>12:32:42</t>
  </si>
  <si>
    <t>20220505 12:32:47</t>
  </si>
  <si>
    <t>12:32:47</t>
  </si>
  <si>
    <t>20220505 12:32:52</t>
  </si>
  <si>
    <t>12:32:52</t>
  </si>
  <si>
    <t>20220505 12:32:57</t>
  </si>
  <si>
    <t>12:32:57</t>
  </si>
  <si>
    <t>20220505 12:33:02</t>
  </si>
  <si>
    <t>12:33:02</t>
  </si>
  <si>
    <t>1/3</t>
  </si>
  <si>
    <t>20220505 12:33:07</t>
  </si>
  <si>
    <t>12:33:07</t>
  </si>
  <si>
    <t>20220505 12:33:12</t>
  </si>
  <si>
    <t>12:33:12</t>
  </si>
  <si>
    <t>20220505 12:33:17</t>
  </si>
  <si>
    <t>12:33:17</t>
  </si>
  <si>
    <t>20220505 12:33:22</t>
  </si>
  <si>
    <t>12:33:22</t>
  </si>
  <si>
    <t>20220505 12:33:27</t>
  </si>
  <si>
    <t>12:33:27</t>
  </si>
  <si>
    <t>20220505 12:33:32</t>
  </si>
  <si>
    <t>12:33:32</t>
  </si>
  <si>
    <t>20220505 12:33:37</t>
  </si>
  <si>
    <t>12:33:37</t>
  </si>
  <si>
    <t>20220505 12:35:44</t>
  </si>
  <si>
    <t>12:35:44</t>
  </si>
  <si>
    <t>20220505 12:35:49</t>
  </si>
  <si>
    <t>12:35:49</t>
  </si>
  <si>
    <t>20220505 12:35:54</t>
  </si>
  <si>
    <t>12:35:54</t>
  </si>
  <si>
    <t>20220505 12:35:59</t>
  </si>
  <si>
    <t>12:35:59</t>
  </si>
  <si>
    <t>20220505 12:36:04</t>
  </si>
  <si>
    <t>12:36:04</t>
  </si>
  <si>
    <t>20220505 12:36:09</t>
  </si>
  <si>
    <t>12:36:09</t>
  </si>
  <si>
    <t>20220505 12:36:14</t>
  </si>
  <si>
    <t>12:36:14</t>
  </si>
  <si>
    <t>20220505 12:36:19</t>
  </si>
  <si>
    <t>12:36:19</t>
  </si>
  <si>
    <t>20220505 12:36:24</t>
  </si>
  <si>
    <t>12:36:24</t>
  </si>
  <si>
    <t>20220505 12:36:29</t>
  </si>
  <si>
    <t>12:36:29</t>
  </si>
  <si>
    <t>20220505 12:36:34</t>
  </si>
  <si>
    <t>12:36:34</t>
  </si>
  <si>
    <t>20220505 12:36:39</t>
  </si>
  <si>
    <t>12:36:39</t>
  </si>
  <si>
    <t>20220505 12:36:44</t>
  </si>
  <si>
    <t>12:36:44</t>
  </si>
  <si>
    <t>20220505 12:36:49</t>
  </si>
  <si>
    <t>12:36:49</t>
  </si>
  <si>
    <t>20220505 12:36:54</t>
  </si>
  <si>
    <t>12:36:54</t>
  </si>
  <si>
    <t>20220505 12:36:59</t>
  </si>
  <si>
    <t>12:36:59</t>
  </si>
  <si>
    <t>20220505 12:37:04</t>
  </si>
  <si>
    <t>12:37:04</t>
  </si>
  <si>
    <t>20220505 12:37:09</t>
  </si>
  <si>
    <t>12:37:09</t>
  </si>
  <si>
    <t>20220505 12:37:14</t>
  </si>
  <si>
    <t>12:37:14</t>
  </si>
  <si>
    <t>20220505 12:37:19</t>
  </si>
  <si>
    <t>12:37:19</t>
  </si>
  <si>
    <t>20220505 12:37:24</t>
  </si>
  <si>
    <t>12:37:24</t>
  </si>
  <si>
    <t>20220505 12:37:29</t>
  </si>
  <si>
    <t>12:37:29</t>
  </si>
  <si>
    <t>20220505 12:37:34</t>
  </si>
  <si>
    <t>12:37:34</t>
  </si>
  <si>
    <t>20220505 12:37:39</t>
  </si>
  <si>
    <t>12:37:39</t>
  </si>
  <si>
    <t>20220505 12:37:44</t>
  </si>
  <si>
    <t>12:37:44</t>
  </si>
  <si>
    <t>20220505 12:37:49</t>
  </si>
  <si>
    <t>12:37:49</t>
  </si>
  <si>
    <t>20220505 12:37:54</t>
  </si>
  <si>
    <t>12:37:54</t>
  </si>
  <si>
    <t>20220505 12:37:59</t>
  </si>
  <si>
    <t>12:37:59</t>
  </si>
  <si>
    <t>20220505 12:38:04</t>
  </si>
  <si>
    <t>12:38:04</t>
  </si>
  <si>
    <t>20220505 12:38:08</t>
  </si>
  <si>
    <t>12:38:08</t>
  </si>
  <si>
    <t>20220505 12:38:14</t>
  </si>
  <si>
    <t>12:38:14</t>
  </si>
  <si>
    <t>20220505 12:38:19</t>
  </si>
  <si>
    <t>12:38:19</t>
  </si>
  <si>
    <t>20220505 12:38:24</t>
  </si>
  <si>
    <t>12:38:24</t>
  </si>
  <si>
    <t>20220505 12:38:29</t>
  </si>
  <si>
    <t>12:38:29</t>
  </si>
  <si>
    <t>20220505 12:38:34</t>
  </si>
  <si>
    <t>12:38:34</t>
  </si>
  <si>
    <t>20220505 12:38:39</t>
  </si>
  <si>
    <t>12:38:39</t>
  </si>
  <si>
    <t>20220505 12:38:44</t>
  </si>
  <si>
    <t>12:38:44</t>
  </si>
  <si>
    <t>20220505 12:38:49</t>
  </si>
  <si>
    <t>12:38:49</t>
  </si>
  <si>
    <t>20220505 12:38:54</t>
  </si>
  <si>
    <t>12:38:54</t>
  </si>
  <si>
    <t>20220505 12:38:59</t>
  </si>
  <si>
    <t>12:38:59</t>
  </si>
  <si>
    <t>20220505 12:39:04</t>
  </si>
  <si>
    <t>12:39:04</t>
  </si>
  <si>
    <t>20220505 12:39:09</t>
  </si>
  <si>
    <t>12:39:09</t>
  </si>
  <si>
    <t>20220505 12:39:14</t>
  </si>
  <si>
    <t>12:39:14</t>
  </si>
  <si>
    <t>20220505 12:39:19</t>
  </si>
  <si>
    <t>12:39:19</t>
  </si>
  <si>
    <t>20220505 13:24:30</t>
  </si>
  <si>
    <t>13:24:30</t>
  </si>
  <si>
    <t>steady_state</t>
  </si>
  <si>
    <t>RECT-1216-20220504-15_55_11</t>
  </si>
  <si>
    <t>MPF-1218-20220505-13_24_28</t>
  </si>
  <si>
    <t>13:25:02</t>
  </si>
  <si>
    <t>20220505 13:28:09</t>
  </si>
  <si>
    <t>13:28:09</t>
  </si>
  <si>
    <t>MPF-1219-20220505-13_28_07</t>
  </si>
  <si>
    <t>20220505 13:29:15</t>
  </si>
  <si>
    <t>13:29:15</t>
  </si>
  <si>
    <t>3/3</t>
  </si>
  <si>
    <t>20220505 13:30:22</t>
  </si>
  <si>
    <t>13:30:22</t>
  </si>
  <si>
    <t>MPF-1220-20220505-13_30_20</t>
  </si>
  <si>
    <t>20220505 13:31:29</t>
  </si>
  <si>
    <t>13:31:29</t>
  </si>
  <si>
    <t>13:31:51</t>
  </si>
  <si>
    <t>20220505 13:32:57</t>
  </si>
  <si>
    <t>13:32:57</t>
  </si>
  <si>
    <t>MPF-1221-20220505-13_32_54</t>
  </si>
  <si>
    <t>13:33:15</t>
  </si>
  <si>
    <t>20220505 13:34:21</t>
  </si>
  <si>
    <t>13:34:21</t>
  </si>
  <si>
    <t>13:34:46</t>
  </si>
  <si>
    <t>20220505 13:35:52</t>
  </si>
  <si>
    <t>13:35:52</t>
  </si>
  <si>
    <t>MPF-1222-20220505-13_35_49</t>
  </si>
  <si>
    <t>20220505 13:36:59</t>
  </si>
  <si>
    <t>13:36:59</t>
  </si>
  <si>
    <t>20220505 13:38:04</t>
  </si>
  <si>
    <t>13:38:04</t>
  </si>
  <si>
    <t>MPF-1223-20220505-13_38_02</t>
  </si>
  <si>
    <t>20220505 13:39:11</t>
  </si>
  <si>
    <t>13:39:11</t>
  </si>
  <si>
    <t>20220505 13:40:17</t>
  </si>
  <si>
    <t>13:40:17</t>
  </si>
  <si>
    <t>MPF-1224-20220505-13_40_14</t>
  </si>
  <si>
    <t>13:40:55</t>
  </si>
  <si>
    <t>20220505 13:42:01</t>
  </si>
  <si>
    <t>13:42:01</t>
  </si>
  <si>
    <t>MPF-1225-20220505-13_41_58</t>
  </si>
  <si>
    <t>20220505 13:43:08</t>
  </si>
  <si>
    <t>13:43:08</t>
  </si>
  <si>
    <t>20220505 13:43:43</t>
  </si>
  <si>
    <t>13:43:43</t>
  </si>
  <si>
    <t>steady_state_120minmatch</t>
  </si>
  <si>
    <t>MPF-1226-20220505-13_43_40</t>
  </si>
  <si>
    <t>20220505 13:46:11</t>
  </si>
  <si>
    <t>13:46:11</t>
  </si>
  <si>
    <t>MPF-1227-20220505-13_46_09</t>
  </si>
  <si>
    <t>20220505 13:47:51</t>
  </si>
  <si>
    <t>13:47:51</t>
  </si>
  <si>
    <t>MPF-1228-20220505-13_47_49</t>
  </si>
  <si>
    <t>20220505 13:49:15</t>
  </si>
  <si>
    <t>13:49:15</t>
  </si>
  <si>
    <t>20220505 13:51:05</t>
  </si>
  <si>
    <t>13:51:05</t>
  </si>
  <si>
    <t>MPF-1229-20220505-13_51_02</t>
  </si>
  <si>
    <t>13:50:24</t>
  </si>
  <si>
    <t>20220505 13:53:07</t>
  </si>
  <si>
    <t>13:53:07</t>
  </si>
  <si>
    <t>MPF-1230-20220505-13_53_04</t>
  </si>
  <si>
    <t>13:52:29</t>
  </si>
  <si>
    <t>20220505 13:55:09</t>
  </si>
  <si>
    <t>13:55:09</t>
  </si>
  <si>
    <t>MPF-1231-20220505-13_55_06</t>
  </si>
  <si>
    <t>13:54:23</t>
  </si>
  <si>
    <t>20220505 13:56:45</t>
  </si>
  <si>
    <t>13:56:45</t>
  </si>
  <si>
    <t>MPF-1232-20220505-13_56_42</t>
  </si>
  <si>
    <t>20220505 13:57:51</t>
  </si>
  <si>
    <t>13:57:51</t>
  </si>
  <si>
    <t>20220505 13:59:51</t>
  </si>
  <si>
    <t>13:59:51</t>
  </si>
  <si>
    <t>MPF-1233-20220505-13_59_49</t>
  </si>
  <si>
    <t>20220505 14:01:53</t>
  </si>
  <si>
    <t>14:01:53</t>
  </si>
  <si>
    <t>MPF-1234-20220505-14_01_51</t>
  </si>
  <si>
    <t>20220505 14:03:55</t>
  </si>
  <si>
    <t>14:03:55</t>
  </si>
  <si>
    <t>MPF-1235-20220505-14_03_53</t>
  </si>
  <si>
    <t>20220505 14:05:57</t>
  </si>
  <si>
    <t>14:05:57</t>
  </si>
  <si>
    <t>MPF-1236-20220505-14_05_55</t>
  </si>
  <si>
    <t>20220505 14:07:59</t>
  </si>
  <si>
    <t>14:07:59</t>
  </si>
  <si>
    <t>MPF-1237-20220505-14_07_57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</si>
</sst>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U117"/>
  <sheetViews>
    <sheetView tabSelected="1" workbookViewId="0"/>
  </sheetViews>
  <sheetFormatPr defaultRowHeight="15"/>
  <sheetData>
    <row r="2" spans="1:281">
      <c r="A2" t="s">
        <v>33</v>
      </c>
      <c r="B2" t="s">
        <v>34</v>
      </c>
      <c r="C2" t="s">
        <v>35</v>
      </c>
    </row>
    <row r="3" spans="1:281">
      <c r="B3">
        <v>4</v>
      </c>
      <c r="C3">
        <v>21</v>
      </c>
    </row>
    <row r="4" spans="1:281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81">
      <c r="B5" t="s">
        <v>19</v>
      </c>
      <c r="C5" t="s">
        <v>39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81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81">
      <c r="B7">
        <v>0</v>
      </c>
      <c r="C7">
        <v>1</v>
      </c>
      <c r="D7">
        <v>0</v>
      </c>
      <c r="E7">
        <v>0</v>
      </c>
    </row>
    <row r="8" spans="1:281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81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1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81">
      <c r="B11">
        <v>0</v>
      </c>
      <c r="C11">
        <v>0</v>
      </c>
      <c r="D11">
        <v>0</v>
      </c>
      <c r="E11">
        <v>0</v>
      </c>
      <c r="F11">
        <v>1</v>
      </c>
    </row>
    <row r="12" spans="1:281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81">
      <c r="B13">
        <v>-6276</v>
      </c>
      <c r="C13">
        <v>6.6</v>
      </c>
      <c r="D13">
        <v>1.709E-05</v>
      </c>
      <c r="E13">
        <v>3.11</v>
      </c>
      <c r="F13" t="s">
        <v>84</v>
      </c>
      <c r="G13" t="s">
        <v>86</v>
      </c>
      <c r="H13">
        <v>0</v>
      </c>
    </row>
    <row r="14" spans="1:281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90</v>
      </c>
      <c r="S14" t="s">
        <v>90</v>
      </c>
      <c r="T14" t="s">
        <v>90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91</v>
      </c>
      <c r="AJ14" t="s">
        <v>91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91</v>
      </c>
      <c r="AQ14" t="s">
        <v>91</v>
      </c>
      <c r="AR14" t="s">
        <v>91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93</v>
      </c>
      <c r="AY14" t="s">
        <v>93</v>
      </c>
      <c r="AZ14" t="s">
        <v>93</v>
      </c>
      <c r="BA14" t="s">
        <v>93</v>
      </c>
      <c r="BB14" t="s">
        <v>93</v>
      </c>
      <c r="BC14" t="s">
        <v>93</v>
      </c>
      <c r="BD14" t="s">
        <v>93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96</v>
      </c>
      <c r="CS14" t="s">
        <v>96</v>
      </c>
      <c r="CT14" t="s">
        <v>96</v>
      </c>
      <c r="CU14" t="s">
        <v>96</v>
      </c>
      <c r="CV14" t="s">
        <v>97</v>
      </c>
      <c r="CW14" t="s">
        <v>97</v>
      </c>
      <c r="CX14" t="s">
        <v>97</v>
      </c>
      <c r="CY14" t="s">
        <v>97</v>
      </c>
      <c r="CZ14" t="s">
        <v>97</v>
      </c>
      <c r="DA14" t="s">
        <v>98</v>
      </c>
      <c r="DB14" t="s">
        <v>98</v>
      </c>
      <c r="DC14" t="s">
        <v>98</v>
      </c>
      <c r="DD14" t="s">
        <v>98</v>
      </c>
      <c r="DE14" t="s">
        <v>98</v>
      </c>
      <c r="DF14" t="s">
        <v>98</v>
      </c>
      <c r="DG14" t="s">
        <v>98</v>
      </c>
      <c r="DH14" t="s">
        <v>98</v>
      </c>
      <c r="DI14" t="s">
        <v>98</v>
      </c>
      <c r="DJ14" t="s">
        <v>98</v>
      </c>
      <c r="DK14" t="s">
        <v>98</v>
      </c>
      <c r="DL14" t="s">
        <v>98</v>
      </c>
      <c r="DM14" t="s">
        <v>98</v>
      </c>
      <c r="DN14" t="s">
        <v>98</v>
      </c>
      <c r="DO14" t="s">
        <v>98</v>
      </c>
      <c r="DP14" t="s">
        <v>98</v>
      </c>
      <c r="DQ14" t="s">
        <v>98</v>
      </c>
      <c r="DR14" t="s">
        <v>98</v>
      </c>
      <c r="DS14" t="s">
        <v>99</v>
      </c>
      <c r="DT14" t="s">
        <v>99</v>
      </c>
      <c r="DU14" t="s">
        <v>99</v>
      </c>
      <c r="DV14" t="s">
        <v>99</v>
      </c>
      <c r="DW14" t="s">
        <v>99</v>
      </c>
      <c r="DX14" t="s">
        <v>99</v>
      </c>
      <c r="DY14" t="s">
        <v>99</v>
      </c>
      <c r="DZ14" t="s">
        <v>99</v>
      </c>
      <c r="EA14" t="s">
        <v>99</v>
      </c>
      <c r="EB14" t="s">
        <v>99</v>
      </c>
      <c r="EC14" t="s">
        <v>100</v>
      </c>
      <c r="ED14" t="s">
        <v>100</v>
      </c>
      <c r="EE14" t="s">
        <v>100</v>
      </c>
      <c r="EF14" t="s">
        <v>100</v>
      </c>
      <c r="EG14" t="s">
        <v>100</v>
      </c>
      <c r="EH14" t="s">
        <v>100</v>
      </c>
      <c r="EI14" t="s">
        <v>100</v>
      </c>
      <c r="EJ14" t="s">
        <v>100</v>
      </c>
      <c r="EK14" t="s">
        <v>100</v>
      </c>
      <c r="EL14" t="s">
        <v>100</v>
      </c>
      <c r="EM14" t="s">
        <v>100</v>
      </c>
      <c r="EN14" t="s">
        <v>100</v>
      </c>
      <c r="EO14" t="s">
        <v>100</v>
      </c>
      <c r="EP14" t="s">
        <v>100</v>
      </c>
      <c r="EQ14" t="s">
        <v>100</v>
      </c>
      <c r="ER14" t="s">
        <v>100</v>
      </c>
      <c r="ES14" t="s">
        <v>100</v>
      </c>
      <c r="ET14" t="s">
        <v>100</v>
      </c>
      <c r="EU14" t="s">
        <v>101</v>
      </c>
      <c r="EV14" t="s">
        <v>101</v>
      </c>
      <c r="EW14" t="s">
        <v>101</v>
      </c>
      <c r="EX14" t="s">
        <v>101</v>
      </c>
      <c r="EY14" t="s">
        <v>101</v>
      </c>
      <c r="EZ14" t="s">
        <v>102</v>
      </c>
      <c r="FA14" t="s">
        <v>102</v>
      </c>
      <c r="FB14" t="s">
        <v>102</v>
      </c>
      <c r="FC14" t="s">
        <v>102</v>
      </c>
      <c r="FD14" t="s">
        <v>102</v>
      </c>
      <c r="FE14" t="s">
        <v>102</v>
      </c>
      <c r="FF14" t="s">
        <v>102</v>
      </c>
      <c r="FG14" t="s">
        <v>102</v>
      </c>
      <c r="FH14" t="s">
        <v>102</v>
      </c>
      <c r="FI14" t="s">
        <v>102</v>
      </c>
      <c r="FJ14" t="s">
        <v>102</v>
      </c>
      <c r="FK14" t="s">
        <v>102</v>
      </c>
      <c r="FL14" t="s">
        <v>102</v>
      </c>
      <c r="FM14" t="s">
        <v>103</v>
      </c>
      <c r="FN14" t="s">
        <v>103</v>
      </c>
      <c r="FO14" t="s">
        <v>103</v>
      </c>
      <c r="FP14" t="s">
        <v>103</v>
      </c>
      <c r="FQ14" t="s">
        <v>103</v>
      </c>
      <c r="FR14" t="s">
        <v>103</v>
      </c>
      <c r="FS14" t="s">
        <v>103</v>
      </c>
      <c r="FT14" t="s">
        <v>103</v>
      </c>
      <c r="FU14" t="s">
        <v>103</v>
      </c>
      <c r="FV14" t="s">
        <v>103</v>
      </c>
      <c r="FW14" t="s">
        <v>103</v>
      </c>
      <c r="FX14" t="s">
        <v>103</v>
      </c>
      <c r="FY14" t="s">
        <v>103</v>
      </c>
      <c r="FZ14" t="s">
        <v>103</v>
      </c>
      <c r="GA14" t="s">
        <v>103</v>
      </c>
      <c r="GB14" t="s">
        <v>104</v>
      </c>
      <c r="GC14" t="s">
        <v>104</v>
      </c>
      <c r="GD14" t="s">
        <v>104</v>
      </c>
      <c r="GE14" t="s">
        <v>104</v>
      </c>
      <c r="GF14" t="s">
        <v>104</v>
      </c>
      <c r="GG14" t="s">
        <v>104</v>
      </c>
      <c r="GH14" t="s">
        <v>104</v>
      </c>
      <c r="GI14" t="s">
        <v>104</v>
      </c>
      <c r="GJ14" t="s">
        <v>104</v>
      </c>
      <c r="GK14" t="s">
        <v>104</v>
      </c>
      <c r="GL14" t="s">
        <v>104</v>
      </c>
      <c r="GM14" t="s">
        <v>104</v>
      </c>
      <c r="GN14" t="s">
        <v>104</v>
      </c>
      <c r="GO14" t="s">
        <v>104</v>
      </c>
      <c r="GP14" t="s">
        <v>104</v>
      </c>
      <c r="GQ14" t="s">
        <v>104</v>
      </c>
      <c r="GR14" t="s">
        <v>104</v>
      </c>
      <c r="GS14" t="s">
        <v>104</v>
      </c>
      <c r="GT14" t="s">
        <v>105</v>
      </c>
      <c r="GU14" t="s">
        <v>105</v>
      </c>
      <c r="GV14" t="s">
        <v>105</v>
      </c>
      <c r="GW14" t="s">
        <v>105</v>
      </c>
      <c r="GX14" t="s">
        <v>105</v>
      </c>
      <c r="GY14" t="s">
        <v>105</v>
      </c>
      <c r="GZ14" t="s">
        <v>105</v>
      </c>
      <c r="HA14" t="s">
        <v>105</v>
      </c>
      <c r="HB14" t="s">
        <v>105</v>
      </c>
      <c r="HC14" t="s">
        <v>105</v>
      </c>
      <c r="HD14" t="s">
        <v>105</v>
      </c>
      <c r="HE14" t="s">
        <v>105</v>
      </c>
      <c r="HF14" t="s">
        <v>105</v>
      </c>
      <c r="HG14" t="s">
        <v>105</v>
      </c>
      <c r="HH14" t="s">
        <v>105</v>
      </c>
      <c r="HI14" t="s">
        <v>105</v>
      </c>
      <c r="HJ14" t="s">
        <v>105</v>
      </c>
      <c r="HK14" t="s">
        <v>105</v>
      </c>
      <c r="HL14" t="s">
        <v>105</v>
      </c>
      <c r="HM14" t="s">
        <v>106</v>
      </c>
      <c r="HN14" t="s">
        <v>106</v>
      </c>
      <c r="HO14" t="s">
        <v>106</v>
      </c>
      <c r="HP14" t="s">
        <v>106</v>
      </c>
      <c r="HQ14" t="s">
        <v>106</v>
      </c>
      <c r="HR14" t="s">
        <v>106</v>
      </c>
      <c r="HS14" t="s">
        <v>106</v>
      </c>
      <c r="HT14" t="s">
        <v>106</v>
      </c>
      <c r="HU14" t="s">
        <v>106</v>
      </c>
      <c r="HV14" t="s">
        <v>106</v>
      </c>
      <c r="HW14" t="s">
        <v>106</v>
      </c>
      <c r="HX14" t="s">
        <v>106</v>
      </c>
      <c r="HY14" t="s">
        <v>106</v>
      </c>
      <c r="HZ14" t="s">
        <v>106</v>
      </c>
      <c r="IA14" t="s">
        <v>106</v>
      </c>
      <c r="IB14" t="s">
        <v>106</v>
      </c>
      <c r="IC14" t="s">
        <v>106</v>
      </c>
      <c r="ID14" t="s">
        <v>106</v>
      </c>
      <c r="IE14" t="s">
        <v>106</v>
      </c>
      <c r="IF14" t="s">
        <v>107</v>
      </c>
      <c r="IG14" t="s">
        <v>107</v>
      </c>
      <c r="IH14" t="s">
        <v>107</v>
      </c>
      <c r="II14" t="s">
        <v>107</v>
      </c>
      <c r="IJ14" t="s">
        <v>107</v>
      </c>
      <c r="IK14" t="s">
        <v>107</v>
      </c>
      <c r="IL14" t="s">
        <v>107</v>
      </c>
      <c r="IM14" t="s">
        <v>107</v>
      </c>
      <c r="IN14" t="s">
        <v>107</v>
      </c>
      <c r="IO14" t="s">
        <v>107</v>
      </c>
      <c r="IP14" t="s">
        <v>107</v>
      </c>
      <c r="IQ14" t="s">
        <v>107</v>
      </c>
      <c r="IR14" t="s">
        <v>107</v>
      </c>
      <c r="IS14" t="s">
        <v>107</v>
      </c>
      <c r="IT14" t="s">
        <v>107</v>
      </c>
      <c r="IU14" t="s">
        <v>107</v>
      </c>
      <c r="IV14" t="s">
        <v>107</v>
      </c>
      <c r="IW14" t="s">
        <v>107</v>
      </c>
      <c r="IX14" t="s">
        <v>108</v>
      </c>
      <c r="IY14" t="s">
        <v>108</v>
      </c>
      <c r="IZ14" t="s">
        <v>108</v>
      </c>
      <c r="JA14" t="s">
        <v>108</v>
      </c>
      <c r="JB14" t="s">
        <v>108</v>
      </c>
      <c r="JC14" t="s">
        <v>108</v>
      </c>
      <c r="JD14" t="s">
        <v>108</v>
      </c>
      <c r="JE14" t="s">
        <v>108</v>
      </c>
      <c r="JF14" t="s">
        <v>109</v>
      </c>
      <c r="JG14" t="s">
        <v>109</v>
      </c>
      <c r="JH14" t="s">
        <v>109</v>
      </c>
      <c r="JI14" t="s">
        <v>109</v>
      </c>
      <c r="JJ14" t="s">
        <v>109</v>
      </c>
      <c r="JK14" t="s">
        <v>109</v>
      </c>
      <c r="JL14" t="s">
        <v>109</v>
      </c>
      <c r="JM14" t="s">
        <v>109</v>
      </c>
      <c r="JN14" t="s">
        <v>109</v>
      </c>
      <c r="JO14" t="s">
        <v>109</v>
      </c>
      <c r="JP14" t="s">
        <v>109</v>
      </c>
      <c r="JQ14" t="s">
        <v>109</v>
      </c>
      <c r="JR14" t="s">
        <v>109</v>
      </c>
      <c r="JS14" t="s">
        <v>109</v>
      </c>
      <c r="JT14" t="s">
        <v>109</v>
      </c>
      <c r="JU14" t="s">
        <v>109</v>
      </c>
    </row>
    <row r="15" spans="1:281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  <c r="P15" t="s">
        <v>125</v>
      </c>
      <c r="Q15" t="s">
        <v>126</v>
      </c>
      <c r="R15" t="s">
        <v>127</v>
      </c>
      <c r="S15" t="s">
        <v>128</v>
      </c>
      <c r="T15" t="s">
        <v>129</v>
      </c>
      <c r="U15" t="s">
        <v>130</v>
      </c>
      <c r="V15" t="s">
        <v>131</v>
      </c>
      <c r="W15" t="s">
        <v>132</v>
      </c>
      <c r="X15" t="s">
        <v>133</v>
      </c>
      <c r="Y15" t="s">
        <v>134</v>
      </c>
      <c r="Z15" t="s">
        <v>135</v>
      </c>
      <c r="AA15" t="s">
        <v>136</v>
      </c>
      <c r="AB15" t="s">
        <v>137</v>
      </c>
      <c r="AC15" t="s">
        <v>138</v>
      </c>
      <c r="AD15" t="s">
        <v>139</v>
      </c>
      <c r="AE15" t="s">
        <v>140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153</v>
      </c>
      <c r="AS15" t="s">
        <v>92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185</v>
      </c>
      <c r="BZ15" t="s">
        <v>186</v>
      </c>
      <c r="CA15" t="s">
        <v>187</v>
      </c>
      <c r="CB15" t="s">
        <v>188</v>
      </c>
      <c r="CC15" t="s">
        <v>189</v>
      </c>
      <c r="CD15" t="s">
        <v>190</v>
      </c>
      <c r="CE15" t="s">
        <v>191</v>
      </c>
      <c r="CF15" t="s">
        <v>192</v>
      </c>
      <c r="CG15" t="s">
        <v>193</v>
      </c>
      <c r="CH15" t="s">
        <v>186</v>
      </c>
      <c r="CI15" t="s">
        <v>194</v>
      </c>
      <c r="CJ15" t="s">
        <v>160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205</v>
      </c>
      <c r="CV15" t="s">
        <v>206</v>
      </c>
      <c r="CW15" t="s">
        <v>207</v>
      </c>
      <c r="CX15" t="s">
        <v>208</v>
      </c>
      <c r="CY15" t="s">
        <v>209</v>
      </c>
      <c r="CZ15" t="s">
        <v>210</v>
      </c>
      <c r="DA15" t="s">
        <v>118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224</v>
      </c>
      <c r="DP15" t="s">
        <v>225</v>
      </c>
      <c r="DQ15" t="s">
        <v>226</v>
      </c>
      <c r="DR15" t="s">
        <v>227</v>
      </c>
      <c r="DS15" t="s">
        <v>228</v>
      </c>
      <c r="DT15" t="s">
        <v>229</v>
      </c>
      <c r="DU15" t="s">
        <v>230</v>
      </c>
      <c r="DV15" t="s">
        <v>231</v>
      </c>
      <c r="DW15" t="s">
        <v>232</v>
      </c>
      <c r="DX15" t="s">
        <v>233</v>
      </c>
      <c r="DY15" t="s">
        <v>234</v>
      </c>
      <c r="DZ15" t="s">
        <v>235</v>
      </c>
      <c r="EA15" t="s">
        <v>236</v>
      </c>
      <c r="EB15" t="s">
        <v>237</v>
      </c>
      <c r="EC15" t="s">
        <v>238</v>
      </c>
      <c r="ED15" t="s">
        <v>239</v>
      </c>
      <c r="EE15" t="s">
        <v>240</v>
      </c>
      <c r="EF15" t="s">
        <v>241</v>
      </c>
      <c r="EG15" t="s">
        <v>242</v>
      </c>
      <c r="EH15" t="s">
        <v>243</v>
      </c>
      <c r="EI15" t="s">
        <v>244</v>
      </c>
      <c r="EJ15" t="s">
        <v>245</v>
      </c>
      <c r="EK15" t="s">
        <v>246</v>
      </c>
      <c r="EL15" t="s">
        <v>247</v>
      </c>
      <c r="EM15" t="s">
        <v>248</v>
      </c>
      <c r="EN15" t="s">
        <v>249</v>
      </c>
      <c r="EO15" t="s">
        <v>250</v>
      </c>
      <c r="EP15" t="s">
        <v>251</v>
      </c>
      <c r="EQ15" t="s">
        <v>252</v>
      </c>
      <c r="ER15" t="s">
        <v>253</v>
      </c>
      <c r="ES15" t="s">
        <v>254</v>
      </c>
      <c r="ET15" t="s">
        <v>255</v>
      </c>
      <c r="EU15" t="s">
        <v>256</v>
      </c>
      <c r="EV15" t="s">
        <v>257</v>
      </c>
      <c r="EW15" t="s">
        <v>258</v>
      </c>
      <c r="EX15" t="s">
        <v>259</v>
      </c>
      <c r="EY15" t="s">
        <v>260</v>
      </c>
      <c r="EZ15" t="s">
        <v>111</v>
      </c>
      <c r="FA15" t="s">
        <v>114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  <c r="GT15" t="s">
        <v>305</v>
      </c>
      <c r="GU15" t="s">
        <v>306</v>
      </c>
      <c r="GV15" t="s">
        <v>307</v>
      </c>
      <c r="GW15" t="s">
        <v>308</v>
      </c>
      <c r="GX15" t="s">
        <v>309</v>
      </c>
      <c r="GY15" t="s">
        <v>310</v>
      </c>
      <c r="GZ15" t="s">
        <v>311</v>
      </c>
      <c r="HA15" t="s">
        <v>312</v>
      </c>
      <c r="HB15" t="s">
        <v>313</v>
      </c>
      <c r="HC15" t="s">
        <v>314</v>
      </c>
      <c r="HD15" t="s">
        <v>315</v>
      </c>
      <c r="HE15" t="s">
        <v>316</v>
      </c>
      <c r="HF15" t="s">
        <v>317</v>
      </c>
      <c r="HG15" t="s">
        <v>318</v>
      </c>
      <c r="HH15" t="s">
        <v>319</v>
      </c>
      <c r="HI15" t="s">
        <v>320</v>
      </c>
      <c r="HJ15" t="s">
        <v>321</v>
      </c>
      <c r="HK15" t="s">
        <v>322</v>
      </c>
      <c r="HL15" t="s">
        <v>323</v>
      </c>
      <c r="HM15" t="s">
        <v>324</v>
      </c>
      <c r="HN15" t="s">
        <v>325</v>
      </c>
      <c r="HO15" t="s">
        <v>326</v>
      </c>
      <c r="HP15" t="s">
        <v>327</v>
      </c>
      <c r="HQ15" t="s">
        <v>328</v>
      </c>
      <c r="HR15" t="s">
        <v>329</v>
      </c>
      <c r="HS15" t="s">
        <v>330</v>
      </c>
      <c r="HT15" t="s">
        <v>331</v>
      </c>
      <c r="HU15" t="s">
        <v>332</v>
      </c>
      <c r="HV15" t="s">
        <v>333</v>
      </c>
      <c r="HW15" t="s">
        <v>334</v>
      </c>
      <c r="HX15" t="s">
        <v>335</v>
      </c>
      <c r="HY15" t="s">
        <v>336</v>
      </c>
      <c r="HZ15" t="s">
        <v>337</v>
      </c>
      <c r="IA15" t="s">
        <v>338</v>
      </c>
      <c r="IB15" t="s">
        <v>339</v>
      </c>
      <c r="IC15" t="s">
        <v>340</v>
      </c>
      <c r="ID15" t="s">
        <v>341</v>
      </c>
      <c r="IE15" t="s">
        <v>342</v>
      </c>
      <c r="IF15" t="s">
        <v>343</v>
      </c>
      <c r="IG15" t="s">
        <v>344</v>
      </c>
      <c r="IH15" t="s">
        <v>345</v>
      </c>
      <c r="II15" t="s">
        <v>346</v>
      </c>
      <c r="IJ15" t="s">
        <v>347</v>
      </c>
      <c r="IK15" t="s">
        <v>348</v>
      </c>
      <c r="IL15" t="s">
        <v>349</v>
      </c>
      <c r="IM15" t="s">
        <v>350</v>
      </c>
      <c r="IN15" t="s">
        <v>351</v>
      </c>
      <c r="IO15" t="s">
        <v>352</v>
      </c>
      <c r="IP15" t="s">
        <v>353</v>
      </c>
      <c r="IQ15" t="s">
        <v>354</v>
      </c>
      <c r="IR15" t="s">
        <v>355</v>
      </c>
      <c r="IS15" t="s">
        <v>356</v>
      </c>
      <c r="IT15" t="s">
        <v>357</v>
      </c>
      <c r="IU15" t="s">
        <v>358</v>
      </c>
      <c r="IV15" t="s">
        <v>359</v>
      </c>
      <c r="IW15" t="s">
        <v>360</v>
      </c>
      <c r="IX15" t="s">
        <v>361</v>
      </c>
      <c r="IY15" t="s">
        <v>362</v>
      </c>
      <c r="IZ15" t="s">
        <v>363</v>
      </c>
      <c r="JA15" t="s">
        <v>364</v>
      </c>
      <c r="JB15" t="s">
        <v>365</v>
      </c>
      <c r="JC15" t="s">
        <v>366</v>
      </c>
      <c r="JD15" t="s">
        <v>367</v>
      </c>
      <c r="JE15" t="s">
        <v>368</v>
      </c>
      <c r="JF15" t="s">
        <v>369</v>
      </c>
      <c r="JG15" t="s">
        <v>370</v>
      </c>
      <c r="JH15" t="s">
        <v>371</v>
      </c>
      <c r="JI15" t="s">
        <v>372</v>
      </c>
      <c r="JJ15" t="s">
        <v>373</v>
      </c>
      <c r="JK15" t="s">
        <v>374</v>
      </c>
      <c r="JL15" t="s">
        <v>375</v>
      </c>
      <c r="JM15" t="s">
        <v>376</v>
      </c>
      <c r="JN15" t="s">
        <v>377</v>
      </c>
      <c r="JO15" t="s">
        <v>378</v>
      </c>
      <c r="JP15" t="s">
        <v>379</v>
      </c>
      <c r="JQ15" t="s">
        <v>380</v>
      </c>
      <c r="JR15" t="s">
        <v>381</v>
      </c>
      <c r="JS15" t="s">
        <v>382</v>
      </c>
      <c r="JT15" t="s">
        <v>383</v>
      </c>
      <c r="JU15" t="s">
        <v>384</v>
      </c>
    </row>
    <row r="16" spans="1:281">
      <c r="B16" t="s">
        <v>385</v>
      </c>
      <c r="C16" t="s">
        <v>385</v>
      </c>
      <c r="F16" t="s">
        <v>385</v>
      </c>
      <c r="I16" t="s">
        <v>385</v>
      </c>
      <c r="J16" t="s">
        <v>386</v>
      </c>
      <c r="K16" t="s">
        <v>387</v>
      </c>
      <c r="L16" t="s">
        <v>388</v>
      </c>
      <c r="M16" t="s">
        <v>389</v>
      </c>
      <c r="N16" t="s">
        <v>389</v>
      </c>
      <c r="O16" t="s">
        <v>218</v>
      </c>
      <c r="P16" t="s">
        <v>218</v>
      </c>
      <c r="Q16" t="s">
        <v>386</v>
      </c>
      <c r="R16" t="s">
        <v>386</v>
      </c>
      <c r="S16" t="s">
        <v>386</v>
      </c>
      <c r="T16" t="s">
        <v>386</v>
      </c>
      <c r="U16" t="s">
        <v>390</v>
      </c>
      <c r="V16" t="s">
        <v>391</v>
      </c>
      <c r="W16" t="s">
        <v>391</v>
      </c>
      <c r="X16" t="s">
        <v>392</v>
      </c>
      <c r="Y16" t="s">
        <v>393</v>
      </c>
      <c r="Z16" t="s">
        <v>392</v>
      </c>
      <c r="AA16" t="s">
        <v>392</v>
      </c>
      <c r="AB16" t="s">
        <v>392</v>
      </c>
      <c r="AC16" t="s">
        <v>390</v>
      </c>
      <c r="AD16" t="s">
        <v>390</v>
      </c>
      <c r="AE16" t="s">
        <v>390</v>
      </c>
      <c r="AF16" t="s">
        <v>390</v>
      </c>
      <c r="AG16" t="s">
        <v>388</v>
      </c>
      <c r="AH16" t="s">
        <v>387</v>
      </c>
      <c r="AI16" t="s">
        <v>388</v>
      </c>
      <c r="AJ16" t="s">
        <v>389</v>
      </c>
      <c r="AK16" t="s">
        <v>389</v>
      </c>
      <c r="AL16" t="s">
        <v>394</v>
      </c>
      <c r="AM16" t="s">
        <v>395</v>
      </c>
      <c r="AN16" t="s">
        <v>387</v>
      </c>
      <c r="AO16" t="s">
        <v>396</v>
      </c>
      <c r="AP16" t="s">
        <v>396</v>
      </c>
      <c r="AQ16" t="s">
        <v>397</v>
      </c>
      <c r="AR16" t="s">
        <v>395</v>
      </c>
      <c r="AS16" t="s">
        <v>398</v>
      </c>
      <c r="AT16" t="s">
        <v>393</v>
      </c>
      <c r="AV16" t="s">
        <v>393</v>
      </c>
      <c r="AW16" t="s">
        <v>398</v>
      </c>
      <c r="BC16" t="s">
        <v>388</v>
      </c>
      <c r="BJ16" t="s">
        <v>388</v>
      </c>
      <c r="BK16" t="s">
        <v>388</v>
      </c>
      <c r="BL16" t="s">
        <v>388</v>
      </c>
      <c r="BM16" t="s">
        <v>399</v>
      </c>
      <c r="CA16" t="s">
        <v>400</v>
      </c>
      <c r="CB16" t="s">
        <v>400</v>
      </c>
      <c r="CC16" t="s">
        <v>400</v>
      </c>
      <c r="CD16" t="s">
        <v>388</v>
      </c>
      <c r="CF16" t="s">
        <v>401</v>
      </c>
      <c r="CI16" t="s">
        <v>400</v>
      </c>
      <c r="CN16" t="s">
        <v>385</v>
      </c>
      <c r="CO16" t="s">
        <v>385</v>
      </c>
      <c r="CP16" t="s">
        <v>385</v>
      </c>
      <c r="CQ16" t="s">
        <v>385</v>
      </c>
      <c r="CR16" t="s">
        <v>388</v>
      </c>
      <c r="CS16" t="s">
        <v>388</v>
      </c>
      <c r="CU16" t="s">
        <v>402</v>
      </c>
      <c r="CV16" t="s">
        <v>403</v>
      </c>
      <c r="CY16" t="s">
        <v>386</v>
      </c>
      <c r="DA16" t="s">
        <v>385</v>
      </c>
      <c r="DB16" t="s">
        <v>389</v>
      </c>
      <c r="DC16" t="s">
        <v>389</v>
      </c>
      <c r="DD16" t="s">
        <v>396</v>
      </c>
      <c r="DE16" t="s">
        <v>396</v>
      </c>
      <c r="DF16" t="s">
        <v>389</v>
      </c>
      <c r="DG16" t="s">
        <v>396</v>
      </c>
      <c r="DH16" t="s">
        <v>398</v>
      </c>
      <c r="DI16" t="s">
        <v>392</v>
      </c>
      <c r="DJ16" t="s">
        <v>392</v>
      </c>
      <c r="DK16" t="s">
        <v>391</v>
      </c>
      <c r="DL16" t="s">
        <v>391</v>
      </c>
      <c r="DM16" t="s">
        <v>391</v>
      </c>
      <c r="DN16" t="s">
        <v>391</v>
      </c>
      <c r="DO16" t="s">
        <v>391</v>
      </c>
      <c r="DP16" t="s">
        <v>404</v>
      </c>
      <c r="DQ16" t="s">
        <v>388</v>
      </c>
      <c r="DR16" t="s">
        <v>388</v>
      </c>
      <c r="DS16" t="s">
        <v>389</v>
      </c>
      <c r="DT16" t="s">
        <v>389</v>
      </c>
      <c r="DU16" t="s">
        <v>389</v>
      </c>
      <c r="DV16" t="s">
        <v>396</v>
      </c>
      <c r="DW16" t="s">
        <v>389</v>
      </c>
      <c r="DX16" t="s">
        <v>396</v>
      </c>
      <c r="DY16" t="s">
        <v>392</v>
      </c>
      <c r="DZ16" t="s">
        <v>392</v>
      </c>
      <c r="EA16" t="s">
        <v>391</v>
      </c>
      <c r="EB16" t="s">
        <v>391</v>
      </c>
      <c r="EC16" t="s">
        <v>388</v>
      </c>
      <c r="EH16" t="s">
        <v>388</v>
      </c>
      <c r="EK16" t="s">
        <v>391</v>
      </c>
      <c r="EL16" t="s">
        <v>391</v>
      </c>
      <c r="EM16" t="s">
        <v>391</v>
      </c>
      <c r="EN16" t="s">
        <v>391</v>
      </c>
      <c r="EO16" t="s">
        <v>391</v>
      </c>
      <c r="EP16" t="s">
        <v>388</v>
      </c>
      <c r="EQ16" t="s">
        <v>388</v>
      </c>
      <c r="ER16" t="s">
        <v>388</v>
      </c>
      <c r="ES16" t="s">
        <v>385</v>
      </c>
      <c r="EV16" t="s">
        <v>405</v>
      </c>
      <c r="EW16" t="s">
        <v>405</v>
      </c>
      <c r="EY16" t="s">
        <v>385</v>
      </c>
      <c r="EZ16" t="s">
        <v>406</v>
      </c>
      <c r="FB16" t="s">
        <v>385</v>
      </c>
      <c r="FC16" t="s">
        <v>385</v>
      </c>
      <c r="FE16" t="s">
        <v>407</v>
      </c>
      <c r="FF16" t="s">
        <v>408</v>
      </c>
      <c r="FG16" t="s">
        <v>407</v>
      </c>
      <c r="FH16" t="s">
        <v>408</v>
      </c>
      <c r="FI16" t="s">
        <v>407</v>
      </c>
      <c r="FJ16" t="s">
        <v>408</v>
      </c>
      <c r="FK16" t="s">
        <v>393</v>
      </c>
      <c r="FL16" t="s">
        <v>393</v>
      </c>
      <c r="FN16" t="s">
        <v>409</v>
      </c>
      <c r="FR16" t="s">
        <v>409</v>
      </c>
      <c r="FV16" t="s">
        <v>409</v>
      </c>
      <c r="GB16" t="s">
        <v>410</v>
      </c>
      <c r="GC16" t="s">
        <v>410</v>
      </c>
      <c r="GP16" t="s">
        <v>410</v>
      </c>
      <c r="GQ16" t="s">
        <v>410</v>
      </c>
      <c r="GR16" t="s">
        <v>411</v>
      </c>
      <c r="GS16" t="s">
        <v>411</v>
      </c>
      <c r="GT16" t="s">
        <v>391</v>
      </c>
      <c r="GU16" t="s">
        <v>391</v>
      </c>
      <c r="GV16" t="s">
        <v>393</v>
      </c>
      <c r="GW16" t="s">
        <v>391</v>
      </c>
      <c r="GX16" t="s">
        <v>396</v>
      </c>
      <c r="GY16" t="s">
        <v>393</v>
      </c>
      <c r="GZ16" t="s">
        <v>393</v>
      </c>
      <c r="HB16" t="s">
        <v>410</v>
      </c>
      <c r="HC16" t="s">
        <v>410</v>
      </c>
      <c r="HD16" t="s">
        <v>410</v>
      </c>
      <c r="HE16" t="s">
        <v>410</v>
      </c>
      <c r="HF16" t="s">
        <v>410</v>
      </c>
      <c r="HG16" t="s">
        <v>410</v>
      </c>
      <c r="HH16" t="s">
        <v>410</v>
      </c>
      <c r="HI16" t="s">
        <v>412</v>
      </c>
      <c r="HJ16" t="s">
        <v>412</v>
      </c>
      <c r="HK16" t="s">
        <v>412</v>
      </c>
      <c r="HL16" t="s">
        <v>413</v>
      </c>
      <c r="HM16" t="s">
        <v>410</v>
      </c>
      <c r="HN16" t="s">
        <v>410</v>
      </c>
      <c r="HO16" t="s">
        <v>410</v>
      </c>
      <c r="HP16" t="s">
        <v>410</v>
      </c>
      <c r="HQ16" t="s">
        <v>410</v>
      </c>
      <c r="HR16" t="s">
        <v>410</v>
      </c>
      <c r="HS16" t="s">
        <v>410</v>
      </c>
      <c r="HT16" t="s">
        <v>410</v>
      </c>
      <c r="HU16" t="s">
        <v>410</v>
      </c>
      <c r="HV16" t="s">
        <v>410</v>
      </c>
      <c r="HW16" t="s">
        <v>410</v>
      </c>
      <c r="HX16" t="s">
        <v>410</v>
      </c>
      <c r="IE16" t="s">
        <v>410</v>
      </c>
      <c r="IF16" t="s">
        <v>393</v>
      </c>
      <c r="IG16" t="s">
        <v>393</v>
      </c>
      <c r="IH16" t="s">
        <v>407</v>
      </c>
      <c r="II16" t="s">
        <v>408</v>
      </c>
      <c r="IJ16" t="s">
        <v>408</v>
      </c>
      <c r="IN16" t="s">
        <v>408</v>
      </c>
      <c r="IR16" t="s">
        <v>389</v>
      </c>
      <c r="IS16" t="s">
        <v>389</v>
      </c>
      <c r="IT16" t="s">
        <v>396</v>
      </c>
      <c r="IU16" t="s">
        <v>396</v>
      </c>
      <c r="IV16" t="s">
        <v>414</v>
      </c>
      <c r="IW16" t="s">
        <v>414</v>
      </c>
      <c r="IX16" t="s">
        <v>410</v>
      </c>
      <c r="IY16" t="s">
        <v>410</v>
      </c>
      <c r="IZ16" t="s">
        <v>410</v>
      </c>
      <c r="JA16" t="s">
        <v>410</v>
      </c>
      <c r="JB16" t="s">
        <v>410</v>
      </c>
      <c r="JC16" t="s">
        <v>410</v>
      </c>
      <c r="JD16" t="s">
        <v>391</v>
      </c>
      <c r="JE16" t="s">
        <v>410</v>
      </c>
      <c r="JG16" t="s">
        <v>398</v>
      </c>
      <c r="JH16" t="s">
        <v>398</v>
      </c>
      <c r="JI16" t="s">
        <v>391</v>
      </c>
      <c r="JJ16" t="s">
        <v>391</v>
      </c>
      <c r="JK16" t="s">
        <v>391</v>
      </c>
      <c r="JL16" t="s">
        <v>391</v>
      </c>
      <c r="JM16" t="s">
        <v>391</v>
      </c>
      <c r="JN16" t="s">
        <v>393</v>
      </c>
      <c r="JO16" t="s">
        <v>393</v>
      </c>
      <c r="JP16" t="s">
        <v>393</v>
      </c>
      <c r="JQ16" t="s">
        <v>391</v>
      </c>
      <c r="JR16" t="s">
        <v>389</v>
      </c>
      <c r="JS16" t="s">
        <v>396</v>
      </c>
      <c r="JT16" t="s">
        <v>393</v>
      </c>
      <c r="JU16" t="s">
        <v>393</v>
      </c>
    </row>
    <row r="17" spans="1:281">
      <c r="A17">
        <v>1</v>
      </c>
      <c r="B17">
        <v>1651771877.6</v>
      </c>
      <c r="C17">
        <v>0</v>
      </c>
      <c r="D17" t="s">
        <v>415</v>
      </c>
      <c r="E17" t="s">
        <v>416</v>
      </c>
      <c r="F17">
        <v>5</v>
      </c>
      <c r="H17" t="s">
        <v>417</v>
      </c>
      <c r="I17">
        <v>1651771876.35</v>
      </c>
      <c r="J17">
        <f>(K17)/1000</f>
        <v>0</v>
      </c>
      <c r="K17">
        <f>IF(CZ17, AN17, AH17)</f>
        <v>0</v>
      </c>
      <c r="L17">
        <f>IF(CZ17, AI17, AG17)</f>
        <v>0</v>
      </c>
      <c r="M17">
        <f>DB17 - IF(AU17&gt;1, L17*CV17*100.0/(AW17*DP17), 0)</f>
        <v>0</v>
      </c>
      <c r="N17">
        <f>((T17-J17/2)*M17-L17)/(T17+J17/2)</f>
        <v>0</v>
      </c>
      <c r="O17">
        <f>N17*(DI17+DJ17)/1000.0</f>
        <v>0</v>
      </c>
      <c r="P17">
        <f>(DB17 - IF(AU17&gt;1, L17*CV17*100.0/(AW17*DP17), 0))*(DI17+DJ17)/1000.0</f>
        <v>0</v>
      </c>
      <c r="Q17">
        <f>2.0/((1/S17-1/R17)+SIGN(S17)*SQRT((1/S17-1/R17)*(1/S17-1/R17) + 4*CW17/((CW17+1)*(CW17+1))*(2*1/S17*1/R17-1/R17*1/R17)))</f>
        <v>0</v>
      </c>
      <c r="R17">
        <f>IF(LEFT(CX17,1)&lt;&gt;"0",IF(LEFT(CX17,1)="1",3.0,CY17),$D$5+$E$5*(DP17*DI17/($K$5*1000))+$F$5*(DP17*DI17/($K$5*1000))*MAX(MIN(CV17,$J$5),$I$5)*MAX(MIN(CV17,$J$5),$I$5)+$G$5*MAX(MIN(CV17,$J$5),$I$5)*(DP17*DI17/($K$5*1000))+$H$5*(DP17*DI17/($K$5*1000))*(DP17*DI17/($K$5*1000)))</f>
        <v>0</v>
      </c>
      <c r="S17">
        <f>J17*(1000-(1000*0.61365*exp(17.502*W17/(240.97+W17))/(DI17+DJ17)+DD17)/2)/(1000*0.61365*exp(17.502*W17/(240.97+W17))/(DI17+DJ17)-DD17)</f>
        <v>0</v>
      </c>
      <c r="T17">
        <f>1/((CW17+1)/(Q17/1.6)+1/(R17/1.37)) + CW17/((CW17+1)/(Q17/1.6) + CW17/(R17/1.37))</f>
        <v>0</v>
      </c>
      <c r="U17">
        <f>(CR17*CU17)</f>
        <v>0</v>
      </c>
      <c r="V17">
        <f>(DK17+(U17+2*0.95*5.67E-8*(((DK17+$B$7)+273)^4-(DK17+273)^4)-44100*J17)/(1.84*29.3*R17+8*0.95*5.67E-8*(DK17+273)^3))</f>
        <v>0</v>
      </c>
      <c r="W17">
        <f>($C$7*DL17+$D$7*DM17+$E$7*V17)</f>
        <v>0</v>
      </c>
      <c r="X17">
        <f>0.61365*exp(17.502*W17/(240.97+W17))</f>
        <v>0</v>
      </c>
      <c r="Y17">
        <f>(Z17/AA17*100)</f>
        <v>0</v>
      </c>
      <c r="Z17">
        <f>DD17*(DI17+DJ17)/1000</f>
        <v>0</v>
      </c>
      <c r="AA17">
        <f>0.61365*exp(17.502*DK17/(240.97+DK17))</f>
        <v>0</v>
      </c>
      <c r="AB17">
        <f>(X17-DD17*(DI17+DJ17)/1000)</f>
        <v>0</v>
      </c>
      <c r="AC17">
        <f>(-J17*44100)</f>
        <v>0</v>
      </c>
      <c r="AD17">
        <f>2*29.3*R17*0.92*(DK17-W17)</f>
        <v>0</v>
      </c>
      <c r="AE17">
        <f>2*0.95*5.67E-8*(((DK17+$B$7)+273)^4-(W17+273)^4)</f>
        <v>0</v>
      </c>
      <c r="AF17">
        <f>U17+AE17+AC17+AD17</f>
        <v>0</v>
      </c>
      <c r="AG17">
        <f>DH17*AU17*(DC17-DB17*(1000-AU17*DE17)/(1000-AU17*DD17))/(100*CV17)</f>
        <v>0</v>
      </c>
      <c r="AH17">
        <f>1000*DH17*AU17*(DD17-DE17)/(100*CV17*(1000-AU17*DD17))</f>
        <v>0</v>
      </c>
      <c r="AI17">
        <f>(AJ17 - AK17 - DI17*1E3/(8.314*(DK17+273.15)) * AM17/DH17 * AL17) * DH17/(100*CV17) * (1000 - DE17)/1000</f>
        <v>0</v>
      </c>
      <c r="AJ17">
        <v>490.7674419780393</v>
      </c>
      <c r="AK17">
        <v>467.4845757575756</v>
      </c>
      <c r="AL17">
        <v>-0.03538180909429257</v>
      </c>
      <c r="AM17">
        <v>66.72507702095443</v>
      </c>
      <c r="AN17">
        <f>(AP17 - AO17 + DI17*1E3/(8.314*(DK17+273.15)) * AR17/DH17 * AQ17) * DH17/(100*CV17) * 1000/(1000 - AP17)</f>
        <v>0</v>
      </c>
      <c r="AO17">
        <v>22.12296604830081</v>
      </c>
      <c r="AP17">
        <v>26.24468484848484</v>
      </c>
      <c r="AQ17">
        <v>0.001105334393015577</v>
      </c>
      <c r="AR17">
        <v>78.22078291278521</v>
      </c>
      <c r="AS17">
        <v>1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MAX(0,($B$13+$C$13*DP17)/(1+$D$13*DP17)*DI17/(DK17+273)*$E$13)</f>
        <v>0</v>
      </c>
      <c r="AX17" t="s">
        <v>418</v>
      </c>
      <c r="AY17" t="s">
        <v>418</v>
      </c>
      <c r="AZ17">
        <v>0</v>
      </c>
      <c r="BA17">
        <v>0</v>
      </c>
      <c r="BB17">
        <f>1-AZ17/BA17</f>
        <v>0</v>
      </c>
      <c r="BC17">
        <v>0</v>
      </c>
      <c r="BD17" t="s">
        <v>418</v>
      </c>
      <c r="BE17" t="s">
        <v>418</v>
      </c>
      <c r="BF17">
        <v>0</v>
      </c>
      <c r="BG17">
        <v>0</v>
      </c>
      <c r="BH17">
        <f>1-BF17/BG17</f>
        <v>0</v>
      </c>
      <c r="BI17">
        <v>0.5</v>
      </c>
      <c r="BJ17">
        <f>CS17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418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f>$B$11*DQ17+$C$11*DR17+$F$11*EC17*(1-EF17)</f>
        <v>0</v>
      </c>
      <c r="CS17">
        <f>CR17*CT17</f>
        <v>0</v>
      </c>
      <c r="CT17">
        <f>($B$11*$D$9+$C$11*$D$9+$F$11*((EP17+EH17)/MAX(EP17+EH17+EQ17, 0.1)*$I$9+EQ17/MAX(EP17+EH17+EQ17, 0.1)*$J$9))/($B$11+$C$11+$F$11)</f>
        <v>0</v>
      </c>
      <c r="CU17">
        <f>($B$11*$K$9+$C$11*$K$9+$F$11*((EP17+EH17)/MAX(EP17+EH17+EQ17, 0.1)*$P$9+EQ17/MAX(EP17+EH17+EQ17, 0.1)*$Q$9))/($B$11+$C$11+$F$11)</f>
        <v>0</v>
      </c>
      <c r="CV17">
        <v>6</v>
      </c>
      <c r="CW17">
        <v>0.5</v>
      </c>
      <c r="CX17" t="s">
        <v>419</v>
      </c>
      <c r="CY17">
        <v>2</v>
      </c>
      <c r="CZ17" t="b">
        <v>1</v>
      </c>
      <c r="DA17">
        <v>1651771876.35</v>
      </c>
      <c r="DB17">
        <v>455.24975</v>
      </c>
      <c r="DC17">
        <v>479.905</v>
      </c>
      <c r="DD17">
        <v>26.2413</v>
      </c>
      <c r="DE17">
        <v>22.12115</v>
      </c>
      <c r="DF17">
        <v>457.09575</v>
      </c>
      <c r="DG17">
        <v>26.11885</v>
      </c>
      <c r="DH17">
        <v>499.9835</v>
      </c>
      <c r="DI17">
        <v>90.3096</v>
      </c>
      <c r="DJ17">
        <v>0.09980554999999999</v>
      </c>
      <c r="DK17">
        <v>28.944075</v>
      </c>
      <c r="DL17">
        <v>28.3592</v>
      </c>
      <c r="DM17">
        <v>999.9</v>
      </c>
      <c r="DN17">
        <v>0</v>
      </c>
      <c r="DO17">
        <v>0</v>
      </c>
      <c r="DP17">
        <v>10000.6125</v>
      </c>
      <c r="DQ17">
        <v>0</v>
      </c>
      <c r="DR17">
        <v>13.261475</v>
      </c>
      <c r="DS17">
        <v>-24.6553</v>
      </c>
      <c r="DT17">
        <v>467.518</v>
      </c>
      <c r="DU17">
        <v>490.76125</v>
      </c>
      <c r="DV17">
        <v>4.120145</v>
      </c>
      <c r="DW17">
        <v>479.905</v>
      </c>
      <c r="DX17">
        <v>22.12115</v>
      </c>
      <c r="DY17">
        <v>2.36984</v>
      </c>
      <c r="DZ17">
        <v>1.997755</v>
      </c>
      <c r="EA17">
        <v>20.15915</v>
      </c>
      <c r="EB17">
        <v>17.426525</v>
      </c>
      <c r="EC17">
        <v>1500.0075</v>
      </c>
      <c r="ED17">
        <v>0.9729920000000001</v>
      </c>
      <c r="EE17">
        <v>0.02700805</v>
      </c>
      <c r="EF17">
        <v>0</v>
      </c>
      <c r="EG17">
        <v>2.4078</v>
      </c>
      <c r="EH17">
        <v>0</v>
      </c>
      <c r="EI17">
        <v>16732.95</v>
      </c>
      <c r="EJ17">
        <v>12533.4</v>
      </c>
      <c r="EK17">
        <v>36.812</v>
      </c>
      <c r="EL17">
        <v>38.375</v>
      </c>
      <c r="EM17">
        <v>37.25</v>
      </c>
      <c r="EN17">
        <v>37.687</v>
      </c>
      <c r="EO17">
        <v>36.625</v>
      </c>
      <c r="EP17">
        <v>1459.4975</v>
      </c>
      <c r="EQ17">
        <v>40.51</v>
      </c>
      <c r="ER17">
        <v>0</v>
      </c>
      <c r="ES17">
        <v>1651771878.8</v>
      </c>
      <c r="ET17">
        <v>0</v>
      </c>
      <c r="EU17">
        <v>2.324644</v>
      </c>
      <c r="EV17">
        <v>0.4779769280921968</v>
      </c>
      <c r="EW17">
        <v>-93.46153878949087</v>
      </c>
      <c r="EX17">
        <v>16741.588</v>
      </c>
      <c r="EY17">
        <v>15</v>
      </c>
      <c r="EZ17">
        <v>0</v>
      </c>
      <c r="FA17" t="s">
        <v>420</v>
      </c>
      <c r="FB17">
        <v>1651697511.6</v>
      </c>
      <c r="FC17">
        <v>1651697666.1</v>
      </c>
      <c r="FD17">
        <v>0</v>
      </c>
      <c r="FE17">
        <v>-0.019</v>
      </c>
      <c r="FF17">
        <v>0.013</v>
      </c>
      <c r="FG17">
        <v>-2.121</v>
      </c>
      <c r="FH17">
        <v>0.041</v>
      </c>
      <c r="FI17">
        <v>420</v>
      </c>
      <c r="FJ17">
        <v>22</v>
      </c>
      <c r="FK17">
        <v>1.72</v>
      </c>
      <c r="FL17">
        <v>0.27</v>
      </c>
      <c r="FM17">
        <v>-24.469675</v>
      </c>
      <c r="FN17">
        <v>-0.7797118198874056</v>
      </c>
      <c r="FO17">
        <v>0.0866944166310611</v>
      </c>
      <c r="FP17">
        <v>0</v>
      </c>
      <c r="FQ17">
        <v>4.073611000000001</v>
      </c>
      <c r="FR17">
        <v>0.297596848030012</v>
      </c>
      <c r="FS17">
        <v>0.02885216160012973</v>
      </c>
      <c r="FT17">
        <v>1</v>
      </c>
      <c r="FU17">
        <v>0</v>
      </c>
      <c r="FV17">
        <v>0</v>
      </c>
      <c r="FW17">
        <v>0</v>
      </c>
      <c r="FX17">
        <v>1</v>
      </c>
      <c r="FY17">
        <v>2</v>
      </c>
      <c r="FZ17">
        <v>3</v>
      </c>
      <c r="GA17" t="s">
        <v>421</v>
      </c>
      <c r="GB17">
        <v>2.98138</v>
      </c>
      <c r="GC17">
        <v>2.70596</v>
      </c>
      <c r="GD17">
        <v>0.10024</v>
      </c>
      <c r="GE17">
        <v>0.102905</v>
      </c>
      <c r="GF17">
        <v>0.113295</v>
      </c>
      <c r="GG17">
        <v>0.0992205</v>
      </c>
      <c r="GH17">
        <v>28464.7</v>
      </c>
      <c r="GI17">
        <v>28436.5</v>
      </c>
      <c r="GJ17">
        <v>29410.1</v>
      </c>
      <c r="GK17">
        <v>29319.7</v>
      </c>
      <c r="GL17">
        <v>34521</v>
      </c>
      <c r="GM17">
        <v>35157.8</v>
      </c>
      <c r="GN17">
        <v>41401.8</v>
      </c>
      <c r="GO17">
        <v>41843.9</v>
      </c>
      <c r="GP17">
        <v>1.96292</v>
      </c>
      <c r="GQ17">
        <v>1.8643</v>
      </c>
      <c r="GR17">
        <v>0.0832677</v>
      </c>
      <c r="GS17">
        <v>0</v>
      </c>
      <c r="GT17">
        <v>27.0026</v>
      </c>
      <c r="GU17">
        <v>999.9</v>
      </c>
      <c r="GV17">
        <v>45.2</v>
      </c>
      <c r="GW17">
        <v>35.1</v>
      </c>
      <c r="GX17">
        <v>28.428</v>
      </c>
      <c r="GY17">
        <v>62.8907</v>
      </c>
      <c r="GZ17">
        <v>36.7949</v>
      </c>
      <c r="HA17">
        <v>1</v>
      </c>
      <c r="HB17">
        <v>0.0282927</v>
      </c>
      <c r="HC17">
        <v>0</v>
      </c>
      <c r="HD17">
        <v>20.347</v>
      </c>
      <c r="HE17">
        <v>5.22163</v>
      </c>
      <c r="HF17">
        <v>12.0088</v>
      </c>
      <c r="HG17">
        <v>4.99035</v>
      </c>
      <c r="HH17">
        <v>3.28933</v>
      </c>
      <c r="HI17">
        <v>486.7</v>
      </c>
      <c r="HJ17">
        <v>3582.4</v>
      </c>
      <c r="HK17">
        <v>4564.3</v>
      </c>
      <c r="HL17">
        <v>17.7</v>
      </c>
      <c r="HM17">
        <v>1.86768</v>
      </c>
      <c r="HN17">
        <v>1.86661</v>
      </c>
      <c r="HO17">
        <v>1.86615</v>
      </c>
      <c r="HP17">
        <v>1.86602</v>
      </c>
      <c r="HQ17">
        <v>1.86784</v>
      </c>
      <c r="HR17">
        <v>1.87039</v>
      </c>
      <c r="HS17">
        <v>1.86905</v>
      </c>
      <c r="HT17">
        <v>1.87042</v>
      </c>
      <c r="HU17">
        <v>0</v>
      </c>
      <c r="HV17">
        <v>0</v>
      </c>
      <c r="HW17">
        <v>0</v>
      </c>
      <c r="HX17">
        <v>0</v>
      </c>
      <c r="HY17" t="s">
        <v>422</v>
      </c>
      <c r="HZ17" t="s">
        <v>423</v>
      </c>
      <c r="IA17" t="s">
        <v>424</v>
      </c>
      <c r="IB17" t="s">
        <v>424</v>
      </c>
      <c r="IC17" t="s">
        <v>424</v>
      </c>
      <c r="ID17" t="s">
        <v>424</v>
      </c>
      <c r="IE17">
        <v>0</v>
      </c>
      <c r="IF17">
        <v>100</v>
      </c>
      <c r="IG17">
        <v>100</v>
      </c>
      <c r="IH17">
        <v>-1.846</v>
      </c>
      <c r="II17">
        <v>0.1226</v>
      </c>
      <c r="IJ17">
        <v>-1.064712027753117</v>
      </c>
      <c r="IK17">
        <v>-0.001826611574738555</v>
      </c>
      <c r="IL17">
        <v>3.313362389709971E-07</v>
      </c>
      <c r="IM17">
        <v>-1.629490614973607E-10</v>
      </c>
      <c r="IN17">
        <v>-0.09531406441470595</v>
      </c>
      <c r="IO17">
        <v>-0.008240702679890409</v>
      </c>
      <c r="IP17">
        <v>0.001077697425498046</v>
      </c>
      <c r="IQ17">
        <v>-1.69598232850356E-05</v>
      </c>
      <c r="IR17">
        <v>3</v>
      </c>
      <c r="IS17">
        <v>2280</v>
      </c>
      <c r="IT17">
        <v>1</v>
      </c>
      <c r="IU17">
        <v>25</v>
      </c>
      <c r="IV17">
        <v>1239.4</v>
      </c>
      <c r="IW17">
        <v>1236.9</v>
      </c>
      <c r="IX17">
        <v>1.16577</v>
      </c>
      <c r="IY17">
        <v>2.2229</v>
      </c>
      <c r="IZ17">
        <v>1.39648</v>
      </c>
      <c r="JA17">
        <v>2.35352</v>
      </c>
      <c r="JB17">
        <v>1.49536</v>
      </c>
      <c r="JC17">
        <v>2.28271</v>
      </c>
      <c r="JD17">
        <v>38.8211</v>
      </c>
      <c r="JE17">
        <v>24.0525</v>
      </c>
      <c r="JF17">
        <v>18</v>
      </c>
      <c r="JG17">
        <v>507.949</v>
      </c>
      <c r="JH17">
        <v>430.514</v>
      </c>
      <c r="JI17">
        <v>27.827</v>
      </c>
      <c r="JJ17">
        <v>27.7557</v>
      </c>
      <c r="JK17">
        <v>30.0002</v>
      </c>
      <c r="JL17">
        <v>27.6985</v>
      </c>
      <c r="JM17">
        <v>27.6384</v>
      </c>
      <c r="JN17">
        <v>23.3443</v>
      </c>
      <c r="JO17">
        <v>26.356</v>
      </c>
      <c r="JP17">
        <v>0</v>
      </c>
      <c r="JQ17">
        <v>-999.9</v>
      </c>
      <c r="JR17">
        <v>473.226</v>
      </c>
      <c r="JS17">
        <v>22.1325</v>
      </c>
      <c r="JT17">
        <v>100.538</v>
      </c>
      <c r="JU17">
        <v>100.433</v>
      </c>
    </row>
    <row r="18" spans="1:281">
      <c r="A18">
        <v>2</v>
      </c>
      <c r="B18">
        <v>1651771882.5</v>
      </c>
      <c r="C18">
        <v>4.900000095367432</v>
      </c>
      <c r="D18" t="s">
        <v>425</v>
      </c>
      <c r="E18" t="s">
        <v>426</v>
      </c>
      <c r="F18">
        <v>5</v>
      </c>
      <c r="H18" t="s">
        <v>417</v>
      </c>
      <c r="I18">
        <v>1651771880.1</v>
      </c>
      <c r="J18">
        <f>(K18)/1000</f>
        <v>0</v>
      </c>
      <c r="K18">
        <f>IF(CZ18, AN18, AH18)</f>
        <v>0</v>
      </c>
      <c r="L18">
        <f>IF(CZ18, AI18, AG18)</f>
        <v>0</v>
      </c>
      <c r="M18">
        <f>DB18 - IF(AU18&gt;1, L18*CV18*100.0/(AW18*DP18), 0)</f>
        <v>0</v>
      </c>
      <c r="N18">
        <f>((T18-J18/2)*M18-L18)/(T18+J18/2)</f>
        <v>0</v>
      </c>
      <c r="O18">
        <f>N18*(DI18+DJ18)/1000.0</f>
        <v>0</v>
      </c>
      <c r="P18">
        <f>(DB18 - IF(AU18&gt;1, L18*CV18*100.0/(AW18*DP18), 0))*(DI18+DJ18)/1000.0</f>
        <v>0</v>
      </c>
      <c r="Q18">
        <f>2.0/((1/S18-1/R18)+SIGN(S18)*SQRT((1/S18-1/R18)*(1/S18-1/R18) + 4*CW18/((CW18+1)*(CW18+1))*(2*1/S18*1/R18-1/R18*1/R18)))</f>
        <v>0</v>
      </c>
      <c r="R18">
        <f>IF(LEFT(CX18,1)&lt;&gt;"0",IF(LEFT(CX18,1)="1",3.0,CY18),$D$5+$E$5*(DP18*DI18/($K$5*1000))+$F$5*(DP18*DI18/($K$5*1000))*MAX(MIN(CV18,$J$5),$I$5)*MAX(MIN(CV18,$J$5),$I$5)+$G$5*MAX(MIN(CV18,$J$5),$I$5)*(DP18*DI18/($K$5*1000))+$H$5*(DP18*DI18/($K$5*1000))*(DP18*DI18/($K$5*1000)))</f>
        <v>0</v>
      </c>
      <c r="S18">
        <f>J18*(1000-(1000*0.61365*exp(17.502*W18/(240.97+W18))/(DI18+DJ18)+DD18)/2)/(1000*0.61365*exp(17.502*W18/(240.97+W18))/(DI18+DJ18)-DD18)</f>
        <v>0</v>
      </c>
      <c r="T18">
        <f>1/((CW18+1)/(Q18/1.6)+1/(R18/1.37)) + CW18/((CW18+1)/(Q18/1.6) + CW18/(R18/1.37))</f>
        <v>0</v>
      </c>
      <c r="U18">
        <f>(CR18*CU18)</f>
        <v>0</v>
      </c>
      <c r="V18">
        <f>(DK18+(U18+2*0.95*5.67E-8*(((DK18+$B$7)+273)^4-(DK18+273)^4)-44100*J18)/(1.84*29.3*R18+8*0.95*5.67E-8*(DK18+273)^3))</f>
        <v>0</v>
      </c>
      <c r="W18">
        <f>($C$7*DL18+$D$7*DM18+$E$7*V18)</f>
        <v>0</v>
      </c>
      <c r="X18">
        <f>0.61365*exp(17.502*W18/(240.97+W18))</f>
        <v>0</v>
      </c>
      <c r="Y18">
        <f>(Z18/AA18*100)</f>
        <v>0</v>
      </c>
      <c r="Z18">
        <f>DD18*(DI18+DJ18)/1000</f>
        <v>0</v>
      </c>
      <c r="AA18">
        <f>0.61365*exp(17.502*DK18/(240.97+DK18))</f>
        <v>0</v>
      </c>
      <c r="AB18">
        <f>(X18-DD18*(DI18+DJ18)/1000)</f>
        <v>0</v>
      </c>
      <c r="AC18">
        <f>(-J18*44100)</f>
        <v>0</v>
      </c>
      <c r="AD18">
        <f>2*29.3*R18*0.92*(DK18-W18)</f>
        <v>0</v>
      </c>
      <c r="AE18">
        <f>2*0.95*5.67E-8*(((DK18+$B$7)+273)^4-(W18+273)^4)</f>
        <v>0</v>
      </c>
      <c r="AF18">
        <f>U18+AE18+AC18+AD18</f>
        <v>0</v>
      </c>
      <c r="AG18">
        <f>DH18*AU18*(DC18-DB18*(1000-AU18*DE18)/(1000-AU18*DD18))/(100*CV18)</f>
        <v>0</v>
      </c>
      <c r="AH18">
        <f>1000*DH18*AU18*(DD18-DE18)/(100*CV18*(1000-AU18*DD18))</f>
        <v>0</v>
      </c>
      <c r="AI18">
        <f>(AJ18 - AK18 - DI18*1E3/(8.314*(DK18+273.15)) * AM18/DH18 * AL18) * DH18/(100*CV18) * (1000 - DE18)/1000</f>
        <v>0</v>
      </c>
      <c r="AJ18">
        <v>490.7486629364802</v>
      </c>
      <c r="AK18">
        <v>467.4463696969695</v>
      </c>
      <c r="AL18">
        <v>-0.006535638899134794</v>
      </c>
      <c r="AM18">
        <v>66.72507702095443</v>
      </c>
      <c r="AN18">
        <f>(AP18 - AO18 + DI18*1E3/(8.314*(DK18+273.15)) * AR18/DH18 * AQ18) * DH18/(100*CV18) * 1000/(1000 - AP18)</f>
        <v>0</v>
      </c>
      <c r="AO18">
        <v>22.11964105135312</v>
      </c>
      <c r="AP18">
        <v>26.26024060606059</v>
      </c>
      <c r="AQ18">
        <v>0.0004130469353687801</v>
      </c>
      <c r="AR18">
        <v>78.22078291278521</v>
      </c>
      <c r="AS18">
        <v>1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MAX(0,($B$13+$C$13*DP18)/(1+$D$13*DP18)*DI18/(DK18+273)*$E$13)</f>
        <v>0</v>
      </c>
      <c r="AX18" t="s">
        <v>418</v>
      </c>
      <c r="AY18" t="s">
        <v>418</v>
      </c>
      <c r="AZ18">
        <v>0</v>
      </c>
      <c r="BA18">
        <v>0</v>
      </c>
      <c r="BB18">
        <f>1-AZ18/BA18</f>
        <v>0</v>
      </c>
      <c r="BC18">
        <v>0</v>
      </c>
      <c r="BD18" t="s">
        <v>418</v>
      </c>
      <c r="BE18" t="s">
        <v>418</v>
      </c>
      <c r="BF18">
        <v>0</v>
      </c>
      <c r="BG18">
        <v>0</v>
      </c>
      <c r="BH18">
        <f>1-BF18/BG18</f>
        <v>0</v>
      </c>
      <c r="BI18">
        <v>0.5</v>
      </c>
      <c r="BJ18">
        <f>CS18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418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f>$B$11*DQ18+$C$11*DR18+$F$11*EC18*(1-EF18)</f>
        <v>0</v>
      </c>
      <c r="CS18">
        <f>CR18*CT18</f>
        <v>0</v>
      </c>
      <c r="CT18">
        <f>($B$11*$D$9+$C$11*$D$9+$F$11*((EP18+EH18)/MAX(EP18+EH18+EQ18, 0.1)*$I$9+EQ18/MAX(EP18+EH18+EQ18, 0.1)*$J$9))/($B$11+$C$11+$F$11)</f>
        <v>0</v>
      </c>
      <c r="CU18">
        <f>($B$11*$K$9+$C$11*$K$9+$F$11*((EP18+EH18)/MAX(EP18+EH18+EQ18, 0.1)*$P$9+EQ18/MAX(EP18+EH18+EQ18, 0.1)*$Q$9))/($B$11+$C$11+$F$11)</f>
        <v>0</v>
      </c>
      <c r="CV18">
        <v>6</v>
      </c>
      <c r="CW18">
        <v>0.5</v>
      </c>
      <c r="CX18" t="s">
        <v>419</v>
      </c>
      <c r="CY18">
        <v>2</v>
      </c>
      <c r="CZ18" t="b">
        <v>1</v>
      </c>
      <c r="DA18">
        <v>1651771880.1</v>
      </c>
      <c r="DB18">
        <v>455.2206666666667</v>
      </c>
      <c r="DC18">
        <v>479.4874444444445</v>
      </c>
      <c r="DD18">
        <v>26.25383333333333</v>
      </c>
      <c r="DE18">
        <v>22.11915555555556</v>
      </c>
      <c r="DF18">
        <v>457.0665555555556</v>
      </c>
      <c r="DG18">
        <v>26.13122222222222</v>
      </c>
      <c r="DH18">
        <v>500.0108888888889</v>
      </c>
      <c r="DI18">
        <v>90.30803333333333</v>
      </c>
      <c r="DJ18">
        <v>0.09975338888888889</v>
      </c>
      <c r="DK18">
        <v>28.94636666666666</v>
      </c>
      <c r="DL18">
        <v>28.3663</v>
      </c>
      <c r="DM18">
        <v>999.9000000000001</v>
      </c>
      <c r="DN18">
        <v>0</v>
      </c>
      <c r="DO18">
        <v>0</v>
      </c>
      <c r="DP18">
        <v>10016.46666666667</v>
      </c>
      <c r="DQ18">
        <v>0</v>
      </c>
      <c r="DR18">
        <v>13.265</v>
      </c>
      <c r="DS18">
        <v>-24.26704444444444</v>
      </c>
      <c r="DT18">
        <v>467.4941111111111</v>
      </c>
      <c r="DU18">
        <v>490.3336666666667</v>
      </c>
      <c r="DV18">
        <v>4.134657777777778</v>
      </c>
      <c r="DW18">
        <v>479.4874444444445</v>
      </c>
      <c r="DX18">
        <v>22.11915555555556</v>
      </c>
      <c r="DY18">
        <v>2.370933333333333</v>
      </c>
      <c r="DZ18">
        <v>1.997538888888889</v>
      </c>
      <c r="EA18">
        <v>20.1666</v>
      </c>
      <c r="EB18">
        <v>17.42484444444445</v>
      </c>
      <c r="EC18">
        <v>1499.998888888889</v>
      </c>
      <c r="ED18">
        <v>0.9729909999999999</v>
      </c>
      <c r="EE18">
        <v>0.02700893333333333</v>
      </c>
      <c r="EF18">
        <v>0</v>
      </c>
      <c r="EG18">
        <v>2.365877777777778</v>
      </c>
      <c r="EH18">
        <v>0</v>
      </c>
      <c r="EI18">
        <v>16727.72222222222</v>
      </c>
      <c r="EJ18">
        <v>12533.31111111111</v>
      </c>
      <c r="EK18">
        <v>36.812</v>
      </c>
      <c r="EL18">
        <v>38.375</v>
      </c>
      <c r="EM18">
        <v>37.25</v>
      </c>
      <c r="EN18">
        <v>37.687</v>
      </c>
      <c r="EO18">
        <v>36.625</v>
      </c>
      <c r="EP18">
        <v>1459.487777777778</v>
      </c>
      <c r="EQ18">
        <v>40.51111111111111</v>
      </c>
      <c r="ER18">
        <v>0</v>
      </c>
      <c r="ES18">
        <v>1651771883.6</v>
      </c>
      <c r="ET18">
        <v>0</v>
      </c>
      <c r="EU18">
        <v>2.325852</v>
      </c>
      <c r="EV18">
        <v>-0.252723074899348</v>
      </c>
      <c r="EW18">
        <v>-88.25384639064916</v>
      </c>
      <c r="EX18">
        <v>16734.516</v>
      </c>
      <c r="EY18">
        <v>15</v>
      </c>
      <c r="EZ18">
        <v>0</v>
      </c>
      <c r="FA18" t="s">
        <v>420</v>
      </c>
      <c r="FB18">
        <v>1651697511.6</v>
      </c>
      <c r="FC18">
        <v>1651697666.1</v>
      </c>
      <c r="FD18">
        <v>0</v>
      </c>
      <c r="FE18">
        <v>-0.019</v>
      </c>
      <c r="FF18">
        <v>0.013</v>
      </c>
      <c r="FG18">
        <v>-2.121</v>
      </c>
      <c r="FH18">
        <v>0.041</v>
      </c>
      <c r="FI18">
        <v>420</v>
      </c>
      <c r="FJ18">
        <v>22</v>
      </c>
      <c r="FK18">
        <v>1.72</v>
      </c>
      <c r="FL18">
        <v>0.27</v>
      </c>
      <c r="FM18">
        <v>-24.468365</v>
      </c>
      <c r="FN18">
        <v>0.6549906191369521</v>
      </c>
      <c r="FO18">
        <v>0.2984748821509109</v>
      </c>
      <c r="FP18">
        <v>0</v>
      </c>
      <c r="FQ18">
        <v>4.1022425</v>
      </c>
      <c r="FR18">
        <v>0.2576609380862936</v>
      </c>
      <c r="FS18">
        <v>0.02485074593950858</v>
      </c>
      <c r="FT18">
        <v>1</v>
      </c>
      <c r="FU18">
        <v>0</v>
      </c>
      <c r="FV18">
        <v>0</v>
      </c>
      <c r="FW18">
        <v>0</v>
      </c>
      <c r="FX18">
        <v>1</v>
      </c>
      <c r="FY18">
        <v>2</v>
      </c>
      <c r="FZ18">
        <v>3</v>
      </c>
      <c r="GA18" t="s">
        <v>421</v>
      </c>
      <c r="GB18">
        <v>2.98162</v>
      </c>
      <c r="GC18">
        <v>2.7063</v>
      </c>
      <c r="GD18">
        <v>0.100215</v>
      </c>
      <c r="GE18">
        <v>0.102503</v>
      </c>
      <c r="GF18">
        <v>0.113336</v>
      </c>
      <c r="GG18">
        <v>0.0992088</v>
      </c>
      <c r="GH18">
        <v>28465</v>
      </c>
      <c r="GI18">
        <v>28449.1</v>
      </c>
      <c r="GJ18">
        <v>29409.6</v>
      </c>
      <c r="GK18">
        <v>29319.5</v>
      </c>
      <c r="GL18">
        <v>34518.7</v>
      </c>
      <c r="GM18">
        <v>35158.1</v>
      </c>
      <c r="GN18">
        <v>41401</v>
      </c>
      <c r="GO18">
        <v>41843.7</v>
      </c>
      <c r="GP18">
        <v>1.96308</v>
      </c>
      <c r="GQ18">
        <v>1.8642</v>
      </c>
      <c r="GR18">
        <v>0.0834838</v>
      </c>
      <c r="GS18">
        <v>0</v>
      </c>
      <c r="GT18">
        <v>27.0074</v>
      </c>
      <c r="GU18">
        <v>999.9</v>
      </c>
      <c r="GV18">
        <v>45.2</v>
      </c>
      <c r="GW18">
        <v>35.1</v>
      </c>
      <c r="GX18">
        <v>28.4254</v>
      </c>
      <c r="GY18">
        <v>62.9007</v>
      </c>
      <c r="GZ18">
        <v>36.3542</v>
      </c>
      <c r="HA18">
        <v>1</v>
      </c>
      <c r="HB18">
        <v>0.0284375</v>
      </c>
      <c r="HC18">
        <v>0</v>
      </c>
      <c r="HD18">
        <v>20.3467</v>
      </c>
      <c r="HE18">
        <v>5.21834</v>
      </c>
      <c r="HF18">
        <v>12.0088</v>
      </c>
      <c r="HG18">
        <v>4.98925</v>
      </c>
      <c r="HH18">
        <v>3.28865</v>
      </c>
      <c r="HI18">
        <v>486.7</v>
      </c>
      <c r="HJ18">
        <v>3582.4</v>
      </c>
      <c r="HK18">
        <v>4564.3</v>
      </c>
      <c r="HL18">
        <v>17.7</v>
      </c>
      <c r="HM18">
        <v>1.86768</v>
      </c>
      <c r="HN18">
        <v>1.86661</v>
      </c>
      <c r="HO18">
        <v>1.86616</v>
      </c>
      <c r="HP18">
        <v>1.86602</v>
      </c>
      <c r="HQ18">
        <v>1.86785</v>
      </c>
      <c r="HR18">
        <v>1.87039</v>
      </c>
      <c r="HS18">
        <v>1.86905</v>
      </c>
      <c r="HT18">
        <v>1.87042</v>
      </c>
      <c r="HU18">
        <v>0</v>
      </c>
      <c r="HV18">
        <v>0</v>
      </c>
      <c r="HW18">
        <v>0</v>
      </c>
      <c r="HX18">
        <v>0</v>
      </c>
      <c r="HY18" t="s">
        <v>422</v>
      </c>
      <c r="HZ18" t="s">
        <v>423</v>
      </c>
      <c r="IA18" t="s">
        <v>424</v>
      </c>
      <c r="IB18" t="s">
        <v>424</v>
      </c>
      <c r="IC18" t="s">
        <v>424</v>
      </c>
      <c r="ID18" t="s">
        <v>424</v>
      </c>
      <c r="IE18">
        <v>0</v>
      </c>
      <c r="IF18">
        <v>100</v>
      </c>
      <c r="IG18">
        <v>100</v>
      </c>
      <c r="IH18">
        <v>-1.845</v>
      </c>
      <c r="II18">
        <v>0.1227</v>
      </c>
      <c r="IJ18">
        <v>-1.064712027753117</v>
      </c>
      <c r="IK18">
        <v>-0.001826611574738555</v>
      </c>
      <c r="IL18">
        <v>3.313362389709971E-07</v>
      </c>
      <c r="IM18">
        <v>-1.629490614973607E-10</v>
      </c>
      <c r="IN18">
        <v>-0.09531406441470595</v>
      </c>
      <c r="IO18">
        <v>-0.008240702679890409</v>
      </c>
      <c r="IP18">
        <v>0.001077697425498046</v>
      </c>
      <c r="IQ18">
        <v>-1.69598232850356E-05</v>
      </c>
      <c r="IR18">
        <v>3</v>
      </c>
      <c r="IS18">
        <v>2280</v>
      </c>
      <c r="IT18">
        <v>1</v>
      </c>
      <c r="IU18">
        <v>25</v>
      </c>
      <c r="IV18">
        <v>1239.5</v>
      </c>
      <c r="IW18">
        <v>1236.9</v>
      </c>
      <c r="IX18">
        <v>1.13892</v>
      </c>
      <c r="IY18">
        <v>2.22168</v>
      </c>
      <c r="IZ18">
        <v>1.39648</v>
      </c>
      <c r="JA18">
        <v>2.35352</v>
      </c>
      <c r="JB18">
        <v>1.49536</v>
      </c>
      <c r="JC18">
        <v>2.2937</v>
      </c>
      <c r="JD18">
        <v>38.8211</v>
      </c>
      <c r="JE18">
        <v>24.0525</v>
      </c>
      <c r="JF18">
        <v>18</v>
      </c>
      <c r="JG18">
        <v>508.066</v>
      </c>
      <c r="JH18">
        <v>430.47</v>
      </c>
      <c r="JI18">
        <v>27.8338</v>
      </c>
      <c r="JJ18">
        <v>27.7576</v>
      </c>
      <c r="JK18">
        <v>30.0002</v>
      </c>
      <c r="JL18">
        <v>27.7008</v>
      </c>
      <c r="JM18">
        <v>27.6406</v>
      </c>
      <c r="JN18">
        <v>22.8113</v>
      </c>
      <c r="JO18">
        <v>26.356</v>
      </c>
      <c r="JP18">
        <v>0</v>
      </c>
      <c r="JQ18">
        <v>-999.9</v>
      </c>
      <c r="JR18">
        <v>459.853</v>
      </c>
      <c r="JS18">
        <v>22.1153</v>
      </c>
      <c r="JT18">
        <v>100.536</v>
      </c>
      <c r="JU18">
        <v>100.432</v>
      </c>
    </row>
    <row r="19" spans="1:281">
      <c r="A19">
        <v>3</v>
      </c>
      <c r="B19">
        <v>1651771887.5</v>
      </c>
      <c r="C19">
        <v>9.900000095367432</v>
      </c>
      <c r="D19" t="s">
        <v>427</v>
      </c>
      <c r="E19" t="s">
        <v>428</v>
      </c>
      <c r="F19">
        <v>5</v>
      </c>
      <c r="H19" t="s">
        <v>417</v>
      </c>
      <c r="I19">
        <v>1651771884.71</v>
      </c>
      <c r="J19">
        <f>(K19)/1000</f>
        <v>0</v>
      </c>
      <c r="K19">
        <f>IF(CZ19, AN19, AH19)</f>
        <v>0</v>
      </c>
      <c r="L19">
        <f>IF(CZ19, AI19, AG19)</f>
        <v>0</v>
      </c>
      <c r="M19">
        <f>DB19 - IF(AU19&gt;1, L19*CV19*100.0/(AW19*DP19), 0)</f>
        <v>0</v>
      </c>
      <c r="N19">
        <f>((T19-J19/2)*M19-L19)/(T19+J19/2)</f>
        <v>0</v>
      </c>
      <c r="O19">
        <f>N19*(DI19+DJ19)/1000.0</f>
        <v>0</v>
      </c>
      <c r="P19">
        <f>(DB19 - IF(AU19&gt;1, L19*CV19*100.0/(AW19*DP19), 0))*(DI19+DJ19)/1000.0</f>
        <v>0</v>
      </c>
      <c r="Q19">
        <f>2.0/((1/S19-1/R19)+SIGN(S19)*SQRT((1/S19-1/R19)*(1/S19-1/R19) + 4*CW19/((CW19+1)*(CW19+1))*(2*1/S19*1/R19-1/R19*1/R19)))</f>
        <v>0</v>
      </c>
      <c r="R19">
        <f>IF(LEFT(CX19,1)&lt;&gt;"0",IF(LEFT(CX19,1)="1",3.0,CY19),$D$5+$E$5*(DP19*DI19/($K$5*1000))+$F$5*(DP19*DI19/($K$5*1000))*MAX(MIN(CV19,$J$5),$I$5)*MAX(MIN(CV19,$J$5),$I$5)+$G$5*MAX(MIN(CV19,$J$5),$I$5)*(DP19*DI19/($K$5*1000))+$H$5*(DP19*DI19/($K$5*1000))*(DP19*DI19/($K$5*1000)))</f>
        <v>0</v>
      </c>
      <c r="S19">
        <f>J19*(1000-(1000*0.61365*exp(17.502*W19/(240.97+W19))/(DI19+DJ19)+DD19)/2)/(1000*0.61365*exp(17.502*W19/(240.97+W19))/(DI19+DJ19)-DD19)</f>
        <v>0</v>
      </c>
      <c r="T19">
        <f>1/((CW19+1)/(Q19/1.6)+1/(R19/1.37)) + CW19/((CW19+1)/(Q19/1.6) + CW19/(R19/1.37))</f>
        <v>0</v>
      </c>
      <c r="U19">
        <f>(CR19*CU19)</f>
        <v>0</v>
      </c>
      <c r="V19">
        <f>(DK19+(U19+2*0.95*5.67E-8*(((DK19+$B$7)+273)^4-(DK19+273)^4)-44100*J19)/(1.84*29.3*R19+8*0.95*5.67E-8*(DK19+273)^3))</f>
        <v>0</v>
      </c>
      <c r="W19">
        <f>($C$7*DL19+$D$7*DM19+$E$7*V19)</f>
        <v>0</v>
      </c>
      <c r="X19">
        <f>0.61365*exp(17.502*W19/(240.97+W19))</f>
        <v>0</v>
      </c>
      <c r="Y19">
        <f>(Z19/AA19*100)</f>
        <v>0</v>
      </c>
      <c r="Z19">
        <f>DD19*(DI19+DJ19)/1000</f>
        <v>0</v>
      </c>
      <c r="AA19">
        <f>0.61365*exp(17.502*DK19/(240.97+DK19))</f>
        <v>0</v>
      </c>
      <c r="AB19">
        <f>(X19-DD19*(DI19+DJ19)/1000)</f>
        <v>0</v>
      </c>
      <c r="AC19">
        <f>(-J19*44100)</f>
        <v>0</v>
      </c>
      <c r="AD19">
        <f>2*29.3*R19*0.92*(DK19-W19)</f>
        <v>0</v>
      </c>
      <c r="AE19">
        <f>2*0.95*5.67E-8*(((DK19+$B$7)+273)^4-(W19+273)^4)</f>
        <v>0</v>
      </c>
      <c r="AF19">
        <f>U19+AE19+AC19+AD19</f>
        <v>0</v>
      </c>
      <c r="AG19">
        <f>DH19*AU19*(DC19-DB19*(1000-AU19*DE19)/(1000-AU19*DD19))/(100*CV19)</f>
        <v>0</v>
      </c>
      <c r="AH19">
        <f>1000*DH19*AU19*(DD19-DE19)/(100*CV19*(1000-AU19*DD19))</f>
        <v>0</v>
      </c>
      <c r="AI19">
        <f>(AJ19 - AK19 - DI19*1E3/(8.314*(DK19+273.15)) * AM19/DH19 * AL19) * DH19/(100*CV19) * (1000 - DE19)/1000</f>
        <v>0</v>
      </c>
      <c r="AJ19">
        <v>482.9222459251027</v>
      </c>
      <c r="AK19">
        <v>463.938703030303</v>
      </c>
      <c r="AL19">
        <v>-0.9226074155271176</v>
      </c>
      <c r="AM19">
        <v>66.72507702095443</v>
      </c>
      <c r="AN19">
        <f>(AP19 - AO19 + DI19*1E3/(8.314*(DK19+273.15)) * AR19/DH19 * AQ19) * DH19/(100*CV19) * 1000/(1000 - AP19)</f>
        <v>0</v>
      </c>
      <c r="AO19">
        <v>22.11477149548957</v>
      </c>
      <c r="AP19">
        <v>26.27748909090909</v>
      </c>
      <c r="AQ19">
        <v>0.000355163086013018</v>
      </c>
      <c r="AR19">
        <v>78.22078291278521</v>
      </c>
      <c r="AS19">
        <v>1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MAX(0,($B$13+$C$13*DP19)/(1+$D$13*DP19)*DI19/(DK19+273)*$E$13)</f>
        <v>0</v>
      </c>
      <c r="AX19" t="s">
        <v>418</v>
      </c>
      <c r="AY19" t="s">
        <v>418</v>
      </c>
      <c r="AZ19">
        <v>0</v>
      </c>
      <c r="BA19">
        <v>0</v>
      </c>
      <c r="BB19">
        <f>1-AZ19/BA19</f>
        <v>0</v>
      </c>
      <c r="BC19">
        <v>0</v>
      </c>
      <c r="BD19" t="s">
        <v>418</v>
      </c>
      <c r="BE19" t="s">
        <v>418</v>
      </c>
      <c r="BF19">
        <v>0</v>
      </c>
      <c r="BG19">
        <v>0</v>
      </c>
      <c r="BH19">
        <f>1-BF19/BG19</f>
        <v>0</v>
      </c>
      <c r="BI19">
        <v>0.5</v>
      </c>
      <c r="BJ19">
        <f>CS19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418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f>$B$11*DQ19+$C$11*DR19+$F$11*EC19*(1-EF19)</f>
        <v>0</v>
      </c>
      <c r="CS19">
        <f>CR19*CT19</f>
        <v>0</v>
      </c>
      <c r="CT19">
        <f>($B$11*$D$9+$C$11*$D$9+$F$11*((EP19+EH19)/MAX(EP19+EH19+EQ19, 0.1)*$I$9+EQ19/MAX(EP19+EH19+EQ19, 0.1)*$J$9))/($B$11+$C$11+$F$11)</f>
        <v>0</v>
      </c>
      <c r="CU19">
        <f>($B$11*$K$9+$C$11*$K$9+$F$11*((EP19+EH19)/MAX(EP19+EH19+EQ19, 0.1)*$P$9+EQ19/MAX(EP19+EH19+EQ19, 0.1)*$Q$9))/($B$11+$C$11+$F$11)</f>
        <v>0</v>
      </c>
      <c r="CV19">
        <v>6</v>
      </c>
      <c r="CW19">
        <v>0.5</v>
      </c>
      <c r="CX19" t="s">
        <v>419</v>
      </c>
      <c r="CY19">
        <v>2</v>
      </c>
      <c r="CZ19" t="b">
        <v>1</v>
      </c>
      <c r="DA19">
        <v>1651771884.71</v>
      </c>
      <c r="DB19">
        <v>453.7973</v>
      </c>
      <c r="DC19">
        <v>472.0556</v>
      </c>
      <c r="DD19">
        <v>26.26959</v>
      </c>
      <c r="DE19">
        <v>22.11515</v>
      </c>
      <c r="DF19">
        <v>455.6409</v>
      </c>
      <c r="DG19">
        <v>26.14675</v>
      </c>
      <c r="DH19">
        <v>500.0577</v>
      </c>
      <c r="DI19">
        <v>90.30652000000001</v>
      </c>
      <c r="DJ19">
        <v>0.10003435</v>
      </c>
      <c r="DK19">
        <v>28.95052</v>
      </c>
      <c r="DL19">
        <v>28.37338</v>
      </c>
      <c r="DM19">
        <v>999.9</v>
      </c>
      <c r="DN19">
        <v>0</v>
      </c>
      <c r="DO19">
        <v>0</v>
      </c>
      <c r="DP19">
        <v>10000.12</v>
      </c>
      <c r="DQ19">
        <v>0</v>
      </c>
      <c r="DR19">
        <v>13.2564</v>
      </c>
      <c r="DS19">
        <v>-18.25822</v>
      </c>
      <c r="DT19">
        <v>466.0400000000001</v>
      </c>
      <c r="DU19">
        <v>482.7312</v>
      </c>
      <c r="DV19">
        <v>4.154425</v>
      </c>
      <c r="DW19">
        <v>472.0556</v>
      </c>
      <c r="DX19">
        <v>22.11515</v>
      </c>
      <c r="DY19">
        <v>2.372316</v>
      </c>
      <c r="DZ19">
        <v>1.997144</v>
      </c>
      <c r="EA19">
        <v>20.17603</v>
      </c>
      <c r="EB19">
        <v>17.42171</v>
      </c>
      <c r="EC19">
        <v>1499.984</v>
      </c>
      <c r="ED19">
        <v>0.9729902000000001</v>
      </c>
      <c r="EE19">
        <v>0.02700964</v>
      </c>
      <c r="EF19">
        <v>0</v>
      </c>
      <c r="EG19">
        <v>2.44708</v>
      </c>
      <c r="EH19">
        <v>0</v>
      </c>
      <c r="EI19">
        <v>16722.94</v>
      </c>
      <c r="EJ19">
        <v>12533.19</v>
      </c>
      <c r="EK19">
        <v>36.812</v>
      </c>
      <c r="EL19">
        <v>38.3624</v>
      </c>
      <c r="EM19">
        <v>37.2248</v>
      </c>
      <c r="EN19">
        <v>37.687</v>
      </c>
      <c r="EO19">
        <v>36.625</v>
      </c>
      <c r="EP19">
        <v>1459.472</v>
      </c>
      <c r="EQ19">
        <v>40.51199999999999</v>
      </c>
      <c r="ER19">
        <v>0</v>
      </c>
      <c r="ES19">
        <v>1651771888.4</v>
      </c>
      <c r="ET19">
        <v>0</v>
      </c>
      <c r="EU19">
        <v>2.3524</v>
      </c>
      <c r="EV19">
        <v>0.3486153753396342</v>
      </c>
      <c r="EW19">
        <v>-71.21538450527669</v>
      </c>
      <c r="EX19">
        <v>16728.352</v>
      </c>
      <c r="EY19">
        <v>15</v>
      </c>
      <c r="EZ19">
        <v>0</v>
      </c>
      <c r="FA19" t="s">
        <v>420</v>
      </c>
      <c r="FB19">
        <v>1651697511.6</v>
      </c>
      <c r="FC19">
        <v>1651697666.1</v>
      </c>
      <c r="FD19">
        <v>0</v>
      </c>
      <c r="FE19">
        <v>-0.019</v>
      </c>
      <c r="FF19">
        <v>0.013</v>
      </c>
      <c r="FG19">
        <v>-2.121</v>
      </c>
      <c r="FH19">
        <v>0.041</v>
      </c>
      <c r="FI19">
        <v>420</v>
      </c>
      <c r="FJ19">
        <v>22</v>
      </c>
      <c r="FK19">
        <v>1.72</v>
      </c>
      <c r="FL19">
        <v>0.27</v>
      </c>
      <c r="FM19">
        <v>-23.18744634146341</v>
      </c>
      <c r="FN19">
        <v>19.27838299342365</v>
      </c>
      <c r="FO19">
        <v>2.67829382212045</v>
      </c>
      <c r="FP19">
        <v>0</v>
      </c>
      <c r="FQ19">
        <v>4.12052731707317</v>
      </c>
      <c r="FR19">
        <v>0.2494358525241939</v>
      </c>
      <c r="FS19">
        <v>0.02450390342467517</v>
      </c>
      <c r="FT19">
        <v>1</v>
      </c>
      <c r="FU19">
        <v>0</v>
      </c>
      <c r="FV19">
        <v>0</v>
      </c>
      <c r="FW19">
        <v>0</v>
      </c>
      <c r="FX19">
        <v>1</v>
      </c>
      <c r="FY19">
        <v>2</v>
      </c>
      <c r="FZ19">
        <v>3</v>
      </c>
      <c r="GA19" t="s">
        <v>421</v>
      </c>
      <c r="GB19">
        <v>2.98163</v>
      </c>
      <c r="GC19">
        <v>2.70602</v>
      </c>
      <c r="GD19">
        <v>0.09955550000000001</v>
      </c>
      <c r="GE19">
        <v>0.100406</v>
      </c>
      <c r="GF19">
        <v>0.113386</v>
      </c>
      <c r="GG19">
        <v>0.0991988</v>
      </c>
      <c r="GH19">
        <v>28485.7</v>
      </c>
      <c r="GI19">
        <v>28515.7</v>
      </c>
      <c r="GJ19">
        <v>29409.4</v>
      </c>
      <c r="GK19">
        <v>29319.6</v>
      </c>
      <c r="GL19">
        <v>34517</v>
      </c>
      <c r="GM19">
        <v>35158.7</v>
      </c>
      <c r="GN19">
        <v>41401.3</v>
      </c>
      <c r="GO19">
        <v>41843.9</v>
      </c>
      <c r="GP19">
        <v>1.963</v>
      </c>
      <c r="GQ19">
        <v>1.86397</v>
      </c>
      <c r="GR19">
        <v>0.0840053</v>
      </c>
      <c r="GS19">
        <v>0</v>
      </c>
      <c r="GT19">
        <v>27.0109</v>
      </c>
      <c r="GU19">
        <v>999.9</v>
      </c>
      <c r="GV19">
        <v>45.1</v>
      </c>
      <c r="GW19">
        <v>35</v>
      </c>
      <c r="GX19">
        <v>28.2109</v>
      </c>
      <c r="GY19">
        <v>62.8807</v>
      </c>
      <c r="GZ19">
        <v>36.3301</v>
      </c>
      <c r="HA19">
        <v>1</v>
      </c>
      <c r="HB19">
        <v>0.0284299</v>
      </c>
      <c r="HC19">
        <v>0</v>
      </c>
      <c r="HD19">
        <v>20.3467</v>
      </c>
      <c r="HE19">
        <v>5.21804</v>
      </c>
      <c r="HF19">
        <v>12.0074</v>
      </c>
      <c r="HG19">
        <v>4.98945</v>
      </c>
      <c r="HH19">
        <v>3.28865</v>
      </c>
      <c r="HI19">
        <v>486.9</v>
      </c>
      <c r="HJ19">
        <v>3583.7</v>
      </c>
      <c r="HK19">
        <v>4564.3</v>
      </c>
      <c r="HL19">
        <v>17.7</v>
      </c>
      <c r="HM19">
        <v>1.86768</v>
      </c>
      <c r="HN19">
        <v>1.86662</v>
      </c>
      <c r="HO19">
        <v>1.86616</v>
      </c>
      <c r="HP19">
        <v>1.86602</v>
      </c>
      <c r="HQ19">
        <v>1.86785</v>
      </c>
      <c r="HR19">
        <v>1.87039</v>
      </c>
      <c r="HS19">
        <v>1.86905</v>
      </c>
      <c r="HT19">
        <v>1.87042</v>
      </c>
      <c r="HU19">
        <v>0</v>
      </c>
      <c r="HV19">
        <v>0</v>
      </c>
      <c r="HW19">
        <v>0</v>
      </c>
      <c r="HX19">
        <v>0</v>
      </c>
      <c r="HY19" t="s">
        <v>422</v>
      </c>
      <c r="HZ19" t="s">
        <v>423</v>
      </c>
      <c r="IA19" t="s">
        <v>424</v>
      </c>
      <c r="IB19" t="s">
        <v>424</v>
      </c>
      <c r="IC19" t="s">
        <v>424</v>
      </c>
      <c r="ID19" t="s">
        <v>424</v>
      </c>
      <c r="IE19">
        <v>0</v>
      </c>
      <c r="IF19">
        <v>100</v>
      </c>
      <c r="IG19">
        <v>100</v>
      </c>
      <c r="IH19">
        <v>-1.839</v>
      </c>
      <c r="II19">
        <v>0.123</v>
      </c>
      <c r="IJ19">
        <v>-1.064712027753117</v>
      </c>
      <c r="IK19">
        <v>-0.001826611574738555</v>
      </c>
      <c r="IL19">
        <v>3.313362389709971E-07</v>
      </c>
      <c r="IM19">
        <v>-1.629490614973607E-10</v>
      </c>
      <c r="IN19">
        <v>-0.09531406441470595</v>
      </c>
      <c r="IO19">
        <v>-0.008240702679890409</v>
      </c>
      <c r="IP19">
        <v>0.001077697425498046</v>
      </c>
      <c r="IQ19">
        <v>-1.69598232850356E-05</v>
      </c>
      <c r="IR19">
        <v>3</v>
      </c>
      <c r="IS19">
        <v>2280</v>
      </c>
      <c r="IT19">
        <v>1</v>
      </c>
      <c r="IU19">
        <v>25</v>
      </c>
      <c r="IV19">
        <v>1239.6</v>
      </c>
      <c r="IW19">
        <v>1237</v>
      </c>
      <c r="IX19">
        <v>1.10962</v>
      </c>
      <c r="IY19">
        <v>2.22168</v>
      </c>
      <c r="IZ19">
        <v>1.39648</v>
      </c>
      <c r="JA19">
        <v>2.35352</v>
      </c>
      <c r="JB19">
        <v>1.49536</v>
      </c>
      <c r="JC19">
        <v>2.29858</v>
      </c>
      <c r="JD19">
        <v>38.7964</v>
      </c>
      <c r="JE19">
        <v>24.0525</v>
      </c>
      <c r="JF19">
        <v>18</v>
      </c>
      <c r="JG19">
        <v>508.018</v>
      </c>
      <c r="JH19">
        <v>430.337</v>
      </c>
      <c r="JI19">
        <v>27.8407</v>
      </c>
      <c r="JJ19">
        <v>27.7593</v>
      </c>
      <c r="JK19">
        <v>30.0002</v>
      </c>
      <c r="JL19">
        <v>27.7008</v>
      </c>
      <c r="JM19">
        <v>27.6408</v>
      </c>
      <c r="JN19">
        <v>22.2278</v>
      </c>
      <c r="JO19">
        <v>26.356</v>
      </c>
      <c r="JP19">
        <v>0</v>
      </c>
      <c r="JQ19">
        <v>-999.9</v>
      </c>
      <c r="JR19">
        <v>439.817</v>
      </c>
      <c r="JS19">
        <v>22.0902</v>
      </c>
      <c r="JT19">
        <v>100.536</v>
      </c>
      <c r="JU19">
        <v>100.433</v>
      </c>
    </row>
    <row r="20" spans="1:281">
      <c r="A20">
        <v>4</v>
      </c>
      <c r="B20">
        <v>1651771892.5</v>
      </c>
      <c r="C20">
        <v>14.90000009536743</v>
      </c>
      <c r="D20" t="s">
        <v>429</v>
      </c>
      <c r="E20" t="s">
        <v>430</v>
      </c>
      <c r="F20">
        <v>5</v>
      </c>
      <c r="H20" t="s">
        <v>417</v>
      </c>
      <c r="I20">
        <v>1651771890</v>
      </c>
      <c r="J20">
        <f>(K20)/1000</f>
        <v>0</v>
      </c>
      <c r="K20">
        <f>IF(CZ20, AN20, AH20)</f>
        <v>0</v>
      </c>
      <c r="L20">
        <f>IF(CZ20, AI20, AG20)</f>
        <v>0</v>
      </c>
      <c r="M20">
        <f>DB20 - IF(AU20&gt;1, L20*CV20*100.0/(AW20*DP20), 0)</f>
        <v>0</v>
      </c>
      <c r="N20">
        <f>((T20-J20/2)*M20-L20)/(T20+J20/2)</f>
        <v>0</v>
      </c>
      <c r="O20">
        <f>N20*(DI20+DJ20)/1000.0</f>
        <v>0</v>
      </c>
      <c r="P20">
        <f>(DB20 - IF(AU20&gt;1, L20*CV20*100.0/(AW20*DP20), 0))*(DI20+DJ20)/1000.0</f>
        <v>0</v>
      </c>
      <c r="Q20">
        <f>2.0/((1/S20-1/R20)+SIGN(S20)*SQRT((1/S20-1/R20)*(1/S20-1/R20) + 4*CW20/((CW20+1)*(CW20+1))*(2*1/S20*1/R20-1/R20*1/R20)))</f>
        <v>0</v>
      </c>
      <c r="R20">
        <f>IF(LEFT(CX20,1)&lt;&gt;"0",IF(LEFT(CX20,1)="1",3.0,CY20),$D$5+$E$5*(DP20*DI20/($K$5*1000))+$F$5*(DP20*DI20/($K$5*1000))*MAX(MIN(CV20,$J$5),$I$5)*MAX(MIN(CV20,$J$5),$I$5)+$G$5*MAX(MIN(CV20,$J$5),$I$5)*(DP20*DI20/($K$5*1000))+$H$5*(DP20*DI20/($K$5*1000))*(DP20*DI20/($K$5*1000)))</f>
        <v>0</v>
      </c>
      <c r="S20">
        <f>J20*(1000-(1000*0.61365*exp(17.502*W20/(240.97+W20))/(DI20+DJ20)+DD20)/2)/(1000*0.61365*exp(17.502*W20/(240.97+W20))/(DI20+DJ20)-DD20)</f>
        <v>0</v>
      </c>
      <c r="T20">
        <f>1/((CW20+1)/(Q20/1.6)+1/(R20/1.37)) + CW20/((CW20+1)/(Q20/1.6) + CW20/(R20/1.37))</f>
        <v>0</v>
      </c>
      <c r="U20">
        <f>(CR20*CU20)</f>
        <v>0</v>
      </c>
      <c r="V20">
        <f>(DK20+(U20+2*0.95*5.67E-8*(((DK20+$B$7)+273)^4-(DK20+273)^4)-44100*J20)/(1.84*29.3*R20+8*0.95*5.67E-8*(DK20+273)^3))</f>
        <v>0</v>
      </c>
      <c r="W20">
        <f>($C$7*DL20+$D$7*DM20+$E$7*V20)</f>
        <v>0</v>
      </c>
      <c r="X20">
        <f>0.61365*exp(17.502*W20/(240.97+W20))</f>
        <v>0</v>
      </c>
      <c r="Y20">
        <f>(Z20/AA20*100)</f>
        <v>0</v>
      </c>
      <c r="Z20">
        <f>DD20*(DI20+DJ20)/1000</f>
        <v>0</v>
      </c>
      <c r="AA20">
        <f>0.61365*exp(17.502*DK20/(240.97+DK20))</f>
        <v>0</v>
      </c>
      <c r="AB20">
        <f>(X20-DD20*(DI20+DJ20)/1000)</f>
        <v>0</v>
      </c>
      <c r="AC20">
        <f>(-J20*44100)</f>
        <v>0</v>
      </c>
      <c r="AD20">
        <f>2*29.3*R20*0.92*(DK20-W20)</f>
        <v>0</v>
      </c>
      <c r="AE20">
        <f>2*0.95*5.67E-8*(((DK20+$B$7)+273)^4-(W20+273)^4)</f>
        <v>0</v>
      </c>
      <c r="AF20">
        <f>U20+AE20+AC20+AD20</f>
        <v>0</v>
      </c>
      <c r="AG20">
        <f>DH20*AU20*(DC20-DB20*(1000-AU20*DE20)/(1000-AU20*DD20))/(100*CV20)</f>
        <v>0</v>
      </c>
      <c r="AH20">
        <f>1000*DH20*AU20*(DD20-DE20)/(100*CV20*(1000-AU20*DD20))</f>
        <v>0</v>
      </c>
      <c r="AI20">
        <f>(AJ20 - AK20 - DI20*1E3/(8.314*(DK20+273.15)) * AM20/DH20 * AL20) * DH20/(100*CV20) * (1000 - DE20)/1000</f>
        <v>0</v>
      </c>
      <c r="AJ20">
        <v>467.5005788638641</v>
      </c>
      <c r="AK20">
        <v>454.5127272727272</v>
      </c>
      <c r="AL20">
        <v>-2.081182261669995</v>
      </c>
      <c r="AM20">
        <v>66.72507702095443</v>
      </c>
      <c r="AN20">
        <f>(AP20 - AO20 + DI20*1E3/(8.314*(DK20+273.15)) * AR20/DH20 * AQ20) * DH20/(100*CV20) * 1000/(1000 - AP20)</f>
        <v>0</v>
      </c>
      <c r="AO20">
        <v>22.11404519376503</v>
      </c>
      <c r="AP20">
        <v>26.29245333333332</v>
      </c>
      <c r="AQ20">
        <v>0.0002451523033302842</v>
      </c>
      <c r="AR20">
        <v>78.22078291278521</v>
      </c>
      <c r="AS20">
        <v>1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MAX(0,($B$13+$C$13*DP20)/(1+$D$13*DP20)*DI20/(DK20+273)*$E$13)</f>
        <v>0</v>
      </c>
      <c r="AX20" t="s">
        <v>418</v>
      </c>
      <c r="AY20" t="s">
        <v>418</v>
      </c>
      <c r="AZ20">
        <v>0</v>
      </c>
      <c r="BA20">
        <v>0</v>
      </c>
      <c r="BB20">
        <f>1-AZ20/BA20</f>
        <v>0</v>
      </c>
      <c r="BC20">
        <v>0</v>
      </c>
      <c r="BD20" t="s">
        <v>418</v>
      </c>
      <c r="BE20" t="s">
        <v>418</v>
      </c>
      <c r="BF20">
        <v>0</v>
      </c>
      <c r="BG20">
        <v>0</v>
      </c>
      <c r="BH20">
        <f>1-BF20/BG20</f>
        <v>0</v>
      </c>
      <c r="BI20">
        <v>0.5</v>
      </c>
      <c r="BJ20">
        <f>CS20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418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f>$B$11*DQ20+$C$11*DR20+$F$11*EC20*(1-EF20)</f>
        <v>0</v>
      </c>
      <c r="CS20">
        <f>CR20*CT20</f>
        <v>0</v>
      </c>
      <c r="CT20">
        <f>($B$11*$D$9+$C$11*$D$9+$F$11*((EP20+EH20)/MAX(EP20+EH20+EQ20, 0.1)*$I$9+EQ20/MAX(EP20+EH20+EQ20, 0.1)*$J$9))/($B$11+$C$11+$F$11)</f>
        <v>0</v>
      </c>
      <c r="CU20">
        <f>($B$11*$K$9+$C$11*$K$9+$F$11*((EP20+EH20)/MAX(EP20+EH20+EQ20, 0.1)*$P$9+EQ20/MAX(EP20+EH20+EQ20, 0.1)*$Q$9))/($B$11+$C$11+$F$11)</f>
        <v>0</v>
      </c>
      <c r="CV20">
        <v>6</v>
      </c>
      <c r="CW20">
        <v>0.5</v>
      </c>
      <c r="CX20" t="s">
        <v>419</v>
      </c>
      <c r="CY20">
        <v>2</v>
      </c>
      <c r="CZ20" t="b">
        <v>1</v>
      </c>
      <c r="DA20">
        <v>1651771890</v>
      </c>
      <c r="DB20">
        <v>446.6916666666667</v>
      </c>
      <c r="DC20">
        <v>456.3197777777779</v>
      </c>
      <c r="DD20">
        <v>26.28777777777778</v>
      </c>
      <c r="DE20">
        <v>22.11374444444445</v>
      </c>
      <c r="DF20">
        <v>448.5238888888889</v>
      </c>
      <c r="DG20">
        <v>26.16471111111111</v>
      </c>
      <c r="DH20">
        <v>500.0326666666667</v>
      </c>
      <c r="DI20">
        <v>90.30785555555556</v>
      </c>
      <c r="DJ20">
        <v>0.09998936666666666</v>
      </c>
      <c r="DK20">
        <v>28.95655555555555</v>
      </c>
      <c r="DL20">
        <v>28.38188888888889</v>
      </c>
      <c r="DM20">
        <v>999.9000000000001</v>
      </c>
      <c r="DN20">
        <v>0</v>
      </c>
      <c r="DO20">
        <v>0</v>
      </c>
      <c r="DP20">
        <v>10003.68333333333</v>
      </c>
      <c r="DQ20">
        <v>0</v>
      </c>
      <c r="DR20">
        <v>13.26358888888889</v>
      </c>
      <c r="DS20">
        <v>-9.627958888888891</v>
      </c>
      <c r="DT20">
        <v>458.7513333333333</v>
      </c>
      <c r="DU20">
        <v>466.639</v>
      </c>
      <c r="DV20">
        <v>4.174032222222221</v>
      </c>
      <c r="DW20">
        <v>456.3197777777779</v>
      </c>
      <c r="DX20">
        <v>22.11374444444445</v>
      </c>
      <c r="DY20">
        <v>2.373995555555556</v>
      </c>
      <c r="DZ20">
        <v>1.997046666666667</v>
      </c>
      <c r="EA20">
        <v>20.18746666666667</v>
      </c>
      <c r="EB20">
        <v>17.42093333333333</v>
      </c>
      <c r="EC20">
        <v>1499.937777777778</v>
      </c>
      <c r="ED20">
        <v>0.9729903333333334</v>
      </c>
      <c r="EE20">
        <v>0.02700952222222222</v>
      </c>
      <c r="EF20">
        <v>0</v>
      </c>
      <c r="EG20">
        <v>2.276511111111111</v>
      </c>
      <c r="EH20">
        <v>0</v>
      </c>
      <c r="EI20">
        <v>16708.21111111111</v>
      </c>
      <c r="EJ20">
        <v>12532.82222222222</v>
      </c>
      <c r="EK20">
        <v>36.812</v>
      </c>
      <c r="EL20">
        <v>38.333</v>
      </c>
      <c r="EM20">
        <v>37.222</v>
      </c>
      <c r="EN20">
        <v>37.687</v>
      </c>
      <c r="EO20">
        <v>36.625</v>
      </c>
      <c r="EP20">
        <v>1459.427777777778</v>
      </c>
      <c r="EQ20">
        <v>40.51</v>
      </c>
      <c r="ER20">
        <v>0</v>
      </c>
      <c r="ES20">
        <v>1651771893.8</v>
      </c>
      <c r="ET20">
        <v>0</v>
      </c>
      <c r="EU20">
        <v>2.322596153846153</v>
      </c>
      <c r="EV20">
        <v>0.07217435238307773</v>
      </c>
      <c r="EW20">
        <v>-129.080341843507</v>
      </c>
      <c r="EX20">
        <v>16718.76153846154</v>
      </c>
      <c r="EY20">
        <v>15</v>
      </c>
      <c r="EZ20">
        <v>0</v>
      </c>
      <c r="FA20" t="s">
        <v>420</v>
      </c>
      <c r="FB20">
        <v>1651697511.6</v>
      </c>
      <c r="FC20">
        <v>1651697666.1</v>
      </c>
      <c r="FD20">
        <v>0</v>
      </c>
      <c r="FE20">
        <v>-0.019</v>
      </c>
      <c r="FF20">
        <v>0.013</v>
      </c>
      <c r="FG20">
        <v>-2.121</v>
      </c>
      <c r="FH20">
        <v>0.041</v>
      </c>
      <c r="FI20">
        <v>420</v>
      </c>
      <c r="FJ20">
        <v>22</v>
      </c>
      <c r="FK20">
        <v>1.72</v>
      </c>
      <c r="FL20">
        <v>0.27</v>
      </c>
      <c r="FM20">
        <v>-19.40069097560976</v>
      </c>
      <c r="FN20">
        <v>57.86297213395365</v>
      </c>
      <c r="FO20">
        <v>6.149154187636368</v>
      </c>
      <c r="FP20">
        <v>0</v>
      </c>
      <c r="FQ20">
        <v>4.142620731707317</v>
      </c>
      <c r="FR20">
        <v>0.2431666871731167</v>
      </c>
      <c r="FS20">
        <v>0.02384366330814984</v>
      </c>
      <c r="FT20">
        <v>1</v>
      </c>
      <c r="FU20">
        <v>0</v>
      </c>
      <c r="FV20">
        <v>0</v>
      </c>
      <c r="FW20">
        <v>0</v>
      </c>
      <c r="FX20">
        <v>1</v>
      </c>
      <c r="FY20">
        <v>2</v>
      </c>
      <c r="FZ20">
        <v>3</v>
      </c>
      <c r="GA20" t="s">
        <v>421</v>
      </c>
      <c r="GB20">
        <v>2.98156</v>
      </c>
      <c r="GC20">
        <v>2.70623</v>
      </c>
      <c r="GD20">
        <v>0.0979584</v>
      </c>
      <c r="GE20">
        <v>0.09782349999999999</v>
      </c>
      <c r="GF20">
        <v>0.113432</v>
      </c>
      <c r="GG20">
        <v>0.099194</v>
      </c>
      <c r="GH20">
        <v>28536.1</v>
      </c>
      <c r="GI20">
        <v>28597.6</v>
      </c>
      <c r="GJ20">
        <v>29409.3</v>
      </c>
      <c r="GK20">
        <v>29319.8</v>
      </c>
      <c r="GL20">
        <v>34515</v>
      </c>
      <c r="GM20">
        <v>35158.8</v>
      </c>
      <c r="GN20">
        <v>41401.1</v>
      </c>
      <c r="GO20">
        <v>41843.9</v>
      </c>
      <c r="GP20">
        <v>1.96305</v>
      </c>
      <c r="GQ20">
        <v>1.86388</v>
      </c>
      <c r="GR20">
        <v>0.08363279999999999</v>
      </c>
      <c r="GS20">
        <v>0</v>
      </c>
      <c r="GT20">
        <v>27.0144</v>
      </c>
      <c r="GU20">
        <v>999.9</v>
      </c>
      <c r="GV20">
        <v>45.1</v>
      </c>
      <c r="GW20">
        <v>35</v>
      </c>
      <c r="GX20">
        <v>28.2089</v>
      </c>
      <c r="GY20">
        <v>63.0107</v>
      </c>
      <c r="GZ20">
        <v>36.3782</v>
      </c>
      <c r="HA20">
        <v>1</v>
      </c>
      <c r="HB20">
        <v>0.0287678</v>
      </c>
      <c r="HC20">
        <v>0</v>
      </c>
      <c r="HD20">
        <v>20.3463</v>
      </c>
      <c r="HE20">
        <v>5.21774</v>
      </c>
      <c r="HF20">
        <v>12.0073</v>
      </c>
      <c r="HG20">
        <v>4.9892</v>
      </c>
      <c r="HH20">
        <v>3.28858</v>
      </c>
      <c r="HI20">
        <v>486.9</v>
      </c>
      <c r="HJ20">
        <v>3583.7</v>
      </c>
      <c r="HK20">
        <v>4564.3</v>
      </c>
      <c r="HL20">
        <v>17.7</v>
      </c>
      <c r="HM20">
        <v>1.86768</v>
      </c>
      <c r="HN20">
        <v>1.86661</v>
      </c>
      <c r="HO20">
        <v>1.86616</v>
      </c>
      <c r="HP20">
        <v>1.86602</v>
      </c>
      <c r="HQ20">
        <v>1.86785</v>
      </c>
      <c r="HR20">
        <v>1.87039</v>
      </c>
      <c r="HS20">
        <v>1.86905</v>
      </c>
      <c r="HT20">
        <v>1.87042</v>
      </c>
      <c r="HU20">
        <v>0</v>
      </c>
      <c r="HV20">
        <v>0</v>
      </c>
      <c r="HW20">
        <v>0</v>
      </c>
      <c r="HX20">
        <v>0</v>
      </c>
      <c r="HY20" t="s">
        <v>422</v>
      </c>
      <c r="HZ20" t="s">
        <v>423</v>
      </c>
      <c r="IA20" t="s">
        <v>424</v>
      </c>
      <c r="IB20" t="s">
        <v>424</v>
      </c>
      <c r="IC20" t="s">
        <v>424</v>
      </c>
      <c r="ID20" t="s">
        <v>424</v>
      </c>
      <c r="IE20">
        <v>0</v>
      </c>
      <c r="IF20">
        <v>100</v>
      </c>
      <c r="IG20">
        <v>100</v>
      </c>
      <c r="IH20">
        <v>-1.823</v>
      </c>
      <c r="II20">
        <v>0.1231</v>
      </c>
      <c r="IJ20">
        <v>-1.064712027753117</v>
      </c>
      <c r="IK20">
        <v>-0.001826611574738555</v>
      </c>
      <c r="IL20">
        <v>3.313362389709971E-07</v>
      </c>
      <c r="IM20">
        <v>-1.629490614973607E-10</v>
      </c>
      <c r="IN20">
        <v>-0.09531406441470595</v>
      </c>
      <c r="IO20">
        <v>-0.008240702679890409</v>
      </c>
      <c r="IP20">
        <v>0.001077697425498046</v>
      </c>
      <c r="IQ20">
        <v>-1.69598232850356E-05</v>
      </c>
      <c r="IR20">
        <v>3</v>
      </c>
      <c r="IS20">
        <v>2280</v>
      </c>
      <c r="IT20">
        <v>1</v>
      </c>
      <c r="IU20">
        <v>25</v>
      </c>
      <c r="IV20">
        <v>1239.7</v>
      </c>
      <c r="IW20">
        <v>1237.1</v>
      </c>
      <c r="IX20">
        <v>1.07544</v>
      </c>
      <c r="IY20">
        <v>2.22046</v>
      </c>
      <c r="IZ20">
        <v>1.39648</v>
      </c>
      <c r="JA20">
        <v>2.35352</v>
      </c>
      <c r="JB20">
        <v>1.49536</v>
      </c>
      <c r="JC20">
        <v>2.30103</v>
      </c>
      <c r="JD20">
        <v>38.7964</v>
      </c>
      <c r="JE20">
        <v>24.0525</v>
      </c>
      <c r="JF20">
        <v>18</v>
      </c>
      <c r="JG20">
        <v>508.071</v>
      </c>
      <c r="JH20">
        <v>430.293</v>
      </c>
      <c r="JI20">
        <v>27.8475</v>
      </c>
      <c r="JJ20">
        <v>27.7617</v>
      </c>
      <c r="JK20">
        <v>30.0001</v>
      </c>
      <c r="JL20">
        <v>27.7032</v>
      </c>
      <c r="JM20">
        <v>27.643</v>
      </c>
      <c r="JN20">
        <v>21.5428</v>
      </c>
      <c r="JO20">
        <v>26.356</v>
      </c>
      <c r="JP20">
        <v>0</v>
      </c>
      <c r="JQ20">
        <v>-999.9</v>
      </c>
      <c r="JR20">
        <v>426.457</v>
      </c>
      <c r="JS20">
        <v>22.0597</v>
      </c>
      <c r="JT20">
        <v>100.536</v>
      </c>
      <c r="JU20">
        <v>100.433</v>
      </c>
    </row>
    <row r="21" spans="1:281">
      <c r="A21">
        <v>5</v>
      </c>
      <c r="B21">
        <v>1651771897.5</v>
      </c>
      <c r="C21">
        <v>19.90000009536743</v>
      </c>
      <c r="D21" t="s">
        <v>431</v>
      </c>
      <c r="E21" t="s">
        <v>432</v>
      </c>
      <c r="F21">
        <v>5</v>
      </c>
      <c r="H21" t="s">
        <v>417</v>
      </c>
      <c r="I21">
        <v>1651771894.7</v>
      </c>
      <c r="J21">
        <f>(K21)/1000</f>
        <v>0</v>
      </c>
      <c r="K21">
        <f>IF(CZ21, AN21, AH21)</f>
        <v>0</v>
      </c>
      <c r="L21">
        <f>IF(CZ21, AI21, AG21)</f>
        <v>0</v>
      </c>
      <c r="M21">
        <f>DB21 - IF(AU21&gt;1, L21*CV21*100.0/(AW21*DP21), 0)</f>
        <v>0</v>
      </c>
      <c r="N21">
        <f>((T21-J21/2)*M21-L21)/(T21+J21/2)</f>
        <v>0</v>
      </c>
      <c r="O21">
        <f>N21*(DI21+DJ21)/1000.0</f>
        <v>0</v>
      </c>
      <c r="P21">
        <f>(DB21 - IF(AU21&gt;1, L21*CV21*100.0/(AW21*DP21), 0))*(DI21+DJ21)/1000.0</f>
        <v>0</v>
      </c>
      <c r="Q21">
        <f>2.0/((1/S21-1/R21)+SIGN(S21)*SQRT((1/S21-1/R21)*(1/S21-1/R21) + 4*CW21/((CW21+1)*(CW21+1))*(2*1/S21*1/R21-1/R21*1/R21)))</f>
        <v>0</v>
      </c>
      <c r="R21">
        <f>IF(LEFT(CX21,1)&lt;&gt;"0",IF(LEFT(CX21,1)="1",3.0,CY21),$D$5+$E$5*(DP21*DI21/($K$5*1000))+$F$5*(DP21*DI21/($K$5*1000))*MAX(MIN(CV21,$J$5),$I$5)*MAX(MIN(CV21,$J$5),$I$5)+$G$5*MAX(MIN(CV21,$J$5),$I$5)*(DP21*DI21/($K$5*1000))+$H$5*(DP21*DI21/($K$5*1000))*(DP21*DI21/($K$5*1000)))</f>
        <v>0</v>
      </c>
      <c r="S21">
        <f>J21*(1000-(1000*0.61365*exp(17.502*W21/(240.97+W21))/(DI21+DJ21)+DD21)/2)/(1000*0.61365*exp(17.502*W21/(240.97+W21))/(DI21+DJ21)-DD21)</f>
        <v>0</v>
      </c>
      <c r="T21">
        <f>1/((CW21+1)/(Q21/1.6)+1/(R21/1.37)) + CW21/((CW21+1)/(Q21/1.6) + CW21/(R21/1.37))</f>
        <v>0</v>
      </c>
      <c r="U21">
        <f>(CR21*CU21)</f>
        <v>0</v>
      </c>
      <c r="V21">
        <f>(DK21+(U21+2*0.95*5.67E-8*(((DK21+$B$7)+273)^4-(DK21+273)^4)-44100*J21)/(1.84*29.3*R21+8*0.95*5.67E-8*(DK21+273)^3))</f>
        <v>0</v>
      </c>
      <c r="W21">
        <f>($C$7*DL21+$D$7*DM21+$E$7*V21)</f>
        <v>0</v>
      </c>
      <c r="X21">
        <f>0.61365*exp(17.502*W21/(240.97+W21))</f>
        <v>0</v>
      </c>
      <c r="Y21">
        <f>(Z21/AA21*100)</f>
        <v>0</v>
      </c>
      <c r="Z21">
        <f>DD21*(DI21+DJ21)/1000</f>
        <v>0</v>
      </c>
      <c r="AA21">
        <f>0.61365*exp(17.502*DK21/(240.97+DK21))</f>
        <v>0</v>
      </c>
      <c r="AB21">
        <f>(X21-DD21*(DI21+DJ21)/1000)</f>
        <v>0</v>
      </c>
      <c r="AC21">
        <f>(-J21*44100)</f>
        <v>0</v>
      </c>
      <c r="AD21">
        <f>2*29.3*R21*0.92*(DK21-W21)</f>
        <v>0</v>
      </c>
      <c r="AE21">
        <f>2*0.95*5.67E-8*(((DK21+$B$7)+273)^4-(W21+273)^4)</f>
        <v>0</v>
      </c>
      <c r="AF21">
        <f>U21+AE21+AC21+AD21</f>
        <v>0</v>
      </c>
      <c r="AG21">
        <f>DH21*AU21*(DC21-DB21*(1000-AU21*DE21)/(1000-AU21*DD21))/(100*CV21)</f>
        <v>0</v>
      </c>
      <c r="AH21">
        <f>1000*DH21*AU21*(DD21-DE21)/(100*CV21*(1000-AU21*DD21))</f>
        <v>0</v>
      </c>
      <c r="AI21">
        <f>(AJ21 - AK21 - DI21*1E3/(8.314*(DK21+273.15)) * AM21/DH21 * AL21) * DH21/(100*CV21) * (1000 - DE21)/1000</f>
        <v>0</v>
      </c>
      <c r="AJ21">
        <v>450.8750508290359</v>
      </c>
      <c r="AK21">
        <v>441.3624787878786</v>
      </c>
      <c r="AL21">
        <v>-2.721473339349399</v>
      </c>
      <c r="AM21">
        <v>66.72507702095443</v>
      </c>
      <c r="AN21">
        <f>(AP21 - AO21 + DI21*1E3/(8.314*(DK21+273.15)) * AR21/DH21 * AQ21) * DH21/(100*CV21) * 1000/(1000 - AP21)</f>
        <v>0</v>
      </c>
      <c r="AO21">
        <v>22.11106101802158</v>
      </c>
      <c r="AP21">
        <v>26.30700181818181</v>
      </c>
      <c r="AQ21">
        <v>0.0002510386930521681</v>
      </c>
      <c r="AR21">
        <v>78.22078291278521</v>
      </c>
      <c r="AS21">
        <v>1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MAX(0,($B$13+$C$13*DP21)/(1+$D$13*DP21)*DI21/(DK21+273)*$E$13)</f>
        <v>0</v>
      </c>
      <c r="AX21" t="s">
        <v>418</v>
      </c>
      <c r="AY21" t="s">
        <v>418</v>
      </c>
      <c r="AZ21">
        <v>0</v>
      </c>
      <c r="BA21">
        <v>0</v>
      </c>
      <c r="BB21">
        <f>1-AZ21/BA21</f>
        <v>0</v>
      </c>
      <c r="BC21">
        <v>0</v>
      </c>
      <c r="BD21" t="s">
        <v>418</v>
      </c>
      <c r="BE21" t="s">
        <v>418</v>
      </c>
      <c r="BF21">
        <v>0</v>
      </c>
      <c r="BG21">
        <v>0</v>
      </c>
      <c r="BH21">
        <f>1-BF21/BG21</f>
        <v>0</v>
      </c>
      <c r="BI21">
        <v>0.5</v>
      </c>
      <c r="BJ21">
        <f>CS21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418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f>$B$11*DQ21+$C$11*DR21+$F$11*EC21*(1-EF21)</f>
        <v>0</v>
      </c>
      <c r="CS21">
        <f>CR21*CT21</f>
        <v>0</v>
      </c>
      <c r="CT21">
        <f>($B$11*$D$9+$C$11*$D$9+$F$11*((EP21+EH21)/MAX(EP21+EH21+EQ21, 0.1)*$I$9+EQ21/MAX(EP21+EH21+EQ21, 0.1)*$J$9))/($B$11+$C$11+$F$11)</f>
        <v>0</v>
      </c>
      <c r="CU21">
        <f>($B$11*$K$9+$C$11*$K$9+$F$11*((EP21+EH21)/MAX(EP21+EH21+EQ21, 0.1)*$P$9+EQ21/MAX(EP21+EH21+EQ21, 0.1)*$Q$9))/($B$11+$C$11+$F$11)</f>
        <v>0</v>
      </c>
      <c r="CV21">
        <v>6</v>
      </c>
      <c r="CW21">
        <v>0.5</v>
      </c>
      <c r="CX21" t="s">
        <v>419</v>
      </c>
      <c r="CY21">
        <v>2</v>
      </c>
      <c r="CZ21" t="b">
        <v>1</v>
      </c>
      <c r="DA21">
        <v>1651771894.7</v>
      </c>
      <c r="DB21">
        <v>435.8339</v>
      </c>
      <c r="DC21">
        <v>441.0292000000001</v>
      </c>
      <c r="DD21">
        <v>26.30027</v>
      </c>
      <c r="DE21">
        <v>22.11068</v>
      </c>
      <c r="DF21">
        <v>437.6485</v>
      </c>
      <c r="DG21">
        <v>26.17702</v>
      </c>
      <c r="DH21">
        <v>500.0548</v>
      </c>
      <c r="DI21">
        <v>90.30980000000001</v>
      </c>
      <c r="DJ21">
        <v>0.10002808</v>
      </c>
      <c r="DK21">
        <v>28.96047</v>
      </c>
      <c r="DL21">
        <v>28.37627</v>
      </c>
      <c r="DM21">
        <v>999.9</v>
      </c>
      <c r="DN21">
        <v>0</v>
      </c>
      <c r="DO21">
        <v>0</v>
      </c>
      <c r="DP21">
        <v>10003.125</v>
      </c>
      <c r="DQ21">
        <v>0</v>
      </c>
      <c r="DR21">
        <v>12.87533</v>
      </c>
      <c r="DS21">
        <v>-5.195303</v>
      </c>
      <c r="DT21">
        <v>447.6061</v>
      </c>
      <c r="DU21">
        <v>451.0013</v>
      </c>
      <c r="DV21">
        <v>4.189581</v>
      </c>
      <c r="DW21">
        <v>441.0292000000001</v>
      </c>
      <c r="DX21">
        <v>22.11068</v>
      </c>
      <c r="DY21">
        <v>2.375173</v>
      </c>
      <c r="DZ21">
        <v>1.996811</v>
      </c>
      <c r="EA21">
        <v>20.19548</v>
      </c>
      <c r="EB21">
        <v>17.41907</v>
      </c>
      <c r="EC21">
        <v>1500.023</v>
      </c>
      <c r="ED21">
        <v>0.9729914000000001</v>
      </c>
      <c r="EE21">
        <v>0.02700858</v>
      </c>
      <c r="EF21">
        <v>0</v>
      </c>
      <c r="EG21">
        <v>2.21157</v>
      </c>
      <c r="EH21">
        <v>0</v>
      </c>
      <c r="EI21">
        <v>16669.1</v>
      </c>
      <c r="EJ21">
        <v>12533.52</v>
      </c>
      <c r="EK21">
        <v>36.7996</v>
      </c>
      <c r="EL21">
        <v>38.3372</v>
      </c>
      <c r="EM21">
        <v>37.187</v>
      </c>
      <c r="EN21">
        <v>37.687</v>
      </c>
      <c r="EO21">
        <v>36.625</v>
      </c>
      <c r="EP21">
        <v>1459.512</v>
      </c>
      <c r="EQ21">
        <v>40.511</v>
      </c>
      <c r="ER21">
        <v>0</v>
      </c>
      <c r="ES21">
        <v>1651771898.6</v>
      </c>
      <c r="ET21">
        <v>0</v>
      </c>
      <c r="EU21">
        <v>2.267034615384616</v>
      </c>
      <c r="EV21">
        <v>-0.5629162308903782</v>
      </c>
      <c r="EW21">
        <v>-357.1213673210748</v>
      </c>
      <c r="EX21">
        <v>16697.53846153846</v>
      </c>
      <c r="EY21">
        <v>15</v>
      </c>
      <c r="EZ21">
        <v>0</v>
      </c>
      <c r="FA21" t="s">
        <v>420</v>
      </c>
      <c r="FB21">
        <v>1651697511.6</v>
      </c>
      <c r="FC21">
        <v>1651697666.1</v>
      </c>
      <c r="FD21">
        <v>0</v>
      </c>
      <c r="FE21">
        <v>-0.019</v>
      </c>
      <c r="FF21">
        <v>0.013</v>
      </c>
      <c r="FG21">
        <v>-2.121</v>
      </c>
      <c r="FH21">
        <v>0.041</v>
      </c>
      <c r="FI21">
        <v>420</v>
      </c>
      <c r="FJ21">
        <v>22</v>
      </c>
      <c r="FK21">
        <v>1.72</v>
      </c>
      <c r="FL21">
        <v>0.27</v>
      </c>
      <c r="FM21">
        <v>-15.17057341463414</v>
      </c>
      <c r="FN21">
        <v>76.38911449161671</v>
      </c>
      <c r="FO21">
        <v>7.598595648808775</v>
      </c>
      <c r="FP21">
        <v>0</v>
      </c>
      <c r="FQ21">
        <v>4.160044146341463</v>
      </c>
      <c r="FR21">
        <v>0.2247179501062735</v>
      </c>
      <c r="FS21">
        <v>0.02206948461338723</v>
      </c>
      <c r="FT21">
        <v>1</v>
      </c>
      <c r="FU21">
        <v>0</v>
      </c>
      <c r="FV21">
        <v>0</v>
      </c>
      <c r="FW21">
        <v>0</v>
      </c>
      <c r="FX21">
        <v>1</v>
      </c>
      <c r="FY21">
        <v>2</v>
      </c>
      <c r="FZ21">
        <v>3</v>
      </c>
      <c r="GA21" t="s">
        <v>421</v>
      </c>
      <c r="GB21">
        <v>2.9817</v>
      </c>
      <c r="GC21">
        <v>2.70627</v>
      </c>
      <c r="GD21">
        <v>0.0957721</v>
      </c>
      <c r="GE21">
        <v>0.0950968</v>
      </c>
      <c r="GF21">
        <v>0.113479</v>
      </c>
      <c r="GG21">
        <v>0.0991814</v>
      </c>
      <c r="GH21">
        <v>28604.6</v>
      </c>
      <c r="GI21">
        <v>28683.8</v>
      </c>
      <c r="GJ21">
        <v>29408.6</v>
      </c>
      <c r="GK21">
        <v>29319.5</v>
      </c>
      <c r="GL21">
        <v>34512.3</v>
      </c>
      <c r="GM21">
        <v>35159.1</v>
      </c>
      <c r="GN21">
        <v>41400.1</v>
      </c>
      <c r="GO21">
        <v>41843.7</v>
      </c>
      <c r="GP21">
        <v>1.96318</v>
      </c>
      <c r="GQ21">
        <v>1.864</v>
      </c>
      <c r="GR21">
        <v>0.0830293</v>
      </c>
      <c r="GS21">
        <v>0</v>
      </c>
      <c r="GT21">
        <v>27.0171</v>
      </c>
      <c r="GU21">
        <v>999.9</v>
      </c>
      <c r="GV21">
        <v>45.1</v>
      </c>
      <c r="GW21">
        <v>35</v>
      </c>
      <c r="GX21">
        <v>28.2076</v>
      </c>
      <c r="GY21">
        <v>62.8708</v>
      </c>
      <c r="GZ21">
        <v>36.3341</v>
      </c>
      <c r="HA21">
        <v>1</v>
      </c>
      <c r="HB21">
        <v>0.0287043</v>
      </c>
      <c r="HC21">
        <v>0</v>
      </c>
      <c r="HD21">
        <v>20.3465</v>
      </c>
      <c r="HE21">
        <v>5.21744</v>
      </c>
      <c r="HF21">
        <v>12.0077</v>
      </c>
      <c r="HG21">
        <v>4.98905</v>
      </c>
      <c r="HH21">
        <v>3.28858</v>
      </c>
      <c r="HI21">
        <v>487.1</v>
      </c>
      <c r="HJ21">
        <v>3585</v>
      </c>
      <c r="HK21">
        <v>4564.3</v>
      </c>
      <c r="HL21">
        <v>17.7</v>
      </c>
      <c r="HM21">
        <v>1.86768</v>
      </c>
      <c r="HN21">
        <v>1.86662</v>
      </c>
      <c r="HO21">
        <v>1.86616</v>
      </c>
      <c r="HP21">
        <v>1.86601</v>
      </c>
      <c r="HQ21">
        <v>1.86785</v>
      </c>
      <c r="HR21">
        <v>1.8704</v>
      </c>
      <c r="HS21">
        <v>1.86905</v>
      </c>
      <c r="HT21">
        <v>1.87042</v>
      </c>
      <c r="HU21">
        <v>0</v>
      </c>
      <c r="HV21">
        <v>0</v>
      </c>
      <c r="HW21">
        <v>0</v>
      </c>
      <c r="HX21">
        <v>0</v>
      </c>
      <c r="HY21" t="s">
        <v>422</v>
      </c>
      <c r="HZ21" t="s">
        <v>423</v>
      </c>
      <c r="IA21" t="s">
        <v>424</v>
      </c>
      <c r="IB21" t="s">
        <v>424</v>
      </c>
      <c r="IC21" t="s">
        <v>424</v>
      </c>
      <c r="ID21" t="s">
        <v>424</v>
      </c>
      <c r="IE21">
        <v>0</v>
      </c>
      <c r="IF21">
        <v>100</v>
      </c>
      <c r="IG21">
        <v>100</v>
      </c>
      <c r="IH21">
        <v>-1.802</v>
      </c>
      <c r="II21">
        <v>0.1233</v>
      </c>
      <c r="IJ21">
        <v>-1.064712027753117</v>
      </c>
      <c r="IK21">
        <v>-0.001826611574738555</v>
      </c>
      <c r="IL21">
        <v>3.313362389709971E-07</v>
      </c>
      <c r="IM21">
        <v>-1.629490614973607E-10</v>
      </c>
      <c r="IN21">
        <v>-0.09531406441470595</v>
      </c>
      <c r="IO21">
        <v>-0.008240702679890409</v>
      </c>
      <c r="IP21">
        <v>0.001077697425498046</v>
      </c>
      <c r="IQ21">
        <v>-1.69598232850356E-05</v>
      </c>
      <c r="IR21">
        <v>3</v>
      </c>
      <c r="IS21">
        <v>2280</v>
      </c>
      <c r="IT21">
        <v>1</v>
      </c>
      <c r="IU21">
        <v>25</v>
      </c>
      <c r="IV21">
        <v>1239.8</v>
      </c>
      <c r="IW21">
        <v>1237.2</v>
      </c>
      <c r="IX21">
        <v>1.04492</v>
      </c>
      <c r="IY21">
        <v>2.22168</v>
      </c>
      <c r="IZ21">
        <v>1.39648</v>
      </c>
      <c r="JA21">
        <v>2.35352</v>
      </c>
      <c r="JB21">
        <v>1.49536</v>
      </c>
      <c r="JC21">
        <v>2.34131</v>
      </c>
      <c r="JD21">
        <v>38.7964</v>
      </c>
      <c r="JE21">
        <v>24.0525</v>
      </c>
      <c r="JF21">
        <v>18</v>
      </c>
      <c r="JG21">
        <v>508.16</v>
      </c>
      <c r="JH21">
        <v>430.369</v>
      </c>
      <c r="JI21">
        <v>27.8539</v>
      </c>
      <c r="JJ21">
        <v>27.7633</v>
      </c>
      <c r="JK21">
        <v>30.0002</v>
      </c>
      <c r="JL21">
        <v>27.7042</v>
      </c>
      <c r="JM21">
        <v>27.6431</v>
      </c>
      <c r="JN21">
        <v>20.9289</v>
      </c>
      <c r="JO21">
        <v>26.356</v>
      </c>
      <c r="JP21">
        <v>0</v>
      </c>
      <c r="JQ21">
        <v>-999.9</v>
      </c>
      <c r="JR21">
        <v>406.42</v>
      </c>
      <c r="JS21">
        <v>22.0193</v>
      </c>
      <c r="JT21">
        <v>100.533</v>
      </c>
      <c r="JU21">
        <v>100.432</v>
      </c>
    </row>
    <row r="22" spans="1:281">
      <c r="A22">
        <v>6</v>
      </c>
      <c r="B22">
        <v>1651771902.5</v>
      </c>
      <c r="C22">
        <v>24.90000009536743</v>
      </c>
      <c r="D22" t="s">
        <v>433</v>
      </c>
      <c r="E22" t="s">
        <v>434</v>
      </c>
      <c r="F22">
        <v>5</v>
      </c>
      <c r="H22" t="s">
        <v>417</v>
      </c>
      <c r="I22">
        <v>1651771900</v>
      </c>
      <c r="J22">
        <f>(K22)/1000</f>
        <v>0</v>
      </c>
      <c r="K22">
        <f>IF(CZ22, AN22, AH22)</f>
        <v>0</v>
      </c>
      <c r="L22">
        <f>IF(CZ22, AI22, AG22)</f>
        <v>0</v>
      </c>
      <c r="M22">
        <f>DB22 - IF(AU22&gt;1, L22*CV22*100.0/(AW22*DP22), 0)</f>
        <v>0</v>
      </c>
      <c r="N22">
        <f>((T22-J22/2)*M22-L22)/(T22+J22/2)</f>
        <v>0</v>
      </c>
      <c r="O22">
        <f>N22*(DI22+DJ22)/1000.0</f>
        <v>0</v>
      </c>
      <c r="P22">
        <f>(DB22 - IF(AU22&gt;1, L22*CV22*100.0/(AW22*DP22), 0))*(DI22+DJ22)/1000.0</f>
        <v>0</v>
      </c>
      <c r="Q22">
        <f>2.0/((1/S22-1/R22)+SIGN(S22)*SQRT((1/S22-1/R22)*(1/S22-1/R22) + 4*CW22/((CW22+1)*(CW22+1))*(2*1/S22*1/R22-1/R22*1/R22)))</f>
        <v>0</v>
      </c>
      <c r="R22">
        <f>IF(LEFT(CX22,1)&lt;&gt;"0",IF(LEFT(CX22,1)="1",3.0,CY22),$D$5+$E$5*(DP22*DI22/($K$5*1000))+$F$5*(DP22*DI22/($K$5*1000))*MAX(MIN(CV22,$J$5),$I$5)*MAX(MIN(CV22,$J$5),$I$5)+$G$5*MAX(MIN(CV22,$J$5),$I$5)*(DP22*DI22/($K$5*1000))+$H$5*(DP22*DI22/($K$5*1000))*(DP22*DI22/($K$5*1000)))</f>
        <v>0</v>
      </c>
      <c r="S22">
        <f>J22*(1000-(1000*0.61365*exp(17.502*W22/(240.97+W22))/(DI22+DJ22)+DD22)/2)/(1000*0.61365*exp(17.502*W22/(240.97+W22))/(DI22+DJ22)-DD22)</f>
        <v>0</v>
      </c>
      <c r="T22">
        <f>1/((CW22+1)/(Q22/1.6)+1/(R22/1.37)) + CW22/((CW22+1)/(Q22/1.6) + CW22/(R22/1.37))</f>
        <v>0</v>
      </c>
      <c r="U22">
        <f>(CR22*CU22)</f>
        <v>0</v>
      </c>
      <c r="V22">
        <f>(DK22+(U22+2*0.95*5.67E-8*(((DK22+$B$7)+273)^4-(DK22+273)^4)-44100*J22)/(1.84*29.3*R22+8*0.95*5.67E-8*(DK22+273)^3))</f>
        <v>0</v>
      </c>
      <c r="W22">
        <f>($C$7*DL22+$D$7*DM22+$E$7*V22)</f>
        <v>0</v>
      </c>
      <c r="X22">
        <f>0.61365*exp(17.502*W22/(240.97+W22))</f>
        <v>0</v>
      </c>
      <c r="Y22">
        <f>(Z22/AA22*100)</f>
        <v>0</v>
      </c>
      <c r="Z22">
        <f>DD22*(DI22+DJ22)/1000</f>
        <v>0</v>
      </c>
      <c r="AA22">
        <f>0.61365*exp(17.502*DK22/(240.97+DK22))</f>
        <v>0</v>
      </c>
      <c r="AB22">
        <f>(X22-DD22*(DI22+DJ22)/1000)</f>
        <v>0</v>
      </c>
      <c r="AC22">
        <f>(-J22*44100)</f>
        <v>0</v>
      </c>
      <c r="AD22">
        <f>2*29.3*R22*0.92*(DK22-W22)</f>
        <v>0</v>
      </c>
      <c r="AE22">
        <f>2*0.95*5.67E-8*(((DK22+$B$7)+273)^4-(W22+273)^4)</f>
        <v>0</v>
      </c>
      <c r="AF22">
        <f>U22+AE22+AC22+AD22</f>
        <v>0</v>
      </c>
      <c r="AG22">
        <f>DH22*AU22*(DC22-DB22*(1000-AU22*DE22)/(1000-AU22*DD22))/(100*CV22)</f>
        <v>0</v>
      </c>
      <c r="AH22">
        <f>1000*DH22*AU22*(DD22-DE22)/(100*CV22*(1000-AU22*DD22))</f>
        <v>0</v>
      </c>
      <c r="AI22">
        <f>(AJ22 - AK22 - DI22*1E3/(8.314*(DK22+273.15)) * AM22/DH22 * AL22) * DH22/(100*CV22) * (1000 - DE22)/1000</f>
        <v>0</v>
      </c>
      <c r="AJ22">
        <v>433.9331621381087</v>
      </c>
      <c r="AK22">
        <v>426.4299151515152</v>
      </c>
      <c r="AL22">
        <v>-3.024476851885525</v>
      </c>
      <c r="AM22">
        <v>66.72507702095443</v>
      </c>
      <c r="AN22">
        <f>(AP22 - AO22 + DI22*1E3/(8.314*(DK22+273.15)) * AR22/DH22 * AQ22) * DH22/(100*CV22) * 1000/(1000 - AP22)</f>
        <v>0</v>
      </c>
      <c r="AO22">
        <v>22.10488476966029</v>
      </c>
      <c r="AP22">
        <v>26.32314424242424</v>
      </c>
      <c r="AQ22">
        <v>0.0001883708462520066</v>
      </c>
      <c r="AR22">
        <v>78.22078291278521</v>
      </c>
      <c r="AS22">
        <v>1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MAX(0,($B$13+$C$13*DP22)/(1+$D$13*DP22)*DI22/(DK22+273)*$E$13)</f>
        <v>0</v>
      </c>
      <c r="AX22" t="s">
        <v>418</v>
      </c>
      <c r="AY22" t="s">
        <v>418</v>
      </c>
      <c r="AZ22">
        <v>0</v>
      </c>
      <c r="BA22">
        <v>0</v>
      </c>
      <c r="BB22">
        <f>1-AZ22/BA22</f>
        <v>0</v>
      </c>
      <c r="BC22">
        <v>0</v>
      </c>
      <c r="BD22" t="s">
        <v>418</v>
      </c>
      <c r="BE22" t="s">
        <v>418</v>
      </c>
      <c r="BF22">
        <v>0</v>
      </c>
      <c r="BG22">
        <v>0</v>
      </c>
      <c r="BH22">
        <f>1-BF22/BG22</f>
        <v>0</v>
      </c>
      <c r="BI22">
        <v>0.5</v>
      </c>
      <c r="BJ22">
        <f>CS22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418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f>$B$11*DQ22+$C$11*DR22+$F$11*EC22*(1-EF22)</f>
        <v>0</v>
      </c>
      <c r="CS22">
        <f>CR22*CT22</f>
        <v>0</v>
      </c>
      <c r="CT22">
        <f>($B$11*$D$9+$C$11*$D$9+$F$11*((EP22+EH22)/MAX(EP22+EH22+EQ22, 0.1)*$I$9+EQ22/MAX(EP22+EH22+EQ22, 0.1)*$J$9))/($B$11+$C$11+$F$11)</f>
        <v>0</v>
      </c>
      <c r="CU22">
        <f>($B$11*$K$9+$C$11*$K$9+$F$11*((EP22+EH22)/MAX(EP22+EH22+EQ22, 0.1)*$P$9+EQ22/MAX(EP22+EH22+EQ22, 0.1)*$Q$9))/($B$11+$C$11+$F$11)</f>
        <v>0</v>
      </c>
      <c r="CV22">
        <v>6</v>
      </c>
      <c r="CW22">
        <v>0.5</v>
      </c>
      <c r="CX22" t="s">
        <v>419</v>
      </c>
      <c r="CY22">
        <v>2</v>
      </c>
      <c r="CZ22" t="b">
        <v>1</v>
      </c>
      <c r="DA22">
        <v>1651771900</v>
      </c>
      <c r="DB22">
        <v>421.1108888888889</v>
      </c>
      <c r="DC22">
        <v>423.4743333333333</v>
      </c>
      <c r="DD22">
        <v>26.31686666666667</v>
      </c>
      <c r="DE22">
        <v>22.10494444444445</v>
      </c>
      <c r="DF22">
        <v>422.9010000000001</v>
      </c>
      <c r="DG22">
        <v>26.19341111111111</v>
      </c>
      <c r="DH22">
        <v>500.0481111111111</v>
      </c>
      <c r="DI22">
        <v>90.31074444444444</v>
      </c>
      <c r="DJ22">
        <v>0.1000003777777778</v>
      </c>
      <c r="DK22">
        <v>28.96697777777778</v>
      </c>
      <c r="DL22">
        <v>28.37925555555556</v>
      </c>
      <c r="DM22">
        <v>999.9000000000001</v>
      </c>
      <c r="DN22">
        <v>0</v>
      </c>
      <c r="DO22">
        <v>0</v>
      </c>
      <c r="DP22">
        <v>9995.416666666666</v>
      </c>
      <c r="DQ22">
        <v>0</v>
      </c>
      <c r="DR22">
        <v>12.50757777777778</v>
      </c>
      <c r="DS22">
        <v>-2.363393333333333</v>
      </c>
      <c r="DT22">
        <v>432.4924444444444</v>
      </c>
      <c r="DU22">
        <v>433.0467777777778</v>
      </c>
      <c r="DV22">
        <v>4.211915555555555</v>
      </c>
      <c r="DW22">
        <v>423.4743333333333</v>
      </c>
      <c r="DX22">
        <v>22.10494444444445</v>
      </c>
      <c r="DY22">
        <v>2.376696666666666</v>
      </c>
      <c r="DZ22">
        <v>1.996314444444444</v>
      </c>
      <c r="EA22">
        <v>20.20587777777778</v>
      </c>
      <c r="EB22">
        <v>17.41513333333333</v>
      </c>
      <c r="EC22">
        <v>1499.944444444444</v>
      </c>
      <c r="ED22">
        <v>0.9729903333333334</v>
      </c>
      <c r="EE22">
        <v>0.02700952222222222</v>
      </c>
      <c r="EF22">
        <v>0</v>
      </c>
      <c r="EG22">
        <v>2.460988888888889</v>
      </c>
      <c r="EH22">
        <v>0</v>
      </c>
      <c r="EI22">
        <v>16584.41111111111</v>
      </c>
      <c r="EJ22">
        <v>12532.85555555556</v>
      </c>
      <c r="EK22">
        <v>36.77066666666667</v>
      </c>
      <c r="EL22">
        <v>38.312</v>
      </c>
      <c r="EM22">
        <v>37.187</v>
      </c>
      <c r="EN22">
        <v>37.65944444444445</v>
      </c>
      <c r="EO22">
        <v>36.611</v>
      </c>
      <c r="EP22">
        <v>1459.434444444444</v>
      </c>
      <c r="EQ22">
        <v>40.51</v>
      </c>
      <c r="ER22">
        <v>0</v>
      </c>
      <c r="ES22">
        <v>1651771903.4</v>
      </c>
      <c r="ET22">
        <v>0</v>
      </c>
      <c r="EU22">
        <v>2.304496153846154</v>
      </c>
      <c r="EV22">
        <v>0.6441333451083989</v>
      </c>
      <c r="EW22">
        <v>-730.2393165747646</v>
      </c>
      <c r="EX22">
        <v>16653.66538461539</v>
      </c>
      <c r="EY22">
        <v>15</v>
      </c>
      <c r="EZ22">
        <v>0</v>
      </c>
      <c r="FA22" t="s">
        <v>420</v>
      </c>
      <c r="FB22">
        <v>1651697511.6</v>
      </c>
      <c r="FC22">
        <v>1651697666.1</v>
      </c>
      <c r="FD22">
        <v>0</v>
      </c>
      <c r="FE22">
        <v>-0.019</v>
      </c>
      <c r="FF22">
        <v>0.013</v>
      </c>
      <c r="FG22">
        <v>-2.121</v>
      </c>
      <c r="FH22">
        <v>0.041</v>
      </c>
      <c r="FI22">
        <v>420</v>
      </c>
      <c r="FJ22">
        <v>22</v>
      </c>
      <c r="FK22">
        <v>1.72</v>
      </c>
      <c r="FL22">
        <v>0.27</v>
      </c>
      <c r="FM22">
        <v>-9.827467073170732</v>
      </c>
      <c r="FN22">
        <v>66.59713125863166</v>
      </c>
      <c r="FO22">
        <v>6.765177452751392</v>
      </c>
      <c r="FP22">
        <v>0</v>
      </c>
      <c r="FQ22">
        <v>4.179219756097561</v>
      </c>
      <c r="FR22">
        <v>0.2239108537288884</v>
      </c>
      <c r="FS22">
        <v>0.02208542003198698</v>
      </c>
      <c r="FT22">
        <v>1</v>
      </c>
      <c r="FU22">
        <v>0</v>
      </c>
      <c r="FV22">
        <v>0</v>
      </c>
      <c r="FW22">
        <v>0</v>
      </c>
      <c r="FX22">
        <v>1</v>
      </c>
      <c r="FY22">
        <v>2</v>
      </c>
      <c r="FZ22">
        <v>3</v>
      </c>
      <c r="GA22" t="s">
        <v>421</v>
      </c>
      <c r="GB22">
        <v>2.98162</v>
      </c>
      <c r="GC22">
        <v>2.70615</v>
      </c>
      <c r="GD22">
        <v>0.0932881</v>
      </c>
      <c r="GE22">
        <v>0.0923122</v>
      </c>
      <c r="GF22">
        <v>0.113525</v>
      </c>
      <c r="GG22">
        <v>0.0991707</v>
      </c>
      <c r="GH22">
        <v>28683.2</v>
      </c>
      <c r="GI22">
        <v>28772.1</v>
      </c>
      <c r="GJ22">
        <v>29408.7</v>
      </c>
      <c r="GK22">
        <v>29319.5</v>
      </c>
      <c r="GL22">
        <v>34510.4</v>
      </c>
      <c r="GM22">
        <v>35159.1</v>
      </c>
      <c r="GN22">
        <v>41400.1</v>
      </c>
      <c r="GO22">
        <v>41843.3</v>
      </c>
      <c r="GP22">
        <v>1.96318</v>
      </c>
      <c r="GQ22">
        <v>1.864</v>
      </c>
      <c r="GR22">
        <v>0.08285049999999999</v>
      </c>
      <c r="GS22">
        <v>0</v>
      </c>
      <c r="GT22">
        <v>27.0213</v>
      </c>
      <c r="GU22">
        <v>999.9</v>
      </c>
      <c r="GV22">
        <v>45.1</v>
      </c>
      <c r="GW22">
        <v>35.1</v>
      </c>
      <c r="GX22">
        <v>28.3636</v>
      </c>
      <c r="GY22">
        <v>62.7607</v>
      </c>
      <c r="GZ22">
        <v>36.4423</v>
      </c>
      <c r="HA22">
        <v>1</v>
      </c>
      <c r="HB22">
        <v>0.0288211</v>
      </c>
      <c r="HC22">
        <v>0</v>
      </c>
      <c r="HD22">
        <v>20.3463</v>
      </c>
      <c r="HE22">
        <v>5.21699</v>
      </c>
      <c r="HF22">
        <v>12.0086</v>
      </c>
      <c r="HG22">
        <v>4.9892</v>
      </c>
      <c r="HH22">
        <v>3.2885</v>
      </c>
      <c r="HI22">
        <v>487.1</v>
      </c>
      <c r="HJ22">
        <v>3585</v>
      </c>
      <c r="HK22">
        <v>4564.3</v>
      </c>
      <c r="HL22">
        <v>17.7</v>
      </c>
      <c r="HM22">
        <v>1.86768</v>
      </c>
      <c r="HN22">
        <v>1.86664</v>
      </c>
      <c r="HO22">
        <v>1.86616</v>
      </c>
      <c r="HP22">
        <v>1.86604</v>
      </c>
      <c r="HQ22">
        <v>1.86786</v>
      </c>
      <c r="HR22">
        <v>1.87041</v>
      </c>
      <c r="HS22">
        <v>1.86905</v>
      </c>
      <c r="HT22">
        <v>1.87042</v>
      </c>
      <c r="HU22">
        <v>0</v>
      </c>
      <c r="HV22">
        <v>0</v>
      </c>
      <c r="HW22">
        <v>0</v>
      </c>
      <c r="HX22">
        <v>0</v>
      </c>
      <c r="HY22" t="s">
        <v>422</v>
      </c>
      <c r="HZ22" t="s">
        <v>423</v>
      </c>
      <c r="IA22" t="s">
        <v>424</v>
      </c>
      <c r="IB22" t="s">
        <v>424</v>
      </c>
      <c r="IC22" t="s">
        <v>424</v>
      </c>
      <c r="ID22" t="s">
        <v>424</v>
      </c>
      <c r="IE22">
        <v>0</v>
      </c>
      <c r="IF22">
        <v>100</v>
      </c>
      <c r="IG22">
        <v>100</v>
      </c>
      <c r="IH22">
        <v>-1.778</v>
      </c>
      <c r="II22">
        <v>0.1236</v>
      </c>
      <c r="IJ22">
        <v>-1.064712027753117</v>
      </c>
      <c r="IK22">
        <v>-0.001826611574738555</v>
      </c>
      <c r="IL22">
        <v>3.313362389709971E-07</v>
      </c>
      <c r="IM22">
        <v>-1.629490614973607E-10</v>
      </c>
      <c r="IN22">
        <v>-0.09531406441470595</v>
      </c>
      <c r="IO22">
        <v>-0.008240702679890409</v>
      </c>
      <c r="IP22">
        <v>0.001077697425498046</v>
      </c>
      <c r="IQ22">
        <v>-1.69598232850356E-05</v>
      </c>
      <c r="IR22">
        <v>3</v>
      </c>
      <c r="IS22">
        <v>2280</v>
      </c>
      <c r="IT22">
        <v>1</v>
      </c>
      <c r="IU22">
        <v>25</v>
      </c>
      <c r="IV22">
        <v>1239.8</v>
      </c>
      <c r="IW22">
        <v>1237.3</v>
      </c>
      <c r="IX22">
        <v>1.01318</v>
      </c>
      <c r="IY22">
        <v>2.2229</v>
      </c>
      <c r="IZ22">
        <v>1.39648</v>
      </c>
      <c r="JA22">
        <v>2.35229</v>
      </c>
      <c r="JB22">
        <v>1.49536</v>
      </c>
      <c r="JC22">
        <v>2.33521</v>
      </c>
      <c r="JD22">
        <v>38.7964</v>
      </c>
      <c r="JE22">
        <v>24.0525</v>
      </c>
      <c r="JF22">
        <v>18</v>
      </c>
      <c r="JG22">
        <v>508.171</v>
      </c>
      <c r="JH22">
        <v>430.386</v>
      </c>
      <c r="JI22">
        <v>27.861</v>
      </c>
      <c r="JJ22">
        <v>27.7658</v>
      </c>
      <c r="JK22">
        <v>30.0001</v>
      </c>
      <c r="JL22">
        <v>27.7055</v>
      </c>
      <c r="JM22">
        <v>27.6454</v>
      </c>
      <c r="JN22">
        <v>20.2334</v>
      </c>
      <c r="JO22">
        <v>26.6362</v>
      </c>
      <c r="JP22">
        <v>0</v>
      </c>
      <c r="JQ22">
        <v>-999.9</v>
      </c>
      <c r="JR22">
        <v>393.047</v>
      </c>
      <c r="JS22">
        <v>21.9826</v>
      </c>
      <c r="JT22">
        <v>100.533</v>
      </c>
      <c r="JU22">
        <v>100.432</v>
      </c>
    </row>
    <row r="23" spans="1:281">
      <c r="A23">
        <v>7</v>
      </c>
      <c r="B23">
        <v>1651771907.5</v>
      </c>
      <c r="C23">
        <v>29.90000009536743</v>
      </c>
      <c r="D23" t="s">
        <v>435</v>
      </c>
      <c r="E23" t="s">
        <v>436</v>
      </c>
      <c r="F23">
        <v>5</v>
      </c>
      <c r="H23" t="s">
        <v>417</v>
      </c>
      <c r="I23">
        <v>1651771904.7</v>
      </c>
      <c r="J23">
        <f>(K23)/1000</f>
        <v>0</v>
      </c>
      <c r="K23">
        <f>IF(CZ23, AN23, AH23)</f>
        <v>0</v>
      </c>
      <c r="L23">
        <f>IF(CZ23, AI23, AG23)</f>
        <v>0</v>
      </c>
      <c r="M23">
        <f>DB23 - IF(AU23&gt;1, L23*CV23*100.0/(AW23*DP23), 0)</f>
        <v>0</v>
      </c>
      <c r="N23">
        <f>((T23-J23/2)*M23-L23)/(T23+J23/2)</f>
        <v>0</v>
      </c>
      <c r="O23">
        <f>N23*(DI23+DJ23)/1000.0</f>
        <v>0</v>
      </c>
      <c r="P23">
        <f>(DB23 - IF(AU23&gt;1, L23*CV23*100.0/(AW23*DP23), 0))*(DI23+DJ23)/1000.0</f>
        <v>0</v>
      </c>
      <c r="Q23">
        <f>2.0/((1/S23-1/R23)+SIGN(S23)*SQRT((1/S23-1/R23)*(1/S23-1/R23) + 4*CW23/((CW23+1)*(CW23+1))*(2*1/S23*1/R23-1/R23*1/R23)))</f>
        <v>0</v>
      </c>
      <c r="R23">
        <f>IF(LEFT(CX23,1)&lt;&gt;"0",IF(LEFT(CX23,1)="1",3.0,CY23),$D$5+$E$5*(DP23*DI23/($K$5*1000))+$F$5*(DP23*DI23/($K$5*1000))*MAX(MIN(CV23,$J$5),$I$5)*MAX(MIN(CV23,$J$5),$I$5)+$G$5*MAX(MIN(CV23,$J$5),$I$5)*(DP23*DI23/($K$5*1000))+$H$5*(DP23*DI23/($K$5*1000))*(DP23*DI23/($K$5*1000)))</f>
        <v>0</v>
      </c>
      <c r="S23">
        <f>J23*(1000-(1000*0.61365*exp(17.502*W23/(240.97+W23))/(DI23+DJ23)+DD23)/2)/(1000*0.61365*exp(17.502*W23/(240.97+W23))/(DI23+DJ23)-DD23)</f>
        <v>0</v>
      </c>
      <c r="T23">
        <f>1/((CW23+1)/(Q23/1.6)+1/(R23/1.37)) + CW23/((CW23+1)/(Q23/1.6) + CW23/(R23/1.37))</f>
        <v>0</v>
      </c>
      <c r="U23">
        <f>(CR23*CU23)</f>
        <v>0</v>
      </c>
      <c r="V23">
        <f>(DK23+(U23+2*0.95*5.67E-8*(((DK23+$B$7)+273)^4-(DK23+273)^4)-44100*J23)/(1.84*29.3*R23+8*0.95*5.67E-8*(DK23+273)^3))</f>
        <v>0</v>
      </c>
      <c r="W23">
        <f>($C$7*DL23+$D$7*DM23+$E$7*V23)</f>
        <v>0</v>
      </c>
      <c r="X23">
        <f>0.61365*exp(17.502*W23/(240.97+W23))</f>
        <v>0</v>
      </c>
      <c r="Y23">
        <f>(Z23/AA23*100)</f>
        <v>0</v>
      </c>
      <c r="Z23">
        <f>DD23*(DI23+DJ23)/1000</f>
        <v>0</v>
      </c>
      <c r="AA23">
        <f>0.61365*exp(17.502*DK23/(240.97+DK23))</f>
        <v>0</v>
      </c>
      <c r="AB23">
        <f>(X23-DD23*(DI23+DJ23)/1000)</f>
        <v>0</v>
      </c>
      <c r="AC23">
        <f>(-J23*44100)</f>
        <v>0</v>
      </c>
      <c r="AD23">
        <f>2*29.3*R23*0.92*(DK23-W23)</f>
        <v>0</v>
      </c>
      <c r="AE23">
        <f>2*0.95*5.67E-8*(((DK23+$B$7)+273)^4-(W23+273)^4)</f>
        <v>0</v>
      </c>
      <c r="AF23">
        <f>U23+AE23+AC23+AD23</f>
        <v>0</v>
      </c>
      <c r="AG23">
        <f>DH23*AU23*(DC23-DB23*(1000-AU23*DE23)/(1000-AU23*DD23))/(100*CV23)</f>
        <v>0</v>
      </c>
      <c r="AH23">
        <f>1000*DH23*AU23*(DD23-DE23)/(100*CV23*(1000-AU23*DD23))</f>
        <v>0</v>
      </c>
      <c r="AI23">
        <f>(AJ23 - AK23 - DI23*1E3/(8.314*(DK23+273.15)) * AM23/DH23 * AL23) * DH23/(100*CV23) * (1000 - DE23)/1000</f>
        <v>0</v>
      </c>
      <c r="AJ23">
        <v>416.988985495879</v>
      </c>
      <c r="AK23">
        <v>410.7441030303032</v>
      </c>
      <c r="AL23">
        <v>-3.164670297542092</v>
      </c>
      <c r="AM23">
        <v>66.72507702095443</v>
      </c>
      <c r="AN23">
        <f>(AP23 - AO23 + DI23*1E3/(8.314*(DK23+273.15)) * AR23/DH23 * AQ23) * DH23/(100*CV23) * 1000/(1000 - AP23)</f>
        <v>0</v>
      </c>
      <c r="AO23">
        <v>22.08958414735802</v>
      </c>
      <c r="AP23">
        <v>26.33462363636363</v>
      </c>
      <c r="AQ23">
        <v>0.000172831399218048</v>
      </c>
      <c r="AR23">
        <v>78.22078291278521</v>
      </c>
      <c r="AS23">
        <v>1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MAX(0,($B$13+$C$13*DP23)/(1+$D$13*DP23)*DI23/(DK23+273)*$E$13)</f>
        <v>0</v>
      </c>
      <c r="AX23" t="s">
        <v>418</v>
      </c>
      <c r="AY23" t="s">
        <v>418</v>
      </c>
      <c r="AZ23">
        <v>0</v>
      </c>
      <c r="BA23">
        <v>0</v>
      </c>
      <c r="BB23">
        <f>1-AZ23/BA23</f>
        <v>0</v>
      </c>
      <c r="BC23">
        <v>0</v>
      </c>
      <c r="BD23" t="s">
        <v>418</v>
      </c>
      <c r="BE23" t="s">
        <v>418</v>
      </c>
      <c r="BF23">
        <v>0</v>
      </c>
      <c r="BG23">
        <v>0</v>
      </c>
      <c r="BH23">
        <f>1-BF23/BG23</f>
        <v>0</v>
      </c>
      <c r="BI23">
        <v>0.5</v>
      </c>
      <c r="BJ23">
        <f>CS23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418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f>$B$11*DQ23+$C$11*DR23+$F$11*EC23*(1-EF23)</f>
        <v>0</v>
      </c>
      <c r="CS23">
        <f>CR23*CT23</f>
        <v>0</v>
      </c>
      <c r="CT23">
        <f>($B$11*$D$9+$C$11*$D$9+$F$11*((EP23+EH23)/MAX(EP23+EH23+EQ23, 0.1)*$I$9+EQ23/MAX(EP23+EH23+EQ23, 0.1)*$J$9))/($B$11+$C$11+$F$11)</f>
        <v>0</v>
      </c>
      <c r="CU23">
        <f>($B$11*$K$9+$C$11*$K$9+$F$11*((EP23+EH23)/MAX(EP23+EH23+EQ23, 0.1)*$P$9+EQ23/MAX(EP23+EH23+EQ23, 0.1)*$Q$9))/($B$11+$C$11+$F$11)</f>
        <v>0</v>
      </c>
      <c r="CV23">
        <v>6</v>
      </c>
      <c r="CW23">
        <v>0.5</v>
      </c>
      <c r="CX23" t="s">
        <v>419</v>
      </c>
      <c r="CY23">
        <v>2</v>
      </c>
      <c r="CZ23" t="b">
        <v>1</v>
      </c>
      <c r="DA23">
        <v>1651771904.7</v>
      </c>
      <c r="DB23">
        <v>407.0116</v>
      </c>
      <c r="DC23">
        <v>407.9301</v>
      </c>
      <c r="DD23">
        <v>26.33088</v>
      </c>
      <c r="DE23">
        <v>22.08368</v>
      </c>
      <c r="DF23">
        <v>408.7787</v>
      </c>
      <c r="DG23">
        <v>26.20724</v>
      </c>
      <c r="DH23">
        <v>500.0424</v>
      </c>
      <c r="DI23">
        <v>90.31170999999999</v>
      </c>
      <c r="DJ23">
        <v>0.10004575</v>
      </c>
      <c r="DK23">
        <v>28.9693</v>
      </c>
      <c r="DL23">
        <v>28.3736</v>
      </c>
      <c r="DM23">
        <v>999.9</v>
      </c>
      <c r="DN23">
        <v>0</v>
      </c>
      <c r="DO23">
        <v>0</v>
      </c>
      <c r="DP23">
        <v>9997.630000000001</v>
      </c>
      <c r="DQ23">
        <v>0</v>
      </c>
      <c r="DR23">
        <v>12.5246</v>
      </c>
      <c r="DS23">
        <v>-0.9184859</v>
      </c>
      <c r="DT23">
        <v>418.0184</v>
      </c>
      <c r="DU23">
        <v>417.1422000000001</v>
      </c>
      <c r="DV23">
        <v>4.247207</v>
      </c>
      <c r="DW23">
        <v>407.9301</v>
      </c>
      <c r="DX23">
        <v>22.08368</v>
      </c>
      <c r="DY23">
        <v>2.377988999999999</v>
      </c>
      <c r="DZ23">
        <v>1.994415</v>
      </c>
      <c r="EA23">
        <v>20.21466</v>
      </c>
      <c r="EB23">
        <v>17.40008</v>
      </c>
      <c r="EC23">
        <v>1499.99</v>
      </c>
      <c r="ED23">
        <v>0.9729908000000002</v>
      </c>
      <c r="EE23">
        <v>0.02700911</v>
      </c>
      <c r="EF23">
        <v>0</v>
      </c>
      <c r="EG23">
        <v>2.21088</v>
      </c>
      <c r="EH23">
        <v>0</v>
      </c>
      <c r="EI23">
        <v>16483.72</v>
      </c>
      <c r="EJ23">
        <v>12533.24</v>
      </c>
      <c r="EK23">
        <v>36.75</v>
      </c>
      <c r="EL23">
        <v>38.312</v>
      </c>
      <c r="EM23">
        <v>37.187</v>
      </c>
      <c r="EN23">
        <v>37.6498</v>
      </c>
      <c r="EO23">
        <v>36.5746</v>
      </c>
      <c r="EP23">
        <v>1459.479</v>
      </c>
      <c r="EQ23">
        <v>40.511</v>
      </c>
      <c r="ER23">
        <v>0</v>
      </c>
      <c r="ES23">
        <v>1651771908.8</v>
      </c>
      <c r="ET23">
        <v>0</v>
      </c>
      <c r="EU23">
        <v>2.247132</v>
      </c>
      <c r="EV23">
        <v>-0.7449538323608785</v>
      </c>
      <c r="EW23">
        <v>-1166.830771023906</v>
      </c>
      <c r="EX23">
        <v>16565.12</v>
      </c>
      <c r="EY23">
        <v>15</v>
      </c>
      <c r="EZ23">
        <v>0</v>
      </c>
      <c r="FA23" t="s">
        <v>420</v>
      </c>
      <c r="FB23">
        <v>1651697511.6</v>
      </c>
      <c r="FC23">
        <v>1651697666.1</v>
      </c>
      <c r="FD23">
        <v>0</v>
      </c>
      <c r="FE23">
        <v>-0.019</v>
      </c>
      <c r="FF23">
        <v>0.013</v>
      </c>
      <c r="FG23">
        <v>-2.121</v>
      </c>
      <c r="FH23">
        <v>0.041</v>
      </c>
      <c r="FI23">
        <v>420</v>
      </c>
      <c r="FJ23">
        <v>22</v>
      </c>
      <c r="FK23">
        <v>1.72</v>
      </c>
      <c r="FL23">
        <v>0.27</v>
      </c>
      <c r="FM23">
        <v>-4.855914609756097</v>
      </c>
      <c r="FN23">
        <v>37.48917476655053</v>
      </c>
      <c r="FO23">
        <v>3.862143713656167</v>
      </c>
      <c r="FP23">
        <v>0</v>
      </c>
      <c r="FQ23">
        <v>4.20425243902439</v>
      </c>
      <c r="FR23">
        <v>0.2942665505226502</v>
      </c>
      <c r="FS23">
        <v>0.03027991741945817</v>
      </c>
      <c r="FT23">
        <v>1</v>
      </c>
      <c r="FU23">
        <v>0</v>
      </c>
      <c r="FV23">
        <v>0</v>
      </c>
      <c r="FW23">
        <v>0</v>
      </c>
      <c r="FX23">
        <v>1</v>
      </c>
      <c r="FY23">
        <v>2</v>
      </c>
      <c r="FZ23">
        <v>3</v>
      </c>
      <c r="GA23" t="s">
        <v>421</v>
      </c>
      <c r="GB23">
        <v>2.98164</v>
      </c>
      <c r="GC23">
        <v>2.70612</v>
      </c>
      <c r="GD23">
        <v>0.0906338</v>
      </c>
      <c r="GE23">
        <v>0.08950470000000001</v>
      </c>
      <c r="GF23">
        <v>0.113557</v>
      </c>
      <c r="GG23">
        <v>0.09899769999999999</v>
      </c>
      <c r="GH23">
        <v>28766.9</v>
      </c>
      <c r="GI23">
        <v>28861.4</v>
      </c>
      <c r="GJ23">
        <v>29408.4</v>
      </c>
      <c r="GK23">
        <v>29319.8</v>
      </c>
      <c r="GL23">
        <v>34508.8</v>
      </c>
      <c r="GM23">
        <v>35166.5</v>
      </c>
      <c r="GN23">
        <v>41399.7</v>
      </c>
      <c r="GO23">
        <v>41843.9</v>
      </c>
      <c r="GP23">
        <v>1.9631</v>
      </c>
      <c r="GQ23">
        <v>1.8635</v>
      </c>
      <c r="GR23">
        <v>0.08247790000000001</v>
      </c>
      <c r="GS23">
        <v>0</v>
      </c>
      <c r="GT23">
        <v>27.0257</v>
      </c>
      <c r="GU23">
        <v>999.9</v>
      </c>
      <c r="GV23">
        <v>45.1</v>
      </c>
      <c r="GW23">
        <v>35.1</v>
      </c>
      <c r="GX23">
        <v>28.364</v>
      </c>
      <c r="GY23">
        <v>62.8307</v>
      </c>
      <c r="GZ23">
        <v>36.3261</v>
      </c>
      <c r="HA23">
        <v>1</v>
      </c>
      <c r="HB23">
        <v>0.0290218</v>
      </c>
      <c r="HC23">
        <v>0</v>
      </c>
      <c r="HD23">
        <v>20.3466</v>
      </c>
      <c r="HE23">
        <v>5.21744</v>
      </c>
      <c r="HF23">
        <v>12.0077</v>
      </c>
      <c r="HG23">
        <v>4.98905</v>
      </c>
      <c r="HH23">
        <v>3.28845</v>
      </c>
      <c r="HI23">
        <v>487.3</v>
      </c>
      <c r="HJ23">
        <v>3586.3</v>
      </c>
      <c r="HK23">
        <v>4564.3</v>
      </c>
      <c r="HL23">
        <v>17.7</v>
      </c>
      <c r="HM23">
        <v>1.86768</v>
      </c>
      <c r="HN23">
        <v>1.86663</v>
      </c>
      <c r="HO23">
        <v>1.86616</v>
      </c>
      <c r="HP23">
        <v>1.86602</v>
      </c>
      <c r="HQ23">
        <v>1.86785</v>
      </c>
      <c r="HR23">
        <v>1.87039</v>
      </c>
      <c r="HS23">
        <v>1.86905</v>
      </c>
      <c r="HT23">
        <v>1.87042</v>
      </c>
      <c r="HU23">
        <v>0</v>
      </c>
      <c r="HV23">
        <v>0</v>
      </c>
      <c r="HW23">
        <v>0</v>
      </c>
      <c r="HX23">
        <v>0</v>
      </c>
      <c r="HY23" t="s">
        <v>422</v>
      </c>
      <c r="HZ23" t="s">
        <v>423</v>
      </c>
      <c r="IA23" t="s">
        <v>424</v>
      </c>
      <c r="IB23" t="s">
        <v>424</v>
      </c>
      <c r="IC23" t="s">
        <v>424</v>
      </c>
      <c r="ID23" t="s">
        <v>424</v>
      </c>
      <c r="IE23">
        <v>0</v>
      </c>
      <c r="IF23">
        <v>100</v>
      </c>
      <c r="IG23">
        <v>100</v>
      </c>
      <c r="IH23">
        <v>-1.753</v>
      </c>
      <c r="II23">
        <v>0.1237</v>
      </c>
      <c r="IJ23">
        <v>-1.064712027753117</v>
      </c>
      <c r="IK23">
        <v>-0.001826611574738555</v>
      </c>
      <c r="IL23">
        <v>3.313362389709971E-07</v>
      </c>
      <c r="IM23">
        <v>-1.629490614973607E-10</v>
      </c>
      <c r="IN23">
        <v>-0.09531406441470595</v>
      </c>
      <c r="IO23">
        <v>-0.008240702679890409</v>
      </c>
      <c r="IP23">
        <v>0.001077697425498046</v>
      </c>
      <c r="IQ23">
        <v>-1.69598232850356E-05</v>
      </c>
      <c r="IR23">
        <v>3</v>
      </c>
      <c r="IS23">
        <v>2280</v>
      </c>
      <c r="IT23">
        <v>1</v>
      </c>
      <c r="IU23">
        <v>25</v>
      </c>
      <c r="IV23">
        <v>1239.9</v>
      </c>
      <c r="IW23">
        <v>1237.4</v>
      </c>
      <c r="IX23">
        <v>0.979004</v>
      </c>
      <c r="IY23">
        <v>2.22656</v>
      </c>
      <c r="IZ23">
        <v>1.39648</v>
      </c>
      <c r="JA23">
        <v>2.35229</v>
      </c>
      <c r="JB23">
        <v>1.49536</v>
      </c>
      <c r="JC23">
        <v>2.33276</v>
      </c>
      <c r="JD23">
        <v>38.7964</v>
      </c>
      <c r="JE23">
        <v>24.0612</v>
      </c>
      <c r="JF23">
        <v>18</v>
      </c>
      <c r="JG23">
        <v>508.141</v>
      </c>
      <c r="JH23">
        <v>430.09</v>
      </c>
      <c r="JI23">
        <v>27.8675</v>
      </c>
      <c r="JJ23">
        <v>27.7675</v>
      </c>
      <c r="JK23">
        <v>30.0003</v>
      </c>
      <c r="JL23">
        <v>27.7077</v>
      </c>
      <c r="JM23">
        <v>27.6458</v>
      </c>
      <c r="JN23">
        <v>19.5993</v>
      </c>
      <c r="JO23">
        <v>26.6362</v>
      </c>
      <c r="JP23">
        <v>0</v>
      </c>
      <c r="JQ23">
        <v>-999.9</v>
      </c>
      <c r="JR23">
        <v>372.939</v>
      </c>
      <c r="JS23">
        <v>21.9461</v>
      </c>
      <c r="JT23">
        <v>100.533</v>
      </c>
      <c r="JU23">
        <v>100.433</v>
      </c>
    </row>
    <row r="24" spans="1:281">
      <c r="A24">
        <v>8</v>
      </c>
      <c r="B24">
        <v>1651771912.5</v>
      </c>
      <c r="C24">
        <v>34.90000009536743</v>
      </c>
      <c r="D24" t="s">
        <v>437</v>
      </c>
      <c r="E24" t="s">
        <v>438</v>
      </c>
      <c r="F24">
        <v>5</v>
      </c>
      <c r="H24" t="s">
        <v>417</v>
      </c>
      <c r="I24">
        <v>1651771910</v>
      </c>
      <c r="J24">
        <f>(K24)/1000</f>
        <v>0</v>
      </c>
      <c r="K24">
        <f>IF(CZ24, AN24, AH24)</f>
        <v>0</v>
      </c>
      <c r="L24">
        <f>IF(CZ24, AI24, AG24)</f>
        <v>0</v>
      </c>
      <c r="M24">
        <f>DB24 - IF(AU24&gt;1, L24*CV24*100.0/(AW24*DP24), 0)</f>
        <v>0</v>
      </c>
      <c r="N24">
        <f>((T24-J24/2)*M24-L24)/(T24+J24/2)</f>
        <v>0</v>
      </c>
      <c r="O24">
        <f>N24*(DI24+DJ24)/1000.0</f>
        <v>0</v>
      </c>
      <c r="P24">
        <f>(DB24 - IF(AU24&gt;1, L24*CV24*100.0/(AW24*DP24), 0))*(DI24+DJ24)/1000.0</f>
        <v>0</v>
      </c>
      <c r="Q24">
        <f>2.0/((1/S24-1/R24)+SIGN(S24)*SQRT((1/S24-1/R24)*(1/S24-1/R24) + 4*CW24/((CW24+1)*(CW24+1))*(2*1/S24*1/R24-1/R24*1/R24)))</f>
        <v>0</v>
      </c>
      <c r="R24">
        <f>IF(LEFT(CX24,1)&lt;&gt;"0",IF(LEFT(CX24,1)="1",3.0,CY24),$D$5+$E$5*(DP24*DI24/($K$5*1000))+$F$5*(DP24*DI24/($K$5*1000))*MAX(MIN(CV24,$J$5),$I$5)*MAX(MIN(CV24,$J$5),$I$5)+$G$5*MAX(MIN(CV24,$J$5),$I$5)*(DP24*DI24/($K$5*1000))+$H$5*(DP24*DI24/($K$5*1000))*(DP24*DI24/($K$5*1000)))</f>
        <v>0</v>
      </c>
      <c r="S24">
        <f>J24*(1000-(1000*0.61365*exp(17.502*W24/(240.97+W24))/(DI24+DJ24)+DD24)/2)/(1000*0.61365*exp(17.502*W24/(240.97+W24))/(DI24+DJ24)-DD24)</f>
        <v>0</v>
      </c>
      <c r="T24">
        <f>1/((CW24+1)/(Q24/1.6)+1/(R24/1.37)) + CW24/((CW24+1)/(Q24/1.6) + CW24/(R24/1.37))</f>
        <v>0</v>
      </c>
      <c r="U24">
        <f>(CR24*CU24)</f>
        <v>0</v>
      </c>
      <c r="V24">
        <f>(DK24+(U24+2*0.95*5.67E-8*(((DK24+$B$7)+273)^4-(DK24+273)^4)-44100*J24)/(1.84*29.3*R24+8*0.95*5.67E-8*(DK24+273)^3))</f>
        <v>0</v>
      </c>
      <c r="W24">
        <f>($C$7*DL24+$D$7*DM24+$E$7*V24)</f>
        <v>0</v>
      </c>
      <c r="X24">
        <f>0.61365*exp(17.502*W24/(240.97+W24))</f>
        <v>0</v>
      </c>
      <c r="Y24">
        <f>(Z24/AA24*100)</f>
        <v>0</v>
      </c>
      <c r="Z24">
        <f>DD24*(DI24+DJ24)/1000</f>
        <v>0</v>
      </c>
      <c r="AA24">
        <f>0.61365*exp(17.502*DK24/(240.97+DK24))</f>
        <v>0</v>
      </c>
      <c r="AB24">
        <f>(X24-DD24*(DI24+DJ24)/1000)</f>
        <v>0</v>
      </c>
      <c r="AC24">
        <f>(-J24*44100)</f>
        <v>0</v>
      </c>
      <c r="AD24">
        <f>2*29.3*R24*0.92*(DK24-W24)</f>
        <v>0</v>
      </c>
      <c r="AE24">
        <f>2*0.95*5.67E-8*(((DK24+$B$7)+273)^4-(W24+273)^4)</f>
        <v>0</v>
      </c>
      <c r="AF24">
        <f>U24+AE24+AC24+AD24</f>
        <v>0</v>
      </c>
      <c r="AG24">
        <f>DH24*AU24*(DC24-DB24*(1000-AU24*DE24)/(1000-AU24*DD24))/(100*CV24)</f>
        <v>0</v>
      </c>
      <c r="AH24">
        <f>1000*DH24*AU24*(DD24-DE24)/(100*CV24*(1000-AU24*DD24))</f>
        <v>0</v>
      </c>
      <c r="AI24">
        <f>(AJ24 - AK24 - DI24*1E3/(8.314*(DK24+273.15)) * AM24/DH24 * AL24) * DH24/(100*CV24) * (1000 - DE24)/1000</f>
        <v>0</v>
      </c>
      <c r="AJ24">
        <v>400.0820354839042</v>
      </c>
      <c r="AK24">
        <v>394.751133333333</v>
      </c>
      <c r="AL24">
        <v>-3.206458597544806</v>
      </c>
      <c r="AM24">
        <v>66.72507702095443</v>
      </c>
      <c r="AN24">
        <f>(AP24 - AO24 + DI24*1E3/(8.314*(DK24+273.15)) * AR24/DH24 * AQ24) * DH24/(100*CV24) * 1000/(1000 - AP24)</f>
        <v>0</v>
      </c>
      <c r="AO24">
        <v>22.04360578426436</v>
      </c>
      <c r="AP24">
        <v>26.3277909090909</v>
      </c>
      <c r="AQ24">
        <v>-9.990846596598089E-05</v>
      </c>
      <c r="AR24">
        <v>78.22078291278521</v>
      </c>
      <c r="AS24">
        <v>1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MAX(0,($B$13+$C$13*DP24)/(1+$D$13*DP24)*DI24/(DK24+273)*$E$13)</f>
        <v>0</v>
      </c>
      <c r="AX24" t="s">
        <v>418</v>
      </c>
      <c r="AY24" t="s">
        <v>418</v>
      </c>
      <c r="AZ24">
        <v>0</v>
      </c>
      <c r="BA24">
        <v>0</v>
      </c>
      <c r="BB24">
        <f>1-AZ24/BA24</f>
        <v>0</v>
      </c>
      <c r="BC24">
        <v>0</v>
      </c>
      <c r="BD24" t="s">
        <v>418</v>
      </c>
      <c r="BE24" t="s">
        <v>418</v>
      </c>
      <c r="BF24">
        <v>0</v>
      </c>
      <c r="BG24">
        <v>0</v>
      </c>
      <c r="BH24">
        <f>1-BF24/BG24</f>
        <v>0</v>
      </c>
      <c r="BI24">
        <v>0.5</v>
      </c>
      <c r="BJ24">
        <f>CS24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418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f>$B$11*DQ24+$C$11*DR24+$F$11*EC24*(1-EF24)</f>
        <v>0</v>
      </c>
      <c r="CS24">
        <f>CR24*CT24</f>
        <v>0</v>
      </c>
      <c r="CT24">
        <f>($B$11*$D$9+$C$11*$D$9+$F$11*((EP24+EH24)/MAX(EP24+EH24+EQ24, 0.1)*$I$9+EQ24/MAX(EP24+EH24+EQ24, 0.1)*$J$9))/($B$11+$C$11+$F$11)</f>
        <v>0</v>
      </c>
      <c r="CU24">
        <f>($B$11*$K$9+$C$11*$K$9+$F$11*((EP24+EH24)/MAX(EP24+EH24+EQ24, 0.1)*$P$9+EQ24/MAX(EP24+EH24+EQ24, 0.1)*$Q$9))/($B$11+$C$11+$F$11)</f>
        <v>0</v>
      </c>
      <c r="CV24">
        <v>6</v>
      </c>
      <c r="CW24">
        <v>0.5</v>
      </c>
      <c r="CX24" t="s">
        <v>419</v>
      </c>
      <c r="CY24">
        <v>2</v>
      </c>
      <c r="CZ24" t="b">
        <v>1</v>
      </c>
      <c r="DA24">
        <v>1651771910</v>
      </c>
      <c r="DB24">
        <v>390.6067777777778</v>
      </c>
      <c r="DC24">
        <v>390.3837777777778</v>
      </c>
      <c r="DD24">
        <v>26.33101111111111</v>
      </c>
      <c r="DE24">
        <v>22.04105555555556</v>
      </c>
      <c r="DF24">
        <v>392.3468888888889</v>
      </c>
      <c r="DG24">
        <v>26.20737777777778</v>
      </c>
      <c r="DH24">
        <v>500.0453333333334</v>
      </c>
      <c r="DI24">
        <v>90.31114444444444</v>
      </c>
      <c r="DJ24">
        <v>0.1000081777777778</v>
      </c>
      <c r="DK24">
        <v>28.9748</v>
      </c>
      <c r="DL24">
        <v>28.37176666666667</v>
      </c>
      <c r="DM24">
        <v>999.9000000000001</v>
      </c>
      <c r="DN24">
        <v>0</v>
      </c>
      <c r="DO24">
        <v>0</v>
      </c>
      <c r="DP24">
        <v>9989.238888888889</v>
      </c>
      <c r="DQ24">
        <v>0</v>
      </c>
      <c r="DR24">
        <v>12.81767777777778</v>
      </c>
      <c r="DS24">
        <v>0.2230563222222222</v>
      </c>
      <c r="DT24">
        <v>401.1698888888889</v>
      </c>
      <c r="DU24">
        <v>399.1821111111111</v>
      </c>
      <c r="DV24">
        <v>4.289974444444444</v>
      </c>
      <c r="DW24">
        <v>390.3837777777778</v>
      </c>
      <c r="DX24">
        <v>22.04105555555556</v>
      </c>
      <c r="DY24">
        <v>2.377985555555556</v>
      </c>
      <c r="DZ24">
        <v>1.990553333333333</v>
      </c>
      <c r="EA24">
        <v>20.21461111111111</v>
      </c>
      <c r="EB24">
        <v>17.36937777777778</v>
      </c>
      <c r="EC24">
        <v>1499.997777777778</v>
      </c>
      <c r="ED24">
        <v>0.9729903333333334</v>
      </c>
      <c r="EE24">
        <v>0.02700952222222222</v>
      </c>
      <c r="EF24">
        <v>0</v>
      </c>
      <c r="EG24">
        <v>2.315377777777778</v>
      </c>
      <c r="EH24">
        <v>0</v>
      </c>
      <c r="EI24">
        <v>16346.92222222222</v>
      </c>
      <c r="EJ24">
        <v>12533.34444444444</v>
      </c>
      <c r="EK24">
        <v>36.75</v>
      </c>
      <c r="EL24">
        <v>38.312</v>
      </c>
      <c r="EM24">
        <v>37.187</v>
      </c>
      <c r="EN24">
        <v>37.63188888888889</v>
      </c>
      <c r="EO24">
        <v>36.583</v>
      </c>
      <c r="EP24">
        <v>1459.485555555556</v>
      </c>
      <c r="EQ24">
        <v>40.51222222222222</v>
      </c>
      <c r="ER24">
        <v>0</v>
      </c>
      <c r="ES24">
        <v>1651771913.6</v>
      </c>
      <c r="ET24">
        <v>0</v>
      </c>
      <c r="EU24">
        <v>2.318692</v>
      </c>
      <c r="EV24">
        <v>-0.8624692289134385</v>
      </c>
      <c r="EW24">
        <v>-1454.05384831082</v>
      </c>
      <c r="EX24">
        <v>16460.776</v>
      </c>
      <c r="EY24">
        <v>15</v>
      </c>
      <c r="EZ24">
        <v>0</v>
      </c>
      <c r="FA24" t="s">
        <v>420</v>
      </c>
      <c r="FB24">
        <v>1651697511.6</v>
      </c>
      <c r="FC24">
        <v>1651697666.1</v>
      </c>
      <c r="FD24">
        <v>0</v>
      </c>
      <c r="FE24">
        <v>-0.019</v>
      </c>
      <c r="FF24">
        <v>0.013</v>
      </c>
      <c r="FG24">
        <v>-2.121</v>
      </c>
      <c r="FH24">
        <v>0.041</v>
      </c>
      <c r="FI24">
        <v>420</v>
      </c>
      <c r="FJ24">
        <v>22</v>
      </c>
      <c r="FK24">
        <v>1.72</v>
      </c>
      <c r="FL24">
        <v>0.27</v>
      </c>
      <c r="FM24">
        <v>-2.2172721</v>
      </c>
      <c r="FN24">
        <v>21.85744675818814</v>
      </c>
      <c r="FO24">
        <v>2.225632207523455</v>
      </c>
      <c r="FP24">
        <v>0</v>
      </c>
      <c r="FQ24">
        <v>4.233096341463415</v>
      </c>
      <c r="FR24">
        <v>0.3939666898954744</v>
      </c>
      <c r="FS24">
        <v>0.03995027920511106</v>
      </c>
      <c r="FT24">
        <v>1</v>
      </c>
      <c r="FU24">
        <v>0</v>
      </c>
      <c r="FV24">
        <v>0</v>
      </c>
      <c r="FW24">
        <v>0</v>
      </c>
      <c r="FX24">
        <v>1</v>
      </c>
      <c r="FY24">
        <v>2</v>
      </c>
      <c r="FZ24">
        <v>3</v>
      </c>
      <c r="GA24" t="s">
        <v>421</v>
      </c>
      <c r="GB24">
        <v>2.98166</v>
      </c>
      <c r="GC24">
        <v>2.70604</v>
      </c>
      <c r="GD24">
        <v>0.0878931</v>
      </c>
      <c r="GE24">
        <v>0.0865818</v>
      </c>
      <c r="GF24">
        <v>0.113535</v>
      </c>
      <c r="GG24">
        <v>0.09892620000000001</v>
      </c>
      <c r="GH24">
        <v>28853.3</v>
      </c>
      <c r="GI24">
        <v>28953.7</v>
      </c>
      <c r="GJ24">
        <v>29408.1</v>
      </c>
      <c r="GK24">
        <v>29319.5</v>
      </c>
      <c r="GL24">
        <v>34509</v>
      </c>
      <c r="GM24">
        <v>35169.2</v>
      </c>
      <c r="GN24">
        <v>41399</v>
      </c>
      <c r="GO24">
        <v>41843.8</v>
      </c>
      <c r="GP24">
        <v>1.96303</v>
      </c>
      <c r="GQ24">
        <v>1.86338</v>
      </c>
      <c r="GR24">
        <v>0.0822917</v>
      </c>
      <c r="GS24">
        <v>0</v>
      </c>
      <c r="GT24">
        <v>27.0304</v>
      </c>
      <c r="GU24">
        <v>999.9</v>
      </c>
      <c r="GV24">
        <v>45.1</v>
      </c>
      <c r="GW24">
        <v>35</v>
      </c>
      <c r="GX24">
        <v>28.2068</v>
      </c>
      <c r="GY24">
        <v>62.9907</v>
      </c>
      <c r="GZ24">
        <v>36.3982</v>
      </c>
      <c r="HA24">
        <v>1</v>
      </c>
      <c r="HB24">
        <v>0.0291845</v>
      </c>
      <c r="HC24">
        <v>0</v>
      </c>
      <c r="HD24">
        <v>20.3465</v>
      </c>
      <c r="HE24">
        <v>5.21834</v>
      </c>
      <c r="HF24">
        <v>12.0086</v>
      </c>
      <c r="HG24">
        <v>4.98925</v>
      </c>
      <c r="HH24">
        <v>3.28865</v>
      </c>
      <c r="HI24">
        <v>487.3</v>
      </c>
      <c r="HJ24">
        <v>3586.3</v>
      </c>
      <c r="HK24">
        <v>4564.3</v>
      </c>
      <c r="HL24">
        <v>17.7</v>
      </c>
      <c r="HM24">
        <v>1.86768</v>
      </c>
      <c r="HN24">
        <v>1.86661</v>
      </c>
      <c r="HO24">
        <v>1.86615</v>
      </c>
      <c r="HP24">
        <v>1.86601</v>
      </c>
      <c r="HQ24">
        <v>1.86785</v>
      </c>
      <c r="HR24">
        <v>1.87039</v>
      </c>
      <c r="HS24">
        <v>1.86905</v>
      </c>
      <c r="HT24">
        <v>1.87042</v>
      </c>
      <c r="HU24">
        <v>0</v>
      </c>
      <c r="HV24">
        <v>0</v>
      </c>
      <c r="HW24">
        <v>0</v>
      </c>
      <c r="HX24">
        <v>0</v>
      </c>
      <c r="HY24" t="s">
        <v>422</v>
      </c>
      <c r="HZ24" t="s">
        <v>423</v>
      </c>
      <c r="IA24" t="s">
        <v>424</v>
      </c>
      <c r="IB24" t="s">
        <v>424</v>
      </c>
      <c r="IC24" t="s">
        <v>424</v>
      </c>
      <c r="ID24" t="s">
        <v>424</v>
      </c>
      <c r="IE24">
        <v>0</v>
      </c>
      <c r="IF24">
        <v>100</v>
      </c>
      <c r="IG24">
        <v>100</v>
      </c>
      <c r="IH24">
        <v>-1.728</v>
      </c>
      <c r="II24">
        <v>0.1236</v>
      </c>
      <c r="IJ24">
        <v>-1.064712027753117</v>
      </c>
      <c r="IK24">
        <v>-0.001826611574738555</v>
      </c>
      <c r="IL24">
        <v>3.313362389709971E-07</v>
      </c>
      <c r="IM24">
        <v>-1.629490614973607E-10</v>
      </c>
      <c r="IN24">
        <v>-0.09531406441470595</v>
      </c>
      <c r="IO24">
        <v>-0.008240702679890409</v>
      </c>
      <c r="IP24">
        <v>0.001077697425498046</v>
      </c>
      <c r="IQ24">
        <v>-1.69598232850356E-05</v>
      </c>
      <c r="IR24">
        <v>3</v>
      </c>
      <c r="IS24">
        <v>2280</v>
      </c>
      <c r="IT24">
        <v>1</v>
      </c>
      <c r="IU24">
        <v>25</v>
      </c>
      <c r="IV24">
        <v>1240</v>
      </c>
      <c r="IW24">
        <v>1237.4</v>
      </c>
      <c r="IX24">
        <v>0.943604</v>
      </c>
      <c r="IY24">
        <v>2.229</v>
      </c>
      <c r="IZ24">
        <v>1.39648</v>
      </c>
      <c r="JA24">
        <v>2.35229</v>
      </c>
      <c r="JB24">
        <v>1.49536</v>
      </c>
      <c r="JC24">
        <v>2.30103</v>
      </c>
      <c r="JD24">
        <v>38.7964</v>
      </c>
      <c r="JE24">
        <v>24.0525</v>
      </c>
      <c r="JF24">
        <v>18</v>
      </c>
      <c r="JG24">
        <v>508.099</v>
      </c>
      <c r="JH24">
        <v>430.03</v>
      </c>
      <c r="JI24">
        <v>27.8744</v>
      </c>
      <c r="JJ24">
        <v>27.7699</v>
      </c>
      <c r="JK24">
        <v>30.0003</v>
      </c>
      <c r="JL24">
        <v>27.7084</v>
      </c>
      <c r="JM24">
        <v>27.6477</v>
      </c>
      <c r="JN24">
        <v>18.8931</v>
      </c>
      <c r="JO24">
        <v>26.9139</v>
      </c>
      <c r="JP24">
        <v>0</v>
      </c>
      <c r="JQ24">
        <v>-999.9</v>
      </c>
      <c r="JR24">
        <v>359.577</v>
      </c>
      <c r="JS24">
        <v>21.918</v>
      </c>
      <c r="JT24">
        <v>100.531</v>
      </c>
      <c r="JU24">
        <v>100.432</v>
      </c>
    </row>
    <row r="25" spans="1:281">
      <c r="A25">
        <v>9</v>
      </c>
      <c r="B25">
        <v>1651771917.5</v>
      </c>
      <c r="C25">
        <v>39.90000009536743</v>
      </c>
      <c r="D25" t="s">
        <v>439</v>
      </c>
      <c r="E25" t="s">
        <v>440</v>
      </c>
      <c r="F25">
        <v>5</v>
      </c>
      <c r="H25" t="s">
        <v>417</v>
      </c>
      <c r="I25">
        <v>1651771914.7</v>
      </c>
      <c r="J25">
        <f>(K25)/1000</f>
        <v>0</v>
      </c>
      <c r="K25">
        <f>IF(CZ25, AN25, AH25)</f>
        <v>0</v>
      </c>
      <c r="L25">
        <f>IF(CZ25, AI25, AG25)</f>
        <v>0</v>
      </c>
      <c r="M25">
        <f>DB25 - IF(AU25&gt;1, L25*CV25*100.0/(AW25*DP25), 0)</f>
        <v>0</v>
      </c>
      <c r="N25">
        <f>((T25-J25/2)*M25-L25)/(T25+J25/2)</f>
        <v>0</v>
      </c>
      <c r="O25">
        <f>N25*(DI25+DJ25)/1000.0</f>
        <v>0</v>
      </c>
      <c r="P25">
        <f>(DB25 - IF(AU25&gt;1, L25*CV25*100.0/(AW25*DP25), 0))*(DI25+DJ25)/1000.0</f>
        <v>0</v>
      </c>
      <c r="Q25">
        <f>2.0/((1/S25-1/R25)+SIGN(S25)*SQRT((1/S25-1/R25)*(1/S25-1/R25) + 4*CW25/((CW25+1)*(CW25+1))*(2*1/S25*1/R25-1/R25*1/R25)))</f>
        <v>0</v>
      </c>
      <c r="R25">
        <f>IF(LEFT(CX25,1)&lt;&gt;"0",IF(LEFT(CX25,1)="1",3.0,CY25),$D$5+$E$5*(DP25*DI25/($K$5*1000))+$F$5*(DP25*DI25/($K$5*1000))*MAX(MIN(CV25,$J$5),$I$5)*MAX(MIN(CV25,$J$5),$I$5)+$G$5*MAX(MIN(CV25,$J$5),$I$5)*(DP25*DI25/($K$5*1000))+$H$5*(DP25*DI25/($K$5*1000))*(DP25*DI25/($K$5*1000)))</f>
        <v>0</v>
      </c>
      <c r="S25">
        <f>J25*(1000-(1000*0.61365*exp(17.502*W25/(240.97+W25))/(DI25+DJ25)+DD25)/2)/(1000*0.61365*exp(17.502*W25/(240.97+W25))/(DI25+DJ25)-DD25)</f>
        <v>0</v>
      </c>
      <c r="T25">
        <f>1/((CW25+1)/(Q25/1.6)+1/(R25/1.37)) + CW25/((CW25+1)/(Q25/1.6) + CW25/(R25/1.37))</f>
        <v>0</v>
      </c>
      <c r="U25">
        <f>(CR25*CU25)</f>
        <v>0</v>
      </c>
      <c r="V25">
        <f>(DK25+(U25+2*0.95*5.67E-8*(((DK25+$B$7)+273)^4-(DK25+273)^4)-44100*J25)/(1.84*29.3*R25+8*0.95*5.67E-8*(DK25+273)^3))</f>
        <v>0</v>
      </c>
      <c r="W25">
        <f>($C$7*DL25+$D$7*DM25+$E$7*V25)</f>
        <v>0</v>
      </c>
      <c r="X25">
        <f>0.61365*exp(17.502*W25/(240.97+W25))</f>
        <v>0</v>
      </c>
      <c r="Y25">
        <f>(Z25/AA25*100)</f>
        <v>0</v>
      </c>
      <c r="Z25">
        <f>DD25*(DI25+DJ25)/1000</f>
        <v>0</v>
      </c>
      <c r="AA25">
        <f>0.61365*exp(17.502*DK25/(240.97+DK25))</f>
        <v>0</v>
      </c>
      <c r="AB25">
        <f>(X25-DD25*(DI25+DJ25)/1000)</f>
        <v>0</v>
      </c>
      <c r="AC25">
        <f>(-J25*44100)</f>
        <v>0</v>
      </c>
      <c r="AD25">
        <f>2*29.3*R25*0.92*(DK25-W25)</f>
        <v>0</v>
      </c>
      <c r="AE25">
        <f>2*0.95*5.67E-8*(((DK25+$B$7)+273)^4-(W25+273)^4)</f>
        <v>0</v>
      </c>
      <c r="AF25">
        <f>U25+AE25+AC25+AD25</f>
        <v>0</v>
      </c>
      <c r="AG25">
        <f>DH25*AU25*(DC25-DB25*(1000-AU25*DE25)/(1000-AU25*DD25))/(100*CV25)</f>
        <v>0</v>
      </c>
      <c r="AH25">
        <f>1000*DH25*AU25*(DD25-DE25)/(100*CV25*(1000-AU25*DD25))</f>
        <v>0</v>
      </c>
      <c r="AI25">
        <f>(AJ25 - AK25 - DI25*1E3/(8.314*(DK25+273.15)) * AM25/DH25 * AL25) * DH25/(100*CV25) * (1000 - DE25)/1000</f>
        <v>0</v>
      </c>
      <c r="AJ25">
        <v>382.9379358192977</v>
      </c>
      <c r="AK25">
        <v>378.574212121212</v>
      </c>
      <c r="AL25">
        <v>-3.234448564788231</v>
      </c>
      <c r="AM25">
        <v>66.72507702095443</v>
      </c>
      <c r="AN25">
        <f>(AP25 - AO25 + DI25*1E3/(8.314*(DK25+273.15)) * AR25/DH25 * AQ25) * DH25/(100*CV25) * 1000/(1000 - AP25)</f>
        <v>0</v>
      </c>
      <c r="AO25">
        <v>21.99735899602767</v>
      </c>
      <c r="AP25">
        <v>26.3200103030303</v>
      </c>
      <c r="AQ25">
        <v>-3.923058123076595E-05</v>
      </c>
      <c r="AR25">
        <v>78.22078291278521</v>
      </c>
      <c r="AS25">
        <v>1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MAX(0,($B$13+$C$13*DP25)/(1+$D$13*DP25)*DI25/(DK25+273)*$E$13)</f>
        <v>0</v>
      </c>
      <c r="AX25" t="s">
        <v>418</v>
      </c>
      <c r="AY25" t="s">
        <v>418</v>
      </c>
      <c r="AZ25">
        <v>0</v>
      </c>
      <c r="BA25">
        <v>0</v>
      </c>
      <c r="BB25">
        <f>1-AZ25/BA25</f>
        <v>0</v>
      </c>
      <c r="BC25">
        <v>0</v>
      </c>
      <c r="BD25" t="s">
        <v>418</v>
      </c>
      <c r="BE25" t="s">
        <v>418</v>
      </c>
      <c r="BF25">
        <v>0</v>
      </c>
      <c r="BG25">
        <v>0</v>
      </c>
      <c r="BH25">
        <f>1-BF25/BG25</f>
        <v>0</v>
      </c>
      <c r="BI25">
        <v>0.5</v>
      </c>
      <c r="BJ25">
        <f>CS25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418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f>$B$11*DQ25+$C$11*DR25+$F$11*EC25*(1-EF25)</f>
        <v>0</v>
      </c>
      <c r="CS25">
        <f>CR25*CT25</f>
        <v>0</v>
      </c>
      <c r="CT25">
        <f>($B$11*$D$9+$C$11*$D$9+$F$11*((EP25+EH25)/MAX(EP25+EH25+EQ25, 0.1)*$I$9+EQ25/MAX(EP25+EH25+EQ25, 0.1)*$J$9))/($B$11+$C$11+$F$11)</f>
        <v>0</v>
      </c>
      <c r="CU25">
        <f>($B$11*$K$9+$C$11*$K$9+$F$11*((EP25+EH25)/MAX(EP25+EH25+EQ25, 0.1)*$P$9+EQ25/MAX(EP25+EH25+EQ25, 0.1)*$Q$9))/($B$11+$C$11+$F$11)</f>
        <v>0</v>
      </c>
      <c r="CV25">
        <v>6</v>
      </c>
      <c r="CW25">
        <v>0.5</v>
      </c>
      <c r="CX25" t="s">
        <v>419</v>
      </c>
      <c r="CY25">
        <v>2</v>
      </c>
      <c r="CZ25" t="b">
        <v>1</v>
      </c>
      <c r="DA25">
        <v>1651771914.7</v>
      </c>
      <c r="DB25">
        <v>375.8512</v>
      </c>
      <c r="DC25">
        <v>374.6622</v>
      </c>
      <c r="DD25">
        <v>26.32534</v>
      </c>
      <c r="DE25">
        <v>21.99859</v>
      </c>
      <c r="DF25">
        <v>377.5672</v>
      </c>
      <c r="DG25">
        <v>26.20179</v>
      </c>
      <c r="DH25">
        <v>500.0433</v>
      </c>
      <c r="DI25">
        <v>90.3116</v>
      </c>
      <c r="DJ25">
        <v>0.09990416000000001</v>
      </c>
      <c r="DK25">
        <v>28.979</v>
      </c>
      <c r="DL25">
        <v>28.38322</v>
      </c>
      <c r="DM25">
        <v>999.9</v>
      </c>
      <c r="DN25">
        <v>0</v>
      </c>
      <c r="DO25">
        <v>0</v>
      </c>
      <c r="DP25">
        <v>9998.617</v>
      </c>
      <c r="DQ25">
        <v>0</v>
      </c>
      <c r="DR25">
        <v>13.22494</v>
      </c>
      <c r="DS25">
        <v>1.1890043</v>
      </c>
      <c r="DT25">
        <v>386.0132</v>
      </c>
      <c r="DU25">
        <v>383.09</v>
      </c>
      <c r="DV25">
        <v>4.326756</v>
      </c>
      <c r="DW25">
        <v>374.6622</v>
      </c>
      <c r="DX25">
        <v>21.99859</v>
      </c>
      <c r="DY25">
        <v>2.377484</v>
      </c>
      <c r="DZ25">
        <v>1.986727</v>
      </c>
      <c r="EA25">
        <v>20.21124</v>
      </c>
      <c r="EB25">
        <v>17.33896</v>
      </c>
      <c r="EC25">
        <v>1499.945</v>
      </c>
      <c r="ED25">
        <v>0.9729902000000001</v>
      </c>
      <c r="EE25">
        <v>0.02700964</v>
      </c>
      <c r="EF25">
        <v>0</v>
      </c>
      <c r="EG25">
        <v>2.22662</v>
      </c>
      <c r="EH25">
        <v>0</v>
      </c>
      <c r="EI25">
        <v>16205.6</v>
      </c>
      <c r="EJ25">
        <v>12532.87</v>
      </c>
      <c r="EK25">
        <v>36.75</v>
      </c>
      <c r="EL25">
        <v>38.312</v>
      </c>
      <c r="EM25">
        <v>37.187</v>
      </c>
      <c r="EN25">
        <v>37.625</v>
      </c>
      <c r="EO25">
        <v>36.562</v>
      </c>
      <c r="EP25">
        <v>1459.434</v>
      </c>
      <c r="EQ25">
        <v>40.511</v>
      </c>
      <c r="ER25">
        <v>0</v>
      </c>
      <c r="ES25">
        <v>1651771918.4</v>
      </c>
      <c r="ET25">
        <v>0</v>
      </c>
      <c r="EU25">
        <v>2.24646</v>
      </c>
      <c r="EV25">
        <v>0.1638461488673473</v>
      </c>
      <c r="EW25">
        <v>-1679.753843550285</v>
      </c>
      <c r="EX25">
        <v>16335.736</v>
      </c>
      <c r="EY25">
        <v>15</v>
      </c>
      <c r="EZ25">
        <v>0</v>
      </c>
      <c r="FA25" t="s">
        <v>420</v>
      </c>
      <c r="FB25">
        <v>1651697511.6</v>
      </c>
      <c r="FC25">
        <v>1651697666.1</v>
      </c>
      <c r="FD25">
        <v>0</v>
      </c>
      <c r="FE25">
        <v>-0.019</v>
      </c>
      <c r="FF25">
        <v>0.013</v>
      </c>
      <c r="FG25">
        <v>-2.121</v>
      </c>
      <c r="FH25">
        <v>0.041</v>
      </c>
      <c r="FI25">
        <v>420</v>
      </c>
      <c r="FJ25">
        <v>22</v>
      </c>
      <c r="FK25">
        <v>1.72</v>
      </c>
      <c r="FL25">
        <v>0.27</v>
      </c>
      <c r="FM25">
        <v>-0.6323595025000001</v>
      </c>
      <c r="FN25">
        <v>14.95354967842402</v>
      </c>
      <c r="FO25">
        <v>1.453564648774399</v>
      </c>
      <c r="FP25">
        <v>0</v>
      </c>
      <c r="FQ25">
        <v>4.26525875</v>
      </c>
      <c r="FR25">
        <v>0.4645700938086226</v>
      </c>
      <c r="FS25">
        <v>0.04538864005384494</v>
      </c>
      <c r="FT25">
        <v>1</v>
      </c>
      <c r="FU25">
        <v>0</v>
      </c>
      <c r="FV25">
        <v>0</v>
      </c>
      <c r="FW25">
        <v>0</v>
      </c>
      <c r="FX25">
        <v>1</v>
      </c>
      <c r="FY25">
        <v>2</v>
      </c>
      <c r="FZ25">
        <v>3</v>
      </c>
      <c r="GA25" t="s">
        <v>421</v>
      </c>
      <c r="GB25">
        <v>2.98156</v>
      </c>
      <c r="GC25">
        <v>2.70624</v>
      </c>
      <c r="GD25">
        <v>0.0850641</v>
      </c>
      <c r="GE25">
        <v>0.0836268</v>
      </c>
      <c r="GF25">
        <v>0.113509</v>
      </c>
      <c r="GG25">
        <v>0.0987753</v>
      </c>
      <c r="GH25">
        <v>28942.7</v>
      </c>
      <c r="GI25">
        <v>29047</v>
      </c>
      <c r="GJ25">
        <v>29408</v>
      </c>
      <c r="GK25">
        <v>29319.2</v>
      </c>
      <c r="GL25">
        <v>34509.8</v>
      </c>
      <c r="GM25">
        <v>35174.8</v>
      </c>
      <c r="GN25">
        <v>41398.7</v>
      </c>
      <c r="GO25">
        <v>41843.5</v>
      </c>
      <c r="GP25">
        <v>1.96318</v>
      </c>
      <c r="GQ25">
        <v>1.86353</v>
      </c>
      <c r="GR25">
        <v>0.0831373</v>
      </c>
      <c r="GS25">
        <v>0</v>
      </c>
      <c r="GT25">
        <v>27.0351</v>
      </c>
      <c r="GU25">
        <v>999.9</v>
      </c>
      <c r="GV25">
        <v>45.1</v>
      </c>
      <c r="GW25">
        <v>35.1</v>
      </c>
      <c r="GX25">
        <v>28.364</v>
      </c>
      <c r="GY25">
        <v>62.8507</v>
      </c>
      <c r="GZ25">
        <v>36.3462</v>
      </c>
      <c r="HA25">
        <v>1</v>
      </c>
      <c r="HB25">
        <v>0.0294563</v>
      </c>
      <c r="HC25">
        <v>0</v>
      </c>
      <c r="HD25">
        <v>20.3463</v>
      </c>
      <c r="HE25">
        <v>5.21864</v>
      </c>
      <c r="HF25">
        <v>12.0083</v>
      </c>
      <c r="HG25">
        <v>4.98965</v>
      </c>
      <c r="HH25">
        <v>3.28865</v>
      </c>
      <c r="HI25">
        <v>487.5</v>
      </c>
      <c r="HJ25">
        <v>3587.7</v>
      </c>
      <c r="HK25">
        <v>4564.3</v>
      </c>
      <c r="HL25">
        <v>17.7</v>
      </c>
      <c r="HM25">
        <v>1.86768</v>
      </c>
      <c r="HN25">
        <v>1.86663</v>
      </c>
      <c r="HO25">
        <v>1.86615</v>
      </c>
      <c r="HP25">
        <v>1.86602</v>
      </c>
      <c r="HQ25">
        <v>1.86784</v>
      </c>
      <c r="HR25">
        <v>1.87038</v>
      </c>
      <c r="HS25">
        <v>1.86904</v>
      </c>
      <c r="HT25">
        <v>1.87042</v>
      </c>
      <c r="HU25">
        <v>0</v>
      </c>
      <c r="HV25">
        <v>0</v>
      </c>
      <c r="HW25">
        <v>0</v>
      </c>
      <c r="HX25">
        <v>0</v>
      </c>
      <c r="HY25" t="s">
        <v>422</v>
      </c>
      <c r="HZ25" t="s">
        <v>423</v>
      </c>
      <c r="IA25" t="s">
        <v>424</v>
      </c>
      <c r="IB25" t="s">
        <v>424</v>
      </c>
      <c r="IC25" t="s">
        <v>424</v>
      </c>
      <c r="ID25" t="s">
        <v>424</v>
      </c>
      <c r="IE25">
        <v>0</v>
      </c>
      <c r="IF25">
        <v>100</v>
      </c>
      <c r="IG25">
        <v>100</v>
      </c>
      <c r="IH25">
        <v>-1.701</v>
      </c>
      <c r="II25">
        <v>0.1235</v>
      </c>
      <c r="IJ25">
        <v>-1.064712027753117</v>
      </c>
      <c r="IK25">
        <v>-0.001826611574738555</v>
      </c>
      <c r="IL25">
        <v>3.313362389709971E-07</v>
      </c>
      <c r="IM25">
        <v>-1.629490614973607E-10</v>
      </c>
      <c r="IN25">
        <v>-0.09531406441470595</v>
      </c>
      <c r="IO25">
        <v>-0.008240702679890409</v>
      </c>
      <c r="IP25">
        <v>0.001077697425498046</v>
      </c>
      <c r="IQ25">
        <v>-1.69598232850356E-05</v>
      </c>
      <c r="IR25">
        <v>3</v>
      </c>
      <c r="IS25">
        <v>2280</v>
      </c>
      <c r="IT25">
        <v>1</v>
      </c>
      <c r="IU25">
        <v>25</v>
      </c>
      <c r="IV25">
        <v>1240.1</v>
      </c>
      <c r="IW25">
        <v>1237.5</v>
      </c>
      <c r="IX25">
        <v>0.911865</v>
      </c>
      <c r="IY25">
        <v>2.23022</v>
      </c>
      <c r="IZ25">
        <v>1.39648</v>
      </c>
      <c r="JA25">
        <v>2.35352</v>
      </c>
      <c r="JB25">
        <v>1.49536</v>
      </c>
      <c r="JC25">
        <v>2.31567</v>
      </c>
      <c r="JD25">
        <v>38.8211</v>
      </c>
      <c r="JE25">
        <v>24.0525</v>
      </c>
      <c r="JF25">
        <v>18</v>
      </c>
      <c r="JG25">
        <v>508.211</v>
      </c>
      <c r="JH25">
        <v>430.131</v>
      </c>
      <c r="JI25">
        <v>27.8808</v>
      </c>
      <c r="JJ25">
        <v>27.7718</v>
      </c>
      <c r="JK25">
        <v>30.0001</v>
      </c>
      <c r="JL25">
        <v>27.7102</v>
      </c>
      <c r="JM25">
        <v>27.6494</v>
      </c>
      <c r="JN25">
        <v>18.257</v>
      </c>
      <c r="JO25">
        <v>26.9139</v>
      </c>
      <c r="JP25">
        <v>0</v>
      </c>
      <c r="JQ25">
        <v>-999.9</v>
      </c>
      <c r="JR25">
        <v>339.436</v>
      </c>
      <c r="JS25">
        <v>21.896</v>
      </c>
      <c r="JT25">
        <v>100.531</v>
      </c>
      <c r="JU25">
        <v>100.431</v>
      </c>
    </row>
    <row r="26" spans="1:281">
      <c r="A26">
        <v>10</v>
      </c>
      <c r="B26">
        <v>1651771922.5</v>
      </c>
      <c r="C26">
        <v>44.90000009536743</v>
      </c>
      <c r="D26" t="s">
        <v>441</v>
      </c>
      <c r="E26" t="s">
        <v>442</v>
      </c>
      <c r="F26">
        <v>5</v>
      </c>
      <c r="H26" t="s">
        <v>417</v>
      </c>
      <c r="I26">
        <v>1651771920</v>
      </c>
      <c r="J26">
        <f>(K26)/1000</f>
        <v>0</v>
      </c>
      <c r="K26">
        <f>IF(CZ26, AN26, AH26)</f>
        <v>0</v>
      </c>
      <c r="L26">
        <f>IF(CZ26, AI26, AG26)</f>
        <v>0</v>
      </c>
      <c r="M26">
        <f>DB26 - IF(AU26&gt;1, L26*CV26*100.0/(AW26*DP26), 0)</f>
        <v>0</v>
      </c>
      <c r="N26">
        <f>((T26-J26/2)*M26-L26)/(T26+J26/2)</f>
        <v>0</v>
      </c>
      <c r="O26">
        <f>N26*(DI26+DJ26)/1000.0</f>
        <v>0</v>
      </c>
      <c r="P26">
        <f>(DB26 - IF(AU26&gt;1, L26*CV26*100.0/(AW26*DP26), 0))*(DI26+DJ26)/1000.0</f>
        <v>0</v>
      </c>
      <c r="Q26">
        <f>2.0/((1/S26-1/R26)+SIGN(S26)*SQRT((1/S26-1/R26)*(1/S26-1/R26) + 4*CW26/((CW26+1)*(CW26+1))*(2*1/S26*1/R26-1/R26*1/R26)))</f>
        <v>0</v>
      </c>
      <c r="R26">
        <f>IF(LEFT(CX26,1)&lt;&gt;"0",IF(LEFT(CX26,1)="1",3.0,CY26),$D$5+$E$5*(DP26*DI26/($K$5*1000))+$F$5*(DP26*DI26/($K$5*1000))*MAX(MIN(CV26,$J$5),$I$5)*MAX(MIN(CV26,$J$5),$I$5)+$G$5*MAX(MIN(CV26,$J$5),$I$5)*(DP26*DI26/($K$5*1000))+$H$5*(DP26*DI26/($K$5*1000))*(DP26*DI26/($K$5*1000)))</f>
        <v>0</v>
      </c>
      <c r="S26">
        <f>J26*(1000-(1000*0.61365*exp(17.502*W26/(240.97+W26))/(DI26+DJ26)+DD26)/2)/(1000*0.61365*exp(17.502*W26/(240.97+W26))/(DI26+DJ26)-DD26)</f>
        <v>0</v>
      </c>
      <c r="T26">
        <f>1/((CW26+1)/(Q26/1.6)+1/(R26/1.37)) + CW26/((CW26+1)/(Q26/1.6) + CW26/(R26/1.37))</f>
        <v>0</v>
      </c>
      <c r="U26">
        <f>(CR26*CU26)</f>
        <v>0</v>
      </c>
      <c r="V26">
        <f>(DK26+(U26+2*0.95*5.67E-8*(((DK26+$B$7)+273)^4-(DK26+273)^4)-44100*J26)/(1.84*29.3*R26+8*0.95*5.67E-8*(DK26+273)^3))</f>
        <v>0</v>
      </c>
      <c r="W26">
        <f>($C$7*DL26+$D$7*DM26+$E$7*V26)</f>
        <v>0</v>
      </c>
      <c r="X26">
        <f>0.61365*exp(17.502*W26/(240.97+W26))</f>
        <v>0</v>
      </c>
      <c r="Y26">
        <f>(Z26/AA26*100)</f>
        <v>0</v>
      </c>
      <c r="Z26">
        <f>DD26*(DI26+DJ26)/1000</f>
        <v>0</v>
      </c>
      <c r="AA26">
        <f>0.61365*exp(17.502*DK26/(240.97+DK26))</f>
        <v>0</v>
      </c>
      <c r="AB26">
        <f>(X26-DD26*(DI26+DJ26)/1000)</f>
        <v>0</v>
      </c>
      <c r="AC26">
        <f>(-J26*44100)</f>
        <v>0</v>
      </c>
      <c r="AD26">
        <f>2*29.3*R26*0.92*(DK26-W26)</f>
        <v>0</v>
      </c>
      <c r="AE26">
        <f>2*0.95*5.67E-8*(((DK26+$B$7)+273)^4-(W26+273)^4)</f>
        <v>0</v>
      </c>
      <c r="AF26">
        <f>U26+AE26+AC26+AD26</f>
        <v>0</v>
      </c>
      <c r="AG26">
        <f>DH26*AU26*(DC26-DB26*(1000-AU26*DE26)/(1000-AU26*DD26))/(100*CV26)</f>
        <v>0</v>
      </c>
      <c r="AH26">
        <f>1000*DH26*AU26*(DD26-DE26)/(100*CV26*(1000-AU26*DD26))</f>
        <v>0</v>
      </c>
      <c r="AI26">
        <f>(AJ26 - AK26 - DI26*1E3/(8.314*(DK26+273.15)) * AM26/DH26 * AL26) * DH26/(100*CV26) * (1000 - DE26)/1000</f>
        <v>0</v>
      </c>
      <c r="AJ26">
        <v>365.9476051334363</v>
      </c>
      <c r="AK26">
        <v>362.3969212121213</v>
      </c>
      <c r="AL26">
        <v>-3.238219317857444</v>
      </c>
      <c r="AM26">
        <v>66.72507702095443</v>
      </c>
      <c r="AN26">
        <f>(AP26 - AO26 + DI26*1E3/(8.314*(DK26+273.15)) * AR26/DH26 * AQ26) * DH26/(100*CV26) * 1000/(1000 - AP26)</f>
        <v>0</v>
      </c>
      <c r="AO26">
        <v>21.97667812798577</v>
      </c>
      <c r="AP26">
        <v>26.31350848484848</v>
      </c>
      <c r="AQ26">
        <v>-8.555729937984427E-05</v>
      </c>
      <c r="AR26">
        <v>78.22078291278521</v>
      </c>
      <c r="AS26">
        <v>1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MAX(0,($B$13+$C$13*DP26)/(1+$D$13*DP26)*DI26/(DK26+273)*$E$13)</f>
        <v>0</v>
      </c>
      <c r="AX26" t="s">
        <v>418</v>
      </c>
      <c r="AY26" t="s">
        <v>418</v>
      </c>
      <c r="AZ26">
        <v>0</v>
      </c>
      <c r="BA26">
        <v>0</v>
      </c>
      <c r="BB26">
        <f>1-AZ26/BA26</f>
        <v>0</v>
      </c>
      <c r="BC26">
        <v>0</v>
      </c>
      <c r="BD26" t="s">
        <v>418</v>
      </c>
      <c r="BE26" t="s">
        <v>418</v>
      </c>
      <c r="BF26">
        <v>0</v>
      </c>
      <c r="BG26">
        <v>0</v>
      </c>
      <c r="BH26">
        <f>1-BF26/BG26</f>
        <v>0</v>
      </c>
      <c r="BI26">
        <v>0.5</v>
      </c>
      <c r="BJ26">
        <f>CS26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418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f>$B$11*DQ26+$C$11*DR26+$F$11*EC26*(1-EF26)</f>
        <v>0</v>
      </c>
      <c r="CS26">
        <f>CR26*CT26</f>
        <v>0</v>
      </c>
      <c r="CT26">
        <f>($B$11*$D$9+$C$11*$D$9+$F$11*((EP26+EH26)/MAX(EP26+EH26+EQ26, 0.1)*$I$9+EQ26/MAX(EP26+EH26+EQ26, 0.1)*$J$9))/($B$11+$C$11+$F$11)</f>
        <v>0</v>
      </c>
      <c r="CU26">
        <f>($B$11*$K$9+$C$11*$K$9+$F$11*((EP26+EH26)/MAX(EP26+EH26+EQ26, 0.1)*$P$9+EQ26/MAX(EP26+EH26+EQ26, 0.1)*$Q$9))/($B$11+$C$11+$F$11)</f>
        <v>0</v>
      </c>
      <c r="CV26">
        <v>6</v>
      </c>
      <c r="CW26">
        <v>0.5</v>
      </c>
      <c r="CX26" t="s">
        <v>419</v>
      </c>
      <c r="CY26">
        <v>2</v>
      </c>
      <c r="CZ26" t="b">
        <v>1</v>
      </c>
      <c r="DA26">
        <v>1651771920</v>
      </c>
      <c r="DB26">
        <v>359.1677777777778</v>
      </c>
      <c r="DC26">
        <v>357.0566666666666</v>
      </c>
      <c r="DD26">
        <v>26.31447777777778</v>
      </c>
      <c r="DE26">
        <v>21.97621111111111</v>
      </c>
      <c r="DF26">
        <v>360.8561111111111</v>
      </c>
      <c r="DG26">
        <v>26.19106666666666</v>
      </c>
      <c r="DH26">
        <v>500.0472222222222</v>
      </c>
      <c r="DI26">
        <v>90.30886666666667</v>
      </c>
      <c r="DJ26">
        <v>0.09991418888888889</v>
      </c>
      <c r="DK26">
        <v>28.98274444444444</v>
      </c>
      <c r="DL26">
        <v>28.38221111111111</v>
      </c>
      <c r="DM26">
        <v>999.9000000000001</v>
      </c>
      <c r="DN26">
        <v>0</v>
      </c>
      <c r="DO26">
        <v>0</v>
      </c>
      <c r="DP26">
        <v>10012.22222222222</v>
      </c>
      <c r="DQ26">
        <v>0</v>
      </c>
      <c r="DR26">
        <v>13.19971111111111</v>
      </c>
      <c r="DS26">
        <v>2.111083333333333</v>
      </c>
      <c r="DT26">
        <v>368.8744444444444</v>
      </c>
      <c r="DU26">
        <v>365.0795555555556</v>
      </c>
      <c r="DV26">
        <v>4.338278888888889</v>
      </c>
      <c r="DW26">
        <v>357.0566666666666</v>
      </c>
      <c r="DX26">
        <v>21.97621111111111</v>
      </c>
      <c r="DY26">
        <v>2.376431111111111</v>
      </c>
      <c r="DZ26">
        <v>1.984646666666667</v>
      </c>
      <c r="EA26">
        <v>20.20406666666667</v>
      </c>
      <c r="EB26">
        <v>17.32237777777778</v>
      </c>
      <c r="EC26">
        <v>1499.966666666667</v>
      </c>
      <c r="ED26">
        <v>0.9729909999999999</v>
      </c>
      <c r="EE26">
        <v>0.02700893333333333</v>
      </c>
      <c r="EF26">
        <v>0</v>
      </c>
      <c r="EG26">
        <v>2.262255555555555</v>
      </c>
      <c r="EH26">
        <v>0</v>
      </c>
      <c r="EI26">
        <v>16032.28888888889</v>
      </c>
      <c r="EJ26">
        <v>12533.05555555555</v>
      </c>
      <c r="EK26">
        <v>36.75</v>
      </c>
      <c r="EL26">
        <v>38.312</v>
      </c>
      <c r="EM26">
        <v>37.17322222222222</v>
      </c>
      <c r="EN26">
        <v>37.625</v>
      </c>
      <c r="EO26">
        <v>36.562</v>
      </c>
      <c r="EP26">
        <v>1459.455555555555</v>
      </c>
      <c r="EQ26">
        <v>40.51111111111111</v>
      </c>
      <c r="ER26">
        <v>0</v>
      </c>
      <c r="ES26">
        <v>1651771923.8</v>
      </c>
      <c r="ET26">
        <v>0</v>
      </c>
      <c r="EU26">
        <v>2.268523076923077</v>
      </c>
      <c r="EV26">
        <v>-0.2280888915950454</v>
      </c>
      <c r="EW26">
        <v>-1882.023932741901</v>
      </c>
      <c r="EX26">
        <v>16183.57692307692</v>
      </c>
      <c r="EY26">
        <v>15</v>
      </c>
      <c r="EZ26">
        <v>0</v>
      </c>
      <c r="FA26" t="s">
        <v>420</v>
      </c>
      <c r="FB26">
        <v>1651697511.6</v>
      </c>
      <c r="FC26">
        <v>1651697666.1</v>
      </c>
      <c r="FD26">
        <v>0</v>
      </c>
      <c r="FE26">
        <v>-0.019</v>
      </c>
      <c r="FF26">
        <v>0.013</v>
      </c>
      <c r="FG26">
        <v>-2.121</v>
      </c>
      <c r="FH26">
        <v>0.041</v>
      </c>
      <c r="FI26">
        <v>420</v>
      </c>
      <c r="FJ26">
        <v>22</v>
      </c>
      <c r="FK26">
        <v>1.72</v>
      </c>
      <c r="FL26">
        <v>0.27</v>
      </c>
      <c r="FM26">
        <v>0.5315134975</v>
      </c>
      <c r="FN26">
        <v>12.08157168968106</v>
      </c>
      <c r="FO26">
        <v>1.164528765266881</v>
      </c>
      <c r="FP26">
        <v>0</v>
      </c>
      <c r="FQ26">
        <v>4.297752</v>
      </c>
      <c r="FR26">
        <v>0.3912968105065691</v>
      </c>
      <c r="FS26">
        <v>0.03945360447411618</v>
      </c>
      <c r="FT26">
        <v>1</v>
      </c>
      <c r="FU26">
        <v>0</v>
      </c>
      <c r="FV26">
        <v>0</v>
      </c>
      <c r="FW26">
        <v>0</v>
      </c>
      <c r="FX26">
        <v>1</v>
      </c>
      <c r="FY26">
        <v>2</v>
      </c>
      <c r="FZ26">
        <v>3</v>
      </c>
      <c r="GA26" t="s">
        <v>421</v>
      </c>
      <c r="GB26">
        <v>2.98163</v>
      </c>
      <c r="GC26">
        <v>2.70613</v>
      </c>
      <c r="GD26">
        <v>0.08217919999999999</v>
      </c>
      <c r="GE26">
        <v>0.0806147</v>
      </c>
      <c r="GF26">
        <v>0.113487</v>
      </c>
      <c r="GG26">
        <v>0.0987541</v>
      </c>
      <c r="GH26">
        <v>29033.8</v>
      </c>
      <c r="GI26">
        <v>29142.4</v>
      </c>
      <c r="GJ26">
        <v>29407.8</v>
      </c>
      <c r="GK26">
        <v>29319.1</v>
      </c>
      <c r="GL26">
        <v>34510.5</v>
      </c>
      <c r="GM26">
        <v>35175.4</v>
      </c>
      <c r="GN26">
        <v>41398.6</v>
      </c>
      <c r="GO26">
        <v>41843.2</v>
      </c>
      <c r="GP26">
        <v>1.9632</v>
      </c>
      <c r="GQ26">
        <v>1.86327</v>
      </c>
      <c r="GR26">
        <v>0.0813603</v>
      </c>
      <c r="GS26">
        <v>0</v>
      </c>
      <c r="GT26">
        <v>27.0379</v>
      </c>
      <c r="GU26">
        <v>999.9</v>
      </c>
      <c r="GV26">
        <v>45.1</v>
      </c>
      <c r="GW26">
        <v>35</v>
      </c>
      <c r="GX26">
        <v>28.2084</v>
      </c>
      <c r="GY26">
        <v>63.0107</v>
      </c>
      <c r="GZ26">
        <v>36.3582</v>
      </c>
      <c r="HA26">
        <v>1</v>
      </c>
      <c r="HB26">
        <v>0.0295122</v>
      </c>
      <c r="HC26">
        <v>0</v>
      </c>
      <c r="HD26">
        <v>20.3464</v>
      </c>
      <c r="HE26">
        <v>5.21714</v>
      </c>
      <c r="HF26">
        <v>12.0079</v>
      </c>
      <c r="HG26">
        <v>4.989</v>
      </c>
      <c r="HH26">
        <v>3.2885</v>
      </c>
      <c r="HI26">
        <v>487.5</v>
      </c>
      <c r="HJ26">
        <v>3587.7</v>
      </c>
      <c r="HK26">
        <v>4564.3</v>
      </c>
      <c r="HL26">
        <v>17.7</v>
      </c>
      <c r="HM26">
        <v>1.86768</v>
      </c>
      <c r="HN26">
        <v>1.86662</v>
      </c>
      <c r="HO26">
        <v>1.86616</v>
      </c>
      <c r="HP26">
        <v>1.86604</v>
      </c>
      <c r="HQ26">
        <v>1.86784</v>
      </c>
      <c r="HR26">
        <v>1.87037</v>
      </c>
      <c r="HS26">
        <v>1.86904</v>
      </c>
      <c r="HT26">
        <v>1.87042</v>
      </c>
      <c r="HU26">
        <v>0</v>
      </c>
      <c r="HV26">
        <v>0</v>
      </c>
      <c r="HW26">
        <v>0</v>
      </c>
      <c r="HX26">
        <v>0</v>
      </c>
      <c r="HY26" t="s">
        <v>422</v>
      </c>
      <c r="HZ26" t="s">
        <v>423</v>
      </c>
      <c r="IA26" t="s">
        <v>424</v>
      </c>
      <c r="IB26" t="s">
        <v>424</v>
      </c>
      <c r="IC26" t="s">
        <v>424</v>
      </c>
      <c r="ID26" t="s">
        <v>424</v>
      </c>
      <c r="IE26">
        <v>0</v>
      </c>
      <c r="IF26">
        <v>100</v>
      </c>
      <c r="IG26">
        <v>100</v>
      </c>
      <c r="IH26">
        <v>-1.675</v>
      </c>
      <c r="II26">
        <v>0.1234</v>
      </c>
      <c r="IJ26">
        <v>-1.064712027753117</v>
      </c>
      <c r="IK26">
        <v>-0.001826611574738555</v>
      </c>
      <c r="IL26">
        <v>3.313362389709971E-07</v>
      </c>
      <c r="IM26">
        <v>-1.629490614973607E-10</v>
      </c>
      <c r="IN26">
        <v>-0.09531406441470595</v>
      </c>
      <c r="IO26">
        <v>-0.008240702679890409</v>
      </c>
      <c r="IP26">
        <v>0.001077697425498046</v>
      </c>
      <c r="IQ26">
        <v>-1.69598232850356E-05</v>
      </c>
      <c r="IR26">
        <v>3</v>
      </c>
      <c r="IS26">
        <v>2280</v>
      </c>
      <c r="IT26">
        <v>1</v>
      </c>
      <c r="IU26">
        <v>25</v>
      </c>
      <c r="IV26">
        <v>1240.2</v>
      </c>
      <c r="IW26">
        <v>1237.6</v>
      </c>
      <c r="IX26">
        <v>0.875244</v>
      </c>
      <c r="IY26">
        <v>2.23267</v>
      </c>
      <c r="IZ26">
        <v>1.39648</v>
      </c>
      <c r="JA26">
        <v>2.35229</v>
      </c>
      <c r="JB26">
        <v>1.49536</v>
      </c>
      <c r="JC26">
        <v>2.31079</v>
      </c>
      <c r="JD26">
        <v>38.7964</v>
      </c>
      <c r="JE26">
        <v>24.0525</v>
      </c>
      <c r="JF26">
        <v>18</v>
      </c>
      <c r="JG26">
        <v>508.237</v>
      </c>
      <c r="JH26">
        <v>429.987</v>
      </c>
      <c r="JI26">
        <v>27.8876</v>
      </c>
      <c r="JJ26">
        <v>27.7741</v>
      </c>
      <c r="JK26">
        <v>30.0002</v>
      </c>
      <c r="JL26">
        <v>27.7114</v>
      </c>
      <c r="JM26">
        <v>27.65</v>
      </c>
      <c r="JN26">
        <v>17.5343</v>
      </c>
      <c r="JO26">
        <v>27.2028</v>
      </c>
      <c r="JP26">
        <v>0</v>
      </c>
      <c r="JQ26">
        <v>-999.9</v>
      </c>
      <c r="JR26">
        <v>326.005</v>
      </c>
      <c r="JS26">
        <v>21.8718</v>
      </c>
      <c r="JT26">
        <v>100.53</v>
      </c>
      <c r="JU26">
        <v>100.431</v>
      </c>
    </row>
    <row r="27" spans="1:281">
      <c r="A27">
        <v>11</v>
      </c>
      <c r="B27">
        <v>1651771927.5</v>
      </c>
      <c r="C27">
        <v>49.90000009536743</v>
      </c>
      <c r="D27" t="s">
        <v>443</v>
      </c>
      <c r="E27" t="s">
        <v>444</v>
      </c>
      <c r="F27">
        <v>5</v>
      </c>
      <c r="H27" t="s">
        <v>417</v>
      </c>
      <c r="I27">
        <v>1651771924.7</v>
      </c>
      <c r="J27">
        <f>(K27)/1000</f>
        <v>0</v>
      </c>
      <c r="K27">
        <f>IF(CZ27, AN27, AH27)</f>
        <v>0</v>
      </c>
      <c r="L27">
        <f>IF(CZ27, AI27, AG27)</f>
        <v>0</v>
      </c>
      <c r="M27">
        <f>DB27 - IF(AU27&gt;1, L27*CV27*100.0/(AW27*DP27), 0)</f>
        <v>0</v>
      </c>
      <c r="N27">
        <f>((T27-J27/2)*M27-L27)/(T27+J27/2)</f>
        <v>0</v>
      </c>
      <c r="O27">
        <f>N27*(DI27+DJ27)/1000.0</f>
        <v>0</v>
      </c>
      <c r="P27">
        <f>(DB27 - IF(AU27&gt;1, L27*CV27*100.0/(AW27*DP27), 0))*(DI27+DJ27)/1000.0</f>
        <v>0</v>
      </c>
      <c r="Q27">
        <f>2.0/((1/S27-1/R27)+SIGN(S27)*SQRT((1/S27-1/R27)*(1/S27-1/R27) + 4*CW27/((CW27+1)*(CW27+1))*(2*1/S27*1/R27-1/R27*1/R27)))</f>
        <v>0</v>
      </c>
      <c r="R27">
        <f>IF(LEFT(CX27,1)&lt;&gt;"0",IF(LEFT(CX27,1)="1",3.0,CY27),$D$5+$E$5*(DP27*DI27/($K$5*1000))+$F$5*(DP27*DI27/($K$5*1000))*MAX(MIN(CV27,$J$5),$I$5)*MAX(MIN(CV27,$J$5),$I$5)+$G$5*MAX(MIN(CV27,$J$5),$I$5)*(DP27*DI27/($K$5*1000))+$H$5*(DP27*DI27/($K$5*1000))*(DP27*DI27/($K$5*1000)))</f>
        <v>0</v>
      </c>
      <c r="S27">
        <f>J27*(1000-(1000*0.61365*exp(17.502*W27/(240.97+W27))/(DI27+DJ27)+DD27)/2)/(1000*0.61365*exp(17.502*W27/(240.97+W27))/(DI27+DJ27)-DD27)</f>
        <v>0</v>
      </c>
      <c r="T27">
        <f>1/((CW27+1)/(Q27/1.6)+1/(R27/1.37)) + CW27/((CW27+1)/(Q27/1.6) + CW27/(R27/1.37))</f>
        <v>0</v>
      </c>
      <c r="U27">
        <f>(CR27*CU27)</f>
        <v>0</v>
      </c>
      <c r="V27">
        <f>(DK27+(U27+2*0.95*5.67E-8*(((DK27+$B$7)+273)^4-(DK27+273)^4)-44100*J27)/(1.84*29.3*R27+8*0.95*5.67E-8*(DK27+273)^3))</f>
        <v>0</v>
      </c>
      <c r="W27">
        <f>($C$7*DL27+$D$7*DM27+$E$7*V27)</f>
        <v>0</v>
      </c>
      <c r="X27">
        <f>0.61365*exp(17.502*W27/(240.97+W27))</f>
        <v>0</v>
      </c>
      <c r="Y27">
        <f>(Z27/AA27*100)</f>
        <v>0</v>
      </c>
      <c r="Z27">
        <f>DD27*(DI27+DJ27)/1000</f>
        <v>0</v>
      </c>
      <c r="AA27">
        <f>0.61365*exp(17.502*DK27/(240.97+DK27))</f>
        <v>0</v>
      </c>
      <c r="AB27">
        <f>(X27-DD27*(DI27+DJ27)/1000)</f>
        <v>0</v>
      </c>
      <c r="AC27">
        <f>(-J27*44100)</f>
        <v>0</v>
      </c>
      <c r="AD27">
        <f>2*29.3*R27*0.92*(DK27-W27)</f>
        <v>0</v>
      </c>
      <c r="AE27">
        <f>2*0.95*5.67E-8*(((DK27+$B$7)+273)^4-(W27+273)^4)</f>
        <v>0</v>
      </c>
      <c r="AF27">
        <f>U27+AE27+AC27+AD27</f>
        <v>0</v>
      </c>
      <c r="AG27">
        <f>DH27*AU27*(DC27-DB27*(1000-AU27*DE27)/(1000-AU27*DD27))/(100*CV27)</f>
        <v>0</v>
      </c>
      <c r="AH27">
        <f>1000*DH27*AU27*(DD27-DE27)/(100*CV27*(1000-AU27*DD27))</f>
        <v>0</v>
      </c>
      <c r="AI27">
        <f>(AJ27 - AK27 - DI27*1E3/(8.314*(DK27+273.15)) * AM27/DH27 * AL27) * DH27/(100*CV27) * (1000 - DE27)/1000</f>
        <v>0</v>
      </c>
      <c r="AJ27">
        <v>349.0031573516055</v>
      </c>
      <c r="AK27">
        <v>346.2138545454545</v>
      </c>
      <c r="AL27">
        <v>-3.235024181773457</v>
      </c>
      <c r="AM27">
        <v>66.72507702095443</v>
      </c>
      <c r="AN27">
        <f>(AP27 - AO27 + DI27*1E3/(8.314*(DK27+273.15)) * AR27/DH27 * AQ27) * DH27/(100*CV27) * 1000/(1000 - AP27)</f>
        <v>0</v>
      </c>
      <c r="AO27">
        <v>21.94598022642722</v>
      </c>
      <c r="AP27">
        <v>26.30866545454543</v>
      </c>
      <c r="AQ27">
        <v>1.646044944077867E-05</v>
      </c>
      <c r="AR27">
        <v>78.22078291278521</v>
      </c>
      <c r="AS27">
        <v>1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MAX(0,($B$13+$C$13*DP27)/(1+$D$13*DP27)*DI27/(DK27+273)*$E$13)</f>
        <v>0</v>
      </c>
      <c r="AX27" t="s">
        <v>418</v>
      </c>
      <c r="AY27" t="s">
        <v>418</v>
      </c>
      <c r="AZ27">
        <v>0</v>
      </c>
      <c r="BA27">
        <v>0</v>
      </c>
      <c r="BB27">
        <f>1-AZ27/BA27</f>
        <v>0</v>
      </c>
      <c r="BC27">
        <v>0</v>
      </c>
      <c r="BD27" t="s">
        <v>418</v>
      </c>
      <c r="BE27" t="s">
        <v>418</v>
      </c>
      <c r="BF27">
        <v>0</v>
      </c>
      <c r="BG27">
        <v>0</v>
      </c>
      <c r="BH27">
        <f>1-BF27/BG27</f>
        <v>0</v>
      </c>
      <c r="BI27">
        <v>0.5</v>
      </c>
      <c r="BJ27">
        <f>CS27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418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f>$B$11*DQ27+$C$11*DR27+$F$11*EC27*(1-EF27)</f>
        <v>0</v>
      </c>
      <c r="CS27">
        <f>CR27*CT27</f>
        <v>0</v>
      </c>
      <c r="CT27">
        <f>($B$11*$D$9+$C$11*$D$9+$F$11*((EP27+EH27)/MAX(EP27+EH27+EQ27, 0.1)*$I$9+EQ27/MAX(EP27+EH27+EQ27, 0.1)*$J$9))/($B$11+$C$11+$F$11)</f>
        <v>0</v>
      </c>
      <c r="CU27">
        <f>($B$11*$K$9+$C$11*$K$9+$F$11*((EP27+EH27)/MAX(EP27+EH27+EQ27, 0.1)*$P$9+EQ27/MAX(EP27+EH27+EQ27, 0.1)*$Q$9))/($B$11+$C$11+$F$11)</f>
        <v>0</v>
      </c>
      <c r="CV27">
        <v>6</v>
      </c>
      <c r="CW27">
        <v>0.5</v>
      </c>
      <c r="CX27" t="s">
        <v>419</v>
      </c>
      <c r="CY27">
        <v>2</v>
      </c>
      <c r="CZ27" t="b">
        <v>1</v>
      </c>
      <c r="DA27">
        <v>1651771924.7</v>
      </c>
      <c r="DB27">
        <v>344.3478</v>
      </c>
      <c r="DC27">
        <v>341.4754</v>
      </c>
      <c r="DD27">
        <v>26.31366</v>
      </c>
      <c r="DE27">
        <v>21.93499</v>
      </c>
      <c r="DF27">
        <v>346.0118000000001</v>
      </c>
      <c r="DG27">
        <v>26.19025</v>
      </c>
      <c r="DH27">
        <v>500.0424</v>
      </c>
      <c r="DI27">
        <v>90.30798000000001</v>
      </c>
      <c r="DJ27">
        <v>0.10006841</v>
      </c>
      <c r="DK27">
        <v>28.987</v>
      </c>
      <c r="DL27">
        <v>28.38403</v>
      </c>
      <c r="DM27">
        <v>999.9</v>
      </c>
      <c r="DN27">
        <v>0</v>
      </c>
      <c r="DO27">
        <v>0</v>
      </c>
      <c r="DP27">
        <v>9994.187</v>
      </c>
      <c r="DQ27">
        <v>0</v>
      </c>
      <c r="DR27">
        <v>13.08427</v>
      </c>
      <c r="DS27">
        <v>2.872564</v>
      </c>
      <c r="DT27">
        <v>353.6538</v>
      </c>
      <c r="DU27">
        <v>349.1337</v>
      </c>
      <c r="DV27">
        <v>4.378662</v>
      </c>
      <c r="DW27">
        <v>341.4754</v>
      </c>
      <c r="DX27">
        <v>21.93499</v>
      </c>
      <c r="DY27">
        <v>2.376336</v>
      </c>
      <c r="DZ27">
        <v>1.980906</v>
      </c>
      <c r="EA27">
        <v>20.2034</v>
      </c>
      <c r="EB27">
        <v>17.2925</v>
      </c>
      <c r="EC27">
        <v>1500.031</v>
      </c>
      <c r="ED27">
        <v>0.9729926000000001</v>
      </c>
      <c r="EE27">
        <v>0.02700752</v>
      </c>
      <c r="EF27">
        <v>0</v>
      </c>
      <c r="EG27">
        <v>2.32106</v>
      </c>
      <c r="EH27">
        <v>0</v>
      </c>
      <c r="EI27">
        <v>15864.86</v>
      </c>
      <c r="EJ27">
        <v>12533.6</v>
      </c>
      <c r="EK27">
        <v>36.75</v>
      </c>
      <c r="EL27">
        <v>38.312</v>
      </c>
      <c r="EM27">
        <v>37.14980000000001</v>
      </c>
      <c r="EN27">
        <v>37.625</v>
      </c>
      <c r="EO27">
        <v>36.562</v>
      </c>
      <c r="EP27">
        <v>1459.52</v>
      </c>
      <c r="EQ27">
        <v>40.511</v>
      </c>
      <c r="ER27">
        <v>0</v>
      </c>
      <c r="ES27">
        <v>1651771928.6</v>
      </c>
      <c r="ET27">
        <v>0</v>
      </c>
      <c r="EU27">
        <v>2.292457692307692</v>
      </c>
      <c r="EV27">
        <v>0.5099042647522813</v>
      </c>
      <c r="EW27">
        <v>-2058.239315967664</v>
      </c>
      <c r="EX27">
        <v>16026.15</v>
      </c>
      <c r="EY27">
        <v>15</v>
      </c>
      <c r="EZ27">
        <v>0</v>
      </c>
      <c r="FA27" t="s">
        <v>420</v>
      </c>
      <c r="FB27">
        <v>1651697511.6</v>
      </c>
      <c r="FC27">
        <v>1651697666.1</v>
      </c>
      <c r="FD27">
        <v>0</v>
      </c>
      <c r="FE27">
        <v>-0.019</v>
      </c>
      <c r="FF27">
        <v>0.013</v>
      </c>
      <c r="FG27">
        <v>-2.121</v>
      </c>
      <c r="FH27">
        <v>0.041</v>
      </c>
      <c r="FI27">
        <v>420</v>
      </c>
      <c r="FJ27">
        <v>22</v>
      </c>
      <c r="FK27">
        <v>1.72</v>
      </c>
      <c r="FL27">
        <v>0.27</v>
      </c>
      <c r="FM27">
        <v>1.52768133902439</v>
      </c>
      <c r="FN27">
        <v>10.9242802912892</v>
      </c>
      <c r="FO27">
        <v>1.080102787116692</v>
      </c>
      <c r="FP27">
        <v>0</v>
      </c>
      <c r="FQ27">
        <v>4.332351951219513</v>
      </c>
      <c r="FR27">
        <v>0.3404780487804899</v>
      </c>
      <c r="FS27">
        <v>0.03651141620460529</v>
      </c>
      <c r="FT27">
        <v>1</v>
      </c>
      <c r="FU27">
        <v>0</v>
      </c>
      <c r="FV27">
        <v>0</v>
      </c>
      <c r="FW27">
        <v>0</v>
      </c>
      <c r="FX27">
        <v>1</v>
      </c>
      <c r="FY27">
        <v>2</v>
      </c>
      <c r="FZ27">
        <v>3</v>
      </c>
      <c r="GA27" t="s">
        <v>421</v>
      </c>
      <c r="GB27">
        <v>2.98164</v>
      </c>
      <c r="GC27">
        <v>2.70617</v>
      </c>
      <c r="GD27">
        <v>0.0792427</v>
      </c>
      <c r="GE27">
        <v>0.0775349</v>
      </c>
      <c r="GF27">
        <v>0.113462</v>
      </c>
      <c r="GG27">
        <v>0.09842620000000001</v>
      </c>
      <c r="GH27">
        <v>29126.5</v>
      </c>
      <c r="GI27">
        <v>29239.9</v>
      </c>
      <c r="GJ27">
        <v>29407.7</v>
      </c>
      <c r="GK27">
        <v>29319</v>
      </c>
      <c r="GL27">
        <v>34511.2</v>
      </c>
      <c r="GM27">
        <v>35188.2</v>
      </c>
      <c r="GN27">
        <v>41398.3</v>
      </c>
      <c r="GO27">
        <v>41843.1</v>
      </c>
      <c r="GP27">
        <v>1.96308</v>
      </c>
      <c r="GQ27">
        <v>1.86302</v>
      </c>
      <c r="GR27">
        <v>0.08282440000000001</v>
      </c>
      <c r="GS27">
        <v>0</v>
      </c>
      <c r="GT27">
        <v>27.0413</v>
      </c>
      <c r="GU27">
        <v>999.9</v>
      </c>
      <c r="GV27">
        <v>45.1</v>
      </c>
      <c r="GW27">
        <v>35.1</v>
      </c>
      <c r="GX27">
        <v>28.3641</v>
      </c>
      <c r="GY27">
        <v>62.8407</v>
      </c>
      <c r="GZ27">
        <v>36.6266</v>
      </c>
      <c r="HA27">
        <v>1</v>
      </c>
      <c r="HB27">
        <v>0.0295783</v>
      </c>
      <c r="HC27">
        <v>0</v>
      </c>
      <c r="HD27">
        <v>20.3465</v>
      </c>
      <c r="HE27">
        <v>5.21789</v>
      </c>
      <c r="HF27">
        <v>12.0092</v>
      </c>
      <c r="HG27">
        <v>4.9892</v>
      </c>
      <c r="HH27">
        <v>3.28855</v>
      </c>
      <c r="HI27">
        <v>487.8</v>
      </c>
      <c r="HJ27">
        <v>3589</v>
      </c>
      <c r="HK27">
        <v>4564.3</v>
      </c>
      <c r="HL27">
        <v>17.7</v>
      </c>
      <c r="HM27">
        <v>1.86768</v>
      </c>
      <c r="HN27">
        <v>1.86662</v>
      </c>
      <c r="HO27">
        <v>1.86615</v>
      </c>
      <c r="HP27">
        <v>1.86604</v>
      </c>
      <c r="HQ27">
        <v>1.86784</v>
      </c>
      <c r="HR27">
        <v>1.8704</v>
      </c>
      <c r="HS27">
        <v>1.86905</v>
      </c>
      <c r="HT27">
        <v>1.87042</v>
      </c>
      <c r="HU27">
        <v>0</v>
      </c>
      <c r="HV27">
        <v>0</v>
      </c>
      <c r="HW27">
        <v>0</v>
      </c>
      <c r="HX27">
        <v>0</v>
      </c>
      <c r="HY27" t="s">
        <v>422</v>
      </c>
      <c r="HZ27" t="s">
        <v>423</v>
      </c>
      <c r="IA27" t="s">
        <v>424</v>
      </c>
      <c r="IB27" t="s">
        <v>424</v>
      </c>
      <c r="IC27" t="s">
        <v>424</v>
      </c>
      <c r="ID27" t="s">
        <v>424</v>
      </c>
      <c r="IE27">
        <v>0</v>
      </c>
      <c r="IF27">
        <v>100</v>
      </c>
      <c r="IG27">
        <v>100</v>
      </c>
      <c r="IH27">
        <v>-1.649</v>
      </c>
      <c r="II27">
        <v>0.1233</v>
      </c>
      <c r="IJ27">
        <v>-1.064712027753117</v>
      </c>
      <c r="IK27">
        <v>-0.001826611574738555</v>
      </c>
      <c r="IL27">
        <v>3.313362389709971E-07</v>
      </c>
      <c r="IM27">
        <v>-1.629490614973607E-10</v>
      </c>
      <c r="IN27">
        <v>-0.09531406441470595</v>
      </c>
      <c r="IO27">
        <v>-0.008240702679890409</v>
      </c>
      <c r="IP27">
        <v>0.001077697425498046</v>
      </c>
      <c r="IQ27">
        <v>-1.69598232850356E-05</v>
      </c>
      <c r="IR27">
        <v>3</v>
      </c>
      <c r="IS27">
        <v>2280</v>
      </c>
      <c r="IT27">
        <v>1</v>
      </c>
      <c r="IU27">
        <v>25</v>
      </c>
      <c r="IV27">
        <v>1240.3</v>
      </c>
      <c r="IW27">
        <v>1237.7</v>
      </c>
      <c r="IX27">
        <v>0.842285</v>
      </c>
      <c r="IY27">
        <v>2.23389</v>
      </c>
      <c r="IZ27">
        <v>1.39648</v>
      </c>
      <c r="JA27">
        <v>2.35352</v>
      </c>
      <c r="JB27">
        <v>1.49536</v>
      </c>
      <c r="JC27">
        <v>2.29492</v>
      </c>
      <c r="JD27">
        <v>38.7964</v>
      </c>
      <c r="JE27">
        <v>24.0525</v>
      </c>
      <c r="JF27">
        <v>18</v>
      </c>
      <c r="JG27">
        <v>508.167</v>
      </c>
      <c r="JH27">
        <v>429.855</v>
      </c>
      <c r="JI27">
        <v>27.8938</v>
      </c>
      <c r="JJ27">
        <v>27.7758</v>
      </c>
      <c r="JK27">
        <v>30.0003</v>
      </c>
      <c r="JL27">
        <v>27.7126</v>
      </c>
      <c r="JM27">
        <v>27.6524</v>
      </c>
      <c r="JN27">
        <v>16.8841</v>
      </c>
      <c r="JO27">
        <v>27.2028</v>
      </c>
      <c r="JP27">
        <v>0</v>
      </c>
      <c r="JQ27">
        <v>-999.9</v>
      </c>
      <c r="JR27">
        <v>305.859</v>
      </c>
      <c r="JS27">
        <v>21.8621</v>
      </c>
      <c r="JT27">
        <v>100.53</v>
      </c>
      <c r="JU27">
        <v>100.431</v>
      </c>
    </row>
    <row r="28" spans="1:281">
      <c r="A28">
        <v>12</v>
      </c>
      <c r="B28">
        <v>1651771932.5</v>
      </c>
      <c r="C28">
        <v>54.90000009536743</v>
      </c>
      <c r="D28" t="s">
        <v>445</v>
      </c>
      <c r="E28" t="s">
        <v>446</v>
      </c>
      <c r="F28">
        <v>5</v>
      </c>
      <c r="H28" t="s">
        <v>417</v>
      </c>
      <c r="I28">
        <v>1651771930</v>
      </c>
      <c r="J28">
        <f>(K28)/1000</f>
        <v>0</v>
      </c>
      <c r="K28">
        <f>IF(CZ28, AN28, AH28)</f>
        <v>0</v>
      </c>
      <c r="L28">
        <f>IF(CZ28, AI28, AG28)</f>
        <v>0</v>
      </c>
      <c r="M28">
        <f>DB28 - IF(AU28&gt;1, L28*CV28*100.0/(AW28*DP28), 0)</f>
        <v>0</v>
      </c>
      <c r="N28">
        <f>((T28-J28/2)*M28-L28)/(T28+J28/2)</f>
        <v>0</v>
      </c>
      <c r="O28">
        <f>N28*(DI28+DJ28)/1000.0</f>
        <v>0</v>
      </c>
      <c r="P28">
        <f>(DB28 - IF(AU28&gt;1, L28*CV28*100.0/(AW28*DP28), 0))*(DI28+DJ28)/1000.0</f>
        <v>0</v>
      </c>
      <c r="Q28">
        <f>2.0/((1/S28-1/R28)+SIGN(S28)*SQRT((1/S28-1/R28)*(1/S28-1/R28) + 4*CW28/((CW28+1)*(CW28+1))*(2*1/S28*1/R28-1/R28*1/R28)))</f>
        <v>0</v>
      </c>
      <c r="R28">
        <f>IF(LEFT(CX28,1)&lt;&gt;"0",IF(LEFT(CX28,1)="1",3.0,CY28),$D$5+$E$5*(DP28*DI28/($K$5*1000))+$F$5*(DP28*DI28/($K$5*1000))*MAX(MIN(CV28,$J$5),$I$5)*MAX(MIN(CV28,$J$5),$I$5)+$G$5*MAX(MIN(CV28,$J$5),$I$5)*(DP28*DI28/($K$5*1000))+$H$5*(DP28*DI28/($K$5*1000))*(DP28*DI28/($K$5*1000)))</f>
        <v>0</v>
      </c>
      <c r="S28">
        <f>J28*(1000-(1000*0.61365*exp(17.502*W28/(240.97+W28))/(DI28+DJ28)+DD28)/2)/(1000*0.61365*exp(17.502*W28/(240.97+W28))/(DI28+DJ28)-DD28)</f>
        <v>0</v>
      </c>
      <c r="T28">
        <f>1/((CW28+1)/(Q28/1.6)+1/(R28/1.37)) + CW28/((CW28+1)/(Q28/1.6) + CW28/(R28/1.37))</f>
        <v>0</v>
      </c>
      <c r="U28">
        <f>(CR28*CU28)</f>
        <v>0</v>
      </c>
      <c r="V28">
        <f>(DK28+(U28+2*0.95*5.67E-8*(((DK28+$B$7)+273)^4-(DK28+273)^4)-44100*J28)/(1.84*29.3*R28+8*0.95*5.67E-8*(DK28+273)^3))</f>
        <v>0</v>
      </c>
      <c r="W28">
        <f>($C$7*DL28+$D$7*DM28+$E$7*V28)</f>
        <v>0</v>
      </c>
      <c r="X28">
        <f>0.61365*exp(17.502*W28/(240.97+W28))</f>
        <v>0</v>
      </c>
      <c r="Y28">
        <f>(Z28/AA28*100)</f>
        <v>0</v>
      </c>
      <c r="Z28">
        <f>DD28*(DI28+DJ28)/1000</f>
        <v>0</v>
      </c>
      <c r="AA28">
        <f>0.61365*exp(17.502*DK28/(240.97+DK28))</f>
        <v>0</v>
      </c>
      <c r="AB28">
        <f>(X28-DD28*(DI28+DJ28)/1000)</f>
        <v>0</v>
      </c>
      <c r="AC28">
        <f>(-J28*44100)</f>
        <v>0</v>
      </c>
      <c r="AD28">
        <f>2*29.3*R28*0.92*(DK28-W28)</f>
        <v>0</v>
      </c>
      <c r="AE28">
        <f>2*0.95*5.67E-8*(((DK28+$B$7)+273)^4-(W28+273)^4)</f>
        <v>0</v>
      </c>
      <c r="AF28">
        <f>U28+AE28+AC28+AD28</f>
        <v>0</v>
      </c>
      <c r="AG28">
        <f>DH28*AU28*(DC28-DB28*(1000-AU28*DE28)/(1000-AU28*DD28))/(100*CV28)</f>
        <v>0</v>
      </c>
      <c r="AH28">
        <f>1000*DH28*AU28*(DD28-DE28)/(100*CV28*(1000-AU28*DD28))</f>
        <v>0</v>
      </c>
      <c r="AI28">
        <f>(AJ28 - AK28 - DI28*1E3/(8.314*(DK28+273.15)) * AM28/DH28 * AL28) * DH28/(100*CV28) * (1000 - DE28)/1000</f>
        <v>0</v>
      </c>
      <c r="AJ28">
        <v>331.9347330194912</v>
      </c>
      <c r="AK28">
        <v>330.0054666666667</v>
      </c>
      <c r="AL28">
        <v>-3.241695301342559</v>
      </c>
      <c r="AM28">
        <v>66.72507702095443</v>
      </c>
      <c r="AN28">
        <f>(AP28 - AO28 + DI28*1E3/(8.314*(DK28+273.15)) * AR28/DH28 * AQ28) * DH28/(100*CV28) * 1000/(1000 - AP28)</f>
        <v>0</v>
      </c>
      <c r="AO28">
        <v>21.85403956217822</v>
      </c>
      <c r="AP28">
        <v>26.28021636363636</v>
      </c>
      <c r="AQ28">
        <v>-0.006592744659451085</v>
      </c>
      <c r="AR28">
        <v>78.22078291278521</v>
      </c>
      <c r="AS28">
        <v>1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MAX(0,($B$13+$C$13*DP28)/(1+$D$13*DP28)*DI28/(DK28+273)*$E$13)</f>
        <v>0</v>
      </c>
      <c r="AX28" t="s">
        <v>418</v>
      </c>
      <c r="AY28" t="s">
        <v>418</v>
      </c>
      <c r="AZ28">
        <v>0</v>
      </c>
      <c r="BA28">
        <v>0</v>
      </c>
      <c r="BB28">
        <f>1-AZ28/BA28</f>
        <v>0</v>
      </c>
      <c r="BC28">
        <v>0</v>
      </c>
      <c r="BD28" t="s">
        <v>418</v>
      </c>
      <c r="BE28" t="s">
        <v>418</v>
      </c>
      <c r="BF28">
        <v>0</v>
      </c>
      <c r="BG28">
        <v>0</v>
      </c>
      <c r="BH28">
        <f>1-BF28/BG28</f>
        <v>0</v>
      </c>
      <c r="BI28">
        <v>0.5</v>
      </c>
      <c r="BJ28">
        <f>CS28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418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f>$B$11*DQ28+$C$11*DR28+$F$11*EC28*(1-EF28)</f>
        <v>0</v>
      </c>
      <c r="CS28">
        <f>CR28*CT28</f>
        <v>0</v>
      </c>
      <c r="CT28">
        <f>($B$11*$D$9+$C$11*$D$9+$F$11*((EP28+EH28)/MAX(EP28+EH28+EQ28, 0.1)*$I$9+EQ28/MAX(EP28+EH28+EQ28, 0.1)*$J$9))/($B$11+$C$11+$F$11)</f>
        <v>0</v>
      </c>
      <c r="CU28">
        <f>($B$11*$K$9+$C$11*$K$9+$F$11*((EP28+EH28)/MAX(EP28+EH28+EQ28, 0.1)*$P$9+EQ28/MAX(EP28+EH28+EQ28, 0.1)*$Q$9))/($B$11+$C$11+$F$11)</f>
        <v>0</v>
      </c>
      <c r="CV28">
        <v>6</v>
      </c>
      <c r="CW28">
        <v>0.5</v>
      </c>
      <c r="CX28" t="s">
        <v>419</v>
      </c>
      <c r="CY28">
        <v>2</v>
      </c>
      <c r="CZ28" t="b">
        <v>1</v>
      </c>
      <c r="DA28">
        <v>1651771930</v>
      </c>
      <c r="DB28">
        <v>327.6426666666666</v>
      </c>
      <c r="DC28">
        <v>323.8333333333334</v>
      </c>
      <c r="DD28">
        <v>26.29012222222222</v>
      </c>
      <c r="DE28">
        <v>21.85334444444445</v>
      </c>
      <c r="DF28">
        <v>329.2787777777778</v>
      </c>
      <c r="DG28">
        <v>26.16702222222222</v>
      </c>
      <c r="DH28">
        <v>500.0242222222222</v>
      </c>
      <c r="DI28">
        <v>90.30787777777779</v>
      </c>
      <c r="DJ28">
        <v>0.0998525</v>
      </c>
      <c r="DK28">
        <v>28.98954444444444</v>
      </c>
      <c r="DL28">
        <v>28.3967</v>
      </c>
      <c r="DM28">
        <v>999.9000000000001</v>
      </c>
      <c r="DN28">
        <v>0</v>
      </c>
      <c r="DO28">
        <v>0</v>
      </c>
      <c r="DP28">
        <v>9998.814444444444</v>
      </c>
      <c r="DQ28">
        <v>0</v>
      </c>
      <c r="DR28">
        <v>13.11525555555556</v>
      </c>
      <c r="DS28">
        <v>3.809464444444444</v>
      </c>
      <c r="DT28">
        <v>336.4891111111111</v>
      </c>
      <c r="DU28">
        <v>331.0684444444444</v>
      </c>
      <c r="DV28">
        <v>4.436765555555556</v>
      </c>
      <c r="DW28">
        <v>323.8333333333334</v>
      </c>
      <c r="DX28">
        <v>21.85334444444445</v>
      </c>
      <c r="DY28">
        <v>2.374205555555555</v>
      </c>
      <c r="DZ28">
        <v>1.97353</v>
      </c>
      <c r="EA28">
        <v>20.1889</v>
      </c>
      <c r="EB28">
        <v>17.23356666666667</v>
      </c>
      <c r="EC28">
        <v>1500.006666666667</v>
      </c>
      <c r="ED28">
        <v>0.9729930000000001</v>
      </c>
      <c r="EE28">
        <v>0.02700716666666667</v>
      </c>
      <c r="EF28">
        <v>0</v>
      </c>
      <c r="EG28">
        <v>2.2898</v>
      </c>
      <c r="EH28">
        <v>0</v>
      </c>
      <c r="EI28">
        <v>15659.34444444444</v>
      </c>
      <c r="EJ28">
        <v>12533.4</v>
      </c>
      <c r="EK28">
        <v>36.75</v>
      </c>
      <c r="EL28">
        <v>38.312</v>
      </c>
      <c r="EM28">
        <v>37.13188888888889</v>
      </c>
      <c r="EN28">
        <v>37.625</v>
      </c>
      <c r="EO28">
        <v>36.562</v>
      </c>
      <c r="EP28">
        <v>1459.496666666667</v>
      </c>
      <c r="EQ28">
        <v>40.51</v>
      </c>
      <c r="ER28">
        <v>0</v>
      </c>
      <c r="ES28">
        <v>1651771933.4</v>
      </c>
      <c r="ET28">
        <v>0</v>
      </c>
      <c r="EU28">
        <v>2.280865384615385</v>
      </c>
      <c r="EV28">
        <v>0.4525367402936272</v>
      </c>
      <c r="EW28">
        <v>-2216.926495714463</v>
      </c>
      <c r="EX28">
        <v>15855.24230769231</v>
      </c>
      <c r="EY28">
        <v>15</v>
      </c>
      <c r="EZ28">
        <v>0</v>
      </c>
      <c r="FA28" t="s">
        <v>420</v>
      </c>
      <c r="FB28">
        <v>1651697511.6</v>
      </c>
      <c r="FC28">
        <v>1651697666.1</v>
      </c>
      <c r="FD28">
        <v>0</v>
      </c>
      <c r="FE28">
        <v>-0.019</v>
      </c>
      <c r="FF28">
        <v>0.013</v>
      </c>
      <c r="FG28">
        <v>-2.121</v>
      </c>
      <c r="FH28">
        <v>0.041</v>
      </c>
      <c r="FI28">
        <v>420</v>
      </c>
      <c r="FJ28">
        <v>22</v>
      </c>
      <c r="FK28">
        <v>1.72</v>
      </c>
      <c r="FL28">
        <v>0.27</v>
      </c>
      <c r="FM28">
        <v>2.260795414634146</v>
      </c>
      <c r="FN28">
        <v>10.26366917770035</v>
      </c>
      <c r="FO28">
        <v>1.012304670991432</v>
      </c>
      <c r="FP28">
        <v>0</v>
      </c>
      <c r="FQ28">
        <v>4.361639268292683</v>
      </c>
      <c r="FR28">
        <v>0.4472895470383227</v>
      </c>
      <c r="FS28">
        <v>0.0474929988879103</v>
      </c>
      <c r="FT28">
        <v>1</v>
      </c>
      <c r="FU28">
        <v>0</v>
      </c>
      <c r="FV28">
        <v>0</v>
      </c>
      <c r="FW28">
        <v>0</v>
      </c>
      <c r="FX28">
        <v>1</v>
      </c>
      <c r="FY28">
        <v>2</v>
      </c>
      <c r="FZ28">
        <v>3</v>
      </c>
      <c r="GA28" t="s">
        <v>421</v>
      </c>
      <c r="GB28">
        <v>2.98151</v>
      </c>
      <c r="GC28">
        <v>2.70604</v>
      </c>
      <c r="GD28">
        <v>0.0762453</v>
      </c>
      <c r="GE28">
        <v>0.07438549999999999</v>
      </c>
      <c r="GF28">
        <v>0.113384</v>
      </c>
      <c r="GG28">
        <v>0.0983599</v>
      </c>
      <c r="GH28">
        <v>29221.3</v>
      </c>
      <c r="GI28">
        <v>29339.6</v>
      </c>
      <c r="GJ28">
        <v>29407.7</v>
      </c>
      <c r="GK28">
        <v>29318.8</v>
      </c>
      <c r="GL28">
        <v>34514.4</v>
      </c>
      <c r="GM28">
        <v>35190.5</v>
      </c>
      <c r="GN28">
        <v>41398.4</v>
      </c>
      <c r="GO28">
        <v>41842.7</v>
      </c>
      <c r="GP28">
        <v>1.96292</v>
      </c>
      <c r="GQ28">
        <v>1.86287</v>
      </c>
      <c r="GR28">
        <v>0.08288769999999999</v>
      </c>
      <c r="GS28">
        <v>0</v>
      </c>
      <c r="GT28">
        <v>27.0448</v>
      </c>
      <c r="GU28">
        <v>999.9</v>
      </c>
      <c r="GV28">
        <v>45.1</v>
      </c>
      <c r="GW28">
        <v>35.1</v>
      </c>
      <c r="GX28">
        <v>28.364</v>
      </c>
      <c r="GY28">
        <v>62.7908</v>
      </c>
      <c r="GZ28">
        <v>36.4784</v>
      </c>
      <c r="HA28">
        <v>1</v>
      </c>
      <c r="HB28">
        <v>0.0297942</v>
      </c>
      <c r="HC28">
        <v>0</v>
      </c>
      <c r="HD28">
        <v>20.3463</v>
      </c>
      <c r="HE28">
        <v>5.21594</v>
      </c>
      <c r="HF28">
        <v>12.0088</v>
      </c>
      <c r="HG28">
        <v>4.9882</v>
      </c>
      <c r="HH28">
        <v>3.28825</v>
      </c>
      <c r="HI28">
        <v>487.8</v>
      </c>
      <c r="HJ28">
        <v>3589</v>
      </c>
      <c r="HK28">
        <v>4564.3</v>
      </c>
      <c r="HL28">
        <v>17.7</v>
      </c>
      <c r="HM28">
        <v>1.86768</v>
      </c>
      <c r="HN28">
        <v>1.86662</v>
      </c>
      <c r="HO28">
        <v>1.86616</v>
      </c>
      <c r="HP28">
        <v>1.86602</v>
      </c>
      <c r="HQ28">
        <v>1.86785</v>
      </c>
      <c r="HR28">
        <v>1.87039</v>
      </c>
      <c r="HS28">
        <v>1.86905</v>
      </c>
      <c r="HT28">
        <v>1.87042</v>
      </c>
      <c r="HU28">
        <v>0</v>
      </c>
      <c r="HV28">
        <v>0</v>
      </c>
      <c r="HW28">
        <v>0</v>
      </c>
      <c r="HX28">
        <v>0</v>
      </c>
      <c r="HY28" t="s">
        <v>422</v>
      </c>
      <c r="HZ28" t="s">
        <v>423</v>
      </c>
      <c r="IA28" t="s">
        <v>424</v>
      </c>
      <c r="IB28" t="s">
        <v>424</v>
      </c>
      <c r="IC28" t="s">
        <v>424</v>
      </c>
      <c r="ID28" t="s">
        <v>424</v>
      </c>
      <c r="IE28">
        <v>0</v>
      </c>
      <c r="IF28">
        <v>100</v>
      </c>
      <c r="IG28">
        <v>100</v>
      </c>
      <c r="IH28">
        <v>-1.623</v>
      </c>
      <c r="II28">
        <v>0.1229</v>
      </c>
      <c r="IJ28">
        <v>-1.064712027753117</v>
      </c>
      <c r="IK28">
        <v>-0.001826611574738555</v>
      </c>
      <c r="IL28">
        <v>3.313362389709971E-07</v>
      </c>
      <c r="IM28">
        <v>-1.629490614973607E-10</v>
      </c>
      <c r="IN28">
        <v>-0.09531406441470595</v>
      </c>
      <c r="IO28">
        <v>-0.008240702679890409</v>
      </c>
      <c r="IP28">
        <v>0.001077697425498046</v>
      </c>
      <c r="IQ28">
        <v>-1.69598232850356E-05</v>
      </c>
      <c r="IR28">
        <v>3</v>
      </c>
      <c r="IS28">
        <v>2280</v>
      </c>
      <c r="IT28">
        <v>1</v>
      </c>
      <c r="IU28">
        <v>25</v>
      </c>
      <c r="IV28">
        <v>1240.3</v>
      </c>
      <c r="IW28">
        <v>1237.8</v>
      </c>
      <c r="IX28">
        <v>0.809326</v>
      </c>
      <c r="IY28">
        <v>2.23267</v>
      </c>
      <c r="IZ28">
        <v>1.39648</v>
      </c>
      <c r="JA28">
        <v>2.35229</v>
      </c>
      <c r="JB28">
        <v>1.49536</v>
      </c>
      <c r="JC28">
        <v>2.30957</v>
      </c>
      <c r="JD28">
        <v>38.7964</v>
      </c>
      <c r="JE28">
        <v>24.0525</v>
      </c>
      <c r="JF28">
        <v>18</v>
      </c>
      <c r="JG28">
        <v>508.09</v>
      </c>
      <c r="JH28">
        <v>429.768</v>
      </c>
      <c r="JI28">
        <v>27.9003</v>
      </c>
      <c r="JJ28">
        <v>27.7782</v>
      </c>
      <c r="JK28">
        <v>30.0003</v>
      </c>
      <c r="JL28">
        <v>27.7149</v>
      </c>
      <c r="JM28">
        <v>27.6528</v>
      </c>
      <c r="JN28">
        <v>16.1496</v>
      </c>
      <c r="JO28">
        <v>27.2028</v>
      </c>
      <c r="JP28">
        <v>0</v>
      </c>
      <c r="JQ28">
        <v>-999.9</v>
      </c>
      <c r="JR28">
        <v>292.43</v>
      </c>
      <c r="JS28">
        <v>21.9506</v>
      </c>
      <c r="JT28">
        <v>100.53</v>
      </c>
      <c r="JU28">
        <v>100.43</v>
      </c>
    </row>
    <row r="29" spans="1:281">
      <c r="A29">
        <v>13</v>
      </c>
      <c r="B29">
        <v>1651771937.5</v>
      </c>
      <c r="C29">
        <v>59.90000009536743</v>
      </c>
      <c r="D29" t="s">
        <v>447</v>
      </c>
      <c r="E29" t="s">
        <v>448</v>
      </c>
      <c r="F29">
        <v>5</v>
      </c>
      <c r="H29" t="s">
        <v>417</v>
      </c>
      <c r="I29">
        <v>1651771934.7</v>
      </c>
      <c r="J29">
        <f>(K29)/1000</f>
        <v>0</v>
      </c>
      <c r="K29">
        <f>IF(CZ29, AN29, AH29)</f>
        <v>0</v>
      </c>
      <c r="L29">
        <f>IF(CZ29, AI29, AG29)</f>
        <v>0</v>
      </c>
      <c r="M29">
        <f>DB29 - IF(AU29&gt;1, L29*CV29*100.0/(AW29*DP29), 0)</f>
        <v>0</v>
      </c>
      <c r="N29">
        <f>((T29-J29/2)*M29-L29)/(T29+J29/2)</f>
        <v>0</v>
      </c>
      <c r="O29">
        <f>N29*(DI29+DJ29)/1000.0</f>
        <v>0</v>
      </c>
      <c r="P29">
        <f>(DB29 - IF(AU29&gt;1, L29*CV29*100.0/(AW29*DP29), 0))*(DI29+DJ29)/1000.0</f>
        <v>0</v>
      </c>
      <c r="Q29">
        <f>2.0/((1/S29-1/R29)+SIGN(S29)*SQRT((1/S29-1/R29)*(1/S29-1/R29) + 4*CW29/((CW29+1)*(CW29+1))*(2*1/S29*1/R29-1/R29*1/R29)))</f>
        <v>0</v>
      </c>
      <c r="R29">
        <f>IF(LEFT(CX29,1)&lt;&gt;"0",IF(LEFT(CX29,1)="1",3.0,CY29),$D$5+$E$5*(DP29*DI29/($K$5*1000))+$F$5*(DP29*DI29/($K$5*1000))*MAX(MIN(CV29,$J$5),$I$5)*MAX(MIN(CV29,$J$5),$I$5)+$G$5*MAX(MIN(CV29,$J$5),$I$5)*(DP29*DI29/($K$5*1000))+$H$5*(DP29*DI29/($K$5*1000))*(DP29*DI29/($K$5*1000)))</f>
        <v>0</v>
      </c>
      <c r="S29">
        <f>J29*(1000-(1000*0.61365*exp(17.502*W29/(240.97+W29))/(DI29+DJ29)+DD29)/2)/(1000*0.61365*exp(17.502*W29/(240.97+W29))/(DI29+DJ29)-DD29)</f>
        <v>0</v>
      </c>
      <c r="T29">
        <f>1/((CW29+1)/(Q29/1.6)+1/(R29/1.37)) + CW29/((CW29+1)/(Q29/1.6) + CW29/(R29/1.37))</f>
        <v>0</v>
      </c>
      <c r="U29">
        <f>(CR29*CU29)</f>
        <v>0</v>
      </c>
      <c r="V29">
        <f>(DK29+(U29+2*0.95*5.67E-8*(((DK29+$B$7)+273)^4-(DK29+273)^4)-44100*J29)/(1.84*29.3*R29+8*0.95*5.67E-8*(DK29+273)^3))</f>
        <v>0</v>
      </c>
      <c r="W29">
        <f>($C$7*DL29+$D$7*DM29+$E$7*V29)</f>
        <v>0</v>
      </c>
      <c r="X29">
        <f>0.61365*exp(17.502*W29/(240.97+W29))</f>
        <v>0</v>
      </c>
      <c r="Y29">
        <f>(Z29/AA29*100)</f>
        <v>0</v>
      </c>
      <c r="Z29">
        <f>DD29*(DI29+DJ29)/1000</f>
        <v>0</v>
      </c>
      <c r="AA29">
        <f>0.61365*exp(17.502*DK29/(240.97+DK29))</f>
        <v>0</v>
      </c>
      <c r="AB29">
        <f>(X29-DD29*(DI29+DJ29)/1000)</f>
        <v>0</v>
      </c>
      <c r="AC29">
        <f>(-J29*44100)</f>
        <v>0</v>
      </c>
      <c r="AD29">
        <f>2*29.3*R29*0.92*(DK29-W29)</f>
        <v>0</v>
      </c>
      <c r="AE29">
        <f>2*0.95*5.67E-8*(((DK29+$B$7)+273)^4-(W29+273)^4)</f>
        <v>0</v>
      </c>
      <c r="AF29">
        <f>U29+AE29+AC29+AD29</f>
        <v>0</v>
      </c>
      <c r="AG29">
        <f>DH29*AU29*(DC29-DB29*(1000-AU29*DE29)/(1000-AU29*DD29))/(100*CV29)</f>
        <v>0</v>
      </c>
      <c r="AH29">
        <f>1000*DH29*AU29*(DD29-DE29)/(100*CV29*(1000-AU29*DD29))</f>
        <v>0</v>
      </c>
      <c r="AI29">
        <f>(AJ29 - AK29 - DI29*1E3/(8.314*(DK29+273.15)) * AM29/DH29 * AL29) * DH29/(100*CV29) * (1000 - DE29)/1000</f>
        <v>0</v>
      </c>
      <c r="AJ29">
        <v>314.9221632736534</v>
      </c>
      <c r="AK29">
        <v>313.8616484848483</v>
      </c>
      <c r="AL29">
        <v>-3.220673640554449</v>
      </c>
      <c r="AM29">
        <v>66.72507702095443</v>
      </c>
      <c r="AN29">
        <f>(AP29 - AO29 + DI29*1E3/(8.314*(DK29+273.15)) * AR29/DH29 * AQ29) * DH29/(100*CV29) * 1000/(1000 - AP29)</f>
        <v>0</v>
      </c>
      <c r="AO29">
        <v>21.84303392641682</v>
      </c>
      <c r="AP29">
        <v>26.27378727272726</v>
      </c>
      <c r="AQ29">
        <v>-0.0004432747562526165</v>
      </c>
      <c r="AR29">
        <v>78.22078291278521</v>
      </c>
      <c r="AS29">
        <v>1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MAX(0,($B$13+$C$13*DP29)/(1+$D$13*DP29)*DI29/(DK29+273)*$E$13)</f>
        <v>0</v>
      </c>
      <c r="AX29" t="s">
        <v>418</v>
      </c>
      <c r="AY29" t="s">
        <v>418</v>
      </c>
      <c r="AZ29">
        <v>0</v>
      </c>
      <c r="BA29">
        <v>0</v>
      </c>
      <c r="BB29">
        <f>1-AZ29/BA29</f>
        <v>0</v>
      </c>
      <c r="BC29">
        <v>0</v>
      </c>
      <c r="BD29" t="s">
        <v>418</v>
      </c>
      <c r="BE29" t="s">
        <v>418</v>
      </c>
      <c r="BF29">
        <v>0</v>
      </c>
      <c r="BG29">
        <v>0</v>
      </c>
      <c r="BH29">
        <f>1-BF29/BG29</f>
        <v>0</v>
      </c>
      <c r="BI29">
        <v>0.5</v>
      </c>
      <c r="BJ29">
        <f>CS29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418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f>$B$11*DQ29+$C$11*DR29+$F$11*EC29*(1-EF29)</f>
        <v>0</v>
      </c>
      <c r="CS29">
        <f>CR29*CT29</f>
        <v>0</v>
      </c>
      <c r="CT29">
        <f>($B$11*$D$9+$C$11*$D$9+$F$11*((EP29+EH29)/MAX(EP29+EH29+EQ29, 0.1)*$I$9+EQ29/MAX(EP29+EH29+EQ29, 0.1)*$J$9))/($B$11+$C$11+$F$11)</f>
        <v>0</v>
      </c>
      <c r="CU29">
        <f>($B$11*$K$9+$C$11*$K$9+$F$11*((EP29+EH29)/MAX(EP29+EH29+EQ29, 0.1)*$P$9+EQ29/MAX(EP29+EH29+EQ29, 0.1)*$Q$9))/($B$11+$C$11+$F$11)</f>
        <v>0</v>
      </c>
      <c r="CV29">
        <v>6</v>
      </c>
      <c r="CW29">
        <v>0.5</v>
      </c>
      <c r="CX29" t="s">
        <v>419</v>
      </c>
      <c r="CY29">
        <v>2</v>
      </c>
      <c r="CZ29" t="b">
        <v>1</v>
      </c>
      <c r="DA29">
        <v>1651771934.7</v>
      </c>
      <c r="DB29">
        <v>312.8273</v>
      </c>
      <c r="DC29">
        <v>308.1833</v>
      </c>
      <c r="DD29">
        <v>26.27555</v>
      </c>
      <c r="DE29">
        <v>21.84648</v>
      </c>
      <c r="DF29">
        <v>314.4388</v>
      </c>
      <c r="DG29">
        <v>26.15263</v>
      </c>
      <c r="DH29">
        <v>500.0607</v>
      </c>
      <c r="DI29">
        <v>90.30902999999999</v>
      </c>
      <c r="DJ29">
        <v>0.1001635</v>
      </c>
      <c r="DK29">
        <v>28.99183</v>
      </c>
      <c r="DL29">
        <v>28.39418</v>
      </c>
      <c r="DM29">
        <v>999.9</v>
      </c>
      <c r="DN29">
        <v>0</v>
      </c>
      <c r="DO29">
        <v>0</v>
      </c>
      <c r="DP29">
        <v>9998.869999999999</v>
      </c>
      <c r="DQ29">
        <v>0</v>
      </c>
      <c r="DR29">
        <v>13.12895</v>
      </c>
      <c r="DS29">
        <v>4.643911</v>
      </c>
      <c r="DT29">
        <v>321.2687</v>
      </c>
      <c r="DU29">
        <v>315.0663</v>
      </c>
      <c r="DV29">
        <v>4.429052</v>
      </c>
      <c r="DW29">
        <v>308.1833</v>
      </c>
      <c r="DX29">
        <v>21.84648</v>
      </c>
      <c r="DY29">
        <v>2.372919</v>
      </c>
      <c r="DZ29">
        <v>1.972934</v>
      </c>
      <c r="EA29">
        <v>20.18014</v>
      </c>
      <c r="EB29">
        <v>17.22879</v>
      </c>
      <c r="EC29">
        <v>1500.011</v>
      </c>
      <c r="ED29">
        <v>0.9729932000000001</v>
      </c>
      <c r="EE29">
        <v>0.02700699</v>
      </c>
      <c r="EF29">
        <v>0</v>
      </c>
      <c r="EG29">
        <v>2.43996</v>
      </c>
      <c r="EH29">
        <v>0</v>
      </c>
      <c r="EI29">
        <v>15467.56</v>
      </c>
      <c r="EJ29">
        <v>12533.44</v>
      </c>
      <c r="EK29">
        <v>36.75</v>
      </c>
      <c r="EL29">
        <v>38.2748</v>
      </c>
      <c r="EM29">
        <v>37.125</v>
      </c>
      <c r="EN29">
        <v>37.625</v>
      </c>
      <c r="EO29">
        <v>36.562</v>
      </c>
      <c r="EP29">
        <v>1459.501</v>
      </c>
      <c r="EQ29">
        <v>40.51</v>
      </c>
      <c r="ER29">
        <v>0</v>
      </c>
      <c r="ES29">
        <v>1651771938.8</v>
      </c>
      <c r="ET29">
        <v>0</v>
      </c>
      <c r="EU29">
        <v>2.353308</v>
      </c>
      <c r="EV29">
        <v>0.3109230679552474</v>
      </c>
      <c r="EW29">
        <v>-2398.353849783141</v>
      </c>
      <c r="EX29">
        <v>15636.344</v>
      </c>
      <c r="EY29">
        <v>15</v>
      </c>
      <c r="EZ29">
        <v>0</v>
      </c>
      <c r="FA29" t="s">
        <v>420</v>
      </c>
      <c r="FB29">
        <v>1651697511.6</v>
      </c>
      <c r="FC29">
        <v>1651697666.1</v>
      </c>
      <c r="FD29">
        <v>0</v>
      </c>
      <c r="FE29">
        <v>-0.019</v>
      </c>
      <c r="FF29">
        <v>0.013</v>
      </c>
      <c r="FG29">
        <v>-2.121</v>
      </c>
      <c r="FH29">
        <v>0.041</v>
      </c>
      <c r="FI29">
        <v>420</v>
      </c>
      <c r="FJ29">
        <v>22</v>
      </c>
      <c r="FK29">
        <v>1.72</v>
      </c>
      <c r="FL29">
        <v>0.27</v>
      </c>
      <c r="FM29">
        <v>3.2533615</v>
      </c>
      <c r="FN29">
        <v>10.35584420262664</v>
      </c>
      <c r="FO29">
        <v>0.9965806887491599</v>
      </c>
      <c r="FP29">
        <v>0</v>
      </c>
      <c r="FQ29">
        <v>4.393892750000001</v>
      </c>
      <c r="FR29">
        <v>0.3992846904315132</v>
      </c>
      <c r="FS29">
        <v>0.04340924820746725</v>
      </c>
      <c r="FT29">
        <v>1</v>
      </c>
      <c r="FU29">
        <v>0</v>
      </c>
      <c r="FV29">
        <v>0</v>
      </c>
      <c r="FW29">
        <v>0</v>
      </c>
      <c r="FX29">
        <v>1</v>
      </c>
      <c r="FY29">
        <v>2</v>
      </c>
      <c r="FZ29">
        <v>3</v>
      </c>
      <c r="GA29" t="s">
        <v>421</v>
      </c>
      <c r="GB29">
        <v>2.98165</v>
      </c>
      <c r="GC29">
        <v>2.70628</v>
      </c>
      <c r="GD29">
        <v>0.07319100000000001</v>
      </c>
      <c r="GE29">
        <v>0.07115929999999999</v>
      </c>
      <c r="GF29">
        <v>0.113369</v>
      </c>
      <c r="GG29">
        <v>0.0984033</v>
      </c>
      <c r="GH29">
        <v>29317.9</v>
      </c>
      <c r="GI29">
        <v>29441.9</v>
      </c>
      <c r="GJ29">
        <v>29407.7</v>
      </c>
      <c r="GK29">
        <v>29318.9</v>
      </c>
      <c r="GL29">
        <v>34515.2</v>
      </c>
      <c r="GM29">
        <v>35188.8</v>
      </c>
      <c r="GN29">
        <v>41398.7</v>
      </c>
      <c r="GO29">
        <v>41842.8</v>
      </c>
      <c r="GP29">
        <v>1.96325</v>
      </c>
      <c r="GQ29">
        <v>1.863</v>
      </c>
      <c r="GR29">
        <v>0.08225440000000001</v>
      </c>
      <c r="GS29">
        <v>0</v>
      </c>
      <c r="GT29">
        <v>27.0488</v>
      </c>
      <c r="GU29">
        <v>999.9</v>
      </c>
      <c r="GV29">
        <v>45.1</v>
      </c>
      <c r="GW29">
        <v>35.1</v>
      </c>
      <c r="GX29">
        <v>28.3663</v>
      </c>
      <c r="GY29">
        <v>63.0108</v>
      </c>
      <c r="GZ29">
        <v>36.3381</v>
      </c>
      <c r="HA29">
        <v>1</v>
      </c>
      <c r="HB29">
        <v>0.0301169</v>
      </c>
      <c r="HC29">
        <v>0</v>
      </c>
      <c r="HD29">
        <v>20.3466</v>
      </c>
      <c r="HE29">
        <v>5.21729</v>
      </c>
      <c r="HF29">
        <v>12.0079</v>
      </c>
      <c r="HG29">
        <v>4.98905</v>
      </c>
      <c r="HH29">
        <v>3.28848</v>
      </c>
      <c r="HI29">
        <v>488</v>
      </c>
      <c r="HJ29">
        <v>3590.4</v>
      </c>
      <c r="HK29">
        <v>4564.3</v>
      </c>
      <c r="HL29">
        <v>17.7</v>
      </c>
      <c r="HM29">
        <v>1.86768</v>
      </c>
      <c r="HN29">
        <v>1.86663</v>
      </c>
      <c r="HO29">
        <v>1.86617</v>
      </c>
      <c r="HP29">
        <v>1.86602</v>
      </c>
      <c r="HQ29">
        <v>1.86785</v>
      </c>
      <c r="HR29">
        <v>1.8704</v>
      </c>
      <c r="HS29">
        <v>1.86905</v>
      </c>
      <c r="HT29">
        <v>1.87042</v>
      </c>
      <c r="HU29">
        <v>0</v>
      </c>
      <c r="HV29">
        <v>0</v>
      </c>
      <c r="HW29">
        <v>0</v>
      </c>
      <c r="HX29">
        <v>0</v>
      </c>
      <c r="HY29" t="s">
        <v>422</v>
      </c>
      <c r="HZ29" t="s">
        <v>423</v>
      </c>
      <c r="IA29" t="s">
        <v>424</v>
      </c>
      <c r="IB29" t="s">
        <v>424</v>
      </c>
      <c r="IC29" t="s">
        <v>424</v>
      </c>
      <c r="ID29" t="s">
        <v>424</v>
      </c>
      <c r="IE29">
        <v>0</v>
      </c>
      <c r="IF29">
        <v>100</v>
      </c>
      <c r="IG29">
        <v>100</v>
      </c>
      <c r="IH29">
        <v>-1.596</v>
      </c>
      <c r="II29">
        <v>0.1229</v>
      </c>
      <c r="IJ29">
        <v>-1.064712027753117</v>
      </c>
      <c r="IK29">
        <v>-0.001826611574738555</v>
      </c>
      <c r="IL29">
        <v>3.313362389709971E-07</v>
      </c>
      <c r="IM29">
        <v>-1.629490614973607E-10</v>
      </c>
      <c r="IN29">
        <v>-0.09531406441470595</v>
      </c>
      <c r="IO29">
        <v>-0.008240702679890409</v>
      </c>
      <c r="IP29">
        <v>0.001077697425498046</v>
      </c>
      <c r="IQ29">
        <v>-1.69598232850356E-05</v>
      </c>
      <c r="IR29">
        <v>3</v>
      </c>
      <c r="IS29">
        <v>2280</v>
      </c>
      <c r="IT29">
        <v>1</v>
      </c>
      <c r="IU29">
        <v>25</v>
      </c>
      <c r="IV29">
        <v>1240.4</v>
      </c>
      <c r="IW29">
        <v>1237.9</v>
      </c>
      <c r="IX29">
        <v>0.772705</v>
      </c>
      <c r="IY29">
        <v>2.23877</v>
      </c>
      <c r="IZ29">
        <v>1.39648</v>
      </c>
      <c r="JA29">
        <v>2.35229</v>
      </c>
      <c r="JB29">
        <v>1.49536</v>
      </c>
      <c r="JC29">
        <v>2.33643</v>
      </c>
      <c r="JD29">
        <v>38.8211</v>
      </c>
      <c r="JE29">
        <v>24.0525</v>
      </c>
      <c r="JF29">
        <v>18</v>
      </c>
      <c r="JG29">
        <v>508.315</v>
      </c>
      <c r="JH29">
        <v>429.857</v>
      </c>
      <c r="JI29">
        <v>27.9067</v>
      </c>
      <c r="JJ29">
        <v>27.7805</v>
      </c>
      <c r="JK29">
        <v>30.0002</v>
      </c>
      <c r="JL29">
        <v>27.7167</v>
      </c>
      <c r="JM29">
        <v>27.6547</v>
      </c>
      <c r="JN29">
        <v>15.4896</v>
      </c>
      <c r="JO29">
        <v>26.926</v>
      </c>
      <c r="JP29">
        <v>0</v>
      </c>
      <c r="JQ29">
        <v>-999.9</v>
      </c>
      <c r="JR29">
        <v>272.303</v>
      </c>
      <c r="JS29">
        <v>21.9728</v>
      </c>
      <c r="JT29">
        <v>100.53</v>
      </c>
      <c r="JU29">
        <v>100.43</v>
      </c>
    </row>
    <row r="30" spans="1:281">
      <c r="A30">
        <v>14</v>
      </c>
      <c r="B30">
        <v>1651771942.5</v>
      </c>
      <c r="C30">
        <v>64.90000009536743</v>
      </c>
      <c r="D30" t="s">
        <v>449</v>
      </c>
      <c r="E30" t="s">
        <v>450</v>
      </c>
      <c r="F30">
        <v>5</v>
      </c>
      <c r="H30" t="s">
        <v>417</v>
      </c>
      <c r="I30">
        <v>1651771940</v>
      </c>
      <c r="J30">
        <f>(K30)/1000</f>
        <v>0</v>
      </c>
      <c r="K30">
        <f>IF(CZ30, AN30, AH30)</f>
        <v>0</v>
      </c>
      <c r="L30">
        <f>IF(CZ30, AI30, AG30)</f>
        <v>0</v>
      </c>
      <c r="M30">
        <f>DB30 - IF(AU30&gt;1, L30*CV30*100.0/(AW30*DP30), 0)</f>
        <v>0</v>
      </c>
      <c r="N30">
        <f>((T30-J30/2)*M30-L30)/(T30+J30/2)</f>
        <v>0</v>
      </c>
      <c r="O30">
        <f>N30*(DI30+DJ30)/1000.0</f>
        <v>0</v>
      </c>
      <c r="P30">
        <f>(DB30 - IF(AU30&gt;1, L30*CV30*100.0/(AW30*DP30), 0))*(DI30+DJ30)/1000.0</f>
        <v>0</v>
      </c>
      <c r="Q30">
        <f>2.0/((1/S30-1/R30)+SIGN(S30)*SQRT((1/S30-1/R30)*(1/S30-1/R30) + 4*CW30/((CW30+1)*(CW30+1))*(2*1/S30*1/R30-1/R30*1/R30)))</f>
        <v>0</v>
      </c>
      <c r="R30">
        <f>IF(LEFT(CX30,1)&lt;&gt;"0",IF(LEFT(CX30,1)="1",3.0,CY30),$D$5+$E$5*(DP30*DI30/($K$5*1000))+$F$5*(DP30*DI30/($K$5*1000))*MAX(MIN(CV30,$J$5),$I$5)*MAX(MIN(CV30,$J$5),$I$5)+$G$5*MAX(MIN(CV30,$J$5),$I$5)*(DP30*DI30/($K$5*1000))+$H$5*(DP30*DI30/($K$5*1000))*(DP30*DI30/($K$5*1000)))</f>
        <v>0</v>
      </c>
      <c r="S30">
        <f>J30*(1000-(1000*0.61365*exp(17.502*W30/(240.97+W30))/(DI30+DJ30)+DD30)/2)/(1000*0.61365*exp(17.502*W30/(240.97+W30))/(DI30+DJ30)-DD30)</f>
        <v>0</v>
      </c>
      <c r="T30">
        <f>1/((CW30+1)/(Q30/1.6)+1/(R30/1.37)) + CW30/((CW30+1)/(Q30/1.6) + CW30/(R30/1.37))</f>
        <v>0</v>
      </c>
      <c r="U30">
        <f>(CR30*CU30)</f>
        <v>0</v>
      </c>
      <c r="V30">
        <f>(DK30+(U30+2*0.95*5.67E-8*(((DK30+$B$7)+273)^4-(DK30+273)^4)-44100*J30)/(1.84*29.3*R30+8*0.95*5.67E-8*(DK30+273)^3))</f>
        <v>0</v>
      </c>
      <c r="W30">
        <f>($C$7*DL30+$D$7*DM30+$E$7*V30)</f>
        <v>0</v>
      </c>
      <c r="X30">
        <f>0.61365*exp(17.502*W30/(240.97+W30))</f>
        <v>0</v>
      </c>
      <c r="Y30">
        <f>(Z30/AA30*100)</f>
        <v>0</v>
      </c>
      <c r="Z30">
        <f>DD30*(DI30+DJ30)/1000</f>
        <v>0</v>
      </c>
      <c r="AA30">
        <f>0.61365*exp(17.502*DK30/(240.97+DK30))</f>
        <v>0</v>
      </c>
      <c r="AB30">
        <f>(X30-DD30*(DI30+DJ30)/1000)</f>
        <v>0</v>
      </c>
      <c r="AC30">
        <f>(-J30*44100)</f>
        <v>0</v>
      </c>
      <c r="AD30">
        <f>2*29.3*R30*0.92*(DK30-W30)</f>
        <v>0</v>
      </c>
      <c r="AE30">
        <f>2*0.95*5.67E-8*(((DK30+$B$7)+273)^4-(W30+273)^4)</f>
        <v>0</v>
      </c>
      <c r="AF30">
        <f>U30+AE30+AC30+AD30</f>
        <v>0</v>
      </c>
      <c r="AG30">
        <f>DH30*AU30*(DC30-DB30*(1000-AU30*DE30)/(1000-AU30*DD30))/(100*CV30)</f>
        <v>0</v>
      </c>
      <c r="AH30">
        <f>1000*DH30*AU30*(DD30-DE30)/(100*CV30*(1000-AU30*DD30))</f>
        <v>0</v>
      </c>
      <c r="AI30">
        <f>(AJ30 - AK30 - DI30*1E3/(8.314*(DK30+273.15)) * AM30/DH30 * AL30) * DH30/(100*CV30) * (1000 - DE30)/1000</f>
        <v>0</v>
      </c>
      <c r="AJ30">
        <v>297.8957122759248</v>
      </c>
      <c r="AK30">
        <v>297.6691393939395</v>
      </c>
      <c r="AL30">
        <v>-3.239930418396069</v>
      </c>
      <c r="AM30">
        <v>66.72507702095443</v>
      </c>
      <c r="AN30">
        <f>(AP30 - AO30 + DI30*1E3/(8.314*(DK30+273.15)) * AR30/DH30 * AQ30) * DH30/(100*CV30) * 1000/(1000 - AP30)</f>
        <v>0</v>
      </c>
      <c r="AO30">
        <v>21.88600329846507</v>
      </c>
      <c r="AP30">
        <v>26.29731090909089</v>
      </c>
      <c r="AQ30">
        <v>0.0007864636054436205</v>
      </c>
      <c r="AR30">
        <v>78.22078291278521</v>
      </c>
      <c r="AS30">
        <v>1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MAX(0,($B$13+$C$13*DP30)/(1+$D$13*DP30)*DI30/(DK30+273)*$E$13)</f>
        <v>0</v>
      </c>
      <c r="AX30" t="s">
        <v>418</v>
      </c>
      <c r="AY30" t="s">
        <v>418</v>
      </c>
      <c r="AZ30">
        <v>0</v>
      </c>
      <c r="BA30">
        <v>0</v>
      </c>
      <c r="BB30">
        <f>1-AZ30/BA30</f>
        <v>0</v>
      </c>
      <c r="BC30">
        <v>0</v>
      </c>
      <c r="BD30" t="s">
        <v>418</v>
      </c>
      <c r="BE30" t="s">
        <v>418</v>
      </c>
      <c r="BF30">
        <v>0</v>
      </c>
      <c r="BG30">
        <v>0</v>
      </c>
      <c r="BH30">
        <f>1-BF30/BG30</f>
        <v>0</v>
      </c>
      <c r="BI30">
        <v>0.5</v>
      </c>
      <c r="BJ30">
        <f>CS30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418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f>$B$11*DQ30+$C$11*DR30+$F$11*EC30*(1-EF30)</f>
        <v>0</v>
      </c>
      <c r="CS30">
        <f>CR30*CT30</f>
        <v>0</v>
      </c>
      <c r="CT30">
        <f>($B$11*$D$9+$C$11*$D$9+$F$11*((EP30+EH30)/MAX(EP30+EH30+EQ30, 0.1)*$I$9+EQ30/MAX(EP30+EH30+EQ30, 0.1)*$J$9))/($B$11+$C$11+$F$11)</f>
        <v>0</v>
      </c>
      <c r="CU30">
        <f>($B$11*$K$9+$C$11*$K$9+$F$11*((EP30+EH30)/MAX(EP30+EH30+EQ30, 0.1)*$P$9+EQ30/MAX(EP30+EH30+EQ30, 0.1)*$Q$9))/($B$11+$C$11+$F$11)</f>
        <v>0</v>
      </c>
      <c r="CV30">
        <v>6</v>
      </c>
      <c r="CW30">
        <v>0.5</v>
      </c>
      <c r="CX30" t="s">
        <v>419</v>
      </c>
      <c r="CY30">
        <v>2</v>
      </c>
      <c r="CZ30" t="b">
        <v>1</v>
      </c>
      <c r="DA30">
        <v>1651771940</v>
      </c>
      <c r="DB30">
        <v>296.1537777777778</v>
      </c>
      <c r="DC30">
        <v>290.5202222222222</v>
      </c>
      <c r="DD30">
        <v>26.28445555555556</v>
      </c>
      <c r="DE30">
        <v>21.88644444444445</v>
      </c>
      <c r="DF30">
        <v>297.7373333333333</v>
      </c>
      <c r="DG30">
        <v>26.16142222222222</v>
      </c>
      <c r="DH30">
        <v>500.0276666666666</v>
      </c>
      <c r="DI30">
        <v>90.30858888888889</v>
      </c>
      <c r="DJ30">
        <v>0.09987021111111111</v>
      </c>
      <c r="DK30">
        <v>28.99608888888889</v>
      </c>
      <c r="DL30">
        <v>28.39881111111111</v>
      </c>
      <c r="DM30">
        <v>999.9000000000001</v>
      </c>
      <c r="DN30">
        <v>0</v>
      </c>
      <c r="DO30">
        <v>0</v>
      </c>
      <c r="DP30">
        <v>10032.23333333333</v>
      </c>
      <c r="DQ30">
        <v>0</v>
      </c>
      <c r="DR30">
        <v>13.12508888888889</v>
      </c>
      <c r="DS30">
        <v>5.633468888888888</v>
      </c>
      <c r="DT30">
        <v>304.1482222222222</v>
      </c>
      <c r="DU30">
        <v>297.0211111111111</v>
      </c>
      <c r="DV30">
        <v>4.397993333333334</v>
      </c>
      <c r="DW30">
        <v>290.5202222222222</v>
      </c>
      <c r="DX30">
        <v>21.88644444444445</v>
      </c>
      <c r="DY30">
        <v>2.373711111111111</v>
      </c>
      <c r="DZ30">
        <v>1.976535555555556</v>
      </c>
      <c r="EA30">
        <v>20.18554444444444</v>
      </c>
      <c r="EB30">
        <v>17.25758888888889</v>
      </c>
      <c r="EC30">
        <v>1499.987777777778</v>
      </c>
      <c r="ED30">
        <v>0.9729930000000001</v>
      </c>
      <c r="EE30">
        <v>0.02700716666666667</v>
      </c>
      <c r="EF30">
        <v>0</v>
      </c>
      <c r="EG30">
        <v>2.361066666666666</v>
      </c>
      <c r="EH30">
        <v>0</v>
      </c>
      <c r="EI30">
        <v>15242.87777777778</v>
      </c>
      <c r="EJ30">
        <v>12533.23333333333</v>
      </c>
      <c r="EK30">
        <v>36.736</v>
      </c>
      <c r="EL30">
        <v>38.25</v>
      </c>
      <c r="EM30">
        <v>37.125</v>
      </c>
      <c r="EN30">
        <v>37.611</v>
      </c>
      <c r="EO30">
        <v>36.562</v>
      </c>
      <c r="EP30">
        <v>1459.477777777778</v>
      </c>
      <c r="EQ30">
        <v>40.51</v>
      </c>
      <c r="ER30">
        <v>0</v>
      </c>
      <c r="ES30">
        <v>1651771943.6</v>
      </c>
      <c r="ET30">
        <v>0</v>
      </c>
      <c r="EU30">
        <v>2.34798</v>
      </c>
      <c r="EV30">
        <v>0.6536076916841558</v>
      </c>
      <c r="EW30">
        <v>-2538.630773081657</v>
      </c>
      <c r="EX30">
        <v>15438.96</v>
      </c>
      <c r="EY30">
        <v>15</v>
      </c>
      <c r="EZ30">
        <v>0</v>
      </c>
      <c r="FA30" t="s">
        <v>420</v>
      </c>
      <c r="FB30">
        <v>1651697511.6</v>
      </c>
      <c r="FC30">
        <v>1651697666.1</v>
      </c>
      <c r="FD30">
        <v>0</v>
      </c>
      <c r="FE30">
        <v>-0.019</v>
      </c>
      <c r="FF30">
        <v>0.013</v>
      </c>
      <c r="FG30">
        <v>-2.121</v>
      </c>
      <c r="FH30">
        <v>0.041</v>
      </c>
      <c r="FI30">
        <v>420</v>
      </c>
      <c r="FJ30">
        <v>22</v>
      </c>
      <c r="FK30">
        <v>1.72</v>
      </c>
      <c r="FL30">
        <v>0.27</v>
      </c>
      <c r="FM30">
        <v>4.177991951219512</v>
      </c>
      <c r="FN30">
        <v>10.80010620209059</v>
      </c>
      <c r="FO30">
        <v>1.065181882879964</v>
      </c>
      <c r="FP30">
        <v>0</v>
      </c>
      <c r="FQ30">
        <v>4.409305853658537</v>
      </c>
      <c r="FR30">
        <v>0.09924898954704459</v>
      </c>
      <c r="FS30">
        <v>0.02992693068740643</v>
      </c>
      <c r="FT30">
        <v>1</v>
      </c>
      <c r="FU30">
        <v>0</v>
      </c>
      <c r="FV30">
        <v>0</v>
      </c>
      <c r="FW30">
        <v>0</v>
      </c>
      <c r="FX30">
        <v>1</v>
      </c>
      <c r="FY30">
        <v>2</v>
      </c>
      <c r="FZ30">
        <v>3</v>
      </c>
      <c r="GA30" t="s">
        <v>421</v>
      </c>
      <c r="GB30">
        <v>2.98166</v>
      </c>
      <c r="GC30">
        <v>2.70643</v>
      </c>
      <c r="GD30">
        <v>0.0700664</v>
      </c>
      <c r="GE30">
        <v>0.067869</v>
      </c>
      <c r="GF30">
        <v>0.113447</v>
      </c>
      <c r="GG30">
        <v>0.0985125</v>
      </c>
      <c r="GH30">
        <v>29416.8</v>
      </c>
      <c r="GI30">
        <v>29545.7</v>
      </c>
      <c r="GJ30">
        <v>29407.7</v>
      </c>
      <c r="GK30">
        <v>29318.4</v>
      </c>
      <c r="GL30">
        <v>34512.2</v>
      </c>
      <c r="GM30">
        <v>35183.7</v>
      </c>
      <c r="GN30">
        <v>41398.9</v>
      </c>
      <c r="GO30">
        <v>41841.9</v>
      </c>
      <c r="GP30">
        <v>1.96305</v>
      </c>
      <c r="GQ30">
        <v>1.86287</v>
      </c>
      <c r="GR30">
        <v>0.08247790000000001</v>
      </c>
      <c r="GS30">
        <v>0</v>
      </c>
      <c r="GT30">
        <v>27.0534</v>
      </c>
      <c r="GU30">
        <v>999.9</v>
      </c>
      <c r="GV30">
        <v>45.1</v>
      </c>
      <c r="GW30">
        <v>35</v>
      </c>
      <c r="GX30">
        <v>28.2065</v>
      </c>
      <c r="GY30">
        <v>63.1708</v>
      </c>
      <c r="GZ30">
        <v>36.4423</v>
      </c>
      <c r="HA30">
        <v>1</v>
      </c>
      <c r="HB30">
        <v>0.0300965</v>
      </c>
      <c r="HC30">
        <v>0</v>
      </c>
      <c r="HD30">
        <v>20.3465</v>
      </c>
      <c r="HE30">
        <v>5.21804</v>
      </c>
      <c r="HF30">
        <v>12.0085</v>
      </c>
      <c r="HG30">
        <v>4.9893</v>
      </c>
      <c r="HH30">
        <v>3.28865</v>
      </c>
      <c r="HI30">
        <v>488</v>
      </c>
      <c r="HJ30">
        <v>3590.4</v>
      </c>
      <c r="HK30">
        <v>4564.3</v>
      </c>
      <c r="HL30">
        <v>17.7</v>
      </c>
      <c r="HM30">
        <v>1.86768</v>
      </c>
      <c r="HN30">
        <v>1.86663</v>
      </c>
      <c r="HO30">
        <v>1.86615</v>
      </c>
      <c r="HP30">
        <v>1.86606</v>
      </c>
      <c r="HQ30">
        <v>1.86784</v>
      </c>
      <c r="HR30">
        <v>1.87038</v>
      </c>
      <c r="HS30">
        <v>1.86904</v>
      </c>
      <c r="HT30">
        <v>1.87042</v>
      </c>
      <c r="HU30">
        <v>0</v>
      </c>
      <c r="HV30">
        <v>0</v>
      </c>
      <c r="HW30">
        <v>0</v>
      </c>
      <c r="HX30">
        <v>0</v>
      </c>
      <c r="HY30" t="s">
        <v>422</v>
      </c>
      <c r="HZ30" t="s">
        <v>423</v>
      </c>
      <c r="IA30" t="s">
        <v>424</v>
      </c>
      <c r="IB30" t="s">
        <v>424</v>
      </c>
      <c r="IC30" t="s">
        <v>424</v>
      </c>
      <c r="ID30" t="s">
        <v>424</v>
      </c>
      <c r="IE30">
        <v>0</v>
      </c>
      <c r="IF30">
        <v>100</v>
      </c>
      <c r="IG30">
        <v>100</v>
      </c>
      <c r="IH30">
        <v>-1.57</v>
      </c>
      <c r="II30">
        <v>0.1232</v>
      </c>
      <c r="IJ30">
        <v>-1.064712027753117</v>
      </c>
      <c r="IK30">
        <v>-0.001826611574738555</v>
      </c>
      <c r="IL30">
        <v>3.313362389709971E-07</v>
      </c>
      <c r="IM30">
        <v>-1.629490614973607E-10</v>
      </c>
      <c r="IN30">
        <v>-0.09531406441470595</v>
      </c>
      <c r="IO30">
        <v>-0.008240702679890409</v>
      </c>
      <c r="IP30">
        <v>0.001077697425498046</v>
      </c>
      <c r="IQ30">
        <v>-1.69598232850356E-05</v>
      </c>
      <c r="IR30">
        <v>3</v>
      </c>
      <c r="IS30">
        <v>2280</v>
      </c>
      <c r="IT30">
        <v>1</v>
      </c>
      <c r="IU30">
        <v>25</v>
      </c>
      <c r="IV30">
        <v>1240.5</v>
      </c>
      <c r="IW30">
        <v>1237.9</v>
      </c>
      <c r="IX30">
        <v>0.736084</v>
      </c>
      <c r="IY30">
        <v>2.24243</v>
      </c>
      <c r="IZ30">
        <v>1.39648</v>
      </c>
      <c r="JA30">
        <v>2.35352</v>
      </c>
      <c r="JB30">
        <v>1.49536</v>
      </c>
      <c r="JC30">
        <v>2.33276</v>
      </c>
      <c r="JD30">
        <v>38.7964</v>
      </c>
      <c r="JE30">
        <v>24.0612</v>
      </c>
      <c r="JF30">
        <v>18</v>
      </c>
      <c r="JG30">
        <v>508.195</v>
      </c>
      <c r="JH30">
        <v>429.8</v>
      </c>
      <c r="JI30">
        <v>27.9131</v>
      </c>
      <c r="JJ30">
        <v>27.783</v>
      </c>
      <c r="JK30">
        <v>30.0002</v>
      </c>
      <c r="JL30">
        <v>27.7178</v>
      </c>
      <c r="JM30">
        <v>27.657</v>
      </c>
      <c r="JN30">
        <v>14.7436</v>
      </c>
      <c r="JO30">
        <v>26.926</v>
      </c>
      <c r="JP30">
        <v>0</v>
      </c>
      <c r="JQ30">
        <v>-999.9</v>
      </c>
      <c r="JR30">
        <v>258.875</v>
      </c>
      <c r="JS30">
        <v>21.9631</v>
      </c>
      <c r="JT30">
        <v>100.53</v>
      </c>
      <c r="JU30">
        <v>100.428</v>
      </c>
    </row>
    <row r="31" spans="1:281">
      <c r="A31">
        <v>15</v>
      </c>
      <c r="B31">
        <v>1651771947.5</v>
      </c>
      <c r="C31">
        <v>69.90000009536743</v>
      </c>
      <c r="D31" t="s">
        <v>451</v>
      </c>
      <c r="E31" t="s">
        <v>452</v>
      </c>
      <c r="F31">
        <v>5</v>
      </c>
      <c r="H31" t="s">
        <v>417</v>
      </c>
      <c r="I31">
        <v>1651771944.7</v>
      </c>
      <c r="J31">
        <f>(K31)/1000</f>
        <v>0</v>
      </c>
      <c r="K31">
        <f>IF(CZ31, AN31, AH31)</f>
        <v>0</v>
      </c>
      <c r="L31">
        <f>IF(CZ31, AI31, AG31)</f>
        <v>0</v>
      </c>
      <c r="M31">
        <f>DB31 - IF(AU31&gt;1, L31*CV31*100.0/(AW31*DP31), 0)</f>
        <v>0</v>
      </c>
      <c r="N31">
        <f>((T31-J31/2)*M31-L31)/(T31+J31/2)</f>
        <v>0</v>
      </c>
      <c r="O31">
        <f>N31*(DI31+DJ31)/1000.0</f>
        <v>0</v>
      </c>
      <c r="P31">
        <f>(DB31 - IF(AU31&gt;1, L31*CV31*100.0/(AW31*DP31), 0))*(DI31+DJ31)/1000.0</f>
        <v>0</v>
      </c>
      <c r="Q31">
        <f>2.0/((1/S31-1/R31)+SIGN(S31)*SQRT((1/S31-1/R31)*(1/S31-1/R31) + 4*CW31/((CW31+1)*(CW31+1))*(2*1/S31*1/R31-1/R31*1/R31)))</f>
        <v>0</v>
      </c>
      <c r="R31">
        <f>IF(LEFT(CX31,1)&lt;&gt;"0",IF(LEFT(CX31,1)="1",3.0,CY31),$D$5+$E$5*(DP31*DI31/($K$5*1000))+$F$5*(DP31*DI31/($K$5*1000))*MAX(MIN(CV31,$J$5),$I$5)*MAX(MIN(CV31,$J$5),$I$5)+$G$5*MAX(MIN(CV31,$J$5),$I$5)*(DP31*DI31/($K$5*1000))+$H$5*(DP31*DI31/($K$5*1000))*(DP31*DI31/($K$5*1000)))</f>
        <v>0</v>
      </c>
      <c r="S31">
        <f>J31*(1000-(1000*0.61365*exp(17.502*W31/(240.97+W31))/(DI31+DJ31)+DD31)/2)/(1000*0.61365*exp(17.502*W31/(240.97+W31))/(DI31+DJ31)-DD31)</f>
        <v>0</v>
      </c>
      <c r="T31">
        <f>1/((CW31+1)/(Q31/1.6)+1/(R31/1.37)) + CW31/((CW31+1)/(Q31/1.6) + CW31/(R31/1.37))</f>
        <v>0</v>
      </c>
      <c r="U31">
        <f>(CR31*CU31)</f>
        <v>0</v>
      </c>
      <c r="V31">
        <f>(DK31+(U31+2*0.95*5.67E-8*(((DK31+$B$7)+273)^4-(DK31+273)^4)-44100*J31)/(1.84*29.3*R31+8*0.95*5.67E-8*(DK31+273)^3))</f>
        <v>0</v>
      </c>
      <c r="W31">
        <f>($C$7*DL31+$D$7*DM31+$E$7*V31)</f>
        <v>0</v>
      </c>
      <c r="X31">
        <f>0.61365*exp(17.502*W31/(240.97+W31))</f>
        <v>0</v>
      </c>
      <c r="Y31">
        <f>(Z31/AA31*100)</f>
        <v>0</v>
      </c>
      <c r="Z31">
        <f>DD31*(DI31+DJ31)/1000</f>
        <v>0</v>
      </c>
      <c r="AA31">
        <f>0.61365*exp(17.502*DK31/(240.97+DK31))</f>
        <v>0</v>
      </c>
      <c r="AB31">
        <f>(X31-DD31*(DI31+DJ31)/1000)</f>
        <v>0</v>
      </c>
      <c r="AC31">
        <f>(-J31*44100)</f>
        <v>0</v>
      </c>
      <c r="AD31">
        <f>2*29.3*R31*0.92*(DK31-W31)</f>
        <v>0</v>
      </c>
      <c r="AE31">
        <f>2*0.95*5.67E-8*(((DK31+$B$7)+273)^4-(W31+273)^4)</f>
        <v>0</v>
      </c>
      <c r="AF31">
        <f>U31+AE31+AC31+AD31</f>
        <v>0</v>
      </c>
      <c r="AG31">
        <f>DH31*AU31*(DC31-DB31*(1000-AU31*DE31)/(1000-AU31*DD31))/(100*CV31)</f>
        <v>0</v>
      </c>
      <c r="AH31">
        <f>1000*DH31*AU31*(DD31-DE31)/(100*CV31*(1000-AU31*DD31))</f>
        <v>0</v>
      </c>
      <c r="AI31">
        <f>(AJ31 - AK31 - DI31*1E3/(8.314*(DK31+273.15)) * AM31/DH31 * AL31) * DH31/(100*CV31) * (1000 - DE31)/1000</f>
        <v>0</v>
      </c>
      <c r="AJ31">
        <v>280.9368949285803</v>
      </c>
      <c r="AK31">
        <v>281.6289212121212</v>
      </c>
      <c r="AL31">
        <v>-3.198102677713053</v>
      </c>
      <c r="AM31">
        <v>66.72507702095443</v>
      </c>
      <c r="AN31">
        <f>(AP31 - AO31 + DI31*1E3/(8.314*(DK31+273.15)) * AR31/DH31 * AQ31) * DH31/(100*CV31) * 1000/(1000 - AP31)</f>
        <v>0</v>
      </c>
      <c r="AO31">
        <v>21.89557138643869</v>
      </c>
      <c r="AP31">
        <v>26.32577878787879</v>
      </c>
      <c r="AQ31">
        <v>0.005919968189221803</v>
      </c>
      <c r="AR31">
        <v>78.22078291278521</v>
      </c>
      <c r="AS31">
        <v>1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MAX(0,($B$13+$C$13*DP31)/(1+$D$13*DP31)*DI31/(DK31+273)*$E$13)</f>
        <v>0</v>
      </c>
      <c r="AX31" t="s">
        <v>418</v>
      </c>
      <c r="AY31" t="s">
        <v>418</v>
      </c>
      <c r="AZ31">
        <v>0</v>
      </c>
      <c r="BA31">
        <v>0</v>
      </c>
      <c r="BB31">
        <f>1-AZ31/BA31</f>
        <v>0</v>
      </c>
      <c r="BC31">
        <v>0</v>
      </c>
      <c r="BD31" t="s">
        <v>418</v>
      </c>
      <c r="BE31" t="s">
        <v>418</v>
      </c>
      <c r="BF31">
        <v>0</v>
      </c>
      <c r="BG31">
        <v>0</v>
      </c>
      <c r="BH31">
        <f>1-BF31/BG31</f>
        <v>0</v>
      </c>
      <c r="BI31">
        <v>0.5</v>
      </c>
      <c r="BJ31">
        <f>CS31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418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f>$B$11*DQ31+$C$11*DR31+$F$11*EC31*(1-EF31)</f>
        <v>0</v>
      </c>
      <c r="CS31">
        <f>CR31*CT31</f>
        <v>0</v>
      </c>
      <c r="CT31">
        <f>($B$11*$D$9+$C$11*$D$9+$F$11*((EP31+EH31)/MAX(EP31+EH31+EQ31, 0.1)*$I$9+EQ31/MAX(EP31+EH31+EQ31, 0.1)*$J$9))/($B$11+$C$11+$F$11)</f>
        <v>0</v>
      </c>
      <c r="CU31">
        <f>($B$11*$K$9+$C$11*$K$9+$F$11*((EP31+EH31)/MAX(EP31+EH31+EQ31, 0.1)*$P$9+EQ31/MAX(EP31+EH31+EQ31, 0.1)*$Q$9))/($B$11+$C$11+$F$11)</f>
        <v>0</v>
      </c>
      <c r="CV31">
        <v>6</v>
      </c>
      <c r="CW31">
        <v>0.5</v>
      </c>
      <c r="CX31" t="s">
        <v>419</v>
      </c>
      <c r="CY31">
        <v>2</v>
      </c>
      <c r="CZ31" t="b">
        <v>1</v>
      </c>
      <c r="DA31">
        <v>1651771944.7</v>
      </c>
      <c r="DB31">
        <v>281.3828999999999</v>
      </c>
      <c r="DC31">
        <v>274.9078</v>
      </c>
      <c r="DD31">
        <v>26.31335</v>
      </c>
      <c r="DE31">
        <v>21.89585</v>
      </c>
      <c r="DF31">
        <v>282.9417</v>
      </c>
      <c r="DG31">
        <v>26.18996</v>
      </c>
      <c r="DH31">
        <v>500.0556</v>
      </c>
      <c r="DI31">
        <v>90.30677</v>
      </c>
      <c r="DJ31">
        <v>0.1000771</v>
      </c>
      <c r="DK31">
        <v>29.00059</v>
      </c>
      <c r="DL31">
        <v>28.3947</v>
      </c>
      <c r="DM31">
        <v>999.9</v>
      </c>
      <c r="DN31">
        <v>0</v>
      </c>
      <c r="DO31">
        <v>0</v>
      </c>
      <c r="DP31">
        <v>10012.81</v>
      </c>
      <c r="DQ31">
        <v>0</v>
      </c>
      <c r="DR31">
        <v>13.19108</v>
      </c>
      <c r="DS31">
        <v>6.475081999999999</v>
      </c>
      <c r="DT31">
        <v>288.9872</v>
      </c>
      <c r="DU31">
        <v>281.0618</v>
      </c>
      <c r="DV31">
        <v>4.417499</v>
      </c>
      <c r="DW31">
        <v>274.9078</v>
      </c>
      <c r="DX31">
        <v>21.89585</v>
      </c>
      <c r="DY31">
        <v>2.376273</v>
      </c>
      <c r="DZ31">
        <v>1.977343</v>
      </c>
      <c r="EA31">
        <v>20.20299</v>
      </c>
      <c r="EB31">
        <v>17.26406</v>
      </c>
      <c r="EC31">
        <v>1499.956</v>
      </c>
      <c r="ED31">
        <v>0.972992</v>
      </c>
      <c r="EE31">
        <v>0.02700805</v>
      </c>
      <c r="EF31">
        <v>0</v>
      </c>
      <c r="EG31">
        <v>2.47777</v>
      </c>
      <c r="EH31">
        <v>0</v>
      </c>
      <c r="EI31">
        <v>15028.32</v>
      </c>
      <c r="EJ31">
        <v>12532.99</v>
      </c>
      <c r="EK31">
        <v>36.6933</v>
      </c>
      <c r="EL31">
        <v>38.25</v>
      </c>
      <c r="EM31">
        <v>37.125</v>
      </c>
      <c r="EN31">
        <v>37.562</v>
      </c>
      <c r="EO31">
        <v>36.562</v>
      </c>
      <c r="EP31">
        <v>1459.445</v>
      </c>
      <c r="EQ31">
        <v>40.511</v>
      </c>
      <c r="ER31">
        <v>0</v>
      </c>
      <c r="ES31">
        <v>1651771948.4</v>
      </c>
      <c r="ET31">
        <v>0</v>
      </c>
      <c r="EU31">
        <v>2.403668</v>
      </c>
      <c r="EV31">
        <v>0.150430767759214</v>
      </c>
      <c r="EW31">
        <v>-2654.876918999065</v>
      </c>
      <c r="EX31">
        <v>15231.252</v>
      </c>
      <c r="EY31">
        <v>15</v>
      </c>
      <c r="EZ31">
        <v>0</v>
      </c>
      <c r="FA31" t="s">
        <v>420</v>
      </c>
      <c r="FB31">
        <v>1651697511.6</v>
      </c>
      <c r="FC31">
        <v>1651697666.1</v>
      </c>
      <c r="FD31">
        <v>0</v>
      </c>
      <c r="FE31">
        <v>-0.019</v>
      </c>
      <c r="FF31">
        <v>0.013</v>
      </c>
      <c r="FG31">
        <v>-2.121</v>
      </c>
      <c r="FH31">
        <v>0.041</v>
      </c>
      <c r="FI31">
        <v>420</v>
      </c>
      <c r="FJ31">
        <v>22</v>
      </c>
      <c r="FK31">
        <v>1.72</v>
      </c>
      <c r="FL31">
        <v>0.27</v>
      </c>
      <c r="FM31">
        <v>4.894444390243902</v>
      </c>
      <c r="FN31">
        <v>10.82583721254356</v>
      </c>
      <c r="FO31">
        <v>1.067701426103139</v>
      </c>
      <c r="FP31">
        <v>0</v>
      </c>
      <c r="FQ31">
        <v>4.42025024390244</v>
      </c>
      <c r="FR31">
        <v>-0.09438564459929791</v>
      </c>
      <c r="FS31">
        <v>0.01506970414000692</v>
      </c>
      <c r="FT31">
        <v>1</v>
      </c>
      <c r="FU31">
        <v>0</v>
      </c>
      <c r="FV31">
        <v>0</v>
      </c>
      <c r="FW31">
        <v>0</v>
      </c>
      <c r="FX31">
        <v>1</v>
      </c>
      <c r="FY31">
        <v>2</v>
      </c>
      <c r="FZ31">
        <v>3</v>
      </c>
      <c r="GA31" t="s">
        <v>421</v>
      </c>
      <c r="GB31">
        <v>2.98163</v>
      </c>
      <c r="GC31">
        <v>2.70617</v>
      </c>
      <c r="GD31">
        <v>0.0668981</v>
      </c>
      <c r="GE31">
        <v>0.064498</v>
      </c>
      <c r="GF31">
        <v>0.113524</v>
      </c>
      <c r="GG31">
        <v>0.0985143</v>
      </c>
      <c r="GH31">
        <v>29517</v>
      </c>
      <c r="GI31">
        <v>29652.4</v>
      </c>
      <c r="GJ31">
        <v>29407.7</v>
      </c>
      <c r="GK31">
        <v>29318.2</v>
      </c>
      <c r="GL31">
        <v>34508.7</v>
      </c>
      <c r="GM31">
        <v>35183.6</v>
      </c>
      <c r="GN31">
        <v>41398.5</v>
      </c>
      <c r="GO31">
        <v>41842.1</v>
      </c>
      <c r="GP31">
        <v>1.9632</v>
      </c>
      <c r="GQ31">
        <v>1.8628</v>
      </c>
      <c r="GR31">
        <v>0.0821799</v>
      </c>
      <c r="GS31">
        <v>0</v>
      </c>
      <c r="GT31">
        <v>27.0585</v>
      </c>
      <c r="GU31">
        <v>999.9</v>
      </c>
      <c r="GV31">
        <v>45.1</v>
      </c>
      <c r="GW31">
        <v>35</v>
      </c>
      <c r="GX31">
        <v>28.211</v>
      </c>
      <c r="GY31">
        <v>62.9708</v>
      </c>
      <c r="GZ31">
        <v>36.3542</v>
      </c>
      <c r="HA31">
        <v>1</v>
      </c>
      <c r="HB31">
        <v>0.0302388</v>
      </c>
      <c r="HC31">
        <v>0</v>
      </c>
      <c r="HD31">
        <v>20.3463</v>
      </c>
      <c r="HE31">
        <v>5.21744</v>
      </c>
      <c r="HF31">
        <v>12.0088</v>
      </c>
      <c r="HG31">
        <v>4.9893</v>
      </c>
      <c r="HH31">
        <v>3.28848</v>
      </c>
      <c r="HI31">
        <v>488.2</v>
      </c>
      <c r="HJ31">
        <v>3591.7</v>
      </c>
      <c r="HK31">
        <v>4564.3</v>
      </c>
      <c r="HL31">
        <v>17.7</v>
      </c>
      <c r="HM31">
        <v>1.86768</v>
      </c>
      <c r="HN31">
        <v>1.86662</v>
      </c>
      <c r="HO31">
        <v>1.86616</v>
      </c>
      <c r="HP31">
        <v>1.86603</v>
      </c>
      <c r="HQ31">
        <v>1.86785</v>
      </c>
      <c r="HR31">
        <v>1.87036</v>
      </c>
      <c r="HS31">
        <v>1.86904</v>
      </c>
      <c r="HT31">
        <v>1.87042</v>
      </c>
      <c r="HU31">
        <v>0</v>
      </c>
      <c r="HV31">
        <v>0</v>
      </c>
      <c r="HW31">
        <v>0</v>
      </c>
      <c r="HX31">
        <v>0</v>
      </c>
      <c r="HY31" t="s">
        <v>422</v>
      </c>
      <c r="HZ31" t="s">
        <v>423</v>
      </c>
      <c r="IA31" t="s">
        <v>424</v>
      </c>
      <c r="IB31" t="s">
        <v>424</v>
      </c>
      <c r="IC31" t="s">
        <v>424</v>
      </c>
      <c r="ID31" t="s">
        <v>424</v>
      </c>
      <c r="IE31">
        <v>0</v>
      </c>
      <c r="IF31">
        <v>100</v>
      </c>
      <c r="IG31">
        <v>100</v>
      </c>
      <c r="IH31">
        <v>-1.544</v>
      </c>
      <c r="II31">
        <v>0.1236</v>
      </c>
      <c r="IJ31">
        <v>-1.064712027753117</v>
      </c>
      <c r="IK31">
        <v>-0.001826611574738555</v>
      </c>
      <c r="IL31">
        <v>3.313362389709971E-07</v>
      </c>
      <c r="IM31">
        <v>-1.629490614973607E-10</v>
      </c>
      <c r="IN31">
        <v>-0.09531406441470595</v>
      </c>
      <c r="IO31">
        <v>-0.008240702679890409</v>
      </c>
      <c r="IP31">
        <v>0.001077697425498046</v>
      </c>
      <c r="IQ31">
        <v>-1.69598232850356E-05</v>
      </c>
      <c r="IR31">
        <v>3</v>
      </c>
      <c r="IS31">
        <v>2280</v>
      </c>
      <c r="IT31">
        <v>1</v>
      </c>
      <c r="IU31">
        <v>25</v>
      </c>
      <c r="IV31">
        <v>1240.6</v>
      </c>
      <c r="IW31">
        <v>1238</v>
      </c>
      <c r="IX31">
        <v>0.703125</v>
      </c>
      <c r="IY31">
        <v>2.24609</v>
      </c>
      <c r="IZ31">
        <v>1.39648</v>
      </c>
      <c r="JA31">
        <v>2.35229</v>
      </c>
      <c r="JB31">
        <v>1.49536</v>
      </c>
      <c r="JC31">
        <v>2.33887</v>
      </c>
      <c r="JD31">
        <v>38.7964</v>
      </c>
      <c r="JE31">
        <v>24.0612</v>
      </c>
      <c r="JF31">
        <v>18</v>
      </c>
      <c r="JG31">
        <v>508.307</v>
      </c>
      <c r="JH31">
        <v>429.762</v>
      </c>
      <c r="JI31">
        <v>27.9177</v>
      </c>
      <c r="JJ31">
        <v>27.7853</v>
      </c>
      <c r="JK31">
        <v>30.0003</v>
      </c>
      <c r="JL31">
        <v>27.7196</v>
      </c>
      <c r="JM31">
        <v>27.6581</v>
      </c>
      <c r="JN31">
        <v>14.0739</v>
      </c>
      <c r="JO31">
        <v>26.926</v>
      </c>
      <c r="JP31">
        <v>0</v>
      </c>
      <c r="JQ31">
        <v>-999.9</v>
      </c>
      <c r="JR31">
        <v>245.456</v>
      </c>
      <c r="JS31">
        <v>21.9493</v>
      </c>
      <c r="JT31">
        <v>100.53</v>
      </c>
      <c r="JU31">
        <v>100.428</v>
      </c>
    </row>
    <row r="32" spans="1:281">
      <c r="A32">
        <v>16</v>
      </c>
      <c r="B32">
        <v>1651771952.5</v>
      </c>
      <c r="C32">
        <v>74.90000009536743</v>
      </c>
      <c r="D32" t="s">
        <v>453</v>
      </c>
      <c r="E32" t="s">
        <v>454</v>
      </c>
      <c r="F32">
        <v>5</v>
      </c>
      <c r="H32" t="s">
        <v>417</v>
      </c>
      <c r="I32">
        <v>1651771950</v>
      </c>
      <c r="J32">
        <f>(K32)/1000</f>
        <v>0</v>
      </c>
      <c r="K32">
        <f>IF(CZ32, AN32, AH32)</f>
        <v>0</v>
      </c>
      <c r="L32">
        <f>IF(CZ32, AI32, AG32)</f>
        <v>0</v>
      </c>
      <c r="M32">
        <f>DB32 - IF(AU32&gt;1, L32*CV32*100.0/(AW32*DP32), 0)</f>
        <v>0</v>
      </c>
      <c r="N32">
        <f>((T32-J32/2)*M32-L32)/(T32+J32/2)</f>
        <v>0</v>
      </c>
      <c r="O32">
        <f>N32*(DI32+DJ32)/1000.0</f>
        <v>0</v>
      </c>
      <c r="P32">
        <f>(DB32 - IF(AU32&gt;1, L32*CV32*100.0/(AW32*DP32), 0))*(DI32+DJ32)/1000.0</f>
        <v>0</v>
      </c>
      <c r="Q32">
        <f>2.0/((1/S32-1/R32)+SIGN(S32)*SQRT((1/S32-1/R32)*(1/S32-1/R32) + 4*CW32/((CW32+1)*(CW32+1))*(2*1/S32*1/R32-1/R32*1/R32)))</f>
        <v>0</v>
      </c>
      <c r="R32">
        <f>IF(LEFT(CX32,1)&lt;&gt;"0",IF(LEFT(CX32,1)="1",3.0,CY32),$D$5+$E$5*(DP32*DI32/($K$5*1000))+$F$5*(DP32*DI32/($K$5*1000))*MAX(MIN(CV32,$J$5),$I$5)*MAX(MIN(CV32,$J$5),$I$5)+$G$5*MAX(MIN(CV32,$J$5),$I$5)*(DP32*DI32/($K$5*1000))+$H$5*(DP32*DI32/($K$5*1000))*(DP32*DI32/($K$5*1000)))</f>
        <v>0</v>
      </c>
      <c r="S32">
        <f>J32*(1000-(1000*0.61365*exp(17.502*W32/(240.97+W32))/(DI32+DJ32)+DD32)/2)/(1000*0.61365*exp(17.502*W32/(240.97+W32))/(DI32+DJ32)-DD32)</f>
        <v>0</v>
      </c>
      <c r="T32">
        <f>1/((CW32+1)/(Q32/1.6)+1/(R32/1.37)) + CW32/((CW32+1)/(Q32/1.6) + CW32/(R32/1.37))</f>
        <v>0</v>
      </c>
      <c r="U32">
        <f>(CR32*CU32)</f>
        <v>0</v>
      </c>
      <c r="V32">
        <f>(DK32+(U32+2*0.95*5.67E-8*(((DK32+$B$7)+273)^4-(DK32+273)^4)-44100*J32)/(1.84*29.3*R32+8*0.95*5.67E-8*(DK32+273)^3))</f>
        <v>0</v>
      </c>
      <c r="W32">
        <f>($C$7*DL32+$D$7*DM32+$E$7*V32)</f>
        <v>0</v>
      </c>
      <c r="X32">
        <f>0.61365*exp(17.502*W32/(240.97+W32))</f>
        <v>0</v>
      </c>
      <c r="Y32">
        <f>(Z32/AA32*100)</f>
        <v>0</v>
      </c>
      <c r="Z32">
        <f>DD32*(DI32+DJ32)/1000</f>
        <v>0</v>
      </c>
      <c r="AA32">
        <f>0.61365*exp(17.502*DK32/(240.97+DK32))</f>
        <v>0</v>
      </c>
      <c r="AB32">
        <f>(X32-DD32*(DI32+DJ32)/1000)</f>
        <v>0</v>
      </c>
      <c r="AC32">
        <f>(-J32*44100)</f>
        <v>0</v>
      </c>
      <c r="AD32">
        <f>2*29.3*R32*0.92*(DK32-W32)</f>
        <v>0</v>
      </c>
      <c r="AE32">
        <f>2*0.95*5.67E-8*(((DK32+$B$7)+273)^4-(W32+273)^4)</f>
        <v>0</v>
      </c>
      <c r="AF32">
        <f>U32+AE32+AC32+AD32</f>
        <v>0</v>
      </c>
      <c r="AG32">
        <f>DH32*AU32*(DC32-DB32*(1000-AU32*DE32)/(1000-AU32*DD32))/(100*CV32)</f>
        <v>0</v>
      </c>
      <c r="AH32">
        <f>1000*DH32*AU32*(DD32-DE32)/(100*CV32*(1000-AU32*DD32))</f>
        <v>0</v>
      </c>
      <c r="AI32">
        <f>(AJ32 - AK32 - DI32*1E3/(8.314*(DK32+273.15)) * AM32/DH32 * AL32) * DH32/(100*CV32) * (1000 - DE32)/1000</f>
        <v>0</v>
      </c>
      <c r="AJ32">
        <v>263.9392663553102</v>
      </c>
      <c r="AK32">
        <v>265.4995999999999</v>
      </c>
      <c r="AL32">
        <v>-3.221430181171882</v>
      </c>
      <c r="AM32">
        <v>66.72507702095443</v>
      </c>
      <c r="AN32">
        <f>(AP32 - AO32 + DI32*1E3/(8.314*(DK32+273.15)) * AR32/DH32 * AQ32) * DH32/(100*CV32) * 1000/(1000 - AP32)</f>
        <v>0</v>
      </c>
      <c r="AO32">
        <v>21.8957478243713</v>
      </c>
      <c r="AP32">
        <v>26.35005030303029</v>
      </c>
      <c r="AQ32">
        <v>0.003958676220151217</v>
      </c>
      <c r="AR32">
        <v>78.22078291278521</v>
      </c>
      <c r="AS32">
        <v>1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MAX(0,($B$13+$C$13*DP32)/(1+$D$13*DP32)*DI32/(DK32+273)*$E$13)</f>
        <v>0</v>
      </c>
      <c r="AX32" t="s">
        <v>418</v>
      </c>
      <c r="AY32" t="s">
        <v>418</v>
      </c>
      <c r="AZ32">
        <v>0</v>
      </c>
      <c r="BA32">
        <v>0</v>
      </c>
      <c r="BB32">
        <f>1-AZ32/BA32</f>
        <v>0</v>
      </c>
      <c r="BC32">
        <v>0</v>
      </c>
      <c r="BD32" t="s">
        <v>418</v>
      </c>
      <c r="BE32" t="s">
        <v>418</v>
      </c>
      <c r="BF32">
        <v>0</v>
      </c>
      <c r="BG32">
        <v>0</v>
      </c>
      <c r="BH32">
        <f>1-BF32/BG32</f>
        <v>0</v>
      </c>
      <c r="BI32">
        <v>0.5</v>
      </c>
      <c r="BJ32">
        <f>CS32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418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f>$B$11*DQ32+$C$11*DR32+$F$11*EC32*(1-EF32)</f>
        <v>0</v>
      </c>
      <c r="CS32">
        <f>CR32*CT32</f>
        <v>0</v>
      </c>
      <c r="CT32">
        <f>($B$11*$D$9+$C$11*$D$9+$F$11*((EP32+EH32)/MAX(EP32+EH32+EQ32, 0.1)*$I$9+EQ32/MAX(EP32+EH32+EQ32, 0.1)*$J$9))/($B$11+$C$11+$F$11)</f>
        <v>0</v>
      </c>
      <c r="CU32">
        <f>($B$11*$K$9+$C$11*$K$9+$F$11*((EP32+EH32)/MAX(EP32+EH32+EQ32, 0.1)*$P$9+EQ32/MAX(EP32+EH32+EQ32, 0.1)*$Q$9))/($B$11+$C$11+$F$11)</f>
        <v>0</v>
      </c>
      <c r="CV32">
        <v>6</v>
      </c>
      <c r="CW32">
        <v>0.5</v>
      </c>
      <c r="CX32" t="s">
        <v>419</v>
      </c>
      <c r="CY32">
        <v>2</v>
      </c>
      <c r="CZ32" t="b">
        <v>1</v>
      </c>
      <c r="DA32">
        <v>1651771950</v>
      </c>
      <c r="DB32">
        <v>264.7748888888889</v>
      </c>
      <c r="DC32">
        <v>257.3821111111112</v>
      </c>
      <c r="DD32">
        <v>26.34112222222222</v>
      </c>
      <c r="DE32">
        <v>21.895</v>
      </c>
      <c r="DF32">
        <v>266.3055555555555</v>
      </c>
      <c r="DG32">
        <v>26.21734444444444</v>
      </c>
      <c r="DH32">
        <v>500.0377777777778</v>
      </c>
      <c r="DI32">
        <v>90.30683333333334</v>
      </c>
      <c r="DJ32">
        <v>0.09984558888888889</v>
      </c>
      <c r="DK32">
        <v>29.00398888888889</v>
      </c>
      <c r="DL32">
        <v>28.41018888888889</v>
      </c>
      <c r="DM32">
        <v>999.9000000000001</v>
      </c>
      <c r="DN32">
        <v>0</v>
      </c>
      <c r="DO32">
        <v>0</v>
      </c>
      <c r="DP32">
        <v>10011.26666666667</v>
      </c>
      <c r="DQ32">
        <v>0</v>
      </c>
      <c r="DR32">
        <v>13.20126666666667</v>
      </c>
      <c r="DS32">
        <v>7.392736666666668</v>
      </c>
      <c r="DT32">
        <v>271.938</v>
      </c>
      <c r="DU32">
        <v>263.1436666666667</v>
      </c>
      <c r="DV32">
        <v>4.4461</v>
      </c>
      <c r="DW32">
        <v>257.3821111111112</v>
      </c>
      <c r="DX32">
        <v>21.895</v>
      </c>
      <c r="DY32">
        <v>2.378781111111111</v>
      </c>
      <c r="DZ32">
        <v>1.977266666666667</v>
      </c>
      <c r="EA32">
        <v>20.22007777777777</v>
      </c>
      <c r="EB32">
        <v>17.26346666666667</v>
      </c>
      <c r="EC32">
        <v>1500.028888888889</v>
      </c>
      <c r="ED32">
        <v>0.9729943333333334</v>
      </c>
      <c r="EE32">
        <v>0.02700598888888889</v>
      </c>
      <c r="EF32">
        <v>0</v>
      </c>
      <c r="EG32">
        <v>2.068711111111111</v>
      </c>
      <c r="EH32">
        <v>0</v>
      </c>
      <c r="EI32">
        <v>14786.01111111111</v>
      </c>
      <c r="EJ32">
        <v>12533.6</v>
      </c>
      <c r="EK32">
        <v>36.687</v>
      </c>
      <c r="EL32">
        <v>38.25</v>
      </c>
      <c r="EM32">
        <v>37.125</v>
      </c>
      <c r="EN32">
        <v>37.562</v>
      </c>
      <c r="EO32">
        <v>36.52066666666667</v>
      </c>
      <c r="EP32">
        <v>1459.518888888889</v>
      </c>
      <c r="EQ32">
        <v>40.51</v>
      </c>
      <c r="ER32">
        <v>0</v>
      </c>
      <c r="ES32">
        <v>1651771953.8</v>
      </c>
      <c r="ET32">
        <v>0</v>
      </c>
      <c r="EU32">
        <v>2.293615384615384</v>
      </c>
      <c r="EV32">
        <v>-1.439015383115262</v>
      </c>
      <c r="EW32">
        <v>-2726.499147207146</v>
      </c>
      <c r="EX32">
        <v>15002.90384615385</v>
      </c>
      <c r="EY32">
        <v>15</v>
      </c>
      <c r="EZ32">
        <v>0</v>
      </c>
      <c r="FA32" t="s">
        <v>420</v>
      </c>
      <c r="FB32">
        <v>1651697511.6</v>
      </c>
      <c r="FC32">
        <v>1651697666.1</v>
      </c>
      <c r="FD32">
        <v>0</v>
      </c>
      <c r="FE32">
        <v>-0.019</v>
      </c>
      <c r="FF32">
        <v>0.013</v>
      </c>
      <c r="FG32">
        <v>-2.121</v>
      </c>
      <c r="FH32">
        <v>0.041</v>
      </c>
      <c r="FI32">
        <v>420</v>
      </c>
      <c r="FJ32">
        <v>22</v>
      </c>
      <c r="FK32">
        <v>1.72</v>
      </c>
      <c r="FL32">
        <v>0.27</v>
      </c>
      <c r="FM32">
        <v>5.976167317073171</v>
      </c>
      <c r="FN32">
        <v>10.78090034843205</v>
      </c>
      <c r="FO32">
        <v>1.06576562075603</v>
      </c>
      <c r="FP32">
        <v>0</v>
      </c>
      <c r="FQ32">
        <v>4.422971463414634</v>
      </c>
      <c r="FR32">
        <v>0.06929874564460486</v>
      </c>
      <c r="FS32">
        <v>0.0176795264754179</v>
      </c>
      <c r="FT32">
        <v>1</v>
      </c>
      <c r="FU32">
        <v>0</v>
      </c>
      <c r="FV32">
        <v>0</v>
      </c>
      <c r="FW32">
        <v>0</v>
      </c>
      <c r="FX32">
        <v>1</v>
      </c>
      <c r="FY32">
        <v>2</v>
      </c>
      <c r="FZ32">
        <v>3</v>
      </c>
      <c r="GA32" t="s">
        <v>421</v>
      </c>
      <c r="GB32">
        <v>2.98157</v>
      </c>
      <c r="GC32">
        <v>2.70613</v>
      </c>
      <c r="GD32">
        <v>0.063651</v>
      </c>
      <c r="GE32">
        <v>0.0611459</v>
      </c>
      <c r="GF32">
        <v>0.113597</v>
      </c>
      <c r="GG32">
        <v>0.0985014</v>
      </c>
      <c r="GH32">
        <v>29619.7</v>
      </c>
      <c r="GI32">
        <v>29758.3</v>
      </c>
      <c r="GJ32">
        <v>29407.8</v>
      </c>
      <c r="GK32">
        <v>29317.9</v>
      </c>
      <c r="GL32">
        <v>34506</v>
      </c>
      <c r="GM32">
        <v>35183.5</v>
      </c>
      <c r="GN32">
        <v>41398.7</v>
      </c>
      <c r="GO32">
        <v>41841.4</v>
      </c>
      <c r="GP32">
        <v>1.96305</v>
      </c>
      <c r="GQ32">
        <v>1.86275</v>
      </c>
      <c r="GR32">
        <v>0.0830367</v>
      </c>
      <c r="GS32">
        <v>0</v>
      </c>
      <c r="GT32">
        <v>27.0636</v>
      </c>
      <c r="GU32">
        <v>999.9</v>
      </c>
      <c r="GV32">
        <v>45.1</v>
      </c>
      <c r="GW32">
        <v>35</v>
      </c>
      <c r="GX32">
        <v>28.2056</v>
      </c>
      <c r="GY32">
        <v>62.7408</v>
      </c>
      <c r="GZ32">
        <v>36.4383</v>
      </c>
      <c r="HA32">
        <v>1</v>
      </c>
      <c r="HB32">
        <v>0.0302973</v>
      </c>
      <c r="HC32">
        <v>0</v>
      </c>
      <c r="HD32">
        <v>20.3462</v>
      </c>
      <c r="HE32">
        <v>5.21654</v>
      </c>
      <c r="HF32">
        <v>12.0074</v>
      </c>
      <c r="HG32">
        <v>4.98895</v>
      </c>
      <c r="HH32">
        <v>3.28835</v>
      </c>
      <c r="HI32">
        <v>488.2</v>
      </c>
      <c r="HJ32">
        <v>3591.7</v>
      </c>
      <c r="HK32">
        <v>4564.3</v>
      </c>
      <c r="HL32">
        <v>17.7</v>
      </c>
      <c r="HM32">
        <v>1.86768</v>
      </c>
      <c r="HN32">
        <v>1.86661</v>
      </c>
      <c r="HO32">
        <v>1.86616</v>
      </c>
      <c r="HP32">
        <v>1.86604</v>
      </c>
      <c r="HQ32">
        <v>1.86785</v>
      </c>
      <c r="HR32">
        <v>1.87039</v>
      </c>
      <c r="HS32">
        <v>1.86905</v>
      </c>
      <c r="HT32">
        <v>1.87042</v>
      </c>
      <c r="HU32">
        <v>0</v>
      </c>
      <c r="HV32">
        <v>0</v>
      </c>
      <c r="HW32">
        <v>0</v>
      </c>
      <c r="HX32">
        <v>0</v>
      </c>
      <c r="HY32" t="s">
        <v>422</v>
      </c>
      <c r="HZ32" t="s">
        <v>423</v>
      </c>
      <c r="IA32" t="s">
        <v>424</v>
      </c>
      <c r="IB32" t="s">
        <v>424</v>
      </c>
      <c r="IC32" t="s">
        <v>424</v>
      </c>
      <c r="ID32" t="s">
        <v>424</v>
      </c>
      <c r="IE32">
        <v>0</v>
      </c>
      <c r="IF32">
        <v>100</v>
      </c>
      <c r="IG32">
        <v>100</v>
      </c>
      <c r="IH32">
        <v>-1.517</v>
      </c>
      <c r="II32">
        <v>0.1239</v>
      </c>
      <c r="IJ32">
        <v>-1.064712027753117</v>
      </c>
      <c r="IK32">
        <v>-0.001826611574738555</v>
      </c>
      <c r="IL32">
        <v>3.313362389709971E-07</v>
      </c>
      <c r="IM32">
        <v>-1.629490614973607E-10</v>
      </c>
      <c r="IN32">
        <v>-0.09531406441470595</v>
      </c>
      <c r="IO32">
        <v>-0.008240702679890409</v>
      </c>
      <c r="IP32">
        <v>0.001077697425498046</v>
      </c>
      <c r="IQ32">
        <v>-1.69598232850356E-05</v>
      </c>
      <c r="IR32">
        <v>3</v>
      </c>
      <c r="IS32">
        <v>2280</v>
      </c>
      <c r="IT32">
        <v>1</v>
      </c>
      <c r="IU32">
        <v>25</v>
      </c>
      <c r="IV32">
        <v>1240.7</v>
      </c>
      <c r="IW32">
        <v>1238.1</v>
      </c>
      <c r="IX32">
        <v>0.664062</v>
      </c>
      <c r="IY32">
        <v>2.24609</v>
      </c>
      <c r="IZ32">
        <v>1.39648</v>
      </c>
      <c r="JA32">
        <v>2.35352</v>
      </c>
      <c r="JB32">
        <v>1.49536</v>
      </c>
      <c r="JC32">
        <v>2.35229</v>
      </c>
      <c r="JD32">
        <v>38.7964</v>
      </c>
      <c r="JE32">
        <v>24.0525</v>
      </c>
      <c r="JF32">
        <v>18</v>
      </c>
      <c r="JG32">
        <v>508.23</v>
      </c>
      <c r="JH32">
        <v>429.742</v>
      </c>
      <c r="JI32">
        <v>27.9241</v>
      </c>
      <c r="JJ32">
        <v>27.7877</v>
      </c>
      <c r="JK32">
        <v>30.0002</v>
      </c>
      <c r="JL32">
        <v>27.7219</v>
      </c>
      <c r="JM32">
        <v>27.6594</v>
      </c>
      <c r="JN32">
        <v>13.3117</v>
      </c>
      <c r="JO32">
        <v>26.926</v>
      </c>
      <c r="JP32">
        <v>0</v>
      </c>
      <c r="JQ32">
        <v>-999.9</v>
      </c>
      <c r="JR32">
        <v>225.035</v>
      </c>
      <c r="JS32">
        <v>21.9493</v>
      </c>
      <c r="JT32">
        <v>100.53</v>
      </c>
      <c r="JU32">
        <v>100.427</v>
      </c>
    </row>
    <row r="33" spans="1:281">
      <c r="A33">
        <v>17</v>
      </c>
      <c r="B33">
        <v>1651771957.5</v>
      </c>
      <c r="C33">
        <v>79.90000009536743</v>
      </c>
      <c r="D33" t="s">
        <v>455</v>
      </c>
      <c r="E33" t="s">
        <v>456</v>
      </c>
      <c r="F33">
        <v>5</v>
      </c>
      <c r="H33" t="s">
        <v>417</v>
      </c>
      <c r="I33">
        <v>1651771954.7</v>
      </c>
      <c r="J33">
        <f>(K33)/1000</f>
        <v>0</v>
      </c>
      <c r="K33">
        <f>IF(CZ33, AN33, AH33)</f>
        <v>0</v>
      </c>
      <c r="L33">
        <f>IF(CZ33, AI33, AG33)</f>
        <v>0</v>
      </c>
      <c r="M33">
        <f>DB33 - IF(AU33&gt;1, L33*CV33*100.0/(AW33*DP33), 0)</f>
        <v>0</v>
      </c>
      <c r="N33">
        <f>((T33-J33/2)*M33-L33)/(T33+J33/2)</f>
        <v>0</v>
      </c>
      <c r="O33">
        <f>N33*(DI33+DJ33)/1000.0</f>
        <v>0</v>
      </c>
      <c r="P33">
        <f>(DB33 - IF(AU33&gt;1, L33*CV33*100.0/(AW33*DP33), 0))*(DI33+DJ33)/1000.0</f>
        <v>0</v>
      </c>
      <c r="Q33">
        <f>2.0/((1/S33-1/R33)+SIGN(S33)*SQRT((1/S33-1/R33)*(1/S33-1/R33) + 4*CW33/((CW33+1)*(CW33+1))*(2*1/S33*1/R33-1/R33*1/R33)))</f>
        <v>0</v>
      </c>
      <c r="R33">
        <f>IF(LEFT(CX33,1)&lt;&gt;"0",IF(LEFT(CX33,1)="1",3.0,CY33),$D$5+$E$5*(DP33*DI33/($K$5*1000))+$F$5*(DP33*DI33/($K$5*1000))*MAX(MIN(CV33,$J$5),$I$5)*MAX(MIN(CV33,$J$5),$I$5)+$G$5*MAX(MIN(CV33,$J$5),$I$5)*(DP33*DI33/($K$5*1000))+$H$5*(DP33*DI33/($K$5*1000))*(DP33*DI33/($K$5*1000)))</f>
        <v>0</v>
      </c>
      <c r="S33">
        <f>J33*(1000-(1000*0.61365*exp(17.502*W33/(240.97+W33))/(DI33+DJ33)+DD33)/2)/(1000*0.61365*exp(17.502*W33/(240.97+W33))/(DI33+DJ33)-DD33)</f>
        <v>0</v>
      </c>
      <c r="T33">
        <f>1/((CW33+1)/(Q33/1.6)+1/(R33/1.37)) + CW33/((CW33+1)/(Q33/1.6) + CW33/(R33/1.37))</f>
        <v>0</v>
      </c>
      <c r="U33">
        <f>(CR33*CU33)</f>
        <v>0</v>
      </c>
      <c r="V33">
        <f>(DK33+(U33+2*0.95*5.67E-8*(((DK33+$B$7)+273)^4-(DK33+273)^4)-44100*J33)/(1.84*29.3*R33+8*0.95*5.67E-8*(DK33+273)^3))</f>
        <v>0</v>
      </c>
      <c r="W33">
        <f>($C$7*DL33+$D$7*DM33+$E$7*V33)</f>
        <v>0</v>
      </c>
      <c r="X33">
        <f>0.61365*exp(17.502*W33/(240.97+W33))</f>
        <v>0</v>
      </c>
      <c r="Y33">
        <f>(Z33/AA33*100)</f>
        <v>0</v>
      </c>
      <c r="Z33">
        <f>DD33*(DI33+DJ33)/1000</f>
        <v>0</v>
      </c>
      <c r="AA33">
        <f>0.61365*exp(17.502*DK33/(240.97+DK33))</f>
        <v>0</v>
      </c>
      <c r="AB33">
        <f>(X33-DD33*(DI33+DJ33)/1000)</f>
        <v>0</v>
      </c>
      <c r="AC33">
        <f>(-J33*44100)</f>
        <v>0</v>
      </c>
      <c r="AD33">
        <f>2*29.3*R33*0.92*(DK33-W33)</f>
        <v>0</v>
      </c>
      <c r="AE33">
        <f>2*0.95*5.67E-8*(((DK33+$B$7)+273)^4-(W33+273)^4)</f>
        <v>0</v>
      </c>
      <c r="AF33">
        <f>U33+AE33+AC33+AD33</f>
        <v>0</v>
      </c>
      <c r="AG33">
        <f>DH33*AU33*(DC33-DB33*(1000-AU33*DE33)/(1000-AU33*DD33))/(100*CV33)</f>
        <v>0</v>
      </c>
      <c r="AH33">
        <f>1000*DH33*AU33*(DD33-DE33)/(100*CV33*(1000-AU33*DD33))</f>
        <v>0</v>
      </c>
      <c r="AI33">
        <f>(AJ33 - AK33 - DI33*1E3/(8.314*(DK33+273.15)) * AM33/DH33 * AL33) * DH33/(100*CV33) * (1000 - DE33)/1000</f>
        <v>0</v>
      </c>
      <c r="AJ33">
        <v>247.2482337102237</v>
      </c>
      <c r="AK33">
        <v>249.631</v>
      </c>
      <c r="AL33">
        <v>-3.177906026850535</v>
      </c>
      <c r="AM33">
        <v>66.72507702095443</v>
      </c>
      <c r="AN33">
        <f>(AP33 - AO33 + DI33*1E3/(8.314*(DK33+273.15)) * AR33/DH33 * AQ33) * DH33/(100*CV33) * 1000/(1000 - AP33)</f>
        <v>0</v>
      </c>
      <c r="AO33">
        <v>21.89094970136402</v>
      </c>
      <c r="AP33">
        <v>26.36974242424241</v>
      </c>
      <c r="AQ33">
        <v>0.001120186688898332</v>
      </c>
      <c r="AR33">
        <v>78.22078291278521</v>
      </c>
      <c r="AS33">
        <v>1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MAX(0,($B$13+$C$13*DP33)/(1+$D$13*DP33)*DI33/(DK33+273)*$E$13)</f>
        <v>0</v>
      </c>
      <c r="AX33" t="s">
        <v>418</v>
      </c>
      <c r="AY33" t="s">
        <v>418</v>
      </c>
      <c r="AZ33">
        <v>0</v>
      </c>
      <c r="BA33">
        <v>0</v>
      </c>
      <c r="BB33">
        <f>1-AZ33/BA33</f>
        <v>0</v>
      </c>
      <c r="BC33">
        <v>0</v>
      </c>
      <c r="BD33" t="s">
        <v>418</v>
      </c>
      <c r="BE33" t="s">
        <v>418</v>
      </c>
      <c r="BF33">
        <v>0</v>
      </c>
      <c r="BG33">
        <v>0</v>
      </c>
      <c r="BH33">
        <f>1-BF33/BG33</f>
        <v>0</v>
      </c>
      <c r="BI33">
        <v>0.5</v>
      </c>
      <c r="BJ33">
        <f>CS33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418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f>$B$11*DQ33+$C$11*DR33+$F$11*EC33*(1-EF33)</f>
        <v>0</v>
      </c>
      <c r="CS33">
        <f>CR33*CT33</f>
        <v>0</v>
      </c>
      <c r="CT33">
        <f>($B$11*$D$9+$C$11*$D$9+$F$11*((EP33+EH33)/MAX(EP33+EH33+EQ33, 0.1)*$I$9+EQ33/MAX(EP33+EH33+EQ33, 0.1)*$J$9))/($B$11+$C$11+$F$11)</f>
        <v>0</v>
      </c>
      <c r="CU33">
        <f>($B$11*$K$9+$C$11*$K$9+$F$11*((EP33+EH33)/MAX(EP33+EH33+EQ33, 0.1)*$P$9+EQ33/MAX(EP33+EH33+EQ33, 0.1)*$Q$9))/($B$11+$C$11+$F$11)</f>
        <v>0</v>
      </c>
      <c r="CV33">
        <v>6</v>
      </c>
      <c r="CW33">
        <v>0.5</v>
      </c>
      <c r="CX33" t="s">
        <v>419</v>
      </c>
      <c r="CY33">
        <v>2</v>
      </c>
      <c r="CZ33" t="b">
        <v>1</v>
      </c>
      <c r="DA33">
        <v>1651771954.7</v>
      </c>
      <c r="DB33">
        <v>250.1706</v>
      </c>
      <c r="DC33">
        <v>241.9367</v>
      </c>
      <c r="DD33">
        <v>26.3606</v>
      </c>
      <c r="DE33">
        <v>21.89097</v>
      </c>
      <c r="DF33">
        <v>251.6766</v>
      </c>
      <c r="DG33">
        <v>26.2366</v>
      </c>
      <c r="DH33">
        <v>500.0713</v>
      </c>
      <c r="DI33">
        <v>90.30956</v>
      </c>
      <c r="DJ33">
        <v>0.10014689</v>
      </c>
      <c r="DK33">
        <v>29.01017</v>
      </c>
      <c r="DL33">
        <v>28.41929</v>
      </c>
      <c r="DM33">
        <v>999.9</v>
      </c>
      <c r="DN33">
        <v>0</v>
      </c>
      <c r="DO33">
        <v>0</v>
      </c>
      <c r="DP33">
        <v>9989.865</v>
      </c>
      <c r="DQ33">
        <v>0</v>
      </c>
      <c r="DR33">
        <v>13.22322</v>
      </c>
      <c r="DS33">
        <v>8.233884</v>
      </c>
      <c r="DT33">
        <v>256.9437</v>
      </c>
      <c r="DU33">
        <v>247.3515</v>
      </c>
      <c r="DV33">
        <v>4.469621</v>
      </c>
      <c r="DW33">
        <v>241.9367</v>
      </c>
      <c r="DX33">
        <v>21.89097</v>
      </c>
      <c r="DY33">
        <v>2.380615</v>
      </c>
      <c r="DZ33">
        <v>1.976964</v>
      </c>
      <c r="EA33">
        <v>20.23251</v>
      </c>
      <c r="EB33">
        <v>17.26104</v>
      </c>
      <c r="EC33">
        <v>1500.013</v>
      </c>
      <c r="ED33">
        <v>0.9729943999999999</v>
      </c>
      <c r="EE33">
        <v>0.02700593</v>
      </c>
      <c r="EF33">
        <v>0</v>
      </c>
      <c r="EG33">
        <v>2.22243</v>
      </c>
      <c r="EH33">
        <v>0</v>
      </c>
      <c r="EI33">
        <v>14573.5</v>
      </c>
      <c r="EJ33">
        <v>12533.46</v>
      </c>
      <c r="EK33">
        <v>36.687</v>
      </c>
      <c r="EL33">
        <v>38.25</v>
      </c>
      <c r="EM33">
        <v>37.125</v>
      </c>
      <c r="EN33">
        <v>37.562</v>
      </c>
      <c r="EO33">
        <v>36.5124</v>
      </c>
      <c r="EP33">
        <v>1459.503</v>
      </c>
      <c r="EQ33">
        <v>40.51</v>
      </c>
      <c r="ER33">
        <v>0</v>
      </c>
      <c r="ES33">
        <v>1651771958.6</v>
      </c>
      <c r="ET33">
        <v>0</v>
      </c>
      <c r="EU33">
        <v>2.239830769230769</v>
      </c>
      <c r="EV33">
        <v>-1.133005131080488</v>
      </c>
      <c r="EW33">
        <v>-2740.102564180926</v>
      </c>
      <c r="EX33">
        <v>14784.63846153846</v>
      </c>
      <c r="EY33">
        <v>15</v>
      </c>
      <c r="EZ33">
        <v>0</v>
      </c>
      <c r="FA33" t="s">
        <v>420</v>
      </c>
      <c r="FB33">
        <v>1651697511.6</v>
      </c>
      <c r="FC33">
        <v>1651697666.1</v>
      </c>
      <c r="FD33">
        <v>0</v>
      </c>
      <c r="FE33">
        <v>-0.019</v>
      </c>
      <c r="FF33">
        <v>0.013</v>
      </c>
      <c r="FG33">
        <v>-2.121</v>
      </c>
      <c r="FH33">
        <v>0.041</v>
      </c>
      <c r="FI33">
        <v>420</v>
      </c>
      <c r="FJ33">
        <v>22</v>
      </c>
      <c r="FK33">
        <v>1.72</v>
      </c>
      <c r="FL33">
        <v>0.27</v>
      </c>
      <c r="FM33">
        <v>6.820098250000001</v>
      </c>
      <c r="FN33">
        <v>10.51226848030018</v>
      </c>
      <c r="FO33">
        <v>1.018836768964704</v>
      </c>
      <c r="FP33">
        <v>0</v>
      </c>
      <c r="FQ33">
        <v>4.431417999999999</v>
      </c>
      <c r="FR33">
        <v>0.2641100938086202</v>
      </c>
      <c r="FS33">
        <v>0.02670607020884956</v>
      </c>
      <c r="FT33">
        <v>1</v>
      </c>
      <c r="FU33">
        <v>0</v>
      </c>
      <c r="FV33">
        <v>0</v>
      </c>
      <c r="FW33">
        <v>0</v>
      </c>
      <c r="FX33">
        <v>1</v>
      </c>
      <c r="FY33">
        <v>2</v>
      </c>
      <c r="FZ33">
        <v>3</v>
      </c>
      <c r="GA33" t="s">
        <v>421</v>
      </c>
      <c r="GB33">
        <v>2.98166</v>
      </c>
      <c r="GC33">
        <v>2.70607</v>
      </c>
      <c r="GD33">
        <v>0.060371</v>
      </c>
      <c r="GE33">
        <v>0.0575253</v>
      </c>
      <c r="GF33">
        <v>0.113655</v>
      </c>
      <c r="GG33">
        <v>0.09849189999999999</v>
      </c>
      <c r="GH33">
        <v>29722.8</v>
      </c>
      <c r="GI33">
        <v>29873</v>
      </c>
      <c r="GJ33">
        <v>29407.2</v>
      </c>
      <c r="GK33">
        <v>29317.9</v>
      </c>
      <c r="GL33">
        <v>34502.6</v>
      </c>
      <c r="GM33">
        <v>35183.7</v>
      </c>
      <c r="GN33">
        <v>41397.4</v>
      </c>
      <c r="GO33">
        <v>41841.2</v>
      </c>
      <c r="GP33">
        <v>1.96315</v>
      </c>
      <c r="GQ33">
        <v>1.86285</v>
      </c>
      <c r="GR33">
        <v>0.0821799</v>
      </c>
      <c r="GS33">
        <v>0</v>
      </c>
      <c r="GT33">
        <v>27.0693</v>
      </c>
      <c r="GU33">
        <v>999.9</v>
      </c>
      <c r="GV33">
        <v>45.1</v>
      </c>
      <c r="GW33">
        <v>35.1</v>
      </c>
      <c r="GX33">
        <v>28.3654</v>
      </c>
      <c r="GY33">
        <v>62.8108</v>
      </c>
      <c r="GZ33">
        <v>36.4543</v>
      </c>
      <c r="HA33">
        <v>1</v>
      </c>
      <c r="HB33">
        <v>0.0306555</v>
      </c>
      <c r="HC33">
        <v>0</v>
      </c>
      <c r="HD33">
        <v>20.3466</v>
      </c>
      <c r="HE33">
        <v>5.21714</v>
      </c>
      <c r="HF33">
        <v>12.0071</v>
      </c>
      <c r="HG33">
        <v>4.98885</v>
      </c>
      <c r="HH33">
        <v>3.28845</v>
      </c>
      <c r="HI33">
        <v>488.2</v>
      </c>
      <c r="HJ33">
        <v>3591.7</v>
      </c>
      <c r="HK33">
        <v>4564.3</v>
      </c>
      <c r="HL33">
        <v>17.7</v>
      </c>
      <c r="HM33">
        <v>1.86768</v>
      </c>
      <c r="HN33">
        <v>1.86663</v>
      </c>
      <c r="HO33">
        <v>1.86615</v>
      </c>
      <c r="HP33">
        <v>1.86605</v>
      </c>
      <c r="HQ33">
        <v>1.86785</v>
      </c>
      <c r="HR33">
        <v>1.87041</v>
      </c>
      <c r="HS33">
        <v>1.86904</v>
      </c>
      <c r="HT33">
        <v>1.87042</v>
      </c>
      <c r="HU33">
        <v>0</v>
      </c>
      <c r="HV33">
        <v>0</v>
      </c>
      <c r="HW33">
        <v>0</v>
      </c>
      <c r="HX33">
        <v>0</v>
      </c>
      <c r="HY33" t="s">
        <v>422</v>
      </c>
      <c r="HZ33" t="s">
        <v>423</v>
      </c>
      <c r="IA33" t="s">
        <v>424</v>
      </c>
      <c r="IB33" t="s">
        <v>424</v>
      </c>
      <c r="IC33" t="s">
        <v>424</v>
      </c>
      <c r="ID33" t="s">
        <v>424</v>
      </c>
      <c r="IE33">
        <v>0</v>
      </c>
      <c r="IF33">
        <v>100</v>
      </c>
      <c r="IG33">
        <v>100</v>
      </c>
      <c r="IH33">
        <v>-1.491</v>
      </c>
      <c r="II33">
        <v>0.1242</v>
      </c>
      <c r="IJ33">
        <v>-1.064712027753117</v>
      </c>
      <c r="IK33">
        <v>-0.001826611574738555</v>
      </c>
      <c r="IL33">
        <v>3.313362389709971E-07</v>
      </c>
      <c r="IM33">
        <v>-1.629490614973607E-10</v>
      </c>
      <c r="IN33">
        <v>-0.09531406441470595</v>
      </c>
      <c r="IO33">
        <v>-0.008240702679890409</v>
      </c>
      <c r="IP33">
        <v>0.001077697425498046</v>
      </c>
      <c r="IQ33">
        <v>-1.69598232850356E-05</v>
      </c>
      <c r="IR33">
        <v>3</v>
      </c>
      <c r="IS33">
        <v>2280</v>
      </c>
      <c r="IT33">
        <v>1</v>
      </c>
      <c r="IU33">
        <v>25</v>
      </c>
      <c r="IV33">
        <v>1240.8</v>
      </c>
      <c r="IW33">
        <v>1238.2</v>
      </c>
      <c r="IX33">
        <v>0.629883</v>
      </c>
      <c r="IY33">
        <v>2.24854</v>
      </c>
      <c r="IZ33">
        <v>1.39648</v>
      </c>
      <c r="JA33">
        <v>2.35229</v>
      </c>
      <c r="JB33">
        <v>1.49536</v>
      </c>
      <c r="JC33">
        <v>2.35229</v>
      </c>
      <c r="JD33">
        <v>38.7964</v>
      </c>
      <c r="JE33">
        <v>24.0525</v>
      </c>
      <c r="JF33">
        <v>18</v>
      </c>
      <c r="JG33">
        <v>508.31</v>
      </c>
      <c r="JH33">
        <v>429.82</v>
      </c>
      <c r="JI33">
        <v>27.9303</v>
      </c>
      <c r="JJ33">
        <v>27.79</v>
      </c>
      <c r="JK33">
        <v>30.0001</v>
      </c>
      <c r="JL33">
        <v>27.7237</v>
      </c>
      <c r="JM33">
        <v>27.6617</v>
      </c>
      <c r="JN33">
        <v>12.6209</v>
      </c>
      <c r="JO33">
        <v>26.926</v>
      </c>
      <c r="JP33">
        <v>0</v>
      </c>
      <c r="JQ33">
        <v>-999.9</v>
      </c>
      <c r="JR33">
        <v>211.646</v>
      </c>
      <c r="JS33">
        <v>21.9493</v>
      </c>
      <c r="JT33">
        <v>100.528</v>
      </c>
      <c r="JU33">
        <v>100.426</v>
      </c>
    </row>
    <row r="34" spans="1:281">
      <c r="A34">
        <v>18</v>
      </c>
      <c r="B34">
        <v>1651771962.5</v>
      </c>
      <c r="C34">
        <v>84.90000009536743</v>
      </c>
      <c r="D34" t="s">
        <v>457</v>
      </c>
      <c r="E34" t="s">
        <v>458</v>
      </c>
      <c r="F34">
        <v>5</v>
      </c>
      <c r="H34" t="s">
        <v>417</v>
      </c>
      <c r="I34">
        <v>1651771960</v>
      </c>
      <c r="J34">
        <f>(K34)/1000</f>
        <v>0</v>
      </c>
      <c r="K34">
        <f>IF(CZ34, AN34, AH34)</f>
        <v>0</v>
      </c>
      <c r="L34">
        <f>IF(CZ34, AI34, AG34)</f>
        <v>0</v>
      </c>
      <c r="M34">
        <f>DB34 - IF(AU34&gt;1, L34*CV34*100.0/(AW34*DP34), 0)</f>
        <v>0</v>
      </c>
      <c r="N34">
        <f>((T34-J34/2)*M34-L34)/(T34+J34/2)</f>
        <v>0</v>
      </c>
      <c r="O34">
        <f>N34*(DI34+DJ34)/1000.0</f>
        <v>0</v>
      </c>
      <c r="P34">
        <f>(DB34 - IF(AU34&gt;1, L34*CV34*100.0/(AW34*DP34), 0))*(DI34+DJ34)/1000.0</f>
        <v>0</v>
      </c>
      <c r="Q34">
        <f>2.0/((1/S34-1/R34)+SIGN(S34)*SQRT((1/S34-1/R34)*(1/S34-1/R34) + 4*CW34/((CW34+1)*(CW34+1))*(2*1/S34*1/R34-1/R34*1/R34)))</f>
        <v>0</v>
      </c>
      <c r="R34">
        <f>IF(LEFT(CX34,1)&lt;&gt;"0",IF(LEFT(CX34,1)="1",3.0,CY34),$D$5+$E$5*(DP34*DI34/($K$5*1000))+$F$5*(DP34*DI34/($K$5*1000))*MAX(MIN(CV34,$J$5),$I$5)*MAX(MIN(CV34,$J$5),$I$5)+$G$5*MAX(MIN(CV34,$J$5),$I$5)*(DP34*DI34/($K$5*1000))+$H$5*(DP34*DI34/($K$5*1000))*(DP34*DI34/($K$5*1000)))</f>
        <v>0</v>
      </c>
      <c r="S34">
        <f>J34*(1000-(1000*0.61365*exp(17.502*W34/(240.97+W34))/(DI34+DJ34)+DD34)/2)/(1000*0.61365*exp(17.502*W34/(240.97+W34))/(DI34+DJ34)-DD34)</f>
        <v>0</v>
      </c>
      <c r="T34">
        <f>1/((CW34+1)/(Q34/1.6)+1/(R34/1.37)) + CW34/((CW34+1)/(Q34/1.6) + CW34/(R34/1.37))</f>
        <v>0</v>
      </c>
      <c r="U34">
        <f>(CR34*CU34)</f>
        <v>0</v>
      </c>
      <c r="V34">
        <f>(DK34+(U34+2*0.95*5.67E-8*(((DK34+$B$7)+273)^4-(DK34+273)^4)-44100*J34)/(1.84*29.3*R34+8*0.95*5.67E-8*(DK34+273)^3))</f>
        <v>0</v>
      </c>
      <c r="W34">
        <f>($C$7*DL34+$D$7*DM34+$E$7*V34)</f>
        <v>0</v>
      </c>
      <c r="X34">
        <f>0.61365*exp(17.502*W34/(240.97+W34))</f>
        <v>0</v>
      </c>
      <c r="Y34">
        <f>(Z34/AA34*100)</f>
        <v>0</v>
      </c>
      <c r="Z34">
        <f>DD34*(DI34+DJ34)/1000</f>
        <v>0</v>
      </c>
      <c r="AA34">
        <f>0.61365*exp(17.502*DK34/(240.97+DK34))</f>
        <v>0</v>
      </c>
      <c r="AB34">
        <f>(X34-DD34*(DI34+DJ34)/1000)</f>
        <v>0</v>
      </c>
      <c r="AC34">
        <f>(-J34*44100)</f>
        <v>0</v>
      </c>
      <c r="AD34">
        <f>2*29.3*R34*0.92*(DK34-W34)</f>
        <v>0</v>
      </c>
      <c r="AE34">
        <f>2*0.95*5.67E-8*(((DK34+$B$7)+273)^4-(W34+273)^4)</f>
        <v>0</v>
      </c>
      <c r="AF34">
        <f>U34+AE34+AC34+AD34</f>
        <v>0</v>
      </c>
      <c r="AG34">
        <f>DH34*AU34*(DC34-DB34*(1000-AU34*DE34)/(1000-AU34*DD34))/(100*CV34)</f>
        <v>0</v>
      </c>
      <c r="AH34">
        <f>1000*DH34*AU34*(DD34-DE34)/(100*CV34*(1000-AU34*DD34))</f>
        <v>0</v>
      </c>
      <c r="AI34">
        <f>(AJ34 - AK34 - DI34*1E3/(8.314*(DK34+273.15)) * AM34/DH34 * AL34) * DH34/(100*CV34) * (1000 - DE34)/1000</f>
        <v>0</v>
      </c>
      <c r="AJ34">
        <v>229.7951233507652</v>
      </c>
      <c r="AK34">
        <v>233.4446181818181</v>
      </c>
      <c r="AL34">
        <v>-3.243641228666</v>
      </c>
      <c r="AM34">
        <v>66.72507702095443</v>
      </c>
      <c r="AN34">
        <f>(AP34 - AO34 + DI34*1E3/(8.314*(DK34+273.15)) * AR34/DH34 * AQ34) * DH34/(100*CV34) * 1000/(1000 - AP34)</f>
        <v>0</v>
      </c>
      <c r="AO34">
        <v>21.88708413918467</v>
      </c>
      <c r="AP34">
        <v>26.38987818181818</v>
      </c>
      <c r="AQ34">
        <v>0.0005719688127184239</v>
      </c>
      <c r="AR34">
        <v>78.22078291278521</v>
      </c>
      <c r="AS34">
        <v>1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MAX(0,($B$13+$C$13*DP34)/(1+$D$13*DP34)*DI34/(DK34+273)*$E$13)</f>
        <v>0</v>
      </c>
      <c r="AX34" t="s">
        <v>418</v>
      </c>
      <c r="AY34" t="s">
        <v>418</v>
      </c>
      <c r="AZ34">
        <v>0</v>
      </c>
      <c r="BA34">
        <v>0</v>
      </c>
      <c r="BB34">
        <f>1-AZ34/BA34</f>
        <v>0</v>
      </c>
      <c r="BC34">
        <v>0</v>
      </c>
      <c r="BD34" t="s">
        <v>418</v>
      </c>
      <c r="BE34" t="s">
        <v>418</v>
      </c>
      <c r="BF34">
        <v>0</v>
      </c>
      <c r="BG34">
        <v>0</v>
      </c>
      <c r="BH34">
        <f>1-BF34/BG34</f>
        <v>0</v>
      </c>
      <c r="BI34">
        <v>0.5</v>
      </c>
      <c r="BJ34">
        <f>CS34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418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f>$B$11*DQ34+$C$11*DR34+$F$11*EC34*(1-EF34)</f>
        <v>0</v>
      </c>
      <c r="CS34">
        <f>CR34*CT34</f>
        <v>0</v>
      </c>
      <c r="CT34">
        <f>($B$11*$D$9+$C$11*$D$9+$F$11*((EP34+EH34)/MAX(EP34+EH34+EQ34, 0.1)*$I$9+EQ34/MAX(EP34+EH34+EQ34, 0.1)*$J$9))/($B$11+$C$11+$F$11)</f>
        <v>0</v>
      </c>
      <c r="CU34">
        <f>($B$11*$K$9+$C$11*$K$9+$F$11*((EP34+EH34)/MAX(EP34+EH34+EQ34, 0.1)*$P$9+EQ34/MAX(EP34+EH34+EQ34, 0.1)*$Q$9))/($B$11+$C$11+$F$11)</f>
        <v>0</v>
      </c>
      <c r="CV34">
        <v>6</v>
      </c>
      <c r="CW34">
        <v>0.5</v>
      </c>
      <c r="CX34" t="s">
        <v>419</v>
      </c>
      <c r="CY34">
        <v>2</v>
      </c>
      <c r="CZ34" t="b">
        <v>1</v>
      </c>
      <c r="DA34">
        <v>1651771960</v>
      </c>
      <c r="DB34">
        <v>233.6037777777777</v>
      </c>
      <c r="DC34">
        <v>223.9788888888889</v>
      </c>
      <c r="DD34">
        <v>26.38138888888889</v>
      </c>
      <c r="DE34">
        <v>21.88831111111111</v>
      </c>
      <c r="DF34">
        <v>235.0816666666667</v>
      </c>
      <c r="DG34">
        <v>26.25708888888889</v>
      </c>
      <c r="DH34">
        <v>500.0114444444445</v>
      </c>
      <c r="DI34">
        <v>90.30669999999999</v>
      </c>
      <c r="DJ34">
        <v>0.09991441111111111</v>
      </c>
      <c r="DK34">
        <v>29.01612222222222</v>
      </c>
      <c r="DL34">
        <v>28.41335555555555</v>
      </c>
      <c r="DM34">
        <v>999.9000000000001</v>
      </c>
      <c r="DN34">
        <v>0</v>
      </c>
      <c r="DO34">
        <v>0</v>
      </c>
      <c r="DP34">
        <v>9996.255555555555</v>
      </c>
      <c r="DQ34">
        <v>0</v>
      </c>
      <c r="DR34">
        <v>13.25561111111111</v>
      </c>
      <c r="DS34">
        <v>9.62471</v>
      </c>
      <c r="DT34">
        <v>239.9335555555556</v>
      </c>
      <c r="DU34">
        <v>228.9913333333333</v>
      </c>
      <c r="DV34">
        <v>4.493077777777779</v>
      </c>
      <c r="DW34">
        <v>223.9788888888889</v>
      </c>
      <c r="DX34">
        <v>21.88831111111111</v>
      </c>
      <c r="DY34">
        <v>2.382415555555555</v>
      </c>
      <c r="DZ34">
        <v>1.976661111111111</v>
      </c>
      <c r="EA34">
        <v>20.24473333333333</v>
      </c>
      <c r="EB34">
        <v>17.25858888888889</v>
      </c>
      <c r="EC34">
        <v>1500.025555555555</v>
      </c>
      <c r="ED34">
        <v>0.9729950000000002</v>
      </c>
      <c r="EE34">
        <v>0.0270054</v>
      </c>
      <c r="EF34">
        <v>0</v>
      </c>
      <c r="EG34">
        <v>2.192711111111111</v>
      </c>
      <c r="EH34">
        <v>0</v>
      </c>
      <c r="EI34">
        <v>14336.6</v>
      </c>
      <c r="EJ34">
        <v>12533.55555555555</v>
      </c>
      <c r="EK34">
        <v>36.687</v>
      </c>
      <c r="EL34">
        <v>38.25</v>
      </c>
      <c r="EM34">
        <v>37.125</v>
      </c>
      <c r="EN34">
        <v>37.562</v>
      </c>
      <c r="EO34">
        <v>36.5</v>
      </c>
      <c r="EP34">
        <v>1459.515555555555</v>
      </c>
      <c r="EQ34">
        <v>40.51</v>
      </c>
      <c r="ER34">
        <v>0</v>
      </c>
      <c r="ES34">
        <v>1651771963.4</v>
      </c>
      <c r="ET34">
        <v>0</v>
      </c>
      <c r="EU34">
        <v>2.154869230769231</v>
      </c>
      <c r="EV34">
        <v>0.4963897473069596</v>
      </c>
      <c r="EW34">
        <v>-2697.668376136327</v>
      </c>
      <c r="EX34">
        <v>14567.55384615385</v>
      </c>
      <c r="EY34">
        <v>15</v>
      </c>
      <c r="EZ34">
        <v>0</v>
      </c>
      <c r="FA34" t="s">
        <v>420</v>
      </c>
      <c r="FB34">
        <v>1651697511.6</v>
      </c>
      <c r="FC34">
        <v>1651697666.1</v>
      </c>
      <c r="FD34">
        <v>0</v>
      </c>
      <c r="FE34">
        <v>-0.019</v>
      </c>
      <c r="FF34">
        <v>0.013</v>
      </c>
      <c r="FG34">
        <v>-2.121</v>
      </c>
      <c r="FH34">
        <v>0.041</v>
      </c>
      <c r="FI34">
        <v>420</v>
      </c>
      <c r="FJ34">
        <v>22</v>
      </c>
      <c r="FK34">
        <v>1.72</v>
      </c>
      <c r="FL34">
        <v>0.27</v>
      </c>
      <c r="FM34">
        <v>7.868135609756099</v>
      </c>
      <c r="FN34">
        <v>12.09639156794425</v>
      </c>
      <c r="FO34">
        <v>1.207693923380825</v>
      </c>
      <c r="FP34">
        <v>0</v>
      </c>
      <c r="FQ34">
        <v>4.454693902439025</v>
      </c>
      <c r="FR34">
        <v>0.2989202090592362</v>
      </c>
      <c r="FS34">
        <v>0.02952962356173544</v>
      </c>
      <c r="FT34">
        <v>1</v>
      </c>
      <c r="FU34">
        <v>0</v>
      </c>
      <c r="FV34">
        <v>0</v>
      </c>
      <c r="FW34">
        <v>0</v>
      </c>
      <c r="FX34">
        <v>1</v>
      </c>
      <c r="FY34">
        <v>2</v>
      </c>
      <c r="FZ34">
        <v>3</v>
      </c>
      <c r="GA34" t="s">
        <v>421</v>
      </c>
      <c r="GB34">
        <v>2.98146</v>
      </c>
      <c r="GC34">
        <v>2.70617</v>
      </c>
      <c r="GD34">
        <v>0.0569609</v>
      </c>
      <c r="GE34">
        <v>0.0539622</v>
      </c>
      <c r="GF34">
        <v>0.113712</v>
      </c>
      <c r="GG34">
        <v>0.0985231</v>
      </c>
      <c r="GH34">
        <v>29830.1</v>
      </c>
      <c r="GI34">
        <v>29986.3</v>
      </c>
      <c r="GJ34">
        <v>29406.5</v>
      </c>
      <c r="GK34">
        <v>29318.3</v>
      </c>
      <c r="GL34">
        <v>34499.5</v>
      </c>
      <c r="GM34">
        <v>35182.9</v>
      </c>
      <c r="GN34">
        <v>41396.5</v>
      </c>
      <c r="GO34">
        <v>41841.8</v>
      </c>
      <c r="GP34">
        <v>1.96285</v>
      </c>
      <c r="GQ34">
        <v>1.86308</v>
      </c>
      <c r="GR34">
        <v>0.0825524</v>
      </c>
      <c r="GS34">
        <v>0</v>
      </c>
      <c r="GT34">
        <v>27.0751</v>
      </c>
      <c r="GU34">
        <v>999.9</v>
      </c>
      <c r="GV34">
        <v>45</v>
      </c>
      <c r="GW34">
        <v>35</v>
      </c>
      <c r="GX34">
        <v>28.145</v>
      </c>
      <c r="GY34">
        <v>63.0908</v>
      </c>
      <c r="GZ34">
        <v>36.6066</v>
      </c>
      <c r="HA34">
        <v>1</v>
      </c>
      <c r="HB34">
        <v>0.0306758</v>
      </c>
      <c r="HC34">
        <v>0</v>
      </c>
      <c r="HD34">
        <v>20.3464</v>
      </c>
      <c r="HE34">
        <v>5.21714</v>
      </c>
      <c r="HF34">
        <v>12.0065</v>
      </c>
      <c r="HG34">
        <v>4.9888</v>
      </c>
      <c r="HH34">
        <v>3.28842</v>
      </c>
      <c r="HI34">
        <v>488.4</v>
      </c>
      <c r="HJ34">
        <v>3593</v>
      </c>
      <c r="HK34">
        <v>4564.3</v>
      </c>
      <c r="HL34">
        <v>17.7</v>
      </c>
      <c r="HM34">
        <v>1.86769</v>
      </c>
      <c r="HN34">
        <v>1.86663</v>
      </c>
      <c r="HO34">
        <v>1.86616</v>
      </c>
      <c r="HP34">
        <v>1.86602</v>
      </c>
      <c r="HQ34">
        <v>1.86783</v>
      </c>
      <c r="HR34">
        <v>1.8704</v>
      </c>
      <c r="HS34">
        <v>1.86904</v>
      </c>
      <c r="HT34">
        <v>1.87041</v>
      </c>
      <c r="HU34">
        <v>0</v>
      </c>
      <c r="HV34">
        <v>0</v>
      </c>
      <c r="HW34">
        <v>0</v>
      </c>
      <c r="HX34">
        <v>0</v>
      </c>
      <c r="HY34" t="s">
        <v>422</v>
      </c>
      <c r="HZ34" t="s">
        <v>423</v>
      </c>
      <c r="IA34" t="s">
        <v>424</v>
      </c>
      <c r="IB34" t="s">
        <v>424</v>
      </c>
      <c r="IC34" t="s">
        <v>424</v>
      </c>
      <c r="ID34" t="s">
        <v>424</v>
      </c>
      <c r="IE34">
        <v>0</v>
      </c>
      <c r="IF34">
        <v>100</v>
      </c>
      <c r="IG34">
        <v>100</v>
      </c>
      <c r="IH34">
        <v>-1.464</v>
      </c>
      <c r="II34">
        <v>0.1244</v>
      </c>
      <c r="IJ34">
        <v>-1.064712027753117</v>
      </c>
      <c r="IK34">
        <v>-0.001826611574738555</v>
      </c>
      <c r="IL34">
        <v>3.313362389709971E-07</v>
      </c>
      <c r="IM34">
        <v>-1.629490614973607E-10</v>
      </c>
      <c r="IN34">
        <v>-0.09531406441470595</v>
      </c>
      <c r="IO34">
        <v>-0.008240702679890409</v>
      </c>
      <c r="IP34">
        <v>0.001077697425498046</v>
      </c>
      <c r="IQ34">
        <v>-1.69598232850356E-05</v>
      </c>
      <c r="IR34">
        <v>3</v>
      </c>
      <c r="IS34">
        <v>2280</v>
      </c>
      <c r="IT34">
        <v>1</v>
      </c>
      <c r="IU34">
        <v>25</v>
      </c>
      <c r="IV34">
        <v>1240.8</v>
      </c>
      <c r="IW34">
        <v>1238.3</v>
      </c>
      <c r="IX34">
        <v>0.595703</v>
      </c>
      <c r="IY34">
        <v>2.25342</v>
      </c>
      <c r="IZ34">
        <v>1.39648</v>
      </c>
      <c r="JA34">
        <v>2.35352</v>
      </c>
      <c r="JB34">
        <v>1.49536</v>
      </c>
      <c r="JC34">
        <v>2.34497</v>
      </c>
      <c r="JD34">
        <v>38.7964</v>
      </c>
      <c r="JE34">
        <v>24.0612</v>
      </c>
      <c r="JF34">
        <v>18</v>
      </c>
      <c r="JG34">
        <v>508.125</v>
      </c>
      <c r="JH34">
        <v>429.965</v>
      </c>
      <c r="JI34">
        <v>27.9366</v>
      </c>
      <c r="JJ34">
        <v>27.7924</v>
      </c>
      <c r="JK34">
        <v>30.0001</v>
      </c>
      <c r="JL34">
        <v>27.7249</v>
      </c>
      <c r="JM34">
        <v>27.6633</v>
      </c>
      <c r="JN34">
        <v>11.912</v>
      </c>
      <c r="JO34">
        <v>26.6545</v>
      </c>
      <c r="JP34">
        <v>0</v>
      </c>
      <c r="JQ34">
        <v>-999.9</v>
      </c>
      <c r="JR34">
        <v>191.596</v>
      </c>
      <c r="JS34">
        <v>21.9474</v>
      </c>
      <c r="JT34">
        <v>100.525</v>
      </c>
      <c r="JU34">
        <v>100.428</v>
      </c>
    </row>
    <row r="35" spans="1:281">
      <c r="A35">
        <v>19</v>
      </c>
      <c r="B35">
        <v>1651771967.5</v>
      </c>
      <c r="C35">
        <v>89.90000009536743</v>
      </c>
      <c r="D35" t="s">
        <v>459</v>
      </c>
      <c r="E35" t="s">
        <v>460</v>
      </c>
      <c r="F35">
        <v>5</v>
      </c>
      <c r="H35" t="s">
        <v>417</v>
      </c>
      <c r="I35">
        <v>1651771964.7</v>
      </c>
      <c r="J35">
        <f>(K35)/1000</f>
        <v>0</v>
      </c>
      <c r="K35">
        <f>IF(CZ35, AN35, AH35)</f>
        <v>0</v>
      </c>
      <c r="L35">
        <f>IF(CZ35, AI35, AG35)</f>
        <v>0</v>
      </c>
      <c r="M35">
        <f>DB35 - IF(AU35&gt;1, L35*CV35*100.0/(AW35*DP35), 0)</f>
        <v>0</v>
      </c>
      <c r="N35">
        <f>((T35-J35/2)*M35-L35)/(T35+J35/2)</f>
        <v>0</v>
      </c>
      <c r="O35">
        <f>N35*(DI35+DJ35)/1000.0</f>
        <v>0</v>
      </c>
      <c r="P35">
        <f>(DB35 - IF(AU35&gt;1, L35*CV35*100.0/(AW35*DP35), 0))*(DI35+DJ35)/1000.0</f>
        <v>0</v>
      </c>
      <c r="Q35">
        <f>2.0/((1/S35-1/R35)+SIGN(S35)*SQRT((1/S35-1/R35)*(1/S35-1/R35) + 4*CW35/((CW35+1)*(CW35+1))*(2*1/S35*1/R35-1/R35*1/R35)))</f>
        <v>0</v>
      </c>
      <c r="R35">
        <f>IF(LEFT(CX35,1)&lt;&gt;"0",IF(LEFT(CX35,1)="1",3.0,CY35),$D$5+$E$5*(DP35*DI35/($K$5*1000))+$F$5*(DP35*DI35/($K$5*1000))*MAX(MIN(CV35,$J$5),$I$5)*MAX(MIN(CV35,$J$5),$I$5)+$G$5*MAX(MIN(CV35,$J$5),$I$5)*(DP35*DI35/($K$5*1000))+$H$5*(DP35*DI35/($K$5*1000))*(DP35*DI35/($K$5*1000)))</f>
        <v>0</v>
      </c>
      <c r="S35">
        <f>J35*(1000-(1000*0.61365*exp(17.502*W35/(240.97+W35))/(DI35+DJ35)+DD35)/2)/(1000*0.61365*exp(17.502*W35/(240.97+W35))/(DI35+DJ35)-DD35)</f>
        <v>0</v>
      </c>
      <c r="T35">
        <f>1/((CW35+1)/(Q35/1.6)+1/(R35/1.37)) + CW35/((CW35+1)/(Q35/1.6) + CW35/(R35/1.37))</f>
        <v>0</v>
      </c>
      <c r="U35">
        <f>(CR35*CU35)</f>
        <v>0</v>
      </c>
      <c r="V35">
        <f>(DK35+(U35+2*0.95*5.67E-8*(((DK35+$B$7)+273)^4-(DK35+273)^4)-44100*J35)/(1.84*29.3*R35+8*0.95*5.67E-8*(DK35+273)^3))</f>
        <v>0</v>
      </c>
      <c r="W35">
        <f>($C$7*DL35+$D$7*DM35+$E$7*V35)</f>
        <v>0</v>
      </c>
      <c r="X35">
        <f>0.61365*exp(17.502*W35/(240.97+W35))</f>
        <v>0</v>
      </c>
      <c r="Y35">
        <f>(Z35/AA35*100)</f>
        <v>0</v>
      </c>
      <c r="Z35">
        <f>DD35*(DI35+DJ35)/1000</f>
        <v>0</v>
      </c>
      <c r="AA35">
        <f>0.61365*exp(17.502*DK35/(240.97+DK35))</f>
        <v>0</v>
      </c>
      <c r="AB35">
        <f>(X35-DD35*(DI35+DJ35)/1000)</f>
        <v>0</v>
      </c>
      <c r="AC35">
        <f>(-J35*44100)</f>
        <v>0</v>
      </c>
      <c r="AD35">
        <f>2*29.3*R35*0.92*(DK35-W35)</f>
        <v>0</v>
      </c>
      <c r="AE35">
        <f>2*0.95*5.67E-8*(((DK35+$B$7)+273)^4-(W35+273)^4)</f>
        <v>0</v>
      </c>
      <c r="AF35">
        <f>U35+AE35+AC35+AD35</f>
        <v>0</v>
      </c>
      <c r="AG35">
        <f>DH35*AU35*(DC35-DB35*(1000-AU35*DE35)/(1000-AU35*DD35))/(100*CV35)</f>
        <v>0</v>
      </c>
      <c r="AH35">
        <f>1000*DH35*AU35*(DD35-DE35)/(100*CV35*(1000-AU35*DD35))</f>
        <v>0</v>
      </c>
      <c r="AI35">
        <f>(AJ35 - AK35 - DI35*1E3/(8.314*(DK35+273.15)) * AM35/DH35 * AL35) * DH35/(100*CV35) * (1000 - DE35)/1000</f>
        <v>0</v>
      </c>
      <c r="AJ35">
        <v>213.6673956806385</v>
      </c>
      <c r="AK35">
        <v>217.6720727272728</v>
      </c>
      <c r="AL35">
        <v>-3.136816210209606</v>
      </c>
      <c r="AM35">
        <v>66.72507702095443</v>
      </c>
      <c r="AN35">
        <f>(AP35 - AO35 + DI35*1E3/(8.314*(DK35+273.15)) * AR35/DH35 * AQ35) * DH35/(100*CV35) * 1000/(1000 - AP35)</f>
        <v>0</v>
      </c>
      <c r="AO35">
        <v>21.9507535271125</v>
      </c>
      <c r="AP35">
        <v>26.42921454545455</v>
      </c>
      <c r="AQ35">
        <v>0.006285266438480648</v>
      </c>
      <c r="AR35">
        <v>78.22078291278521</v>
      </c>
      <c r="AS35">
        <v>1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MAX(0,($B$13+$C$13*DP35)/(1+$D$13*DP35)*DI35/(DK35+273)*$E$13)</f>
        <v>0</v>
      </c>
      <c r="AX35" t="s">
        <v>418</v>
      </c>
      <c r="AY35" t="s">
        <v>418</v>
      </c>
      <c r="AZ35">
        <v>0</v>
      </c>
      <c r="BA35">
        <v>0</v>
      </c>
      <c r="BB35">
        <f>1-AZ35/BA35</f>
        <v>0</v>
      </c>
      <c r="BC35">
        <v>0</v>
      </c>
      <c r="BD35" t="s">
        <v>418</v>
      </c>
      <c r="BE35" t="s">
        <v>418</v>
      </c>
      <c r="BF35">
        <v>0</v>
      </c>
      <c r="BG35">
        <v>0</v>
      </c>
      <c r="BH35">
        <f>1-BF35/BG35</f>
        <v>0</v>
      </c>
      <c r="BI35">
        <v>0.5</v>
      </c>
      <c r="BJ35">
        <f>CS35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418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f>$B$11*DQ35+$C$11*DR35+$F$11*EC35*(1-EF35)</f>
        <v>0</v>
      </c>
      <c r="CS35">
        <f>CR35*CT35</f>
        <v>0</v>
      </c>
      <c r="CT35">
        <f>($B$11*$D$9+$C$11*$D$9+$F$11*((EP35+EH35)/MAX(EP35+EH35+EQ35, 0.1)*$I$9+EQ35/MAX(EP35+EH35+EQ35, 0.1)*$J$9))/($B$11+$C$11+$F$11)</f>
        <v>0</v>
      </c>
      <c r="CU35">
        <f>($B$11*$K$9+$C$11*$K$9+$F$11*((EP35+EH35)/MAX(EP35+EH35+EQ35, 0.1)*$P$9+EQ35/MAX(EP35+EH35+EQ35, 0.1)*$Q$9))/($B$11+$C$11+$F$11)</f>
        <v>0</v>
      </c>
      <c r="CV35">
        <v>6</v>
      </c>
      <c r="CW35">
        <v>0.5</v>
      </c>
      <c r="CX35" t="s">
        <v>419</v>
      </c>
      <c r="CY35">
        <v>2</v>
      </c>
      <c r="CZ35" t="b">
        <v>1</v>
      </c>
      <c r="DA35">
        <v>1651771964.7</v>
      </c>
      <c r="DB35">
        <v>218.9531</v>
      </c>
      <c r="DC35">
        <v>209.0724</v>
      </c>
      <c r="DD35">
        <v>26.40704</v>
      </c>
      <c r="DE35">
        <v>21.95116</v>
      </c>
      <c r="DF35">
        <v>220.4059</v>
      </c>
      <c r="DG35">
        <v>26.2824</v>
      </c>
      <c r="DH35">
        <v>500.0369000000001</v>
      </c>
      <c r="DI35">
        <v>90.30413999999999</v>
      </c>
      <c r="DJ35">
        <v>0.09998441999999999</v>
      </c>
      <c r="DK35">
        <v>29.02017</v>
      </c>
      <c r="DL35">
        <v>28.42716</v>
      </c>
      <c r="DM35">
        <v>999.9</v>
      </c>
      <c r="DN35">
        <v>0</v>
      </c>
      <c r="DO35">
        <v>0</v>
      </c>
      <c r="DP35">
        <v>10011.06</v>
      </c>
      <c r="DQ35">
        <v>0</v>
      </c>
      <c r="DR35">
        <v>13.265</v>
      </c>
      <c r="DS35">
        <v>9.88064</v>
      </c>
      <c r="DT35">
        <v>224.8914</v>
      </c>
      <c r="DU35">
        <v>213.7646</v>
      </c>
      <c r="DV35">
        <v>4.455876999999999</v>
      </c>
      <c r="DW35">
        <v>209.0724</v>
      </c>
      <c r="DX35">
        <v>21.95116</v>
      </c>
      <c r="DY35">
        <v>2.384666</v>
      </c>
      <c r="DZ35">
        <v>1.982281</v>
      </c>
      <c r="EA35">
        <v>20.26001</v>
      </c>
      <c r="EB35">
        <v>17.3035</v>
      </c>
      <c r="EC35">
        <v>1500.007</v>
      </c>
      <c r="ED35">
        <v>0.9729950000000003</v>
      </c>
      <c r="EE35">
        <v>0.0270054</v>
      </c>
      <c r="EF35">
        <v>0</v>
      </c>
      <c r="EG35">
        <v>2.39017</v>
      </c>
      <c r="EH35">
        <v>0</v>
      </c>
      <c r="EI35">
        <v>14138.36</v>
      </c>
      <c r="EJ35">
        <v>12533.41</v>
      </c>
      <c r="EK35">
        <v>36.687</v>
      </c>
      <c r="EL35">
        <v>38.25</v>
      </c>
      <c r="EM35">
        <v>37.0998</v>
      </c>
      <c r="EN35">
        <v>37.562</v>
      </c>
      <c r="EO35">
        <v>36.5</v>
      </c>
      <c r="EP35">
        <v>1459.497</v>
      </c>
      <c r="EQ35">
        <v>40.51</v>
      </c>
      <c r="ER35">
        <v>0</v>
      </c>
      <c r="ES35">
        <v>1651771968.8</v>
      </c>
      <c r="ET35">
        <v>0</v>
      </c>
      <c r="EU35">
        <v>2.239076</v>
      </c>
      <c r="EV35">
        <v>0.9320384593665175</v>
      </c>
      <c r="EW35">
        <v>-2582.438465550745</v>
      </c>
      <c r="EX35">
        <v>14316.72</v>
      </c>
      <c r="EY35">
        <v>15</v>
      </c>
      <c r="EZ35">
        <v>0</v>
      </c>
      <c r="FA35" t="s">
        <v>420</v>
      </c>
      <c r="FB35">
        <v>1651697511.6</v>
      </c>
      <c r="FC35">
        <v>1651697666.1</v>
      </c>
      <c r="FD35">
        <v>0</v>
      </c>
      <c r="FE35">
        <v>-0.019</v>
      </c>
      <c r="FF35">
        <v>0.013</v>
      </c>
      <c r="FG35">
        <v>-2.121</v>
      </c>
      <c r="FH35">
        <v>0.041</v>
      </c>
      <c r="FI35">
        <v>420</v>
      </c>
      <c r="FJ35">
        <v>22</v>
      </c>
      <c r="FK35">
        <v>1.72</v>
      </c>
      <c r="FL35">
        <v>0.27</v>
      </c>
      <c r="FM35">
        <v>8.561601219512195</v>
      </c>
      <c r="FN35">
        <v>10.95086675958189</v>
      </c>
      <c r="FO35">
        <v>1.109728861499445</v>
      </c>
      <c r="FP35">
        <v>0</v>
      </c>
      <c r="FQ35">
        <v>4.463977073170732</v>
      </c>
      <c r="FR35">
        <v>0.1293539372822199</v>
      </c>
      <c r="FS35">
        <v>0.02257877832076096</v>
      </c>
      <c r="FT35">
        <v>1</v>
      </c>
      <c r="FU35">
        <v>0</v>
      </c>
      <c r="FV35">
        <v>0</v>
      </c>
      <c r="FW35">
        <v>0</v>
      </c>
      <c r="FX35">
        <v>1</v>
      </c>
      <c r="FY35">
        <v>2</v>
      </c>
      <c r="FZ35">
        <v>3</v>
      </c>
      <c r="GA35" t="s">
        <v>421</v>
      </c>
      <c r="GB35">
        <v>2.98162</v>
      </c>
      <c r="GC35">
        <v>2.70622</v>
      </c>
      <c r="GD35">
        <v>0.0535659</v>
      </c>
      <c r="GE35">
        <v>0.0504603</v>
      </c>
      <c r="GF35">
        <v>0.113845</v>
      </c>
      <c r="GG35">
        <v>0.098813</v>
      </c>
      <c r="GH35">
        <v>29937.8</v>
      </c>
      <c r="GI35">
        <v>30096.9</v>
      </c>
      <c r="GJ35">
        <v>29406.9</v>
      </c>
      <c r="GK35">
        <v>29317.9</v>
      </c>
      <c r="GL35">
        <v>34494.9</v>
      </c>
      <c r="GM35">
        <v>35170.8</v>
      </c>
      <c r="GN35">
        <v>41397.3</v>
      </c>
      <c r="GO35">
        <v>41841.2</v>
      </c>
      <c r="GP35">
        <v>1.96312</v>
      </c>
      <c r="GQ35">
        <v>1.8627</v>
      </c>
      <c r="GR35">
        <v>0.0819936</v>
      </c>
      <c r="GS35">
        <v>0</v>
      </c>
      <c r="GT35">
        <v>27.0802</v>
      </c>
      <c r="GU35">
        <v>999.9</v>
      </c>
      <c r="GV35">
        <v>45</v>
      </c>
      <c r="GW35">
        <v>35.1</v>
      </c>
      <c r="GX35">
        <v>28.3043</v>
      </c>
      <c r="GY35">
        <v>62.8608</v>
      </c>
      <c r="GZ35">
        <v>36.7027</v>
      </c>
      <c r="HA35">
        <v>1</v>
      </c>
      <c r="HB35">
        <v>0.0307622</v>
      </c>
      <c r="HC35">
        <v>0</v>
      </c>
      <c r="HD35">
        <v>20.3463</v>
      </c>
      <c r="HE35">
        <v>5.21744</v>
      </c>
      <c r="HF35">
        <v>12.0073</v>
      </c>
      <c r="HG35">
        <v>4.98895</v>
      </c>
      <c r="HH35">
        <v>3.28855</v>
      </c>
      <c r="HI35">
        <v>488.4</v>
      </c>
      <c r="HJ35">
        <v>3593</v>
      </c>
      <c r="HK35">
        <v>4564.3</v>
      </c>
      <c r="HL35">
        <v>17.7</v>
      </c>
      <c r="HM35">
        <v>1.86768</v>
      </c>
      <c r="HN35">
        <v>1.86662</v>
      </c>
      <c r="HO35">
        <v>1.86615</v>
      </c>
      <c r="HP35">
        <v>1.86603</v>
      </c>
      <c r="HQ35">
        <v>1.86784</v>
      </c>
      <c r="HR35">
        <v>1.87041</v>
      </c>
      <c r="HS35">
        <v>1.86905</v>
      </c>
      <c r="HT35">
        <v>1.87042</v>
      </c>
      <c r="HU35">
        <v>0</v>
      </c>
      <c r="HV35">
        <v>0</v>
      </c>
      <c r="HW35">
        <v>0</v>
      </c>
      <c r="HX35">
        <v>0</v>
      </c>
      <c r="HY35" t="s">
        <v>422</v>
      </c>
      <c r="HZ35" t="s">
        <v>423</v>
      </c>
      <c r="IA35" t="s">
        <v>424</v>
      </c>
      <c r="IB35" t="s">
        <v>424</v>
      </c>
      <c r="IC35" t="s">
        <v>424</v>
      </c>
      <c r="ID35" t="s">
        <v>424</v>
      </c>
      <c r="IE35">
        <v>0</v>
      </c>
      <c r="IF35">
        <v>100</v>
      </c>
      <c r="IG35">
        <v>100</v>
      </c>
      <c r="IH35">
        <v>-1.438</v>
      </c>
      <c r="II35">
        <v>0.125</v>
      </c>
      <c r="IJ35">
        <v>-1.064712027753117</v>
      </c>
      <c r="IK35">
        <v>-0.001826611574738555</v>
      </c>
      <c r="IL35">
        <v>3.313362389709971E-07</v>
      </c>
      <c r="IM35">
        <v>-1.629490614973607E-10</v>
      </c>
      <c r="IN35">
        <v>-0.09531406441470595</v>
      </c>
      <c r="IO35">
        <v>-0.008240702679890409</v>
      </c>
      <c r="IP35">
        <v>0.001077697425498046</v>
      </c>
      <c r="IQ35">
        <v>-1.69598232850356E-05</v>
      </c>
      <c r="IR35">
        <v>3</v>
      </c>
      <c r="IS35">
        <v>2280</v>
      </c>
      <c r="IT35">
        <v>1</v>
      </c>
      <c r="IU35">
        <v>25</v>
      </c>
      <c r="IV35">
        <v>1240.9</v>
      </c>
      <c r="IW35">
        <v>1238.4</v>
      </c>
      <c r="IX35">
        <v>0.560303</v>
      </c>
      <c r="IY35">
        <v>2.2583</v>
      </c>
      <c r="IZ35">
        <v>1.39648</v>
      </c>
      <c r="JA35">
        <v>2.35229</v>
      </c>
      <c r="JB35">
        <v>1.49536</v>
      </c>
      <c r="JC35">
        <v>2.36328</v>
      </c>
      <c r="JD35">
        <v>38.7964</v>
      </c>
      <c r="JE35">
        <v>24.0612</v>
      </c>
      <c r="JF35">
        <v>18</v>
      </c>
      <c r="JG35">
        <v>508.319</v>
      </c>
      <c r="JH35">
        <v>429.754</v>
      </c>
      <c r="JI35">
        <v>27.9428</v>
      </c>
      <c r="JJ35">
        <v>27.7947</v>
      </c>
      <c r="JK35">
        <v>30.0002</v>
      </c>
      <c r="JL35">
        <v>27.7266</v>
      </c>
      <c r="JM35">
        <v>27.6651</v>
      </c>
      <c r="JN35">
        <v>11.2222</v>
      </c>
      <c r="JO35">
        <v>26.6545</v>
      </c>
      <c r="JP35">
        <v>0</v>
      </c>
      <c r="JQ35">
        <v>-999.9</v>
      </c>
      <c r="JR35">
        <v>178.237</v>
      </c>
      <c r="JS35">
        <v>21.8934</v>
      </c>
      <c r="JT35">
        <v>100.527</v>
      </c>
      <c r="JU35">
        <v>100.426</v>
      </c>
    </row>
    <row r="36" spans="1:281">
      <c r="A36">
        <v>20</v>
      </c>
      <c r="B36">
        <v>1651771972.5</v>
      </c>
      <c r="C36">
        <v>94.90000009536743</v>
      </c>
      <c r="D36" t="s">
        <v>461</v>
      </c>
      <c r="E36" t="s">
        <v>462</v>
      </c>
      <c r="F36">
        <v>5</v>
      </c>
      <c r="H36" t="s">
        <v>417</v>
      </c>
      <c r="I36">
        <v>1651771970</v>
      </c>
      <c r="J36">
        <f>(K36)/1000</f>
        <v>0</v>
      </c>
      <c r="K36">
        <f>IF(CZ36, AN36, AH36)</f>
        <v>0</v>
      </c>
      <c r="L36">
        <f>IF(CZ36, AI36, AG36)</f>
        <v>0</v>
      </c>
      <c r="M36">
        <f>DB36 - IF(AU36&gt;1, L36*CV36*100.0/(AW36*DP36), 0)</f>
        <v>0</v>
      </c>
      <c r="N36">
        <f>((T36-J36/2)*M36-L36)/(T36+J36/2)</f>
        <v>0</v>
      </c>
      <c r="O36">
        <f>N36*(DI36+DJ36)/1000.0</f>
        <v>0</v>
      </c>
      <c r="P36">
        <f>(DB36 - IF(AU36&gt;1, L36*CV36*100.0/(AW36*DP36), 0))*(DI36+DJ36)/1000.0</f>
        <v>0</v>
      </c>
      <c r="Q36">
        <f>2.0/((1/S36-1/R36)+SIGN(S36)*SQRT((1/S36-1/R36)*(1/S36-1/R36) + 4*CW36/((CW36+1)*(CW36+1))*(2*1/S36*1/R36-1/R36*1/R36)))</f>
        <v>0</v>
      </c>
      <c r="R36">
        <f>IF(LEFT(CX36,1)&lt;&gt;"0",IF(LEFT(CX36,1)="1",3.0,CY36),$D$5+$E$5*(DP36*DI36/($K$5*1000))+$F$5*(DP36*DI36/($K$5*1000))*MAX(MIN(CV36,$J$5),$I$5)*MAX(MIN(CV36,$J$5),$I$5)+$G$5*MAX(MIN(CV36,$J$5),$I$5)*(DP36*DI36/($K$5*1000))+$H$5*(DP36*DI36/($K$5*1000))*(DP36*DI36/($K$5*1000)))</f>
        <v>0</v>
      </c>
      <c r="S36">
        <f>J36*(1000-(1000*0.61365*exp(17.502*W36/(240.97+W36))/(DI36+DJ36)+DD36)/2)/(1000*0.61365*exp(17.502*W36/(240.97+W36))/(DI36+DJ36)-DD36)</f>
        <v>0</v>
      </c>
      <c r="T36">
        <f>1/((CW36+1)/(Q36/1.6)+1/(R36/1.37)) + CW36/((CW36+1)/(Q36/1.6) + CW36/(R36/1.37))</f>
        <v>0</v>
      </c>
      <c r="U36">
        <f>(CR36*CU36)</f>
        <v>0</v>
      </c>
      <c r="V36">
        <f>(DK36+(U36+2*0.95*5.67E-8*(((DK36+$B$7)+273)^4-(DK36+273)^4)-44100*J36)/(1.84*29.3*R36+8*0.95*5.67E-8*(DK36+273)^3))</f>
        <v>0</v>
      </c>
      <c r="W36">
        <f>($C$7*DL36+$D$7*DM36+$E$7*V36)</f>
        <v>0</v>
      </c>
      <c r="X36">
        <f>0.61365*exp(17.502*W36/(240.97+W36))</f>
        <v>0</v>
      </c>
      <c r="Y36">
        <f>(Z36/AA36*100)</f>
        <v>0</v>
      </c>
      <c r="Z36">
        <f>DD36*(DI36+DJ36)/1000</f>
        <v>0</v>
      </c>
      <c r="AA36">
        <f>0.61365*exp(17.502*DK36/(240.97+DK36))</f>
        <v>0</v>
      </c>
      <c r="AB36">
        <f>(X36-DD36*(DI36+DJ36)/1000)</f>
        <v>0</v>
      </c>
      <c r="AC36">
        <f>(-J36*44100)</f>
        <v>0</v>
      </c>
      <c r="AD36">
        <f>2*29.3*R36*0.92*(DK36-W36)</f>
        <v>0</v>
      </c>
      <c r="AE36">
        <f>2*0.95*5.67E-8*(((DK36+$B$7)+273)^4-(W36+273)^4)</f>
        <v>0</v>
      </c>
      <c r="AF36">
        <f>U36+AE36+AC36+AD36</f>
        <v>0</v>
      </c>
      <c r="AG36">
        <f>DH36*AU36*(DC36-DB36*(1000-AU36*DE36)/(1000-AU36*DD36))/(100*CV36)</f>
        <v>0</v>
      </c>
      <c r="AH36">
        <f>1000*DH36*AU36*(DD36-DE36)/(100*CV36*(1000-AU36*DD36))</f>
        <v>0</v>
      </c>
      <c r="AI36">
        <f>(AJ36 - AK36 - DI36*1E3/(8.314*(DK36+273.15)) * AM36/DH36 * AL36) * DH36/(100*CV36) * (1000 - DE36)/1000</f>
        <v>0</v>
      </c>
      <c r="AJ36">
        <v>197.1241645455594</v>
      </c>
      <c r="AK36">
        <v>202.0892363636363</v>
      </c>
      <c r="AL36">
        <v>-3.119214131955306</v>
      </c>
      <c r="AM36">
        <v>66.72507702095443</v>
      </c>
      <c r="AN36">
        <f>(AP36 - AO36 + DI36*1E3/(8.314*(DK36+273.15)) * AR36/DH36 * AQ36) * DH36/(100*CV36) * 1000/(1000 - AP36)</f>
        <v>0</v>
      </c>
      <c r="AO36">
        <v>21.99776677363628</v>
      </c>
      <c r="AP36">
        <v>26.48270787878788</v>
      </c>
      <c r="AQ36">
        <v>0.01094569614030095</v>
      </c>
      <c r="AR36">
        <v>78.22078291278521</v>
      </c>
      <c r="AS36">
        <v>1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MAX(0,($B$13+$C$13*DP36)/(1+$D$13*DP36)*DI36/(DK36+273)*$E$13)</f>
        <v>0</v>
      </c>
      <c r="AX36" t="s">
        <v>418</v>
      </c>
      <c r="AY36" t="s">
        <v>418</v>
      </c>
      <c r="AZ36">
        <v>0</v>
      </c>
      <c r="BA36">
        <v>0</v>
      </c>
      <c r="BB36">
        <f>1-AZ36/BA36</f>
        <v>0</v>
      </c>
      <c r="BC36">
        <v>0</v>
      </c>
      <c r="BD36" t="s">
        <v>418</v>
      </c>
      <c r="BE36" t="s">
        <v>418</v>
      </c>
      <c r="BF36">
        <v>0</v>
      </c>
      <c r="BG36">
        <v>0</v>
      </c>
      <c r="BH36">
        <f>1-BF36/BG36</f>
        <v>0</v>
      </c>
      <c r="BI36">
        <v>0.5</v>
      </c>
      <c r="BJ36">
        <f>CS36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418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f>$B$11*DQ36+$C$11*DR36+$F$11*EC36*(1-EF36)</f>
        <v>0</v>
      </c>
      <c r="CS36">
        <f>CR36*CT36</f>
        <v>0</v>
      </c>
      <c r="CT36">
        <f>($B$11*$D$9+$C$11*$D$9+$F$11*((EP36+EH36)/MAX(EP36+EH36+EQ36, 0.1)*$I$9+EQ36/MAX(EP36+EH36+EQ36, 0.1)*$J$9))/($B$11+$C$11+$F$11)</f>
        <v>0</v>
      </c>
      <c r="CU36">
        <f>($B$11*$K$9+$C$11*$K$9+$F$11*((EP36+EH36)/MAX(EP36+EH36+EQ36, 0.1)*$P$9+EQ36/MAX(EP36+EH36+EQ36, 0.1)*$Q$9))/($B$11+$C$11+$F$11)</f>
        <v>0</v>
      </c>
      <c r="CV36">
        <v>6</v>
      </c>
      <c r="CW36">
        <v>0.5</v>
      </c>
      <c r="CX36" t="s">
        <v>419</v>
      </c>
      <c r="CY36">
        <v>2</v>
      </c>
      <c r="CZ36" t="b">
        <v>1</v>
      </c>
      <c r="DA36">
        <v>1651771970</v>
      </c>
      <c r="DB36">
        <v>202.8162222222222</v>
      </c>
      <c r="DC36">
        <v>191.9456666666667</v>
      </c>
      <c r="DD36">
        <v>26.46511111111111</v>
      </c>
      <c r="DE36">
        <v>21.9957</v>
      </c>
      <c r="DF36">
        <v>204.2416666666667</v>
      </c>
      <c r="DG36">
        <v>26.33973333333333</v>
      </c>
      <c r="DH36">
        <v>500.0305555555555</v>
      </c>
      <c r="DI36">
        <v>90.30606666666667</v>
      </c>
      <c r="DJ36">
        <v>0.09992007777777778</v>
      </c>
      <c r="DK36">
        <v>29.02473333333333</v>
      </c>
      <c r="DL36">
        <v>28.42294444444444</v>
      </c>
      <c r="DM36">
        <v>999.9000000000001</v>
      </c>
      <c r="DN36">
        <v>0</v>
      </c>
      <c r="DO36">
        <v>0</v>
      </c>
      <c r="DP36">
        <v>10019.03333333333</v>
      </c>
      <c r="DQ36">
        <v>0</v>
      </c>
      <c r="DR36">
        <v>13.24671111111111</v>
      </c>
      <c r="DS36">
        <v>10.87081111111111</v>
      </c>
      <c r="DT36">
        <v>208.3297777777778</v>
      </c>
      <c r="DU36">
        <v>196.2625555555556</v>
      </c>
      <c r="DV36">
        <v>4.469416666666667</v>
      </c>
      <c r="DW36">
        <v>191.9456666666667</v>
      </c>
      <c r="DX36">
        <v>21.9957</v>
      </c>
      <c r="DY36">
        <v>2.389962222222222</v>
      </c>
      <c r="DZ36">
        <v>1.986344444444445</v>
      </c>
      <c r="EA36">
        <v>20.29592222222222</v>
      </c>
      <c r="EB36">
        <v>17.3359</v>
      </c>
      <c r="EC36">
        <v>1499.977777777778</v>
      </c>
      <c r="ED36">
        <v>0.9729950000000002</v>
      </c>
      <c r="EE36">
        <v>0.0270054</v>
      </c>
      <c r="EF36">
        <v>0</v>
      </c>
      <c r="EG36">
        <v>2.409744444444445</v>
      </c>
      <c r="EH36">
        <v>0</v>
      </c>
      <c r="EI36">
        <v>13931.62222222222</v>
      </c>
      <c r="EJ36">
        <v>12533.17777777778</v>
      </c>
      <c r="EK36">
        <v>36.687</v>
      </c>
      <c r="EL36">
        <v>38.25</v>
      </c>
      <c r="EM36">
        <v>37.083</v>
      </c>
      <c r="EN36">
        <v>37.562</v>
      </c>
      <c r="EO36">
        <v>36.5</v>
      </c>
      <c r="EP36">
        <v>1459.467777777778</v>
      </c>
      <c r="EQ36">
        <v>40.51</v>
      </c>
      <c r="ER36">
        <v>0</v>
      </c>
      <c r="ES36">
        <v>1651771973.6</v>
      </c>
      <c r="ET36">
        <v>0</v>
      </c>
      <c r="EU36">
        <v>2.29848</v>
      </c>
      <c r="EV36">
        <v>1.122292315844667</v>
      </c>
      <c r="EW36">
        <v>-2412.184619149746</v>
      </c>
      <c r="EX36">
        <v>14117.628</v>
      </c>
      <c r="EY36">
        <v>15</v>
      </c>
      <c r="EZ36">
        <v>0</v>
      </c>
      <c r="FA36" t="s">
        <v>420</v>
      </c>
      <c r="FB36">
        <v>1651697511.6</v>
      </c>
      <c r="FC36">
        <v>1651697666.1</v>
      </c>
      <c r="FD36">
        <v>0</v>
      </c>
      <c r="FE36">
        <v>-0.019</v>
      </c>
      <c r="FF36">
        <v>0.013</v>
      </c>
      <c r="FG36">
        <v>-2.121</v>
      </c>
      <c r="FH36">
        <v>0.041</v>
      </c>
      <c r="FI36">
        <v>420</v>
      </c>
      <c r="FJ36">
        <v>22</v>
      </c>
      <c r="FK36">
        <v>1.72</v>
      </c>
      <c r="FL36">
        <v>0.27</v>
      </c>
      <c r="FM36">
        <v>9.529419499999999</v>
      </c>
      <c r="FN36">
        <v>9.871797073170727</v>
      </c>
      <c r="FO36">
        <v>0.9890923951632374</v>
      </c>
      <c r="FP36">
        <v>0</v>
      </c>
      <c r="FQ36">
        <v>4.470069000000001</v>
      </c>
      <c r="FR36">
        <v>-0.05028157598500369</v>
      </c>
      <c r="FS36">
        <v>0.01856658716619732</v>
      </c>
      <c r="FT36">
        <v>1</v>
      </c>
      <c r="FU36">
        <v>0</v>
      </c>
      <c r="FV36">
        <v>0</v>
      </c>
      <c r="FW36">
        <v>0</v>
      </c>
      <c r="FX36">
        <v>1</v>
      </c>
      <c r="FY36">
        <v>2</v>
      </c>
      <c r="FZ36">
        <v>3</v>
      </c>
      <c r="GA36" t="s">
        <v>421</v>
      </c>
      <c r="GB36">
        <v>2.98168</v>
      </c>
      <c r="GC36">
        <v>2.70639</v>
      </c>
      <c r="GD36">
        <v>0.0501351</v>
      </c>
      <c r="GE36">
        <v>0.0467179</v>
      </c>
      <c r="GF36">
        <v>0.113995</v>
      </c>
      <c r="GG36">
        <v>0.09878960000000001</v>
      </c>
      <c r="GH36">
        <v>30046.3</v>
      </c>
      <c r="GI36">
        <v>30214.9</v>
      </c>
      <c r="GJ36">
        <v>29406.8</v>
      </c>
      <c r="GK36">
        <v>29317.3</v>
      </c>
      <c r="GL36">
        <v>34488.6</v>
      </c>
      <c r="GM36">
        <v>35171.1</v>
      </c>
      <c r="GN36">
        <v>41396.9</v>
      </c>
      <c r="GO36">
        <v>41840.6</v>
      </c>
      <c r="GP36">
        <v>1.96327</v>
      </c>
      <c r="GQ36">
        <v>1.86245</v>
      </c>
      <c r="GR36">
        <v>0.0823289</v>
      </c>
      <c r="GS36">
        <v>0</v>
      </c>
      <c r="GT36">
        <v>27.0838</v>
      </c>
      <c r="GU36">
        <v>999.9</v>
      </c>
      <c r="GV36">
        <v>45</v>
      </c>
      <c r="GW36">
        <v>35</v>
      </c>
      <c r="GX36">
        <v>28.1441</v>
      </c>
      <c r="GY36">
        <v>62.8408</v>
      </c>
      <c r="GZ36">
        <v>36.8109</v>
      </c>
      <c r="HA36">
        <v>1</v>
      </c>
      <c r="HB36">
        <v>0.0308918</v>
      </c>
      <c r="HC36">
        <v>0</v>
      </c>
      <c r="HD36">
        <v>20.3463</v>
      </c>
      <c r="HE36">
        <v>5.21744</v>
      </c>
      <c r="HF36">
        <v>12.0079</v>
      </c>
      <c r="HG36">
        <v>4.98935</v>
      </c>
      <c r="HH36">
        <v>3.28858</v>
      </c>
      <c r="HI36">
        <v>488.6</v>
      </c>
      <c r="HJ36">
        <v>3594.4</v>
      </c>
      <c r="HK36">
        <v>4564.3</v>
      </c>
      <c r="HL36">
        <v>17.7</v>
      </c>
      <c r="HM36">
        <v>1.86768</v>
      </c>
      <c r="HN36">
        <v>1.86661</v>
      </c>
      <c r="HO36">
        <v>1.86616</v>
      </c>
      <c r="HP36">
        <v>1.86601</v>
      </c>
      <c r="HQ36">
        <v>1.86785</v>
      </c>
      <c r="HR36">
        <v>1.8704</v>
      </c>
      <c r="HS36">
        <v>1.86905</v>
      </c>
      <c r="HT36">
        <v>1.87042</v>
      </c>
      <c r="HU36">
        <v>0</v>
      </c>
      <c r="HV36">
        <v>0</v>
      </c>
      <c r="HW36">
        <v>0</v>
      </c>
      <c r="HX36">
        <v>0</v>
      </c>
      <c r="HY36" t="s">
        <v>422</v>
      </c>
      <c r="HZ36" t="s">
        <v>423</v>
      </c>
      <c r="IA36" t="s">
        <v>424</v>
      </c>
      <c r="IB36" t="s">
        <v>424</v>
      </c>
      <c r="IC36" t="s">
        <v>424</v>
      </c>
      <c r="ID36" t="s">
        <v>424</v>
      </c>
      <c r="IE36">
        <v>0</v>
      </c>
      <c r="IF36">
        <v>100</v>
      </c>
      <c r="IG36">
        <v>100</v>
      </c>
      <c r="IH36">
        <v>-1.412</v>
      </c>
      <c r="II36">
        <v>0.1257</v>
      </c>
      <c r="IJ36">
        <v>-1.064712027753117</v>
      </c>
      <c r="IK36">
        <v>-0.001826611574738555</v>
      </c>
      <c r="IL36">
        <v>3.313362389709971E-07</v>
      </c>
      <c r="IM36">
        <v>-1.629490614973607E-10</v>
      </c>
      <c r="IN36">
        <v>-0.09531406441470595</v>
      </c>
      <c r="IO36">
        <v>-0.008240702679890409</v>
      </c>
      <c r="IP36">
        <v>0.001077697425498046</v>
      </c>
      <c r="IQ36">
        <v>-1.69598232850356E-05</v>
      </c>
      <c r="IR36">
        <v>3</v>
      </c>
      <c r="IS36">
        <v>2280</v>
      </c>
      <c r="IT36">
        <v>1</v>
      </c>
      <c r="IU36">
        <v>25</v>
      </c>
      <c r="IV36">
        <v>1241</v>
      </c>
      <c r="IW36">
        <v>1238.4</v>
      </c>
      <c r="IX36">
        <v>0.522461</v>
      </c>
      <c r="IY36">
        <v>2.26196</v>
      </c>
      <c r="IZ36">
        <v>1.39648</v>
      </c>
      <c r="JA36">
        <v>2.35352</v>
      </c>
      <c r="JB36">
        <v>1.49536</v>
      </c>
      <c r="JC36">
        <v>2.37549</v>
      </c>
      <c r="JD36">
        <v>38.7964</v>
      </c>
      <c r="JE36">
        <v>24.0612</v>
      </c>
      <c r="JF36">
        <v>18</v>
      </c>
      <c r="JG36">
        <v>508.436</v>
      </c>
      <c r="JH36">
        <v>429.615</v>
      </c>
      <c r="JI36">
        <v>27.9488</v>
      </c>
      <c r="JJ36">
        <v>27.7971</v>
      </c>
      <c r="JK36">
        <v>30.0003</v>
      </c>
      <c r="JL36">
        <v>27.729</v>
      </c>
      <c r="JM36">
        <v>27.6663</v>
      </c>
      <c r="JN36">
        <v>10.4642</v>
      </c>
      <c r="JO36">
        <v>26.9296</v>
      </c>
      <c r="JP36">
        <v>0</v>
      </c>
      <c r="JQ36">
        <v>-999.9</v>
      </c>
      <c r="JR36">
        <v>158.156</v>
      </c>
      <c r="JS36">
        <v>21.8384</v>
      </c>
      <c r="JT36">
        <v>100.526</v>
      </c>
      <c r="JU36">
        <v>100.425</v>
      </c>
    </row>
    <row r="37" spans="1:281">
      <c r="A37">
        <v>21</v>
      </c>
      <c r="B37">
        <v>1651771977.5</v>
      </c>
      <c r="C37">
        <v>99.90000009536743</v>
      </c>
      <c r="D37" t="s">
        <v>463</v>
      </c>
      <c r="E37" t="s">
        <v>464</v>
      </c>
      <c r="F37">
        <v>5</v>
      </c>
      <c r="H37" t="s">
        <v>417</v>
      </c>
      <c r="I37">
        <v>1651771974.7</v>
      </c>
      <c r="J37">
        <f>(K37)/1000</f>
        <v>0</v>
      </c>
      <c r="K37">
        <f>IF(CZ37, AN37, AH37)</f>
        <v>0</v>
      </c>
      <c r="L37">
        <f>IF(CZ37, AI37, AG37)</f>
        <v>0</v>
      </c>
      <c r="M37">
        <f>DB37 - IF(AU37&gt;1, L37*CV37*100.0/(AW37*DP37), 0)</f>
        <v>0</v>
      </c>
      <c r="N37">
        <f>((T37-J37/2)*M37-L37)/(T37+J37/2)</f>
        <v>0</v>
      </c>
      <c r="O37">
        <f>N37*(DI37+DJ37)/1000.0</f>
        <v>0</v>
      </c>
      <c r="P37">
        <f>(DB37 - IF(AU37&gt;1, L37*CV37*100.0/(AW37*DP37), 0))*(DI37+DJ37)/1000.0</f>
        <v>0</v>
      </c>
      <c r="Q37">
        <f>2.0/((1/S37-1/R37)+SIGN(S37)*SQRT((1/S37-1/R37)*(1/S37-1/R37) + 4*CW37/((CW37+1)*(CW37+1))*(2*1/S37*1/R37-1/R37*1/R37)))</f>
        <v>0</v>
      </c>
      <c r="R37">
        <f>IF(LEFT(CX37,1)&lt;&gt;"0",IF(LEFT(CX37,1)="1",3.0,CY37),$D$5+$E$5*(DP37*DI37/($K$5*1000))+$F$5*(DP37*DI37/($K$5*1000))*MAX(MIN(CV37,$J$5),$I$5)*MAX(MIN(CV37,$J$5),$I$5)+$G$5*MAX(MIN(CV37,$J$5),$I$5)*(DP37*DI37/($K$5*1000))+$H$5*(DP37*DI37/($K$5*1000))*(DP37*DI37/($K$5*1000)))</f>
        <v>0</v>
      </c>
      <c r="S37">
        <f>J37*(1000-(1000*0.61365*exp(17.502*W37/(240.97+W37))/(DI37+DJ37)+DD37)/2)/(1000*0.61365*exp(17.502*W37/(240.97+W37))/(DI37+DJ37)-DD37)</f>
        <v>0</v>
      </c>
      <c r="T37">
        <f>1/((CW37+1)/(Q37/1.6)+1/(R37/1.37)) + CW37/((CW37+1)/(Q37/1.6) + CW37/(R37/1.37))</f>
        <v>0</v>
      </c>
      <c r="U37">
        <f>(CR37*CU37)</f>
        <v>0</v>
      </c>
      <c r="V37">
        <f>(DK37+(U37+2*0.95*5.67E-8*(((DK37+$B$7)+273)^4-(DK37+273)^4)-44100*J37)/(1.84*29.3*R37+8*0.95*5.67E-8*(DK37+273)^3))</f>
        <v>0</v>
      </c>
      <c r="W37">
        <f>($C$7*DL37+$D$7*DM37+$E$7*V37)</f>
        <v>0</v>
      </c>
      <c r="X37">
        <f>0.61365*exp(17.502*W37/(240.97+W37))</f>
        <v>0</v>
      </c>
      <c r="Y37">
        <f>(Z37/AA37*100)</f>
        <v>0</v>
      </c>
      <c r="Z37">
        <f>DD37*(DI37+DJ37)/1000</f>
        <v>0</v>
      </c>
      <c r="AA37">
        <f>0.61365*exp(17.502*DK37/(240.97+DK37))</f>
        <v>0</v>
      </c>
      <c r="AB37">
        <f>(X37-DD37*(DI37+DJ37)/1000)</f>
        <v>0</v>
      </c>
      <c r="AC37">
        <f>(-J37*44100)</f>
        <v>0</v>
      </c>
      <c r="AD37">
        <f>2*29.3*R37*0.92*(DK37-W37)</f>
        <v>0</v>
      </c>
      <c r="AE37">
        <f>2*0.95*5.67E-8*(((DK37+$B$7)+273)^4-(W37+273)^4)</f>
        <v>0</v>
      </c>
      <c r="AF37">
        <f>U37+AE37+AC37+AD37</f>
        <v>0</v>
      </c>
      <c r="AG37">
        <f>DH37*AU37*(DC37-DB37*(1000-AU37*DE37)/(1000-AU37*DD37))/(100*CV37)</f>
        <v>0</v>
      </c>
      <c r="AH37">
        <f>1000*DH37*AU37*(DD37-DE37)/(100*CV37*(1000-AU37*DD37))</f>
        <v>0</v>
      </c>
      <c r="AI37">
        <f>(AJ37 - AK37 - DI37*1E3/(8.314*(DK37+273.15)) * AM37/DH37 * AL37) * DH37/(100*CV37) * (1000 - DE37)/1000</f>
        <v>0</v>
      </c>
      <c r="AJ37">
        <v>180.3239216243045</v>
      </c>
      <c r="AK37">
        <v>186.4345393939394</v>
      </c>
      <c r="AL37">
        <v>-3.140309634539211</v>
      </c>
      <c r="AM37">
        <v>66.72507702095443</v>
      </c>
      <c r="AN37">
        <f>(AP37 - AO37 + DI37*1E3/(8.314*(DK37+273.15)) * AR37/DH37 * AQ37) * DH37/(100*CV37) * 1000/(1000 - AP37)</f>
        <v>0</v>
      </c>
      <c r="AO37">
        <v>21.95846861275798</v>
      </c>
      <c r="AP37">
        <v>26.50515939393939</v>
      </c>
      <c r="AQ37">
        <v>0.005013762973702585</v>
      </c>
      <c r="AR37">
        <v>78.22078291278521</v>
      </c>
      <c r="AS37">
        <v>1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MAX(0,($B$13+$C$13*DP37)/(1+$D$13*DP37)*DI37/(DK37+273)*$E$13)</f>
        <v>0</v>
      </c>
      <c r="AX37" t="s">
        <v>418</v>
      </c>
      <c r="AY37" t="s">
        <v>418</v>
      </c>
      <c r="AZ37">
        <v>0</v>
      </c>
      <c r="BA37">
        <v>0</v>
      </c>
      <c r="BB37">
        <f>1-AZ37/BA37</f>
        <v>0</v>
      </c>
      <c r="BC37">
        <v>0</v>
      </c>
      <c r="BD37" t="s">
        <v>418</v>
      </c>
      <c r="BE37" t="s">
        <v>418</v>
      </c>
      <c r="BF37">
        <v>0</v>
      </c>
      <c r="BG37">
        <v>0</v>
      </c>
      <c r="BH37">
        <f>1-BF37/BG37</f>
        <v>0</v>
      </c>
      <c r="BI37">
        <v>0.5</v>
      </c>
      <c r="BJ37">
        <f>CS37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418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f>$B$11*DQ37+$C$11*DR37+$F$11*EC37*(1-EF37)</f>
        <v>0</v>
      </c>
      <c r="CS37">
        <f>CR37*CT37</f>
        <v>0</v>
      </c>
      <c r="CT37">
        <f>($B$11*$D$9+$C$11*$D$9+$F$11*((EP37+EH37)/MAX(EP37+EH37+EQ37, 0.1)*$I$9+EQ37/MAX(EP37+EH37+EQ37, 0.1)*$J$9))/($B$11+$C$11+$F$11)</f>
        <v>0</v>
      </c>
      <c r="CU37">
        <f>($B$11*$K$9+$C$11*$K$9+$F$11*((EP37+EH37)/MAX(EP37+EH37+EQ37, 0.1)*$P$9+EQ37/MAX(EP37+EH37+EQ37, 0.1)*$Q$9))/($B$11+$C$11+$F$11)</f>
        <v>0</v>
      </c>
      <c r="CV37">
        <v>6</v>
      </c>
      <c r="CW37">
        <v>0.5</v>
      </c>
      <c r="CX37" t="s">
        <v>419</v>
      </c>
      <c r="CY37">
        <v>2</v>
      </c>
      <c r="CZ37" t="b">
        <v>1</v>
      </c>
      <c r="DA37">
        <v>1651771974.7</v>
      </c>
      <c r="DB37">
        <v>188.524</v>
      </c>
      <c r="DC37">
        <v>176.4966</v>
      </c>
      <c r="DD37">
        <v>26.49853</v>
      </c>
      <c r="DE37">
        <v>21.95824</v>
      </c>
      <c r="DF37">
        <v>189.9246</v>
      </c>
      <c r="DG37">
        <v>26.37272</v>
      </c>
      <c r="DH37">
        <v>500.0522999999999</v>
      </c>
      <c r="DI37">
        <v>90.30809000000001</v>
      </c>
      <c r="DJ37">
        <v>0.10012309</v>
      </c>
      <c r="DK37">
        <v>29.02734</v>
      </c>
      <c r="DL37">
        <v>28.42769</v>
      </c>
      <c r="DM37">
        <v>999.9</v>
      </c>
      <c r="DN37">
        <v>0</v>
      </c>
      <c r="DO37">
        <v>0</v>
      </c>
      <c r="DP37">
        <v>10009.88</v>
      </c>
      <c r="DQ37">
        <v>0</v>
      </c>
      <c r="DR37">
        <v>13.25852</v>
      </c>
      <c r="DS37">
        <v>12.02726</v>
      </c>
      <c r="DT37">
        <v>193.6553</v>
      </c>
      <c r="DU37">
        <v>180.4592</v>
      </c>
      <c r="DV37">
        <v>4.540299</v>
      </c>
      <c r="DW37">
        <v>176.4966</v>
      </c>
      <c r="DX37">
        <v>21.95824</v>
      </c>
      <c r="DY37">
        <v>2.393032</v>
      </c>
      <c r="DZ37">
        <v>1.983006</v>
      </c>
      <c r="EA37">
        <v>20.31671</v>
      </c>
      <c r="EB37">
        <v>17.30929</v>
      </c>
      <c r="EC37">
        <v>1499.967</v>
      </c>
      <c r="ED37">
        <v>0.9729950000000003</v>
      </c>
      <c r="EE37">
        <v>0.0270054</v>
      </c>
      <c r="EF37">
        <v>0</v>
      </c>
      <c r="EG37">
        <v>2.49049</v>
      </c>
      <c r="EH37">
        <v>0</v>
      </c>
      <c r="EI37">
        <v>13769.57</v>
      </c>
      <c r="EJ37">
        <v>12533.08</v>
      </c>
      <c r="EK37">
        <v>36.687</v>
      </c>
      <c r="EL37">
        <v>38.2374</v>
      </c>
      <c r="EM37">
        <v>37.0872</v>
      </c>
      <c r="EN37">
        <v>37.562</v>
      </c>
      <c r="EO37">
        <v>36.5</v>
      </c>
      <c r="EP37">
        <v>1459.457</v>
      </c>
      <c r="EQ37">
        <v>40.51</v>
      </c>
      <c r="ER37">
        <v>0</v>
      </c>
      <c r="ES37">
        <v>1651771978.4</v>
      </c>
      <c r="ET37">
        <v>0</v>
      </c>
      <c r="EU37">
        <v>2.396376</v>
      </c>
      <c r="EV37">
        <v>0.4456230766014509</v>
      </c>
      <c r="EW37">
        <v>-2185.576919713397</v>
      </c>
      <c r="EX37">
        <v>13933.896</v>
      </c>
      <c r="EY37">
        <v>15</v>
      </c>
      <c r="EZ37">
        <v>0</v>
      </c>
      <c r="FA37" t="s">
        <v>420</v>
      </c>
      <c r="FB37">
        <v>1651697511.6</v>
      </c>
      <c r="FC37">
        <v>1651697666.1</v>
      </c>
      <c r="FD37">
        <v>0</v>
      </c>
      <c r="FE37">
        <v>-0.019</v>
      </c>
      <c r="FF37">
        <v>0.013</v>
      </c>
      <c r="FG37">
        <v>-2.121</v>
      </c>
      <c r="FH37">
        <v>0.041</v>
      </c>
      <c r="FI37">
        <v>420</v>
      </c>
      <c r="FJ37">
        <v>22</v>
      </c>
      <c r="FK37">
        <v>1.72</v>
      </c>
      <c r="FL37">
        <v>0.27</v>
      </c>
      <c r="FM37">
        <v>10.53772634146341</v>
      </c>
      <c r="FN37">
        <v>9.952568153310088</v>
      </c>
      <c r="FO37">
        <v>1.015848021501767</v>
      </c>
      <c r="FP37">
        <v>0</v>
      </c>
      <c r="FQ37">
        <v>4.488579756097561</v>
      </c>
      <c r="FR37">
        <v>0.1843112195121858</v>
      </c>
      <c r="FS37">
        <v>0.0366754465274698</v>
      </c>
      <c r="FT37">
        <v>1</v>
      </c>
      <c r="FU37">
        <v>0</v>
      </c>
      <c r="FV37">
        <v>0</v>
      </c>
      <c r="FW37">
        <v>0</v>
      </c>
      <c r="FX37">
        <v>1</v>
      </c>
      <c r="FY37">
        <v>2</v>
      </c>
      <c r="FZ37">
        <v>3</v>
      </c>
      <c r="GA37" t="s">
        <v>421</v>
      </c>
      <c r="GB37">
        <v>2.98161</v>
      </c>
      <c r="GC37">
        <v>2.70609</v>
      </c>
      <c r="GD37">
        <v>0.0466045</v>
      </c>
      <c r="GE37">
        <v>0.0428809</v>
      </c>
      <c r="GF37">
        <v>0.114052</v>
      </c>
      <c r="GG37">
        <v>0.0986033</v>
      </c>
      <c r="GH37">
        <v>30158.5</v>
      </c>
      <c r="GI37">
        <v>30337.1</v>
      </c>
      <c r="GJ37">
        <v>29407.4</v>
      </c>
      <c r="GK37">
        <v>29317.8</v>
      </c>
      <c r="GL37">
        <v>34487.3</v>
      </c>
      <c r="GM37">
        <v>35179.1</v>
      </c>
      <c r="GN37">
        <v>41398.2</v>
      </c>
      <c r="GO37">
        <v>41841.3</v>
      </c>
      <c r="GP37">
        <v>1.9633</v>
      </c>
      <c r="GQ37">
        <v>1.86215</v>
      </c>
      <c r="GR37">
        <v>0.0818074</v>
      </c>
      <c r="GS37">
        <v>0</v>
      </c>
      <c r="GT37">
        <v>27.0878</v>
      </c>
      <c r="GU37">
        <v>999.9</v>
      </c>
      <c r="GV37">
        <v>45</v>
      </c>
      <c r="GW37">
        <v>35</v>
      </c>
      <c r="GX37">
        <v>28.1447</v>
      </c>
      <c r="GY37">
        <v>62.8808</v>
      </c>
      <c r="GZ37">
        <v>36.7027</v>
      </c>
      <c r="HA37">
        <v>1</v>
      </c>
      <c r="HB37">
        <v>0.0309756</v>
      </c>
      <c r="HC37">
        <v>0</v>
      </c>
      <c r="HD37">
        <v>20.3465</v>
      </c>
      <c r="HE37">
        <v>5.21789</v>
      </c>
      <c r="HF37">
        <v>12.0083</v>
      </c>
      <c r="HG37">
        <v>4.9894</v>
      </c>
      <c r="HH37">
        <v>3.28865</v>
      </c>
      <c r="HI37">
        <v>488.6</v>
      </c>
      <c r="HJ37">
        <v>3594.4</v>
      </c>
      <c r="HK37">
        <v>4564.3</v>
      </c>
      <c r="HL37">
        <v>17.7</v>
      </c>
      <c r="HM37">
        <v>1.86768</v>
      </c>
      <c r="HN37">
        <v>1.86662</v>
      </c>
      <c r="HO37">
        <v>1.86616</v>
      </c>
      <c r="HP37">
        <v>1.86601</v>
      </c>
      <c r="HQ37">
        <v>1.86783</v>
      </c>
      <c r="HR37">
        <v>1.8704</v>
      </c>
      <c r="HS37">
        <v>1.86905</v>
      </c>
      <c r="HT37">
        <v>1.87042</v>
      </c>
      <c r="HU37">
        <v>0</v>
      </c>
      <c r="HV37">
        <v>0</v>
      </c>
      <c r="HW37">
        <v>0</v>
      </c>
      <c r="HX37">
        <v>0</v>
      </c>
      <c r="HY37" t="s">
        <v>422</v>
      </c>
      <c r="HZ37" t="s">
        <v>423</v>
      </c>
      <c r="IA37" t="s">
        <v>424</v>
      </c>
      <c r="IB37" t="s">
        <v>424</v>
      </c>
      <c r="IC37" t="s">
        <v>424</v>
      </c>
      <c r="ID37" t="s">
        <v>424</v>
      </c>
      <c r="IE37">
        <v>0</v>
      </c>
      <c r="IF37">
        <v>100</v>
      </c>
      <c r="IG37">
        <v>100</v>
      </c>
      <c r="IH37">
        <v>-1.386</v>
      </c>
      <c r="II37">
        <v>0.1259</v>
      </c>
      <c r="IJ37">
        <v>-1.064712027753117</v>
      </c>
      <c r="IK37">
        <v>-0.001826611574738555</v>
      </c>
      <c r="IL37">
        <v>3.313362389709971E-07</v>
      </c>
      <c r="IM37">
        <v>-1.629490614973607E-10</v>
      </c>
      <c r="IN37">
        <v>-0.09531406441470595</v>
      </c>
      <c r="IO37">
        <v>-0.008240702679890409</v>
      </c>
      <c r="IP37">
        <v>0.001077697425498046</v>
      </c>
      <c r="IQ37">
        <v>-1.69598232850356E-05</v>
      </c>
      <c r="IR37">
        <v>3</v>
      </c>
      <c r="IS37">
        <v>2280</v>
      </c>
      <c r="IT37">
        <v>1</v>
      </c>
      <c r="IU37">
        <v>25</v>
      </c>
      <c r="IV37">
        <v>1241.1</v>
      </c>
      <c r="IW37">
        <v>1238.5</v>
      </c>
      <c r="IX37">
        <v>0.487061</v>
      </c>
      <c r="IY37">
        <v>2.26562</v>
      </c>
      <c r="IZ37">
        <v>1.39648</v>
      </c>
      <c r="JA37">
        <v>2.35352</v>
      </c>
      <c r="JB37">
        <v>1.49536</v>
      </c>
      <c r="JC37">
        <v>2.36328</v>
      </c>
      <c r="JD37">
        <v>38.7964</v>
      </c>
      <c r="JE37">
        <v>24.0612</v>
      </c>
      <c r="JF37">
        <v>18</v>
      </c>
      <c r="JG37">
        <v>508.472</v>
      </c>
      <c r="JH37">
        <v>429.453</v>
      </c>
      <c r="JI37">
        <v>27.9548</v>
      </c>
      <c r="JJ37">
        <v>27.7995</v>
      </c>
      <c r="JK37">
        <v>30.0003</v>
      </c>
      <c r="JL37">
        <v>27.7313</v>
      </c>
      <c r="JM37">
        <v>27.6687</v>
      </c>
      <c r="JN37">
        <v>9.753539999999999</v>
      </c>
      <c r="JO37">
        <v>27.2322</v>
      </c>
      <c r="JP37">
        <v>0</v>
      </c>
      <c r="JQ37">
        <v>-999.9</v>
      </c>
      <c r="JR37">
        <v>144.794</v>
      </c>
      <c r="JS37">
        <v>21.7966</v>
      </c>
      <c r="JT37">
        <v>100.529</v>
      </c>
      <c r="JU37">
        <v>100.426</v>
      </c>
    </row>
    <row r="38" spans="1:281">
      <c r="A38">
        <v>22</v>
      </c>
      <c r="B38">
        <v>1651771982.5</v>
      </c>
      <c r="C38">
        <v>104.9000000953674</v>
      </c>
      <c r="D38" t="s">
        <v>465</v>
      </c>
      <c r="E38" t="s">
        <v>466</v>
      </c>
      <c r="F38">
        <v>5</v>
      </c>
      <c r="H38" t="s">
        <v>417</v>
      </c>
      <c r="I38">
        <v>1651771980</v>
      </c>
      <c r="J38">
        <f>(K38)/1000</f>
        <v>0</v>
      </c>
      <c r="K38">
        <f>IF(CZ38, AN38, AH38)</f>
        <v>0</v>
      </c>
      <c r="L38">
        <f>IF(CZ38, AI38, AG38)</f>
        <v>0</v>
      </c>
      <c r="M38">
        <f>DB38 - IF(AU38&gt;1, L38*CV38*100.0/(AW38*DP38), 0)</f>
        <v>0</v>
      </c>
      <c r="N38">
        <f>((T38-J38/2)*M38-L38)/(T38+J38/2)</f>
        <v>0</v>
      </c>
      <c r="O38">
        <f>N38*(DI38+DJ38)/1000.0</f>
        <v>0</v>
      </c>
      <c r="P38">
        <f>(DB38 - IF(AU38&gt;1, L38*CV38*100.0/(AW38*DP38), 0))*(DI38+DJ38)/1000.0</f>
        <v>0</v>
      </c>
      <c r="Q38">
        <f>2.0/((1/S38-1/R38)+SIGN(S38)*SQRT((1/S38-1/R38)*(1/S38-1/R38) + 4*CW38/((CW38+1)*(CW38+1))*(2*1/S38*1/R38-1/R38*1/R38)))</f>
        <v>0</v>
      </c>
      <c r="R38">
        <f>IF(LEFT(CX38,1)&lt;&gt;"0",IF(LEFT(CX38,1)="1",3.0,CY38),$D$5+$E$5*(DP38*DI38/($K$5*1000))+$F$5*(DP38*DI38/($K$5*1000))*MAX(MIN(CV38,$J$5),$I$5)*MAX(MIN(CV38,$J$5),$I$5)+$G$5*MAX(MIN(CV38,$J$5),$I$5)*(DP38*DI38/($K$5*1000))+$H$5*(DP38*DI38/($K$5*1000))*(DP38*DI38/($K$5*1000)))</f>
        <v>0</v>
      </c>
      <c r="S38">
        <f>J38*(1000-(1000*0.61365*exp(17.502*W38/(240.97+W38))/(DI38+DJ38)+DD38)/2)/(1000*0.61365*exp(17.502*W38/(240.97+W38))/(DI38+DJ38)-DD38)</f>
        <v>0</v>
      </c>
      <c r="T38">
        <f>1/((CW38+1)/(Q38/1.6)+1/(R38/1.37)) + CW38/((CW38+1)/(Q38/1.6) + CW38/(R38/1.37))</f>
        <v>0</v>
      </c>
      <c r="U38">
        <f>(CR38*CU38)</f>
        <v>0</v>
      </c>
      <c r="V38">
        <f>(DK38+(U38+2*0.95*5.67E-8*(((DK38+$B$7)+273)^4-(DK38+273)^4)-44100*J38)/(1.84*29.3*R38+8*0.95*5.67E-8*(DK38+273)^3))</f>
        <v>0</v>
      </c>
      <c r="W38">
        <f>($C$7*DL38+$D$7*DM38+$E$7*V38)</f>
        <v>0</v>
      </c>
      <c r="X38">
        <f>0.61365*exp(17.502*W38/(240.97+W38))</f>
        <v>0</v>
      </c>
      <c r="Y38">
        <f>(Z38/AA38*100)</f>
        <v>0</v>
      </c>
      <c r="Z38">
        <f>DD38*(DI38+DJ38)/1000</f>
        <v>0</v>
      </c>
      <c r="AA38">
        <f>0.61365*exp(17.502*DK38/(240.97+DK38))</f>
        <v>0</v>
      </c>
      <c r="AB38">
        <f>(X38-DD38*(DI38+DJ38)/1000)</f>
        <v>0</v>
      </c>
      <c r="AC38">
        <f>(-J38*44100)</f>
        <v>0</v>
      </c>
      <c r="AD38">
        <f>2*29.3*R38*0.92*(DK38-W38)</f>
        <v>0</v>
      </c>
      <c r="AE38">
        <f>2*0.95*5.67E-8*(((DK38+$B$7)+273)^4-(W38+273)^4)</f>
        <v>0</v>
      </c>
      <c r="AF38">
        <f>U38+AE38+AC38+AD38</f>
        <v>0</v>
      </c>
      <c r="AG38">
        <f>DH38*AU38*(DC38-DB38*(1000-AU38*DE38)/(1000-AU38*DD38))/(100*CV38)</f>
        <v>0</v>
      </c>
      <c r="AH38">
        <f>1000*DH38*AU38*(DD38-DE38)/(100*CV38*(1000-AU38*DD38))</f>
        <v>0</v>
      </c>
      <c r="AI38">
        <f>(AJ38 - AK38 - DI38*1E3/(8.314*(DK38+273.15)) * AM38/DH38 * AL38) * DH38/(100*CV38) * (1000 - DE38)/1000</f>
        <v>0</v>
      </c>
      <c r="AJ38">
        <v>163.4551407387124</v>
      </c>
      <c r="AK38">
        <v>170.7097757575757</v>
      </c>
      <c r="AL38">
        <v>-3.143910609028543</v>
      </c>
      <c r="AM38">
        <v>66.72507702095443</v>
      </c>
      <c r="AN38">
        <f>(AP38 - AO38 + DI38*1E3/(8.314*(DK38+273.15)) * AR38/DH38 * AQ38) * DH38/(100*CV38) * 1000/(1000 - AP38)</f>
        <v>0</v>
      </c>
      <c r="AO38">
        <v>21.87072608797909</v>
      </c>
      <c r="AP38">
        <v>26.49384363636362</v>
      </c>
      <c r="AQ38">
        <v>-0.0002001863642817628</v>
      </c>
      <c r="AR38">
        <v>78.22078291278521</v>
      </c>
      <c r="AS38">
        <v>1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MAX(0,($B$13+$C$13*DP38)/(1+$D$13*DP38)*DI38/(DK38+273)*$E$13)</f>
        <v>0</v>
      </c>
      <c r="AX38" t="s">
        <v>418</v>
      </c>
      <c r="AY38" t="s">
        <v>418</v>
      </c>
      <c r="AZ38">
        <v>0</v>
      </c>
      <c r="BA38">
        <v>0</v>
      </c>
      <c r="BB38">
        <f>1-AZ38/BA38</f>
        <v>0</v>
      </c>
      <c r="BC38">
        <v>0</v>
      </c>
      <c r="BD38" t="s">
        <v>418</v>
      </c>
      <c r="BE38" t="s">
        <v>418</v>
      </c>
      <c r="BF38">
        <v>0</v>
      </c>
      <c r="BG38">
        <v>0</v>
      </c>
      <c r="BH38">
        <f>1-BF38/BG38</f>
        <v>0</v>
      </c>
      <c r="BI38">
        <v>0.5</v>
      </c>
      <c r="BJ38">
        <f>CS38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418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f>$B$11*DQ38+$C$11*DR38+$F$11*EC38*(1-EF38)</f>
        <v>0</v>
      </c>
      <c r="CS38">
        <f>CR38*CT38</f>
        <v>0</v>
      </c>
      <c r="CT38">
        <f>($B$11*$D$9+$C$11*$D$9+$F$11*((EP38+EH38)/MAX(EP38+EH38+EQ38, 0.1)*$I$9+EQ38/MAX(EP38+EH38+EQ38, 0.1)*$J$9))/($B$11+$C$11+$F$11)</f>
        <v>0</v>
      </c>
      <c r="CU38">
        <f>($B$11*$K$9+$C$11*$K$9+$F$11*((EP38+EH38)/MAX(EP38+EH38+EQ38, 0.1)*$P$9+EQ38/MAX(EP38+EH38+EQ38, 0.1)*$Q$9))/($B$11+$C$11+$F$11)</f>
        <v>0</v>
      </c>
      <c r="CV38">
        <v>6</v>
      </c>
      <c r="CW38">
        <v>0.5</v>
      </c>
      <c r="CX38" t="s">
        <v>419</v>
      </c>
      <c r="CY38">
        <v>2</v>
      </c>
      <c r="CZ38" t="b">
        <v>1</v>
      </c>
      <c r="DA38">
        <v>1651771980</v>
      </c>
      <c r="DB38">
        <v>172.3084444444444</v>
      </c>
      <c r="DC38">
        <v>159.024</v>
      </c>
      <c r="DD38">
        <v>26.50326666666667</v>
      </c>
      <c r="DE38">
        <v>21.86273333333333</v>
      </c>
      <c r="DF38">
        <v>173.681</v>
      </c>
      <c r="DG38">
        <v>26.37737777777778</v>
      </c>
      <c r="DH38">
        <v>500.0331111111111</v>
      </c>
      <c r="DI38">
        <v>90.30836666666666</v>
      </c>
      <c r="DJ38">
        <v>0.09993005555555555</v>
      </c>
      <c r="DK38">
        <v>29.03203333333333</v>
      </c>
      <c r="DL38">
        <v>28.42647777777778</v>
      </c>
      <c r="DM38">
        <v>999.9000000000001</v>
      </c>
      <c r="DN38">
        <v>0</v>
      </c>
      <c r="DO38">
        <v>0</v>
      </c>
      <c r="DP38">
        <v>9994.363333333335</v>
      </c>
      <c r="DQ38">
        <v>0</v>
      </c>
      <c r="DR38">
        <v>13.2364</v>
      </c>
      <c r="DS38">
        <v>13.28418888888889</v>
      </c>
      <c r="DT38">
        <v>176.9992222222222</v>
      </c>
      <c r="DU38">
        <v>162.5786666666667</v>
      </c>
      <c r="DV38">
        <v>4.640543333333333</v>
      </c>
      <c r="DW38">
        <v>159.024</v>
      </c>
      <c r="DX38">
        <v>21.86273333333333</v>
      </c>
      <c r="DY38">
        <v>2.393466666666667</v>
      </c>
      <c r="DZ38">
        <v>1.974386666666667</v>
      </c>
      <c r="EA38">
        <v>20.31965555555555</v>
      </c>
      <c r="EB38">
        <v>17.24037777777777</v>
      </c>
      <c r="EC38">
        <v>1500.026666666667</v>
      </c>
      <c r="ED38">
        <v>0.9729955555555555</v>
      </c>
      <c r="EE38">
        <v>0.02700481111111111</v>
      </c>
      <c r="EF38">
        <v>0</v>
      </c>
      <c r="EG38">
        <v>2.359288888888889</v>
      </c>
      <c r="EH38">
        <v>0</v>
      </c>
      <c r="EI38">
        <v>13609.04444444444</v>
      </c>
      <c r="EJ38">
        <v>12533.57777777778</v>
      </c>
      <c r="EK38">
        <v>36.687</v>
      </c>
      <c r="EL38">
        <v>38.20099999999999</v>
      </c>
      <c r="EM38">
        <v>37.062</v>
      </c>
      <c r="EN38">
        <v>37.562</v>
      </c>
      <c r="EO38">
        <v>36.5</v>
      </c>
      <c r="EP38">
        <v>1459.516666666667</v>
      </c>
      <c r="EQ38">
        <v>40.51111111111111</v>
      </c>
      <c r="ER38">
        <v>0</v>
      </c>
      <c r="ES38">
        <v>1651771983.8</v>
      </c>
      <c r="ET38">
        <v>0</v>
      </c>
      <c r="EU38">
        <v>2.418511538461539</v>
      </c>
      <c r="EV38">
        <v>0.2328307700139062</v>
      </c>
      <c r="EW38">
        <v>-1925.96239458229</v>
      </c>
      <c r="EX38">
        <v>13760.00769230769</v>
      </c>
      <c r="EY38">
        <v>15</v>
      </c>
      <c r="EZ38">
        <v>0</v>
      </c>
      <c r="FA38" t="s">
        <v>420</v>
      </c>
      <c r="FB38">
        <v>1651697511.6</v>
      </c>
      <c r="FC38">
        <v>1651697666.1</v>
      </c>
      <c r="FD38">
        <v>0</v>
      </c>
      <c r="FE38">
        <v>-0.019</v>
      </c>
      <c r="FF38">
        <v>0.013</v>
      </c>
      <c r="FG38">
        <v>-2.121</v>
      </c>
      <c r="FH38">
        <v>0.041</v>
      </c>
      <c r="FI38">
        <v>420</v>
      </c>
      <c r="FJ38">
        <v>22</v>
      </c>
      <c r="FK38">
        <v>1.72</v>
      </c>
      <c r="FL38">
        <v>0.27</v>
      </c>
      <c r="FM38">
        <v>11.44658804878049</v>
      </c>
      <c r="FN38">
        <v>13.18352571428572</v>
      </c>
      <c r="FO38">
        <v>1.310697066022168</v>
      </c>
      <c r="FP38">
        <v>0</v>
      </c>
      <c r="FQ38">
        <v>4.523806829268292</v>
      </c>
      <c r="FR38">
        <v>0.6795227874564493</v>
      </c>
      <c r="FS38">
        <v>0.07430783674782614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1</v>
      </c>
      <c r="FZ38">
        <v>3</v>
      </c>
      <c r="GA38" t="s">
        <v>467</v>
      </c>
      <c r="GB38">
        <v>2.9816</v>
      </c>
      <c r="GC38">
        <v>2.70611</v>
      </c>
      <c r="GD38">
        <v>0.0429856</v>
      </c>
      <c r="GE38">
        <v>0.0389436</v>
      </c>
      <c r="GF38">
        <v>0.114004</v>
      </c>
      <c r="GG38">
        <v>0.098283</v>
      </c>
      <c r="GH38">
        <v>30273.4</v>
      </c>
      <c r="GI38">
        <v>30462.2</v>
      </c>
      <c r="GJ38">
        <v>29407.8</v>
      </c>
      <c r="GK38">
        <v>29318.2</v>
      </c>
      <c r="GL38">
        <v>34489.5</v>
      </c>
      <c r="GM38">
        <v>35192.2</v>
      </c>
      <c r="GN38">
        <v>41398.6</v>
      </c>
      <c r="GO38">
        <v>41841.8</v>
      </c>
      <c r="GP38">
        <v>1.96308</v>
      </c>
      <c r="GQ38">
        <v>1.86222</v>
      </c>
      <c r="GR38">
        <v>0.08244070000000001</v>
      </c>
      <c r="GS38">
        <v>0</v>
      </c>
      <c r="GT38">
        <v>27.0923</v>
      </c>
      <c r="GU38">
        <v>999.9</v>
      </c>
      <c r="GV38">
        <v>45</v>
      </c>
      <c r="GW38">
        <v>35</v>
      </c>
      <c r="GX38">
        <v>28.148</v>
      </c>
      <c r="GY38">
        <v>63.0108</v>
      </c>
      <c r="GZ38">
        <v>36.8429</v>
      </c>
      <c r="HA38">
        <v>1</v>
      </c>
      <c r="HB38">
        <v>0.0313415</v>
      </c>
      <c r="HC38">
        <v>0</v>
      </c>
      <c r="HD38">
        <v>20.3465</v>
      </c>
      <c r="HE38">
        <v>5.21789</v>
      </c>
      <c r="HF38">
        <v>12.0082</v>
      </c>
      <c r="HG38">
        <v>4.9891</v>
      </c>
      <c r="HH38">
        <v>3.2885</v>
      </c>
      <c r="HI38">
        <v>488.8</v>
      </c>
      <c r="HJ38">
        <v>3595.7</v>
      </c>
      <c r="HK38">
        <v>4564.3</v>
      </c>
      <c r="HL38">
        <v>17.7</v>
      </c>
      <c r="HM38">
        <v>1.86768</v>
      </c>
      <c r="HN38">
        <v>1.86661</v>
      </c>
      <c r="HO38">
        <v>1.86615</v>
      </c>
      <c r="HP38">
        <v>1.86601</v>
      </c>
      <c r="HQ38">
        <v>1.86785</v>
      </c>
      <c r="HR38">
        <v>1.87041</v>
      </c>
      <c r="HS38">
        <v>1.86905</v>
      </c>
      <c r="HT38">
        <v>1.87042</v>
      </c>
      <c r="HU38">
        <v>0</v>
      </c>
      <c r="HV38">
        <v>0</v>
      </c>
      <c r="HW38">
        <v>0</v>
      </c>
      <c r="HX38">
        <v>0</v>
      </c>
      <c r="HY38" t="s">
        <v>422</v>
      </c>
      <c r="HZ38" t="s">
        <v>423</v>
      </c>
      <c r="IA38" t="s">
        <v>424</v>
      </c>
      <c r="IB38" t="s">
        <v>424</v>
      </c>
      <c r="IC38" t="s">
        <v>424</v>
      </c>
      <c r="ID38" t="s">
        <v>424</v>
      </c>
      <c r="IE38">
        <v>0</v>
      </c>
      <c r="IF38">
        <v>100</v>
      </c>
      <c r="IG38">
        <v>100</v>
      </c>
      <c r="IH38">
        <v>-1.36</v>
      </c>
      <c r="II38">
        <v>0.1257</v>
      </c>
      <c r="IJ38">
        <v>-1.064712027753117</v>
      </c>
      <c r="IK38">
        <v>-0.001826611574738555</v>
      </c>
      <c r="IL38">
        <v>3.313362389709971E-07</v>
      </c>
      <c r="IM38">
        <v>-1.629490614973607E-10</v>
      </c>
      <c r="IN38">
        <v>-0.09531406441470595</v>
      </c>
      <c r="IO38">
        <v>-0.008240702679890409</v>
      </c>
      <c r="IP38">
        <v>0.001077697425498046</v>
      </c>
      <c r="IQ38">
        <v>-1.69598232850356E-05</v>
      </c>
      <c r="IR38">
        <v>3</v>
      </c>
      <c r="IS38">
        <v>2280</v>
      </c>
      <c r="IT38">
        <v>1</v>
      </c>
      <c r="IU38">
        <v>25</v>
      </c>
      <c r="IV38">
        <v>1241.2</v>
      </c>
      <c r="IW38">
        <v>1238.6</v>
      </c>
      <c r="IX38">
        <v>0.449219</v>
      </c>
      <c r="IY38">
        <v>2.27173</v>
      </c>
      <c r="IZ38">
        <v>1.39648</v>
      </c>
      <c r="JA38">
        <v>2.35352</v>
      </c>
      <c r="JB38">
        <v>1.49536</v>
      </c>
      <c r="JC38">
        <v>2.35718</v>
      </c>
      <c r="JD38">
        <v>38.7964</v>
      </c>
      <c r="JE38">
        <v>24.0612</v>
      </c>
      <c r="JF38">
        <v>18</v>
      </c>
      <c r="JG38">
        <v>508.336</v>
      </c>
      <c r="JH38">
        <v>429.501</v>
      </c>
      <c r="JI38">
        <v>27.9605</v>
      </c>
      <c r="JJ38">
        <v>27.8018</v>
      </c>
      <c r="JK38">
        <v>30.0002</v>
      </c>
      <c r="JL38">
        <v>27.7325</v>
      </c>
      <c r="JM38">
        <v>27.6692</v>
      </c>
      <c r="JN38">
        <v>8.978249999999999</v>
      </c>
      <c r="JO38">
        <v>27.2322</v>
      </c>
      <c r="JP38">
        <v>0</v>
      </c>
      <c r="JQ38">
        <v>-999.9</v>
      </c>
      <c r="JR38">
        <v>124.73</v>
      </c>
      <c r="JS38">
        <v>21.7812</v>
      </c>
      <c r="JT38">
        <v>100.53</v>
      </c>
      <c r="JU38">
        <v>100.428</v>
      </c>
    </row>
    <row r="39" spans="1:281">
      <c r="A39">
        <v>23</v>
      </c>
      <c r="B39">
        <v>1651771987.5</v>
      </c>
      <c r="C39">
        <v>109.9000000953674</v>
      </c>
      <c r="D39" t="s">
        <v>468</v>
      </c>
      <c r="E39" t="s">
        <v>469</v>
      </c>
      <c r="F39">
        <v>5</v>
      </c>
      <c r="H39" t="s">
        <v>417</v>
      </c>
      <c r="I39">
        <v>1651771984.7</v>
      </c>
      <c r="J39">
        <f>(K39)/1000</f>
        <v>0</v>
      </c>
      <c r="K39">
        <f>IF(CZ39, AN39, AH39)</f>
        <v>0</v>
      </c>
      <c r="L39">
        <f>IF(CZ39, AI39, AG39)</f>
        <v>0</v>
      </c>
      <c r="M39">
        <f>DB39 - IF(AU39&gt;1, L39*CV39*100.0/(AW39*DP39), 0)</f>
        <v>0</v>
      </c>
      <c r="N39">
        <f>((T39-J39/2)*M39-L39)/(T39+J39/2)</f>
        <v>0</v>
      </c>
      <c r="O39">
        <f>N39*(DI39+DJ39)/1000.0</f>
        <v>0</v>
      </c>
      <c r="P39">
        <f>(DB39 - IF(AU39&gt;1, L39*CV39*100.0/(AW39*DP39), 0))*(DI39+DJ39)/1000.0</f>
        <v>0</v>
      </c>
      <c r="Q39">
        <f>2.0/((1/S39-1/R39)+SIGN(S39)*SQRT((1/S39-1/R39)*(1/S39-1/R39) + 4*CW39/((CW39+1)*(CW39+1))*(2*1/S39*1/R39-1/R39*1/R39)))</f>
        <v>0</v>
      </c>
      <c r="R39">
        <f>IF(LEFT(CX39,1)&lt;&gt;"0",IF(LEFT(CX39,1)="1",3.0,CY39),$D$5+$E$5*(DP39*DI39/($K$5*1000))+$F$5*(DP39*DI39/($K$5*1000))*MAX(MIN(CV39,$J$5),$I$5)*MAX(MIN(CV39,$J$5),$I$5)+$G$5*MAX(MIN(CV39,$J$5),$I$5)*(DP39*DI39/($K$5*1000))+$H$5*(DP39*DI39/($K$5*1000))*(DP39*DI39/($K$5*1000)))</f>
        <v>0</v>
      </c>
      <c r="S39">
        <f>J39*(1000-(1000*0.61365*exp(17.502*W39/(240.97+W39))/(DI39+DJ39)+DD39)/2)/(1000*0.61365*exp(17.502*W39/(240.97+W39))/(DI39+DJ39)-DD39)</f>
        <v>0</v>
      </c>
      <c r="T39">
        <f>1/((CW39+1)/(Q39/1.6)+1/(R39/1.37)) + CW39/((CW39+1)/(Q39/1.6) + CW39/(R39/1.37))</f>
        <v>0</v>
      </c>
      <c r="U39">
        <f>(CR39*CU39)</f>
        <v>0</v>
      </c>
      <c r="V39">
        <f>(DK39+(U39+2*0.95*5.67E-8*(((DK39+$B$7)+273)^4-(DK39+273)^4)-44100*J39)/(1.84*29.3*R39+8*0.95*5.67E-8*(DK39+273)^3))</f>
        <v>0</v>
      </c>
      <c r="W39">
        <f>($C$7*DL39+$D$7*DM39+$E$7*V39)</f>
        <v>0</v>
      </c>
      <c r="X39">
        <f>0.61365*exp(17.502*W39/(240.97+W39))</f>
        <v>0</v>
      </c>
      <c r="Y39">
        <f>(Z39/AA39*100)</f>
        <v>0</v>
      </c>
      <c r="Z39">
        <f>DD39*(DI39+DJ39)/1000</f>
        <v>0</v>
      </c>
      <c r="AA39">
        <f>0.61365*exp(17.502*DK39/(240.97+DK39))</f>
        <v>0</v>
      </c>
      <c r="AB39">
        <f>(X39-DD39*(DI39+DJ39)/1000)</f>
        <v>0</v>
      </c>
      <c r="AC39">
        <f>(-J39*44100)</f>
        <v>0</v>
      </c>
      <c r="AD39">
        <f>2*29.3*R39*0.92*(DK39-W39)</f>
        <v>0</v>
      </c>
      <c r="AE39">
        <f>2*0.95*5.67E-8*(((DK39+$B$7)+273)^4-(W39+273)^4)</f>
        <v>0</v>
      </c>
      <c r="AF39">
        <f>U39+AE39+AC39+AD39</f>
        <v>0</v>
      </c>
      <c r="AG39">
        <f>DH39*AU39*(DC39-DB39*(1000-AU39*DE39)/(1000-AU39*DD39))/(100*CV39)</f>
        <v>0</v>
      </c>
      <c r="AH39">
        <f>1000*DH39*AU39*(DD39-DE39)/(100*CV39*(1000-AU39*DD39))</f>
        <v>0</v>
      </c>
      <c r="AI39">
        <f>(AJ39 - AK39 - DI39*1E3/(8.314*(DK39+273.15)) * AM39/DH39 * AL39) * DH39/(100*CV39) * (1000 - DE39)/1000</f>
        <v>0</v>
      </c>
      <c r="AJ39">
        <v>146.5022207669735</v>
      </c>
      <c r="AK39">
        <v>154.7810969696969</v>
      </c>
      <c r="AL39">
        <v>-3.186888134744196</v>
      </c>
      <c r="AM39">
        <v>66.72507702095443</v>
      </c>
      <c r="AN39">
        <f>(AP39 - AO39 + DI39*1E3/(8.314*(DK39+273.15)) * AR39/DH39 * AQ39) * DH39/(100*CV39) * 1000/(1000 - AP39)</f>
        <v>0</v>
      </c>
      <c r="AO39">
        <v>21.81810359257749</v>
      </c>
      <c r="AP39">
        <v>26.47041030303029</v>
      </c>
      <c r="AQ39">
        <v>-0.006183914141567462</v>
      </c>
      <c r="AR39">
        <v>78.22078291278521</v>
      </c>
      <c r="AS39">
        <v>1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MAX(0,($B$13+$C$13*DP39)/(1+$D$13*DP39)*DI39/(DK39+273)*$E$13)</f>
        <v>0</v>
      </c>
      <c r="AX39" t="s">
        <v>418</v>
      </c>
      <c r="AY39" t="s">
        <v>418</v>
      </c>
      <c r="AZ39">
        <v>0</v>
      </c>
      <c r="BA39">
        <v>0</v>
      </c>
      <c r="BB39">
        <f>1-AZ39/BA39</f>
        <v>0</v>
      </c>
      <c r="BC39">
        <v>0</v>
      </c>
      <c r="BD39" t="s">
        <v>418</v>
      </c>
      <c r="BE39" t="s">
        <v>418</v>
      </c>
      <c r="BF39">
        <v>0</v>
      </c>
      <c r="BG39">
        <v>0</v>
      </c>
      <c r="BH39">
        <f>1-BF39/BG39</f>
        <v>0</v>
      </c>
      <c r="BI39">
        <v>0.5</v>
      </c>
      <c r="BJ39">
        <f>CS39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418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f>$B$11*DQ39+$C$11*DR39+$F$11*EC39*(1-EF39)</f>
        <v>0</v>
      </c>
      <c r="CS39">
        <f>CR39*CT39</f>
        <v>0</v>
      </c>
      <c r="CT39">
        <f>($B$11*$D$9+$C$11*$D$9+$F$11*((EP39+EH39)/MAX(EP39+EH39+EQ39, 0.1)*$I$9+EQ39/MAX(EP39+EH39+EQ39, 0.1)*$J$9))/($B$11+$C$11+$F$11)</f>
        <v>0</v>
      </c>
      <c r="CU39">
        <f>($B$11*$K$9+$C$11*$K$9+$F$11*((EP39+EH39)/MAX(EP39+EH39+EQ39, 0.1)*$P$9+EQ39/MAX(EP39+EH39+EQ39, 0.1)*$Q$9))/($B$11+$C$11+$F$11)</f>
        <v>0</v>
      </c>
      <c r="CV39">
        <v>6</v>
      </c>
      <c r="CW39">
        <v>0.5</v>
      </c>
      <c r="CX39" t="s">
        <v>419</v>
      </c>
      <c r="CY39">
        <v>2</v>
      </c>
      <c r="CZ39" t="b">
        <v>1</v>
      </c>
      <c r="DA39">
        <v>1651771984.7</v>
      </c>
      <c r="DB39">
        <v>157.817</v>
      </c>
      <c r="DC39">
        <v>143.4417</v>
      </c>
      <c r="DD39">
        <v>26.47785</v>
      </c>
      <c r="DE39">
        <v>21.8185</v>
      </c>
      <c r="DF39">
        <v>159.1648</v>
      </c>
      <c r="DG39">
        <v>26.3523</v>
      </c>
      <c r="DH39">
        <v>500.0377</v>
      </c>
      <c r="DI39">
        <v>90.30681</v>
      </c>
      <c r="DJ39">
        <v>0.09998775999999999</v>
      </c>
      <c r="DK39">
        <v>29.03599</v>
      </c>
      <c r="DL39">
        <v>28.43863</v>
      </c>
      <c r="DM39">
        <v>999.9</v>
      </c>
      <c r="DN39">
        <v>0</v>
      </c>
      <c r="DO39">
        <v>0</v>
      </c>
      <c r="DP39">
        <v>10004.998</v>
      </c>
      <c r="DQ39">
        <v>0</v>
      </c>
      <c r="DR39">
        <v>13.25698</v>
      </c>
      <c r="DS39">
        <v>14.37542</v>
      </c>
      <c r="DT39">
        <v>162.1094</v>
      </c>
      <c r="DU39">
        <v>146.6411</v>
      </c>
      <c r="DV39">
        <v>4.659369</v>
      </c>
      <c r="DW39">
        <v>143.4417</v>
      </c>
      <c r="DX39">
        <v>21.8185</v>
      </c>
      <c r="DY39">
        <v>2.391131</v>
      </c>
      <c r="DZ39">
        <v>1.97036</v>
      </c>
      <c r="EA39">
        <v>20.30385</v>
      </c>
      <c r="EB39">
        <v>17.20813</v>
      </c>
      <c r="EC39">
        <v>1499.99</v>
      </c>
      <c r="ED39">
        <v>0.9729955</v>
      </c>
      <c r="EE39">
        <v>0.02700487</v>
      </c>
      <c r="EF39">
        <v>0</v>
      </c>
      <c r="EG39">
        <v>2.39076</v>
      </c>
      <c r="EH39">
        <v>0</v>
      </c>
      <c r="EI39">
        <v>13488.53</v>
      </c>
      <c r="EJ39">
        <v>12533.27</v>
      </c>
      <c r="EK39">
        <v>36.687</v>
      </c>
      <c r="EL39">
        <v>38.2122</v>
      </c>
      <c r="EM39">
        <v>37.062</v>
      </c>
      <c r="EN39">
        <v>37.562</v>
      </c>
      <c r="EO39">
        <v>36.5</v>
      </c>
      <c r="EP39">
        <v>1459.48</v>
      </c>
      <c r="EQ39">
        <v>40.51</v>
      </c>
      <c r="ER39">
        <v>0</v>
      </c>
      <c r="ES39">
        <v>1651771988.6</v>
      </c>
      <c r="ET39">
        <v>0</v>
      </c>
      <c r="EU39">
        <v>2.4157</v>
      </c>
      <c r="EV39">
        <v>-0.3037128337061318</v>
      </c>
      <c r="EW39">
        <v>-1675.890598559273</v>
      </c>
      <c r="EX39">
        <v>13616.08461538462</v>
      </c>
      <c r="EY39">
        <v>15</v>
      </c>
      <c r="EZ39">
        <v>0</v>
      </c>
      <c r="FA39" t="s">
        <v>420</v>
      </c>
      <c r="FB39">
        <v>1651697511.6</v>
      </c>
      <c r="FC39">
        <v>1651697666.1</v>
      </c>
      <c r="FD39">
        <v>0</v>
      </c>
      <c r="FE39">
        <v>-0.019</v>
      </c>
      <c r="FF39">
        <v>0.013</v>
      </c>
      <c r="FG39">
        <v>-2.121</v>
      </c>
      <c r="FH39">
        <v>0.041</v>
      </c>
      <c r="FI39">
        <v>420</v>
      </c>
      <c r="FJ39">
        <v>22</v>
      </c>
      <c r="FK39">
        <v>1.72</v>
      </c>
      <c r="FL39">
        <v>0.27</v>
      </c>
      <c r="FM39">
        <v>12.31654195121951</v>
      </c>
      <c r="FN39">
        <v>14.38444390243902</v>
      </c>
      <c r="FO39">
        <v>1.418592916721285</v>
      </c>
      <c r="FP39">
        <v>0</v>
      </c>
      <c r="FQ39">
        <v>4.561313658536585</v>
      </c>
      <c r="FR39">
        <v>0.8336611149825718</v>
      </c>
      <c r="FS39">
        <v>0.0840143316971429</v>
      </c>
      <c r="FT39">
        <v>0</v>
      </c>
      <c r="FU39">
        <v>0</v>
      </c>
      <c r="FV39">
        <v>0</v>
      </c>
      <c r="FW39">
        <v>0</v>
      </c>
      <c r="FX39">
        <v>1</v>
      </c>
      <c r="FY39">
        <v>1</v>
      </c>
      <c r="FZ39">
        <v>3</v>
      </c>
      <c r="GA39" t="s">
        <v>467</v>
      </c>
      <c r="GB39">
        <v>2.9816</v>
      </c>
      <c r="GC39">
        <v>2.70618</v>
      </c>
      <c r="GD39">
        <v>0.0392437</v>
      </c>
      <c r="GE39">
        <v>0.0348908</v>
      </c>
      <c r="GF39">
        <v>0.113941</v>
      </c>
      <c r="GG39">
        <v>0.0982532</v>
      </c>
      <c r="GH39">
        <v>30391.3</v>
      </c>
      <c r="GI39">
        <v>30590.1</v>
      </c>
      <c r="GJ39">
        <v>29407.4</v>
      </c>
      <c r="GK39">
        <v>29317.6</v>
      </c>
      <c r="GL39">
        <v>34491.3</v>
      </c>
      <c r="GM39">
        <v>35192.5</v>
      </c>
      <c r="GN39">
        <v>41397.9</v>
      </c>
      <c r="GO39">
        <v>41840.9</v>
      </c>
      <c r="GP39">
        <v>1.9631</v>
      </c>
      <c r="GQ39">
        <v>1.862</v>
      </c>
      <c r="GR39">
        <v>0.0817329</v>
      </c>
      <c r="GS39">
        <v>0</v>
      </c>
      <c r="GT39">
        <v>27.098</v>
      </c>
      <c r="GU39">
        <v>999.9</v>
      </c>
      <c r="GV39">
        <v>45</v>
      </c>
      <c r="GW39">
        <v>35</v>
      </c>
      <c r="GX39">
        <v>28.1482</v>
      </c>
      <c r="GY39">
        <v>62.8408</v>
      </c>
      <c r="GZ39">
        <v>36.7869</v>
      </c>
      <c r="HA39">
        <v>1</v>
      </c>
      <c r="HB39">
        <v>0.0313872</v>
      </c>
      <c r="HC39">
        <v>0</v>
      </c>
      <c r="HD39">
        <v>20.3465</v>
      </c>
      <c r="HE39">
        <v>5.21684</v>
      </c>
      <c r="HF39">
        <v>12.008</v>
      </c>
      <c r="HG39">
        <v>4.98915</v>
      </c>
      <c r="HH39">
        <v>3.2885</v>
      </c>
      <c r="HI39">
        <v>488.8</v>
      </c>
      <c r="HJ39">
        <v>3595.7</v>
      </c>
      <c r="HK39">
        <v>4564.3</v>
      </c>
      <c r="HL39">
        <v>17.7</v>
      </c>
      <c r="HM39">
        <v>1.86768</v>
      </c>
      <c r="HN39">
        <v>1.86661</v>
      </c>
      <c r="HO39">
        <v>1.86615</v>
      </c>
      <c r="HP39">
        <v>1.86602</v>
      </c>
      <c r="HQ39">
        <v>1.86784</v>
      </c>
      <c r="HR39">
        <v>1.87041</v>
      </c>
      <c r="HS39">
        <v>1.86905</v>
      </c>
      <c r="HT39">
        <v>1.87042</v>
      </c>
      <c r="HU39">
        <v>0</v>
      </c>
      <c r="HV39">
        <v>0</v>
      </c>
      <c r="HW39">
        <v>0</v>
      </c>
      <c r="HX39">
        <v>0</v>
      </c>
      <c r="HY39" t="s">
        <v>422</v>
      </c>
      <c r="HZ39" t="s">
        <v>423</v>
      </c>
      <c r="IA39" t="s">
        <v>424</v>
      </c>
      <c r="IB39" t="s">
        <v>424</v>
      </c>
      <c r="IC39" t="s">
        <v>424</v>
      </c>
      <c r="ID39" t="s">
        <v>424</v>
      </c>
      <c r="IE39">
        <v>0</v>
      </c>
      <c r="IF39">
        <v>100</v>
      </c>
      <c r="IG39">
        <v>100</v>
      </c>
      <c r="IH39">
        <v>-1.332</v>
      </c>
      <c r="II39">
        <v>0.1255</v>
      </c>
      <c r="IJ39">
        <v>-1.064712027753117</v>
      </c>
      <c r="IK39">
        <v>-0.001826611574738555</v>
      </c>
      <c r="IL39">
        <v>3.313362389709971E-07</v>
      </c>
      <c r="IM39">
        <v>-1.629490614973607E-10</v>
      </c>
      <c r="IN39">
        <v>-0.09531406441470595</v>
      </c>
      <c r="IO39">
        <v>-0.008240702679890409</v>
      </c>
      <c r="IP39">
        <v>0.001077697425498046</v>
      </c>
      <c r="IQ39">
        <v>-1.69598232850356E-05</v>
      </c>
      <c r="IR39">
        <v>3</v>
      </c>
      <c r="IS39">
        <v>2280</v>
      </c>
      <c r="IT39">
        <v>1</v>
      </c>
      <c r="IU39">
        <v>25</v>
      </c>
      <c r="IV39">
        <v>1241.3</v>
      </c>
      <c r="IW39">
        <v>1238.7</v>
      </c>
      <c r="IX39">
        <v>0.413818</v>
      </c>
      <c r="IY39">
        <v>2.27539</v>
      </c>
      <c r="IZ39">
        <v>1.39648</v>
      </c>
      <c r="JA39">
        <v>2.35352</v>
      </c>
      <c r="JB39">
        <v>1.49536</v>
      </c>
      <c r="JC39">
        <v>2.35107</v>
      </c>
      <c r="JD39">
        <v>38.7964</v>
      </c>
      <c r="JE39">
        <v>24.0525</v>
      </c>
      <c r="JF39">
        <v>18</v>
      </c>
      <c r="JG39">
        <v>508.363</v>
      </c>
      <c r="JH39">
        <v>429.381</v>
      </c>
      <c r="JI39">
        <v>27.9654</v>
      </c>
      <c r="JJ39">
        <v>27.8042</v>
      </c>
      <c r="JK39">
        <v>30.0002</v>
      </c>
      <c r="JL39">
        <v>27.7337</v>
      </c>
      <c r="JM39">
        <v>27.671</v>
      </c>
      <c r="JN39">
        <v>8.257849999999999</v>
      </c>
      <c r="JO39">
        <v>27.2322</v>
      </c>
      <c r="JP39">
        <v>0</v>
      </c>
      <c r="JQ39">
        <v>-999.9</v>
      </c>
      <c r="JR39">
        <v>111.373</v>
      </c>
      <c r="JS39">
        <v>21.766</v>
      </c>
      <c r="JT39">
        <v>100.528</v>
      </c>
      <c r="JU39">
        <v>100.426</v>
      </c>
    </row>
    <row r="40" spans="1:281">
      <c r="A40">
        <v>24</v>
      </c>
      <c r="B40">
        <v>1651771992</v>
      </c>
      <c r="C40">
        <v>114.4000000953674</v>
      </c>
      <c r="D40" t="s">
        <v>470</v>
      </c>
      <c r="E40" t="s">
        <v>471</v>
      </c>
      <c r="F40">
        <v>5</v>
      </c>
      <c r="H40" t="s">
        <v>417</v>
      </c>
      <c r="I40">
        <v>1651771989.15</v>
      </c>
      <c r="J40">
        <f>(K40)/1000</f>
        <v>0</v>
      </c>
      <c r="K40">
        <f>IF(CZ40, AN40, AH40)</f>
        <v>0</v>
      </c>
      <c r="L40">
        <f>IF(CZ40, AI40, AG40)</f>
        <v>0</v>
      </c>
      <c r="M40">
        <f>DB40 - IF(AU40&gt;1, L40*CV40*100.0/(AW40*DP40), 0)</f>
        <v>0</v>
      </c>
      <c r="N40">
        <f>((T40-J40/2)*M40-L40)/(T40+J40/2)</f>
        <v>0</v>
      </c>
      <c r="O40">
        <f>N40*(DI40+DJ40)/1000.0</f>
        <v>0</v>
      </c>
      <c r="P40">
        <f>(DB40 - IF(AU40&gt;1, L40*CV40*100.0/(AW40*DP40), 0))*(DI40+DJ40)/1000.0</f>
        <v>0</v>
      </c>
      <c r="Q40">
        <f>2.0/((1/S40-1/R40)+SIGN(S40)*SQRT((1/S40-1/R40)*(1/S40-1/R40) + 4*CW40/((CW40+1)*(CW40+1))*(2*1/S40*1/R40-1/R40*1/R40)))</f>
        <v>0</v>
      </c>
      <c r="R40">
        <f>IF(LEFT(CX40,1)&lt;&gt;"0",IF(LEFT(CX40,1)="1",3.0,CY40),$D$5+$E$5*(DP40*DI40/($K$5*1000))+$F$5*(DP40*DI40/($K$5*1000))*MAX(MIN(CV40,$J$5),$I$5)*MAX(MIN(CV40,$J$5),$I$5)+$G$5*MAX(MIN(CV40,$J$5),$I$5)*(DP40*DI40/($K$5*1000))+$H$5*(DP40*DI40/($K$5*1000))*(DP40*DI40/($K$5*1000)))</f>
        <v>0</v>
      </c>
      <c r="S40">
        <f>J40*(1000-(1000*0.61365*exp(17.502*W40/(240.97+W40))/(DI40+DJ40)+DD40)/2)/(1000*0.61365*exp(17.502*W40/(240.97+W40))/(DI40+DJ40)-DD40)</f>
        <v>0</v>
      </c>
      <c r="T40">
        <f>1/((CW40+1)/(Q40/1.6)+1/(R40/1.37)) + CW40/((CW40+1)/(Q40/1.6) + CW40/(R40/1.37))</f>
        <v>0</v>
      </c>
      <c r="U40">
        <f>(CR40*CU40)</f>
        <v>0</v>
      </c>
      <c r="V40">
        <f>(DK40+(U40+2*0.95*5.67E-8*(((DK40+$B$7)+273)^4-(DK40+273)^4)-44100*J40)/(1.84*29.3*R40+8*0.95*5.67E-8*(DK40+273)^3))</f>
        <v>0</v>
      </c>
      <c r="W40">
        <f>($C$7*DL40+$D$7*DM40+$E$7*V40)</f>
        <v>0</v>
      </c>
      <c r="X40">
        <f>0.61365*exp(17.502*W40/(240.97+W40))</f>
        <v>0</v>
      </c>
      <c r="Y40">
        <f>(Z40/AA40*100)</f>
        <v>0</v>
      </c>
      <c r="Z40">
        <f>DD40*(DI40+DJ40)/1000</f>
        <v>0</v>
      </c>
      <c r="AA40">
        <f>0.61365*exp(17.502*DK40/(240.97+DK40))</f>
        <v>0</v>
      </c>
      <c r="AB40">
        <f>(X40-DD40*(DI40+DJ40)/1000)</f>
        <v>0</v>
      </c>
      <c r="AC40">
        <f>(-J40*44100)</f>
        <v>0</v>
      </c>
      <c r="AD40">
        <f>2*29.3*R40*0.92*(DK40-W40)</f>
        <v>0</v>
      </c>
      <c r="AE40">
        <f>2*0.95*5.67E-8*(((DK40+$B$7)+273)^4-(W40+273)^4)</f>
        <v>0</v>
      </c>
      <c r="AF40">
        <f>U40+AE40+AC40+AD40</f>
        <v>0</v>
      </c>
      <c r="AG40">
        <f>DH40*AU40*(DC40-DB40*(1000-AU40*DE40)/(1000-AU40*DD40))/(100*CV40)</f>
        <v>0</v>
      </c>
      <c r="AH40">
        <f>1000*DH40*AU40*(DD40-DE40)/(100*CV40*(1000-AU40*DD40))</f>
        <v>0</v>
      </c>
      <c r="AI40">
        <f>(AJ40 - AK40 - DI40*1E3/(8.314*(DK40+273.15)) * AM40/DH40 * AL40) * DH40/(100*CV40) * (1000 - DE40)/1000</f>
        <v>0</v>
      </c>
      <c r="AJ40">
        <v>131.120174895358</v>
      </c>
      <c r="AK40">
        <v>140.4134363636364</v>
      </c>
      <c r="AL40">
        <v>-3.198281241352973</v>
      </c>
      <c r="AM40">
        <v>66.72507702095443</v>
      </c>
      <c r="AN40">
        <f>(AP40 - AO40 + DI40*1E3/(8.314*(DK40+273.15)) * AR40/DH40 * AQ40) * DH40/(100*CV40) * 1000/(1000 - AP40)</f>
        <v>0</v>
      </c>
      <c r="AO40">
        <v>21.81364125999367</v>
      </c>
      <c r="AP40">
        <v>26.47088606060604</v>
      </c>
      <c r="AQ40">
        <v>0.0001500887358828913</v>
      </c>
      <c r="AR40">
        <v>78.22078291278521</v>
      </c>
      <c r="AS40">
        <v>1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MAX(0,($B$13+$C$13*DP40)/(1+$D$13*DP40)*DI40/(DK40+273)*$E$13)</f>
        <v>0</v>
      </c>
      <c r="AX40" t="s">
        <v>418</v>
      </c>
      <c r="AY40" t="s">
        <v>418</v>
      </c>
      <c r="AZ40">
        <v>0</v>
      </c>
      <c r="BA40">
        <v>0</v>
      </c>
      <c r="BB40">
        <f>1-AZ40/BA40</f>
        <v>0</v>
      </c>
      <c r="BC40">
        <v>0</v>
      </c>
      <c r="BD40" t="s">
        <v>418</v>
      </c>
      <c r="BE40" t="s">
        <v>418</v>
      </c>
      <c r="BF40">
        <v>0</v>
      </c>
      <c r="BG40">
        <v>0</v>
      </c>
      <c r="BH40">
        <f>1-BF40/BG40</f>
        <v>0</v>
      </c>
      <c r="BI40">
        <v>0.5</v>
      </c>
      <c r="BJ40">
        <f>CS40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418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f>$B$11*DQ40+$C$11*DR40+$F$11*EC40*(1-EF40)</f>
        <v>0</v>
      </c>
      <c r="CS40">
        <f>CR40*CT40</f>
        <v>0</v>
      </c>
      <c r="CT40">
        <f>($B$11*$D$9+$C$11*$D$9+$F$11*((EP40+EH40)/MAX(EP40+EH40+EQ40, 0.1)*$I$9+EQ40/MAX(EP40+EH40+EQ40, 0.1)*$J$9))/($B$11+$C$11+$F$11)</f>
        <v>0</v>
      </c>
      <c r="CU40">
        <f>($B$11*$K$9+$C$11*$K$9+$F$11*((EP40+EH40)/MAX(EP40+EH40+EQ40, 0.1)*$P$9+EQ40/MAX(EP40+EH40+EQ40, 0.1)*$Q$9))/($B$11+$C$11+$F$11)</f>
        <v>0</v>
      </c>
      <c r="CV40">
        <v>6</v>
      </c>
      <c r="CW40">
        <v>0.5</v>
      </c>
      <c r="CX40" t="s">
        <v>419</v>
      </c>
      <c r="CY40">
        <v>2</v>
      </c>
      <c r="CZ40" t="b">
        <v>1</v>
      </c>
      <c r="DA40">
        <v>1651771989.15</v>
      </c>
      <c r="DB40">
        <v>144.0127</v>
      </c>
      <c r="DC40">
        <v>128.5675</v>
      </c>
      <c r="DD40">
        <v>26.47071</v>
      </c>
      <c r="DE40">
        <v>21.81321</v>
      </c>
      <c r="DF40">
        <v>145.3365</v>
      </c>
      <c r="DG40">
        <v>26.34527</v>
      </c>
      <c r="DH40">
        <v>500.061</v>
      </c>
      <c r="DI40">
        <v>90.30812999999999</v>
      </c>
      <c r="DJ40">
        <v>0.1000984</v>
      </c>
      <c r="DK40">
        <v>29.04076</v>
      </c>
      <c r="DL40">
        <v>28.43717</v>
      </c>
      <c r="DM40">
        <v>999.9</v>
      </c>
      <c r="DN40">
        <v>0</v>
      </c>
      <c r="DO40">
        <v>0</v>
      </c>
      <c r="DP40">
        <v>9993</v>
      </c>
      <c r="DQ40">
        <v>0</v>
      </c>
      <c r="DR40">
        <v>13.265</v>
      </c>
      <c r="DS40">
        <v>15.44513</v>
      </c>
      <c r="DT40">
        <v>147.9285</v>
      </c>
      <c r="DU40">
        <v>131.4346</v>
      </c>
      <c r="DV40">
        <v>4.657496</v>
      </c>
      <c r="DW40">
        <v>128.5675</v>
      </c>
      <c r="DX40">
        <v>21.81321</v>
      </c>
      <c r="DY40">
        <v>2.390519</v>
      </c>
      <c r="DZ40">
        <v>1.969913</v>
      </c>
      <c r="EA40">
        <v>20.29969</v>
      </c>
      <c r="EB40">
        <v>17.20452</v>
      </c>
      <c r="EC40">
        <v>1499.989</v>
      </c>
      <c r="ED40">
        <v>0.9729955</v>
      </c>
      <c r="EE40">
        <v>0.02700487</v>
      </c>
      <c r="EF40">
        <v>0</v>
      </c>
      <c r="EG40">
        <v>2.30193</v>
      </c>
      <c r="EH40">
        <v>0</v>
      </c>
      <c r="EI40">
        <v>13389.67</v>
      </c>
      <c r="EJ40">
        <v>12533.27</v>
      </c>
      <c r="EK40">
        <v>36.65599999999999</v>
      </c>
      <c r="EL40">
        <v>38.187</v>
      </c>
      <c r="EM40">
        <v>37.062</v>
      </c>
      <c r="EN40">
        <v>37.562</v>
      </c>
      <c r="EO40">
        <v>36.4937</v>
      </c>
      <c r="EP40">
        <v>1459.479</v>
      </c>
      <c r="EQ40">
        <v>40.51</v>
      </c>
      <c r="ER40">
        <v>0</v>
      </c>
      <c r="ES40">
        <v>1651771993.4</v>
      </c>
      <c r="ET40">
        <v>0</v>
      </c>
      <c r="EU40">
        <v>2.344334615384615</v>
      </c>
      <c r="EV40">
        <v>-0.3727555753771362</v>
      </c>
      <c r="EW40">
        <v>-1428.676922915612</v>
      </c>
      <c r="EX40">
        <v>13492.00769230769</v>
      </c>
      <c r="EY40">
        <v>15</v>
      </c>
      <c r="EZ40">
        <v>0</v>
      </c>
      <c r="FA40" t="s">
        <v>420</v>
      </c>
      <c r="FB40">
        <v>1651697511.6</v>
      </c>
      <c r="FC40">
        <v>1651697666.1</v>
      </c>
      <c r="FD40">
        <v>0</v>
      </c>
      <c r="FE40">
        <v>-0.019</v>
      </c>
      <c r="FF40">
        <v>0.013</v>
      </c>
      <c r="FG40">
        <v>-2.121</v>
      </c>
      <c r="FH40">
        <v>0.041</v>
      </c>
      <c r="FI40">
        <v>420</v>
      </c>
      <c r="FJ40">
        <v>22</v>
      </c>
      <c r="FK40">
        <v>1.72</v>
      </c>
      <c r="FL40">
        <v>0.27</v>
      </c>
      <c r="FM40">
        <v>13.4538025</v>
      </c>
      <c r="FN40">
        <v>14.18855572232643</v>
      </c>
      <c r="FO40">
        <v>1.365006465458589</v>
      </c>
      <c r="FP40">
        <v>0</v>
      </c>
      <c r="FQ40">
        <v>4.61008075</v>
      </c>
      <c r="FR40">
        <v>0.5738491181988586</v>
      </c>
      <c r="FS40">
        <v>0.06219180172609162</v>
      </c>
      <c r="FT40">
        <v>0</v>
      </c>
      <c r="FU40">
        <v>0</v>
      </c>
      <c r="FV40">
        <v>0</v>
      </c>
      <c r="FW40">
        <v>0</v>
      </c>
      <c r="FX40">
        <v>1</v>
      </c>
      <c r="FY40">
        <v>1</v>
      </c>
      <c r="FZ40">
        <v>3</v>
      </c>
      <c r="GA40" t="s">
        <v>467</v>
      </c>
      <c r="GB40">
        <v>2.98161</v>
      </c>
      <c r="GC40">
        <v>2.70609</v>
      </c>
      <c r="GD40">
        <v>0.0358036</v>
      </c>
      <c r="GE40">
        <v>0.0311384</v>
      </c>
      <c r="GF40">
        <v>0.113955</v>
      </c>
      <c r="GG40">
        <v>0.0982441</v>
      </c>
      <c r="GH40">
        <v>30500.2</v>
      </c>
      <c r="GI40">
        <v>30708.9</v>
      </c>
      <c r="GJ40">
        <v>29407.5</v>
      </c>
      <c r="GK40">
        <v>29317.5</v>
      </c>
      <c r="GL40">
        <v>34491.2</v>
      </c>
      <c r="GM40">
        <v>35192.8</v>
      </c>
      <c r="GN40">
        <v>41398.5</v>
      </c>
      <c r="GO40">
        <v>41840.9</v>
      </c>
      <c r="GP40">
        <v>1.9628</v>
      </c>
      <c r="GQ40">
        <v>1.86168</v>
      </c>
      <c r="GR40">
        <v>0.08193400000000001</v>
      </c>
      <c r="GS40">
        <v>0</v>
      </c>
      <c r="GT40">
        <v>27.103</v>
      </c>
      <c r="GU40">
        <v>999.9</v>
      </c>
      <c r="GV40">
        <v>45</v>
      </c>
      <c r="GW40">
        <v>35</v>
      </c>
      <c r="GX40">
        <v>28.1426</v>
      </c>
      <c r="GY40">
        <v>63.0908</v>
      </c>
      <c r="GZ40">
        <v>36.246</v>
      </c>
      <c r="HA40">
        <v>1</v>
      </c>
      <c r="HB40">
        <v>0.0315066</v>
      </c>
      <c r="HC40">
        <v>0</v>
      </c>
      <c r="HD40">
        <v>20.3465</v>
      </c>
      <c r="HE40">
        <v>5.21714</v>
      </c>
      <c r="HF40">
        <v>12.0073</v>
      </c>
      <c r="HG40">
        <v>4.9893</v>
      </c>
      <c r="HH40">
        <v>3.28858</v>
      </c>
      <c r="HI40">
        <v>489</v>
      </c>
      <c r="HJ40">
        <v>3597.1</v>
      </c>
      <c r="HK40">
        <v>4564.3</v>
      </c>
      <c r="HL40">
        <v>17.7</v>
      </c>
      <c r="HM40">
        <v>1.86768</v>
      </c>
      <c r="HN40">
        <v>1.86664</v>
      </c>
      <c r="HO40">
        <v>1.86616</v>
      </c>
      <c r="HP40">
        <v>1.86604</v>
      </c>
      <c r="HQ40">
        <v>1.86788</v>
      </c>
      <c r="HR40">
        <v>1.87042</v>
      </c>
      <c r="HS40">
        <v>1.86905</v>
      </c>
      <c r="HT40">
        <v>1.87042</v>
      </c>
      <c r="HU40">
        <v>0</v>
      </c>
      <c r="HV40">
        <v>0</v>
      </c>
      <c r="HW40">
        <v>0</v>
      </c>
      <c r="HX40">
        <v>0</v>
      </c>
      <c r="HY40" t="s">
        <v>422</v>
      </c>
      <c r="HZ40" t="s">
        <v>423</v>
      </c>
      <c r="IA40" t="s">
        <v>424</v>
      </c>
      <c r="IB40" t="s">
        <v>424</v>
      </c>
      <c r="IC40" t="s">
        <v>424</v>
      </c>
      <c r="ID40" t="s">
        <v>424</v>
      </c>
      <c r="IE40">
        <v>0</v>
      </c>
      <c r="IF40">
        <v>100</v>
      </c>
      <c r="IG40">
        <v>100</v>
      </c>
      <c r="IH40">
        <v>-1.308</v>
      </c>
      <c r="II40">
        <v>0.1255</v>
      </c>
      <c r="IJ40">
        <v>-1.064712027753117</v>
      </c>
      <c r="IK40">
        <v>-0.001826611574738555</v>
      </c>
      <c r="IL40">
        <v>3.313362389709971E-07</v>
      </c>
      <c r="IM40">
        <v>-1.629490614973607E-10</v>
      </c>
      <c r="IN40">
        <v>-0.09531406441470595</v>
      </c>
      <c r="IO40">
        <v>-0.008240702679890409</v>
      </c>
      <c r="IP40">
        <v>0.001077697425498046</v>
      </c>
      <c r="IQ40">
        <v>-1.69598232850356E-05</v>
      </c>
      <c r="IR40">
        <v>3</v>
      </c>
      <c r="IS40">
        <v>2280</v>
      </c>
      <c r="IT40">
        <v>1</v>
      </c>
      <c r="IU40">
        <v>25</v>
      </c>
      <c r="IV40">
        <v>1241.3</v>
      </c>
      <c r="IW40">
        <v>1238.8</v>
      </c>
      <c r="IX40">
        <v>0.380859</v>
      </c>
      <c r="IY40">
        <v>2.28516</v>
      </c>
      <c r="IZ40">
        <v>1.39648</v>
      </c>
      <c r="JA40">
        <v>2.35229</v>
      </c>
      <c r="JB40">
        <v>1.49536</v>
      </c>
      <c r="JC40">
        <v>2.33398</v>
      </c>
      <c r="JD40">
        <v>38.7964</v>
      </c>
      <c r="JE40">
        <v>24.0525</v>
      </c>
      <c r="JF40">
        <v>18</v>
      </c>
      <c r="JG40">
        <v>508.189</v>
      </c>
      <c r="JH40">
        <v>429.199</v>
      </c>
      <c r="JI40">
        <v>27.9704</v>
      </c>
      <c r="JJ40">
        <v>27.8065</v>
      </c>
      <c r="JK40">
        <v>30.0002</v>
      </c>
      <c r="JL40">
        <v>27.736</v>
      </c>
      <c r="JM40">
        <v>27.6728</v>
      </c>
      <c r="JN40">
        <v>7.60871</v>
      </c>
      <c r="JO40">
        <v>27.2322</v>
      </c>
      <c r="JP40">
        <v>0</v>
      </c>
      <c r="JQ40">
        <v>-999.9</v>
      </c>
      <c r="JR40">
        <v>91.3379</v>
      </c>
      <c r="JS40">
        <v>21.7376</v>
      </c>
      <c r="JT40">
        <v>100.53</v>
      </c>
      <c r="JU40">
        <v>100.425</v>
      </c>
    </row>
    <row r="41" spans="1:281">
      <c r="A41">
        <v>25</v>
      </c>
      <c r="B41">
        <v>1651771997</v>
      </c>
      <c r="C41">
        <v>119.4000000953674</v>
      </c>
      <c r="D41" t="s">
        <v>472</v>
      </c>
      <c r="E41" t="s">
        <v>473</v>
      </c>
      <c r="F41">
        <v>5</v>
      </c>
      <c r="H41" t="s">
        <v>417</v>
      </c>
      <c r="I41">
        <v>1651771994.5</v>
      </c>
      <c r="J41">
        <f>(K41)/1000</f>
        <v>0</v>
      </c>
      <c r="K41">
        <f>IF(CZ41, AN41, AH41)</f>
        <v>0</v>
      </c>
      <c r="L41">
        <f>IF(CZ41, AI41, AG41)</f>
        <v>0</v>
      </c>
      <c r="M41">
        <f>DB41 - IF(AU41&gt;1, L41*CV41*100.0/(AW41*DP41), 0)</f>
        <v>0</v>
      </c>
      <c r="N41">
        <f>((T41-J41/2)*M41-L41)/(T41+J41/2)</f>
        <v>0</v>
      </c>
      <c r="O41">
        <f>N41*(DI41+DJ41)/1000.0</f>
        <v>0</v>
      </c>
      <c r="P41">
        <f>(DB41 - IF(AU41&gt;1, L41*CV41*100.0/(AW41*DP41), 0))*(DI41+DJ41)/1000.0</f>
        <v>0</v>
      </c>
      <c r="Q41">
        <f>2.0/((1/S41-1/R41)+SIGN(S41)*SQRT((1/S41-1/R41)*(1/S41-1/R41) + 4*CW41/((CW41+1)*(CW41+1))*(2*1/S41*1/R41-1/R41*1/R41)))</f>
        <v>0</v>
      </c>
      <c r="R41">
        <f>IF(LEFT(CX41,1)&lt;&gt;"0",IF(LEFT(CX41,1)="1",3.0,CY41),$D$5+$E$5*(DP41*DI41/($K$5*1000))+$F$5*(DP41*DI41/($K$5*1000))*MAX(MIN(CV41,$J$5),$I$5)*MAX(MIN(CV41,$J$5),$I$5)+$G$5*MAX(MIN(CV41,$J$5),$I$5)*(DP41*DI41/($K$5*1000))+$H$5*(DP41*DI41/($K$5*1000))*(DP41*DI41/($K$5*1000)))</f>
        <v>0</v>
      </c>
      <c r="S41">
        <f>J41*(1000-(1000*0.61365*exp(17.502*W41/(240.97+W41))/(DI41+DJ41)+DD41)/2)/(1000*0.61365*exp(17.502*W41/(240.97+W41))/(DI41+DJ41)-DD41)</f>
        <v>0</v>
      </c>
      <c r="T41">
        <f>1/((CW41+1)/(Q41/1.6)+1/(R41/1.37)) + CW41/((CW41+1)/(Q41/1.6) + CW41/(R41/1.37))</f>
        <v>0</v>
      </c>
      <c r="U41">
        <f>(CR41*CU41)</f>
        <v>0</v>
      </c>
      <c r="V41">
        <f>(DK41+(U41+2*0.95*5.67E-8*(((DK41+$B$7)+273)^4-(DK41+273)^4)-44100*J41)/(1.84*29.3*R41+8*0.95*5.67E-8*(DK41+273)^3))</f>
        <v>0</v>
      </c>
      <c r="W41">
        <f>($C$7*DL41+$D$7*DM41+$E$7*V41)</f>
        <v>0</v>
      </c>
      <c r="X41">
        <f>0.61365*exp(17.502*W41/(240.97+W41))</f>
        <v>0</v>
      </c>
      <c r="Y41">
        <f>(Z41/AA41*100)</f>
        <v>0</v>
      </c>
      <c r="Z41">
        <f>DD41*(DI41+DJ41)/1000</f>
        <v>0</v>
      </c>
      <c r="AA41">
        <f>0.61365*exp(17.502*DK41/(240.97+DK41))</f>
        <v>0</v>
      </c>
      <c r="AB41">
        <f>(X41-DD41*(DI41+DJ41)/1000)</f>
        <v>0</v>
      </c>
      <c r="AC41">
        <f>(-J41*44100)</f>
        <v>0</v>
      </c>
      <c r="AD41">
        <f>2*29.3*R41*0.92*(DK41-W41)</f>
        <v>0</v>
      </c>
      <c r="AE41">
        <f>2*0.95*5.67E-8*(((DK41+$B$7)+273)^4-(W41+273)^4)</f>
        <v>0</v>
      </c>
      <c r="AF41">
        <f>U41+AE41+AC41+AD41</f>
        <v>0</v>
      </c>
      <c r="AG41">
        <f>DH41*AU41*(DC41-DB41*(1000-AU41*DE41)/(1000-AU41*DD41))/(100*CV41)</f>
        <v>0</v>
      </c>
      <c r="AH41">
        <f>1000*DH41*AU41*(DD41-DE41)/(100*CV41*(1000-AU41*DD41))</f>
        <v>0</v>
      </c>
      <c r="AI41">
        <f>(AJ41 - AK41 - DI41*1E3/(8.314*(DK41+273.15)) * AM41/DH41 * AL41) * DH41/(100*CV41) * (1000 - DE41)/1000</f>
        <v>0</v>
      </c>
      <c r="AJ41">
        <v>113.9698872714808</v>
      </c>
      <c r="AK41">
        <v>124.4300424242424</v>
      </c>
      <c r="AL41">
        <v>-3.197960470292303</v>
      </c>
      <c r="AM41">
        <v>66.72507702095443</v>
      </c>
      <c r="AN41">
        <f>(AP41 - AO41 + DI41*1E3/(8.314*(DK41+273.15)) * AR41/DH41 * AQ41) * DH41/(100*CV41) * 1000/(1000 - AP41)</f>
        <v>0</v>
      </c>
      <c r="AO41">
        <v>21.80790371114771</v>
      </c>
      <c r="AP41">
        <v>26.48013515151515</v>
      </c>
      <c r="AQ41">
        <v>0.0003296323193936119</v>
      </c>
      <c r="AR41">
        <v>78.22078291278521</v>
      </c>
      <c r="AS41">
        <v>1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MAX(0,($B$13+$C$13*DP41)/(1+$D$13*DP41)*DI41/(DK41+273)*$E$13)</f>
        <v>0</v>
      </c>
      <c r="AX41" t="s">
        <v>418</v>
      </c>
      <c r="AY41" t="s">
        <v>418</v>
      </c>
      <c r="AZ41">
        <v>0</v>
      </c>
      <c r="BA41">
        <v>0</v>
      </c>
      <c r="BB41">
        <f>1-AZ41/BA41</f>
        <v>0</v>
      </c>
      <c r="BC41">
        <v>0</v>
      </c>
      <c r="BD41" t="s">
        <v>418</v>
      </c>
      <c r="BE41" t="s">
        <v>418</v>
      </c>
      <c r="BF41">
        <v>0</v>
      </c>
      <c r="BG41">
        <v>0</v>
      </c>
      <c r="BH41">
        <f>1-BF41/BG41</f>
        <v>0</v>
      </c>
      <c r="BI41">
        <v>0.5</v>
      </c>
      <c r="BJ41">
        <f>CS41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418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f>$B$11*DQ41+$C$11*DR41+$F$11*EC41*(1-EF41)</f>
        <v>0</v>
      </c>
      <c r="CS41">
        <f>CR41*CT41</f>
        <v>0</v>
      </c>
      <c r="CT41">
        <f>($B$11*$D$9+$C$11*$D$9+$F$11*((EP41+EH41)/MAX(EP41+EH41+EQ41, 0.1)*$I$9+EQ41/MAX(EP41+EH41+EQ41, 0.1)*$J$9))/($B$11+$C$11+$F$11)</f>
        <v>0</v>
      </c>
      <c r="CU41">
        <f>($B$11*$K$9+$C$11*$K$9+$F$11*((EP41+EH41)/MAX(EP41+EH41+EQ41, 0.1)*$P$9+EQ41/MAX(EP41+EH41+EQ41, 0.1)*$Q$9))/($B$11+$C$11+$F$11)</f>
        <v>0</v>
      </c>
      <c r="CV41">
        <v>6</v>
      </c>
      <c r="CW41">
        <v>0.5</v>
      </c>
      <c r="CX41" t="s">
        <v>419</v>
      </c>
      <c r="CY41">
        <v>2</v>
      </c>
      <c r="CZ41" t="b">
        <v>1</v>
      </c>
      <c r="DA41">
        <v>1651771994.5</v>
      </c>
      <c r="DB41">
        <v>127.362</v>
      </c>
      <c r="DC41">
        <v>110.6361111111111</v>
      </c>
      <c r="DD41">
        <v>26.47603333333333</v>
      </c>
      <c r="DE41">
        <v>21.80771111111111</v>
      </c>
      <c r="DF41">
        <v>128.6565555555556</v>
      </c>
      <c r="DG41">
        <v>26.3505</v>
      </c>
      <c r="DH41">
        <v>500.0402222222222</v>
      </c>
      <c r="DI41">
        <v>90.3120111111111</v>
      </c>
      <c r="DJ41">
        <v>0.09984736666666667</v>
      </c>
      <c r="DK41">
        <v>29.04483333333333</v>
      </c>
      <c r="DL41">
        <v>28.44607777777778</v>
      </c>
      <c r="DM41">
        <v>999.9000000000001</v>
      </c>
      <c r="DN41">
        <v>0</v>
      </c>
      <c r="DO41">
        <v>0</v>
      </c>
      <c r="DP41">
        <v>10000</v>
      </c>
      <c r="DQ41">
        <v>0</v>
      </c>
      <c r="DR41">
        <v>13.265</v>
      </c>
      <c r="DS41">
        <v>16.72586666666667</v>
      </c>
      <c r="DT41">
        <v>130.8256666666667</v>
      </c>
      <c r="DU41">
        <v>113.1025555555556</v>
      </c>
      <c r="DV41">
        <v>4.668323333333334</v>
      </c>
      <c r="DW41">
        <v>110.6361111111111</v>
      </c>
      <c r="DX41">
        <v>21.80771111111111</v>
      </c>
      <c r="DY41">
        <v>2.391105555555555</v>
      </c>
      <c r="DZ41">
        <v>1.9695</v>
      </c>
      <c r="EA41">
        <v>20.30366666666667</v>
      </c>
      <c r="EB41">
        <v>17.20123333333333</v>
      </c>
      <c r="EC41">
        <v>1499.962222222222</v>
      </c>
      <c r="ED41">
        <v>0.9729950000000002</v>
      </c>
      <c r="EE41">
        <v>0.0270054</v>
      </c>
      <c r="EF41">
        <v>0</v>
      </c>
      <c r="EG41">
        <v>2.164733333333333</v>
      </c>
      <c r="EH41">
        <v>0</v>
      </c>
      <c r="EI41">
        <v>13292.98888888889</v>
      </c>
      <c r="EJ41">
        <v>12533.05555555555</v>
      </c>
      <c r="EK41">
        <v>36.625</v>
      </c>
      <c r="EL41">
        <v>38.187</v>
      </c>
      <c r="EM41">
        <v>37.062</v>
      </c>
      <c r="EN41">
        <v>37.52755555555555</v>
      </c>
      <c r="EO41">
        <v>36.472</v>
      </c>
      <c r="EP41">
        <v>1459.452222222222</v>
      </c>
      <c r="EQ41">
        <v>40.51</v>
      </c>
      <c r="ER41">
        <v>0</v>
      </c>
      <c r="ES41">
        <v>1651771998.2</v>
      </c>
      <c r="ET41">
        <v>0</v>
      </c>
      <c r="EU41">
        <v>2.273819230769231</v>
      </c>
      <c r="EV41">
        <v>-1.058752159011101</v>
      </c>
      <c r="EW41">
        <v>-1188.352137468999</v>
      </c>
      <c r="EX41">
        <v>13387.13461538461</v>
      </c>
      <c r="EY41">
        <v>15</v>
      </c>
      <c r="EZ41">
        <v>0</v>
      </c>
      <c r="FA41" t="s">
        <v>420</v>
      </c>
      <c r="FB41">
        <v>1651697511.6</v>
      </c>
      <c r="FC41">
        <v>1651697666.1</v>
      </c>
      <c r="FD41">
        <v>0</v>
      </c>
      <c r="FE41">
        <v>-0.019</v>
      </c>
      <c r="FF41">
        <v>0.013</v>
      </c>
      <c r="FG41">
        <v>-2.121</v>
      </c>
      <c r="FH41">
        <v>0.041</v>
      </c>
      <c r="FI41">
        <v>420</v>
      </c>
      <c r="FJ41">
        <v>22</v>
      </c>
      <c r="FK41">
        <v>1.72</v>
      </c>
      <c r="FL41">
        <v>0.27</v>
      </c>
      <c r="FM41">
        <v>14.70463170731707</v>
      </c>
      <c r="FN41">
        <v>14.23915818815332</v>
      </c>
      <c r="FO41">
        <v>1.404176273841371</v>
      </c>
      <c r="FP41">
        <v>0</v>
      </c>
      <c r="FQ41">
        <v>4.647663658536586</v>
      </c>
      <c r="FR41">
        <v>0.2171222299651623</v>
      </c>
      <c r="FS41">
        <v>0.03040630677167415</v>
      </c>
      <c r="FT41">
        <v>1</v>
      </c>
      <c r="FU41">
        <v>0</v>
      </c>
      <c r="FV41">
        <v>0</v>
      </c>
      <c r="FW41">
        <v>0</v>
      </c>
      <c r="FX41">
        <v>1</v>
      </c>
      <c r="FY41">
        <v>2</v>
      </c>
      <c r="FZ41">
        <v>3</v>
      </c>
      <c r="GA41" t="s">
        <v>421</v>
      </c>
      <c r="GB41">
        <v>2.98161</v>
      </c>
      <c r="GC41">
        <v>2.70607</v>
      </c>
      <c r="GD41">
        <v>0.0318983</v>
      </c>
      <c r="GE41">
        <v>0.0269182</v>
      </c>
      <c r="GF41">
        <v>0.11398</v>
      </c>
      <c r="GG41">
        <v>0.09822790000000001</v>
      </c>
      <c r="GH41">
        <v>30623.9</v>
      </c>
      <c r="GI41">
        <v>30842.4</v>
      </c>
      <c r="GJ41">
        <v>29407.7</v>
      </c>
      <c r="GK41">
        <v>29317.2</v>
      </c>
      <c r="GL41">
        <v>34490.3</v>
      </c>
      <c r="GM41">
        <v>35193.1</v>
      </c>
      <c r="GN41">
        <v>41398.7</v>
      </c>
      <c r="GO41">
        <v>41840.6</v>
      </c>
      <c r="GP41">
        <v>1.96308</v>
      </c>
      <c r="GQ41">
        <v>1.86208</v>
      </c>
      <c r="GR41">
        <v>0.08165840000000001</v>
      </c>
      <c r="GS41">
        <v>0</v>
      </c>
      <c r="GT41">
        <v>27.1103</v>
      </c>
      <c r="GU41">
        <v>999.9</v>
      </c>
      <c r="GV41">
        <v>45</v>
      </c>
      <c r="GW41">
        <v>35</v>
      </c>
      <c r="GX41">
        <v>28.1466</v>
      </c>
      <c r="GY41">
        <v>62.7408</v>
      </c>
      <c r="GZ41">
        <v>36.7628</v>
      </c>
      <c r="HA41">
        <v>1</v>
      </c>
      <c r="HB41">
        <v>0.0318242</v>
      </c>
      <c r="HC41">
        <v>0</v>
      </c>
      <c r="HD41">
        <v>20.3465</v>
      </c>
      <c r="HE41">
        <v>5.21744</v>
      </c>
      <c r="HF41">
        <v>12.0085</v>
      </c>
      <c r="HG41">
        <v>4.989</v>
      </c>
      <c r="HH41">
        <v>3.28848</v>
      </c>
      <c r="HI41">
        <v>489</v>
      </c>
      <c r="HJ41">
        <v>3597.1</v>
      </c>
      <c r="HK41">
        <v>4564.3</v>
      </c>
      <c r="HL41">
        <v>17.7</v>
      </c>
      <c r="HM41">
        <v>1.86768</v>
      </c>
      <c r="HN41">
        <v>1.86661</v>
      </c>
      <c r="HO41">
        <v>1.86615</v>
      </c>
      <c r="HP41">
        <v>1.86602</v>
      </c>
      <c r="HQ41">
        <v>1.86785</v>
      </c>
      <c r="HR41">
        <v>1.87042</v>
      </c>
      <c r="HS41">
        <v>1.86905</v>
      </c>
      <c r="HT41">
        <v>1.87042</v>
      </c>
      <c r="HU41">
        <v>0</v>
      </c>
      <c r="HV41">
        <v>0</v>
      </c>
      <c r="HW41">
        <v>0</v>
      </c>
      <c r="HX41">
        <v>0</v>
      </c>
      <c r="HY41" t="s">
        <v>422</v>
      </c>
      <c r="HZ41" t="s">
        <v>423</v>
      </c>
      <c r="IA41" t="s">
        <v>424</v>
      </c>
      <c r="IB41" t="s">
        <v>424</v>
      </c>
      <c r="IC41" t="s">
        <v>424</v>
      </c>
      <c r="ID41" t="s">
        <v>424</v>
      </c>
      <c r="IE41">
        <v>0</v>
      </c>
      <c r="IF41">
        <v>100</v>
      </c>
      <c r="IG41">
        <v>100</v>
      </c>
      <c r="IH41">
        <v>-1.281</v>
      </c>
      <c r="II41">
        <v>0.1257</v>
      </c>
      <c r="IJ41">
        <v>-1.064712027753117</v>
      </c>
      <c r="IK41">
        <v>-0.001826611574738555</v>
      </c>
      <c r="IL41">
        <v>3.313362389709971E-07</v>
      </c>
      <c r="IM41">
        <v>-1.629490614973607E-10</v>
      </c>
      <c r="IN41">
        <v>-0.09531406441470595</v>
      </c>
      <c r="IO41">
        <v>-0.008240702679890409</v>
      </c>
      <c r="IP41">
        <v>0.001077697425498046</v>
      </c>
      <c r="IQ41">
        <v>-1.69598232850356E-05</v>
      </c>
      <c r="IR41">
        <v>3</v>
      </c>
      <c r="IS41">
        <v>2280</v>
      </c>
      <c r="IT41">
        <v>1</v>
      </c>
      <c r="IU41">
        <v>25</v>
      </c>
      <c r="IV41">
        <v>1241.4</v>
      </c>
      <c r="IW41">
        <v>1238.8</v>
      </c>
      <c r="IX41">
        <v>0.344238</v>
      </c>
      <c r="IY41">
        <v>2.2876</v>
      </c>
      <c r="IZ41">
        <v>1.39648</v>
      </c>
      <c r="JA41">
        <v>2.35229</v>
      </c>
      <c r="JB41">
        <v>1.49536</v>
      </c>
      <c r="JC41">
        <v>2.32056</v>
      </c>
      <c r="JD41">
        <v>38.7964</v>
      </c>
      <c r="JE41">
        <v>24.0525</v>
      </c>
      <c r="JF41">
        <v>18</v>
      </c>
      <c r="JG41">
        <v>508.385</v>
      </c>
      <c r="JH41">
        <v>429.452</v>
      </c>
      <c r="JI41">
        <v>27.9767</v>
      </c>
      <c r="JJ41">
        <v>27.8089</v>
      </c>
      <c r="JK41">
        <v>30.0003</v>
      </c>
      <c r="JL41">
        <v>27.7381</v>
      </c>
      <c r="JM41">
        <v>27.6747</v>
      </c>
      <c r="JN41">
        <v>6.82276</v>
      </c>
      <c r="JO41">
        <v>27.2322</v>
      </c>
      <c r="JP41">
        <v>0</v>
      </c>
      <c r="JQ41">
        <v>-999.9</v>
      </c>
      <c r="JR41">
        <v>77.9601</v>
      </c>
      <c r="JS41">
        <v>21.7041</v>
      </c>
      <c r="JT41">
        <v>100.53</v>
      </c>
      <c r="JU41">
        <v>100.425</v>
      </c>
    </row>
    <row r="42" spans="1:281">
      <c r="A42">
        <v>26</v>
      </c>
      <c r="B42">
        <v>1651772002</v>
      </c>
      <c r="C42">
        <v>124.4000000953674</v>
      </c>
      <c r="D42" t="s">
        <v>474</v>
      </c>
      <c r="E42" t="s">
        <v>475</v>
      </c>
      <c r="F42">
        <v>5</v>
      </c>
      <c r="H42" t="s">
        <v>417</v>
      </c>
      <c r="I42">
        <v>1651771999.2</v>
      </c>
      <c r="J42">
        <f>(K42)/1000</f>
        <v>0</v>
      </c>
      <c r="K42">
        <f>IF(CZ42, AN42, AH42)</f>
        <v>0</v>
      </c>
      <c r="L42">
        <f>IF(CZ42, AI42, AG42)</f>
        <v>0</v>
      </c>
      <c r="M42">
        <f>DB42 - IF(AU42&gt;1, L42*CV42*100.0/(AW42*DP42), 0)</f>
        <v>0</v>
      </c>
      <c r="N42">
        <f>((T42-J42/2)*M42-L42)/(T42+J42/2)</f>
        <v>0</v>
      </c>
      <c r="O42">
        <f>N42*(DI42+DJ42)/1000.0</f>
        <v>0</v>
      </c>
      <c r="P42">
        <f>(DB42 - IF(AU42&gt;1, L42*CV42*100.0/(AW42*DP42), 0))*(DI42+DJ42)/1000.0</f>
        <v>0</v>
      </c>
      <c r="Q42">
        <f>2.0/((1/S42-1/R42)+SIGN(S42)*SQRT((1/S42-1/R42)*(1/S42-1/R42) + 4*CW42/((CW42+1)*(CW42+1))*(2*1/S42*1/R42-1/R42*1/R42)))</f>
        <v>0</v>
      </c>
      <c r="R42">
        <f>IF(LEFT(CX42,1)&lt;&gt;"0",IF(LEFT(CX42,1)="1",3.0,CY42),$D$5+$E$5*(DP42*DI42/($K$5*1000))+$F$5*(DP42*DI42/($K$5*1000))*MAX(MIN(CV42,$J$5),$I$5)*MAX(MIN(CV42,$J$5),$I$5)+$G$5*MAX(MIN(CV42,$J$5),$I$5)*(DP42*DI42/($K$5*1000))+$H$5*(DP42*DI42/($K$5*1000))*(DP42*DI42/($K$5*1000)))</f>
        <v>0</v>
      </c>
      <c r="S42">
        <f>J42*(1000-(1000*0.61365*exp(17.502*W42/(240.97+W42))/(DI42+DJ42)+DD42)/2)/(1000*0.61365*exp(17.502*W42/(240.97+W42))/(DI42+DJ42)-DD42)</f>
        <v>0</v>
      </c>
      <c r="T42">
        <f>1/((CW42+1)/(Q42/1.6)+1/(R42/1.37)) + CW42/((CW42+1)/(Q42/1.6) + CW42/(R42/1.37))</f>
        <v>0</v>
      </c>
      <c r="U42">
        <f>(CR42*CU42)</f>
        <v>0</v>
      </c>
      <c r="V42">
        <f>(DK42+(U42+2*0.95*5.67E-8*(((DK42+$B$7)+273)^4-(DK42+273)^4)-44100*J42)/(1.84*29.3*R42+8*0.95*5.67E-8*(DK42+273)^3))</f>
        <v>0</v>
      </c>
      <c r="W42">
        <f>($C$7*DL42+$D$7*DM42+$E$7*V42)</f>
        <v>0</v>
      </c>
      <c r="X42">
        <f>0.61365*exp(17.502*W42/(240.97+W42))</f>
        <v>0</v>
      </c>
      <c r="Y42">
        <f>(Z42/AA42*100)</f>
        <v>0</v>
      </c>
      <c r="Z42">
        <f>DD42*(DI42+DJ42)/1000</f>
        <v>0</v>
      </c>
      <c r="AA42">
        <f>0.61365*exp(17.502*DK42/(240.97+DK42))</f>
        <v>0</v>
      </c>
      <c r="AB42">
        <f>(X42-DD42*(DI42+DJ42)/1000)</f>
        <v>0</v>
      </c>
      <c r="AC42">
        <f>(-J42*44100)</f>
        <v>0</v>
      </c>
      <c r="AD42">
        <f>2*29.3*R42*0.92*(DK42-W42)</f>
        <v>0</v>
      </c>
      <c r="AE42">
        <f>2*0.95*5.67E-8*(((DK42+$B$7)+273)^4-(W42+273)^4)</f>
        <v>0</v>
      </c>
      <c r="AF42">
        <f>U42+AE42+AC42+AD42</f>
        <v>0</v>
      </c>
      <c r="AG42">
        <f>DH42*AU42*(DC42-DB42*(1000-AU42*DE42)/(1000-AU42*DD42))/(100*CV42)</f>
        <v>0</v>
      </c>
      <c r="AH42">
        <f>1000*DH42*AU42*(DD42-DE42)/(100*CV42*(1000-AU42*DD42))</f>
        <v>0</v>
      </c>
      <c r="AI42">
        <f>(AJ42 - AK42 - DI42*1E3/(8.314*(DK42+273.15)) * AM42/DH42 * AL42) * DH42/(100*CV42) * (1000 - DE42)/1000</f>
        <v>0</v>
      </c>
      <c r="AJ42">
        <v>96.92378620559701</v>
      </c>
      <c r="AK42">
        <v>108.4911333333333</v>
      </c>
      <c r="AL42">
        <v>-3.185525151997374</v>
      </c>
      <c r="AM42">
        <v>66.72507702095443</v>
      </c>
      <c r="AN42">
        <f>(AP42 - AO42 + DI42*1E3/(8.314*(DK42+273.15)) * AR42/DH42 * AQ42) * DH42/(100*CV42) * 1000/(1000 - AP42)</f>
        <v>0</v>
      </c>
      <c r="AO42">
        <v>21.8025223754584</v>
      </c>
      <c r="AP42">
        <v>26.49416242424243</v>
      </c>
      <c r="AQ42">
        <v>0.0003846551434236607</v>
      </c>
      <c r="AR42">
        <v>78.22078291278521</v>
      </c>
      <c r="AS42">
        <v>1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MAX(0,($B$13+$C$13*DP42)/(1+$D$13*DP42)*DI42/(DK42+273)*$E$13)</f>
        <v>0</v>
      </c>
      <c r="AX42" t="s">
        <v>418</v>
      </c>
      <c r="AY42" t="s">
        <v>418</v>
      </c>
      <c r="AZ42">
        <v>0</v>
      </c>
      <c r="BA42">
        <v>0</v>
      </c>
      <c r="BB42">
        <f>1-AZ42/BA42</f>
        <v>0</v>
      </c>
      <c r="BC42">
        <v>0</v>
      </c>
      <c r="BD42" t="s">
        <v>418</v>
      </c>
      <c r="BE42" t="s">
        <v>418</v>
      </c>
      <c r="BF42">
        <v>0</v>
      </c>
      <c r="BG42">
        <v>0</v>
      </c>
      <c r="BH42">
        <f>1-BF42/BG42</f>
        <v>0</v>
      </c>
      <c r="BI42">
        <v>0.5</v>
      </c>
      <c r="BJ42">
        <f>CS42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418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f>$B$11*DQ42+$C$11*DR42+$F$11*EC42*(1-EF42)</f>
        <v>0</v>
      </c>
      <c r="CS42">
        <f>CR42*CT42</f>
        <v>0</v>
      </c>
      <c r="CT42">
        <f>($B$11*$D$9+$C$11*$D$9+$F$11*((EP42+EH42)/MAX(EP42+EH42+EQ42, 0.1)*$I$9+EQ42/MAX(EP42+EH42+EQ42, 0.1)*$J$9))/($B$11+$C$11+$F$11)</f>
        <v>0</v>
      </c>
      <c r="CU42">
        <f>($B$11*$K$9+$C$11*$K$9+$F$11*((EP42+EH42)/MAX(EP42+EH42+EQ42, 0.1)*$P$9+EQ42/MAX(EP42+EH42+EQ42, 0.1)*$Q$9))/($B$11+$C$11+$F$11)</f>
        <v>0</v>
      </c>
      <c r="CV42">
        <v>6</v>
      </c>
      <c r="CW42">
        <v>0.5</v>
      </c>
      <c r="CX42" t="s">
        <v>419</v>
      </c>
      <c r="CY42">
        <v>2</v>
      </c>
      <c r="CZ42" t="b">
        <v>1</v>
      </c>
      <c r="DA42">
        <v>1651771999.2</v>
      </c>
      <c r="DB42">
        <v>112.7509</v>
      </c>
      <c r="DC42">
        <v>94.9443</v>
      </c>
      <c r="DD42">
        <v>26.48713</v>
      </c>
      <c r="DE42">
        <v>21.79651</v>
      </c>
      <c r="DF42">
        <v>114.0198</v>
      </c>
      <c r="DG42">
        <v>26.36145</v>
      </c>
      <c r="DH42">
        <v>500.0477</v>
      </c>
      <c r="DI42">
        <v>90.30993000000001</v>
      </c>
      <c r="DJ42">
        <v>0.10001957</v>
      </c>
      <c r="DK42">
        <v>29.04869</v>
      </c>
      <c r="DL42">
        <v>28.43751</v>
      </c>
      <c r="DM42">
        <v>999.9</v>
      </c>
      <c r="DN42">
        <v>0</v>
      </c>
      <c r="DO42">
        <v>0</v>
      </c>
      <c r="DP42">
        <v>9988.625</v>
      </c>
      <c r="DQ42">
        <v>0</v>
      </c>
      <c r="DR42">
        <v>13.265</v>
      </c>
      <c r="DS42">
        <v>17.80657</v>
      </c>
      <c r="DT42">
        <v>115.8185</v>
      </c>
      <c r="DU42">
        <v>97.0599</v>
      </c>
      <c r="DV42">
        <v>4.690628</v>
      </c>
      <c r="DW42">
        <v>94.9443</v>
      </c>
      <c r="DX42">
        <v>21.79651</v>
      </c>
      <c r="DY42">
        <v>2.392052</v>
      </c>
      <c r="DZ42">
        <v>1.968442</v>
      </c>
      <c r="EA42">
        <v>20.31007</v>
      </c>
      <c r="EB42">
        <v>17.19273</v>
      </c>
      <c r="EC42">
        <v>1499.994</v>
      </c>
      <c r="ED42">
        <v>0.9729955</v>
      </c>
      <c r="EE42">
        <v>0.02700487</v>
      </c>
      <c r="EF42">
        <v>0</v>
      </c>
      <c r="EG42">
        <v>2.364</v>
      </c>
      <c r="EH42">
        <v>0</v>
      </c>
      <c r="EI42">
        <v>13224.7</v>
      </c>
      <c r="EJ42">
        <v>12533.32</v>
      </c>
      <c r="EK42">
        <v>36.625</v>
      </c>
      <c r="EL42">
        <v>38.187</v>
      </c>
      <c r="EM42">
        <v>37.062</v>
      </c>
      <c r="EN42">
        <v>37.5</v>
      </c>
      <c r="EO42">
        <v>36.46850000000001</v>
      </c>
      <c r="EP42">
        <v>1459.484</v>
      </c>
      <c r="EQ42">
        <v>40.51</v>
      </c>
      <c r="ER42">
        <v>0</v>
      </c>
      <c r="ES42">
        <v>1651772003</v>
      </c>
      <c r="ET42">
        <v>0</v>
      </c>
      <c r="EU42">
        <v>2.2869</v>
      </c>
      <c r="EV42">
        <v>0.1913093842229102</v>
      </c>
      <c r="EW42">
        <v>-969.709400367925</v>
      </c>
      <c r="EX42">
        <v>13300.53846153846</v>
      </c>
      <c r="EY42">
        <v>15</v>
      </c>
      <c r="EZ42">
        <v>0</v>
      </c>
      <c r="FA42" t="s">
        <v>420</v>
      </c>
      <c r="FB42">
        <v>1651697511.6</v>
      </c>
      <c r="FC42">
        <v>1651697666.1</v>
      </c>
      <c r="FD42">
        <v>0</v>
      </c>
      <c r="FE42">
        <v>-0.019</v>
      </c>
      <c r="FF42">
        <v>0.013</v>
      </c>
      <c r="FG42">
        <v>-2.121</v>
      </c>
      <c r="FH42">
        <v>0.041</v>
      </c>
      <c r="FI42">
        <v>420</v>
      </c>
      <c r="FJ42">
        <v>22</v>
      </c>
      <c r="FK42">
        <v>1.72</v>
      </c>
      <c r="FL42">
        <v>0.27</v>
      </c>
      <c r="FM42">
        <v>16.0583325</v>
      </c>
      <c r="FN42">
        <v>14.18923114446526</v>
      </c>
      <c r="FO42">
        <v>1.365214103059937</v>
      </c>
      <c r="FP42">
        <v>0</v>
      </c>
      <c r="FQ42">
        <v>4.66912525</v>
      </c>
      <c r="FR42">
        <v>0.123501050656658</v>
      </c>
      <c r="FS42">
        <v>0.01528283399561422</v>
      </c>
      <c r="FT42">
        <v>1</v>
      </c>
      <c r="FU42">
        <v>0</v>
      </c>
      <c r="FV42">
        <v>0</v>
      </c>
      <c r="FW42">
        <v>0</v>
      </c>
      <c r="FX42">
        <v>1</v>
      </c>
      <c r="FY42">
        <v>2</v>
      </c>
      <c r="FZ42">
        <v>3</v>
      </c>
      <c r="GA42" t="s">
        <v>421</v>
      </c>
      <c r="GB42">
        <v>2.98163</v>
      </c>
      <c r="GC42">
        <v>2.70615</v>
      </c>
      <c r="GD42">
        <v>0.0279406</v>
      </c>
      <c r="GE42">
        <v>0.0226073</v>
      </c>
      <c r="GF42">
        <v>0.114019</v>
      </c>
      <c r="GG42">
        <v>0.098107</v>
      </c>
      <c r="GH42">
        <v>30749.5</v>
      </c>
      <c r="GI42">
        <v>30978.8</v>
      </c>
      <c r="GJ42">
        <v>29408.1</v>
      </c>
      <c r="GK42">
        <v>29317.1</v>
      </c>
      <c r="GL42">
        <v>34489.2</v>
      </c>
      <c r="GM42">
        <v>35197.5</v>
      </c>
      <c r="GN42">
        <v>41399.3</v>
      </c>
      <c r="GO42">
        <v>41840.2</v>
      </c>
      <c r="GP42">
        <v>1.96295</v>
      </c>
      <c r="GQ42">
        <v>1.862</v>
      </c>
      <c r="GR42">
        <v>0.0806786</v>
      </c>
      <c r="GS42">
        <v>0</v>
      </c>
      <c r="GT42">
        <v>27.1174</v>
      </c>
      <c r="GU42">
        <v>999.9</v>
      </c>
      <c r="GV42">
        <v>45</v>
      </c>
      <c r="GW42">
        <v>35</v>
      </c>
      <c r="GX42">
        <v>28.1441</v>
      </c>
      <c r="GY42">
        <v>63.0208</v>
      </c>
      <c r="GZ42">
        <v>36.7829</v>
      </c>
      <c r="HA42">
        <v>1</v>
      </c>
      <c r="HB42">
        <v>0.0318775</v>
      </c>
      <c r="HC42">
        <v>0</v>
      </c>
      <c r="HD42">
        <v>20.3466</v>
      </c>
      <c r="HE42">
        <v>5.21729</v>
      </c>
      <c r="HF42">
        <v>12.008</v>
      </c>
      <c r="HG42">
        <v>4.98875</v>
      </c>
      <c r="HH42">
        <v>3.28845</v>
      </c>
      <c r="HI42">
        <v>489.3</v>
      </c>
      <c r="HJ42">
        <v>3598.4</v>
      </c>
      <c r="HK42">
        <v>4564.3</v>
      </c>
      <c r="HL42">
        <v>17.7</v>
      </c>
      <c r="HM42">
        <v>1.86768</v>
      </c>
      <c r="HN42">
        <v>1.86661</v>
      </c>
      <c r="HO42">
        <v>1.86615</v>
      </c>
      <c r="HP42">
        <v>1.86602</v>
      </c>
      <c r="HQ42">
        <v>1.86787</v>
      </c>
      <c r="HR42">
        <v>1.87041</v>
      </c>
      <c r="HS42">
        <v>1.86905</v>
      </c>
      <c r="HT42">
        <v>1.87041</v>
      </c>
      <c r="HU42">
        <v>0</v>
      </c>
      <c r="HV42">
        <v>0</v>
      </c>
      <c r="HW42">
        <v>0</v>
      </c>
      <c r="HX42">
        <v>0</v>
      </c>
      <c r="HY42" t="s">
        <v>422</v>
      </c>
      <c r="HZ42" t="s">
        <v>423</v>
      </c>
      <c r="IA42" t="s">
        <v>424</v>
      </c>
      <c r="IB42" t="s">
        <v>424</v>
      </c>
      <c r="IC42" t="s">
        <v>424</v>
      </c>
      <c r="ID42" t="s">
        <v>424</v>
      </c>
      <c r="IE42">
        <v>0</v>
      </c>
      <c r="IF42">
        <v>100</v>
      </c>
      <c r="IG42">
        <v>100</v>
      </c>
      <c r="IH42">
        <v>-1.253</v>
      </c>
      <c r="II42">
        <v>0.1257</v>
      </c>
      <c r="IJ42">
        <v>-1.064712027753117</v>
      </c>
      <c r="IK42">
        <v>-0.001826611574738555</v>
      </c>
      <c r="IL42">
        <v>3.313362389709971E-07</v>
      </c>
      <c r="IM42">
        <v>-1.629490614973607E-10</v>
      </c>
      <c r="IN42">
        <v>-0.09531406441470595</v>
      </c>
      <c r="IO42">
        <v>-0.008240702679890409</v>
      </c>
      <c r="IP42">
        <v>0.001077697425498046</v>
      </c>
      <c r="IQ42">
        <v>-1.69598232850356E-05</v>
      </c>
      <c r="IR42">
        <v>3</v>
      </c>
      <c r="IS42">
        <v>2280</v>
      </c>
      <c r="IT42">
        <v>1</v>
      </c>
      <c r="IU42">
        <v>25</v>
      </c>
      <c r="IV42">
        <v>1241.5</v>
      </c>
      <c r="IW42">
        <v>1238.9</v>
      </c>
      <c r="IX42">
        <v>0.306396</v>
      </c>
      <c r="IY42">
        <v>2.2998</v>
      </c>
      <c r="IZ42">
        <v>1.39648</v>
      </c>
      <c r="JA42">
        <v>2.35229</v>
      </c>
      <c r="JB42">
        <v>1.49536</v>
      </c>
      <c r="JC42">
        <v>2.30835</v>
      </c>
      <c r="JD42">
        <v>38.7964</v>
      </c>
      <c r="JE42">
        <v>24.0525</v>
      </c>
      <c r="JF42">
        <v>18</v>
      </c>
      <c r="JG42">
        <v>508.312</v>
      </c>
      <c r="JH42">
        <v>429.415</v>
      </c>
      <c r="JI42">
        <v>27.9828</v>
      </c>
      <c r="JJ42">
        <v>27.8113</v>
      </c>
      <c r="JK42">
        <v>30.0001</v>
      </c>
      <c r="JL42">
        <v>27.7391</v>
      </c>
      <c r="JM42">
        <v>27.6757</v>
      </c>
      <c r="JN42">
        <v>6.11803</v>
      </c>
      <c r="JO42">
        <v>27.5184</v>
      </c>
      <c r="JP42">
        <v>0</v>
      </c>
      <c r="JQ42">
        <v>-999.9</v>
      </c>
      <c r="JR42">
        <v>57.9262</v>
      </c>
      <c r="JS42">
        <v>21.6631</v>
      </c>
      <c r="JT42">
        <v>100.532</v>
      </c>
      <c r="JU42">
        <v>100.424</v>
      </c>
    </row>
    <row r="43" spans="1:281">
      <c r="A43">
        <v>27</v>
      </c>
      <c r="B43">
        <v>1651772007</v>
      </c>
      <c r="C43">
        <v>129.4000000953674</v>
      </c>
      <c r="D43" t="s">
        <v>476</v>
      </c>
      <c r="E43" t="s">
        <v>477</v>
      </c>
      <c r="F43">
        <v>5</v>
      </c>
      <c r="H43" t="s">
        <v>417</v>
      </c>
      <c r="I43">
        <v>1651772004.5</v>
      </c>
      <c r="J43">
        <f>(K43)/1000</f>
        <v>0</v>
      </c>
      <c r="K43">
        <f>IF(CZ43, AN43, AH43)</f>
        <v>0</v>
      </c>
      <c r="L43">
        <f>IF(CZ43, AI43, AG43)</f>
        <v>0</v>
      </c>
      <c r="M43">
        <f>DB43 - IF(AU43&gt;1, L43*CV43*100.0/(AW43*DP43), 0)</f>
        <v>0</v>
      </c>
      <c r="N43">
        <f>((T43-J43/2)*M43-L43)/(T43+J43/2)</f>
        <v>0</v>
      </c>
      <c r="O43">
        <f>N43*(DI43+DJ43)/1000.0</f>
        <v>0</v>
      </c>
      <c r="P43">
        <f>(DB43 - IF(AU43&gt;1, L43*CV43*100.0/(AW43*DP43), 0))*(DI43+DJ43)/1000.0</f>
        <v>0</v>
      </c>
      <c r="Q43">
        <f>2.0/((1/S43-1/R43)+SIGN(S43)*SQRT((1/S43-1/R43)*(1/S43-1/R43) + 4*CW43/((CW43+1)*(CW43+1))*(2*1/S43*1/R43-1/R43*1/R43)))</f>
        <v>0</v>
      </c>
      <c r="R43">
        <f>IF(LEFT(CX43,1)&lt;&gt;"0",IF(LEFT(CX43,1)="1",3.0,CY43),$D$5+$E$5*(DP43*DI43/($K$5*1000))+$F$5*(DP43*DI43/($K$5*1000))*MAX(MIN(CV43,$J$5),$I$5)*MAX(MIN(CV43,$J$5),$I$5)+$G$5*MAX(MIN(CV43,$J$5),$I$5)*(DP43*DI43/($K$5*1000))+$H$5*(DP43*DI43/($K$5*1000))*(DP43*DI43/($K$5*1000)))</f>
        <v>0</v>
      </c>
      <c r="S43">
        <f>J43*(1000-(1000*0.61365*exp(17.502*W43/(240.97+W43))/(DI43+DJ43)+DD43)/2)/(1000*0.61365*exp(17.502*W43/(240.97+W43))/(DI43+DJ43)-DD43)</f>
        <v>0</v>
      </c>
      <c r="T43">
        <f>1/((CW43+1)/(Q43/1.6)+1/(R43/1.37)) + CW43/((CW43+1)/(Q43/1.6) + CW43/(R43/1.37))</f>
        <v>0</v>
      </c>
      <c r="U43">
        <f>(CR43*CU43)</f>
        <v>0</v>
      </c>
      <c r="V43">
        <f>(DK43+(U43+2*0.95*5.67E-8*(((DK43+$B$7)+273)^4-(DK43+273)^4)-44100*J43)/(1.84*29.3*R43+8*0.95*5.67E-8*(DK43+273)^3))</f>
        <v>0</v>
      </c>
      <c r="W43">
        <f>($C$7*DL43+$D$7*DM43+$E$7*V43)</f>
        <v>0</v>
      </c>
      <c r="X43">
        <f>0.61365*exp(17.502*W43/(240.97+W43))</f>
        <v>0</v>
      </c>
      <c r="Y43">
        <f>(Z43/AA43*100)</f>
        <v>0</v>
      </c>
      <c r="Z43">
        <f>DD43*(DI43+DJ43)/1000</f>
        <v>0</v>
      </c>
      <c r="AA43">
        <f>0.61365*exp(17.502*DK43/(240.97+DK43))</f>
        <v>0</v>
      </c>
      <c r="AB43">
        <f>(X43-DD43*(DI43+DJ43)/1000)</f>
        <v>0</v>
      </c>
      <c r="AC43">
        <f>(-J43*44100)</f>
        <v>0</v>
      </c>
      <c r="AD43">
        <f>2*29.3*R43*0.92*(DK43-W43)</f>
        <v>0</v>
      </c>
      <c r="AE43">
        <f>2*0.95*5.67E-8*(((DK43+$B$7)+273)^4-(W43+273)^4)</f>
        <v>0</v>
      </c>
      <c r="AF43">
        <f>U43+AE43+AC43+AD43</f>
        <v>0</v>
      </c>
      <c r="AG43">
        <f>DH43*AU43*(DC43-DB43*(1000-AU43*DE43)/(1000-AU43*DD43))/(100*CV43)</f>
        <v>0</v>
      </c>
      <c r="AH43">
        <f>1000*DH43*AU43*(DD43-DE43)/(100*CV43*(1000-AU43*DD43))</f>
        <v>0</v>
      </c>
      <c r="AI43">
        <f>(AJ43 - AK43 - DI43*1E3/(8.314*(DK43+273.15)) * AM43/DH43 * AL43) * DH43/(100*CV43) * (1000 - DE43)/1000</f>
        <v>0</v>
      </c>
      <c r="AJ43">
        <v>79.74493238528494</v>
      </c>
      <c r="AK43">
        <v>92.48555151515147</v>
      </c>
      <c r="AL43">
        <v>-3.202581350263913</v>
      </c>
      <c r="AM43">
        <v>66.72507702095443</v>
      </c>
      <c r="AN43">
        <f>(AP43 - AO43 + DI43*1E3/(8.314*(DK43+273.15)) * AR43/DH43 * AQ43) * DH43/(100*CV43) * 1000/(1000 - AP43)</f>
        <v>0</v>
      </c>
      <c r="AO43">
        <v>21.74649410569829</v>
      </c>
      <c r="AP43">
        <v>26.48651818181818</v>
      </c>
      <c r="AQ43">
        <v>-0.000218048140586363</v>
      </c>
      <c r="AR43">
        <v>78.22078291278521</v>
      </c>
      <c r="AS43">
        <v>1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MAX(0,($B$13+$C$13*DP43)/(1+$D$13*DP43)*DI43/(DK43+273)*$E$13)</f>
        <v>0</v>
      </c>
      <c r="AX43" t="s">
        <v>418</v>
      </c>
      <c r="AY43" t="s">
        <v>418</v>
      </c>
      <c r="AZ43">
        <v>0</v>
      </c>
      <c r="BA43">
        <v>0</v>
      </c>
      <c r="BB43">
        <f>1-AZ43/BA43</f>
        <v>0</v>
      </c>
      <c r="BC43">
        <v>0</v>
      </c>
      <c r="BD43" t="s">
        <v>418</v>
      </c>
      <c r="BE43" t="s">
        <v>418</v>
      </c>
      <c r="BF43">
        <v>0</v>
      </c>
      <c r="BG43">
        <v>0</v>
      </c>
      <c r="BH43">
        <f>1-BF43/BG43</f>
        <v>0</v>
      </c>
      <c r="BI43">
        <v>0.5</v>
      </c>
      <c r="BJ43">
        <f>CS43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418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f>$B$11*DQ43+$C$11*DR43+$F$11*EC43*(1-EF43)</f>
        <v>0</v>
      </c>
      <c r="CS43">
        <f>CR43*CT43</f>
        <v>0</v>
      </c>
      <c r="CT43">
        <f>($B$11*$D$9+$C$11*$D$9+$F$11*((EP43+EH43)/MAX(EP43+EH43+EQ43, 0.1)*$I$9+EQ43/MAX(EP43+EH43+EQ43, 0.1)*$J$9))/($B$11+$C$11+$F$11)</f>
        <v>0</v>
      </c>
      <c r="CU43">
        <f>($B$11*$K$9+$C$11*$K$9+$F$11*((EP43+EH43)/MAX(EP43+EH43+EQ43, 0.1)*$P$9+EQ43/MAX(EP43+EH43+EQ43, 0.1)*$Q$9))/($B$11+$C$11+$F$11)</f>
        <v>0</v>
      </c>
      <c r="CV43">
        <v>6</v>
      </c>
      <c r="CW43">
        <v>0.5</v>
      </c>
      <c r="CX43" t="s">
        <v>419</v>
      </c>
      <c r="CY43">
        <v>2</v>
      </c>
      <c r="CZ43" t="b">
        <v>1</v>
      </c>
      <c r="DA43">
        <v>1651772004.5</v>
      </c>
      <c r="DB43">
        <v>96.2727888888889</v>
      </c>
      <c r="DC43">
        <v>77.15424444444443</v>
      </c>
      <c r="DD43">
        <v>26.49016666666667</v>
      </c>
      <c r="DE43">
        <v>21.746</v>
      </c>
      <c r="DF43">
        <v>97.51262222222222</v>
      </c>
      <c r="DG43">
        <v>26.36444444444444</v>
      </c>
      <c r="DH43">
        <v>500.0324444444445</v>
      </c>
      <c r="DI43">
        <v>90.30933333333334</v>
      </c>
      <c r="DJ43">
        <v>0.09996184444444445</v>
      </c>
      <c r="DK43">
        <v>29.05343333333333</v>
      </c>
      <c r="DL43">
        <v>28.4526</v>
      </c>
      <c r="DM43">
        <v>999.9000000000001</v>
      </c>
      <c r="DN43">
        <v>0</v>
      </c>
      <c r="DO43">
        <v>0</v>
      </c>
      <c r="DP43">
        <v>10004.16444444444</v>
      </c>
      <c r="DQ43">
        <v>0</v>
      </c>
      <c r="DR43">
        <v>13.265</v>
      </c>
      <c r="DS43">
        <v>19.11846666666666</v>
      </c>
      <c r="DT43">
        <v>98.89231111111111</v>
      </c>
      <c r="DU43">
        <v>78.86936666666666</v>
      </c>
      <c r="DV43">
        <v>4.744156666666667</v>
      </c>
      <c r="DW43">
        <v>77.15424444444443</v>
      </c>
      <c r="DX43">
        <v>21.746</v>
      </c>
      <c r="DY43">
        <v>2.392307777777778</v>
      </c>
      <c r="DZ43">
        <v>1.963867777777778</v>
      </c>
      <c r="EA43">
        <v>20.31181111111111</v>
      </c>
      <c r="EB43">
        <v>17.15597777777778</v>
      </c>
      <c r="EC43">
        <v>1499.997777777778</v>
      </c>
      <c r="ED43">
        <v>0.9729955555555555</v>
      </c>
      <c r="EE43">
        <v>0.02700481111111111</v>
      </c>
      <c r="EF43">
        <v>0</v>
      </c>
      <c r="EG43">
        <v>2.423144444444445</v>
      </c>
      <c r="EH43">
        <v>0</v>
      </c>
      <c r="EI43">
        <v>13165.34444444444</v>
      </c>
      <c r="EJ43">
        <v>12533.34444444444</v>
      </c>
      <c r="EK43">
        <v>36.625</v>
      </c>
      <c r="EL43">
        <v>38.187</v>
      </c>
      <c r="EM43">
        <v>37.062</v>
      </c>
      <c r="EN43">
        <v>37.5</v>
      </c>
      <c r="EO43">
        <v>36.465</v>
      </c>
      <c r="EP43">
        <v>1459.487777777778</v>
      </c>
      <c r="EQ43">
        <v>40.51</v>
      </c>
      <c r="ER43">
        <v>0</v>
      </c>
      <c r="ES43">
        <v>1651772007.8</v>
      </c>
      <c r="ET43">
        <v>0</v>
      </c>
      <c r="EU43">
        <v>2.319388461538461</v>
      </c>
      <c r="EV43">
        <v>0.4321948696953543</v>
      </c>
      <c r="EW43">
        <v>-769.9111117050253</v>
      </c>
      <c r="EX43">
        <v>13230.78846153846</v>
      </c>
      <c r="EY43">
        <v>15</v>
      </c>
      <c r="EZ43">
        <v>0</v>
      </c>
      <c r="FA43" t="s">
        <v>420</v>
      </c>
      <c r="FB43">
        <v>1651697511.6</v>
      </c>
      <c r="FC43">
        <v>1651697666.1</v>
      </c>
      <c r="FD43">
        <v>0</v>
      </c>
      <c r="FE43">
        <v>-0.019</v>
      </c>
      <c r="FF43">
        <v>0.013</v>
      </c>
      <c r="FG43">
        <v>-2.121</v>
      </c>
      <c r="FH43">
        <v>0.041</v>
      </c>
      <c r="FI43">
        <v>420</v>
      </c>
      <c r="FJ43">
        <v>22</v>
      </c>
      <c r="FK43">
        <v>1.72</v>
      </c>
      <c r="FL43">
        <v>0.27</v>
      </c>
      <c r="FM43">
        <v>17.0133175</v>
      </c>
      <c r="FN43">
        <v>14.3196056285178</v>
      </c>
      <c r="FO43">
        <v>1.377772293756755</v>
      </c>
      <c r="FP43">
        <v>0</v>
      </c>
      <c r="FQ43">
        <v>4.684984500000001</v>
      </c>
      <c r="FR43">
        <v>0.3039332082551526</v>
      </c>
      <c r="FS43">
        <v>0.03184737665412964</v>
      </c>
      <c r="FT43">
        <v>1</v>
      </c>
      <c r="FU43">
        <v>0</v>
      </c>
      <c r="FV43">
        <v>0</v>
      </c>
      <c r="FW43">
        <v>0</v>
      </c>
      <c r="FX43">
        <v>1</v>
      </c>
      <c r="FY43">
        <v>2</v>
      </c>
      <c r="FZ43">
        <v>3</v>
      </c>
      <c r="GA43" t="s">
        <v>421</v>
      </c>
      <c r="GB43">
        <v>2.98181</v>
      </c>
      <c r="GC43">
        <v>2.70633</v>
      </c>
      <c r="GD43">
        <v>0.0238992</v>
      </c>
      <c r="GE43">
        <v>0.0182305</v>
      </c>
      <c r="GF43">
        <v>0.11399</v>
      </c>
      <c r="GG43">
        <v>0.0980108</v>
      </c>
      <c r="GH43">
        <v>30877.1</v>
      </c>
      <c r="GI43">
        <v>31117.8</v>
      </c>
      <c r="GJ43">
        <v>29407.9</v>
      </c>
      <c r="GK43">
        <v>29317.4</v>
      </c>
      <c r="GL43">
        <v>34489.5</v>
      </c>
      <c r="GM43">
        <v>35201.6</v>
      </c>
      <c r="GN43">
        <v>41398.4</v>
      </c>
      <c r="GO43">
        <v>41840.6</v>
      </c>
      <c r="GP43">
        <v>1.96335</v>
      </c>
      <c r="GQ43">
        <v>1.86192</v>
      </c>
      <c r="GR43">
        <v>0.08147210000000001</v>
      </c>
      <c r="GS43">
        <v>0</v>
      </c>
      <c r="GT43">
        <v>27.1256</v>
      </c>
      <c r="GU43">
        <v>999.9</v>
      </c>
      <c r="GV43">
        <v>45</v>
      </c>
      <c r="GW43">
        <v>35</v>
      </c>
      <c r="GX43">
        <v>28.1478</v>
      </c>
      <c r="GY43">
        <v>62.9708</v>
      </c>
      <c r="GZ43">
        <v>36.4062</v>
      </c>
      <c r="HA43">
        <v>1</v>
      </c>
      <c r="HB43">
        <v>0.0319588</v>
      </c>
      <c r="HC43">
        <v>0</v>
      </c>
      <c r="HD43">
        <v>20.3467</v>
      </c>
      <c r="HE43">
        <v>5.21819</v>
      </c>
      <c r="HF43">
        <v>12.0091</v>
      </c>
      <c r="HG43">
        <v>4.9895</v>
      </c>
      <c r="HH43">
        <v>3.28865</v>
      </c>
      <c r="HI43">
        <v>489.3</v>
      </c>
      <c r="HJ43">
        <v>3598.4</v>
      </c>
      <c r="HK43">
        <v>4564.3</v>
      </c>
      <c r="HL43">
        <v>17.7</v>
      </c>
      <c r="HM43">
        <v>1.86768</v>
      </c>
      <c r="HN43">
        <v>1.86661</v>
      </c>
      <c r="HO43">
        <v>1.86616</v>
      </c>
      <c r="HP43">
        <v>1.86605</v>
      </c>
      <c r="HQ43">
        <v>1.86784</v>
      </c>
      <c r="HR43">
        <v>1.87042</v>
      </c>
      <c r="HS43">
        <v>1.86905</v>
      </c>
      <c r="HT43">
        <v>1.87042</v>
      </c>
      <c r="HU43">
        <v>0</v>
      </c>
      <c r="HV43">
        <v>0</v>
      </c>
      <c r="HW43">
        <v>0</v>
      </c>
      <c r="HX43">
        <v>0</v>
      </c>
      <c r="HY43" t="s">
        <v>422</v>
      </c>
      <c r="HZ43" t="s">
        <v>423</v>
      </c>
      <c r="IA43" t="s">
        <v>424</v>
      </c>
      <c r="IB43" t="s">
        <v>424</v>
      </c>
      <c r="IC43" t="s">
        <v>424</v>
      </c>
      <c r="ID43" t="s">
        <v>424</v>
      </c>
      <c r="IE43">
        <v>0</v>
      </c>
      <c r="IF43">
        <v>100</v>
      </c>
      <c r="IG43">
        <v>100</v>
      </c>
      <c r="IH43">
        <v>-1.226</v>
      </c>
      <c r="II43">
        <v>0.1256</v>
      </c>
      <c r="IJ43">
        <v>-1.064712027753117</v>
      </c>
      <c r="IK43">
        <v>-0.001826611574738555</v>
      </c>
      <c r="IL43">
        <v>3.313362389709971E-07</v>
      </c>
      <c r="IM43">
        <v>-1.629490614973607E-10</v>
      </c>
      <c r="IN43">
        <v>-0.09531406441470595</v>
      </c>
      <c r="IO43">
        <v>-0.008240702679890409</v>
      </c>
      <c r="IP43">
        <v>0.001077697425498046</v>
      </c>
      <c r="IQ43">
        <v>-1.69598232850356E-05</v>
      </c>
      <c r="IR43">
        <v>3</v>
      </c>
      <c r="IS43">
        <v>2280</v>
      </c>
      <c r="IT43">
        <v>1</v>
      </c>
      <c r="IU43">
        <v>25</v>
      </c>
      <c r="IV43">
        <v>1241.6</v>
      </c>
      <c r="IW43">
        <v>1239</v>
      </c>
      <c r="IX43">
        <v>0.266113</v>
      </c>
      <c r="IY43">
        <v>2.31567</v>
      </c>
      <c r="IZ43">
        <v>1.39648</v>
      </c>
      <c r="JA43">
        <v>2.35352</v>
      </c>
      <c r="JB43">
        <v>1.49536</v>
      </c>
      <c r="JC43">
        <v>2.26318</v>
      </c>
      <c r="JD43">
        <v>38.7964</v>
      </c>
      <c r="JE43">
        <v>24.0525</v>
      </c>
      <c r="JF43">
        <v>18</v>
      </c>
      <c r="JG43">
        <v>508.586</v>
      </c>
      <c r="JH43">
        <v>429.384</v>
      </c>
      <c r="JI43">
        <v>27.9887</v>
      </c>
      <c r="JJ43">
        <v>27.8137</v>
      </c>
      <c r="JK43">
        <v>30.0002</v>
      </c>
      <c r="JL43">
        <v>27.7407</v>
      </c>
      <c r="JM43">
        <v>27.6776</v>
      </c>
      <c r="JN43">
        <v>5.33757</v>
      </c>
      <c r="JO43">
        <v>27.5184</v>
      </c>
      <c r="JP43">
        <v>0</v>
      </c>
      <c r="JQ43">
        <v>-999.9</v>
      </c>
      <c r="JR43">
        <v>44.5653</v>
      </c>
      <c r="JS43">
        <v>21.6404</v>
      </c>
      <c r="JT43">
        <v>100.53</v>
      </c>
      <c r="JU43">
        <v>100.425</v>
      </c>
    </row>
    <row r="44" spans="1:281">
      <c r="A44">
        <v>28</v>
      </c>
      <c r="B44">
        <v>1651772012</v>
      </c>
      <c r="C44">
        <v>134.4000000953674</v>
      </c>
      <c r="D44" t="s">
        <v>478</v>
      </c>
      <c r="E44" t="s">
        <v>479</v>
      </c>
      <c r="F44">
        <v>5</v>
      </c>
      <c r="H44" t="s">
        <v>417</v>
      </c>
      <c r="I44">
        <v>1651772009.2</v>
      </c>
      <c r="J44">
        <f>(K44)/1000</f>
        <v>0</v>
      </c>
      <c r="K44">
        <f>IF(CZ44, AN44, AH44)</f>
        <v>0</v>
      </c>
      <c r="L44">
        <f>IF(CZ44, AI44, AG44)</f>
        <v>0</v>
      </c>
      <c r="M44">
        <f>DB44 - IF(AU44&gt;1, L44*CV44*100.0/(AW44*DP44), 0)</f>
        <v>0</v>
      </c>
      <c r="N44">
        <f>((T44-J44/2)*M44-L44)/(T44+J44/2)</f>
        <v>0</v>
      </c>
      <c r="O44">
        <f>N44*(DI44+DJ44)/1000.0</f>
        <v>0</v>
      </c>
      <c r="P44">
        <f>(DB44 - IF(AU44&gt;1, L44*CV44*100.0/(AW44*DP44), 0))*(DI44+DJ44)/1000.0</f>
        <v>0</v>
      </c>
      <c r="Q44">
        <f>2.0/((1/S44-1/R44)+SIGN(S44)*SQRT((1/S44-1/R44)*(1/S44-1/R44) + 4*CW44/((CW44+1)*(CW44+1))*(2*1/S44*1/R44-1/R44*1/R44)))</f>
        <v>0</v>
      </c>
      <c r="R44">
        <f>IF(LEFT(CX44,1)&lt;&gt;"0",IF(LEFT(CX44,1)="1",3.0,CY44),$D$5+$E$5*(DP44*DI44/($K$5*1000))+$F$5*(DP44*DI44/($K$5*1000))*MAX(MIN(CV44,$J$5),$I$5)*MAX(MIN(CV44,$J$5),$I$5)+$G$5*MAX(MIN(CV44,$J$5),$I$5)*(DP44*DI44/($K$5*1000))+$H$5*(DP44*DI44/($K$5*1000))*(DP44*DI44/($K$5*1000)))</f>
        <v>0</v>
      </c>
      <c r="S44">
        <f>J44*(1000-(1000*0.61365*exp(17.502*W44/(240.97+W44))/(DI44+DJ44)+DD44)/2)/(1000*0.61365*exp(17.502*W44/(240.97+W44))/(DI44+DJ44)-DD44)</f>
        <v>0</v>
      </c>
      <c r="T44">
        <f>1/((CW44+1)/(Q44/1.6)+1/(R44/1.37)) + CW44/((CW44+1)/(Q44/1.6) + CW44/(R44/1.37))</f>
        <v>0</v>
      </c>
      <c r="U44">
        <f>(CR44*CU44)</f>
        <v>0</v>
      </c>
      <c r="V44">
        <f>(DK44+(U44+2*0.95*5.67E-8*(((DK44+$B$7)+273)^4-(DK44+273)^4)-44100*J44)/(1.84*29.3*R44+8*0.95*5.67E-8*(DK44+273)^3))</f>
        <v>0</v>
      </c>
      <c r="W44">
        <f>($C$7*DL44+$D$7*DM44+$E$7*V44)</f>
        <v>0</v>
      </c>
      <c r="X44">
        <f>0.61365*exp(17.502*W44/(240.97+W44))</f>
        <v>0</v>
      </c>
      <c r="Y44">
        <f>(Z44/AA44*100)</f>
        <v>0</v>
      </c>
      <c r="Z44">
        <f>DD44*(DI44+DJ44)/1000</f>
        <v>0</v>
      </c>
      <c r="AA44">
        <f>0.61365*exp(17.502*DK44/(240.97+DK44))</f>
        <v>0</v>
      </c>
      <c r="AB44">
        <f>(X44-DD44*(DI44+DJ44)/1000)</f>
        <v>0</v>
      </c>
      <c r="AC44">
        <f>(-J44*44100)</f>
        <v>0</v>
      </c>
      <c r="AD44">
        <f>2*29.3*R44*0.92*(DK44-W44)</f>
        <v>0</v>
      </c>
      <c r="AE44">
        <f>2*0.95*5.67E-8*(((DK44+$B$7)+273)^4-(W44+273)^4)</f>
        <v>0</v>
      </c>
      <c r="AF44">
        <f>U44+AE44+AC44+AD44</f>
        <v>0</v>
      </c>
      <c r="AG44">
        <f>DH44*AU44*(DC44-DB44*(1000-AU44*DE44)/(1000-AU44*DD44))/(100*CV44)</f>
        <v>0</v>
      </c>
      <c r="AH44">
        <f>1000*DH44*AU44*(DD44-DE44)/(100*CV44*(1000-AU44*DD44))</f>
        <v>0</v>
      </c>
      <c r="AI44">
        <f>(AJ44 - AK44 - DI44*1E3/(8.314*(DK44+273.15)) * AM44/DH44 * AL44) * DH44/(100*CV44) * (1000 - DE44)/1000</f>
        <v>0</v>
      </c>
      <c r="AJ44">
        <v>62.58767724891015</v>
      </c>
      <c r="AK44">
        <v>76.43491090909093</v>
      </c>
      <c r="AL44">
        <v>-3.213888806037285</v>
      </c>
      <c r="AM44">
        <v>66.72507702095443</v>
      </c>
      <c r="AN44">
        <f>(AP44 - AO44 + DI44*1E3/(8.314*(DK44+273.15)) * AR44/DH44 * AQ44) * DH44/(100*CV44) * 1000/(1000 - AP44)</f>
        <v>0</v>
      </c>
      <c r="AO44">
        <v>21.7337495931478</v>
      </c>
      <c r="AP44">
        <v>26.48826545454545</v>
      </c>
      <c r="AQ44">
        <v>7.017126753924053E-05</v>
      </c>
      <c r="AR44">
        <v>78.22078291278521</v>
      </c>
      <c r="AS44">
        <v>1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MAX(0,($B$13+$C$13*DP44)/(1+$D$13*DP44)*DI44/(DK44+273)*$E$13)</f>
        <v>0</v>
      </c>
      <c r="AX44" t="s">
        <v>418</v>
      </c>
      <c r="AY44" t="s">
        <v>418</v>
      </c>
      <c r="AZ44">
        <v>0</v>
      </c>
      <c r="BA44">
        <v>0</v>
      </c>
      <c r="BB44">
        <f>1-AZ44/BA44</f>
        <v>0</v>
      </c>
      <c r="BC44">
        <v>0</v>
      </c>
      <c r="BD44" t="s">
        <v>418</v>
      </c>
      <c r="BE44" t="s">
        <v>418</v>
      </c>
      <c r="BF44">
        <v>0</v>
      </c>
      <c r="BG44">
        <v>0</v>
      </c>
      <c r="BH44">
        <f>1-BF44/BG44</f>
        <v>0</v>
      </c>
      <c r="BI44">
        <v>0.5</v>
      </c>
      <c r="BJ44">
        <f>CS44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418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f>$B$11*DQ44+$C$11*DR44+$F$11*EC44*(1-EF44)</f>
        <v>0</v>
      </c>
      <c r="CS44">
        <f>CR44*CT44</f>
        <v>0</v>
      </c>
      <c r="CT44">
        <f>($B$11*$D$9+$C$11*$D$9+$F$11*((EP44+EH44)/MAX(EP44+EH44+EQ44, 0.1)*$I$9+EQ44/MAX(EP44+EH44+EQ44, 0.1)*$J$9))/($B$11+$C$11+$F$11)</f>
        <v>0</v>
      </c>
      <c r="CU44">
        <f>($B$11*$K$9+$C$11*$K$9+$F$11*((EP44+EH44)/MAX(EP44+EH44+EQ44, 0.1)*$P$9+EQ44/MAX(EP44+EH44+EQ44, 0.1)*$Q$9))/($B$11+$C$11+$F$11)</f>
        <v>0</v>
      </c>
      <c r="CV44">
        <v>6</v>
      </c>
      <c r="CW44">
        <v>0.5</v>
      </c>
      <c r="CX44" t="s">
        <v>419</v>
      </c>
      <c r="CY44">
        <v>2</v>
      </c>
      <c r="CZ44" t="b">
        <v>1</v>
      </c>
      <c r="DA44">
        <v>1651772009.2</v>
      </c>
      <c r="DB44">
        <v>81.60709</v>
      </c>
      <c r="DC44">
        <v>61.35544</v>
      </c>
      <c r="DD44">
        <v>26.48675</v>
      </c>
      <c r="DE44">
        <v>21.72145</v>
      </c>
      <c r="DF44">
        <v>82.82090000000001</v>
      </c>
      <c r="DG44">
        <v>26.36105</v>
      </c>
      <c r="DH44">
        <v>500.0584</v>
      </c>
      <c r="DI44">
        <v>90.30674999999999</v>
      </c>
      <c r="DJ44">
        <v>0.09999018</v>
      </c>
      <c r="DK44">
        <v>29.05783</v>
      </c>
      <c r="DL44">
        <v>28.46213</v>
      </c>
      <c r="DM44">
        <v>999.9</v>
      </c>
      <c r="DN44">
        <v>0</v>
      </c>
      <c r="DO44">
        <v>0</v>
      </c>
      <c r="DP44">
        <v>10001.13</v>
      </c>
      <c r="DQ44">
        <v>0</v>
      </c>
      <c r="DR44">
        <v>13.265</v>
      </c>
      <c r="DS44">
        <v>20.25164</v>
      </c>
      <c r="DT44">
        <v>83.82738999999999</v>
      </c>
      <c r="DU44">
        <v>62.71784</v>
      </c>
      <c r="DV44">
        <v>4.765289000000001</v>
      </c>
      <c r="DW44">
        <v>61.35544</v>
      </c>
      <c r="DX44">
        <v>21.72145</v>
      </c>
      <c r="DY44">
        <v>2.391931</v>
      </c>
      <c r="DZ44">
        <v>1.961594</v>
      </c>
      <c r="EA44">
        <v>20.30925</v>
      </c>
      <c r="EB44">
        <v>17.13767</v>
      </c>
      <c r="EC44">
        <v>1499.976</v>
      </c>
      <c r="ED44">
        <v>0.9729950000000003</v>
      </c>
      <c r="EE44">
        <v>0.0270054</v>
      </c>
      <c r="EF44">
        <v>0</v>
      </c>
      <c r="EG44">
        <v>2.26934</v>
      </c>
      <c r="EH44">
        <v>0</v>
      </c>
      <c r="EI44">
        <v>13126.9</v>
      </c>
      <c r="EJ44">
        <v>12533.17</v>
      </c>
      <c r="EK44">
        <v>36.625</v>
      </c>
      <c r="EL44">
        <v>38.187</v>
      </c>
      <c r="EM44">
        <v>37.062</v>
      </c>
      <c r="EN44">
        <v>37.5</v>
      </c>
      <c r="EO44">
        <v>36.437</v>
      </c>
      <c r="EP44">
        <v>1459.466</v>
      </c>
      <c r="EQ44">
        <v>40.51</v>
      </c>
      <c r="ER44">
        <v>0</v>
      </c>
      <c r="ES44">
        <v>1651772013.2</v>
      </c>
      <c r="ET44">
        <v>0</v>
      </c>
      <c r="EU44">
        <v>2.348924</v>
      </c>
      <c r="EV44">
        <v>-0.7252384549990627</v>
      </c>
      <c r="EW44">
        <v>-564.5000000397029</v>
      </c>
      <c r="EX44">
        <v>13166.816</v>
      </c>
      <c r="EY44">
        <v>15</v>
      </c>
      <c r="EZ44">
        <v>0</v>
      </c>
      <c r="FA44" t="s">
        <v>420</v>
      </c>
      <c r="FB44">
        <v>1651697511.6</v>
      </c>
      <c r="FC44">
        <v>1651697666.1</v>
      </c>
      <c r="FD44">
        <v>0</v>
      </c>
      <c r="FE44">
        <v>-0.019</v>
      </c>
      <c r="FF44">
        <v>0.013</v>
      </c>
      <c r="FG44">
        <v>-2.121</v>
      </c>
      <c r="FH44">
        <v>0.041</v>
      </c>
      <c r="FI44">
        <v>420</v>
      </c>
      <c r="FJ44">
        <v>22</v>
      </c>
      <c r="FK44">
        <v>1.72</v>
      </c>
      <c r="FL44">
        <v>0.27</v>
      </c>
      <c r="FM44">
        <v>18.451885</v>
      </c>
      <c r="FN44">
        <v>14.43269043151969</v>
      </c>
      <c r="FO44">
        <v>1.388681652242514</v>
      </c>
      <c r="FP44">
        <v>0</v>
      </c>
      <c r="FQ44">
        <v>4.716581500000001</v>
      </c>
      <c r="FR44">
        <v>0.4150243902438875</v>
      </c>
      <c r="FS44">
        <v>0.04117526050615829</v>
      </c>
      <c r="FT44">
        <v>1</v>
      </c>
      <c r="FU44">
        <v>0</v>
      </c>
      <c r="FV44">
        <v>0</v>
      </c>
      <c r="FW44">
        <v>0</v>
      </c>
      <c r="FX44">
        <v>1</v>
      </c>
      <c r="FY44">
        <v>2</v>
      </c>
      <c r="FZ44">
        <v>3</v>
      </c>
      <c r="GA44" t="s">
        <v>421</v>
      </c>
      <c r="GB44">
        <v>2.9815</v>
      </c>
      <c r="GC44">
        <v>2.70611</v>
      </c>
      <c r="GD44">
        <v>0.0197889</v>
      </c>
      <c r="GE44">
        <v>0.0137752</v>
      </c>
      <c r="GF44">
        <v>0.113987</v>
      </c>
      <c r="GG44">
        <v>0.09778299999999999</v>
      </c>
      <c r="GH44">
        <v>31006.9</v>
      </c>
      <c r="GI44">
        <v>31258.6</v>
      </c>
      <c r="GJ44">
        <v>29407.6</v>
      </c>
      <c r="GK44">
        <v>29317</v>
      </c>
      <c r="GL44">
        <v>34489.3</v>
      </c>
      <c r="GM44">
        <v>35210.1</v>
      </c>
      <c r="GN44">
        <v>41398</v>
      </c>
      <c r="GO44">
        <v>41840.1</v>
      </c>
      <c r="GP44">
        <v>1.9631</v>
      </c>
      <c r="GQ44">
        <v>1.86145</v>
      </c>
      <c r="GR44">
        <v>0.0815801</v>
      </c>
      <c r="GS44">
        <v>0</v>
      </c>
      <c r="GT44">
        <v>27.1335</v>
      </c>
      <c r="GU44">
        <v>999.9</v>
      </c>
      <c r="GV44">
        <v>45</v>
      </c>
      <c r="GW44">
        <v>35</v>
      </c>
      <c r="GX44">
        <v>28.1473</v>
      </c>
      <c r="GY44">
        <v>62.9508</v>
      </c>
      <c r="GZ44">
        <v>36.7228</v>
      </c>
      <c r="HA44">
        <v>1</v>
      </c>
      <c r="HB44">
        <v>0.0321011</v>
      </c>
      <c r="HC44">
        <v>0</v>
      </c>
      <c r="HD44">
        <v>20.3464</v>
      </c>
      <c r="HE44">
        <v>5.21624</v>
      </c>
      <c r="HF44">
        <v>12.008</v>
      </c>
      <c r="HG44">
        <v>4.98895</v>
      </c>
      <c r="HH44">
        <v>3.28835</v>
      </c>
      <c r="HI44">
        <v>489.5</v>
      </c>
      <c r="HJ44">
        <v>3599.8</v>
      </c>
      <c r="HK44">
        <v>4564.3</v>
      </c>
      <c r="HL44">
        <v>17.7</v>
      </c>
      <c r="HM44">
        <v>1.86768</v>
      </c>
      <c r="HN44">
        <v>1.86661</v>
      </c>
      <c r="HO44">
        <v>1.86615</v>
      </c>
      <c r="HP44">
        <v>1.86609</v>
      </c>
      <c r="HQ44">
        <v>1.86785</v>
      </c>
      <c r="HR44">
        <v>1.87041</v>
      </c>
      <c r="HS44">
        <v>1.86905</v>
      </c>
      <c r="HT44">
        <v>1.87042</v>
      </c>
      <c r="HU44">
        <v>0</v>
      </c>
      <c r="HV44">
        <v>0</v>
      </c>
      <c r="HW44">
        <v>0</v>
      </c>
      <c r="HX44">
        <v>0</v>
      </c>
      <c r="HY44" t="s">
        <v>422</v>
      </c>
      <c r="HZ44" t="s">
        <v>423</v>
      </c>
      <c r="IA44" t="s">
        <v>424</v>
      </c>
      <c r="IB44" t="s">
        <v>424</v>
      </c>
      <c r="IC44" t="s">
        <v>424</v>
      </c>
      <c r="ID44" t="s">
        <v>424</v>
      </c>
      <c r="IE44">
        <v>0</v>
      </c>
      <c r="IF44">
        <v>100</v>
      </c>
      <c r="IG44">
        <v>100</v>
      </c>
      <c r="IH44">
        <v>-1.198</v>
      </c>
      <c r="II44">
        <v>0.1257</v>
      </c>
      <c r="IJ44">
        <v>-1.064712027753117</v>
      </c>
      <c r="IK44">
        <v>-0.001826611574738555</v>
      </c>
      <c r="IL44">
        <v>3.313362389709971E-07</v>
      </c>
      <c r="IM44">
        <v>-1.629490614973607E-10</v>
      </c>
      <c r="IN44">
        <v>-0.09531406441470595</v>
      </c>
      <c r="IO44">
        <v>-0.008240702679890409</v>
      </c>
      <c r="IP44">
        <v>0.001077697425498046</v>
      </c>
      <c r="IQ44">
        <v>-1.69598232850356E-05</v>
      </c>
      <c r="IR44">
        <v>3</v>
      </c>
      <c r="IS44">
        <v>2280</v>
      </c>
      <c r="IT44">
        <v>1</v>
      </c>
      <c r="IU44">
        <v>25</v>
      </c>
      <c r="IV44">
        <v>1241.7</v>
      </c>
      <c r="IW44">
        <v>1239.1</v>
      </c>
      <c r="IX44">
        <v>0.231934</v>
      </c>
      <c r="IY44">
        <v>2.32178</v>
      </c>
      <c r="IZ44">
        <v>1.39648</v>
      </c>
      <c r="JA44">
        <v>2.35352</v>
      </c>
      <c r="JB44">
        <v>1.49536</v>
      </c>
      <c r="JC44">
        <v>2.28516</v>
      </c>
      <c r="JD44">
        <v>38.7964</v>
      </c>
      <c r="JE44">
        <v>24.0525</v>
      </c>
      <c r="JF44">
        <v>18</v>
      </c>
      <c r="JG44">
        <v>508.444</v>
      </c>
      <c r="JH44">
        <v>429.104</v>
      </c>
      <c r="JI44">
        <v>27.9946</v>
      </c>
      <c r="JJ44">
        <v>27.816</v>
      </c>
      <c r="JK44">
        <v>30.0003</v>
      </c>
      <c r="JL44">
        <v>27.743</v>
      </c>
      <c r="JM44">
        <v>27.6781</v>
      </c>
      <c r="JN44">
        <v>4.64469</v>
      </c>
      <c r="JO44">
        <v>27.8058</v>
      </c>
      <c r="JP44">
        <v>0</v>
      </c>
      <c r="JQ44">
        <v>-999.9</v>
      </c>
      <c r="JR44">
        <v>24.5295</v>
      </c>
      <c r="JS44">
        <v>21.7018</v>
      </c>
      <c r="JT44">
        <v>100.529</v>
      </c>
      <c r="JU44">
        <v>100.423</v>
      </c>
    </row>
    <row r="45" spans="1:281">
      <c r="A45">
        <v>29</v>
      </c>
      <c r="B45">
        <v>1651772017</v>
      </c>
      <c r="C45">
        <v>139.4000000953674</v>
      </c>
      <c r="D45" t="s">
        <v>480</v>
      </c>
      <c r="E45" t="s">
        <v>481</v>
      </c>
      <c r="F45">
        <v>5</v>
      </c>
      <c r="H45" t="s">
        <v>417</v>
      </c>
      <c r="I45">
        <v>1651772014.5</v>
      </c>
      <c r="J45">
        <f>(K45)/1000</f>
        <v>0</v>
      </c>
      <c r="K45">
        <f>IF(CZ45, AN45, AH45)</f>
        <v>0</v>
      </c>
      <c r="L45">
        <f>IF(CZ45, AI45, AG45)</f>
        <v>0</v>
      </c>
      <c r="M45">
        <f>DB45 - IF(AU45&gt;1, L45*CV45*100.0/(AW45*DP45), 0)</f>
        <v>0</v>
      </c>
      <c r="N45">
        <f>((T45-J45/2)*M45-L45)/(T45+J45/2)</f>
        <v>0</v>
      </c>
      <c r="O45">
        <f>N45*(DI45+DJ45)/1000.0</f>
        <v>0</v>
      </c>
      <c r="P45">
        <f>(DB45 - IF(AU45&gt;1, L45*CV45*100.0/(AW45*DP45), 0))*(DI45+DJ45)/1000.0</f>
        <v>0</v>
      </c>
      <c r="Q45">
        <f>2.0/((1/S45-1/R45)+SIGN(S45)*SQRT((1/S45-1/R45)*(1/S45-1/R45) + 4*CW45/((CW45+1)*(CW45+1))*(2*1/S45*1/R45-1/R45*1/R45)))</f>
        <v>0</v>
      </c>
      <c r="R45">
        <f>IF(LEFT(CX45,1)&lt;&gt;"0",IF(LEFT(CX45,1)="1",3.0,CY45),$D$5+$E$5*(DP45*DI45/($K$5*1000))+$F$5*(DP45*DI45/($K$5*1000))*MAX(MIN(CV45,$J$5),$I$5)*MAX(MIN(CV45,$J$5),$I$5)+$G$5*MAX(MIN(CV45,$J$5),$I$5)*(DP45*DI45/($K$5*1000))+$H$5*(DP45*DI45/($K$5*1000))*(DP45*DI45/($K$5*1000)))</f>
        <v>0</v>
      </c>
      <c r="S45">
        <f>J45*(1000-(1000*0.61365*exp(17.502*W45/(240.97+W45))/(DI45+DJ45)+DD45)/2)/(1000*0.61365*exp(17.502*W45/(240.97+W45))/(DI45+DJ45)-DD45)</f>
        <v>0</v>
      </c>
      <c r="T45">
        <f>1/((CW45+1)/(Q45/1.6)+1/(R45/1.37)) + CW45/((CW45+1)/(Q45/1.6) + CW45/(R45/1.37))</f>
        <v>0</v>
      </c>
      <c r="U45">
        <f>(CR45*CU45)</f>
        <v>0</v>
      </c>
      <c r="V45">
        <f>(DK45+(U45+2*0.95*5.67E-8*(((DK45+$B$7)+273)^4-(DK45+273)^4)-44100*J45)/(1.84*29.3*R45+8*0.95*5.67E-8*(DK45+273)^3))</f>
        <v>0</v>
      </c>
      <c r="W45">
        <f>($C$7*DL45+$D$7*DM45+$E$7*V45)</f>
        <v>0</v>
      </c>
      <c r="X45">
        <f>0.61365*exp(17.502*W45/(240.97+W45))</f>
        <v>0</v>
      </c>
      <c r="Y45">
        <f>(Z45/AA45*100)</f>
        <v>0</v>
      </c>
      <c r="Z45">
        <f>DD45*(DI45+DJ45)/1000</f>
        <v>0</v>
      </c>
      <c r="AA45">
        <f>0.61365*exp(17.502*DK45/(240.97+DK45))</f>
        <v>0</v>
      </c>
      <c r="AB45">
        <f>(X45-DD45*(DI45+DJ45)/1000)</f>
        <v>0</v>
      </c>
      <c r="AC45">
        <f>(-J45*44100)</f>
        <v>0</v>
      </c>
      <c r="AD45">
        <f>2*29.3*R45*0.92*(DK45-W45)</f>
        <v>0</v>
      </c>
      <c r="AE45">
        <f>2*0.95*5.67E-8*(((DK45+$B$7)+273)^4-(W45+273)^4)</f>
        <v>0</v>
      </c>
      <c r="AF45">
        <f>U45+AE45+AC45+AD45</f>
        <v>0</v>
      </c>
      <c r="AG45">
        <f>DH45*AU45*(DC45-DB45*(1000-AU45*DE45)/(1000-AU45*DD45))/(100*CV45)</f>
        <v>0</v>
      </c>
      <c r="AH45">
        <f>1000*DH45*AU45*(DD45-DE45)/(100*CV45*(1000-AU45*DD45))</f>
        <v>0</v>
      </c>
      <c r="AI45">
        <f>(AJ45 - AK45 - DI45*1E3/(8.314*(DK45+273.15)) * AM45/DH45 * AL45) * DH45/(100*CV45) * (1000 - DE45)/1000</f>
        <v>0</v>
      </c>
      <c r="AJ45">
        <v>45.37513020019997</v>
      </c>
      <c r="AK45">
        <v>60.42528606060608</v>
      </c>
      <c r="AL45">
        <v>-3.194251822688868</v>
      </c>
      <c r="AM45">
        <v>66.72507702095443</v>
      </c>
      <c r="AN45">
        <f>(AP45 - AO45 + DI45*1E3/(8.314*(DK45+273.15)) * AR45/DH45 * AQ45) * DH45/(100*CV45) * 1000/(1000 - AP45)</f>
        <v>0</v>
      </c>
      <c r="AO45">
        <v>21.6231257332031</v>
      </c>
      <c r="AP45">
        <v>26.45944424242424</v>
      </c>
      <c r="AQ45">
        <v>-0.006141718377139057</v>
      </c>
      <c r="AR45">
        <v>78.22078291278521</v>
      </c>
      <c r="AS45">
        <v>1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MAX(0,($B$13+$C$13*DP45)/(1+$D$13*DP45)*DI45/(DK45+273)*$E$13)</f>
        <v>0</v>
      </c>
      <c r="AX45" t="s">
        <v>418</v>
      </c>
      <c r="AY45" t="s">
        <v>418</v>
      </c>
      <c r="AZ45">
        <v>0</v>
      </c>
      <c r="BA45">
        <v>0</v>
      </c>
      <c r="BB45">
        <f>1-AZ45/BA45</f>
        <v>0</v>
      </c>
      <c r="BC45">
        <v>0</v>
      </c>
      <c r="BD45" t="s">
        <v>418</v>
      </c>
      <c r="BE45" t="s">
        <v>418</v>
      </c>
      <c r="BF45">
        <v>0</v>
      </c>
      <c r="BG45">
        <v>0</v>
      </c>
      <c r="BH45">
        <f>1-BF45/BG45</f>
        <v>0</v>
      </c>
      <c r="BI45">
        <v>0.5</v>
      </c>
      <c r="BJ45">
        <f>CS45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418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f>$B$11*DQ45+$C$11*DR45+$F$11*EC45*(1-EF45)</f>
        <v>0</v>
      </c>
      <c r="CS45">
        <f>CR45*CT45</f>
        <v>0</v>
      </c>
      <c r="CT45">
        <f>($B$11*$D$9+$C$11*$D$9+$F$11*((EP45+EH45)/MAX(EP45+EH45+EQ45, 0.1)*$I$9+EQ45/MAX(EP45+EH45+EQ45, 0.1)*$J$9))/($B$11+$C$11+$F$11)</f>
        <v>0</v>
      </c>
      <c r="CU45">
        <f>($B$11*$K$9+$C$11*$K$9+$F$11*((EP45+EH45)/MAX(EP45+EH45+EQ45, 0.1)*$P$9+EQ45/MAX(EP45+EH45+EQ45, 0.1)*$Q$9))/($B$11+$C$11+$F$11)</f>
        <v>0</v>
      </c>
      <c r="CV45">
        <v>6</v>
      </c>
      <c r="CW45">
        <v>0.5</v>
      </c>
      <c r="CX45" t="s">
        <v>419</v>
      </c>
      <c r="CY45">
        <v>2</v>
      </c>
      <c r="CZ45" t="b">
        <v>1</v>
      </c>
      <c r="DA45">
        <v>1651772014.5</v>
      </c>
      <c r="DB45">
        <v>65.04503333333332</v>
      </c>
      <c r="DC45">
        <v>43.48393333333334</v>
      </c>
      <c r="DD45">
        <v>26.47172222222222</v>
      </c>
      <c r="DE45">
        <v>21.62304444444444</v>
      </c>
      <c r="DF45">
        <v>66.22931111111113</v>
      </c>
      <c r="DG45">
        <v>26.34622222222222</v>
      </c>
      <c r="DH45">
        <v>500.0518888888889</v>
      </c>
      <c r="DI45">
        <v>90.30626666666667</v>
      </c>
      <c r="DJ45">
        <v>0.1001303888888889</v>
      </c>
      <c r="DK45">
        <v>29.06183333333333</v>
      </c>
      <c r="DL45">
        <v>28.45826666666667</v>
      </c>
      <c r="DM45">
        <v>999.9000000000001</v>
      </c>
      <c r="DN45">
        <v>0</v>
      </c>
      <c r="DO45">
        <v>0</v>
      </c>
      <c r="DP45">
        <v>9995.066666666668</v>
      </c>
      <c r="DQ45">
        <v>0</v>
      </c>
      <c r="DR45">
        <v>13.265</v>
      </c>
      <c r="DS45">
        <v>21.56108888888889</v>
      </c>
      <c r="DT45">
        <v>66.81373333333333</v>
      </c>
      <c r="DU45">
        <v>44.44504444444444</v>
      </c>
      <c r="DV45">
        <v>4.848671111111111</v>
      </c>
      <c r="DW45">
        <v>43.48393333333334</v>
      </c>
      <c r="DX45">
        <v>21.62304444444444</v>
      </c>
      <c r="DY45">
        <v>2.390563333333334</v>
      </c>
      <c r="DZ45">
        <v>1.952695555555555</v>
      </c>
      <c r="EA45">
        <v>20.29997777777778</v>
      </c>
      <c r="EB45">
        <v>17.06588888888889</v>
      </c>
      <c r="EC45">
        <v>1500.052222222222</v>
      </c>
      <c r="ED45">
        <v>0.9729955555555555</v>
      </c>
      <c r="EE45">
        <v>0.02700481111111111</v>
      </c>
      <c r="EF45">
        <v>0</v>
      </c>
      <c r="EG45">
        <v>2.255111111111111</v>
      </c>
      <c r="EH45">
        <v>0</v>
      </c>
      <c r="EI45">
        <v>13097.02222222222</v>
      </c>
      <c r="EJ45">
        <v>12533.77777777778</v>
      </c>
      <c r="EK45">
        <v>36.625</v>
      </c>
      <c r="EL45">
        <v>38.187</v>
      </c>
      <c r="EM45">
        <v>37.062</v>
      </c>
      <c r="EN45">
        <v>37.5</v>
      </c>
      <c r="EO45">
        <v>36.437</v>
      </c>
      <c r="EP45">
        <v>1459.541111111111</v>
      </c>
      <c r="EQ45">
        <v>40.51111111111111</v>
      </c>
      <c r="ER45">
        <v>0</v>
      </c>
      <c r="ES45">
        <v>1651772018</v>
      </c>
      <c r="ET45">
        <v>0</v>
      </c>
      <c r="EU45">
        <v>2.310136</v>
      </c>
      <c r="EV45">
        <v>-0.6017461432220305</v>
      </c>
      <c r="EW45">
        <v>-409.6692302268012</v>
      </c>
      <c r="EX45">
        <v>13127.98</v>
      </c>
      <c r="EY45">
        <v>15</v>
      </c>
      <c r="EZ45">
        <v>0</v>
      </c>
      <c r="FA45" t="s">
        <v>420</v>
      </c>
      <c r="FB45">
        <v>1651697511.6</v>
      </c>
      <c r="FC45">
        <v>1651697666.1</v>
      </c>
      <c r="FD45">
        <v>0</v>
      </c>
      <c r="FE45">
        <v>-0.019</v>
      </c>
      <c r="FF45">
        <v>0.013</v>
      </c>
      <c r="FG45">
        <v>-2.121</v>
      </c>
      <c r="FH45">
        <v>0.041</v>
      </c>
      <c r="FI45">
        <v>420</v>
      </c>
      <c r="FJ45">
        <v>22</v>
      </c>
      <c r="FK45">
        <v>1.72</v>
      </c>
      <c r="FL45">
        <v>0.27</v>
      </c>
      <c r="FM45">
        <v>19.4097925</v>
      </c>
      <c r="FN45">
        <v>14.62074934333959</v>
      </c>
      <c r="FO45">
        <v>1.406623153937738</v>
      </c>
      <c r="FP45">
        <v>0</v>
      </c>
      <c r="FQ45">
        <v>4.752278250000001</v>
      </c>
      <c r="FR45">
        <v>0.5704843902439081</v>
      </c>
      <c r="FS45">
        <v>0.0568555251883008</v>
      </c>
      <c r="FT45">
        <v>0</v>
      </c>
      <c r="FU45">
        <v>0</v>
      </c>
      <c r="FV45">
        <v>0</v>
      </c>
      <c r="FW45">
        <v>0</v>
      </c>
      <c r="FX45">
        <v>1</v>
      </c>
      <c r="FY45">
        <v>1</v>
      </c>
      <c r="FZ45">
        <v>3</v>
      </c>
      <c r="GA45" t="s">
        <v>467</v>
      </c>
      <c r="GB45">
        <v>2.98162</v>
      </c>
      <c r="GC45">
        <v>2.70625</v>
      </c>
      <c r="GD45">
        <v>0.0156516</v>
      </c>
      <c r="GE45">
        <v>0.009262360000000001</v>
      </c>
      <c r="GF45">
        <v>0.113905</v>
      </c>
      <c r="GG45">
        <v>0.0976043</v>
      </c>
      <c r="GH45">
        <v>31137.6</v>
      </c>
      <c r="GI45">
        <v>31401.1</v>
      </c>
      <c r="GJ45">
        <v>29407.5</v>
      </c>
      <c r="GK45">
        <v>29316.5</v>
      </c>
      <c r="GL45">
        <v>34492.5</v>
      </c>
      <c r="GM45">
        <v>35216.3</v>
      </c>
      <c r="GN45">
        <v>41398</v>
      </c>
      <c r="GO45">
        <v>41839.1</v>
      </c>
      <c r="GP45">
        <v>1.96327</v>
      </c>
      <c r="GQ45">
        <v>1.86117</v>
      </c>
      <c r="GR45">
        <v>0.0807084</v>
      </c>
      <c r="GS45">
        <v>0</v>
      </c>
      <c r="GT45">
        <v>27.1417</v>
      </c>
      <c r="GU45">
        <v>999.9</v>
      </c>
      <c r="GV45">
        <v>45</v>
      </c>
      <c r="GW45">
        <v>35</v>
      </c>
      <c r="GX45">
        <v>28.1449</v>
      </c>
      <c r="GY45">
        <v>62.9908</v>
      </c>
      <c r="GZ45">
        <v>36.3662</v>
      </c>
      <c r="HA45">
        <v>1</v>
      </c>
      <c r="HB45">
        <v>0.0322231</v>
      </c>
      <c r="HC45">
        <v>0</v>
      </c>
      <c r="HD45">
        <v>20.3465</v>
      </c>
      <c r="HE45">
        <v>5.21819</v>
      </c>
      <c r="HF45">
        <v>12.0083</v>
      </c>
      <c r="HG45">
        <v>4.98945</v>
      </c>
      <c r="HH45">
        <v>3.28865</v>
      </c>
      <c r="HI45">
        <v>489.5</v>
      </c>
      <c r="HJ45">
        <v>3599.8</v>
      </c>
      <c r="HK45">
        <v>4564.3</v>
      </c>
      <c r="HL45">
        <v>17.7</v>
      </c>
      <c r="HM45">
        <v>1.86768</v>
      </c>
      <c r="HN45">
        <v>1.86661</v>
      </c>
      <c r="HO45">
        <v>1.86616</v>
      </c>
      <c r="HP45">
        <v>1.86605</v>
      </c>
      <c r="HQ45">
        <v>1.86784</v>
      </c>
      <c r="HR45">
        <v>1.87041</v>
      </c>
      <c r="HS45">
        <v>1.86905</v>
      </c>
      <c r="HT45">
        <v>1.87042</v>
      </c>
      <c r="HU45">
        <v>0</v>
      </c>
      <c r="HV45">
        <v>0</v>
      </c>
      <c r="HW45">
        <v>0</v>
      </c>
      <c r="HX45">
        <v>0</v>
      </c>
      <c r="HY45" t="s">
        <v>422</v>
      </c>
      <c r="HZ45" t="s">
        <v>423</v>
      </c>
      <c r="IA45" t="s">
        <v>424</v>
      </c>
      <c r="IB45" t="s">
        <v>424</v>
      </c>
      <c r="IC45" t="s">
        <v>424</v>
      </c>
      <c r="ID45" t="s">
        <v>424</v>
      </c>
      <c r="IE45">
        <v>0</v>
      </c>
      <c r="IF45">
        <v>100</v>
      </c>
      <c r="IG45">
        <v>100</v>
      </c>
      <c r="IH45">
        <v>-1.17</v>
      </c>
      <c r="II45">
        <v>0.1253</v>
      </c>
      <c r="IJ45">
        <v>-1.064712027753117</v>
      </c>
      <c r="IK45">
        <v>-0.001826611574738555</v>
      </c>
      <c r="IL45">
        <v>3.313362389709971E-07</v>
      </c>
      <c r="IM45">
        <v>-1.629490614973607E-10</v>
      </c>
      <c r="IN45">
        <v>-0.09531406441470595</v>
      </c>
      <c r="IO45">
        <v>-0.008240702679890409</v>
      </c>
      <c r="IP45">
        <v>0.001077697425498046</v>
      </c>
      <c r="IQ45">
        <v>-1.69598232850356E-05</v>
      </c>
      <c r="IR45">
        <v>3</v>
      </c>
      <c r="IS45">
        <v>2280</v>
      </c>
      <c r="IT45">
        <v>1</v>
      </c>
      <c r="IU45">
        <v>25</v>
      </c>
      <c r="IV45">
        <v>1241.8</v>
      </c>
      <c r="IW45">
        <v>1239.2</v>
      </c>
      <c r="IX45">
        <v>0.192871</v>
      </c>
      <c r="IY45">
        <v>2.33765</v>
      </c>
      <c r="IZ45">
        <v>1.39648</v>
      </c>
      <c r="JA45">
        <v>2.35229</v>
      </c>
      <c r="JB45">
        <v>1.49536</v>
      </c>
      <c r="JC45">
        <v>2.30225</v>
      </c>
      <c r="JD45">
        <v>38.7964</v>
      </c>
      <c r="JE45">
        <v>24.0525</v>
      </c>
      <c r="JF45">
        <v>18</v>
      </c>
      <c r="JG45">
        <v>508.569</v>
      </c>
      <c r="JH45">
        <v>428.957</v>
      </c>
      <c r="JI45">
        <v>28.0007</v>
      </c>
      <c r="JJ45">
        <v>27.8184</v>
      </c>
      <c r="JK45">
        <v>30.0003</v>
      </c>
      <c r="JL45">
        <v>27.7445</v>
      </c>
      <c r="JM45">
        <v>27.6804</v>
      </c>
      <c r="JN45">
        <v>3.88153</v>
      </c>
      <c r="JO45">
        <v>27.5301</v>
      </c>
      <c r="JP45">
        <v>0</v>
      </c>
      <c r="JQ45">
        <v>-999.9</v>
      </c>
      <c r="JR45">
        <v>11.1709</v>
      </c>
      <c r="JS45">
        <v>21.7378</v>
      </c>
      <c r="JT45">
        <v>100.529</v>
      </c>
      <c r="JU45">
        <v>100.421</v>
      </c>
    </row>
    <row r="46" spans="1:281">
      <c r="A46">
        <v>30</v>
      </c>
      <c r="B46">
        <v>1651772144</v>
      </c>
      <c r="C46">
        <v>266.4000000953674</v>
      </c>
      <c r="D46" t="s">
        <v>482</v>
      </c>
      <c r="E46" t="s">
        <v>483</v>
      </c>
      <c r="F46">
        <v>5</v>
      </c>
      <c r="H46" t="s">
        <v>417</v>
      </c>
      <c r="I46">
        <v>1651772141</v>
      </c>
      <c r="J46">
        <f>(K46)/1000</f>
        <v>0</v>
      </c>
      <c r="K46">
        <f>IF(CZ46, AN46, AH46)</f>
        <v>0</v>
      </c>
      <c r="L46">
        <f>IF(CZ46, AI46, AG46)</f>
        <v>0</v>
      </c>
      <c r="M46">
        <f>DB46 - IF(AU46&gt;1, L46*CV46*100.0/(AW46*DP46), 0)</f>
        <v>0</v>
      </c>
      <c r="N46">
        <f>((T46-J46/2)*M46-L46)/(T46+J46/2)</f>
        <v>0</v>
      </c>
      <c r="O46">
        <f>N46*(DI46+DJ46)/1000.0</f>
        <v>0</v>
      </c>
      <c r="P46">
        <f>(DB46 - IF(AU46&gt;1, L46*CV46*100.0/(AW46*DP46), 0))*(DI46+DJ46)/1000.0</f>
        <v>0</v>
      </c>
      <c r="Q46">
        <f>2.0/((1/S46-1/R46)+SIGN(S46)*SQRT((1/S46-1/R46)*(1/S46-1/R46) + 4*CW46/((CW46+1)*(CW46+1))*(2*1/S46*1/R46-1/R46*1/R46)))</f>
        <v>0</v>
      </c>
      <c r="R46">
        <f>IF(LEFT(CX46,1)&lt;&gt;"0",IF(LEFT(CX46,1)="1",3.0,CY46),$D$5+$E$5*(DP46*DI46/($K$5*1000))+$F$5*(DP46*DI46/($K$5*1000))*MAX(MIN(CV46,$J$5),$I$5)*MAX(MIN(CV46,$J$5),$I$5)+$G$5*MAX(MIN(CV46,$J$5),$I$5)*(DP46*DI46/($K$5*1000))+$H$5*(DP46*DI46/($K$5*1000))*(DP46*DI46/($K$5*1000)))</f>
        <v>0</v>
      </c>
      <c r="S46">
        <f>J46*(1000-(1000*0.61365*exp(17.502*W46/(240.97+W46))/(DI46+DJ46)+DD46)/2)/(1000*0.61365*exp(17.502*W46/(240.97+W46))/(DI46+DJ46)-DD46)</f>
        <v>0</v>
      </c>
      <c r="T46">
        <f>1/((CW46+1)/(Q46/1.6)+1/(R46/1.37)) + CW46/((CW46+1)/(Q46/1.6) + CW46/(R46/1.37))</f>
        <v>0</v>
      </c>
      <c r="U46">
        <f>(CR46*CU46)</f>
        <v>0</v>
      </c>
      <c r="V46">
        <f>(DK46+(U46+2*0.95*5.67E-8*(((DK46+$B$7)+273)^4-(DK46+273)^4)-44100*J46)/(1.84*29.3*R46+8*0.95*5.67E-8*(DK46+273)^3))</f>
        <v>0</v>
      </c>
      <c r="W46">
        <f>($C$7*DL46+$D$7*DM46+$E$7*V46)</f>
        <v>0</v>
      </c>
      <c r="X46">
        <f>0.61365*exp(17.502*W46/(240.97+W46))</f>
        <v>0</v>
      </c>
      <c r="Y46">
        <f>(Z46/AA46*100)</f>
        <v>0</v>
      </c>
      <c r="Z46">
        <f>DD46*(DI46+DJ46)/1000</f>
        <v>0</v>
      </c>
      <c r="AA46">
        <f>0.61365*exp(17.502*DK46/(240.97+DK46))</f>
        <v>0</v>
      </c>
      <c r="AB46">
        <f>(X46-DD46*(DI46+DJ46)/1000)</f>
        <v>0</v>
      </c>
      <c r="AC46">
        <f>(-J46*44100)</f>
        <v>0</v>
      </c>
      <c r="AD46">
        <f>2*29.3*R46*0.92*(DK46-W46)</f>
        <v>0</v>
      </c>
      <c r="AE46">
        <f>2*0.95*5.67E-8*(((DK46+$B$7)+273)^4-(W46+273)^4)</f>
        <v>0</v>
      </c>
      <c r="AF46">
        <f>U46+AE46+AC46+AD46</f>
        <v>0</v>
      </c>
      <c r="AG46">
        <f>DH46*AU46*(DC46-DB46*(1000-AU46*DE46)/(1000-AU46*DD46))/(100*CV46)</f>
        <v>0</v>
      </c>
      <c r="AH46">
        <f>1000*DH46*AU46*(DD46-DE46)/(100*CV46*(1000-AU46*DD46))</f>
        <v>0</v>
      </c>
      <c r="AI46">
        <f>(AJ46 - AK46 - DI46*1E3/(8.314*(DK46+273.15)) * AM46/DH46 * AL46) * DH46/(100*CV46) * (1000 - DE46)/1000</f>
        <v>0</v>
      </c>
      <c r="AJ46">
        <v>490.3461109229767</v>
      </c>
      <c r="AK46">
        <v>464.7268484848484</v>
      </c>
      <c r="AL46">
        <v>-0.02961372094184933</v>
      </c>
      <c r="AM46">
        <v>66.72507702095443</v>
      </c>
      <c r="AN46">
        <f>(AP46 - AO46 + DI46*1E3/(8.314*(DK46+273.15)) * AR46/DH46 * AQ46) * DH46/(100*CV46) * 1000/(1000 - AP46)</f>
        <v>0</v>
      </c>
      <c r="AO46">
        <v>21.19333447123067</v>
      </c>
      <c r="AP46">
        <v>26.62217575757576</v>
      </c>
      <c r="AQ46">
        <v>-0.009008329380025496</v>
      </c>
      <c r="AR46">
        <v>78.22078291278521</v>
      </c>
      <c r="AS46">
        <v>1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MAX(0,($B$13+$C$13*DP46)/(1+$D$13*DP46)*DI46/(DK46+273)*$E$13)</f>
        <v>0</v>
      </c>
      <c r="AX46" t="s">
        <v>418</v>
      </c>
      <c r="AY46" t="s">
        <v>418</v>
      </c>
      <c r="AZ46">
        <v>0</v>
      </c>
      <c r="BA46">
        <v>0</v>
      </c>
      <c r="BB46">
        <f>1-AZ46/BA46</f>
        <v>0</v>
      </c>
      <c r="BC46">
        <v>0</v>
      </c>
      <c r="BD46" t="s">
        <v>418</v>
      </c>
      <c r="BE46" t="s">
        <v>418</v>
      </c>
      <c r="BF46">
        <v>0</v>
      </c>
      <c r="BG46">
        <v>0</v>
      </c>
      <c r="BH46">
        <f>1-BF46/BG46</f>
        <v>0</v>
      </c>
      <c r="BI46">
        <v>0.5</v>
      </c>
      <c r="BJ46">
        <f>CS46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418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f>$B$11*DQ46+$C$11*DR46+$F$11*EC46*(1-EF46)</f>
        <v>0</v>
      </c>
      <c r="CS46">
        <f>CR46*CT46</f>
        <v>0</v>
      </c>
      <c r="CT46">
        <f>($B$11*$D$9+$C$11*$D$9+$F$11*((EP46+EH46)/MAX(EP46+EH46+EQ46, 0.1)*$I$9+EQ46/MAX(EP46+EH46+EQ46, 0.1)*$J$9))/($B$11+$C$11+$F$11)</f>
        <v>0</v>
      </c>
      <c r="CU46">
        <f>($B$11*$K$9+$C$11*$K$9+$F$11*((EP46+EH46)/MAX(EP46+EH46+EQ46, 0.1)*$P$9+EQ46/MAX(EP46+EH46+EQ46, 0.1)*$Q$9))/($B$11+$C$11+$F$11)</f>
        <v>0</v>
      </c>
      <c r="CV46">
        <v>6</v>
      </c>
      <c r="CW46">
        <v>0.5</v>
      </c>
      <c r="CX46" t="s">
        <v>419</v>
      </c>
      <c r="CY46">
        <v>2</v>
      </c>
      <c r="CZ46" t="b">
        <v>1</v>
      </c>
      <c r="DA46">
        <v>1651772141</v>
      </c>
      <c r="DB46">
        <v>452.4103636363636</v>
      </c>
      <c r="DC46">
        <v>479.9723636363636</v>
      </c>
      <c r="DD46">
        <v>26.64139090909091</v>
      </c>
      <c r="DE46">
        <v>21.20034545454546</v>
      </c>
      <c r="DF46">
        <v>454.2518181818181</v>
      </c>
      <c r="DG46">
        <v>26.51368181818182</v>
      </c>
      <c r="DH46">
        <v>500.0285454545455</v>
      </c>
      <c r="DI46">
        <v>90.30097272727272</v>
      </c>
      <c r="DJ46">
        <v>0.09995499090909092</v>
      </c>
      <c r="DK46">
        <v>29.16498181818182</v>
      </c>
      <c r="DL46">
        <v>28.50585454545455</v>
      </c>
      <c r="DM46">
        <v>999.9</v>
      </c>
      <c r="DN46">
        <v>0</v>
      </c>
      <c r="DO46">
        <v>0</v>
      </c>
      <c r="DP46">
        <v>9996.818181818182</v>
      </c>
      <c r="DQ46">
        <v>0</v>
      </c>
      <c r="DR46">
        <v>13.265</v>
      </c>
      <c r="DS46">
        <v>-27.56181818181818</v>
      </c>
      <c r="DT46">
        <v>464.7931818181818</v>
      </c>
      <c r="DU46">
        <v>490.3682727272728</v>
      </c>
      <c r="DV46">
        <v>5.441040909090909</v>
      </c>
      <c r="DW46">
        <v>479.9723636363636</v>
      </c>
      <c r="DX46">
        <v>21.20034545454546</v>
      </c>
      <c r="DY46">
        <v>2.405743636363636</v>
      </c>
      <c r="DZ46">
        <v>1.91441</v>
      </c>
      <c r="EA46">
        <v>20.40249090909091</v>
      </c>
      <c r="EB46">
        <v>16.75366363636364</v>
      </c>
      <c r="EC46">
        <v>1500.011818181818</v>
      </c>
      <c r="ED46">
        <v>0.9729913636363636</v>
      </c>
      <c r="EE46">
        <v>0.0270084</v>
      </c>
      <c r="EF46">
        <v>0</v>
      </c>
      <c r="EG46">
        <v>2.229945454545454</v>
      </c>
      <c r="EH46">
        <v>0</v>
      </c>
      <c r="EI46">
        <v>15148.98181818182</v>
      </c>
      <c r="EJ46">
        <v>12533.42727272727</v>
      </c>
      <c r="EK46">
        <v>36.5</v>
      </c>
      <c r="EL46">
        <v>38.062</v>
      </c>
      <c r="EM46">
        <v>36.937</v>
      </c>
      <c r="EN46">
        <v>37.375</v>
      </c>
      <c r="EO46">
        <v>36.375</v>
      </c>
      <c r="EP46">
        <v>1459.494545454545</v>
      </c>
      <c r="EQ46">
        <v>40.51636363636364</v>
      </c>
      <c r="ER46">
        <v>0</v>
      </c>
      <c r="ES46">
        <v>1651772145.2</v>
      </c>
      <c r="ET46">
        <v>0</v>
      </c>
      <c r="EU46">
        <v>2.27372</v>
      </c>
      <c r="EV46">
        <v>0.1356846273312225</v>
      </c>
      <c r="EW46">
        <v>-19.1000000299289</v>
      </c>
      <c r="EX46">
        <v>15150.112</v>
      </c>
      <c r="EY46">
        <v>15</v>
      </c>
      <c r="EZ46">
        <v>0</v>
      </c>
      <c r="FA46" t="s">
        <v>420</v>
      </c>
      <c r="FB46">
        <v>1651697511.6</v>
      </c>
      <c r="FC46">
        <v>1651697666.1</v>
      </c>
      <c r="FD46">
        <v>0</v>
      </c>
      <c r="FE46">
        <v>-0.019</v>
      </c>
      <c r="FF46">
        <v>0.013</v>
      </c>
      <c r="FG46">
        <v>-2.121</v>
      </c>
      <c r="FH46">
        <v>0.041</v>
      </c>
      <c r="FI46">
        <v>420</v>
      </c>
      <c r="FJ46">
        <v>22</v>
      </c>
      <c r="FK46">
        <v>1.72</v>
      </c>
      <c r="FL46">
        <v>0.27</v>
      </c>
      <c r="FM46">
        <v>-27.4830475</v>
      </c>
      <c r="FN46">
        <v>-0.5868056285178079</v>
      </c>
      <c r="FO46">
        <v>0.08069015735360804</v>
      </c>
      <c r="FP46">
        <v>0</v>
      </c>
      <c r="FQ46">
        <v>5.356866999999999</v>
      </c>
      <c r="FR46">
        <v>0.6236420262664075</v>
      </c>
      <c r="FS46">
        <v>0.06145475193994356</v>
      </c>
      <c r="FT46">
        <v>0</v>
      </c>
      <c r="FU46">
        <v>0</v>
      </c>
      <c r="FV46">
        <v>0</v>
      </c>
      <c r="FW46">
        <v>0</v>
      </c>
      <c r="FX46">
        <v>1</v>
      </c>
      <c r="FY46">
        <v>1</v>
      </c>
      <c r="FZ46">
        <v>3</v>
      </c>
      <c r="GA46" t="s">
        <v>467</v>
      </c>
      <c r="GB46">
        <v>2.98149</v>
      </c>
      <c r="GC46">
        <v>2.70591</v>
      </c>
      <c r="GD46">
        <v>0.0997441</v>
      </c>
      <c r="GE46">
        <v>0.102868</v>
      </c>
      <c r="GF46">
        <v>0.114366</v>
      </c>
      <c r="GG46">
        <v>0.0962394</v>
      </c>
      <c r="GH46">
        <v>28474.8</v>
      </c>
      <c r="GI46">
        <v>28433.2</v>
      </c>
      <c r="GJ46">
        <v>29405</v>
      </c>
      <c r="GK46">
        <v>29315.6</v>
      </c>
      <c r="GL46">
        <v>34473.2</v>
      </c>
      <c r="GM46">
        <v>35271.5</v>
      </c>
      <c r="GN46">
        <v>41394.8</v>
      </c>
      <c r="GO46">
        <v>41838.4</v>
      </c>
      <c r="GP46">
        <v>1.96312</v>
      </c>
      <c r="GQ46">
        <v>1.8619</v>
      </c>
      <c r="GR46">
        <v>0.07364900000000001</v>
      </c>
      <c r="GS46">
        <v>0</v>
      </c>
      <c r="GT46">
        <v>27.3075</v>
      </c>
      <c r="GU46">
        <v>999.9</v>
      </c>
      <c r="GV46">
        <v>44.9</v>
      </c>
      <c r="GW46">
        <v>35</v>
      </c>
      <c r="GX46">
        <v>28.0852</v>
      </c>
      <c r="GY46">
        <v>63.0408</v>
      </c>
      <c r="GZ46">
        <v>36.6306</v>
      </c>
      <c r="HA46">
        <v>1</v>
      </c>
      <c r="HB46">
        <v>0.0353963</v>
      </c>
      <c r="HC46">
        <v>0</v>
      </c>
      <c r="HD46">
        <v>20.3469</v>
      </c>
      <c r="HE46">
        <v>5.21849</v>
      </c>
      <c r="HF46">
        <v>12.0076</v>
      </c>
      <c r="HG46">
        <v>4.9888</v>
      </c>
      <c r="HH46">
        <v>3.2892</v>
      </c>
      <c r="HI46">
        <v>492.1</v>
      </c>
      <c r="HJ46">
        <v>3616.4</v>
      </c>
      <c r="HK46">
        <v>4564.3</v>
      </c>
      <c r="HL46">
        <v>17.7</v>
      </c>
      <c r="HM46">
        <v>1.86768</v>
      </c>
      <c r="HN46">
        <v>1.86662</v>
      </c>
      <c r="HO46">
        <v>1.86616</v>
      </c>
      <c r="HP46">
        <v>1.86603</v>
      </c>
      <c r="HQ46">
        <v>1.86783</v>
      </c>
      <c r="HR46">
        <v>1.87039</v>
      </c>
      <c r="HS46">
        <v>1.86905</v>
      </c>
      <c r="HT46">
        <v>1.87042</v>
      </c>
      <c r="HU46">
        <v>0</v>
      </c>
      <c r="HV46">
        <v>0</v>
      </c>
      <c r="HW46">
        <v>0</v>
      </c>
      <c r="HX46">
        <v>0</v>
      </c>
      <c r="HY46" t="s">
        <v>422</v>
      </c>
      <c r="HZ46" t="s">
        <v>423</v>
      </c>
      <c r="IA46" t="s">
        <v>424</v>
      </c>
      <c r="IB46" t="s">
        <v>424</v>
      </c>
      <c r="IC46" t="s">
        <v>424</v>
      </c>
      <c r="ID46" t="s">
        <v>424</v>
      </c>
      <c r="IE46">
        <v>0</v>
      </c>
      <c r="IF46">
        <v>100</v>
      </c>
      <c r="IG46">
        <v>100</v>
      </c>
      <c r="IH46">
        <v>-1.841</v>
      </c>
      <c r="II46">
        <v>0.1274</v>
      </c>
      <c r="IJ46">
        <v>-1.064712027753117</v>
      </c>
      <c r="IK46">
        <v>-0.001826611574738555</v>
      </c>
      <c r="IL46">
        <v>3.313362389709971E-07</v>
      </c>
      <c r="IM46">
        <v>-1.629490614973607E-10</v>
      </c>
      <c r="IN46">
        <v>-0.09531406441470595</v>
      </c>
      <c r="IO46">
        <v>-0.008240702679890409</v>
      </c>
      <c r="IP46">
        <v>0.001077697425498046</v>
      </c>
      <c r="IQ46">
        <v>-1.69598232850356E-05</v>
      </c>
      <c r="IR46">
        <v>3</v>
      </c>
      <c r="IS46">
        <v>2280</v>
      </c>
      <c r="IT46">
        <v>1</v>
      </c>
      <c r="IU46">
        <v>25</v>
      </c>
      <c r="IV46">
        <v>1243.9</v>
      </c>
      <c r="IW46">
        <v>1241.3</v>
      </c>
      <c r="IX46">
        <v>1.16577</v>
      </c>
      <c r="IY46">
        <v>2.23999</v>
      </c>
      <c r="IZ46">
        <v>1.39648</v>
      </c>
      <c r="JA46">
        <v>2.35352</v>
      </c>
      <c r="JB46">
        <v>1.49536</v>
      </c>
      <c r="JC46">
        <v>2.33521</v>
      </c>
      <c r="JD46">
        <v>38.7717</v>
      </c>
      <c r="JE46">
        <v>24.0525</v>
      </c>
      <c r="JF46">
        <v>18</v>
      </c>
      <c r="JG46">
        <v>508.802</v>
      </c>
      <c r="JH46">
        <v>429.666</v>
      </c>
      <c r="JI46">
        <v>28.1407</v>
      </c>
      <c r="JJ46">
        <v>27.8658</v>
      </c>
      <c r="JK46">
        <v>30</v>
      </c>
      <c r="JL46">
        <v>27.783</v>
      </c>
      <c r="JM46">
        <v>27.7177</v>
      </c>
      <c r="JN46">
        <v>23.3354</v>
      </c>
      <c r="JO46">
        <v>28.9715</v>
      </c>
      <c r="JP46">
        <v>0</v>
      </c>
      <c r="JQ46">
        <v>-999.9</v>
      </c>
      <c r="JR46">
        <v>479.915</v>
      </c>
      <c r="JS46">
        <v>21.1862</v>
      </c>
      <c r="JT46">
        <v>100.521</v>
      </c>
      <c r="JU46">
        <v>100.419</v>
      </c>
    </row>
    <row r="47" spans="1:281">
      <c r="A47">
        <v>31</v>
      </c>
      <c r="B47">
        <v>1651772149</v>
      </c>
      <c r="C47">
        <v>271.4000000953674</v>
      </c>
      <c r="D47" t="s">
        <v>484</v>
      </c>
      <c r="E47" t="s">
        <v>485</v>
      </c>
      <c r="F47">
        <v>5</v>
      </c>
      <c r="H47" t="s">
        <v>417</v>
      </c>
      <c r="I47">
        <v>1651772146.5</v>
      </c>
      <c r="J47">
        <f>(K47)/1000</f>
        <v>0</v>
      </c>
      <c r="K47">
        <f>IF(CZ47, AN47, AH47)</f>
        <v>0</v>
      </c>
      <c r="L47">
        <f>IF(CZ47, AI47, AG47)</f>
        <v>0</v>
      </c>
      <c r="M47">
        <f>DB47 - IF(AU47&gt;1, L47*CV47*100.0/(AW47*DP47), 0)</f>
        <v>0</v>
      </c>
      <c r="N47">
        <f>((T47-J47/2)*M47-L47)/(T47+J47/2)</f>
        <v>0</v>
      </c>
      <c r="O47">
        <f>N47*(DI47+DJ47)/1000.0</f>
        <v>0</v>
      </c>
      <c r="P47">
        <f>(DB47 - IF(AU47&gt;1, L47*CV47*100.0/(AW47*DP47), 0))*(DI47+DJ47)/1000.0</f>
        <v>0</v>
      </c>
      <c r="Q47">
        <f>2.0/((1/S47-1/R47)+SIGN(S47)*SQRT((1/S47-1/R47)*(1/S47-1/R47) + 4*CW47/((CW47+1)*(CW47+1))*(2*1/S47*1/R47-1/R47*1/R47)))</f>
        <v>0</v>
      </c>
      <c r="R47">
        <f>IF(LEFT(CX47,1)&lt;&gt;"0",IF(LEFT(CX47,1)="1",3.0,CY47),$D$5+$E$5*(DP47*DI47/($K$5*1000))+$F$5*(DP47*DI47/($K$5*1000))*MAX(MIN(CV47,$J$5),$I$5)*MAX(MIN(CV47,$J$5),$I$5)+$G$5*MAX(MIN(CV47,$J$5),$I$5)*(DP47*DI47/($K$5*1000))+$H$5*(DP47*DI47/($K$5*1000))*(DP47*DI47/($K$5*1000)))</f>
        <v>0</v>
      </c>
      <c r="S47">
        <f>J47*(1000-(1000*0.61365*exp(17.502*W47/(240.97+W47))/(DI47+DJ47)+DD47)/2)/(1000*0.61365*exp(17.502*W47/(240.97+W47))/(DI47+DJ47)-DD47)</f>
        <v>0</v>
      </c>
      <c r="T47">
        <f>1/((CW47+1)/(Q47/1.6)+1/(R47/1.37)) + CW47/((CW47+1)/(Q47/1.6) + CW47/(R47/1.37))</f>
        <v>0</v>
      </c>
      <c r="U47">
        <f>(CR47*CU47)</f>
        <v>0</v>
      </c>
      <c r="V47">
        <f>(DK47+(U47+2*0.95*5.67E-8*(((DK47+$B$7)+273)^4-(DK47+273)^4)-44100*J47)/(1.84*29.3*R47+8*0.95*5.67E-8*(DK47+273)^3))</f>
        <v>0</v>
      </c>
      <c r="W47">
        <f>($C$7*DL47+$D$7*DM47+$E$7*V47)</f>
        <v>0</v>
      </c>
      <c r="X47">
        <f>0.61365*exp(17.502*W47/(240.97+W47))</f>
        <v>0</v>
      </c>
      <c r="Y47">
        <f>(Z47/AA47*100)</f>
        <v>0</v>
      </c>
      <c r="Z47">
        <f>DD47*(DI47+DJ47)/1000</f>
        <v>0</v>
      </c>
      <c r="AA47">
        <f>0.61365*exp(17.502*DK47/(240.97+DK47))</f>
        <v>0</v>
      </c>
      <c r="AB47">
        <f>(X47-DD47*(DI47+DJ47)/1000)</f>
        <v>0</v>
      </c>
      <c r="AC47">
        <f>(-J47*44100)</f>
        <v>0</v>
      </c>
      <c r="AD47">
        <f>2*29.3*R47*0.92*(DK47-W47)</f>
        <v>0</v>
      </c>
      <c r="AE47">
        <f>2*0.95*5.67E-8*(((DK47+$B$7)+273)^4-(W47+273)^4)</f>
        <v>0</v>
      </c>
      <c r="AF47">
        <f>U47+AE47+AC47+AD47</f>
        <v>0</v>
      </c>
      <c r="AG47">
        <f>DH47*AU47*(DC47-DB47*(1000-AU47*DE47)/(1000-AU47*DD47))/(100*CV47)</f>
        <v>0</v>
      </c>
      <c r="AH47">
        <f>1000*DH47*AU47*(DD47-DE47)/(100*CV47*(1000-AU47*DD47))</f>
        <v>0</v>
      </c>
      <c r="AI47">
        <f>(AJ47 - AK47 - DI47*1E3/(8.314*(DK47+273.15)) * AM47/DH47 * AL47) * DH47/(100*CV47) * (1000 - DE47)/1000</f>
        <v>0</v>
      </c>
      <c r="AJ47">
        <v>490.3802265279587</v>
      </c>
      <c r="AK47">
        <v>464.758884848485</v>
      </c>
      <c r="AL47">
        <v>0.006834454794587721</v>
      </c>
      <c r="AM47">
        <v>66.72507702095443</v>
      </c>
      <c r="AN47">
        <f>(AP47 - AO47 + DI47*1E3/(8.314*(DK47+273.15)) * AR47/DH47 * AQ47) * DH47/(100*CV47) * 1000/(1000 - AP47)</f>
        <v>0</v>
      </c>
      <c r="AO47">
        <v>21.1807643621196</v>
      </c>
      <c r="AP47">
        <v>26.61270727272728</v>
      </c>
      <c r="AQ47">
        <v>-0.0010324463128761</v>
      </c>
      <c r="AR47">
        <v>78.22078291278521</v>
      </c>
      <c r="AS47">
        <v>1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MAX(0,($B$13+$C$13*DP47)/(1+$D$13*DP47)*DI47/(DK47+273)*$E$13)</f>
        <v>0</v>
      </c>
      <c r="AX47" t="s">
        <v>418</v>
      </c>
      <c r="AY47" t="s">
        <v>418</v>
      </c>
      <c r="AZ47">
        <v>0</v>
      </c>
      <c r="BA47">
        <v>0</v>
      </c>
      <c r="BB47">
        <f>1-AZ47/BA47</f>
        <v>0</v>
      </c>
      <c r="BC47">
        <v>0</v>
      </c>
      <c r="BD47" t="s">
        <v>418</v>
      </c>
      <c r="BE47" t="s">
        <v>418</v>
      </c>
      <c r="BF47">
        <v>0</v>
      </c>
      <c r="BG47">
        <v>0</v>
      </c>
      <c r="BH47">
        <f>1-BF47/BG47</f>
        <v>0</v>
      </c>
      <c r="BI47">
        <v>0.5</v>
      </c>
      <c r="BJ47">
        <f>CS47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418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f>$B$11*DQ47+$C$11*DR47+$F$11*EC47*(1-EF47)</f>
        <v>0</v>
      </c>
      <c r="CS47">
        <f>CR47*CT47</f>
        <v>0</v>
      </c>
      <c r="CT47">
        <f>($B$11*$D$9+$C$11*$D$9+$F$11*((EP47+EH47)/MAX(EP47+EH47+EQ47, 0.1)*$I$9+EQ47/MAX(EP47+EH47+EQ47, 0.1)*$J$9))/($B$11+$C$11+$F$11)</f>
        <v>0</v>
      </c>
      <c r="CU47">
        <f>($B$11*$K$9+$C$11*$K$9+$F$11*((EP47+EH47)/MAX(EP47+EH47+EQ47, 0.1)*$P$9+EQ47/MAX(EP47+EH47+EQ47, 0.1)*$Q$9))/($B$11+$C$11+$F$11)</f>
        <v>0</v>
      </c>
      <c r="CV47">
        <v>6</v>
      </c>
      <c r="CW47">
        <v>0.5</v>
      </c>
      <c r="CX47" t="s">
        <v>419</v>
      </c>
      <c r="CY47">
        <v>2</v>
      </c>
      <c r="CZ47" t="b">
        <v>1</v>
      </c>
      <c r="DA47">
        <v>1651772146.5</v>
      </c>
      <c r="DB47">
        <v>452.3494444444444</v>
      </c>
      <c r="DC47">
        <v>480.3706666666667</v>
      </c>
      <c r="DD47">
        <v>26.61412222222222</v>
      </c>
      <c r="DE47">
        <v>21.18008888888889</v>
      </c>
      <c r="DF47">
        <v>454.1906666666667</v>
      </c>
      <c r="DG47">
        <v>26.4868</v>
      </c>
      <c r="DH47">
        <v>500.0016666666666</v>
      </c>
      <c r="DI47">
        <v>90.29913333333333</v>
      </c>
      <c r="DJ47">
        <v>0.09975995555555556</v>
      </c>
      <c r="DK47">
        <v>29.16953333333333</v>
      </c>
      <c r="DL47">
        <v>28.51924444444444</v>
      </c>
      <c r="DM47">
        <v>999.9000000000001</v>
      </c>
      <c r="DN47">
        <v>0</v>
      </c>
      <c r="DO47">
        <v>0</v>
      </c>
      <c r="DP47">
        <v>10011.8</v>
      </c>
      <c r="DQ47">
        <v>0</v>
      </c>
      <c r="DR47">
        <v>13.265</v>
      </c>
      <c r="DS47">
        <v>-28.02115555555556</v>
      </c>
      <c r="DT47">
        <v>464.7175555555556</v>
      </c>
      <c r="DU47">
        <v>490.7653333333333</v>
      </c>
      <c r="DV47">
        <v>5.43405</v>
      </c>
      <c r="DW47">
        <v>480.3706666666667</v>
      </c>
      <c r="DX47">
        <v>21.18008888888889</v>
      </c>
      <c r="DY47">
        <v>2.403231111111111</v>
      </c>
      <c r="DZ47">
        <v>1.912544444444444</v>
      </c>
      <c r="EA47">
        <v>20.38558888888889</v>
      </c>
      <c r="EB47">
        <v>16.7383</v>
      </c>
      <c r="EC47">
        <v>1499.985555555555</v>
      </c>
      <c r="ED47">
        <v>0.9729889999999999</v>
      </c>
      <c r="EE47">
        <v>0.0270107</v>
      </c>
      <c r="EF47">
        <v>0</v>
      </c>
      <c r="EG47">
        <v>2.342333333333333</v>
      </c>
      <c r="EH47">
        <v>0</v>
      </c>
      <c r="EI47">
        <v>15147.4</v>
      </c>
      <c r="EJ47">
        <v>12533.2</v>
      </c>
      <c r="EK47">
        <v>36.5</v>
      </c>
      <c r="EL47">
        <v>38.062</v>
      </c>
      <c r="EM47">
        <v>36.937</v>
      </c>
      <c r="EN47">
        <v>37.38877777777778</v>
      </c>
      <c r="EO47">
        <v>36.375</v>
      </c>
      <c r="EP47">
        <v>1459.465555555556</v>
      </c>
      <c r="EQ47">
        <v>40.52</v>
      </c>
      <c r="ER47">
        <v>0</v>
      </c>
      <c r="ES47">
        <v>1651772150</v>
      </c>
      <c r="ET47">
        <v>0</v>
      </c>
      <c r="EU47">
        <v>2.295068</v>
      </c>
      <c r="EV47">
        <v>1.096846151898307</v>
      </c>
      <c r="EW47">
        <v>-14.16153843664432</v>
      </c>
      <c r="EX47">
        <v>15148.628</v>
      </c>
      <c r="EY47">
        <v>15</v>
      </c>
      <c r="EZ47">
        <v>0</v>
      </c>
      <c r="FA47" t="s">
        <v>420</v>
      </c>
      <c r="FB47">
        <v>1651697511.6</v>
      </c>
      <c r="FC47">
        <v>1651697666.1</v>
      </c>
      <c r="FD47">
        <v>0</v>
      </c>
      <c r="FE47">
        <v>-0.019</v>
      </c>
      <c r="FF47">
        <v>0.013</v>
      </c>
      <c r="FG47">
        <v>-2.121</v>
      </c>
      <c r="FH47">
        <v>0.041</v>
      </c>
      <c r="FI47">
        <v>420</v>
      </c>
      <c r="FJ47">
        <v>22</v>
      </c>
      <c r="FK47">
        <v>1.72</v>
      </c>
      <c r="FL47">
        <v>0.27</v>
      </c>
      <c r="FM47">
        <v>-27.57207317073171</v>
      </c>
      <c r="FN47">
        <v>-1.543112195121991</v>
      </c>
      <c r="FO47">
        <v>0.2320229236197762</v>
      </c>
      <c r="FP47">
        <v>0</v>
      </c>
      <c r="FQ47">
        <v>5.389471951219512</v>
      </c>
      <c r="FR47">
        <v>0.4822816724738659</v>
      </c>
      <c r="FS47">
        <v>0.05178478075790179</v>
      </c>
      <c r="FT47">
        <v>1</v>
      </c>
      <c r="FU47">
        <v>0</v>
      </c>
      <c r="FV47">
        <v>0</v>
      </c>
      <c r="FW47">
        <v>0</v>
      </c>
      <c r="FX47">
        <v>1</v>
      </c>
      <c r="FY47">
        <v>2</v>
      </c>
      <c r="FZ47">
        <v>3</v>
      </c>
      <c r="GA47" t="s">
        <v>421</v>
      </c>
      <c r="GB47">
        <v>2.9815</v>
      </c>
      <c r="GC47">
        <v>2.70623</v>
      </c>
      <c r="GD47">
        <v>0.0997608</v>
      </c>
      <c r="GE47">
        <v>0.103253</v>
      </c>
      <c r="GF47">
        <v>0.114341</v>
      </c>
      <c r="GG47">
        <v>0.0962181</v>
      </c>
      <c r="GH47">
        <v>28474.3</v>
      </c>
      <c r="GI47">
        <v>28421</v>
      </c>
      <c r="GJ47">
        <v>29405</v>
      </c>
      <c r="GK47">
        <v>29315.5</v>
      </c>
      <c r="GL47">
        <v>34474.3</v>
      </c>
      <c r="GM47">
        <v>35272.3</v>
      </c>
      <c r="GN47">
        <v>41394.9</v>
      </c>
      <c r="GO47">
        <v>41838.4</v>
      </c>
      <c r="GP47">
        <v>1.963</v>
      </c>
      <c r="GQ47">
        <v>1.86175</v>
      </c>
      <c r="GR47">
        <v>0.07383530000000001</v>
      </c>
      <c r="GS47">
        <v>0</v>
      </c>
      <c r="GT47">
        <v>27.3128</v>
      </c>
      <c r="GU47">
        <v>999.9</v>
      </c>
      <c r="GV47">
        <v>44.9</v>
      </c>
      <c r="GW47">
        <v>35</v>
      </c>
      <c r="GX47">
        <v>28.0856</v>
      </c>
      <c r="GY47">
        <v>62.9608</v>
      </c>
      <c r="GZ47">
        <v>36.7228</v>
      </c>
      <c r="HA47">
        <v>1</v>
      </c>
      <c r="HB47">
        <v>0.0354395</v>
      </c>
      <c r="HC47">
        <v>0</v>
      </c>
      <c r="HD47">
        <v>20.3464</v>
      </c>
      <c r="HE47">
        <v>5.21519</v>
      </c>
      <c r="HF47">
        <v>12.0083</v>
      </c>
      <c r="HG47">
        <v>4.9881</v>
      </c>
      <c r="HH47">
        <v>3.28865</v>
      </c>
      <c r="HI47">
        <v>492.3</v>
      </c>
      <c r="HJ47">
        <v>3617.8</v>
      </c>
      <c r="HK47">
        <v>4564.3</v>
      </c>
      <c r="HL47">
        <v>17.7</v>
      </c>
      <c r="HM47">
        <v>1.86768</v>
      </c>
      <c r="HN47">
        <v>1.86662</v>
      </c>
      <c r="HO47">
        <v>1.86615</v>
      </c>
      <c r="HP47">
        <v>1.86606</v>
      </c>
      <c r="HQ47">
        <v>1.86784</v>
      </c>
      <c r="HR47">
        <v>1.87039</v>
      </c>
      <c r="HS47">
        <v>1.86905</v>
      </c>
      <c r="HT47">
        <v>1.87042</v>
      </c>
      <c r="HU47">
        <v>0</v>
      </c>
      <c r="HV47">
        <v>0</v>
      </c>
      <c r="HW47">
        <v>0</v>
      </c>
      <c r="HX47">
        <v>0</v>
      </c>
      <c r="HY47" t="s">
        <v>422</v>
      </c>
      <c r="HZ47" t="s">
        <v>423</v>
      </c>
      <c r="IA47" t="s">
        <v>424</v>
      </c>
      <c r="IB47" t="s">
        <v>424</v>
      </c>
      <c r="IC47" t="s">
        <v>424</v>
      </c>
      <c r="ID47" t="s">
        <v>424</v>
      </c>
      <c r="IE47">
        <v>0</v>
      </c>
      <c r="IF47">
        <v>100</v>
      </c>
      <c r="IG47">
        <v>100</v>
      </c>
      <c r="IH47">
        <v>-1.841</v>
      </c>
      <c r="II47">
        <v>0.1273</v>
      </c>
      <c r="IJ47">
        <v>-1.064712027753117</v>
      </c>
      <c r="IK47">
        <v>-0.001826611574738555</v>
      </c>
      <c r="IL47">
        <v>3.313362389709971E-07</v>
      </c>
      <c r="IM47">
        <v>-1.629490614973607E-10</v>
      </c>
      <c r="IN47">
        <v>-0.09531406441470595</v>
      </c>
      <c r="IO47">
        <v>-0.008240702679890409</v>
      </c>
      <c r="IP47">
        <v>0.001077697425498046</v>
      </c>
      <c r="IQ47">
        <v>-1.69598232850356E-05</v>
      </c>
      <c r="IR47">
        <v>3</v>
      </c>
      <c r="IS47">
        <v>2280</v>
      </c>
      <c r="IT47">
        <v>1</v>
      </c>
      <c r="IU47">
        <v>25</v>
      </c>
      <c r="IV47">
        <v>1244</v>
      </c>
      <c r="IW47">
        <v>1241.4</v>
      </c>
      <c r="IX47">
        <v>1.19263</v>
      </c>
      <c r="IY47">
        <v>2.23755</v>
      </c>
      <c r="IZ47">
        <v>1.39648</v>
      </c>
      <c r="JA47">
        <v>2.35229</v>
      </c>
      <c r="JB47">
        <v>1.49536</v>
      </c>
      <c r="JC47">
        <v>2.34009</v>
      </c>
      <c r="JD47">
        <v>38.7964</v>
      </c>
      <c r="JE47">
        <v>24.0525</v>
      </c>
      <c r="JF47">
        <v>18</v>
      </c>
      <c r="JG47">
        <v>508.741</v>
      </c>
      <c r="JH47">
        <v>429.586</v>
      </c>
      <c r="JI47">
        <v>28.1447</v>
      </c>
      <c r="JJ47">
        <v>27.8678</v>
      </c>
      <c r="JK47">
        <v>30.0002</v>
      </c>
      <c r="JL47">
        <v>27.7853</v>
      </c>
      <c r="JM47">
        <v>27.719</v>
      </c>
      <c r="JN47">
        <v>23.8701</v>
      </c>
      <c r="JO47">
        <v>28.9715</v>
      </c>
      <c r="JP47">
        <v>0</v>
      </c>
      <c r="JQ47">
        <v>-999.9</v>
      </c>
      <c r="JR47">
        <v>499.959</v>
      </c>
      <c r="JS47">
        <v>21.1755</v>
      </c>
      <c r="JT47">
        <v>100.521</v>
      </c>
      <c r="JU47">
        <v>100.419</v>
      </c>
    </row>
    <row r="48" spans="1:281">
      <c r="A48">
        <v>32</v>
      </c>
      <c r="B48">
        <v>1651772154</v>
      </c>
      <c r="C48">
        <v>276.4000000953674</v>
      </c>
      <c r="D48" t="s">
        <v>486</v>
      </c>
      <c r="E48" t="s">
        <v>487</v>
      </c>
      <c r="F48">
        <v>5</v>
      </c>
      <c r="H48" t="s">
        <v>417</v>
      </c>
      <c r="I48">
        <v>1651772151.2</v>
      </c>
      <c r="J48">
        <f>(K48)/1000</f>
        <v>0</v>
      </c>
      <c r="K48">
        <f>IF(CZ48, AN48, AH48)</f>
        <v>0</v>
      </c>
      <c r="L48">
        <f>IF(CZ48, AI48, AG48)</f>
        <v>0</v>
      </c>
      <c r="M48">
        <f>DB48 - IF(AU48&gt;1, L48*CV48*100.0/(AW48*DP48), 0)</f>
        <v>0</v>
      </c>
      <c r="N48">
        <f>((T48-J48/2)*M48-L48)/(T48+J48/2)</f>
        <v>0</v>
      </c>
      <c r="O48">
        <f>N48*(DI48+DJ48)/1000.0</f>
        <v>0</v>
      </c>
      <c r="P48">
        <f>(DB48 - IF(AU48&gt;1, L48*CV48*100.0/(AW48*DP48), 0))*(DI48+DJ48)/1000.0</f>
        <v>0</v>
      </c>
      <c r="Q48">
        <f>2.0/((1/S48-1/R48)+SIGN(S48)*SQRT((1/S48-1/R48)*(1/S48-1/R48) + 4*CW48/((CW48+1)*(CW48+1))*(2*1/S48*1/R48-1/R48*1/R48)))</f>
        <v>0</v>
      </c>
      <c r="R48">
        <f>IF(LEFT(CX48,1)&lt;&gt;"0",IF(LEFT(CX48,1)="1",3.0,CY48),$D$5+$E$5*(DP48*DI48/($K$5*1000))+$F$5*(DP48*DI48/($K$5*1000))*MAX(MIN(CV48,$J$5),$I$5)*MAX(MIN(CV48,$J$5),$I$5)+$G$5*MAX(MIN(CV48,$J$5),$I$5)*(DP48*DI48/($K$5*1000))+$H$5*(DP48*DI48/($K$5*1000))*(DP48*DI48/($K$5*1000)))</f>
        <v>0</v>
      </c>
      <c r="S48">
        <f>J48*(1000-(1000*0.61365*exp(17.502*W48/(240.97+W48))/(DI48+DJ48)+DD48)/2)/(1000*0.61365*exp(17.502*W48/(240.97+W48))/(DI48+DJ48)-DD48)</f>
        <v>0</v>
      </c>
      <c r="T48">
        <f>1/((CW48+1)/(Q48/1.6)+1/(R48/1.37)) + CW48/((CW48+1)/(Q48/1.6) + CW48/(R48/1.37))</f>
        <v>0</v>
      </c>
      <c r="U48">
        <f>(CR48*CU48)</f>
        <v>0</v>
      </c>
      <c r="V48">
        <f>(DK48+(U48+2*0.95*5.67E-8*(((DK48+$B$7)+273)^4-(DK48+273)^4)-44100*J48)/(1.84*29.3*R48+8*0.95*5.67E-8*(DK48+273)^3))</f>
        <v>0</v>
      </c>
      <c r="W48">
        <f>($C$7*DL48+$D$7*DM48+$E$7*V48)</f>
        <v>0</v>
      </c>
      <c r="X48">
        <f>0.61365*exp(17.502*W48/(240.97+W48))</f>
        <v>0</v>
      </c>
      <c r="Y48">
        <f>(Z48/AA48*100)</f>
        <v>0</v>
      </c>
      <c r="Z48">
        <f>DD48*(DI48+DJ48)/1000</f>
        <v>0</v>
      </c>
      <c r="AA48">
        <f>0.61365*exp(17.502*DK48/(240.97+DK48))</f>
        <v>0</v>
      </c>
      <c r="AB48">
        <f>(X48-DD48*(DI48+DJ48)/1000)</f>
        <v>0</v>
      </c>
      <c r="AC48">
        <f>(-J48*44100)</f>
        <v>0</v>
      </c>
      <c r="AD48">
        <f>2*29.3*R48*0.92*(DK48-W48)</f>
        <v>0</v>
      </c>
      <c r="AE48">
        <f>2*0.95*5.67E-8*(((DK48+$B$7)+273)^4-(W48+273)^4)</f>
        <v>0</v>
      </c>
      <c r="AF48">
        <f>U48+AE48+AC48+AD48</f>
        <v>0</v>
      </c>
      <c r="AG48">
        <f>DH48*AU48*(DC48-DB48*(1000-AU48*DE48)/(1000-AU48*DD48))/(100*CV48)</f>
        <v>0</v>
      </c>
      <c r="AH48">
        <f>1000*DH48*AU48*(DD48-DE48)/(100*CV48*(1000-AU48*DD48))</f>
        <v>0</v>
      </c>
      <c r="AI48">
        <f>(AJ48 - AK48 - DI48*1E3/(8.314*(DK48+273.15)) * AM48/DH48 * AL48) * DH48/(100*CV48) * (1000 - DE48)/1000</f>
        <v>0</v>
      </c>
      <c r="AJ48">
        <v>498.0654757954374</v>
      </c>
      <c r="AK48">
        <v>468.0564848484847</v>
      </c>
      <c r="AL48">
        <v>0.883250785882312</v>
      </c>
      <c r="AM48">
        <v>66.72507702095443</v>
      </c>
      <c r="AN48">
        <f>(AP48 - AO48 + DI48*1E3/(8.314*(DK48+273.15)) * AR48/DH48 * AQ48) * DH48/(100*CV48) * 1000/(1000 - AP48)</f>
        <v>0</v>
      </c>
      <c r="AO48">
        <v>21.17640991361993</v>
      </c>
      <c r="AP48">
        <v>26.6141406060606</v>
      </c>
      <c r="AQ48">
        <v>3.995933579941601E-05</v>
      </c>
      <c r="AR48">
        <v>78.22078291278521</v>
      </c>
      <c r="AS48">
        <v>1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MAX(0,($B$13+$C$13*DP48)/(1+$D$13*DP48)*DI48/(DK48+273)*$E$13)</f>
        <v>0</v>
      </c>
      <c r="AX48" t="s">
        <v>418</v>
      </c>
      <c r="AY48" t="s">
        <v>418</v>
      </c>
      <c r="AZ48">
        <v>0</v>
      </c>
      <c r="BA48">
        <v>0</v>
      </c>
      <c r="BB48">
        <f>1-AZ48/BA48</f>
        <v>0</v>
      </c>
      <c r="BC48">
        <v>0</v>
      </c>
      <c r="BD48" t="s">
        <v>418</v>
      </c>
      <c r="BE48" t="s">
        <v>418</v>
      </c>
      <c r="BF48">
        <v>0</v>
      </c>
      <c r="BG48">
        <v>0</v>
      </c>
      <c r="BH48">
        <f>1-BF48/BG48</f>
        <v>0</v>
      </c>
      <c r="BI48">
        <v>0.5</v>
      </c>
      <c r="BJ48">
        <f>CS48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418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f>$B$11*DQ48+$C$11*DR48+$F$11*EC48*(1-EF48)</f>
        <v>0</v>
      </c>
      <c r="CS48">
        <f>CR48*CT48</f>
        <v>0</v>
      </c>
      <c r="CT48">
        <f>($B$11*$D$9+$C$11*$D$9+$F$11*((EP48+EH48)/MAX(EP48+EH48+EQ48, 0.1)*$I$9+EQ48/MAX(EP48+EH48+EQ48, 0.1)*$J$9))/($B$11+$C$11+$F$11)</f>
        <v>0</v>
      </c>
      <c r="CU48">
        <f>($B$11*$K$9+$C$11*$K$9+$F$11*((EP48+EH48)/MAX(EP48+EH48+EQ48, 0.1)*$P$9+EQ48/MAX(EP48+EH48+EQ48, 0.1)*$Q$9))/($B$11+$C$11+$F$11)</f>
        <v>0</v>
      </c>
      <c r="CV48">
        <v>6</v>
      </c>
      <c r="CW48">
        <v>0.5</v>
      </c>
      <c r="CX48" t="s">
        <v>419</v>
      </c>
      <c r="CY48">
        <v>2</v>
      </c>
      <c r="CZ48" t="b">
        <v>1</v>
      </c>
      <c r="DA48">
        <v>1651772151.2</v>
      </c>
      <c r="DB48">
        <v>453.6406</v>
      </c>
      <c r="DC48">
        <v>487.7314</v>
      </c>
      <c r="DD48">
        <v>26.6123</v>
      </c>
      <c r="DE48">
        <v>21.17648</v>
      </c>
      <c r="DF48">
        <v>455.4839</v>
      </c>
      <c r="DG48">
        <v>26.48499</v>
      </c>
      <c r="DH48">
        <v>500.0394</v>
      </c>
      <c r="DI48">
        <v>90.30034999999999</v>
      </c>
      <c r="DJ48">
        <v>0.09991188999999999</v>
      </c>
      <c r="DK48">
        <v>29.17371000000001</v>
      </c>
      <c r="DL48">
        <v>28.52195</v>
      </c>
      <c r="DM48">
        <v>999.9</v>
      </c>
      <c r="DN48">
        <v>0</v>
      </c>
      <c r="DO48">
        <v>0</v>
      </c>
      <c r="DP48">
        <v>10010.386</v>
      </c>
      <c r="DQ48">
        <v>0</v>
      </c>
      <c r="DR48">
        <v>13.24348</v>
      </c>
      <c r="DS48">
        <v>-34.09083</v>
      </c>
      <c r="DT48">
        <v>466.0429</v>
      </c>
      <c r="DU48">
        <v>498.2832999999999</v>
      </c>
      <c r="DV48">
        <v>5.435830999999999</v>
      </c>
      <c r="DW48">
        <v>487.7314</v>
      </c>
      <c r="DX48">
        <v>21.17648</v>
      </c>
      <c r="DY48">
        <v>2.403099</v>
      </c>
      <c r="DZ48">
        <v>1.912241</v>
      </c>
      <c r="EA48">
        <v>20.38467</v>
      </c>
      <c r="EB48">
        <v>16.73581</v>
      </c>
      <c r="EC48">
        <v>1499.98</v>
      </c>
      <c r="ED48">
        <v>0.9729889999999999</v>
      </c>
      <c r="EE48">
        <v>0.0270107</v>
      </c>
      <c r="EF48">
        <v>0</v>
      </c>
      <c r="EG48">
        <v>2.23241</v>
      </c>
      <c r="EH48">
        <v>0</v>
      </c>
      <c r="EI48">
        <v>15145.17</v>
      </c>
      <c r="EJ48">
        <v>12533.17</v>
      </c>
      <c r="EK48">
        <v>36.5</v>
      </c>
      <c r="EL48">
        <v>38.062</v>
      </c>
      <c r="EM48">
        <v>36.937</v>
      </c>
      <c r="EN48">
        <v>37.375</v>
      </c>
      <c r="EO48">
        <v>36.375</v>
      </c>
      <c r="EP48">
        <v>1459.46</v>
      </c>
      <c r="EQ48">
        <v>40.52</v>
      </c>
      <c r="ER48">
        <v>0</v>
      </c>
      <c r="ES48">
        <v>1651772154.8</v>
      </c>
      <c r="ET48">
        <v>0</v>
      </c>
      <c r="EU48">
        <v>2.31776</v>
      </c>
      <c r="EV48">
        <v>0.351876923753286</v>
      </c>
      <c r="EW48">
        <v>-23.18461541879016</v>
      </c>
      <c r="EX48">
        <v>15147.076</v>
      </c>
      <c r="EY48">
        <v>15</v>
      </c>
      <c r="EZ48">
        <v>0</v>
      </c>
      <c r="FA48" t="s">
        <v>420</v>
      </c>
      <c r="FB48">
        <v>1651697511.6</v>
      </c>
      <c r="FC48">
        <v>1651697666.1</v>
      </c>
      <c r="FD48">
        <v>0</v>
      </c>
      <c r="FE48">
        <v>-0.019</v>
      </c>
      <c r="FF48">
        <v>0.013</v>
      </c>
      <c r="FG48">
        <v>-2.121</v>
      </c>
      <c r="FH48">
        <v>0.041</v>
      </c>
      <c r="FI48">
        <v>420</v>
      </c>
      <c r="FJ48">
        <v>22</v>
      </c>
      <c r="FK48">
        <v>1.72</v>
      </c>
      <c r="FL48">
        <v>0.27</v>
      </c>
      <c r="FM48">
        <v>-29.307305</v>
      </c>
      <c r="FN48">
        <v>-24.98216960600365</v>
      </c>
      <c r="FO48">
        <v>3.147178297693825</v>
      </c>
      <c r="FP48">
        <v>0</v>
      </c>
      <c r="FQ48">
        <v>5.4211865</v>
      </c>
      <c r="FR48">
        <v>0.2235356848029845</v>
      </c>
      <c r="FS48">
        <v>0.03172642113050259</v>
      </c>
      <c r="FT48">
        <v>1</v>
      </c>
      <c r="FU48">
        <v>0</v>
      </c>
      <c r="FV48">
        <v>0</v>
      </c>
      <c r="FW48">
        <v>0</v>
      </c>
      <c r="FX48">
        <v>1</v>
      </c>
      <c r="FY48">
        <v>2</v>
      </c>
      <c r="FZ48">
        <v>3</v>
      </c>
      <c r="GA48" t="s">
        <v>421</v>
      </c>
      <c r="GB48">
        <v>2.98151</v>
      </c>
      <c r="GC48">
        <v>2.70616</v>
      </c>
      <c r="GD48">
        <v>0.100385</v>
      </c>
      <c r="GE48">
        <v>0.105332</v>
      </c>
      <c r="GF48">
        <v>0.114351</v>
      </c>
      <c r="GG48">
        <v>0.0962132</v>
      </c>
      <c r="GH48">
        <v>28455.3</v>
      </c>
      <c r="GI48">
        <v>28355</v>
      </c>
      <c r="GJ48">
        <v>29405.8</v>
      </c>
      <c r="GK48">
        <v>29315.5</v>
      </c>
      <c r="GL48">
        <v>34474.5</v>
      </c>
      <c r="GM48">
        <v>35272.4</v>
      </c>
      <c r="GN48">
        <v>41395.6</v>
      </c>
      <c r="GO48">
        <v>41838.1</v>
      </c>
      <c r="GP48">
        <v>1.963</v>
      </c>
      <c r="GQ48">
        <v>1.86192</v>
      </c>
      <c r="GR48">
        <v>0.0737421</v>
      </c>
      <c r="GS48">
        <v>0</v>
      </c>
      <c r="GT48">
        <v>27.318</v>
      </c>
      <c r="GU48">
        <v>999.9</v>
      </c>
      <c r="GV48">
        <v>44.9</v>
      </c>
      <c r="GW48">
        <v>35</v>
      </c>
      <c r="GX48">
        <v>28.0851</v>
      </c>
      <c r="GY48">
        <v>62.7008</v>
      </c>
      <c r="GZ48">
        <v>36.6226</v>
      </c>
      <c r="HA48">
        <v>1</v>
      </c>
      <c r="HB48">
        <v>0.0353201</v>
      </c>
      <c r="HC48">
        <v>0</v>
      </c>
      <c r="HD48">
        <v>20.3466</v>
      </c>
      <c r="HE48">
        <v>5.21564</v>
      </c>
      <c r="HF48">
        <v>12.0077</v>
      </c>
      <c r="HG48">
        <v>4.98815</v>
      </c>
      <c r="HH48">
        <v>3.28865</v>
      </c>
      <c r="HI48">
        <v>492.3</v>
      </c>
      <c r="HJ48">
        <v>3617.8</v>
      </c>
      <c r="HK48">
        <v>4564.3</v>
      </c>
      <c r="HL48">
        <v>17.7</v>
      </c>
      <c r="HM48">
        <v>1.86768</v>
      </c>
      <c r="HN48">
        <v>1.86661</v>
      </c>
      <c r="HO48">
        <v>1.86615</v>
      </c>
      <c r="HP48">
        <v>1.86603</v>
      </c>
      <c r="HQ48">
        <v>1.86784</v>
      </c>
      <c r="HR48">
        <v>1.87037</v>
      </c>
      <c r="HS48">
        <v>1.86905</v>
      </c>
      <c r="HT48">
        <v>1.87042</v>
      </c>
      <c r="HU48">
        <v>0</v>
      </c>
      <c r="HV48">
        <v>0</v>
      </c>
      <c r="HW48">
        <v>0</v>
      </c>
      <c r="HX48">
        <v>0</v>
      </c>
      <c r="HY48" t="s">
        <v>422</v>
      </c>
      <c r="HZ48" t="s">
        <v>423</v>
      </c>
      <c r="IA48" t="s">
        <v>424</v>
      </c>
      <c r="IB48" t="s">
        <v>424</v>
      </c>
      <c r="IC48" t="s">
        <v>424</v>
      </c>
      <c r="ID48" t="s">
        <v>424</v>
      </c>
      <c r="IE48">
        <v>0</v>
      </c>
      <c r="IF48">
        <v>100</v>
      </c>
      <c r="IG48">
        <v>100</v>
      </c>
      <c r="IH48">
        <v>-1.848</v>
      </c>
      <c r="II48">
        <v>0.1274</v>
      </c>
      <c r="IJ48">
        <v>-1.064712027753117</v>
      </c>
      <c r="IK48">
        <v>-0.001826611574738555</v>
      </c>
      <c r="IL48">
        <v>3.313362389709971E-07</v>
      </c>
      <c r="IM48">
        <v>-1.629490614973607E-10</v>
      </c>
      <c r="IN48">
        <v>-0.09531406441470595</v>
      </c>
      <c r="IO48">
        <v>-0.008240702679890409</v>
      </c>
      <c r="IP48">
        <v>0.001077697425498046</v>
      </c>
      <c r="IQ48">
        <v>-1.69598232850356E-05</v>
      </c>
      <c r="IR48">
        <v>3</v>
      </c>
      <c r="IS48">
        <v>2280</v>
      </c>
      <c r="IT48">
        <v>1</v>
      </c>
      <c r="IU48">
        <v>25</v>
      </c>
      <c r="IV48">
        <v>1244</v>
      </c>
      <c r="IW48">
        <v>1241.5</v>
      </c>
      <c r="IX48">
        <v>1.2207</v>
      </c>
      <c r="IY48">
        <v>2.23511</v>
      </c>
      <c r="IZ48">
        <v>1.39648</v>
      </c>
      <c r="JA48">
        <v>2.35229</v>
      </c>
      <c r="JB48">
        <v>1.49536</v>
      </c>
      <c r="JC48">
        <v>2.32056</v>
      </c>
      <c r="JD48">
        <v>38.7717</v>
      </c>
      <c r="JE48">
        <v>24.0525</v>
      </c>
      <c r="JF48">
        <v>18</v>
      </c>
      <c r="JG48">
        <v>508.748</v>
      </c>
      <c r="JH48">
        <v>429.703</v>
      </c>
      <c r="JI48">
        <v>28.1497</v>
      </c>
      <c r="JJ48">
        <v>27.869</v>
      </c>
      <c r="JK48">
        <v>30.0001</v>
      </c>
      <c r="JL48">
        <v>27.7862</v>
      </c>
      <c r="JM48">
        <v>27.7207</v>
      </c>
      <c r="JN48">
        <v>24.4473</v>
      </c>
      <c r="JO48">
        <v>28.9715</v>
      </c>
      <c r="JP48">
        <v>0</v>
      </c>
      <c r="JQ48">
        <v>-999.9</v>
      </c>
      <c r="JR48">
        <v>513.3150000000001</v>
      </c>
      <c r="JS48">
        <v>21.1497</v>
      </c>
      <c r="JT48">
        <v>100.523</v>
      </c>
      <c r="JU48">
        <v>100.419</v>
      </c>
    </row>
    <row r="49" spans="1:281">
      <c r="A49">
        <v>33</v>
      </c>
      <c r="B49">
        <v>1651772159</v>
      </c>
      <c r="C49">
        <v>281.4000000953674</v>
      </c>
      <c r="D49" t="s">
        <v>488</v>
      </c>
      <c r="E49" t="s">
        <v>489</v>
      </c>
      <c r="F49">
        <v>5</v>
      </c>
      <c r="H49" t="s">
        <v>417</v>
      </c>
      <c r="I49">
        <v>1651772156.5</v>
      </c>
      <c r="J49">
        <f>(K49)/1000</f>
        <v>0</v>
      </c>
      <c r="K49">
        <f>IF(CZ49, AN49, AH49)</f>
        <v>0</v>
      </c>
      <c r="L49">
        <f>IF(CZ49, AI49, AG49)</f>
        <v>0</v>
      </c>
      <c r="M49">
        <f>DB49 - IF(AU49&gt;1, L49*CV49*100.0/(AW49*DP49), 0)</f>
        <v>0</v>
      </c>
      <c r="N49">
        <f>((T49-J49/2)*M49-L49)/(T49+J49/2)</f>
        <v>0</v>
      </c>
      <c r="O49">
        <f>N49*(DI49+DJ49)/1000.0</f>
        <v>0</v>
      </c>
      <c r="P49">
        <f>(DB49 - IF(AU49&gt;1, L49*CV49*100.0/(AW49*DP49), 0))*(DI49+DJ49)/1000.0</f>
        <v>0</v>
      </c>
      <c r="Q49">
        <f>2.0/((1/S49-1/R49)+SIGN(S49)*SQRT((1/S49-1/R49)*(1/S49-1/R49) + 4*CW49/((CW49+1)*(CW49+1))*(2*1/S49*1/R49-1/R49*1/R49)))</f>
        <v>0</v>
      </c>
      <c r="R49">
        <f>IF(LEFT(CX49,1)&lt;&gt;"0",IF(LEFT(CX49,1)="1",3.0,CY49),$D$5+$E$5*(DP49*DI49/($K$5*1000))+$F$5*(DP49*DI49/($K$5*1000))*MAX(MIN(CV49,$J$5),$I$5)*MAX(MIN(CV49,$J$5),$I$5)+$G$5*MAX(MIN(CV49,$J$5),$I$5)*(DP49*DI49/($K$5*1000))+$H$5*(DP49*DI49/($K$5*1000))*(DP49*DI49/($K$5*1000)))</f>
        <v>0</v>
      </c>
      <c r="S49">
        <f>J49*(1000-(1000*0.61365*exp(17.502*W49/(240.97+W49))/(DI49+DJ49)+DD49)/2)/(1000*0.61365*exp(17.502*W49/(240.97+W49))/(DI49+DJ49)-DD49)</f>
        <v>0</v>
      </c>
      <c r="T49">
        <f>1/((CW49+1)/(Q49/1.6)+1/(R49/1.37)) + CW49/((CW49+1)/(Q49/1.6) + CW49/(R49/1.37))</f>
        <v>0</v>
      </c>
      <c r="U49">
        <f>(CR49*CU49)</f>
        <v>0</v>
      </c>
      <c r="V49">
        <f>(DK49+(U49+2*0.95*5.67E-8*(((DK49+$B$7)+273)^4-(DK49+273)^4)-44100*J49)/(1.84*29.3*R49+8*0.95*5.67E-8*(DK49+273)^3))</f>
        <v>0</v>
      </c>
      <c r="W49">
        <f>($C$7*DL49+$D$7*DM49+$E$7*V49)</f>
        <v>0</v>
      </c>
      <c r="X49">
        <f>0.61365*exp(17.502*W49/(240.97+W49))</f>
        <v>0</v>
      </c>
      <c r="Y49">
        <f>(Z49/AA49*100)</f>
        <v>0</v>
      </c>
      <c r="Z49">
        <f>DD49*(DI49+DJ49)/1000</f>
        <v>0</v>
      </c>
      <c r="AA49">
        <f>0.61365*exp(17.502*DK49/(240.97+DK49))</f>
        <v>0</v>
      </c>
      <c r="AB49">
        <f>(X49-DD49*(DI49+DJ49)/1000)</f>
        <v>0</v>
      </c>
      <c r="AC49">
        <f>(-J49*44100)</f>
        <v>0</v>
      </c>
      <c r="AD49">
        <f>2*29.3*R49*0.92*(DK49-W49)</f>
        <v>0</v>
      </c>
      <c r="AE49">
        <f>2*0.95*5.67E-8*(((DK49+$B$7)+273)^4-(W49+273)^4)</f>
        <v>0</v>
      </c>
      <c r="AF49">
        <f>U49+AE49+AC49+AD49</f>
        <v>0</v>
      </c>
      <c r="AG49">
        <f>DH49*AU49*(DC49-DB49*(1000-AU49*DE49)/(1000-AU49*DD49))/(100*CV49)</f>
        <v>0</v>
      </c>
      <c r="AH49">
        <f>1000*DH49*AU49*(DD49-DE49)/(100*CV49*(1000-AU49*DD49))</f>
        <v>0</v>
      </c>
      <c r="AI49">
        <f>(AJ49 - AK49 - DI49*1E3/(8.314*(DK49+273.15)) * AM49/DH49 * AL49) * DH49/(100*CV49) * (1000 - DE49)/1000</f>
        <v>0</v>
      </c>
      <c r="AJ49">
        <v>513.6832854430533</v>
      </c>
      <c r="AK49">
        <v>477.5118848484849</v>
      </c>
      <c r="AL49">
        <v>2.080081621962911</v>
      </c>
      <c r="AM49">
        <v>66.72507702095443</v>
      </c>
      <c r="AN49">
        <f>(AP49 - AO49 + DI49*1E3/(8.314*(DK49+273.15)) * AR49/DH49 * AQ49) * DH49/(100*CV49) * 1000/(1000 - AP49)</f>
        <v>0</v>
      </c>
      <c r="AO49">
        <v>21.17284554359276</v>
      </c>
      <c r="AP49">
        <v>26.62331696969698</v>
      </c>
      <c r="AQ49">
        <v>0.000147442888482924</v>
      </c>
      <c r="AR49">
        <v>78.22078291278521</v>
      </c>
      <c r="AS49">
        <v>1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MAX(0,($B$13+$C$13*DP49)/(1+$D$13*DP49)*DI49/(DK49+273)*$E$13)</f>
        <v>0</v>
      </c>
      <c r="AX49" t="s">
        <v>418</v>
      </c>
      <c r="AY49" t="s">
        <v>418</v>
      </c>
      <c r="AZ49">
        <v>0</v>
      </c>
      <c r="BA49">
        <v>0</v>
      </c>
      <c r="BB49">
        <f>1-AZ49/BA49</f>
        <v>0</v>
      </c>
      <c r="BC49">
        <v>0</v>
      </c>
      <c r="BD49" t="s">
        <v>418</v>
      </c>
      <c r="BE49" t="s">
        <v>418</v>
      </c>
      <c r="BF49">
        <v>0</v>
      </c>
      <c r="BG49">
        <v>0</v>
      </c>
      <c r="BH49">
        <f>1-BF49/BG49</f>
        <v>0</v>
      </c>
      <c r="BI49">
        <v>0.5</v>
      </c>
      <c r="BJ49">
        <f>CS49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418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f>$B$11*DQ49+$C$11*DR49+$F$11*EC49*(1-EF49)</f>
        <v>0</v>
      </c>
      <c r="CS49">
        <f>CR49*CT49</f>
        <v>0</v>
      </c>
      <c r="CT49">
        <f>($B$11*$D$9+$C$11*$D$9+$F$11*((EP49+EH49)/MAX(EP49+EH49+EQ49, 0.1)*$I$9+EQ49/MAX(EP49+EH49+EQ49, 0.1)*$J$9))/($B$11+$C$11+$F$11)</f>
        <v>0</v>
      </c>
      <c r="CU49">
        <f>($B$11*$K$9+$C$11*$K$9+$F$11*((EP49+EH49)/MAX(EP49+EH49+EQ49, 0.1)*$P$9+EQ49/MAX(EP49+EH49+EQ49, 0.1)*$Q$9))/($B$11+$C$11+$F$11)</f>
        <v>0</v>
      </c>
      <c r="CV49">
        <v>6</v>
      </c>
      <c r="CW49">
        <v>0.5</v>
      </c>
      <c r="CX49" t="s">
        <v>419</v>
      </c>
      <c r="CY49">
        <v>2</v>
      </c>
      <c r="CZ49" t="b">
        <v>1</v>
      </c>
      <c r="DA49">
        <v>1651772156.5</v>
      </c>
      <c r="DB49">
        <v>460.6823333333333</v>
      </c>
      <c r="DC49">
        <v>503.6603333333333</v>
      </c>
      <c r="DD49">
        <v>26.6191</v>
      </c>
      <c r="DE49">
        <v>21.17265555555555</v>
      </c>
      <c r="DF49">
        <v>462.537</v>
      </c>
      <c r="DG49">
        <v>26.49167777777778</v>
      </c>
      <c r="DH49">
        <v>500.0413333333333</v>
      </c>
      <c r="DI49">
        <v>90.29923333333333</v>
      </c>
      <c r="DJ49">
        <v>0.09999706666666668</v>
      </c>
      <c r="DK49">
        <v>29.17793333333334</v>
      </c>
      <c r="DL49">
        <v>28.5241</v>
      </c>
      <c r="DM49">
        <v>999.9000000000001</v>
      </c>
      <c r="DN49">
        <v>0</v>
      </c>
      <c r="DO49">
        <v>0</v>
      </c>
      <c r="DP49">
        <v>10010.82777777778</v>
      </c>
      <c r="DQ49">
        <v>0</v>
      </c>
      <c r="DR49">
        <v>13.25562222222222</v>
      </c>
      <c r="DS49">
        <v>-42.97786666666667</v>
      </c>
      <c r="DT49">
        <v>473.2807777777778</v>
      </c>
      <c r="DU49">
        <v>514.5545555555555</v>
      </c>
      <c r="DV49">
        <v>5.446443333333333</v>
      </c>
      <c r="DW49">
        <v>503.6603333333333</v>
      </c>
      <c r="DX49">
        <v>21.17265555555555</v>
      </c>
      <c r="DY49">
        <v>2.403682222222222</v>
      </c>
      <c r="DZ49">
        <v>1.911874444444445</v>
      </c>
      <c r="EA49">
        <v>20.3886</v>
      </c>
      <c r="EB49">
        <v>16.73276666666667</v>
      </c>
      <c r="EC49">
        <v>1500.047777777778</v>
      </c>
      <c r="ED49">
        <v>0.9729941111111111</v>
      </c>
      <c r="EE49">
        <v>0.02700562222222222</v>
      </c>
      <c r="EF49">
        <v>0</v>
      </c>
      <c r="EG49">
        <v>2.485666666666667</v>
      </c>
      <c r="EH49">
        <v>0</v>
      </c>
      <c r="EI49">
        <v>15146.86666666666</v>
      </c>
      <c r="EJ49">
        <v>12533.75555555556</v>
      </c>
      <c r="EK49">
        <v>36.5</v>
      </c>
      <c r="EL49">
        <v>38.062</v>
      </c>
      <c r="EM49">
        <v>36.93011111111111</v>
      </c>
      <c r="EN49">
        <v>37.375</v>
      </c>
      <c r="EO49">
        <v>36.375</v>
      </c>
      <c r="EP49">
        <v>1459.534444444444</v>
      </c>
      <c r="EQ49">
        <v>40.51111111111111</v>
      </c>
      <c r="ER49">
        <v>0</v>
      </c>
      <c r="ES49">
        <v>1651772160.2</v>
      </c>
      <c r="ET49">
        <v>0</v>
      </c>
      <c r="EU49">
        <v>2.373288461538462</v>
      </c>
      <c r="EV49">
        <v>0.1304307664035445</v>
      </c>
      <c r="EW49">
        <v>3.972649577191538</v>
      </c>
      <c r="EX49">
        <v>15146.66153846154</v>
      </c>
      <c r="EY49">
        <v>15</v>
      </c>
      <c r="EZ49">
        <v>0</v>
      </c>
      <c r="FA49" t="s">
        <v>420</v>
      </c>
      <c r="FB49">
        <v>1651697511.6</v>
      </c>
      <c r="FC49">
        <v>1651697666.1</v>
      </c>
      <c r="FD49">
        <v>0</v>
      </c>
      <c r="FE49">
        <v>-0.019</v>
      </c>
      <c r="FF49">
        <v>0.013</v>
      </c>
      <c r="FG49">
        <v>-2.121</v>
      </c>
      <c r="FH49">
        <v>0.041</v>
      </c>
      <c r="FI49">
        <v>420</v>
      </c>
      <c r="FJ49">
        <v>22</v>
      </c>
      <c r="FK49">
        <v>1.72</v>
      </c>
      <c r="FL49">
        <v>0.27</v>
      </c>
      <c r="FM49">
        <v>-32.2032275</v>
      </c>
      <c r="FN49">
        <v>-54.40373470919327</v>
      </c>
      <c r="FO49">
        <v>5.794022406065905</v>
      </c>
      <c r="FP49">
        <v>0</v>
      </c>
      <c r="FQ49">
        <v>5.437899249999999</v>
      </c>
      <c r="FR49">
        <v>0.02618848030018216</v>
      </c>
      <c r="FS49">
        <v>0.007967503808439637</v>
      </c>
      <c r="FT49">
        <v>1</v>
      </c>
      <c r="FU49">
        <v>0</v>
      </c>
      <c r="FV49">
        <v>0</v>
      </c>
      <c r="FW49">
        <v>0</v>
      </c>
      <c r="FX49">
        <v>1</v>
      </c>
      <c r="FY49">
        <v>2</v>
      </c>
      <c r="FZ49">
        <v>3</v>
      </c>
      <c r="GA49" t="s">
        <v>421</v>
      </c>
      <c r="GB49">
        <v>2.98149</v>
      </c>
      <c r="GC49">
        <v>2.70625</v>
      </c>
      <c r="GD49">
        <v>0.101955</v>
      </c>
      <c r="GE49">
        <v>0.107821</v>
      </c>
      <c r="GF49">
        <v>0.114377</v>
      </c>
      <c r="GG49">
        <v>0.09619709999999999</v>
      </c>
      <c r="GH49">
        <v>28405.4</v>
      </c>
      <c r="GI49">
        <v>28275.9</v>
      </c>
      <c r="GJ49">
        <v>29405.5</v>
      </c>
      <c r="GK49">
        <v>29315.3</v>
      </c>
      <c r="GL49">
        <v>34473.1</v>
      </c>
      <c r="GM49">
        <v>35272.8</v>
      </c>
      <c r="GN49">
        <v>41395.2</v>
      </c>
      <c r="GO49">
        <v>41837.8</v>
      </c>
      <c r="GP49">
        <v>1.9632</v>
      </c>
      <c r="GQ49">
        <v>1.86187</v>
      </c>
      <c r="GR49">
        <v>0.07336959999999999</v>
      </c>
      <c r="GS49">
        <v>0</v>
      </c>
      <c r="GT49">
        <v>27.3226</v>
      </c>
      <c r="GU49">
        <v>999.9</v>
      </c>
      <c r="GV49">
        <v>44.9</v>
      </c>
      <c r="GW49">
        <v>35</v>
      </c>
      <c r="GX49">
        <v>28.0853</v>
      </c>
      <c r="GY49">
        <v>62.8608</v>
      </c>
      <c r="GZ49">
        <v>36.6787</v>
      </c>
      <c r="HA49">
        <v>1</v>
      </c>
      <c r="HB49">
        <v>0.0356047</v>
      </c>
      <c r="HC49">
        <v>0</v>
      </c>
      <c r="HD49">
        <v>20.3466</v>
      </c>
      <c r="HE49">
        <v>5.21579</v>
      </c>
      <c r="HF49">
        <v>12.0086</v>
      </c>
      <c r="HG49">
        <v>4.98805</v>
      </c>
      <c r="HH49">
        <v>3.28865</v>
      </c>
      <c r="HI49">
        <v>492.5</v>
      </c>
      <c r="HJ49">
        <v>3619.3</v>
      </c>
      <c r="HK49">
        <v>4564.3</v>
      </c>
      <c r="HL49">
        <v>17.7</v>
      </c>
      <c r="HM49">
        <v>1.86768</v>
      </c>
      <c r="HN49">
        <v>1.86661</v>
      </c>
      <c r="HO49">
        <v>1.86615</v>
      </c>
      <c r="HP49">
        <v>1.86604</v>
      </c>
      <c r="HQ49">
        <v>1.86783</v>
      </c>
      <c r="HR49">
        <v>1.8704</v>
      </c>
      <c r="HS49">
        <v>1.86905</v>
      </c>
      <c r="HT49">
        <v>1.87042</v>
      </c>
      <c r="HU49">
        <v>0</v>
      </c>
      <c r="HV49">
        <v>0</v>
      </c>
      <c r="HW49">
        <v>0</v>
      </c>
      <c r="HX49">
        <v>0</v>
      </c>
      <c r="HY49" t="s">
        <v>422</v>
      </c>
      <c r="HZ49" t="s">
        <v>423</v>
      </c>
      <c r="IA49" t="s">
        <v>424</v>
      </c>
      <c r="IB49" t="s">
        <v>424</v>
      </c>
      <c r="IC49" t="s">
        <v>424</v>
      </c>
      <c r="ID49" t="s">
        <v>424</v>
      </c>
      <c r="IE49">
        <v>0</v>
      </c>
      <c r="IF49">
        <v>100</v>
      </c>
      <c r="IG49">
        <v>100</v>
      </c>
      <c r="IH49">
        <v>-1.864</v>
      </c>
      <c r="II49">
        <v>0.1275</v>
      </c>
      <c r="IJ49">
        <v>-1.064712027753117</v>
      </c>
      <c r="IK49">
        <v>-0.001826611574738555</v>
      </c>
      <c r="IL49">
        <v>3.313362389709971E-07</v>
      </c>
      <c r="IM49">
        <v>-1.629490614973607E-10</v>
      </c>
      <c r="IN49">
        <v>-0.09531406441470595</v>
      </c>
      <c r="IO49">
        <v>-0.008240702679890409</v>
      </c>
      <c r="IP49">
        <v>0.001077697425498046</v>
      </c>
      <c r="IQ49">
        <v>-1.69598232850356E-05</v>
      </c>
      <c r="IR49">
        <v>3</v>
      </c>
      <c r="IS49">
        <v>2280</v>
      </c>
      <c r="IT49">
        <v>1</v>
      </c>
      <c r="IU49">
        <v>25</v>
      </c>
      <c r="IV49">
        <v>1244.1</v>
      </c>
      <c r="IW49">
        <v>1241.5</v>
      </c>
      <c r="IX49">
        <v>1.25244</v>
      </c>
      <c r="IY49">
        <v>2.23389</v>
      </c>
      <c r="IZ49">
        <v>1.39648</v>
      </c>
      <c r="JA49">
        <v>2.35229</v>
      </c>
      <c r="JB49">
        <v>1.49536</v>
      </c>
      <c r="JC49">
        <v>2.33276</v>
      </c>
      <c r="JD49">
        <v>38.7964</v>
      </c>
      <c r="JE49">
        <v>24.0525</v>
      </c>
      <c r="JF49">
        <v>18</v>
      </c>
      <c r="JG49">
        <v>508.89</v>
      </c>
      <c r="JH49">
        <v>429.685</v>
      </c>
      <c r="JI49">
        <v>28.155</v>
      </c>
      <c r="JJ49">
        <v>27.8708</v>
      </c>
      <c r="JK49">
        <v>30.0002</v>
      </c>
      <c r="JL49">
        <v>27.7877</v>
      </c>
      <c r="JM49">
        <v>27.7223</v>
      </c>
      <c r="JN49">
        <v>25.1249</v>
      </c>
      <c r="JO49">
        <v>28.9715</v>
      </c>
      <c r="JP49">
        <v>0</v>
      </c>
      <c r="JQ49">
        <v>-999.9</v>
      </c>
      <c r="JR49">
        <v>533.353</v>
      </c>
      <c r="JS49">
        <v>21.1186</v>
      </c>
      <c r="JT49">
        <v>100.522</v>
      </c>
      <c r="JU49">
        <v>100.418</v>
      </c>
    </row>
    <row r="50" spans="1:281">
      <c r="A50">
        <v>34</v>
      </c>
      <c r="B50">
        <v>1651772164</v>
      </c>
      <c r="C50">
        <v>286.4000000953674</v>
      </c>
      <c r="D50" t="s">
        <v>490</v>
      </c>
      <c r="E50" t="s">
        <v>491</v>
      </c>
      <c r="F50">
        <v>5</v>
      </c>
      <c r="H50" t="s">
        <v>417</v>
      </c>
      <c r="I50">
        <v>1651772161.2</v>
      </c>
      <c r="J50">
        <f>(K50)/1000</f>
        <v>0</v>
      </c>
      <c r="K50">
        <f>IF(CZ50, AN50, AH50)</f>
        <v>0</v>
      </c>
      <c r="L50">
        <f>IF(CZ50, AI50, AG50)</f>
        <v>0</v>
      </c>
      <c r="M50">
        <f>DB50 - IF(AU50&gt;1, L50*CV50*100.0/(AW50*DP50), 0)</f>
        <v>0</v>
      </c>
      <c r="N50">
        <f>((T50-J50/2)*M50-L50)/(T50+J50/2)</f>
        <v>0</v>
      </c>
      <c r="O50">
        <f>N50*(DI50+DJ50)/1000.0</f>
        <v>0</v>
      </c>
      <c r="P50">
        <f>(DB50 - IF(AU50&gt;1, L50*CV50*100.0/(AW50*DP50), 0))*(DI50+DJ50)/1000.0</f>
        <v>0</v>
      </c>
      <c r="Q50">
        <f>2.0/((1/S50-1/R50)+SIGN(S50)*SQRT((1/S50-1/R50)*(1/S50-1/R50) + 4*CW50/((CW50+1)*(CW50+1))*(2*1/S50*1/R50-1/R50*1/R50)))</f>
        <v>0</v>
      </c>
      <c r="R50">
        <f>IF(LEFT(CX50,1)&lt;&gt;"0",IF(LEFT(CX50,1)="1",3.0,CY50),$D$5+$E$5*(DP50*DI50/($K$5*1000))+$F$5*(DP50*DI50/($K$5*1000))*MAX(MIN(CV50,$J$5),$I$5)*MAX(MIN(CV50,$J$5),$I$5)+$G$5*MAX(MIN(CV50,$J$5),$I$5)*(DP50*DI50/($K$5*1000))+$H$5*(DP50*DI50/($K$5*1000))*(DP50*DI50/($K$5*1000)))</f>
        <v>0</v>
      </c>
      <c r="S50">
        <f>J50*(1000-(1000*0.61365*exp(17.502*W50/(240.97+W50))/(DI50+DJ50)+DD50)/2)/(1000*0.61365*exp(17.502*W50/(240.97+W50))/(DI50+DJ50)-DD50)</f>
        <v>0</v>
      </c>
      <c r="T50">
        <f>1/((CW50+1)/(Q50/1.6)+1/(R50/1.37)) + CW50/((CW50+1)/(Q50/1.6) + CW50/(R50/1.37))</f>
        <v>0</v>
      </c>
      <c r="U50">
        <f>(CR50*CU50)</f>
        <v>0</v>
      </c>
      <c r="V50">
        <f>(DK50+(U50+2*0.95*5.67E-8*(((DK50+$B$7)+273)^4-(DK50+273)^4)-44100*J50)/(1.84*29.3*R50+8*0.95*5.67E-8*(DK50+273)^3))</f>
        <v>0</v>
      </c>
      <c r="W50">
        <f>($C$7*DL50+$D$7*DM50+$E$7*V50)</f>
        <v>0</v>
      </c>
      <c r="X50">
        <f>0.61365*exp(17.502*W50/(240.97+W50))</f>
        <v>0</v>
      </c>
      <c r="Y50">
        <f>(Z50/AA50*100)</f>
        <v>0</v>
      </c>
      <c r="Z50">
        <f>DD50*(DI50+DJ50)/1000</f>
        <v>0</v>
      </c>
      <c r="AA50">
        <f>0.61365*exp(17.502*DK50/(240.97+DK50))</f>
        <v>0</v>
      </c>
      <c r="AB50">
        <f>(X50-DD50*(DI50+DJ50)/1000)</f>
        <v>0</v>
      </c>
      <c r="AC50">
        <f>(-J50*44100)</f>
        <v>0</v>
      </c>
      <c r="AD50">
        <f>2*29.3*R50*0.92*(DK50-W50)</f>
        <v>0</v>
      </c>
      <c r="AE50">
        <f>2*0.95*5.67E-8*(((DK50+$B$7)+273)^4-(W50+273)^4)</f>
        <v>0</v>
      </c>
      <c r="AF50">
        <f>U50+AE50+AC50+AD50</f>
        <v>0</v>
      </c>
      <c r="AG50">
        <f>DH50*AU50*(DC50-DB50*(1000-AU50*DE50)/(1000-AU50*DD50))/(100*CV50)</f>
        <v>0</v>
      </c>
      <c r="AH50">
        <f>1000*DH50*AU50*(DD50-DE50)/(100*CV50*(1000-AU50*DD50))</f>
        <v>0</v>
      </c>
      <c r="AI50">
        <f>(AJ50 - AK50 - DI50*1E3/(8.314*(DK50+273.15)) * AM50/DH50 * AL50) * DH50/(100*CV50) * (1000 - DE50)/1000</f>
        <v>0</v>
      </c>
      <c r="AJ50">
        <v>530.4172882702204</v>
      </c>
      <c r="AK50">
        <v>490.6709575757577</v>
      </c>
      <c r="AL50">
        <v>2.736902770459848</v>
      </c>
      <c r="AM50">
        <v>66.72507702095443</v>
      </c>
      <c r="AN50">
        <f>(AP50 - AO50 + DI50*1E3/(8.314*(DK50+273.15)) * AR50/DH50 * AQ50) * DH50/(100*CV50) * 1000/(1000 - AP50)</f>
        <v>0</v>
      </c>
      <c r="AO50">
        <v>21.16932313588933</v>
      </c>
      <c r="AP50">
        <v>26.63534545454545</v>
      </c>
      <c r="AQ50">
        <v>0.0002867830687254174</v>
      </c>
      <c r="AR50">
        <v>78.22078291278521</v>
      </c>
      <c r="AS50">
        <v>1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MAX(0,($B$13+$C$13*DP50)/(1+$D$13*DP50)*DI50/(DK50+273)*$E$13)</f>
        <v>0</v>
      </c>
      <c r="AX50" t="s">
        <v>418</v>
      </c>
      <c r="AY50" t="s">
        <v>418</v>
      </c>
      <c r="AZ50">
        <v>0</v>
      </c>
      <c r="BA50">
        <v>0</v>
      </c>
      <c r="BB50">
        <f>1-AZ50/BA50</f>
        <v>0</v>
      </c>
      <c r="BC50">
        <v>0</v>
      </c>
      <c r="BD50" t="s">
        <v>418</v>
      </c>
      <c r="BE50" t="s">
        <v>418</v>
      </c>
      <c r="BF50">
        <v>0</v>
      </c>
      <c r="BG50">
        <v>0</v>
      </c>
      <c r="BH50">
        <f>1-BF50/BG50</f>
        <v>0</v>
      </c>
      <c r="BI50">
        <v>0.5</v>
      </c>
      <c r="BJ50">
        <f>CS50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418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f>$B$11*DQ50+$C$11*DR50+$F$11*EC50*(1-EF50)</f>
        <v>0</v>
      </c>
      <c r="CS50">
        <f>CR50*CT50</f>
        <v>0</v>
      </c>
      <c r="CT50">
        <f>($B$11*$D$9+$C$11*$D$9+$F$11*((EP50+EH50)/MAX(EP50+EH50+EQ50, 0.1)*$I$9+EQ50/MAX(EP50+EH50+EQ50, 0.1)*$J$9))/($B$11+$C$11+$F$11)</f>
        <v>0</v>
      </c>
      <c r="CU50">
        <f>($B$11*$K$9+$C$11*$K$9+$F$11*((EP50+EH50)/MAX(EP50+EH50+EQ50, 0.1)*$P$9+EQ50/MAX(EP50+EH50+EQ50, 0.1)*$Q$9))/($B$11+$C$11+$F$11)</f>
        <v>0</v>
      </c>
      <c r="CV50">
        <v>6</v>
      </c>
      <c r="CW50">
        <v>0.5</v>
      </c>
      <c r="CX50" t="s">
        <v>419</v>
      </c>
      <c r="CY50">
        <v>2</v>
      </c>
      <c r="CZ50" t="b">
        <v>1</v>
      </c>
      <c r="DA50">
        <v>1651772161.2</v>
      </c>
      <c r="DB50">
        <v>471.4909000000001</v>
      </c>
      <c r="DC50">
        <v>519.0887</v>
      </c>
      <c r="DD50">
        <v>26.63044</v>
      </c>
      <c r="DE50">
        <v>21.1695</v>
      </c>
      <c r="DF50">
        <v>473.3634</v>
      </c>
      <c r="DG50">
        <v>26.50288</v>
      </c>
      <c r="DH50">
        <v>500.0653</v>
      </c>
      <c r="DI50">
        <v>90.29964</v>
      </c>
      <c r="DJ50">
        <v>0.10012895</v>
      </c>
      <c r="DK50">
        <v>29.18049</v>
      </c>
      <c r="DL50">
        <v>28.52003</v>
      </c>
      <c r="DM50">
        <v>999.9</v>
      </c>
      <c r="DN50">
        <v>0</v>
      </c>
      <c r="DO50">
        <v>0</v>
      </c>
      <c r="DP50">
        <v>9984.75</v>
      </c>
      <c r="DQ50">
        <v>0</v>
      </c>
      <c r="DR50">
        <v>13.265</v>
      </c>
      <c r="DS50">
        <v>-47.59779999999999</v>
      </c>
      <c r="DT50">
        <v>484.3905</v>
      </c>
      <c r="DU50">
        <v>530.3151</v>
      </c>
      <c r="DV50">
        <v>5.460933</v>
      </c>
      <c r="DW50">
        <v>519.0887</v>
      </c>
      <c r="DX50">
        <v>21.1695</v>
      </c>
      <c r="DY50">
        <v>2.404717</v>
      </c>
      <c r="DZ50">
        <v>1.9116</v>
      </c>
      <c r="EA50">
        <v>20.39558</v>
      </c>
      <c r="EB50">
        <v>16.73051</v>
      </c>
      <c r="EC50">
        <v>1499.998</v>
      </c>
      <c r="ED50">
        <v>0.9729889999999999</v>
      </c>
      <c r="EE50">
        <v>0.0270107</v>
      </c>
      <c r="EF50">
        <v>0</v>
      </c>
      <c r="EG50">
        <v>2.45636</v>
      </c>
      <c r="EH50">
        <v>0</v>
      </c>
      <c r="EI50">
        <v>15162.64</v>
      </c>
      <c r="EJ50">
        <v>12533.33</v>
      </c>
      <c r="EK50">
        <v>36.5</v>
      </c>
      <c r="EL50">
        <v>38.062</v>
      </c>
      <c r="EM50">
        <v>36.90600000000001</v>
      </c>
      <c r="EN50">
        <v>37.375</v>
      </c>
      <c r="EO50">
        <v>36.375</v>
      </c>
      <c r="EP50">
        <v>1459.478</v>
      </c>
      <c r="EQ50">
        <v>40.52</v>
      </c>
      <c r="ER50">
        <v>0</v>
      </c>
      <c r="ES50">
        <v>1651772165</v>
      </c>
      <c r="ET50">
        <v>0</v>
      </c>
      <c r="EU50">
        <v>2.385980769230769</v>
      </c>
      <c r="EV50">
        <v>0.1495282058565663</v>
      </c>
      <c r="EW50">
        <v>117.6854699434689</v>
      </c>
      <c r="EX50">
        <v>15152.48076923077</v>
      </c>
      <c r="EY50">
        <v>15</v>
      </c>
      <c r="EZ50">
        <v>0</v>
      </c>
      <c r="FA50" t="s">
        <v>420</v>
      </c>
      <c r="FB50">
        <v>1651697511.6</v>
      </c>
      <c r="FC50">
        <v>1651697666.1</v>
      </c>
      <c r="FD50">
        <v>0</v>
      </c>
      <c r="FE50">
        <v>-0.019</v>
      </c>
      <c r="FF50">
        <v>0.013</v>
      </c>
      <c r="FG50">
        <v>-2.121</v>
      </c>
      <c r="FH50">
        <v>0.041</v>
      </c>
      <c r="FI50">
        <v>420</v>
      </c>
      <c r="FJ50">
        <v>22</v>
      </c>
      <c r="FK50">
        <v>1.72</v>
      </c>
      <c r="FL50">
        <v>0.27</v>
      </c>
      <c r="FM50">
        <v>-38.100135</v>
      </c>
      <c r="FN50">
        <v>-79.97459887429642</v>
      </c>
      <c r="FO50">
        <v>7.785027004049183</v>
      </c>
      <c r="FP50">
        <v>0</v>
      </c>
      <c r="FQ50">
        <v>5.444293499999999</v>
      </c>
      <c r="FR50">
        <v>0.1073304315197084</v>
      </c>
      <c r="FS50">
        <v>0.01109090856287258</v>
      </c>
      <c r="FT50">
        <v>1</v>
      </c>
      <c r="FU50">
        <v>0</v>
      </c>
      <c r="FV50">
        <v>0</v>
      </c>
      <c r="FW50">
        <v>0</v>
      </c>
      <c r="FX50">
        <v>1</v>
      </c>
      <c r="FY50">
        <v>2</v>
      </c>
      <c r="FZ50">
        <v>3</v>
      </c>
      <c r="GA50" t="s">
        <v>421</v>
      </c>
      <c r="GB50">
        <v>2.9816</v>
      </c>
      <c r="GC50">
        <v>2.70601</v>
      </c>
      <c r="GD50">
        <v>0.10406</v>
      </c>
      <c r="GE50">
        <v>0.110363</v>
      </c>
      <c r="GF50">
        <v>0.114415</v>
      </c>
      <c r="GG50">
        <v>0.0961915</v>
      </c>
      <c r="GH50">
        <v>28338.4</v>
      </c>
      <c r="GI50">
        <v>28195.3</v>
      </c>
      <c r="GJ50">
        <v>29405.2</v>
      </c>
      <c r="GK50">
        <v>29315.2</v>
      </c>
      <c r="GL50">
        <v>34471.3</v>
      </c>
      <c r="GM50">
        <v>35273.1</v>
      </c>
      <c r="GN50">
        <v>41394.7</v>
      </c>
      <c r="GO50">
        <v>41837.8</v>
      </c>
      <c r="GP50">
        <v>1.96305</v>
      </c>
      <c r="GQ50">
        <v>1.86195</v>
      </c>
      <c r="GR50">
        <v>0.0734255</v>
      </c>
      <c r="GS50">
        <v>0</v>
      </c>
      <c r="GT50">
        <v>27.3282</v>
      </c>
      <c r="GU50">
        <v>999.9</v>
      </c>
      <c r="GV50">
        <v>44.9</v>
      </c>
      <c r="GW50">
        <v>35</v>
      </c>
      <c r="GX50">
        <v>28.0846</v>
      </c>
      <c r="GY50">
        <v>62.7208</v>
      </c>
      <c r="GZ50">
        <v>36.4784</v>
      </c>
      <c r="HA50">
        <v>1</v>
      </c>
      <c r="HB50">
        <v>0.0355945</v>
      </c>
      <c r="HC50">
        <v>0</v>
      </c>
      <c r="HD50">
        <v>20.3465</v>
      </c>
      <c r="HE50">
        <v>5.21564</v>
      </c>
      <c r="HF50">
        <v>12.0088</v>
      </c>
      <c r="HG50">
        <v>4.98795</v>
      </c>
      <c r="HH50">
        <v>3.28858</v>
      </c>
      <c r="HI50">
        <v>492.5</v>
      </c>
      <c r="HJ50">
        <v>3619.3</v>
      </c>
      <c r="HK50">
        <v>4564.3</v>
      </c>
      <c r="HL50">
        <v>17.7</v>
      </c>
      <c r="HM50">
        <v>1.86768</v>
      </c>
      <c r="HN50">
        <v>1.86661</v>
      </c>
      <c r="HO50">
        <v>1.86615</v>
      </c>
      <c r="HP50">
        <v>1.86603</v>
      </c>
      <c r="HQ50">
        <v>1.86784</v>
      </c>
      <c r="HR50">
        <v>1.87039</v>
      </c>
      <c r="HS50">
        <v>1.86905</v>
      </c>
      <c r="HT50">
        <v>1.87042</v>
      </c>
      <c r="HU50">
        <v>0</v>
      </c>
      <c r="HV50">
        <v>0</v>
      </c>
      <c r="HW50">
        <v>0</v>
      </c>
      <c r="HX50">
        <v>0</v>
      </c>
      <c r="HY50" t="s">
        <v>422</v>
      </c>
      <c r="HZ50" t="s">
        <v>423</v>
      </c>
      <c r="IA50" t="s">
        <v>424</v>
      </c>
      <c r="IB50" t="s">
        <v>424</v>
      </c>
      <c r="IC50" t="s">
        <v>424</v>
      </c>
      <c r="ID50" t="s">
        <v>424</v>
      </c>
      <c r="IE50">
        <v>0</v>
      </c>
      <c r="IF50">
        <v>100</v>
      </c>
      <c r="IG50">
        <v>100</v>
      </c>
      <c r="IH50">
        <v>-1.885</v>
      </c>
      <c r="II50">
        <v>0.1277</v>
      </c>
      <c r="IJ50">
        <v>-1.064712027753117</v>
      </c>
      <c r="IK50">
        <v>-0.001826611574738555</v>
      </c>
      <c r="IL50">
        <v>3.313362389709971E-07</v>
      </c>
      <c r="IM50">
        <v>-1.629490614973607E-10</v>
      </c>
      <c r="IN50">
        <v>-0.09531406441470595</v>
      </c>
      <c r="IO50">
        <v>-0.008240702679890409</v>
      </c>
      <c r="IP50">
        <v>0.001077697425498046</v>
      </c>
      <c r="IQ50">
        <v>-1.69598232850356E-05</v>
      </c>
      <c r="IR50">
        <v>3</v>
      </c>
      <c r="IS50">
        <v>2280</v>
      </c>
      <c r="IT50">
        <v>1</v>
      </c>
      <c r="IU50">
        <v>25</v>
      </c>
      <c r="IV50">
        <v>1244.2</v>
      </c>
      <c r="IW50">
        <v>1241.6</v>
      </c>
      <c r="IX50">
        <v>1.28418</v>
      </c>
      <c r="IY50">
        <v>2.23755</v>
      </c>
      <c r="IZ50">
        <v>1.39648</v>
      </c>
      <c r="JA50">
        <v>2.35352</v>
      </c>
      <c r="JB50">
        <v>1.49536</v>
      </c>
      <c r="JC50">
        <v>2.3291</v>
      </c>
      <c r="JD50">
        <v>38.7964</v>
      </c>
      <c r="JE50">
        <v>24.0525</v>
      </c>
      <c r="JF50">
        <v>18</v>
      </c>
      <c r="JG50">
        <v>508.813</v>
      </c>
      <c r="JH50">
        <v>429.74</v>
      </c>
      <c r="JI50">
        <v>28.1602</v>
      </c>
      <c r="JJ50">
        <v>27.8728</v>
      </c>
      <c r="JK50">
        <v>30.0002</v>
      </c>
      <c r="JL50">
        <v>27.79</v>
      </c>
      <c r="JM50">
        <v>27.7236</v>
      </c>
      <c r="JN50">
        <v>25.7182</v>
      </c>
      <c r="JO50">
        <v>28.9715</v>
      </c>
      <c r="JP50">
        <v>0</v>
      </c>
      <c r="JQ50">
        <v>-999.9</v>
      </c>
      <c r="JR50">
        <v>546.713</v>
      </c>
      <c r="JS50">
        <v>21.0869</v>
      </c>
      <c r="JT50">
        <v>100.521</v>
      </c>
      <c r="JU50">
        <v>100.418</v>
      </c>
    </row>
    <row r="51" spans="1:281">
      <c r="A51">
        <v>35</v>
      </c>
      <c r="B51">
        <v>1651772169</v>
      </c>
      <c r="C51">
        <v>291.4000000953674</v>
      </c>
      <c r="D51" t="s">
        <v>492</v>
      </c>
      <c r="E51" t="s">
        <v>493</v>
      </c>
      <c r="F51">
        <v>5</v>
      </c>
      <c r="H51" t="s">
        <v>417</v>
      </c>
      <c r="I51">
        <v>1651772166.5</v>
      </c>
      <c r="J51">
        <f>(K51)/1000</f>
        <v>0</v>
      </c>
      <c r="K51">
        <f>IF(CZ51, AN51, AH51)</f>
        <v>0</v>
      </c>
      <c r="L51">
        <f>IF(CZ51, AI51, AG51)</f>
        <v>0</v>
      </c>
      <c r="M51">
        <f>DB51 - IF(AU51&gt;1, L51*CV51*100.0/(AW51*DP51), 0)</f>
        <v>0</v>
      </c>
      <c r="N51">
        <f>((T51-J51/2)*M51-L51)/(T51+J51/2)</f>
        <v>0</v>
      </c>
      <c r="O51">
        <f>N51*(DI51+DJ51)/1000.0</f>
        <v>0</v>
      </c>
      <c r="P51">
        <f>(DB51 - IF(AU51&gt;1, L51*CV51*100.0/(AW51*DP51), 0))*(DI51+DJ51)/1000.0</f>
        <v>0</v>
      </c>
      <c r="Q51">
        <f>2.0/((1/S51-1/R51)+SIGN(S51)*SQRT((1/S51-1/R51)*(1/S51-1/R51) + 4*CW51/((CW51+1)*(CW51+1))*(2*1/S51*1/R51-1/R51*1/R51)))</f>
        <v>0</v>
      </c>
      <c r="R51">
        <f>IF(LEFT(CX51,1)&lt;&gt;"0",IF(LEFT(CX51,1)="1",3.0,CY51),$D$5+$E$5*(DP51*DI51/($K$5*1000))+$F$5*(DP51*DI51/($K$5*1000))*MAX(MIN(CV51,$J$5),$I$5)*MAX(MIN(CV51,$J$5),$I$5)+$G$5*MAX(MIN(CV51,$J$5),$I$5)*(DP51*DI51/($K$5*1000))+$H$5*(DP51*DI51/($K$5*1000))*(DP51*DI51/($K$5*1000)))</f>
        <v>0</v>
      </c>
      <c r="S51">
        <f>J51*(1000-(1000*0.61365*exp(17.502*W51/(240.97+W51))/(DI51+DJ51)+DD51)/2)/(1000*0.61365*exp(17.502*W51/(240.97+W51))/(DI51+DJ51)-DD51)</f>
        <v>0</v>
      </c>
      <c r="T51">
        <f>1/((CW51+1)/(Q51/1.6)+1/(R51/1.37)) + CW51/((CW51+1)/(Q51/1.6) + CW51/(R51/1.37))</f>
        <v>0</v>
      </c>
      <c r="U51">
        <f>(CR51*CU51)</f>
        <v>0</v>
      </c>
      <c r="V51">
        <f>(DK51+(U51+2*0.95*5.67E-8*(((DK51+$B$7)+273)^4-(DK51+273)^4)-44100*J51)/(1.84*29.3*R51+8*0.95*5.67E-8*(DK51+273)^3))</f>
        <v>0</v>
      </c>
      <c r="W51">
        <f>($C$7*DL51+$D$7*DM51+$E$7*V51)</f>
        <v>0</v>
      </c>
      <c r="X51">
        <f>0.61365*exp(17.502*W51/(240.97+W51))</f>
        <v>0</v>
      </c>
      <c r="Y51">
        <f>(Z51/AA51*100)</f>
        <v>0</v>
      </c>
      <c r="Z51">
        <f>DD51*(DI51+DJ51)/1000</f>
        <v>0</v>
      </c>
      <c r="AA51">
        <f>0.61365*exp(17.502*DK51/(240.97+DK51))</f>
        <v>0</v>
      </c>
      <c r="AB51">
        <f>(X51-DD51*(DI51+DJ51)/1000)</f>
        <v>0</v>
      </c>
      <c r="AC51">
        <f>(-J51*44100)</f>
        <v>0</v>
      </c>
      <c r="AD51">
        <f>2*29.3*R51*0.92*(DK51-W51)</f>
        <v>0</v>
      </c>
      <c r="AE51">
        <f>2*0.95*5.67E-8*(((DK51+$B$7)+273)^4-(W51+273)^4)</f>
        <v>0</v>
      </c>
      <c r="AF51">
        <f>U51+AE51+AC51+AD51</f>
        <v>0</v>
      </c>
      <c r="AG51">
        <f>DH51*AU51*(DC51-DB51*(1000-AU51*DE51)/(1000-AU51*DD51))/(100*CV51)</f>
        <v>0</v>
      </c>
      <c r="AH51">
        <f>1000*DH51*AU51*(DD51-DE51)/(100*CV51*(1000-AU51*DD51))</f>
        <v>0</v>
      </c>
      <c r="AI51">
        <f>(AJ51 - AK51 - DI51*1E3/(8.314*(DK51+273.15)) * AM51/DH51 * AL51) * DH51/(100*CV51) * (1000 - DE51)/1000</f>
        <v>0</v>
      </c>
      <c r="AJ51">
        <v>547.6228962748937</v>
      </c>
      <c r="AK51">
        <v>505.6605757575758</v>
      </c>
      <c r="AL51">
        <v>3.032159156755169</v>
      </c>
      <c r="AM51">
        <v>66.72507702095443</v>
      </c>
      <c r="AN51">
        <f>(AP51 - AO51 + DI51*1E3/(8.314*(DK51+273.15)) * AR51/DH51 * AQ51) * DH51/(100*CV51) * 1000/(1000 - AP51)</f>
        <v>0</v>
      </c>
      <c r="AO51">
        <v>21.16804916611981</v>
      </c>
      <c r="AP51">
        <v>26.64958121212119</v>
      </c>
      <c r="AQ51">
        <v>0.0002767157262372356</v>
      </c>
      <c r="AR51">
        <v>78.22078291278521</v>
      </c>
      <c r="AS51">
        <v>1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MAX(0,($B$13+$C$13*DP51)/(1+$D$13*DP51)*DI51/(DK51+273)*$E$13)</f>
        <v>0</v>
      </c>
      <c r="AX51" t="s">
        <v>418</v>
      </c>
      <c r="AY51" t="s">
        <v>418</v>
      </c>
      <c r="AZ51">
        <v>0</v>
      </c>
      <c r="BA51">
        <v>0</v>
      </c>
      <c r="BB51">
        <f>1-AZ51/BA51</f>
        <v>0</v>
      </c>
      <c r="BC51">
        <v>0</v>
      </c>
      <c r="BD51" t="s">
        <v>418</v>
      </c>
      <c r="BE51" t="s">
        <v>418</v>
      </c>
      <c r="BF51">
        <v>0</v>
      </c>
      <c r="BG51">
        <v>0</v>
      </c>
      <c r="BH51">
        <f>1-BF51/BG51</f>
        <v>0</v>
      </c>
      <c r="BI51">
        <v>0.5</v>
      </c>
      <c r="BJ51">
        <f>CS51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418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f>$B$11*DQ51+$C$11*DR51+$F$11*EC51*(1-EF51)</f>
        <v>0</v>
      </c>
      <c r="CS51">
        <f>CR51*CT51</f>
        <v>0</v>
      </c>
      <c r="CT51">
        <f>($B$11*$D$9+$C$11*$D$9+$F$11*((EP51+EH51)/MAX(EP51+EH51+EQ51, 0.1)*$I$9+EQ51/MAX(EP51+EH51+EQ51, 0.1)*$J$9))/($B$11+$C$11+$F$11)</f>
        <v>0</v>
      </c>
      <c r="CU51">
        <f>($B$11*$K$9+$C$11*$K$9+$F$11*((EP51+EH51)/MAX(EP51+EH51+EQ51, 0.1)*$P$9+EQ51/MAX(EP51+EH51+EQ51, 0.1)*$Q$9))/($B$11+$C$11+$F$11)</f>
        <v>0</v>
      </c>
      <c r="CV51">
        <v>6</v>
      </c>
      <c r="CW51">
        <v>0.5</v>
      </c>
      <c r="CX51" t="s">
        <v>419</v>
      </c>
      <c r="CY51">
        <v>2</v>
      </c>
      <c r="CZ51" t="b">
        <v>1</v>
      </c>
      <c r="DA51">
        <v>1651772166.5</v>
      </c>
      <c r="DB51">
        <v>486.2745555555556</v>
      </c>
      <c r="DC51">
        <v>536.7937777777778</v>
      </c>
      <c r="DD51">
        <v>26.64423333333333</v>
      </c>
      <c r="DE51">
        <v>21.1675</v>
      </c>
      <c r="DF51">
        <v>488.1707777777778</v>
      </c>
      <c r="DG51">
        <v>26.51653333333334</v>
      </c>
      <c r="DH51">
        <v>500.0126666666667</v>
      </c>
      <c r="DI51">
        <v>90.30144444444446</v>
      </c>
      <c r="DJ51">
        <v>0.09987967777777777</v>
      </c>
      <c r="DK51">
        <v>29.18572222222222</v>
      </c>
      <c r="DL51">
        <v>28.52926666666666</v>
      </c>
      <c r="DM51">
        <v>999.9000000000001</v>
      </c>
      <c r="DN51">
        <v>0</v>
      </c>
      <c r="DO51">
        <v>0</v>
      </c>
      <c r="DP51">
        <v>10015.56666666667</v>
      </c>
      <c r="DQ51">
        <v>0</v>
      </c>
      <c r="DR51">
        <v>13.265</v>
      </c>
      <c r="DS51">
        <v>-50.51914444444444</v>
      </c>
      <c r="DT51">
        <v>499.5854444444445</v>
      </c>
      <c r="DU51">
        <v>548.4018888888889</v>
      </c>
      <c r="DV51">
        <v>5.476736666666667</v>
      </c>
      <c r="DW51">
        <v>536.7937777777778</v>
      </c>
      <c r="DX51">
        <v>21.1675</v>
      </c>
      <c r="DY51">
        <v>2.406014444444445</v>
      </c>
      <c r="DZ51">
        <v>1.911456666666667</v>
      </c>
      <c r="EA51">
        <v>20.40431111111111</v>
      </c>
      <c r="EB51">
        <v>16.72934444444444</v>
      </c>
      <c r="EC51">
        <v>1500.001111111111</v>
      </c>
      <c r="ED51">
        <v>0.9729889999999999</v>
      </c>
      <c r="EE51">
        <v>0.0270107</v>
      </c>
      <c r="EF51">
        <v>0</v>
      </c>
      <c r="EG51">
        <v>2.295622222222223</v>
      </c>
      <c r="EH51">
        <v>0</v>
      </c>
      <c r="EI51">
        <v>15201.38888888889</v>
      </c>
      <c r="EJ51">
        <v>12533.34444444444</v>
      </c>
      <c r="EK51">
        <v>36.5</v>
      </c>
      <c r="EL51">
        <v>38.062</v>
      </c>
      <c r="EM51">
        <v>36.90255555555555</v>
      </c>
      <c r="EN51">
        <v>37.375</v>
      </c>
      <c r="EO51">
        <v>36.375</v>
      </c>
      <c r="EP51">
        <v>1459.481111111111</v>
      </c>
      <c r="EQ51">
        <v>40.52</v>
      </c>
      <c r="ER51">
        <v>0</v>
      </c>
      <c r="ES51">
        <v>1651772169.8</v>
      </c>
      <c r="ET51">
        <v>0</v>
      </c>
      <c r="EU51">
        <v>2.379707692307692</v>
      </c>
      <c r="EV51">
        <v>-1.301839325413902</v>
      </c>
      <c r="EW51">
        <v>312.7042736532494</v>
      </c>
      <c r="EX51">
        <v>15170.04615384615</v>
      </c>
      <c r="EY51">
        <v>15</v>
      </c>
      <c r="EZ51">
        <v>0</v>
      </c>
      <c r="FA51" t="s">
        <v>420</v>
      </c>
      <c r="FB51">
        <v>1651697511.6</v>
      </c>
      <c r="FC51">
        <v>1651697666.1</v>
      </c>
      <c r="FD51">
        <v>0</v>
      </c>
      <c r="FE51">
        <v>-0.019</v>
      </c>
      <c r="FF51">
        <v>0.013</v>
      </c>
      <c r="FG51">
        <v>-2.121</v>
      </c>
      <c r="FH51">
        <v>0.041</v>
      </c>
      <c r="FI51">
        <v>420</v>
      </c>
      <c r="FJ51">
        <v>22</v>
      </c>
      <c r="FK51">
        <v>1.72</v>
      </c>
      <c r="FL51">
        <v>0.27</v>
      </c>
      <c r="FM51">
        <v>-43.7104275</v>
      </c>
      <c r="FN51">
        <v>-64.59829530956846</v>
      </c>
      <c r="FO51">
        <v>6.436140681184163</v>
      </c>
      <c r="FP51">
        <v>0</v>
      </c>
      <c r="FQ51">
        <v>5.45469175</v>
      </c>
      <c r="FR51">
        <v>0.1613994371482211</v>
      </c>
      <c r="FS51">
        <v>0.01567498275716757</v>
      </c>
      <c r="FT51">
        <v>1</v>
      </c>
      <c r="FU51">
        <v>0</v>
      </c>
      <c r="FV51">
        <v>0</v>
      </c>
      <c r="FW51">
        <v>0</v>
      </c>
      <c r="FX51">
        <v>1</v>
      </c>
      <c r="FY51">
        <v>2</v>
      </c>
      <c r="FZ51">
        <v>3</v>
      </c>
      <c r="GA51" t="s">
        <v>421</v>
      </c>
      <c r="GB51">
        <v>2.98154</v>
      </c>
      <c r="GC51">
        <v>2.70629</v>
      </c>
      <c r="GD51">
        <v>0.10639</v>
      </c>
      <c r="GE51">
        <v>0.112802</v>
      </c>
      <c r="GF51">
        <v>0.114457</v>
      </c>
      <c r="GG51">
        <v>0.09618549999999999</v>
      </c>
      <c r="GH51">
        <v>28264.2</v>
      </c>
      <c r="GI51">
        <v>28118.2</v>
      </c>
      <c r="GJ51">
        <v>29404.6</v>
      </c>
      <c r="GK51">
        <v>29315.4</v>
      </c>
      <c r="GL51">
        <v>34469.2</v>
      </c>
      <c r="GM51">
        <v>35273.7</v>
      </c>
      <c r="GN51">
        <v>41394.1</v>
      </c>
      <c r="GO51">
        <v>41838.2</v>
      </c>
      <c r="GP51">
        <v>1.963</v>
      </c>
      <c r="GQ51">
        <v>1.86187</v>
      </c>
      <c r="GR51">
        <v>0.0735</v>
      </c>
      <c r="GS51">
        <v>0</v>
      </c>
      <c r="GT51">
        <v>27.3331</v>
      </c>
      <c r="GU51">
        <v>999.9</v>
      </c>
      <c r="GV51">
        <v>44.9</v>
      </c>
      <c r="GW51">
        <v>35</v>
      </c>
      <c r="GX51">
        <v>28.0835</v>
      </c>
      <c r="GY51">
        <v>62.7008</v>
      </c>
      <c r="GZ51">
        <v>36.5104</v>
      </c>
      <c r="HA51">
        <v>1</v>
      </c>
      <c r="HB51">
        <v>0.0356377</v>
      </c>
      <c r="HC51">
        <v>0</v>
      </c>
      <c r="HD51">
        <v>20.3463</v>
      </c>
      <c r="HE51">
        <v>5.21549</v>
      </c>
      <c r="HF51">
        <v>12.0091</v>
      </c>
      <c r="HG51">
        <v>4.9877</v>
      </c>
      <c r="HH51">
        <v>3.28833</v>
      </c>
      <c r="HI51">
        <v>492.7</v>
      </c>
      <c r="HJ51">
        <v>3620.7</v>
      </c>
      <c r="HK51">
        <v>4564.3</v>
      </c>
      <c r="HL51">
        <v>17.7</v>
      </c>
      <c r="HM51">
        <v>1.86768</v>
      </c>
      <c r="HN51">
        <v>1.86661</v>
      </c>
      <c r="HO51">
        <v>1.86615</v>
      </c>
      <c r="HP51">
        <v>1.86606</v>
      </c>
      <c r="HQ51">
        <v>1.86785</v>
      </c>
      <c r="HR51">
        <v>1.87039</v>
      </c>
      <c r="HS51">
        <v>1.86905</v>
      </c>
      <c r="HT51">
        <v>1.87042</v>
      </c>
      <c r="HU51">
        <v>0</v>
      </c>
      <c r="HV51">
        <v>0</v>
      </c>
      <c r="HW51">
        <v>0</v>
      </c>
      <c r="HX51">
        <v>0</v>
      </c>
      <c r="HY51" t="s">
        <v>422</v>
      </c>
      <c r="HZ51" t="s">
        <v>423</v>
      </c>
      <c r="IA51" t="s">
        <v>424</v>
      </c>
      <c r="IB51" t="s">
        <v>424</v>
      </c>
      <c r="IC51" t="s">
        <v>424</v>
      </c>
      <c r="ID51" t="s">
        <v>424</v>
      </c>
      <c r="IE51">
        <v>0</v>
      </c>
      <c r="IF51">
        <v>100</v>
      </c>
      <c r="IG51">
        <v>100</v>
      </c>
      <c r="IH51">
        <v>-1.908</v>
      </c>
      <c r="II51">
        <v>0.1278</v>
      </c>
      <c r="IJ51">
        <v>-1.064712027753117</v>
      </c>
      <c r="IK51">
        <v>-0.001826611574738555</v>
      </c>
      <c r="IL51">
        <v>3.313362389709971E-07</v>
      </c>
      <c r="IM51">
        <v>-1.629490614973607E-10</v>
      </c>
      <c r="IN51">
        <v>-0.09531406441470595</v>
      </c>
      <c r="IO51">
        <v>-0.008240702679890409</v>
      </c>
      <c r="IP51">
        <v>0.001077697425498046</v>
      </c>
      <c r="IQ51">
        <v>-1.69598232850356E-05</v>
      </c>
      <c r="IR51">
        <v>3</v>
      </c>
      <c r="IS51">
        <v>2280</v>
      </c>
      <c r="IT51">
        <v>1</v>
      </c>
      <c r="IU51">
        <v>25</v>
      </c>
      <c r="IV51">
        <v>1244.3</v>
      </c>
      <c r="IW51">
        <v>1241.7</v>
      </c>
      <c r="IX51">
        <v>1.31836</v>
      </c>
      <c r="IY51">
        <v>2.23267</v>
      </c>
      <c r="IZ51">
        <v>1.39648</v>
      </c>
      <c r="JA51">
        <v>2.35352</v>
      </c>
      <c r="JB51">
        <v>1.49536</v>
      </c>
      <c r="JC51">
        <v>2.30347</v>
      </c>
      <c r="JD51">
        <v>38.7717</v>
      </c>
      <c r="JE51">
        <v>24.0525</v>
      </c>
      <c r="JF51">
        <v>18</v>
      </c>
      <c r="JG51">
        <v>508.793</v>
      </c>
      <c r="JH51">
        <v>429.708</v>
      </c>
      <c r="JI51">
        <v>28.1655</v>
      </c>
      <c r="JJ51">
        <v>27.8749</v>
      </c>
      <c r="JK51">
        <v>30.0002</v>
      </c>
      <c r="JL51">
        <v>27.7915</v>
      </c>
      <c r="JM51">
        <v>27.7254</v>
      </c>
      <c r="JN51">
        <v>26.384</v>
      </c>
      <c r="JO51">
        <v>29.26</v>
      </c>
      <c r="JP51">
        <v>0</v>
      </c>
      <c r="JQ51">
        <v>-999.9</v>
      </c>
      <c r="JR51">
        <v>566.7809999999999</v>
      </c>
      <c r="JS51">
        <v>21.0492</v>
      </c>
      <c r="JT51">
        <v>100.519</v>
      </c>
      <c r="JU51">
        <v>100.419</v>
      </c>
    </row>
    <row r="52" spans="1:281">
      <c r="A52">
        <v>36</v>
      </c>
      <c r="B52">
        <v>1651772174</v>
      </c>
      <c r="C52">
        <v>296.4000000953674</v>
      </c>
      <c r="D52" t="s">
        <v>494</v>
      </c>
      <c r="E52" t="s">
        <v>495</v>
      </c>
      <c r="F52">
        <v>5</v>
      </c>
      <c r="H52" t="s">
        <v>417</v>
      </c>
      <c r="I52">
        <v>1651772171.2</v>
      </c>
      <c r="J52">
        <f>(K52)/1000</f>
        <v>0</v>
      </c>
      <c r="K52">
        <f>IF(CZ52, AN52, AH52)</f>
        <v>0</v>
      </c>
      <c r="L52">
        <f>IF(CZ52, AI52, AG52)</f>
        <v>0</v>
      </c>
      <c r="M52">
        <f>DB52 - IF(AU52&gt;1, L52*CV52*100.0/(AW52*DP52), 0)</f>
        <v>0</v>
      </c>
      <c r="N52">
        <f>((T52-J52/2)*M52-L52)/(T52+J52/2)</f>
        <v>0</v>
      </c>
      <c r="O52">
        <f>N52*(DI52+DJ52)/1000.0</f>
        <v>0</v>
      </c>
      <c r="P52">
        <f>(DB52 - IF(AU52&gt;1, L52*CV52*100.0/(AW52*DP52), 0))*(DI52+DJ52)/1000.0</f>
        <v>0</v>
      </c>
      <c r="Q52">
        <f>2.0/((1/S52-1/R52)+SIGN(S52)*SQRT((1/S52-1/R52)*(1/S52-1/R52) + 4*CW52/((CW52+1)*(CW52+1))*(2*1/S52*1/R52-1/R52*1/R52)))</f>
        <v>0</v>
      </c>
      <c r="R52">
        <f>IF(LEFT(CX52,1)&lt;&gt;"0",IF(LEFT(CX52,1)="1",3.0,CY52),$D$5+$E$5*(DP52*DI52/($K$5*1000))+$F$5*(DP52*DI52/($K$5*1000))*MAX(MIN(CV52,$J$5),$I$5)*MAX(MIN(CV52,$J$5),$I$5)+$G$5*MAX(MIN(CV52,$J$5),$I$5)*(DP52*DI52/($K$5*1000))+$H$5*(DP52*DI52/($K$5*1000))*(DP52*DI52/($K$5*1000)))</f>
        <v>0</v>
      </c>
      <c r="S52">
        <f>J52*(1000-(1000*0.61365*exp(17.502*W52/(240.97+W52))/(DI52+DJ52)+DD52)/2)/(1000*0.61365*exp(17.502*W52/(240.97+W52))/(DI52+DJ52)-DD52)</f>
        <v>0</v>
      </c>
      <c r="T52">
        <f>1/((CW52+1)/(Q52/1.6)+1/(R52/1.37)) + CW52/((CW52+1)/(Q52/1.6) + CW52/(R52/1.37))</f>
        <v>0</v>
      </c>
      <c r="U52">
        <f>(CR52*CU52)</f>
        <v>0</v>
      </c>
      <c r="V52">
        <f>(DK52+(U52+2*0.95*5.67E-8*(((DK52+$B$7)+273)^4-(DK52+273)^4)-44100*J52)/(1.84*29.3*R52+8*0.95*5.67E-8*(DK52+273)^3))</f>
        <v>0</v>
      </c>
      <c r="W52">
        <f>($C$7*DL52+$D$7*DM52+$E$7*V52)</f>
        <v>0</v>
      </c>
      <c r="X52">
        <f>0.61365*exp(17.502*W52/(240.97+W52))</f>
        <v>0</v>
      </c>
      <c r="Y52">
        <f>(Z52/AA52*100)</f>
        <v>0</v>
      </c>
      <c r="Z52">
        <f>DD52*(DI52+DJ52)/1000</f>
        <v>0</v>
      </c>
      <c r="AA52">
        <f>0.61365*exp(17.502*DK52/(240.97+DK52))</f>
        <v>0</v>
      </c>
      <c r="AB52">
        <f>(X52-DD52*(DI52+DJ52)/1000)</f>
        <v>0</v>
      </c>
      <c r="AC52">
        <f>(-J52*44100)</f>
        <v>0</v>
      </c>
      <c r="AD52">
        <f>2*29.3*R52*0.92*(DK52-W52)</f>
        <v>0</v>
      </c>
      <c r="AE52">
        <f>2*0.95*5.67E-8*(((DK52+$B$7)+273)^4-(W52+273)^4)</f>
        <v>0</v>
      </c>
      <c r="AF52">
        <f>U52+AE52+AC52+AD52</f>
        <v>0</v>
      </c>
      <c r="AG52">
        <f>DH52*AU52*(DC52-DB52*(1000-AU52*DE52)/(1000-AU52*DD52))/(100*CV52)</f>
        <v>0</v>
      </c>
      <c r="AH52">
        <f>1000*DH52*AU52*(DD52-DE52)/(100*CV52*(1000-AU52*DD52))</f>
        <v>0</v>
      </c>
      <c r="AI52">
        <f>(AJ52 - AK52 - DI52*1E3/(8.314*(DK52+273.15)) * AM52/DH52 * AL52) * DH52/(100*CV52) * (1000 - DE52)/1000</f>
        <v>0</v>
      </c>
      <c r="AJ52">
        <v>564.295355803271</v>
      </c>
      <c r="AK52">
        <v>521.2905454545453</v>
      </c>
      <c r="AL52">
        <v>3.148350000929863</v>
      </c>
      <c r="AM52">
        <v>66.72507702095443</v>
      </c>
      <c r="AN52">
        <f>(AP52 - AO52 + DI52*1E3/(8.314*(DK52+273.15)) * AR52/DH52 * AQ52) * DH52/(100*CV52) * 1000/(1000 - AP52)</f>
        <v>0</v>
      </c>
      <c r="AO52">
        <v>21.15847637803027</v>
      </c>
      <c r="AP52">
        <v>26.66448424242425</v>
      </c>
      <c r="AQ52">
        <v>0.0002379398134073223</v>
      </c>
      <c r="AR52">
        <v>78.22078291278521</v>
      </c>
      <c r="AS52">
        <v>1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MAX(0,($B$13+$C$13*DP52)/(1+$D$13*DP52)*DI52/(DK52+273)*$E$13)</f>
        <v>0</v>
      </c>
      <c r="AX52" t="s">
        <v>418</v>
      </c>
      <c r="AY52" t="s">
        <v>418</v>
      </c>
      <c r="AZ52">
        <v>0</v>
      </c>
      <c r="BA52">
        <v>0</v>
      </c>
      <c r="BB52">
        <f>1-AZ52/BA52</f>
        <v>0</v>
      </c>
      <c r="BC52">
        <v>0</v>
      </c>
      <c r="BD52" t="s">
        <v>418</v>
      </c>
      <c r="BE52" t="s">
        <v>418</v>
      </c>
      <c r="BF52">
        <v>0</v>
      </c>
      <c r="BG52">
        <v>0</v>
      </c>
      <c r="BH52">
        <f>1-BF52/BG52</f>
        <v>0</v>
      </c>
      <c r="BI52">
        <v>0.5</v>
      </c>
      <c r="BJ52">
        <f>CS52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418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f>$B$11*DQ52+$C$11*DR52+$F$11*EC52*(1-EF52)</f>
        <v>0</v>
      </c>
      <c r="CS52">
        <f>CR52*CT52</f>
        <v>0</v>
      </c>
      <c r="CT52">
        <f>($B$11*$D$9+$C$11*$D$9+$F$11*((EP52+EH52)/MAX(EP52+EH52+EQ52, 0.1)*$I$9+EQ52/MAX(EP52+EH52+EQ52, 0.1)*$J$9))/($B$11+$C$11+$F$11)</f>
        <v>0</v>
      </c>
      <c r="CU52">
        <f>($B$11*$K$9+$C$11*$K$9+$F$11*((EP52+EH52)/MAX(EP52+EH52+EQ52, 0.1)*$P$9+EQ52/MAX(EP52+EH52+EQ52, 0.1)*$Q$9))/($B$11+$C$11+$F$11)</f>
        <v>0</v>
      </c>
      <c r="CV52">
        <v>6</v>
      </c>
      <c r="CW52">
        <v>0.5</v>
      </c>
      <c r="CX52" t="s">
        <v>419</v>
      </c>
      <c r="CY52">
        <v>2</v>
      </c>
      <c r="CZ52" t="b">
        <v>1</v>
      </c>
      <c r="DA52">
        <v>1651772171.2</v>
      </c>
      <c r="DB52">
        <v>500.346</v>
      </c>
      <c r="DC52">
        <v>552.2711999999999</v>
      </c>
      <c r="DD52">
        <v>26.65749</v>
      </c>
      <c r="DE52">
        <v>21.15139</v>
      </c>
      <c r="DF52">
        <v>502.2653</v>
      </c>
      <c r="DG52">
        <v>26.5296</v>
      </c>
      <c r="DH52">
        <v>500.0456</v>
      </c>
      <c r="DI52">
        <v>90.30305000000001</v>
      </c>
      <c r="DJ52">
        <v>0.10005179</v>
      </c>
      <c r="DK52">
        <v>29.1893</v>
      </c>
      <c r="DL52">
        <v>28.53358</v>
      </c>
      <c r="DM52">
        <v>999.9</v>
      </c>
      <c r="DN52">
        <v>0</v>
      </c>
      <c r="DO52">
        <v>0</v>
      </c>
      <c r="DP52">
        <v>10007.63</v>
      </c>
      <c r="DQ52">
        <v>0</v>
      </c>
      <c r="DR52">
        <v>13.265</v>
      </c>
      <c r="DS52">
        <v>-51.92508</v>
      </c>
      <c r="DT52">
        <v>514.0492999999999</v>
      </c>
      <c r="DU52">
        <v>564.2048</v>
      </c>
      <c r="DV52">
        <v>5.506099000000001</v>
      </c>
      <c r="DW52">
        <v>552.2711999999999</v>
      </c>
      <c r="DX52">
        <v>21.15139</v>
      </c>
      <c r="DY52">
        <v>2.407251</v>
      </c>
      <c r="DZ52">
        <v>1.910034</v>
      </c>
      <c r="EA52">
        <v>20.41263</v>
      </c>
      <c r="EB52">
        <v>16.71762</v>
      </c>
      <c r="EC52">
        <v>1500.004</v>
      </c>
      <c r="ED52">
        <v>0.972993</v>
      </c>
      <c r="EE52">
        <v>0.02700666</v>
      </c>
      <c r="EF52">
        <v>0</v>
      </c>
      <c r="EG52">
        <v>2.42543</v>
      </c>
      <c r="EH52">
        <v>0</v>
      </c>
      <c r="EI52">
        <v>15246.96</v>
      </c>
      <c r="EJ52">
        <v>12533.38</v>
      </c>
      <c r="EK52">
        <v>36.5</v>
      </c>
      <c r="EL52">
        <v>38.062</v>
      </c>
      <c r="EM52">
        <v>36.8874</v>
      </c>
      <c r="EN52">
        <v>37.375</v>
      </c>
      <c r="EO52">
        <v>36.3309</v>
      </c>
      <c r="EP52">
        <v>1459.49</v>
      </c>
      <c r="EQ52">
        <v>40.514</v>
      </c>
      <c r="ER52">
        <v>0</v>
      </c>
      <c r="ES52">
        <v>1651772175.2</v>
      </c>
      <c r="ET52">
        <v>0</v>
      </c>
      <c r="EU52">
        <v>2.373664</v>
      </c>
      <c r="EV52">
        <v>0.2507307532597833</v>
      </c>
      <c r="EW52">
        <v>524.776923097134</v>
      </c>
      <c r="EX52">
        <v>15208.888</v>
      </c>
      <c r="EY52">
        <v>15</v>
      </c>
      <c r="EZ52">
        <v>0</v>
      </c>
      <c r="FA52" t="s">
        <v>420</v>
      </c>
      <c r="FB52">
        <v>1651697511.6</v>
      </c>
      <c r="FC52">
        <v>1651697666.1</v>
      </c>
      <c r="FD52">
        <v>0</v>
      </c>
      <c r="FE52">
        <v>-0.019</v>
      </c>
      <c r="FF52">
        <v>0.013</v>
      </c>
      <c r="FG52">
        <v>-2.121</v>
      </c>
      <c r="FH52">
        <v>0.041</v>
      </c>
      <c r="FI52">
        <v>420</v>
      </c>
      <c r="FJ52">
        <v>22</v>
      </c>
      <c r="FK52">
        <v>1.72</v>
      </c>
      <c r="FL52">
        <v>0.27</v>
      </c>
      <c r="FM52">
        <v>-47.4174975</v>
      </c>
      <c r="FN52">
        <v>-41.50285891181981</v>
      </c>
      <c r="FO52">
        <v>4.178005910867499</v>
      </c>
      <c r="FP52">
        <v>0</v>
      </c>
      <c r="FQ52">
        <v>5.46736</v>
      </c>
      <c r="FR52">
        <v>0.2101625515947387</v>
      </c>
      <c r="FS52">
        <v>0.02082996111374185</v>
      </c>
      <c r="FT52">
        <v>1</v>
      </c>
      <c r="FU52">
        <v>0</v>
      </c>
      <c r="FV52">
        <v>0</v>
      </c>
      <c r="FW52">
        <v>0</v>
      </c>
      <c r="FX52">
        <v>1</v>
      </c>
      <c r="FY52">
        <v>2</v>
      </c>
      <c r="FZ52">
        <v>3</v>
      </c>
      <c r="GA52" t="s">
        <v>421</v>
      </c>
      <c r="GB52">
        <v>2.98146</v>
      </c>
      <c r="GC52">
        <v>2.70618</v>
      </c>
      <c r="GD52">
        <v>0.108778</v>
      </c>
      <c r="GE52">
        <v>0.115329</v>
      </c>
      <c r="GF52">
        <v>0.114496</v>
      </c>
      <c r="GG52">
        <v>0.09602280000000001</v>
      </c>
      <c r="GH52">
        <v>28189</v>
      </c>
      <c r="GI52">
        <v>28038</v>
      </c>
      <c r="GJ52">
        <v>29405.1</v>
      </c>
      <c r="GK52">
        <v>29315.3</v>
      </c>
      <c r="GL52">
        <v>34468.1</v>
      </c>
      <c r="GM52">
        <v>35280</v>
      </c>
      <c r="GN52">
        <v>41394.6</v>
      </c>
      <c r="GO52">
        <v>41838</v>
      </c>
      <c r="GP52">
        <v>1.96308</v>
      </c>
      <c r="GQ52">
        <v>1.86192</v>
      </c>
      <c r="GR52">
        <v>0.0732206</v>
      </c>
      <c r="GS52">
        <v>0</v>
      </c>
      <c r="GT52">
        <v>27.3389</v>
      </c>
      <c r="GU52">
        <v>999.9</v>
      </c>
      <c r="GV52">
        <v>44.9</v>
      </c>
      <c r="GW52">
        <v>35</v>
      </c>
      <c r="GX52">
        <v>28.0859</v>
      </c>
      <c r="GY52">
        <v>63.0408</v>
      </c>
      <c r="GZ52">
        <v>36.4303</v>
      </c>
      <c r="HA52">
        <v>1</v>
      </c>
      <c r="HB52">
        <v>0.0358232</v>
      </c>
      <c r="HC52">
        <v>0</v>
      </c>
      <c r="HD52">
        <v>20.346</v>
      </c>
      <c r="HE52">
        <v>5.21474</v>
      </c>
      <c r="HF52">
        <v>12.0089</v>
      </c>
      <c r="HG52">
        <v>4.9876</v>
      </c>
      <c r="HH52">
        <v>3.28833</v>
      </c>
      <c r="HI52">
        <v>492.7</v>
      </c>
      <c r="HJ52">
        <v>3620.7</v>
      </c>
      <c r="HK52">
        <v>4564.3</v>
      </c>
      <c r="HL52">
        <v>17.7</v>
      </c>
      <c r="HM52">
        <v>1.86768</v>
      </c>
      <c r="HN52">
        <v>1.86661</v>
      </c>
      <c r="HO52">
        <v>1.86615</v>
      </c>
      <c r="HP52">
        <v>1.86603</v>
      </c>
      <c r="HQ52">
        <v>1.86785</v>
      </c>
      <c r="HR52">
        <v>1.8704</v>
      </c>
      <c r="HS52">
        <v>1.86905</v>
      </c>
      <c r="HT52">
        <v>1.87042</v>
      </c>
      <c r="HU52">
        <v>0</v>
      </c>
      <c r="HV52">
        <v>0</v>
      </c>
      <c r="HW52">
        <v>0</v>
      </c>
      <c r="HX52">
        <v>0</v>
      </c>
      <c r="HY52" t="s">
        <v>422</v>
      </c>
      <c r="HZ52" t="s">
        <v>423</v>
      </c>
      <c r="IA52" t="s">
        <v>424</v>
      </c>
      <c r="IB52" t="s">
        <v>424</v>
      </c>
      <c r="IC52" t="s">
        <v>424</v>
      </c>
      <c r="ID52" t="s">
        <v>424</v>
      </c>
      <c r="IE52">
        <v>0</v>
      </c>
      <c r="IF52">
        <v>100</v>
      </c>
      <c r="IG52">
        <v>100</v>
      </c>
      <c r="IH52">
        <v>-1.934</v>
      </c>
      <c r="II52">
        <v>0.1279</v>
      </c>
      <c r="IJ52">
        <v>-1.064712027753117</v>
      </c>
      <c r="IK52">
        <v>-0.001826611574738555</v>
      </c>
      <c r="IL52">
        <v>3.313362389709971E-07</v>
      </c>
      <c r="IM52">
        <v>-1.629490614973607E-10</v>
      </c>
      <c r="IN52">
        <v>-0.09531406441470595</v>
      </c>
      <c r="IO52">
        <v>-0.008240702679890409</v>
      </c>
      <c r="IP52">
        <v>0.001077697425498046</v>
      </c>
      <c r="IQ52">
        <v>-1.69598232850356E-05</v>
      </c>
      <c r="IR52">
        <v>3</v>
      </c>
      <c r="IS52">
        <v>2280</v>
      </c>
      <c r="IT52">
        <v>1</v>
      </c>
      <c r="IU52">
        <v>25</v>
      </c>
      <c r="IV52">
        <v>1244.4</v>
      </c>
      <c r="IW52">
        <v>1241.8</v>
      </c>
      <c r="IX52">
        <v>1.34399</v>
      </c>
      <c r="IY52">
        <v>2.23267</v>
      </c>
      <c r="IZ52">
        <v>1.39648</v>
      </c>
      <c r="JA52">
        <v>2.35229</v>
      </c>
      <c r="JB52">
        <v>1.49536</v>
      </c>
      <c r="JC52">
        <v>2.28882</v>
      </c>
      <c r="JD52">
        <v>38.7717</v>
      </c>
      <c r="JE52">
        <v>24.0525</v>
      </c>
      <c r="JF52">
        <v>18</v>
      </c>
      <c r="JG52">
        <v>508.849</v>
      </c>
      <c r="JH52">
        <v>429.75</v>
      </c>
      <c r="JI52">
        <v>28.1707</v>
      </c>
      <c r="JJ52">
        <v>27.8767</v>
      </c>
      <c r="JK52">
        <v>30.0003</v>
      </c>
      <c r="JL52">
        <v>27.7924</v>
      </c>
      <c r="JM52">
        <v>27.727</v>
      </c>
      <c r="JN52">
        <v>26.9491</v>
      </c>
      <c r="JO52">
        <v>29.26</v>
      </c>
      <c r="JP52">
        <v>0</v>
      </c>
      <c r="JQ52">
        <v>-999.9</v>
      </c>
      <c r="JR52">
        <v>580.1609999999999</v>
      </c>
      <c r="JS52">
        <v>21.1122</v>
      </c>
      <c r="JT52">
        <v>100.521</v>
      </c>
      <c r="JU52">
        <v>100.418</v>
      </c>
    </row>
    <row r="53" spans="1:281">
      <c r="A53">
        <v>37</v>
      </c>
      <c r="B53">
        <v>1651772179</v>
      </c>
      <c r="C53">
        <v>301.4000000953674</v>
      </c>
      <c r="D53" t="s">
        <v>496</v>
      </c>
      <c r="E53" t="s">
        <v>497</v>
      </c>
      <c r="F53">
        <v>5</v>
      </c>
      <c r="H53" t="s">
        <v>417</v>
      </c>
      <c r="I53">
        <v>1651772176.5</v>
      </c>
      <c r="J53">
        <f>(K53)/1000</f>
        <v>0</v>
      </c>
      <c r="K53">
        <f>IF(CZ53, AN53, AH53)</f>
        <v>0</v>
      </c>
      <c r="L53">
        <f>IF(CZ53, AI53, AG53)</f>
        <v>0</v>
      </c>
      <c r="M53">
        <f>DB53 - IF(AU53&gt;1, L53*CV53*100.0/(AW53*DP53), 0)</f>
        <v>0</v>
      </c>
      <c r="N53">
        <f>((T53-J53/2)*M53-L53)/(T53+J53/2)</f>
        <v>0</v>
      </c>
      <c r="O53">
        <f>N53*(DI53+DJ53)/1000.0</f>
        <v>0</v>
      </c>
      <c r="P53">
        <f>(DB53 - IF(AU53&gt;1, L53*CV53*100.0/(AW53*DP53), 0))*(DI53+DJ53)/1000.0</f>
        <v>0</v>
      </c>
      <c r="Q53">
        <f>2.0/((1/S53-1/R53)+SIGN(S53)*SQRT((1/S53-1/R53)*(1/S53-1/R53) + 4*CW53/((CW53+1)*(CW53+1))*(2*1/S53*1/R53-1/R53*1/R53)))</f>
        <v>0</v>
      </c>
      <c r="R53">
        <f>IF(LEFT(CX53,1)&lt;&gt;"0",IF(LEFT(CX53,1)="1",3.0,CY53),$D$5+$E$5*(DP53*DI53/($K$5*1000))+$F$5*(DP53*DI53/($K$5*1000))*MAX(MIN(CV53,$J$5),$I$5)*MAX(MIN(CV53,$J$5),$I$5)+$G$5*MAX(MIN(CV53,$J$5),$I$5)*(DP53*DI53/($K$5*1000))+$H$5*(DP53*DI53/($K$5*1000))*(DP53*DI53/($K$5*1000)))</f>
        <v>0</v>
      </c>
      <c r="S53">
        <f>J53*(1000-(1000*0.61365*exp(17.502*W53/(240.97+W53))/(DI53+DJ53)+DD53)/2)/(1000*0.61365*exp(17.502*W53/(240.97+W53))/(DI53+DJ53)-DD53)</f>
        <v>0</v>
      </c>
      <c r="T53">
        <f>1/((CW53+1)/(Q53/1.6)+1/(R53/1.37)) + CW53/((CW53+1)/(Q53/1.6) + CW53/(R53/1.37))</f>
        <v>0</v>
      </c>
      <c r="U53">
        <f>(CR53*CU53)</f>
        <v>0</v>
      </c>
      <c r="V53">
        <f>(DK53+(U53+2*0.95*5.67E-8*(((DK53+$B$7)+273)^4-(DK53+273)^4)-44100*J53)/(1.84*29.3*R53+8*0.95*5.67E-8*(DK53+273)^3))</f>
        <v>0</v>
      </c>
      <c r="W53">
        <f>($C$7*DL53+$D$7*DM53+$E$7*V53)</f>
        <v>0</v>
      </c>
      <c r="X53">
        <f>0.61365*exp(17.502*W53/(240.97+W53))</f>
        <v>0</v>
      </c>
      <c r="Y53">
        <f>(Z53/AA53*100)</f>
        <v>0</v>
      </c>
      <c r="Z53">
        <f>DD53*(DI53+DJ53)/1000</f>
        <v>0</v>
      </c>
      <c r="AA53">
        <f>0.61365*exp(17.502*DK53/(240.97+DK53))</f>
        <v>0</v>
      </c>
      <c r="AB53">
        <f>(X53-DD53*(DI53+DJ53)/1000)</f>
        <v>0</v>
      </c>
      <c r="AC53">
        <f>(-J53*44100)</f>
        <v>0</v>
      </c>
      <c r="AD53">
        <f>2*29.3*R53*0.92*(DK53-W53)</f>
        <v>0</v>
      </c>
      <c r="AE53">
        <f>2*0.95*5.67E-8*(((DK53+$B$7)+273)^4-(W53+273)^4)</f>
        <v>0</v>
      </c>
      <c r="AF53">
        <f>U53+AE53+AC53+AD53</f>
        <v>0</v>
      </c>
      <c r="AG53">
        <f>DH53*AU53*(DC53-DB53*(1000-AU53*DE53)/(1000-AU53*DD53))/(100*CV53)</f>
        <v>0</v>
      </c>
      <c r="AH53">
        <f>1000*DH53*AU53*(DD53-DE53)/(100*CV53*(1000-AU53*DD53))</f>
        <v>0</v>
      </c>
      <c r="AI53">
        <f>(AJ53 - AK53 - DI53*1E3/(8.314*(DK53+273.15)) * AM53/DH53 * AL53) * DH53/(100*CV53) * (1000 - DE53)/1000</f>
        <v>0</v>
      </c>
      <c r="AJ53">
        <v>581.4229951660019</v>
      </c>
      <c r="AK53">
        <v>537.3827030303028</v>
      </c>
      <c r="AL53">
        <v>3.214798140048567</v>
      </c>
      <c r="AM53">
        <v>66.72507702095443</v>
      </c>
      <c r="AN53">
        <f>(AP53 - AO53 + DI53*1E3/(8.314*(DK53+273.15)) * AR53/DH53 * AQ53) * DH53/(100*CV53) * 1000/(1000 - AP53)</f>
        <v>0</v>
      </c>
      <c r="AO53">
        <v>21.10200314459293</v>
      </c>
      <c r="AP53">
        <v>26.65728787878787</v>
      </c>
      <c r="AQ53">
        <v>-6.623987951919341E-05</v>
      </c>
      <c r="AR53">
        <v>78.22078291278521</v>
      </c>
      <c r="AS53">
        <v>1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MAX(0,($B$13+$C$13*DP53)/(1+$D$13*DP53)*DI53/(DK53+273)*$E$13)</f>
        <v>0</v>
      </c>
      <c r="AX53" t="s">
        <v>418</v>
      </c>
      <c r="AY53" t="s">
        <v>418</v>
      </c>
      <c r="AZ53">
        <v>0</v>
      </c>
      <c r="BA53">
        <v>0</v>
      </c>
      <c r="BB53">
        <f>1-AZ53/BA53</f>
        <v>0</v>
      </c>
      <c r="BC53">
        <v>0</v>
      </c>
      <c r="BD53" t="s">
        <v>418</v>
      </c>
      <c r="BE53" t="s">
        <v>418</v>
      </c>
      <c r="BF53">
        <v>0</v>
      </c>
      <c r="BG53">
        <v>0</v>
      </c>
      <c r="BH53">
        <f>1-BF53/BG53</f>
        <v>0</v>
      </c>
      <c r="BI53">
        <v>0.5</v>
      </c>
      <c r="BJ53">
        <f>CS53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418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f>$B$11*DQ53+$C$11*DR53+$F$11*EC53*(1-EF53)</f>
        <v>0</v>
      </c>
      <c r="CS53">
        <f>CR53*CT53</f>
        <v>0</v>
      </c>
      <c r="CT53">
        <f>($B$11*$D$9+$C$11*$D$9+$F$11*((EP53+EH53)/MAX(EP53+EH53+EQ53, 0.1)*$I$9+EQ53/MAX(EP53+EH53+EQ53, 0.1)*$J$9))/($B$11+$C$11+$F$11)</f>
        <v>0</v>
      </c>
      <c r="CU53">
        <f>($B$11*$K$9+$C$11*$K$9+$F$11*((EP53+EH53)/MAX(EP53+EH53+EQ53, 0.1)*$P$9+EQ53/MAX(EP53+EH53+EQ53, 0.1)*$Q$9))/($B$11+$C$11+$F$11)</f>
        <v>0</v>
      </c>
      <c r="CV53">
        <v>6</v>
      </c>
      <c r="CW53">
        <v>0.5</v>
      </c>
      <c r="CX53" t="s">
        <v>419</v>
      </c>
      <c r="CY53">
        <v>2</v>
      </c>
      <c r="CZ53" t="b">
        <v>1</v>
      </c>
      <c r="DA53">
        <v>1651772176.5</v>
      </c>
      <c r="DB53">
        <v>516.7994444444444</v>
      </c>
      <c r="DC53">
        <v>569.9592222222223</v>
      </c>
      <c r="DD53">
        <v>26.66083333333333</v>
      </c>
      <c r="DE53">
        <v>21.10194444444444</v>
      </c>
      <c r="DF53">
        <v>518.7452222222222</v>
      </c>
      <c r="DG53">
        <v>26.53288888888889</v>
      </c>
      <c r="DH53">
        <v>500.0701111111111</v>
      </c>
      <c r="DI53">
        <v>90.30189999999999</v>
      </c>
      <c r="DJ53">
        <v>0.1000124777777778</v>
      </c>
      <c r="DK53">
        <v>29.19397777777777</v>
      </c>
      <c r="DL53">
        <v>28.53806666666667</v>
      </c>
      <c r="DM53">
        <v>999.9000000000001</v>
      </c>
      <c r="DN53">
        <v>0</v>
      </c>
      <c r="DO53">
        <v>0</v>
      </c>
      <c r="DP53">
        <v>10006.1</v>
      </c>
      <c r="DQ53">
        <v>0</v>
      </c>
      <c r="DR53">
        <v>13.24422222222222</v>
      </c>
      <c r="DS53">
        <v>-53.15996666666667</v>
      </c>
      <c r="DT53">
        <v>530.9551111111111</v>
      </c>
      <c r="DU53">
        <v>582.245888888889</v>
      </c>
      <c r="DV53">
        <v>5.558894444444444</v>
      </c>
      <c r="DW53">
        <v>569.9592222222223</v>
      </c>
      <c r="DX53">
        <v>21.10194444444444</v>
      </c>
      <c r="DY53">
        <v>2.407524444444444</v>
      </c>
      <c r="DZ53">
        <v>1.905546666666667</v>
      </c>
      <c r="EA53">
        <v>20.41447777777778</v>
      </c>
      <c r="EB53">
        <v>16.68057777777778</v>
      </c>
      <c r="EC53">
        <v>1499.997777777778</v>
      </c>
      <c r="ED53">
        <v>0.9730089999999999</v>
      </c>
      <c r="EE53">
        <v>0.02699061111111111</v>
      </c>
      <c r="EF53">
        <v>0</v>
      </c>
      <c r="EG53">
        <v>2.385433333333333</v>
      </c>
      <c r="EH53">
        <v>0</v>
      </c>
      <c r="EI53">
        <v>15302.04444444444</v>
      </c>
      <c r="EJ53">
        <v>12533.38888888889</v>
      </c>
      <c r="EK53">
        <v>36.5</v>
      </c>
      <c r="EL53">
        <v>38.02066666666667</v>
      </c>
      <c r="EM53">
        <v>36.875</v>
      </c>
      <c r="EN53">
        <v>37.375</v>
      </c>
      <c r="EO53">
        <v>36.375</v>
      </c>
      <c r="EP53">
        <v>1459.507777777778</v>
      </c>
      <c r="EQ53">
        <v>40.49</v>
      </c>
      <c r="ER53">
        <v>0</v>
      </c>
      <c r="ES53">
        <v>1651772180</v>
      </c>
      <c r="ET53">
        <v>0</v>
      </c>
      <c r="EU53">
        <v>2.3565</v>
      </c>
      <c r="EV53">
        <v>0.1337461344530956</v>
      </c>
      <c r="EW53">
        <v>608.8384605956063</v>
      </c>
      <c r="EX53">
        <v>15253.58</v>
      </c>
      <c r="EY53">
        <v>15</v>
      </c>
      <c r="EZ53">
        <v>0</v>
      </c>
      <c r="FA53" t="s">
        <v>420</v>
      </c>
      <c r="FB53">
        <v>1651697511.6</v>
      </c>
      <c r="FC53">
        <v>1651697666.1</v>
      </c>
      <c r="FD53">
        <v>0</v>
      </c>
      <c r="FE53">
        <v>-0.019</v>
      </c>
      <c r="FF53">
        <v>0.013</v>
      </c>
      <c r="FG53">
        <v>-2.121</v>
      </c>
      <c r="FH53">
        <v>0.041</v>
      </c>
      <c r="FI53">
        <v>420</v>
      </c>
      <c r="FJ53">
        <v>22</v>
      </c>
      <c r="FK53">
        <v>1.72</v>
      </c>
      <c r="FL53">
        <v>0.27</v>
      </c>
      <c r="FM53">
        <v>-50.7847275</v>
      </c>
      <c r="FN53">
        <v>-21.69187429643524</v>
      </c>
      <c r="FO53">
        <v>2.156397983326304</v>
      </c>
      <c r="FP53">
        <v>0</v>
      </c>
      <c r="FQ53">
        <v>5.50031875</v>
      </c>
      <c r="FR53">
        <v>0.3800815384615254</v>
      </c>
      <c r="FS53">
        <v>0.03839187258961842</v>
      </c>
      <c r="FT53">
        <v>1</v>
      </c>
      <c r="FU53">
        <v>0</v>
      </c>
      <c r="FV53">
        <v>0</v>
      </c>
      <c r="FW53">
        <v>0</v>
      </c>
      <c r="FX53">
        <v>1</v>
      </c>
      <c r="FY53">
        <v>2</v>
      </c>
      <c r="FZ53">
        <v>3</v>
      </c>
      <c r="GA53" t="s">
        <v>421</v>
      </c>
      <c r="GB53">
        <v>2.98158</v>
      </c>
      <c r="GC53">
        <v>2.70613</v>
      </c>
      <c r="GD53">
        <v>0.111189</v>
      </c>
      <c r="GE53">
        <v>0.117663</v>
      </c>
      <c r="GF53">
        <v>0.114471</v>
      </c>
      <c r="GG53">
        <v>0.0959677</v>
      </c>
      <c r="GH53">
        <v>28112.9</v>
      </c>
      <c r="GI53">
        <v>27964.2</v>
      </c>
      <c r="GJ53">
        <v>29405.2</v>
      </c>
      <c r="GK53">
        <v>29315.5</v>
      </c>
      <c r="GL53">
        <v>34469.3</v>
      </c>
      <c r="GM53">
        <v>35282.4</v>
      </c>
      <c r="GN53">
        <v>41394.7</v>
      </c>
      <c r="GO53">
        <v>41838.2</v>
      </c>
      <c r="GP53">
        <v>1.96318</v>
      </c>
      <c r="GQ53">
        <v>1.86185</v>
      </c>
      <c r="GR53">
        <v>0.07286670000000001</v>
      </c>
      <c r="GS53">
        <v>0</v>
      </c>
      <c r="GT53">
        <v>27.3458</v>
      </c>
      <c r="GU53">
        <v>999.9</v>
      </c>
      <c r="GV53">
        <v>44.9</v>
      </c>
      <c r="GW53">
        <v>35</v>
      </c>
      <c r="GX53">
        <v>28.0869</v>
      </c>
      <c r="GY53">
        <v>62.5708</v>
      </c>
      <c r="GZ53">
        <v>36.3502</v>
      </c>
      <c r="HA53">
        <v>1</v>
      </c>
      <c r="HB53">
        <v>0.0360976</v>
      </c>
      <c r="HC53">
        <v>0</v>
      </c>
      <c r="HD53">
        <v>20.3463</v>
      </c>
      <c r="HE53">
        <v>5.21564</v>
      </c>
      <c r="HF53">
        <v>12.0088</v>
      </c>
      <c r="HG53">
        <v>4.9878</v>
      </c>
      <c r="HH53">
        <v>3.28842</v>
      </c>
      <c r="HI53">
        <v>492.9</v>
      </c>
      <c r="HJ53">
        <v>3622.1</v>
      </c>
      <c r="HK53">
        <v>4564.3</v>
      </c>
      <c r="HL53">
        <v>17.7</v>
      </c>
      <c r="HM53">
        <v>1.86768</v>
      </c>
      <c r="HN53">
        <v>1.86662</v>
      </c>
      <c r="HO53">
        <v>1.86615</v>
      </c>
      <c r="HP53">
        <v>1.86603</v>
      </c>
      <c r="HQ53">
        <v>1.86784</v>
      </c>
      <c r="HR53">
        <v>1.8704</v>
      </c>
      <c r="HS53">
        <v>1.86905</v>
      </c>
      <c r="HT53">
        <v>1.87042</v>
      </c>
      <c r="HU53">
        <v>0</v>
      </c>
      <c r="HV53">
        <v>0</v>
      </c>
      <c r="HW53">
        <v>0</v>
      </c>
      <c r="HX53">
        <v>0</v>
      </c>
      <c r="HY53" t="s">
        <v>422</v>
      </c>
      <c r="HZ53" t="s">
        <v>423</v>
      </c>
      <c r="IA53" t="s">
        <v>424</v>
      </c>
      <c r="IB53" t="s">
        <v>424</v>
      </c>
      <c r="IC53" t="s">
        <v>424</v>
      </c>
      <c r="ID53" t="s">
        <v>424</v>
      </c>
      <c r="IE53">
        <v>0</v>
      </c>
      <c r="IF53">
        <v>100</v>
      </c>
      <c r="IG53">
        <v>100</v>
      </c>
      <c r="IH53">
        <v>-1.958</v>
      </c>
      <c r="II53">
        <v>0.1279</v>
      </c>
      <c r="IJ53">
        <v>-1.064712027753117</v>
      </c>
      <c r="IK53">
        <v>-0.001826611574738555</v>
      </c>
      <c r="IL53">
        <v>3.313362389709971E-07</v>
      </c>
      <c r="IM53">
        <v>-1.629490614973607E-10</v>
      </c>
      <c r="IN53">
        <v>-0.09531406441470595</v>
      </c>
      <c r="IO53">
        <v>-0.008240702679890409</v>
      </c>
      <c r="IP53">
        <v>0.001077697425498046</v>
      </c>
      <c r="IQ53">
        <v>-1.69598232850356E-05</v>
      </c>
      <c r="IR53">
        <v>3</v>
      </c>
      <c r="IS53">
        <v>2280</v>
      </c>
      <c r="IT53">
        <v>1</v>
      </c>
      <c r="IU53">
        <v>25</v>
      </c>
      <c r="IV53">
        <v>1244.5</v>
      </c>
      <c r="IW53">
        <v>1241.9</v>
      </c>
      <c r="IX53">
        <v>1.38062</v>
      </c>
      <c r="IY53">
        <v>2.23511</v>
      </c>
      <c r="IZ53">
        <v>1.39648</v>
      </c>
      <c r="JA53">
        <v>2.35229</v>
      </c>
      <c r="JB53">
        <v>1.49536</v>
      </c>
      <c r="JC53">
        <v>2.2583</v>
      </c>
      <c r="JD53">
        <v>38.7717</v>
      </c>
      <c r="JE53">
        <v>24.0437</v>
      </c>
      <c r="JF53">
        <v>18</v>
      </c>
      <c r="JG53">
        <v>508.934</v>
      </c>
      <c r="JH53">
        <v>429.719</v>
      </c>
      <c r="JI53">
        <v>28.1761</v>
      </c>
      <c r="JJ53">
        <v>27.8785</v>
      </c>
      <c r="JK53">
        <v>30.0002</v>
      </c>
      <c r="JL53">
        <v>27.7947</v>
      </c>
      <c r="JM53">
        <v>27.7289</v>
      </c>
      <c r="JN53">
        <v>27.6398</v>
      </c>
      <c r="JO53">
        <v>29.26</v>
      </c>
      <c r="JP53">
        <v>0</v>
      </c>
      <c r="JQ53">
        <v>-999.9</v>
      </c>
      <c r="JR53">
        <v>600.491</v>
      </c>
      <c r="JS53">
        <v>21.1279</v>
      </c>
      <c r="JT53">
        <v>100.521</v>
      </c>
      <c r="JU53">
        <v>100.419</v>
      </c>
    </row>
    <row r="54" spans="1:281">
      <c r="A54">
        <v>38</v>
      </c>
      <c r="B54">
        <v>1651772184</v>
      </c>
      <c r="C54">
        <v>306.4000000953674</v>
      </c>
      <c r="D54" t="s">
        <v>498</v>
      </c>
      <c r="E54" t="s">
        <v>499</v>
      </c>
      <c r="F54">
        <v>5</v>
      </c>
      <c r="H54" t="s">
        <v>417</v>
      </c>
      <c r="I54">
        <v>1651772181.2</v>
      </c>
      <c r="J54">
        <f>(K54)/1000</f>
        <v>0</v>
      </c>
      <c r="K54">
        <f>IF(CZ54, AN54, AH54)</f>
        <v>0</v>
      </c>
      <c r="L54">
        <f>IF(CZ54, AI54, AG54)</f>
        <v>0</v>
      </c>
      <c r="M54">
        <f>DB54 - IF(AU54&gt;1, L54*CV54*100.0/(AW54*DP54), 0)</f>
        <v>0</v>
      </c>
      <c r="N54">
        <f>((T54-J54/2)*M54-L54)/(T54+J54/2)</f>
        <v>0</v>
      </c>
      <c r="O54">
        <f>N54*(DI54+DJ54)/1000.0</f>
        <v>0</v>
      </c>
      <c r="P54">
        <f>(DB54 - IF(AU54&gt;1, L54*CV54*100.0/(AW54*DP54), 0))*(DI54+DJ54)/1000.0</f>
        <v>0</v>
      </c>
      <c r="Q54">
        <f>2.0/((1/S54-1/R54)+SIGN(S54)*SQRT((1/S54-1/R54)*(1/S54-1/R54) + 4*CW54/((CW54+1)*(CW54+1))*(2*1/S54*1/R54-1/R54*1/R54)))</f>
        <v>0</v>
      </c>
      <c r="R54">
        <f>IF(LEFT(CX54,1)&lt;&gt;"0",IF(LEFT(CX54,1)="1",3.0,CY54),$D$5+$E$5*(DP54*DI54/($K$5*1000))+$F$5*(DP54*DI54/($K$5*1000))*MAX(MIN(CV54,$J$5),$I$5)*MAX(MIN(CV54,$J$5),$I$5)+$G$5*MAX(MIN(CV54,$J$5),$I$5)*(DP54*DI54/($K$5*1000))+$H$5*(DP54*DI54/($K$5*1000))*(DP54*DI54/($K$5*1000)))</f>
        <v>0</v>
      </c>
      <c r="S54">
        <f>J54*(1000-(1000*0.61365*exp(17.502*W54/(240.97+W54))/(DI54+DJ54)+DD54)/2)/(1000*0.61365*exp(17.502*W54/(240.97+W54))/(DI54+DJ54)-DD54)</f>
        <v>0</v>
      </c>
      <c r="T54">
        <f>1/((CW54+1)/(Q54/1.6)+1/(R54/1.37)) + CW54/((CW54+1)/(Q54/1.6) + CW54/(R54/1.37))</f>
        <v>0</v>
      </c>
      <c r="U54">
        <f>(CR54*CU54)</f>
        <v>0</v>
      </c>
      <c r="V54">
        <f>(DK54+(U54+2*0.95*5.67E-8*(((DK54+$B$7)+273)^4-(DK54+273)^4)-44100*J54)/(1.84*29.3*R54+8*0.95*5.67E-8*(DK54+273)^3))</f>
        <v>0</v>
      </c>
      <c r="W54">
        <f>($C$7*DL54+$D$7*DM54+$E$7*V54)</f>
        <v>0</v>
      </c>
      <c r="X54">
        <f>0.61365*exp(17.502*W54/(240.97+W54))</f>
        <v>0</v>
      </c>
      <c r="Y54">
        <f>(Z54/AA54*100)</f>
        <v>0</v>
      </c>
      <c r="Z54">
        <f>DD54*(DI54+DJ54)/1000</f>
        <v>0</v>
      </c>
      <c r="AA54">
        <f>0.61365*exp(17.502*DK54/(240.97+DK54))</f>
        <v>0</v>
      </c>
      <c r="AB54">
        <f>(X54-DD54*(DI54+DJ54)/1000)</f>
        <v>0</v>
      </c>
      <c r="AC54">
        <f>(-J54*44100)</f>
        <v>0</v>
      </c>
      <c r="AD54">
        <f>2*29.3*R54*0.92*(DK54-W54)</f>
        <v>0</v>
      </c>
      <c r="AE54">
        <f>2*0.95*5.67E-8*(((DK54+$B$7)+273)^4-(W54+273)^4)</f>
        <v>0</v>
      </c>
      <c r="AF54">
        <f>U54+AE54+AC54+AD54</f>
        <v>0</v>
      </c>
      <c r="AG54">
        <f>DH54*AU54*(DC54-DB54*(1000-AU54*DE54)/(1000-AU54*DD54))/(100*CV54)</f>
        <v>0</v>
      </c>
      <c r="AH54">
        <f>1000*DH54*AU54*(DD54-DE54)/(100*CV54*(1000-AU54*DD54))</f>
        <v>0</v>
      </c>
      <c r="AI54">
        <f>(AJ54 - AK54 - DI54*1E3/(8.314*(DK54+273.15)) * AM54/DH54 * AL54) * DH54/(100*CV54) * (1000 - DE54)/1000</f>
        <v>0</v>
      </c>
      <c r="AJ54">
        <v>598.5210290540797</v>
      </c>
      <c r="AK54">
        <v>553.535836363636</v>
      </c>
      <c r="AL54">
        <v>3.241887916441176</v>
      </c>
      <c r="AM54">
        <v>66.72507702095443</v>
      </c>
      <c r="AN54">
        <f>(AP54 - AO54 + DI54*1E3/(8.314*(DK54+273.15)) * AR54/DH54 * AQ54) * DH54/(100*CV54) * 1000/(1000 - AP54)</f>
        <v>0</v>
      </c>
      <c r="AO54">
        <v>21.09643276889348</v>
      </c>
      <c r="AP54">
        <v>26.65966424242424</v>
      </c>
      <c r="AQ54">
        <v>2.692817572699012E-05</v>
      </c>
      <c r="AR54">
        <v>78.22078291278521</v>
      </c>
      <c r="AS54">
        <v>1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MAX(0,($B$13+$C$13*DP54)/(1+$D$13*DP54)*DI54/(DK54+273)*$E$13)</f>
        <v>0</v>
      </c>
      <c r="AX54" t="s">
        <v>418</v>
      </c>
      <c r="AY54" t="s">
        <v>418</v>
      </c>
      <c r="AZ54">
        <v>0</v>
      </c>
      <c r="BA54">
        <v>0</v>
      </c>
      <c r="BB54">
        <f>1-AZ54/BA54</f>
        <v>0</v>
      </c>
      <c r="BC54">
        <v>0</v>
      </c>
      <c r="BD54" t="s">
        <v>418</v>
      </c>
      <c r="BE54" t="s">
        <v>418</v>
      </c>
      <c r="BF54">
        <v>0</v>
      </c>
      <c r="BG54">
        <v>0</v>
      </c>
      <c r="BH54">
        <f>1-BF54/BG54</f>
        <v>0</v>
      </c>
      <c r="BI54">
        <v>0.5</v>
      </c>
      <c r="BJ54">
        <f>CS54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418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f>$B$11*DQ54+$C$11*DR54+$F$11*EC54*(1-EF54)</f>
        <v>0</v>
      </c>
      <c r="CS54">
        <f>CR54*CT54</f>
        <v>0</v>
      </c>
      <c r="CT54">
        <f>($B$11*$D$9+$C$11*$D$9+$F$11*((EP54+EH54)/MAX(EP54+EH54+EQ54, 0.1)*$I$9+EQ54/MAX(EP54+EH54+EQ54, 0.1)*$J$9))/($B$11+$C$11+$F$11)</f>
        <v>0</v>
      </c>
      <c r="CU54">
        <f>($B$11*$K$9+$C$11*$K$9+$F$11*((EP54+EH54)/MAX(EP54+EH54+EQ54, 0.1)*$P$9+EQ54/MAX(EP54+EH54+EQ54, 0.1)*$Q$9))/($B$11+$C$11+$F$11)</f>
        <v>0</v>
      </c>
      <c r="CV54">
        <v>6</v>
      </c>
      <c r="CW54">
        <v>0.5</v>
      </c>
      <c r="CX54" t="s">
        <v>419</v>
      </c>
      <c r="CY54">
        <v>2</v>
      </c>
      <c r="CZ54" t="b">
        <v>1</v>
      </c>
      <c r="DA54">
        <v>1651772181.2</v>
      </c>
      <c r="DB54">
        <v>531.5225</v>
      </c>
      <c r="DC54">
        <v>585.7763</v>
      </c>
      <c r="DD54">
        <v>26.65684</v>
      </c>
      <c r="DE54">
        <v>21.09634</v>
      </c>
      <c r="DF54">
        <v>533.4923</v>
      </c>
      <c r="DG54">
        <v>26.52894</v>
      </c>
      <c r="DH54">
        <v>500.059</v>
      </c>
      <c r="DI54">
        <v>90.30011999999999</v>
      </c>
      <c r="DJ54">
        <v>0.10003533</v>
      </c>
      <c r="DK54">
        <v>29.19624</v>
      </c>
      <c r="DL54">
        <v>28.54377</v>
      </c>
      <c r="DM54">
        <v>999.9</v>
      </c>
      <c r="DN54">
        <v>0</v>
      </c>
      <c r="DO54">
        <v>0</v>
      </c>
      <c r="DP54">
        <v>9992.875</v>
      </c>
      <c r="DQ54">
        <v>0</v>
      </c>
      <c r="DR54">
        <v>13.2498</v>
      </c>
      <c r="DS54">
        <v>-54.25369000000001</v>
      </c>
      <c r="DT54">
        <v>546.0793999999999</v>
      </c>
      <c r="DU54">
        <v>598.4003999999999</v>
      </c>
      <c r="DV54">
        <v>5.560493</v>
      </c>
      <c r="DW54">
        <v>585.7763</v>
      </c>
      <c r="DX54">
        <v>21.09634</v>
      </c>
      <c r="DY54">
        <v>2.407114</v>
      </c>
      <c r="DZ54">
        <v>1.905002</v>
      </c>
      <c r="EA54">
        <v>20.41172</v>
      </c>
      <c r="EB54">
        <v>16.6761</v>
      </c>
      <c r="EC54">
        <v>1500.012</v>
      </c>
      <c r="ED54">
        <v>0.9730089999999999</v>
      </c>
      <c r="EE54">
        <v>0.0269905</v>
      </c>
      <c r="EF54">
        <v>0</v>
      </c>
      <c r="EG54">
        <v>2.220149999999999</v>
      </c>
      <c r="EH54">
        <v>0</v>
      </c>
      <c r="EI54">
        <v>15351.31</v>
      </c>
      <c r="EJ54">
        <v>12533.52</v>
      </c>
      <c r="EK54">
        <v>36.5</v>
      </c>
      <c r="EL54">
        <v>38.0372</v>
      </c>
      <c r="EM54">
        <v>36.8874</v>
      </c>
      <c r="EN54">
        <v>37.375</v>
      </c>
      <c r="EO54">
        <v>36.3435</v>
      </c>
      <c r="EP54">
        <v>1459.522</v>
      </c>
      <c r="EQ54">
        <v>40.49</v>
      </c>
      <c r="ER54">
        <v>0</v>
      </c>
      <c r="ES54">
        <v>1651772184.8</v>
      </c>
      <c r="ET54">
        <v>0</v>
      </c>
      <c r="EU54">
        <v>2.342944</v>
      </c>
      <c r="EV54">
        <v>-1.086730790380112</v>
      </c>
      <c r="EW54">
        <v>623.7384625133617</v>
      </c>
      <c r="EX54">
        <v>15302.604</v>
      </c>
      <c r="EY54">
        <v>15</v>
      </c>
      <c r="EZ54">
        <v>0</v>
      </c>
      <c r="FA54" t="s">
        <v>420</v>
      </c>
      <c r="FB54">
        <v>1651697511.6</v>
      </c>
      <c r="FC54">
        <v>1651697666.1</v>
      </c>
      <c r="FD54">
        <v>0</v>
      </c>
      <c r="FE54">
        <v>-0.019</v>
      </c>
      <c r="FF54">
        <v>0.013</v>
      </c>
      <c r="FG54">
        <v>-2.121</v>
      </c>
      <c r="FH54">
        <v>0.041</v>
      </c>
      <c r="FI54">
        <v>420</v>
      </c>
      <c r="FJ54">
        <v>22</v>
      </c>
      <c r="FK54">
        <v>1.72</v>
      </c>
      <c r="FL54">
        <v>0.27</v>
      </c>
      <c r="FM54">
        <v>-52.1390175</v>
      </c>
      <c r="FN54">
        <v>-15.85836585365857</v>
      </c>
      <c r="FO54">
        <v>1.551694374206386</v>
      </c>
      <c r="FP54">
        <v>0</v>
      </c>
      <c r="FQ54">
        <v>5.5202205</v>
      </c>
      <c r="FR54">
        <v>0.3749660037523406</v>
      </c>
      <c r="FS54">
        <v>0.03805186769069285</v>
      </c>
      <c r="FT54">
        <v>1</v>
      </c>
      <c r="FU54">
        <v>0</v>
      </c>
      <c r="FV54">
        <v>0</v>
      </c>
      <c r="FW54">
        <v>0</v>
      </c>
      <c r="FX54">
        <v>1</v>
      </c>
      <c r="FY54">
        <v>2</v>
      </c>
      <c r="FZ54">
        <v>3</v>
      </c>
      <c r="GA54" t="s">
        <v>421</v>
      </c>
      <c r="GB54">
        <v>2.98148</v>
      </c>
      <c r="GC54">
        <v>2.70615</v>
      </c>
      <c r="GD54">
        <v>0.11358</v>
      </c>
      <c r="GE54">
        <v>0.120197</v>
      </c>
      <c r="GF54">
        <v>0.11448</v>
      </c>
      <c r="GG54">
        <v>0.09595049999999999</v>
      </c>
      <c r="GH54">
        <v>28036.9</v>
      </c>
      <c r="GI54">
        <v>27884.2</v>
      </c>
      <c r="GJ54">
        <v>29404.8</v>
      </c>
      <c r="GK54">
        <v>29315.9</v>
      </c>
      <c r="GL54">
        <v>34468.7</v>
      </c>
      <c r="GM54">
        <v>35283.3</v>
      </c>
      <c r="GN54">
        <v>41394.4</v>
      </c>
      <c r="GO54">
        <v>41838.4</v>
      </c>
      <c r="GP54">
        <v>1.9632</v>
      </c>
      <c r="GQ54">
        <v>1.86182</v>
      </c>
      <c r="GR54">
        <v>0.07327649999999999</v>
      </c>
      <c r="GS54">
        <v>0</v>
      </c>
      <c r="GT54">
        <v>27.3522</v>
      </c>
      <c r="GU54">
        <v>999.9</v>
      </c>
      <c r="GV54">
        <v>44.9</v>
      </c>
      <c r="GW54">
        <v>35</v>
      </c>
      <c r="GX54">
        <v>28.0842</v>
      </c>
      <c r="GY54">
        <v>62.7008</v>
      </c>
      <c r="GZ54">
        <v>36.2139</v>
      </c>
      <c r="HA54">
        <v>1</v>
      </c>
      <c r="HB54">
        <v>0.036128</v>
      </c>
      <c r="HC54">
        <v>0</v>
      </c>
      <c r="HD54">
        <v>20.3465</v>
      </c>
      <c r="HE54">
        <v>5.21594</v>
      </c>
      <c r="HF54">
        <v>12.0089</v>
      </c>
      <c r="HG54">
        <v>4.98795</v>
      </c>
      <c r="HH54">
        <v>3.2885</v>
      </c>
      <c r="HI54">
        <v>492.9</v>
      </c>
      <c r="HJ54">
        <v>3622.1</v>
      </c>
      <c r="HK54">
        <v>4564.3</v>
      </c>
      <c r="HL54">
        <v>17.7</v>
      </c>
      <c r="HM54">
        <v>1.86768</v>
      </c>
      <c r="HN54">
        <v>1.86663</v>
      </c>
      <c r="HO54">
        <v>1.86616</v>
      </c>
      <c r="HP54">
        <v>1.86606</v>
      </c>
      <c r="HQ54">
        <v>1.86787</v>
      </c>
      <c r="HR54">
        <v>1.87041</v>
      </c>
      <c r="HS54">
        <v>1.86905</v>
      </c>
      <c r="HT54">
        <v>1.87042</v>
      </c>
      <c r="HU54">
        <v>0</v>
      </c>
      <c r="HV54">
        <v>0</v>
      </c>
      <c r="HW54">
        <v>0</v>
      </c>
      <c r="HX54">
        <v>0</v>
      </c>
      <c r="HY54" t="s">
        <v>422</v>
      </c>
      <c r="HZ54" t="s">
        <v>423</v>
      </c>
      <c r="IA54" t="s">
        <v>424</v>
      </c>
      <c r="IB54" t="s">
        <v>424</v>
      </c>
      <c r="IC54" t="s">
        <v>424</v>
      </c>
      <c r="ID54" t="s">
        <v>424</v>
      </c>
      <c r="IE54">
        <v>0</v>
      </c>
      <c r="IF54">
        <v>100</v>
      </c>
      <c r="IG54">
        <v>100</v>
      </c>
      <c r="IH54">
        <v>-1.984</v>
      </c>
      <c r="II54">
        <v>0.1279</v>
      </c>
      <c r="IJ54">
        <v>-1.064712027753117</v>
      </c>
      <c r="IK54">
        <v>-0.001826611574738555</v>
      </c>
      <c r="IL54">
        <v>3.313362389709971E-07</v>
      </c>
      <c r="IM54">
        <v>-1.629490614973607E-10</v>
      </c>
      <c r="IN54">
        <v>-0.09531406441470595</v>
      </c>
      <c r="IO54">
        <v>-0.008240702679890409</v>
      </c>
      <c r="IP54">
        <v>0.001077697425498046</v>
      </c>
      <c r="IQ54">
        <v>-1.69598232850356E-05</v>
      </c>
      <c r="IR54">
        <v>3</v>
      </c>
      <c r="IS54">
        <v>2280</v>
      </c>
      <c r="IT54">
        <v>1</v>
      </c>
      <c r="IU54">
        <v>25</v>
      </c>
      <c r="IV54">
        <v>1244.5</v>
      </c>
      <c r="IW54">
        <v>1242</v>
      </c>
      <c r="IX54">
        <v>1.40991</v>
      </c>
      <c r="IY54">
        <v>2.229</v>
      </c>
      <c r="IZ54">
        <v>1.39648</v>
      </c>
      <c r="JA54">
        <v>2.35474</v>
      </c>
      <c r="JB54">
        <v>1.49536</v>
      </c>
      <c r="JC54">
        <v>2.29492</v>
      </c>
      <c r="JD54">
        <v>38.7717</v>
      </c>
      <c r="JE54">
        <v>24.0525</v>
      </c>
      <c r="JF54">
        <v>18</v>
      </c>
      <c r="JG54">
        <v>508.968</v>
      </c>
      <c r="JH54">
        <v>429.717</v>
      </c>
      <c r="JI54">
        <v>28.1815</v>
      </c>
      <c r="JJ54">
        <v>27.8802</v>
      </c>
      <c r="JK54">
        <v>30.0001</v>
      </c>
      <c r="JL54">
        <v>27.7968</v>
      </c>
      <c r="JM54">
        <v>27.7306</v>
      </c>
      <c r="JN54">
        <v>28.2264</v>
      </c>
      <c r="JO54">
        <v>29.26</v>
      </c>
      <c r="JP54">
        <v>0</v>
      </c>
      <c r="JQ54">
        <v>-999.9</v>
      </c>
      <c r="JR54">
        <v>613.8680000000001</v>
      </c>
      <c r="JS54">
        <v>21.1281</v>
      </c>
      <c r="JT54">
        <v>100.52</v>
      </c>
      <c r="JU54">
        <v>100.42</v>
      </c>
    </row>
    <row r="55" spans="1:281">
      <c r="A55">
        <v>39</v>
      </c>
      <c r="B55">
        <v>1651772189</v>
      </c>
      <c r="C55">
        <v>311.4000000953674</v>
      </c>
      <c r="D55" t="s">
        <v>500</v>
      </c>
      <c r="E55" t="s">
        <v>501</v>
      </c>
      <c r="F55">
        <v>5</v>
      </c>
      <c r="H55" t="s">
        <v>417</v>
      </c>
      <c r="I55">
        <v>1651772186.5</v>
      </c>
      <c r="J55">
        <f>(K55)/1000</f>
        <v>0</v>
      </c>
      <c r="K55">
        <f>IF(CZ55, AN55, AH55)</f>
        <v>0</v>
      </c>
      <c r="L55">
        <f>IF(CZ55, AI55, AG55)</f>
        <v>0</v>
      </c>
      <c r="M55">
        <f>DB55 - IF(AU55&gt;1, L55*CV55*100.0/(AW55*DP55), 0)</f>
        <v>0</v>
      </c>
      <c r="N55">
        <f>((T55-J55/2)*M55-L55)/(T55+J55/2)</f>
        <v>0</v>
      </c>
      <c r="O55">
        <f>N55*(DI55+DJ55)/1000.0</f>
        <v>0</v>
      </c>
      <c r="P55">
        <f>(DB55 - IF(AU55&gt;1, L55*CV55*100.0/(AW55*DP55), 0))*(DI55+DJ55)/1000.0</f>
        <v>0</v>
      </c>
      <c r="Q55">
        <f>2.0/((1/S55-1/R55)+SIGN(S55)*SQRT((1/S55-1/R55)*(1/S55-1/R55) + 4*CW55/((CW55+1)*(CW55+1))*(2*1/S55*1/R55-1/R55*1/R55)))</f>
        <v>0</v>
      </c>
      <c r="R55">
        <f>IF(LEFT(CX55,1)&lt;&gt;"0",IF(LEFT(CX55,1)="1",3.0,CY55),$D$5+$E$5*(DP55*DI55/($K$5*1000))+$F$5*(DP55*DI55/($K$5*1000))*MAX(MIN(CV55,$J$5),$I$5)*MAX(MIN(CV55,$J$5),$I$5)+$G$5*MAX(MIN(CV55,$J$5),$I$5)*(DP55*DI55/($K$5*1000))+$H$5*(DP55*DI55/($K$5*1000))*(DP55*DI55/($K$5*1000)))</f>
        <v>0</v>
      </c>
      <c r="S55">
        <f>J55*(1000-(1000*0.61365*exp(17.502*W55/(240.97+W55))/(DI55+DJ55)+DD55)/2)/(1000*0.61365*exp(17.502*W55/(240.97+W55))/(DI55+DJ55)-DD55)</f>
        <v>0</v>
      </c>
      <c r="T55">
        <f>1/((CW55+1)/(Q55/1.6)+1/(R55/1.37)) + CW55/((CW55+1)/(Q55/1.6) + CW55/(R55/1.37))</f>
        <v>0</v>
      </c>
      <c r="U55">
        <f>(CR55*CU55)</f>
        <v>0</v>
      </c>
      <c r="V55">
        <f>(DK55+(U55+2*0.95*5.67E-8*(((DK55+$B$7)+273)^4-(DK55+273)^4)-44100*J55)/(1.84*29.3*R55+8*0.95*5.67E-8*(DK55+273)^3))</f>
        <v>0</v>
      </c>
      <c r="W55">
        <f>($C$7*DL55+$D$7*DM55+$E$7*V55)</f>
        <v>0</v>
      </c>
      <c r="X55">
        <f>0.61365*exp(17.502*W55/(240.97+W55))</f>
        <v>0</v>
      </c>
      <c r="Y55">
        <f>(Z55/AA55*100)</f>
        <v>0</v>
      </c>
      <c r="Z55">
        <f>DD55*(DI55+DJ55)/1000</f>
        <v>0</v>
      </c>
      <c r="AA55">
        <f>0.61365*exp(17.502*DK55/(240.97+DK55))</f>
        <v>0</v>
      </c>
      <c r="AB55">
        <f>(X55-DD55*(DI55+DJ55)/1000)</f>
        <v>0</v>
      </c>
      <c r="AC55">
        <f>(-J55*44100)</f>
        <v>0</v>
      </c>
      <c r="AD55">
        <f>2*29.3*R55*0.92*(DK55-W55)</f>
        <v>0</v>
      </c>
      <c r="AE55">
        <f>2*0.95*5.67E-8*(((DK55+$B$7)+273)^4-(W55+273)^4)</f>
        <v>0</v>
      </c>
      <c r="AF55">
        <f>U55+AE55+AC55+AD55</f>
        <v>0</v>
      </c>
      <c r="AG55">
        <f>DH55*AU55*(DC55-DB55*(1000-AU55*DE55)/(1000-AU55*DD55))/(100*CV55)</f>
        <v>0</v>
      </c>
      <c r="AH55">
        <f>1000*DH55*AU55*(DD55-DE55)/(100*CV55*(1000-AU55*DD55))</f>
        <v>0</v>
      </c>
      <c r="AI55">
        <f>(AJ55 - AK55 - DI55*1E3/(8.314*(DK55+273.15)) * AM55/DH55 * AL55) * DH55/(100*CV55) * (1000 - DE55)/1000</f>
        <v>0</v>
      </c>
      <c r="AJ55">
        <v>616.3954730066563</v>
      </c>
      <c r="AK55">
        <v>570.4700666666669</v>
      </c>
      <c r="AL55">
        <v>3.385246101112714</v>
      </c>
      <c r="AM55">
        <v>66.72507702095443</v>
      </c>
      <c r="AN55">
        <f>(AP55 - AO55 + DI55*1E3/(8.314*(DK55+273.15)) * AR55/DH55 * AQ55) * DH55/(100*CV55) * 1000/(1000 - AP55)</f>
        <v>0</v>
      </c>
      <c r="AO55">
        <v>21.09359401206649</v>
      </c>
      <c r="AP55">
        <v>26.67173090909091</v>
      </c>
      <c r="AQ55">
        <v>0.0001074047147134973</v>
      </c>
      <c r="AR55">
        <v>78.22078291278521</v>
      </c>
      <c r="AS55">
        <v>1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MAX(0,($B$13+$C$13*DP55)/(1+$D$13*DP55)*DI55/(DK55+273)*$E$13)</f>
        <v>0</v>
      </c>
      <c r="AX55" t="s">
        <v>418</v>
      </c>
      <c r="AY55" t="s">
        <v>418</v>
      </c>
      <c r="AZ55">
        <v>0</v>
      </c>
      <c r="BA55">
        <v>0</v>
      </c>
      <c r="BB55">
        <f>1-AZ55/BA55</f>
        <v>0</v>
      </c>
      <c r="BC55">
        <v>0</v>
      </c>
      <c r="BD55" t="s">
        <v>418</v>
      </c>
      <c r="BE55" t="s">
        <v>418</v>
      </c>
      <c r="BF55">
        <v>0</v>
      </c>
      <c r="BG55">
        <v>0</v>
      </c>
      <c r="BH55">
        <f>1-BF55/BG55</f>
        <v>0</v>
      </c>
      <c r="BI55">
        <v>0.5</v>
      </c>
      <c r="BJ55">
        <f>CS55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418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f>$B$11*DQ55+$C$11*DR55+$F$11*EC55*(1-EF55)</f>
        <v>0</v>
      </c>
      <c r="CS55">
        <f>CR55*CT55</f>
        <v>0</v>
      </c>
      <c r="CT55">
        <f>($B$11*$D$9+$C$11*$D$9+$F$11*((EP55+EH55)/MAX(EP55+EH55+EQ55, 0.1)*$I$9+EQ55/MAX(EP55+EH55+EQ55, 0.1)*$J$9))/($B$11+$C$11+$F$11)</f>
        <v>0</v>
      </c>
      <c r="CU55">
        <f>($B$11*$K$9+$C$11*$K$9+$F$11*((EP55+EH55)/MAX(EP55+EH55+EQ55, 0.1)*$P$9+EQ55/MAX(EP55+EH55+EQ55, 0.1)*$Q$9))/($B$11+$C$11+$F$11)</f>
        <v>0</v>
      </c>
      <c r="CV55">
        <v>6</v>
      </c>
      <c r="CW55">
        <v>0.5</v>
      </c>
      <c r="CX55" t="s">
        <v>419</v>
      </c>
      <c r="CY55">
        <v>2</v>
      </c>
      <c r="CZ55" t="b">
        <v>1</v>
      </c>
      <c r="DA55">
        <v>1651772186.5</v>
      </c>
      <c r="DB55">
        <v>548.6741111111111</v>
      </c>
      <c r="DC55">
        <v>604.1565555555557</v>
      </c>
      <c r="DD55">
        <v>26.66528888888889</v>
      </c>
      <c r="DE55">
        <v>21.09332222222222</v>
      </c>
      <c r="DF55">
        <v>550.6714444444445</v>
      </c>
      <c r="DG55">
        <v>26.53728888888889</v>
      </c>
      <c r="DH55">
        <v>500.0515555555555</v>
      </c>
      <c r="DI55">
        <v>90.3000111111111</v>
      </c>
      <c r="DJ55">
        <v>0.0999926111111111</v>
      </c>
      <c r="DK55">
        <v>29.20161111111111</v>
      </c>
      <c r="DL55">
        <v>28.54436666666667</v>
      </c>
      <c r="DM55">
        <v>999.9000000000001</v>
      </c>
      <c r="DN55">
        <v>0</v>
      </c>
      <c r="DO55">
        <v>0</v>
      </c>
      <c r="DP55">
        <v>9985.694444444445</v>
      </c>
      <c r="DQ55">
        <v>0</v>
      </c>
      <c r="DR55">
        <v>13.25701111111111</v>
      </c>
      <c r="DS55">
        <v>-55.48232222222222</v>
      </c>
      <c r="DT55">
        <v>563.7056666666667</v>
      </c>
      <c r="DU55">
        <v>617.1747777777778</v>
      </c>
      <c r="DV55">
        <v>5.571971111111111</v>
      </c>
      <c r="DW55">
        <v>604.1565555555557</v>
      </c>
      <c r="DX55">
        <v>21.09332222222222</v>
      </c>
      <c r="DY55">
        <v>2.407875555555555</v>
      </c>
      <c r="DZ55">
        <v>1.904727777777778</v>
      </c>
      <c r="EA55">
        <v>20.41684444444444</v>
      </c>
      <c r="EB55">
        <v>16.67381111111111</v>
      </c>
      <c r="EC55">
        <v>1500.022222222222</v>
      </c>
      <c r="ED55">
        <v>0.9730089999999999</v>
      </c>
      <c r="EE55">
        <v>0.0269905</v>
      </c>
      <c r="EF55">
        <v>0</v>
      </c>
      <c r="EG55">
        <v>2.319677777777778</v>
      </c>
      <c r="EH55">
        <v>0</v>
      </c>
      <c r="EI55">
        <v>15401.47777777778</v>
      </c>
      <c r="EJ55">
        <v>12533.6</v>
      </c>
      <c r="EK55">
        <v>36.5</v>
      </c>
      <c r="EL55">
        <v>38.04133333333333</v>
      </c>
      <c r="EM55">
        <v>36.875</v>
      </c>
      <c r="EN55">
        <v>37.375</v>
      </c>
      <c r="EO55">
        <v>36.32599999999999</v>
      </c>
      <c r="EP55">
        <v>1459.532222222222</v>
      </c>
      <c r="EQ55">
        <v>40.49</v>
      </c>
      <c r="ER55">
        <v>0</v>
      </c>
      <c r="ES55">
        <v>1651772190.2</v>
      </c>
      <c r="ET55">
        <v>0</v>
      </c>
      <c r="EU55">
        <v>2.30625</v>
      </c>
      <c r="EV55">
        <v>-0.0372547073449214</v>
      </c>
      <c r="EW55">
        <v>593.9213679274823</v>
      </c>
      <c r="EX55">
        <v>15354.03846153846</v>
      </c>
      <c r="EY55">
        <v>15</v>
      </c>
      <c r="EZ55">
        <v>0</v>
      </c>
      <c r="FA55" t="s">
        <v>420</v>
      </c>
      <c r="FB55">
        <v>1651697511.6</v>
      </c>
      <c r="FC55">
        <v>1651697666.1</v>
      </c>
      <c r="FD55">
        <v>0</v>
      </c>
      <c r="FE55">
        <v>-0.019</v>
      </c>
      <c r="FF55">
        <v>0.013</v>
      </c>
      <c r="FG55">
        <v>-2.121</v>
      </c>
      <c r="FH55">
        <v>0.041</v>
      </c>
      <c r="FI55">
        <v>420</v>
      </c>
      <c r="FJ55">
        <v>22</v>
      </c>
      <c r="FK55">
        <v>1.72</v>
      </c>
      <c r="FL55">
        <v>0.27</v>
      </c>
      <c r="FM55">
        <v>-53.7033575</v>
      </c>
      <c r="FN55">
        <v>-14.01216923076919</v>
      </c>
      <c r="FO55">
        <v>1.376959943478295</v>
      </c>
      <c r="FP55">
        <v>0</v>
      </c>
      <c r="FQ55">
        <v>5.54900725</v>
      </c>
      <c r="FR55">
        <v>0.2408808630393843</v>
      </c>
      <c r="FS55">
        <v>0.02712910595536649</v>
      </c>
      <c r="FT55">
        <v>1</v>
      </c>
      <c r="FU55">
        <v>0</v>
      </c>
      <c r="FV55">
        <v>0</v>
      </c>
      <c r="FW55">
        <v>0</v>
      </c>
      <c r="FX55">
        <v>1</v>
      </c>
      <c r="FY55">
        <v>2</v>
      </c>
      <c r="FZ55">
        <v>3</v>
      </c>
      <c r="GA55" t="s">
        <v>421</v>
      </c>
      <c r="GB55">
        <v>2.98136</v>
      </c>
      <c r="GC55">
        <v>2.70601</v>
      </c>
      <c r="GD55">
        <v>0.116039</v>
      </c>
      <c r="GE55">
        <v>0.122527</v>
      </c>
      <c r="GF55">
        <v>0.114516</v>
      </c>
      <c r="GG55">
        <v>0.0959444</v>
      </c>
      <c r="GH55">
        <v>27959.3</v>
      </c>
      <c r="GI55">
        <v>27810.2</v>
      </c>
      <c r="GJ55">
        <v>29405.1</v>
      </c>
      <c r="GK55">
        <v>29315.7</v>
      </c>
      <c r="GL55">
        <v>34467.2</v>
      </c>
      <c r="GM55">
        <v>35283.4</v>
      </c>
      <c r="GN55">
        <v>41394.3</v>
      </c>
      <c r="GO55">
        <v>41838.2</v>
      </c>
      <c r="GP55">
        <v>1.96297</v>
      </c>
      <c r="GQ55">
        <v>1.86208</v>
      </c>
      <c r="GR55">
        <v>0.07262449999999999</v>
      </c>
      <c r="GS55">
        <v>0</v>
      </c>
      <c r="GT55">
        <v>27.3592</v>
      </c>
      <c r="GU55">
        <v>999.9</v>
      </c>
      <c r="GV55">
        <v>44.9</v>
      </c>
      <c r="GW55">
        <v>35</v>
      </c>
      <c r="GX55">
        <v>28.0846</v>
      </c>
      <c r="GY55">
        <v>62.9508</v>
      </c>
      <c r="GZ55">
        <v>36.3101</v>
      </c>
      <c r="HA55">
        <v>1</v>
      </c>
      <c r="HB55">
        <v>0.0361738</v>
      </c>
      <c r="HC55">
        <v>0</v>
      </c>
      <c r="HD55">
        <v>20.3463</v>
      </c>
      <c r="HE55">
        <v>5.21579</v>
      </c>
      <c r="HF55">
        <v>12.0088</v>
      </c>
      <c r="HG55">
        <v>4.9875</v>
      </c>
      <c r="HH55">
        <v>3.28838</v>
      </c>
      <c r="HI55">
        <v>493.1</v>
      </c>
      <c r="HJ55">
        <v>3623.6</v>
      </c>
      <c r="HK55">
        <v>4564.3</v>
      </c>
      <c r="HL55">
        <v>17.7</v>
      </c>
      <c r="HM55">
        <v>1.86768</v>
      </c>
      <c r="HN55">
        <v>1.86662</v>
      </c>
      <c r="HO55">
        <v>1.86618</v>
      </c>
      <c r="HP55">
        <v>1.86606</v>
      </c>
      <c r="HQ55">
        <v>1.86785</v>
      </c>
      <c r="HR55">
        <v>1.87041</v>
      </c>
      <c r="HS55">
        <v>1.86905</v>
      </c>
      <c r="HT55">
        <v>1.87042</v>
      </c>
      <c r="HU55">
        <v>0</v>
      </c>
      <c r="HV55">
        <v>0</v>
      </c>
      <c r="HW55">
        <v>0</v>
      </c>
      <c r="HX55">
        <v>0</v>
      </c>
      <c r="HY55" t="s">
        <v>422</v>
      </c>
      <c r="HZ55" t="s">
        <v>423</v>
      </c>
      <c r="IA55" t="s">
        <v>424</v>
      </c>
      <c r="IB55" t="s">
        <v>424</v>
      </c>
      <c r="IC55" t="s">
        <v>424</v>
      </c>
      <c r="ID55" t="s">
        <v>424</v>
      </c>
      <c r="IE55">
        <v>0</v>
      </c>
      <c r="IF55">
        <v>100</v>
      </c>
      <c r="IG55">
        <v>100</v>
      </c>
      <c r="IH55">
        <v>-2.011</v>
      </c>
      <c r="II55">
        <v>0.1281</v>
      </c>
      <c r="IJ55">
        <v>-1.064712027753117</v>
      </c>
      <c r="IK55">
        <v>-0.001826611574738555</v>
      </c>
      <c r="IL55">
        <v>3.313362389709971E-07</v>
      </c>
      <c r="IM55">
        <v>-1.629490614973607E-10</v>
      </c>
      <c r="IN55">
        <v>-0.09531406441470595</v>
      </c>
      <c r="IO55">
        <v>-0.008240702679890409</v>
      </c>
      <c r="IP55">
        <v>0.001077697425498046</v>
      </c>
      <c r="IQ55">
        <v>-1.69598232850356E-05</v>
      </c>
      <c r="IR55">
        <v>3</v>
      </c>
      <c r="IS55">
        <v>2280</v>
      </c>
      <c r="IT55">
        <v>1</v>
      </c>
      <c r="IU55">
        <v>25</v>
      </c>
      <c r="IV55">
        <v>1244.6</v>
      </c>
      <c r="IW55">
        <v>1242</v>
      </c>
      <c r="IX55">
        <v>1.43433</v>
      </c>
      <c r="IY55">
        <v>2.229</v>
      </c>
      <c r="IZ55">
        <v>1.39648</v>
      </c>
      <c r="JA55">
        <v>2.35352</v>
      </c>
      <c r="JB55">
        <v>1.49536</v>
      </c>
      <c r="JC55">
        <v>2.30103</v>
      </c>
      <c r="JD55">
        <v>38.7717</v>
      </c>
      <c r="JE55">
        <v>24.0525</v>
      </c>
      <c r="JF55">
        <v>18</v>
      </c>
      <c r="JG55">
        <v>508.837</v>
      </c>
      <c r="JH55">
        <v>429.875</v>
      </c>
      <c r="JI55">
        <v>28.1868</v>
      </c>
      <c r="JJ55">
        <v>27.8826</v>
      </c>
      <c r="JK55">
        <v>30.0001</v>
      </c>
      <c r="JL55">
        <v>27.7986</v>
      </c>
      <c r="JM55">
        <v>27.7318</v>
      </c>
      <c r="JN55">
        <v>28.8829</v>
      </c>
      <c r="JO55">
        <v>29.26</v>
      </c>
      <c r="JP55">
        <v>0</v>
      </c>
      <c r="JQ55">
        <v>-999.9</v>
      </c>
      <c r="JR55">
        <v>633.92</v>
      </c>
      <c r="JS55">
        <v>21.1217</v>
      </c>
      <c r="JT55">
        <v>100.52</v>
      </c>
      <c r="JU55">
        <v>100.419</v>
      </c>
    </row>
    <row r="56" spans="1:281">
      <c r="A56">
        <v>40</v>
      </c>
      <c r="B56">
        <v>1651772194</v>
      </c>
      <c r="C56">
        <v>316.4000000953674</v>
      </c>
      <c r="D56" t="s">
        <v>502</v>
      </c>
      <c r="E56" t="s">
        <v>503</v>
      </c>
      <c r="F56">
        <v>5</v>
      </c>
      <c r="H56" t="s">
        <v>417</v>
      </c>
      <c r="I56">
        <v>1651772191.2</v>
      </c>
      <c r="J56">
        <f>(K56)/1000</f>
        <v>0</v>
      </c>
      <c r="K56">
        <f>IF(CZ56, AN56, AH56)</f>
        <v>0</v>
      </c>
      <c r="L56">
        <f>IF(CZ56, AI56, AG56)</f>
        <v>0</v>
      </c>
      <c r="M56">
        <f>DB56 - IF(AU56&gt;1, L56*CV56*100.0/(AW56*DP56), 0)</f>
        <v>0</v>
      </c>
      <c r="N56">
        <f>((T56-J56/2)*M56-L56)/(T56+J56/2)</f>
        <v>0</v>
      </c>
      <c r="O56">
        <f>N56*(DI56+DJ56)/1000.0</f>
        <v>0</v>
      </c>
      <c r="P56">
        <f>(DB56 - IF(AU56&gt;1, L56*CV56*100.0/(AW56*DP56), 0))*(DI56+DJ56)/1000.0</f>
        <v>0</v>
      </c>
      <c r="Q56">
        <f>2.0/((1/S56-1/R56)+SIGN(S56)*SQRT((1/S56-1/R56)*(1/S56-1/R56) + 4*CW56/((CW56+1)*(CW56+1))*(2*1/S56*1/R56-1/R56*1/R56)))</f>
        <v>0</v>
      </c>
      <c r="R56">
        <f>IF(LEFT(CX56,1)&lt;&gt;"0",IF(LEFT(CX56,1)="1",3.0,CY56),$D$5+$E$5*(DP56*DI56/($K$5*1000))+$F$5*(DP56*DI56/($K$5*1000))*MAX(MIN(CV56,$J$5),$I$5)*MAX(MIN(CV56,$J$5),$I$5)+$G$5*MAX(MIN(CV56,$J$5),$I$5)*(DP56*DI56/($K$5*1000))+$H$5*(DP56*DI56/($K$5*1000))*(DP56*DI56/($K$5*1000)))</f>
        <v>0</v>
      </c>
      <c r="S56">
        <f>J56*(1000-(1000*0.61365*exp(17.502*W56/(240.97+W56))/(DI56+DJ56)+DD56)/2)/(1000*0.61365*exp(17.502*W56/(240.97+W56))/(DI56+DJ56)-DD56)</f>
        <v>0</v>
      </c>
      <c r="T56">
        <f>1/((CW56+1)/(Q56/1.6)+1/(R56/1.37)) + CW56/((CW56+1)/(Q56/1.6) + CW56/(R56/1.37))</f>
        <v>0</v>
      </c>
      <c r="U56">
        <f>(CR56*CU56)</f>
        <v>0</v>
      </c>
      <c r="V56">
        <f>(DK56+(U56+2*0.95*5.67E-8*(((DK56+$B$7)+273)^4-(DK56+273)^4)-44100*J56)/(1.84*29.3*R56+8*0.95*5.67E-8*(DK56+273)^3))</f>
        <v>0</v>
      </c>
      <c r="W56">
        <f>($C$7*DL56+$D$7*DM56+$E$7*V56)</f>
        <v>0</v>
      </c>
      <c r="X56">
        <f>0.61365*exp(17.502*W56/(240.97+W56))</f>
        <v>0</v>
      </c>
      <c r="Y56">
        <f>(Z56/AA56*100)</f>
        <v>0</v>
      </c>
      <c r="Z56">
        <f>DD56*(DI56+DJ56)/1000</f>
        <v>0</v>
      </c>
      <c r="AA56">
        <f>0.61365*exp(17.502*DK56/(240.97+DK56))</f>
        <v>0</v>
      </c>
      <c r="AB56">
        <f>(X56-DD56*(DI56+DJ56)/1000)</f>
        <v>0</v>
      </c>
      <c r="AC56">
        <f>(-J56*44100)</f>
        <v>0</v>
      </c>
      <c r="AD56">
        <f>2*29.3*R56*0.92*(DK56-W56)</f>
        <v>0</v>
      </c>
      <c r="AE56">
        <f>2*0.95*5.67E-8*(((DK56+$B$7)+273)^4-(W56+273)^4)</f>
        <v>0</v>
      </c>
      <c r="AF56">
        <f>U56+AE56+AC56+AD56</f>
        <v>0</v>
      </c>
      <c r="AG56">
        <f>DH56*AU56*(DC56-DB56*(1000-AU56*DE56)/(1000-AU56*DD56))/(100*CV56)</f>
        <v>0</v>
      </c>
      <c r="AH56">
        <f>1000*DH56*AU56*(DD56-DE56)/(100*CV56*(1000-AU56*DD56))</f>
        <v>0</v>
      </c>
      <c r="AI56">
        <f>(AJ56 - AK56 - DI56*1E3/(8.314*(DK56+273.15)) * AM56/DH56 * AL56) * DH56/(100*CV56) * (1000 - DE56)/1000</f>
        <v>0</v>
      </c>
      <c r="AJ56">
        <v>633.0497713190009</v>
      </c>
      <c r="AK56">
        <v>586.9489333333331</v>
      </c>
      <c r="AL56">
        <v>3.297236042763776</v>
      </c>
      <c r="AM56">
        <v>66.72507702095443</v>
      </c>
      <c r="AN56">
        <f>(AP56 - AO56 + DI56*1E3/(8.314*(DK56+273.15)) * AR56/DH56 * AQ56) * DH56/(100*CV56) * 1000/(1000 - AP56)</f>
        <v>0</v>
      </c>
      <c r="AO56">
        <v>21.09119458783012</v>
      </c>
      <c r="AP56">
        <v>26.68720666666667</v>
      </c>
      <c r="AQ56">
        <v>0.0001044544017703904</v>
      </c>
      <c r="AR56">
        <v>78.22078291278521</v>
      </c>
      <c r="AS56">
        <v>1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MAX(0,($B$13+$C$13*DP56)/(1+$D$13*DP56)*DI56/(DK56+273)*$E$13)</f>
        <v>0</v>
      </c>
      <c r="AX56" t="s">
        <v>418</v>
      </c>
      <c r="AY56" t="s">
        <v>418</v>
      </c>
      <c r="AZ56">
        <v>0</v>
      </c>
      <c r="BA56">
        <v>0</v>
      </c>
      <c r="BB56">
        <f>1-AZ56/BA56</f>
        <v>0</v>
      </c>
      <c r="BC56">
        <v>0</v>
      </c>
      <c r="BD56" t="s">
        <v>418</v>
      </c>
      <c r="BE56" t="s">
        <v>418</v>
      </c>
      <c r="BF56">
        <v>0</v>
      </c>
      <c r="BG56">
        <v>0</v>
      </c>
      <c r="BH56">
        <f>1-BF56/BG56</f>
        <v>0</v>
      </c>
      <c r="BI56">
        <v>0.5</v>
      </c>
      <c r="BJ56">
        <f>CS56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418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f>$B$11*DQ56+$C$11*DR56+$F$11*EC56*(1-EF56)</f>
        <v>0</v>
      </c>
      <c r="CS56">
        <f>CR56*CT56</f>
        <v>0</v>
      </c>
      <c r="CT56">
        <f>($B$11*$D$9+$C$11*$D$9+$F$11*((EP56+EH56)/MAX(EP56+EH56+EQ56, 0.1)*$I$9+EQ56/MAX(EP56+EH56+EQ56, 0.1)*$J$9))/($B$11+$C$11+$F$11)</f>
        <v>0</v>
      </c>
      <c r="CU56">
        <f>($B$11*$K$9+$C$11*$K$9+$F$11*((EP56+EH56)/MAX(EP56+EH56+EQ56, 0.1)*$P$9+EQ56/MAX(EP56+EH56+EQ56, 0.1)*$Q$9))/($B$11+$C$11+$F$11)</f>
        <v>0</v>
      </c>
      <c r="CV56">
        <v>6</v>
      </c>
      <c r="CW56">
        <v>0.5</v>
      </c>
      <c r="CX56" t="s">
        <v>419</v>
      </c>
      <c r="CY56">
        <v>2</v>
      </c>
      <c r="CZ56" t="b">
        <v>1</v>
      </c>
      <c r="DA56">
        <v>1651772191.2</v>
      </c>
      <c r="DB56">
        <v>563.9046999999999</v>
      </c>
      <c r="DC56">
        <v>619.5808</v>
      </c>
      <c r="DD56">
        <v>26.67978</v>
      </c>
      <c r="DE56">
        <v>21.0911</v>
      </c>
      <c r="DF56">
        <v>565.9266</v>
      </c>
      <c r="DG56">
        <v>26.55161</v>
      </c>
      <c r="DH56">
        <v>500.0489000000001</v>
      </c>
      <c r="DI56">
        <v>90.29955</v>
      </c>
      <c r="DJ56">
        <v>0.09999166000000001</v>
      </c>
      <c r="DK56">
        <v>29.20633</v>
      </c>
      <c r="DL56">
        <v>28.54512</v>
      </c>
      <c r="DM56">
        <v>999.9</v>
      </c>
      <c r="DN56">
        <v>0</v>
      </c>
      <c r="DO56">
        <v>0</v>
      </c>
      <c r="DP56">
        <v>9996.619999999999</v>
      </c>
      <c r="DQ56">
        <v>0</v>
      </c>
      <c r="DR56">
        <v>13.26091</v>
      </c>
      <c r="DS56">
        <v>-55.67614</v>
      </c>
      <c r="DT56">
        <v>579.3619</v>
      </c>
      <c r="DU56">
        <v>632.9299999999999</v>
      </c>
      <c r="DV56">
        <v>5.588684</v>
      </c>
      <c r="DW56">
        <v>619.5808</v>
      </c>
      <c r="DX56">
        <v>21.0911</v>
      </c>
      <c r="DY56">
        <v>2.409172</v>
      </c>
      <c r="DZ56">
        <v>1.904516</v>
      </c>
      <c r="EA56">
        <v>20.42557</v>
      </c>
      <c r="EB56">
        <v>16.67209</v>
      </c>
      <c r="EC56">
        <v>1500.002</v>
      </c>
      <c r="ED56">
        <v>0.9730084999999999</v>
      </c>
      <c r="EE56">
        <v>0.02699104</v>
      </c>
      <c r="EF56">
        <v>0</v>
      </c>
      <c r="EG56">
        <v>2.21148</v>
      </c>
      <c r="EH56">
        <v>0</v>
      </c>
      <c r="EI56">
        <v>15442.63</v>
      </c>
      <c r="EJ56">
        <v>12533.43</v>
      </c>
      <c r="EK56">
        <v>36.5</v>
      </c>
      <c r="EL56">
        <v>38</v>
      </c>
      <c r="EM56">
        <v>36.875</v>
      </c>
      <c r="EN56">
        <v>37.375</v>
      </c>
      <c r="EO56">
        <v>36.3372</v>
      </c>
      <c r="EP56">
        <v>1459.512</v>
      </c>
      <c r="EQ56">
        <v>40.49</v>
      </c>
      <c r="ER56">
        <v>0</v>
      </c>
      <c r="ES56">
        <v>1651772195</v>
      </c>
      <c r="ET56">
        <v>0</v>
      </c>
      <c r="EU56">
        <v>2.2617</v>
      </c>
      <c r="EV56">
        <v>0.09782564326548421</v>
      </c>
      <c r="EW56">
        <v>546.0068368368347</v>
      </c>
      <c r="EX56">
        <v>15399.66538461538</v>
      </c>
      <c r="EY56">
        <v>15</v>
      </c>
      <c r="EZ56">
        <v>0</v>
      </c>
      <c r="FA56" t="s">
        <v>420</v>
      </c>
      <c r="FB56">
        <v>1651697511.6</v>
      </c>
      <c r="FC56">
        <v>1651697666.1</v>
      </c>
      <c r="FD56">
        <v>0</v>
      </c>
      <c r="FE56">
        <v>-0.019</v>
      </c>
      <c r="FF56">
        <v>0.013</v>
      </c>
      <c r="FG56">
        <v>-2.121</v>
      </c>
      <c r="FH56">
        <v>0.041</v>
      </c>
      <c r="FI56">
        <v>420</v>
      </c>
      <c r="FJ56">
        <v>22</v>
      </c>
      <c r="FK56">
        <v>1.72</v>
      </c>
      <c r="FL56">
        <v>0.27</v>
      </c>
      <c r="FM56">
        <v>-54.51300731707317</v>
      </c>
      <c r="FN56">
        <v>-10.66389198606272</v>
      </c>
      <c r="FO56">
        <v>1.105576083004835</v>
      </c>
      <c r="FP56">
        <v>0</v>
      </c>
      <c r="FQ56">
        <v>5.567362439024389</v>
      </c>
      <c r="FR56">
        <v>0.1325009059233602</v>
      </c>
      <c r="FS56">
        <v>0.0138932385345531</v>
      </c>
      <c r="FT56">
        <v>1</v>
      </c>
      <c r="FU56">
        <v>0</v>
      </c>
      <c r="FV56">
        <v>0</v>
      </c>
      <c r="FW56">
        <v>0</v>
      </c>
      <c r="FX56">
        <v>1</v>
      </c>
      <c r="FY56">
        <v>2</v>
      </c>
      <c r="FZ56">
        <v>3</v>
      </c>
      <c r="GA56" t="s">
        <v>421</v>
      </c>
      <c r="GB56">
        <v>2.98156</v>
      </c>
      <c r="GC56">
        <v>2.70612</v>
      </c>
      <c r="GD56">
        <v>0.118408</v>
      </c>
      <c r="GE56">
        <v>0.124861</v>
      </c>
      <c r="GF56">
        <v>0.114565</v>
      </c>
      <c r="GG56">
        <v>0.09593790000000001</v>
      </c>
      <c r="GH56">
        <v>27884.2</v>
      </c>
      <c r="GI56">
        <v>27735.8</v>
      </c>
      <c r="GJ56">
        <v>29404.9</v>
      </c>
      <c r="GK56">
        <v>29315.3</v>
      </c>
      <c r="GL56">
        <v>34465.3</v>
      </c>
      <c r="GM56">
        <v>35283.3</v>
      </c>
      <c r="GN56">
        <v>41394.2</v>
      </c>
      <c r="GO56">
        <v>41837.7</v>
      </c>
      <c r="GP56">
        <v>1.96327</v>
      </c>
      <c r="GQ56">
        <v>1.86173</v>
      </c>
      <c r="GR56">
        <v>0.0722893</v>
      </c>
      <c r="GS56">
        <v>0</v>
      </c>
      <c r="GT56">
        <v>27.3656</v>
      </c>
      <c r="GU56">
        <v>999.9</v>
      </c>
      <c r="GV56">
        <v>44.9</v>
      </c>
      <c r="GW56">
        <v>35</v>
      </c>
      <c r="GX56">
        <v>28.0856</v>
      </c>
      <c r="GY56">
        <v>63.0208</v>
      </c>
      <c r="GZ56">
        <v>36.1979</v>
      </c>
      <c r="HA56">
        <v>1</v>
      </c>
      <c r="HB56">
        <v>0.0362602</v>
      </c>
      <c r="HC56">
        <v>0</v>
      </c>
      <c r="HD56">
        <v>20.3464</v>
      </c>
      <c r="HE56">
        <v>5.21639</v>
      </c>
      <c r="HF56">
        <v>12.0094</v>
      </c>
      <c r="HG56">
        <v>4.98795</v>
      </c>
      <c r="HH56">
        <v>3.28848</v>
      </c>
      <c r="HI56">
        <v>493.1</v>
      </c>
      <c r="HJ56">
        <v>3623.6</v>
      </c>
      <c r="HK56">
        <v>4564.3</v>
      </c>
      <c r="HL56">
        <v>17.7</v>
      </c>
      <c r="HM56">
        <v>1.86768</v>
      </c>
      <c r="HN56">
        <v>1.86662</v>
      </c>
      <c r="HO56">
        <v>1.86617</v>
      </c>
      <c r="HP56">
        <v>1.86607</v>
      </c>
      <c r="HQ56">
        <v>1.86789</v>
      </c>
      <c r="HR56">
        <v>1.87041</v>
      </c>
      <c r="HS56">
        <v>1.86905</v>
      </c>
      <c r="HT56">
        <v>1.87042</v>
      </c>
      <c r="HU56">
        <v>0</v>
      </c>
      <c r="HV56">
        <v>0</v>
      </c>
      <c r="HW56">
        <v>0</v>
      </c>
      <c r="HX56">
        <v>0</v>
      </c>
      <c r="HY56" t="s">
        <v>422</v>
      </c>
      <c r="HZ56" t="s">
        <v>423</v>
      </c>
      <c r="IA56" t="s">
        <v>424</v>
      </c>
      <c r="IB56" t="s">
        <v>424</v>
      </c>
      <c r="IC56" t="s">
        <v>424</v>
      </c>
      <c r="ID56" t="s">
        <v>424</v>
      </c>
      <c r="IE56">
        <v>0</v>
      </c>
      <c r="IF56">
        <v>100</v>
      </c>
      <c r="IG56">
        <v>100</v>
      </c>
      <c r="IH56">
        <v>-2.037</v>
      </c>
      <c r="II56">
        <v>0.1283</v>
      </c>
      <c r="IJ56">
        <v>-1.064712027753117</v>
      </c>
      <c r="IK56">
        <v>-0.001826611574738555</v>
      </c>
      <c r="IL56">
        <v>3.313362389709971E-07</v>
      </c>
      <c r="IM56">
        <v>-1.629490614973607E-10</v>
      </c>
      <c r="IN56">
        <v>-0.09531406441470595</v>
      </c>
      <c r="IO56">
        <v>-0.008240702679890409</v>
      </c>
      <c r="IP56">
        <v>0.001077697425498046</v>
      </c>
      <c r="IQ56">
        <v>-1.69598232850356E-05</v>
      </c>
      <c r="IR56">
        <v>3</v>
      </c>
      <c r="IS56">
        <v>2280</v>
      </c>
      <c r="IT56">
        <v>1</v>
      </c>
      <c r="IU56">
        <v>25</v>
      </c>
      <c r="IV56">
        <v>1244.7</v>
      </c>
      <c r="IW56">
        <v>1242.1</v>
      </c>
      <c r="IX56">
        <v>1.46973</v>
      </c>
      <c r="IY56">
        <v>2.2229</v>
      </c>
      <c r="IZ56">
        <v>1.39648</v>
      </c>
      <c r="JA56">
        <v>2.35352</v>
      </c>
      <c r="JB56">
        <v>1.49536</v>
      </c>
      <c r="JC56">
        <v>2.30469</v>
      </c>
      <c r="JD56">
        <v>38.7717</v>
      </c>
      <c r="JE56">
        <v>24.0525</v>
      </c>
      <c r="JF56">
        <v>18</v>
      </c>
      <c r="JG56">
        <v>509.041</v>
      </c>
      <c r="JH56">
        <v>429.683</v>
      </c>
      <c r="JI56">
        <v>28.1905</v>
      </c>
      <c r="JJ56">
        <v>27.8847</v>
      </c>
      <c r="JK56">
        <v>30.0002</v>
      </c>
      <c r="JL56">
        <v>27.7997</v>
      </c>
      <c r="JM56">
        <v>27.7342</v>
      </c>
      <c r="JN56">
        <v>29.4262</v>
      </c>
      <c r="JO56">
        <v>29.26</v>
      </c>
      <c r="JP56">
        <v>0</v>
      </c>
      <c r="JQ56">
        <v>-999.9</v>
      </c>
      <c r="JR56">
        <v>647.279</v>
      </c>
      <c r="JS56">
        <v>21.119</v>
      </c>
      <c r="JT56">
        <v>100.52</v>
      </c>
      <c r="JU56">
        <v>100.418</v>
      </c>
    </row>
    <row r="57" spans="1:281">
      <c r="A57">
        <v>41</v>
      </c>
      <c r="B57">
        <v>1651772199</v>
      </c>
      <c r="C57">
        <v>321.4000000953674</v>
      </c>
      <c r="D57" t="s">
        <v>504</v>
      </c>
      <c r="E57" t="s">
        <v>505</v>
      </c>
      <c r="F57">
        <v>5</v>
      </c>
      <c r="H57" t="s">
        <v>417</v>
      </c>
      <c r="I57">
        <v>1651772196.5</v>
      </c>
      <c r="J57">
        <f>(K57)/1000</f>
        <v>0</v>
      </c>
      <c r="K57">
        <f>IF(CZ57, AN57, AH57)</f>
        <v>0</v>
      </c>
      <c r="L57">
        <f>IF(CZ57, AI57, AG57)</f>
        <v>0</v>
      </c>
      <c r="M57">
        <f>DB57 - IF(AU57&gt;1, L57*CV57*100.0/(AW57*DP57), 0)</f>
        <v>0</v>
      </c>
      <c r="N57">
        <f>((T57-J57/2)*M57-L57)/(T57+J57/2)</f>
        <v>0</v>
      </c>
      <c r="O57">
        <f>N57*(DI57+DJ57)/1000.0</f>
        <v>0</v>
      </c>
      <c r="P57">
        <f>(DB57 - IF(AU57&gt;1, L57*CV57*100.0/(AW57*DP57), 0))*(DI57+DJ57)/1000.0</f>
        <v>0</v>
      </c>
      <c r="Q57">
        <f>2.0/((1/S57-1/R57)+SIGN(S57)*SQRT((1/S57-1/R57)*(1/S57-1/R57) + 4*CW57/((CW57+1)*(CW57+1))*(2*1/S57*1/R57-1/R57*1/R57)))</f>
        <v>0</v>
      </c>
      <c r="R57">
        <f>IF(LEFT(CX57,1)&lt;&gt;"0",IF(LEFT(CX57,1)="1",3.0,CY57),$D$5+$E$5*(DP57*DI57/($K$5*1000))+$F$5*(DP57*DI57/($K$5*1000))*MAX(MIN(CV57,$J$5),$I$5)*MAX(MIN(CV57,$J$5),$I$5)+$G$5*MAX(MIN(CV57,$J$5),$I$5)*(DP57*DI57/($K$5*1000))+$H$5*(DP57*DI57/($K$5*1000))*(DP57*DI57/($K$5*1000)))</f>
        <v>0</v>
      </c>
      <c r="S57">
        <f>J57*(1000-(1000*0.61365*exp(17.502*W57/(240.97+W57))/(DI57+DJ57)+DD57)/2)/(1000*0.61365*exp(17.502*W57/(240.97+W57))/(DI57+DJ57)-DD57)</f>
        <v>0</v>
      </c>
      <c r="T57">
        <f>1/((CW57+1)/(Q57/1.6)+1/(R57/1.37)) + CW57/((CW57+1)/(Q57/1.6) + CW57/(R57/1.37))</f>
        <v>0</v>
      </c>
      <c r="U57">
        <f>(CR57*CU57)</f>
        <v>0</v>
      </c>
      <c r="V57">
        <f>(DK57+(U57+2*0.95*5.67E-8*(((DK57+$B$7)+273)^4-(DK57+273)^4)-44100*J57)/(1.84*29.3*R57+8*0.95*5.67E-8*(DK57+273)^3))</f>
        <v>0</v>
      </c>
      <c r="W57">
        <f>($C$7*DL57+$D$7*DM57+$E$7*V57)</f>
        <v>0</v>
      </c>
      <c r="X57">
        <f>0.61365*exp(17.502*W57/(240.97+W57))</f>
        <v>0</v>
      </c>
      <c r="Y57">
        <f>(Z57/AA57*100)</f>
        <v>0</v>
      </c>
      <c r="Z57">
        <f>DD57*(DI57+DJ57)/1000</f>
        <v>0</v>
      </c>
      <c r="AA57">
        <f>0.61365*exp(17.502*DK57/(240.97+DK57))</f>
        <v>0</v>
      </c>
      <c r="AB57">
        <f>(X57-DD57*(DI57+DJ57)/1000)</f>
        <v>0</v>
      </c>
      <c r="AC57">
        <f>(-J57*44100)</f>
        <v>0</v>
      </c>
      <c r="AD57">
        <f>2*29.3*R57*0.92*(DK57-W57)</f>
        <v>0</v>
      </c>
      <c r="AE57">
        <f>2*0.95*5.67E-8*(((DK57+$B$7)+273)^4-(W57+273)^4)</f>
        <v>0</v>
      </c>
      <c r="AF57">
        <f>U57+AE57+AC57+AD57</f>
        <v>0</v>
      </c>
      <c r="AG57">
        <f>DH57*AU57*(DC57-DB57*(1000-AU57*DE57)/(1000-AU57*DD57))/(100*CV57)</f>
        <v>0</v>
      </c>
      <c r="AH57">
        <f>1000*DH57*AU57*(DD57-DE57)/(100*CV57*(1000-AU57*DD57))</f>
        <v>0</v>
      </c>
      <c r="AI57">
        <f>(AJ57 - AK57 - DI57*1E3/(8.314*(DK57+273.15)) * AM57/DH57 * AL57) * DH57/(100*CV57) * (1000 - DE57)/1000</f>
        <v>0</v>
      </c>
      <c r="AJ57">
        <v>649.8374641409965</v>
      </c>
      <c r="AK57">
        <v>603.3151878787879</v>
      </c>
      <c r="AL57">
        <v>3.244720313673731</v>
      </c>
      <c r="AM57">
        <v>66.72507702095443</v>
      </c>
      <c r="AN57">
        <f>(AP57 - AO57 + DI57*1E3/(8.314*(DK57+273.15)) * AR57/DH57 * AQ57) * DH57/(100*CV57) * 1000/(1000 - AP57)</f>
        <v>0</v>
      </c>
      <c r="AO57">
        <v>21.08903685306244</v>
      </c>
      <c r="AP57">
        <v>26.70205393939392</v>
      </c>
      <c r="AQ57">
        <v>0.0001140616990357707</v>
      </c>
      <c r="AR57">
        <v>78.22078291278521</v>
      </c>
      <c r="AS57">
        <v>1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MAX(0,($B$13+$C$13*DP57)/(1+$D$13*DP57)*DI57/(DK57+273)*$E$13)</f>
        <v>0</v>
      </c>
      <c r="AX57" t="s">
        <v>418</v>
      </c>
      <c r="AY57" t="s">
        <v>418</v>
      </c>
      <c r="AZ57">
        <v>0</v>
      </c>
      <c r="BA57">
        <v>0</v>
      </c>
      <c r="BB57">
        <f>1-AZ57/BA57</f>
        <v>0</v>
      </c>
      <c r="BC57">
        <v>0</v>
      </c>
      <c r="BD57" t="s">
        <v>418</v>
      </c>
      <c r="BE57" t="s">
        <v>418</v>
      </c>
      <c r="BF57">
        <v>0</v>
      </c>
      <c r="BG57">
        <v>0</v>
      </c>
      <c r="BH57">
        <f>1-BF57/BG57</f>
        <v>0</v>
      </c>
      <c r="BI57">
        <v>0.5</v>
      </c>
      <c r="BJ57">
        <f>CS57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418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f>$B$11*DQ57+$C$11*DR57+$F$11*EC57*(1-EF57)</f>
        <v>0</v>
      </c>
      <c r="CS57">
        <f>CR57*CT57</f>
        <v>0</v>
      </c>
      <c r="CT57">
        <f>($B$11*$D$9+$C$11*$D$9+$F$11*((EP57+EH57)/MAX(EP57+EH57+EQ57, 0.1)*$I$9+EQ57/MAX(EP57+EH57+EQ57, 0.1)*$J$9))/($B$11+$C$11+$F$11)</f>
        <v>0</v>
      </c>
      <c r="CU57">
        <f>($B$11*$K$9+$C$11*$K$9+$F$11*((EP57+EH57)/MAX(EP57+EH57+EQ57, 0.1)*$P$9+EQ57/MAX(EP57+EH57+EQ57, 0.1)*$Q$9))/($B$11+$C$11+$F$11)</f>
        <v>0</v>
      </c>
      <c r="CV57">
        <v>6</v>
      </c>
      <c r="CW57">
        <v>0.5</v>
      </c>
      <c r="CX57" t="s">
        <v>419</v>
      </c>
      <c r="CY57">
        <v>2</v>
      </c>
      <c r="CZ57" t="b">
        <v>1</v>
      </c>
      <c r="DA57">
        <v>1651772196.5</v>
      </c>
      <c r="DB57">
        <v>580.9065555555555</v>
      </c>
      <c r="DC57">
        <v>636.9694444444444</v>
      </c>
      <c r="DD57">
        <v>26.69621111111111</v>
      </c>
      <c r="DE57">
        <v>21.08888888888889</v>
      </c>
      <c r="DF57">
        <v>582.9556666666666</v>
      </c>
      <c r="DG57">
        <v>26.56781111111111</v>
      </c>
      <c r="DH57">
        <v>500.0407777777777</v>
      </c>
      <c r="DI57">
        <v>90.29904444444445</v>
      </c>
      <c r="DJ57">
        <v>0.1000186777777778</v>
      </c>
      <c r="DK57">
        <v>29.21051111111111</v>
      </c>
      <c r="DL57">
        <v>28.54984444444445</v>
      </c>
      <c r="DM57">
        <v>999.9000000000001</v>
      </c>
      <c r="DN57">
        <v>0</v>
      </c>
      <c r="DO57">
        <v>0</v>
      </c>
      <c r="DP57">
        <v>9999.993333333334</v>
      </c>
      <c r="DQ57">
        <v>0</v>
      </c>
      <c r="DR57">
        <v>13.265</v>
      </c>
      <c r="DS57">
        <v>-56.06291111111111</v>
      </c>
      <c r="DT57">
        <v>596.8397777777777</v>
      </c>
      <c r="DU57">
        <v>650.6917777777777</v>
      </c>
      <c r="DV57">
        <v>5.607338888888888</v>
      </c>
      <c r="DW57">
        <v>636.9694444444444</v>
      </c>
      <c r="DX57">
        <v>21.08888888888889</v>
      </c>
      <c r="DY57">
        <v>2.410643333333334</v>
      </c>
      <c r="DZ57">
        <v>1.904304444444444</v>
      </c>
      <c r="EA57">
        <v>20.43544444444444</v>
      </c>
      <c r="EB57">
        <v>16.67033333333334</v>
      </c>
      <c r="EC57">
        <v>1500.032222222222</v>
      </c>
      <c r="ED57">
        <v>0.9730089999999999</v>
      </c>
      <c r="EE57">
        <v>0.0269905</v>
      </c>
      <c r="EF57">
        <v>0</v>
      </c>
      <c r="EG57">
        <v>2.370988888888889</v>
      </c>
      <c r="EH57">
        <v>0</v>
      </c>
      <c r="EI57">
        <v>15483.84444444444</v>
      </c>
      <c r="EJ57">
        <v>12533.71111111111</v>
      </c>
      <c r="EK57">
        <v>36.486</v>
      </c>
      <c r="EL57">
        <v>38</v>
      </c>
      <c r="EM57">
        <v>36.875</v>
      </c>
      <c r="EN57">
        <v>37.375</v>
      </c>
      <c r="EO57">
        <v>36.34</v>
      </c>
      <c r="EP57">
        <v>1459.542222222222</v>
      </c>
      <c r="EQ57">
        <v>40.49</v>
      </c>
      <c r="ER57">
        <v>0</v>
      </c>
      <c r="ES57">
        <v>1651772199.8</v>
      </c>
      <c r="ET57">
        <v>0</v>
      </c>
      <c r="EU57">
        <v>2.298838461538462</v>
      </c>
      <c r="EV57">
        <v>0.09318290578854561</v>
      </c>
      <c r="EW57">
        <v>492.810256733017</v>
      </c>
      <c r="EX57">
        <v>15441.20384615385</v>
      </c>
      <c r="EY57">
        <v>15</v>
      </c>
      <c r="EZ57">
        <v>0</v>
      </c>
      <c r="FA57" t="s">
        <v>420</v>
      </c>
      <c r="FB57">
        <v>1651697511.6</v>
      </c>
      <c r="FC57">
        <v>1651697666.1</v>
      </c>
      <c r="FD57">
        <v>0</v>
      </c>
      <c r="FE57">
        <v>-0.019</v>
      </c>
      <c r="FF57">
        <v>0.013</v>
      </c>
      <c r="FG57">
        <v>-2.121</v>
      </c>
      <c r="FH57">
        <v>0.041</v>
      </c>
      <c r="FI57">
        <v>420</v>
      </c>
      <c r="FJ57">
        <v>22</v>
      </c>
      <c r="FK57">
        <v>1.72</v>
      </c>
      <c r="FL57">
        <v>0.27</v>
      </c>
      <c r="FM57">
        <v>-55.3700825</v>
      </c>
      <c r="FN57">
        <v>-6.863114071294546</v>
      </c>
      <c r="FO57">
        <v>0.7459593510666319</v>
      </c>
      <c r="FP57">
        <v>0</v>
      </c>
      <c r="FQ57">
        <v>5.58181925</v>
      </c>
      <c r="FR57">
        <v>0.1858769606003683</v>
      </c>
      <c r="FS57">
        <v>0.01801061720034889</v>
      </c>
      <c r="FT57">
        <v>1</v>
      </c>
      <c r="FU57">
        <v>0</v>
      </c>
      <c r="FV57">
        <v>0</v>
      </c>
      <c r="FW57">
        <v>0</v>
      </c>
      <c r="FX57">
        <v>1</v>
      </c>
      <c r="FY57">
        <v>2</v>
      </c>
      <c r="FZ57">
        <v>3</v>
      </c>
      <c r="GA57" t="s">
        <v>421</v>
      </c>
      <c r="GB57">
        <v>2.98153</v>
      </c>
      <c r="GC57">
        <v>2.70626</v>
      </c>
      <c r="GD57">
        <v>0.120715</v>
      </c>
      <c r="GE57">
        <v>0.127059</v>
      </c>
      <c r="GF57">
        <v>0.114609</v>
      </c>
      <c r="GG57">
        <v>0.095933</v>
      </c>
      <c r="GH57">
        <v>27811.3</v>
      </c>
      <c r="GI57">
        <v>27666.2</v>
      </c>
      <c r="GJ57">
        <v>29405</v>
      </c>
      <c r="GK57">
        <v>29315.4</v>
      </c>
      <c r="GL57">
        <v>34463.9</v>
      </c>
      <c r="GM57">
        <v>35283.8</v>
      </c>
      <c r="GN57">
        <v>41394.6</v>
      </c>
      <c r="GO57">
        <v>41838</v>
      </c>
      <c r="GP57">
        <v>1.96315</v>
      </c>
      <c r="GQ57">
        <v>1.86205</v>
      </c>
      <c r="GR57">
        <v>0.0724196</v>
      </c>
      <c r="GS57">
        <v>0</v>
      </c>
      <c r="GT57">
        <v>27.3726</v>
      </c>
      <c r="GU57">
        <v>999.9</v>
      </c>
      <c r="GV57">
        <v>44.9</v>
      </c>
      <c r="GW57">
        <v>35</v>
      </c>
      <c r="GX57">
        <v>28.0839</v>
      </c>
      <c r="GY57">
        <v>62.6408</v>
      </c>
      <c r="GZ57">
        <v>36.2941</v>
      </c>
      <c r="HA57">
        <v>1</v>
      </c>
      <c r="HB57">
        <v>0.0364863</v>
      </c>
      <c r="HC57">
        <v>0</v>
      </c>
      <c r="HD57">
        <v>20.3465</v>
      </c>
      <c r="HE57">
        <v>5.21684</v>
      </c>
      <c r="HF57">
        <v>12.0091</v>
      </c>
      <c r="HG57">
        <v>4.988</v>
      </c>
      <c r="HH57">
        <v>3.28858</v>
      </c>
      <c r="HI57">
        <v>493.1</v>
      </c>
      <c r="HJ57">
        <v>3623.6</v>
      </c>
      <c r="HK57">
        <v>4564.3</v>
      </c>
      <c r="HL57">
        <v>17.7</v>
      </c>
      <c r="HM57">
        <v>1.86768</v>
      </c>
      <c r="HN57">
        <v>1.86662</v>
      </c>
      <c r="HO57">
        <v>1.86615</v>
      </c>
      <c r="HP57">
        <v>1.86606</v>
      </c>
      <c r="HQ57">
        <v>1.86785</v>
      </c>
      <c r="HR57">
        <v>1.87042</v>
      </c>
      <c r="HS57">
        <v>1.86905</v>
      </c>
      <c r="HT57">
        <v>1.87042</v>
      </c>
      <c r="HU57">
        <v>0</v>
      </c>
      <c r="HV57">
        <v>0</v>
      </c>
      <c r="HW57">
        <v>0</v>
      </c>
      <c r="HX57">
        <v>0</v>
      </c>
      <c r="HY57" t="s">
        <v>422</v>
      </c>
      <c r="HZ57" t="s">
        <v>423</v>
      </c>
      <c r="IA57" t="s">
        <v>424</v>
      </c>
      <c r="IB57" t="s">
        <v>424</v>
      </c>
      <c r="IC57" t="s">
        <v>424</v>
      </c>
      <c r="ID57" t="s">
        <v>424</v>
      </c>
      <c r="IE57">
        <v>0</v>
      </c>
      <c r="IF57">
        <v>100</v>
      </c>
      <c r="IG57">
        <v>100</v>
      </c>
      <c r="IH57">
        <v>-2.062</v>
      </c>
      <c r="II57">
        <v>0.1285</v>
      </c>
      <c r="IJ57">
        <v>-1.064712027753117</v>
      </c>
      <c r="IK57">
        <v>-0.001826611574738555</v>
      </c>
      <c r="IL57">
        <v>3.313362389709971E-07</v>
      </c>
      <c r="IM57">
        <v>-1.629490614973607E-10</v>
      </c>
      <c r="IN57">
        <v>-0.09531406441470595</v>
      </c>
      <c r="IO57">
        <v>-0.008240702679890409</v>
      </c>
      <c r="IP57">
        <v>0.001077697425498046</v>
      </c>
      <c r="IQ57">
        <v>-1.69598232850356E-05</v>
      </c>
      <c r="IR57">
        <v>3</v>
      </c>
      <c r="IS57">
        <v>2280</v>
      </c>
      <c r="IT57">
        <v>1</v>
      </c>
      <c r="IU57">
        <v>25</v>
      </c>
      <c r="IV57">
        <v>1244.8</v>
      </c>
      <c r="IW57">
        <v>1242.2</v>
      </c>
      <c r="IX57">
        <v>1.50146</v>
      </c>
      <c r="IY57">
        <v>2.22778</v>
      </c>
      <c r="IZ57">
        <v>1.39648</v>
      </c>
      <c r="JA57">
        <v>2.35352</v>
      </c>
      <c r="JB57">
        <v>1.49536</v>
      </c>
      <c r="JC57">
        <v>2.30835</v>
      </c>
      <c r="JD57">
        <v>38.7717</v>
      </c>
      <c r="JE57">
        <v>24.0525</v>
      </c>
      <c r="JF57">
        <v>18</v>
      </c>
      <c r="JG57">
        <v>508.979</v>
      </c>
      <c r="JH57">
        <v>429.894</v>
      </c>
      <c r="JI57">
        <v>28.1957</v>
      </c>
      <c r="JJ57">
        <v>27.8871</v>
      </c>
      <c r="JK57">
        <v>30.0003</v>
      </c>
      <c r="JL57">
        <v>27.8018</v>
      </c>
      <c r="JM57">
        <v>27.7363</v>
      </c>
      <c r="JN57">
        <v>30.0592</v>
      </c>
      <c r="JO57">
        <v>29.26</v>
      </c>
      <c r="JP57">
        <v>0</v>
      </c>
      <c r="JQ57">
        <v>-999.9</v>
      </c>
      <c r="JR57">
        <v>667.398</v>
      </c>
      <c r="JS57">
        <v>21.119</v>
      </c>
      <c r="JT57">
        <v>100.521</v>
      </c>
      <c r="JU57">
        <v>100.418</v>
      </c>
    </row>
    <row r="58" spans="1:281">
      <c r="A58">
        <v>42</v>
      </c>
      <c r="B58">
        <v>1651772204</v>
      </c>
      <c r="C58">
        <v>326.4000000953674</v>
      </c>
      <c r="D58" t="s">
        <v>506</v>
      </c>
      <c r="E58" t="s">
        <v>507</v>
      </c>
      <c r="F58">
        <v>5</v>
      </c>
      <c r="H58" t="s">
        <v>417</v>
      </c>
      <c r="I58">
        <v>1651772201.2</v>
      </c>
      <c r="J58">
        <f>(K58)/1000</f>
        <v>0</v>
      </c>
      <c r="K58">
        <f>IF(CZ58, AN58, AH58)</f>
        <v>0</v>
      </c>
      <c r="L58">
        <f>IF(CZ58, AI58, AG58)</f>
        <v>0</v>
      </c>
      <c r="M58">
        <f>DB58 - IF(AU58&gt;1, L58*CV58*100.0/(AW58*DP58), 0)</f>
        <v>0</v>
      </c>
      <c r="N58">
        <f>((T58-J58/2)*M58-L58)/(T58+J58/2)</f>
        <v>0</v>
      </c>
      <c r="O58">
        <f>N58*(DI58+DJ58)/1000.0</f>
        <v>0</v>
      </c>
      <c r="P58">
        <f>(DB58 - IF(AU58&gt;1, L58*CV58*100.0/(AW58*DP58), 0))*(DI58+DJ58)/1000.0</f>
        <v>0</v>
      </c>
      <c r="Q58">
        <f>2.0/((1/S58-1/R58)+SIGN(S58)*SQRT((1/S58-1/R58)*(1/S58-1/R58) + 4*CW58/((CW58+1)*(CW58+1))*(2*1/S58*1/R58-1/R58*1/R58)))</f>
        <v>0</v>
      </c>
      <c r="R58">
        <f>IF(LEFT(CX58,1)&lt;&gt;"0",IF(LEFT(CX58,1)="1",3.0,CY58),$D$5+$E$5*(DP58*DI58/($K$5*1000))+$F$5*(DP58*DI58/($K$5*1000))*MAX(MIN(CV58,$J$5),$I$5)*MAX(MIN(CV58,$J$5),$I$5)+$G$5*MAX(MIN(CV58,$J$5),$I$5)*(DP58*DI58/($K$5*1000))+$H$5*(DP58*DI58/($K$5*1000))*(DP58*DI58/($K$5*1000)))</f>
        <v>0</v>
      </c>
      <c r="S58">
        <f>J58*(1000-(1000*0.61365*exp(17.502*W58/(240.97+W58))/(DI58+DJ58)+DD58)/2)/(1000*0.61365*exp(17.502*W58/(240.97+W58))/(DI58+DJ58)-DD58)</f>
        <v>0</v>
      </c>
      <c r="T58">
        <f>1/((CW58+1)/(Q58/1.6)+1/(R58/1.37)) + CW58/((CW58+1)/(Q58/1.6) + CW58/(R58/1.37))</f>
        <v>0</v>
      </c>
      <c r="U58">
        <f>(CR58*CU58)</f>
        <v>0</v>
      </c>
      <c r="V58">
        <f>(DK58+(U58+2*0.95*5.67E-8*(((DK58+$B$7)+273)^4-(DK58+273)^4)-44100*J58)/(1.84*29.3*R58+8*0.95*5.67E-8*(DK58+273)^3))</f>
        <v>0</v>
      </c>
      <c r="W58">
        <f>($C$7*DL58+$D$7*DM58+$E$7*V58)</f>
        <v>0</v>
      </c>
      <c r="X58">
        <f>0.61365*exp(17.502*W58/(240.97+W58))</f>
        <v>0</v>
      </c>
      <c r="Y58">
        <f>(Z58/AA58*100)</f>
        <v>0</v>
      </c>
      <c r="Z58">
        <f>DD58*(DI58+DJ58)/1000</f>
        <v>0</v>
      </c>
      <c r="AA58">
        <f>0.61365*exp(17.502*DK58/(240.97+DK58))</f>
        <v>0</v>
      </c>
      <c r="AB58">
        <f>(X58-DD58*(DI58+DJ58)/1000)</f>
        <v>0</v>
      </c>
      <c r="AC58">
        <f>(-J58*44100)</f>
        <v>0</v>
      </c>
      <c r="AD58">
        <f>2*29.3*R58*0.92*(DK58-W58)</f>
        <v>0</v>
      </c>
      <c r="AE58">
        <f>2*0.95*5.67E-8*(((DK58+$B$7)+273)^4-(W58+273)^4)</f>
        <v>0</v>
      </c>
      <c r="AF58">
        <f>U58+AE58+AC58+AD58</f>
        <v>0</v>
      </c>
      <c r="AG58">
        <f>DH58*AU58*(DC58-DB58*(1000-AU58*DE58)/(1000-AU58*DD58))/(100*CV58)</f>
        <v>0</v>
      </c>
      <c r="AH58">
        <f>1000*DH58*AU58*(DD58-DE58)/(100*CV58*(1000-AU58*DD58))</f>
        <v>0</v>
      </c>
      <c r="AI58">
        <f>(AJ58 - AK58 - DI58*1E3/(8.314*(DK58+273.15)) * AM58/DH58 * AL58) * DH58/(100*CV58) * (1000 - DE58)/1000</f>
        <v>0</v>
      </c>
      <c r="AJ58">
        <v>666.4457357080611</v>
      </c>
      <c r="AK58">
        <v>619.5492909090908</v>
      </c>
      <c r="AL58">
        <v>3.253144550351312</v>
      </c>
      <c r="AM58">
        <v>66.72507702095443</v>
      </c>
      <c r="AN58">
        <f>(AP58 - AO58 + DI58*1E3/(8.314*(DK58+273.15)) * AR58/DH58 * AQ58) * DH58/(100*CV58) * 1000/(1000 - AP58)</f>
        <v>0</v>
      </c>
      <c r="AO58">
        <v>21.08781050483162</v>
      </c>
      <c r="AP58">
        <v>26.72085393939393</v>
      </c>
      <c r="AQ58">
        <v>0.0001086811480494861</v>
      </c>
      <c r="AR58">
        <v>78.22078291278521</v>
      </c>
      <c r="AS58">
        <v>1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MAX(0,($B$13+$C$13*DP58)/(1+$D$13*DP58)*DI58/(DK58+273)*$E$13)</f>
        <v>0</v>
      </c>
      <c r="AX58" t="s">
        <v>418</v>
      </c>
      <c r="AY58" t="s">
        <v>418</v>
      </c>
      <c r="AZ58">
        <v>0</v>
      </c>
      <c r="BA58">
        <v>0</v>
      </c>
      <c r="BB58">
        <f>1-AZ58/BA58</f>
        <v>0</v>
      </c>
      <c r="BC58">
        <v>0</v>
      </c>
      <c r="BD58" t="s">
        <v>418</v>
      </c>
      <c r="BE58" t="s">
        <v>418</v>
      </c>
      <c r="BF58">
        <v>0</v>
      </c>
      <c r="BG58">
        <v>0</v>
      </c>
      <c r="BH58">
        <f>1-BF58/BG58</f>
        <v>0</v>
      </c>
      <c r="BI58">
        <v>0.5</v>
      </c>
      <c r="BJ58">
        <f>CS58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418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f>$B$11*DQ58+$C$11*DR58+$F$11*EC58*(1-EF58)</f>
        <v>0</v>
      </c>
      <c r="CS58">
        <f>CR58*CT58</f>
        <v>0</v>
      </c>
      <c r="CT58">
        <f>($B$11*$D$9+$C$11*$D$9+$F$11*((EP58+EH58)/MAX(EP58+EH58+EQ58, 0.1)*$I$9+EQ58/MAX(EP58+EH58+EQ58, 0.1)*$J$9))/($B$11+$C$11+$F$11)</f>
        <v>0</v>
      </c>
      <c r="CU58">
        <f>($B$11*$K$9+$C$11*$K$9+$F$11*((EP58+EH58)/MAX(EP58+EH58+EQ58, 0.1)*$P$9+EQ58/MAX(EP58+EH58+EQ58, 0.1)*$Q$9))/($B$11+$C$11+$F$11)</f>
        <v>0</v>
      </c>
      <c r="CV58">
        <v>6</v>
      </c>
      <c r="CW58">
        <v>0.5</v>
      </c>
      <c r="CX58" t="s">
        <v>419</v>
      </c>
      <c r="CY58">
        <v>2</v>
      </c>
      <c r="CZ58" t="b">
        <v>1</v>
      </c>
      <c r="DA58">
        <v>1651772201.2</v>
      </c>
      <c r="DB58">
        <v>595.7199000000001</v>
      </c>
      <c r="DC58">
        <v>652.2672</v>
      </c>
      <c r="DD58">
        <v>26.71251</v>
      </c>
      <c r="DE58">
        <v>21.08771</v>
      </c>
      <c r="DF58">
        <v>597.7927999999999</v>
      </c>
      <c r="DG58">
        <v>26.58389</v>
      </c>
      <c r="DH58">
        <v>500.0426</v>
      </c>
      <c r="DI58">
        <v>90.29881</v>
      </c>
      <c r="DJ58">
        <v>0.09998810999999999</v>
      </c>
      <c r="DK58">
        <v>29.21345</v>
      </c>
      <c r="DL58">
        <v>28.56158</v>
      </c>
      <c r="DM58">
        <v>999.9</v>
      </c>
      <c r="DN58">
        <v>0</v>
      </c>
      <c r="DO58">
        <v>0</v>
      </c>
      <c r="DP58">
        <v>10011.31</v>
      </c>
      <c r="DQ58">
        <v>0</v>
      </c>
      <c r="DR58">
        <v>13.265</v>
      </c>
      <c r="DS58">
        <v>-56.54756</v>
      </c>
      <c r="DT58">
        <v>612.0697</v>
      </c>
      <c r="DU58">
        <v>666.3186000000001</v>
      </c>
      <c r="DV58">
        <v>5.624791</v>
      </c>
      <c r="DW58">
        <v>652.2672</v>
      </c>
      <c r="DX58">
        <v>21.08771</v>
      </c>
      <c r="DY58">
        <v>2.412107</v>
      </c>
      <c r="DZ58">
        <v>1.904195</v>
      </c>
      <c r="EA58">
        <v>20.44531</v>
      </c>
      <c r="EB58">
        <v>16.66942</v>
      </c>
      <c r="EC58">
        <v>1500.005</v>
      </c>
      <c r="ED58">
        <v>0.9730084999999999</v>
      </c>
      <c r="EE58">
        <v>0.02699104</v>
      </c>
      <c r="EF58">
        <v>0</v>
      </c>
      <c r="EG58">
        <v>2.33839</v>
      </c>
      <c r="EH58">
        <v>0</v>
      </c>
      <c r="EI58">
        <v>15513.32</v>
      </c>
      <c r="EJ58">
        <v>12533.44</v>
      </c>
      <c r="EK58">
        <v>36.4622</v>
      </c>
      <c r="EL58">
        <v>38</v>
      </c>
      <c r="EM58">
        <v>36.875</v>
      </c>
      <c r="EN58">
        <v>37.375</v>
      </c>
      <c r="EO58">
        <v>36.3246</v>
      </c>
      <c r="EP58">
        <v>1459.515</v>
      </c>
      <c r="EQ58">
        <v>40.49</v>
      </c>
      <c r="ER58">
        <v>0</v>
      </c>
      <c r="ES58">
        <v>1651772205.2</v>
      </c>
      <c r="ET58">
        <v>0</v>
      </c>
      <c r="EU58">
        <v>2.299208</v>
      </c>
      <c r="EV58">
        <v>0.7126922994882652</v>
      </c>
      <c r="EW58">
        <v>412.0153845854004</v>
      </c>
      <c r="EX58">
        <v>15484.284</v>
      </c>
      <c r="EY58">
        <v>15</v>
      </c>
      <c r="EZ58">
        <v>0</v>
      </c>
      <c r="FA58" t="s">
        <v>420</v>
      </c>
      <c r="FB58">
        <v>1651697511.6</v>
      </c>
      <c r="FC58">
        <v>1651697666.1</v>
      </c>
      <c r="FD58">
        <v>0</v>
      </c>
      <c r="FE58">
        <v>-0.019</v>
      </c>
      <c r="FF58">
        <v>0.013</v>
      </c>
      <c r="FG58">
        <v>-2.121</v>
      </c>
      <c r="FH58">
        <v>0.041</v>
      </c>
      <c r="FI58">
        <v>420</v>
      </c>
      <c r="FJ58">
        <v>22</v>
      </c>
      <c r="FK58">
        <v>1.72</v>
      </c>
      <c r="FL58">
        <v>0.27</v>
      </c>
      <c r="FM58">
        <v>-55.87638780487805</v>
      </c>
      <c r="FN58">
        <v>-4.371898954703861</v>
      </c>
      <c r="FO58">
        <v>0.4527322932633306</v>
      </c>
      <c r="FP58">
        <v>0</v>
      </c>
      <c r="FQ58">
        <v>5.595463902439024</v>
      </c>
      <c r="FR58">
        <v>0.2098202090592338</v>
      </c>
      <c r="FS58">
        <v>0.02072218569294561</v>
      </c>
      <c r="FT58">
        <v>1</v>
      </c>
      <c r="FU58">
        <v>0</v>
      </c>
      <c r="FV58">
        <v>0</v>
      </c>
      <c r="FW58">
        <v>0</v>
      </c>
      <c r="FX58">
        <v>1</v>
      </c>
      <c r="FY58">
        <v>2</v>
      </c>
      <c r="FZ58">
        <v>3</v>
      </c>
      <c r="GA58" t="s">
        <v>421</v>
      </c>
      <c r="GB58">
        <v>2.98154</v>
      </c>
      <c r="GC58">
        <v>2.70619</v>
      </c>
      <c r="GD58">
        <v>0.122987</v>
      </c>
      <c r="GE58">
        <v>0.129306</v>
      </c>
      <c r="GF58">
        <v>0.114661</v>
      </c>
      <c r="GG58">
        <v>0.09592539999999999</v>
      </c>
      <c r="GH58">
        <v>27740.1</v>
      </c>
      <c r="GI58">
        <v>27594.7</v>
      </c>
      <c r="GJ58">
        <v>29405.7</v>
      </c>
      <c r="GK58">
        <v>29315.1</v>
      </c>
      <c r="GL58">
        <v>34462.6</v>
      </c>
      <c r="GM58">
        <v>35283.7</v>
      </c>
      <c r="GN58">
        <v>41395.5</v>
      </c>
      <c r="GO58">
        <v>41837.5</v>
      </c>
      <c r="GP58">
        <v>1.96325</v>
      </c>
      <c r="GQ58">
        <v>1.86192</v>
      </c>
      <c r="GR58">
        <v>0.072699</v>
      </c>
      <c r="GS58">
        <v>0</v>
      </c>
      <c r="GT58">
        <v>27.3795</v>
      </c>
      <c r="GU58">
        <v>999.9</v>
      </c>
      <c r="GV58">
        <v>44.9</v>
      </c>
      <c r="GW58">
        <v>35</v>
      </c>
      <c r="GX58">
        <v>28.0849</v>
      </c>
      <c r="GY58">
        <v>62.9808</v>
      </c>
      <c r="GZ58">
        <v>36.2179</v>
      </c>
      <c r="HA58">
        <v>1</v>
      </c>
      <c r="HB58">
        <v>0.0367835</v>
      </c>
      <c r="HC58">
        <v>0</v>
      </c>
      <c r="HD58">
        <v>20.3467</v>
      </c>
      <c r="HE58">
        <v>5.21744</v>
      </c>
      <c r="HF58">
        <v>12.0083</v>
      </c>
      <c r="HG58">
        <v>4.98865</v>
      </c>
      <c r="HH58">
        <v>3.28865</v>
      </c>
      <c r="HI58">
        <v>493.3</v>
      </c>
      <c r="HJ58">
        <v>3625</v>
      </c>
      <c r="HK58">
        <v>4564.3</v>
      </c>
      <c r="HL58">
        <v>17.8</v>
      </c>
      <c r="HM58">
        <v>1.86768</v>
      </c>
      <c r="HN58">
        <v>1.86661</v>
      </c>
      <c r="HO58">
        <v>1.86615</v>
      </c>
      <c r="HP58">
        <v>1.86604</v>
      </c>
      <c r="HQ58">
        <v>1.86785</v>
      </c>
      <c r="HR58">
        <v>1.87042</v>
      </c>
      <c r="HS58">
        <v>1.86905</v>
      </c>
      <c r="HT58">
        <v>1.87042</v>
      </c>
      <c r="HU58">
        <v>0</v>
      </c>
      <c r="HV58">
        <v>0</v>
      </c>
      <c r="HW58">
        <v>0</v>
      </c>
      <c r="HX58">
        <v>0</v>
      </c>
      <c r="HY58" t="s">
        <v>422</v>
      </c>
      <c r="HZ58" t="s">
        <v>423</v>
      </c>
      <c r="IA58" t="s">
        <v>424</v>
      </c>
      <c r="IB58" t="s">
        <v>424</v>
      </c>
      <c r="IC58" t="s">
        <v>424</v>
      </c>
      <c r="ID58" t="s">
        <v>424</v>
      </c>
      <c r="IE58">
        <v>0</v>
      </c>
      <c r="IF58">
        <v>100</v>
      </c>
      <c r="IG58">
        <v>100</v>
      </c>
      <c r="IH58">
        <v>-2.087</v>
      </c>
      <c r="II58">
        <v>0.1288</v>
      </c>
      <c r="IJ58">
        <v>-1.064712027753117</v>
      </c>
      <c r="IK58">
        <v>-0.001826611574738555</v>
      </c>
      <c r="IL58">
        <v>3.313362389709971E-07</v>
      </c>
      <c r="IM58">
        <v>-1.629490614973607E-10</v>
      </c>
      <c r="IN58">
        <v>-0.09531406441470595</v>
      </c>
      <c r="IO58">
        <v>-0.008240702679890409</v>
      </c>
      <c r="IP58">
        <v>0.001077697425498046</v>
      </c>
      <c r="IQ58">
        <v>-1.69598232850356E-05</v>
      </c>
      <c r="IR58">
        <v>3</v>
      </c>
      <c r="IS58">
        <v>2280</v>
      </c>
      <c r="IT58">
        <v>1</v>
      </c>
      <c r="IU58">
        <v>25</v>
      </c>
      <c r="IV58">
        <v>1244.9</v>
      </c>
      <c r="IW58">
        <v>1242.3</v>
      </c>
      <c r="IX58">
        <v>1.53076</v>
      </c>
      <c r="IY58">
        <v>2.22534</v>
      </c>
      <c r="IZ58">
        <v>1.39648</v>
      </c>
      <c r="JA58">
        <v>2.35352</v>
      </c>
      <c r="JB58">
        <v>1.49536</v>
      </c>
      <c r="JC58">
        <v>2.31201</v>
      </c>
      <c r="JD58">
        <v>38.7717</v>
      </c>
      <c r="JE58">
        <v>24.0525</v>
      </c>
      <c r="JF58">
        <v>18</v>
      </c>
      <c r="JG58">
        <v>509.063</v>
      </c>
      <c r="JH58">
        <v>429.836</v>
      </c>
      <c r="JI58">
        <v>28.2011</v>
      </c>
      <c r="JJ58">
        <v>27.8895</v>
      </c>
      <c r="JK58">
        <v>30.0002</v>
      </c>
      <c r="JL58">
        <v>27.8041</v>
      </c>
      <c r="JM58">
        <v>27.7387</v>
      </c>
      <c r="JN58">
        <v>30.6376</v>
      </c>
      <c r="JO58">
        <v>29.26</v>
      </c>
      <c r="JP58">
        <v>0</v>
      </c>
      <c r="JQ58">
        <v>-999.9</v>
      </c>
      <c r="JR58">
        <v>680.756</v>
      </c>
      <c r="JS58">
        <v>21.119</v>
      </c>
      <c r="JT58">
        <v>100.523</v>
      </c>
      <c r="JU58">
        <v>100.417</v>
      </c>
    </row>
    <row r="59" spans="1:281">
      <c r="A59">
        <v>43</v>
      </c>
      <c r="B59">
        <v>1651772209</v>
      </c>
      <c r="C59">
        <v>331.4000000953674</v>
      </c>
      <c r="D59" t="s">
        <v>508</v>
      </c>
      <c r="E59" t="s">
        <v>509</v>
      </c>
      <c r="F59">
        <v>5</v>
      </c>
      <c r="H59" t="s">
        <v>417</v>
      </c>
      <c r="I59">
        <v>1651772206.5</v>
      </c>
      <c r="J59">
        <f>(K59)/1000</f>
        <v>0</v>
      </c>
      <c r="K59">
        <f>IF(CZ59, AN59, AH59)</f>
        <v>0</v>
      </c>
      <c r="L59">
        <f>IF(CZ59, AI59, AG59)</f>
        <v>0</v>
      </c>
      <c r="M59">
        <f>DB59 - IF(AU59&gt;1, L59*CV59*100.0/(AW59*DP59), 0)</f>
        <v>0</v>
      </c>
      <c r="N59">
        <f>((T59-J59/2)*M59-L59)/(T59+J59/2)</f>
        <v>0</v>
      </c>
      <c r="O59">
        <f>N59*(DI59+DJ59)/1000.0</f>
        <v>0</v>
      </c>
      <c r="P59">
        <f>(DB59 - IF(AU59&gt;1, L59*CV59*100.0/(AW59*DP59), 0))*(DI59+DJ59)/1000.0</f>
        <v>0</v>
      </c>
      <c r="Q59">
        <f>2.0/((1/S59-1/R59)+SIGN(S59)*SQRT((1/S59-1/R59)*(1/S59-1/R59) + 4*CW59/((CW59+1)*(CW59+1))*(2*1/S59*1/R59-1/R59*1/R59)))</f>
        <v>0</v>
      </c>
      <c r="R59">
        <f>IF(LEFT(CX59,1)&lt;&gt;"0",IF(LEFT(CX59,1)="1",3.0,CY59),$D$5+$E$5*(DP59*DI59/($K$5*1000))+$F$5*(DP59*DI59/($K$5*1000))*MAX(MIN(CV59,$J$5),$I$5)*MAX(MIN(CV59,$J$5),$I$5)+$G$5*MAX(MIN(CV59,$J$5),$I$5)*(DP59*DI59/($K$5*1000))+$H$5*(DP59*DI59/($K$5*1000))*(DP59*DI59/($K$5*1000)))</f>
        <v>0</v>
      </c>
      <c r="S59">
        <f>J59*(1000-(1000*0.61365*exp(17.502*W59/(240.97+W59))/(DI59+DJ59)+DD59)/2)/(1000*0.61365*exp(17.502*W59/(240.97+W59))/(DI59+DJ59)-DD59)</f>
        <v>0</v>
      </c>
      <c r="T59">
        <f>1/((CW59+1)/(Q59/1.6)+1/(R59/1.37)) + CW59/((CW59+1)/(Q59/1.6) + CW59/(R59/1.37))</f>
        <v>0</v>
      </c>
      <c r="U59">
        <f>(CR59*CU59)</f>
        <v>0</v>
      </c>
      <c r="V59">
        <f>(DK59+(U59+2*0.95*5.67E-8*(((DK59+$B$7)+273)^4-(DK59+273)^4)-44100*J59)/(1.84*29.3*R59+8*0.95*5.67E-8*(DK59+273)^3))</f>
        <v>0</v>
      </c>
      <c r="W59">
        <f>($C$7*DL59+$D$7*DM59+$E$7*V59)</f>
        <v>0</v>
      </c>
      <c r="X59">
        <f>0.61365*exp(17.502*W59/(240.97+W59))</f>
        <v>0</v>
      </c>
      <c r="Y59">
        <f>(Z59/AA59*100)</f>
        <v>0</v>
      </c>
      <c r="Z59">
        <f>DD59*(DI59+DJ59)/1000</f>
        <v>0</v>
      </c>
      <c r="AA59">
        <f>0.61365*exp(17.502*DK59/(240.97+DK59))</f>
        <v>0</v>
      </c>
      <c r="AB59">
        <f>(X59-DD59*(DI59+DJ59)/1000)</f>
        <v>0</v>
      </c>
      <c r="AC59">
        <f>(-J59*44100)</f>
        <v>0</v>
      </c>
      <c r="AD59">
        <f>2*29.3*R59*0.92*(DK59-W59)</f>
        <v>0</v>
      </c>
      <c r="AE59">
        <f>2*0.95*5.67E-8*(((DK59+$B$7)+273)^4-(W59+273)^4)</f>
        <v>0</v>
      </c>
      <c r="AF59">
        <f>U59+AE59+AC59+AD59</f>
        <v>0</v>
      </c>
      <c r="AG59">
        <f>DH59*AU59*(DC59-DB59*(1000-AU59*DE59)/(1000-AU59*DD59))/(100*CV59)</f>
        <v>0</v>
      </c>
      <c r="AH59">
        <f>1000*DH59*AU59*(DD59-DE59)/(100*CV59*(1000-AU59*DD59))</f>
        <v>0</v>
      </c>
      <c r="AI59">
        <f>(AJ59 - AK59 - DI59*1E3/(8.314*(DK59+273.15)) * AM59/DH59 * AL59) * DH59/(100*CV59) * (1000 - DE59)/1000</f>
        <v>0</v>
      </c>
      <c r="AJ59">
        <v>683.425059669226</v>
      </c>
      <c r="AK59">
        <v>635.9864363636364</v>
      </c>
      <c r="AL59">
        <v>3.284379788149765</v>
      </c>
      <c r="AM59">
        <v>66.72507702095443</v>
      </c>
      <c r="AN59">
        <f>(AP59 - AO59 + DI59*1E3/(8.314*(DK59+273.15)) * AR59/DH59 * AQ59) * DH59/(100*CV59) * 1000/(1000 - AP59)</f>
        <v>0</v>
      </c>
      <c r="AO59">
        <v>21.08644167817548</v>
      </c>
      <c r="AP59">
        <v>26.73842666666666</v>
      </c>
      <c r="AQ59">
        <v>9.155628455318028E-05</v>
      </c>
      <c r="AR59">
        <v>78.22078291278521</v>
      </c>
      <c r="AS59">
        <v>1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MAX(0,($B$13+$C$13*DP59)/(1+$D$13*DP59)*DI59/(DK59+273)*$E$13)</f>
        <v>0</v>
      </c>
      <c r="AX59" t="s">
        <v>418</v>
      </c>
      <c r="AY59" t="s">
        <v>418</v>
      </c>
      <c r="AZ59">
        <v>0</v>
      </c>
      <c r="BA59">
        <v>0</v>
      </c>
      <c r="BB59">
        <f>1-AZ59/BA59</f>
        <v>0</v>
      </c>
      <c r="BC59">
        <v>0</v>
      </c>
      <c r="BD59" t="s">
        <v>418</v>
      </c>
      <c r="BE59" t="s">
        <v>418</v>
      </c>
      <c r="BF59">
        <v>0</v>
      </c>
      <c r="BG59">
        <v>0</v>
      </c>
      <c r="BH59">
        <f>1-BF59/BG59</f>
        <v>0</v>
      </c>
      <c r="BI59">
        <v>0.5</v>
      </c>
      <c r="BJ59">
        <f>CS59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418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f>$B$11*DQ59+$C$11*DR59+$F$11*EC59*(1-EF59)</f>
        <v>0</v>
      </c>
      <c r="CS59">
        <f>CR59*CT59</f>
        <v>0</v>
      </c>
      <c r="CT59">
        <f>($B$11*$D$9+$C$11*$D$9+$F$11*((EP59+EH59)/MAX(EP59+EH59+EQ59, 0.1)*$I$9+EQ59/MAX(EP59+EH59+EQ59, 0.1)*$J$9))/($B$11+$C$11+$F$11)</f>
        <v>0</v>
      </c>
      <c r="CU59">
        <f>($B$11*$K$9+$C$11*$K$9+$F$11*((EP59+EH59)/MAX(EP59+EH59+EQ59, 0.1)*$P$9+EQ59/MAX(EP59+EH59+EQ59, 0.1)*$Q$9))/($B$11+$C$11+$F$11)</f>
        <v>0</v>
      </c>
      <c r="CV59">
        <v>6</v>
      </c>
      <c r="CW59">
        <v>0.5</v>
      </c>
      <c r="CX59" t="s">
        <v>419</v>
      </c>
      <c r="CY59">
        <v>2</v>
      </c>
      <c r="CZ59" t="b">
        <v>1</v>
      </c>
      <c r="DA59">
        <v>1651772206.5</v>
      </c>
      <c r="DB59">
        <v>612.5915555555555</v>
      </c>
      <c r="DC59">
        <v>669.8876666666666</v>
      </c>
      <c r="DD59">
        <v>26.73166666666667</v>
      </c>
      <c r="DE59">
        <v>21.08602222222222</v>
      </c>
      <c r="DF59">
        <v>614.6916666666666</v>
      </c>
      <c r="DG59">
        <v>26.60282222222222</v>
      </c>
      <c r="DH59">
        <v>500.0318888888889</v>
      </c>
      <c r="DI59">
        <v>90.29926666666667</v>
      </c>
      <c r="DJ59">
        <v>0.09996972222222222</v>
      </c>
      <c r="DK59">
        <v>29.21862222222222</v>
      </c>
      <c r="DL59">
        <v>28.56307777777778</v>
      </c>
      <c r="DM59">
        <v>999.9000000000001</v>
      </c>
      <c r="DN59">
        <v>0</v>
      </c>
      <c r="DO59">
        <v>0</v>
      </c>
      <c r="DP59">
        <v>9995.966666666667</v>
      </c>
      <c r="DQ59">
        <v>0</v>
      </c>
      <c r="DR59">
        <v>13.22813333333333</v>
      </c>
      <c r="DS59">
        <v>-57.29598888888889</v>
      </c>
      <c r="DT59">
        <v>629.4168888888889</v>
      </c>
      <c r="DU59">
        <v>684.3171111111111</v>
      </c>
      <c r="DV59">
        <v>5.645643333333334</v>
      </c>
      <c r="DW59">
        <v>669.8876666666666</v>
      </c>
      <c r="DX59">
        <v>21.08602222222222</v>
      </c>
      <c r="DY59">
        <v>2.41385</v>
      </c>
      <c r="DZ59">
        <v>1.904053333333333</v>
      </c>
      <c r="EA59">
        <v>20.457</v>
      </c>
      <c r="EB59">
        <v>16.66824444444445</v>
      </c>
      <c r="EC59">
        <v>1499.981111111111</v>
      </c>
      <c r="ED59">
        <v>0.9730078888888889</v>
      </c>
      <c r="EE59">
        <v>0.0269917</v>
      </c>
      <c r="EF59">
        <v>0</v>
      </c>
      <c r="EG59">
        <v>2.277344444444445</v>
      </c>
      <c r="EH59">
        <v>0</v>
      </c>
      <c r="EI59">
        <v>15539.72222222222</v>
      </c>
      <c r="EJ59">
        <v>12533.25555555556</v>
      </c>
      <c r="EK59">
        <v>36.45099999999999</v>
      </c>
      <c r="EL59">
        <v>38</v>
      </c>
      <c r="EM59">
        <v>36.875</v>
      </c>
      <c r="EN59">
        <v>37.375</v>
      </c>
      <c r="EO59">
        <v>36.312</v>
      </c>
      <c r="EP59">
        <v>1459.491111111111</v>
      </c>
      <c r="EQ59">
        <v>40.49</v>
      </c>
      <c r="ER59">
        <v>0</v>
      </c>
      <c r="ES59">
        <v>1651772210</v>
      </c>
      <c r="ET59">
        <v>0</v>
      </c>
      <c r="EU59">
        <v>2.329992</v>
      </c>
      <c r="EV59">
        <v>-0.4492230901638057</v>
      </c>
      <c r="EW59">
        <v>335.1307687987273</v>
      </c>
      <c r="EX59">
        <v>15514.108</v>
      </c>
      <c r="EY59">
        <v>15</v>
      </c>
      <c r="EZ59">
        <v>0</v>
      </c>
      <c r="FA59" t="s">
        <v>420</v>
      </c>
      <c r="FB59">
        <v>1651697511.6</v>
      </c>
      <c r="FC59">
        <v>1651697666.1</v>
      </c>
      <c r="FD59">
        <v>0</v>
      </c>
      <c r="FE59">
        <v>-0.019</v>
      </c>
      <c r="FF59">
        <v>0.013</v>
      </c>
      <c r="FG59">
        <v>-2.121</v>
      </c>
      <c r="FH59">
        <v>0.041</v>
      </c>
      <c r="FI59">
        <v>420</v>
      </c>
      <c r="FJ59">
        <v>22</v>
      </c>
      <c r="FK59">
        <v>1.72</v>
      </c>
      <c r="FL59">
        <v>0.27</v>
      </c>
      <c r="FM59">
        <v>-56.31120975609755</v>
      </c>
      <c r="FN59">
        <v>-6.16019163763067</v>
      </c>
      <c r="FO59">
        <v>0.620496891682582</v>
      </c>
      <c r="FP59">
        <v>0</v>
      </c>
      <c r="FQ59">
        <v>5.613492926829268</v>
      </c>
      <c r="FR59">
        <v>0.2218486411149992</v>
      </c>
      <c r="FS59">
        <v>0.0218901810312297</v>
      </c>
      <c r="FT59">
        <v>1</v>
      </c>
      <c r="FU59">
        <v>0</v>
      </c>
      <c r="FV59">
        <v>0</v>
      </c>
      <c r="FW59">
        <v>0</v>
      </c>
      <c r="FX59">
        <v>1</v>
      </c>
      <c r="FY59">
        <v>2</v>
      </c>
      <c r="FZ59">
        <v>3</v>
      </c>
      <c r="GA59" t="s">
        <v>421</v>
      </c>
      <c r="GB59">
        <v>2.98146</v>
      </c>
      <c r="GC59">
        <v>2.70609</v>
      </c>
      <c r="GD59">
        <v>0.125254</v>
      </c>
      <c r="GE59">
        <v>0.131547</v>
      </c>
      <c r="GF59">
        <v>0.114711</v>
      </c>
      <c r="GG59">
        <v>0.0959208</v>
      </c>
      <c r="GH59">
        <v>27667.7</v>
      </c>
      <c r="GI59">
        <v>27523.4</v>
      </c>
      <c r="GJ59">
        <v>29405</v>
      </c>
      <c r="GK59">
        <v>29314.9</v>
      </c>
      <c r="GL59">
        <v>34459.8</v>
      </c>
      <c r="GM59">
        <v>35283.7</v>
      </c>
      <c r="GN59">
        <v>41394.4</v>
      </c>
      <c r="GO59">
        <v>41837.2</v>
      </c>
      <c r="GP59">
        <v>1.9631</v>
      </c>
      <c r="GQ59">
        <v>1.86192</v>
      </c>
      <c r="GR59">
        <v>0.0722334</v>
      </c>
      <c r="GS59">
        <v>0</v>
      </c>
      <c r="GT59">
        <v>27.3865</v>
      </c>
      <c r="GU59">
        <v>999.9</v>
      </c>
      <c r="GV59">
        <v>44.9</v>
      </c>
      <c r="GW59">
        <v>35</v>
      </c>
      <c r="GX59">
        <v>28.088</v>
      </c>
      <c r="GY59">
        <v>62.5108</v>
      </c>
      <c r="GZ59">
        <v>36.278</v>
      </c>
      <c r="HA59">
        <v>1</v>
      </c>
      <c r="HB59">
        <v>0.0368191</v>
      </c>
      <c r="HC59">
        <v>0</v>
      </c>
      <c r="HD59">
        <v>20.3467</v>
      </c>
      <c r="HE59">
        <v>5.21804</v>
      </c>
      <c r="HF59">
        <v>12.0082</v>
      </c>
      <c r="HG59">
        <v>4.98915</v>
      </c>
      <c r="HH59">
        <v>3.28858</v>
      </c>
      <c r="HI59">
        <v>493.3</v>
      </c>
      <c r="HJ59">
        <v>3625</v>
      </c>
      <c r="HK59">
        <v>4564.3</v>
      </c>
      <c r="HL59">
        <v>17.8</v>
      </c>
      <c r="HM59">
        <v>1.86768</v>
      </c>
      <c r="HN59">
        <v>1.86661</v>
      </c>
      <c r="HO59">
        <v>1.86616</v>
      </c>
      <c r="HP59">
        <v>1.86603</v>
      </c>
      <c r="HQ59">
        <v>1.86785</v>
      </c>
      <c r="HR59">
        <v>1.8704</v>
      </c>
      <c r="HS59">
        <v>1.86905</v>
      </c>
      <c r="HT59">
        <v>1.87042</v>
      </c>
      <c r="HU59">
        <v>0</v>
      </c>
      <c r="HV59">
        <v>0</v>
      </c>
      <c r="HW59">
        <v>0</v>
      </c>
      <c r="HX59">
        <v>0</v>
      </c>
      <c r="HY59" t="s">
        <v>422</v>
      </c>
      <c r="HZ59" t="s">
        <v>423</v>
      </c>
      <c r="IA59" t="s">
        <v>424</v>
      </c>
      <c r="IB59" t="s">
        <v>424</v>
      </c>
      <c r="IC59" t="s">
        <v>424</v>
      </c>
      <c r="ID59" t="s">
        <v>424</v>
      </c>
      <c r="IE59">
        <v>0</v>
      </c>
      <c r="IF59">
        <v>100</v>
      </c>
      <c r="IG59">
        <v>100</v>
      </c>
      <c r="IH59">
        <v>-2.113</v>
      </c>
      <c r="II59">
        <v>0.129</v>
      </c>
      <c r="IJ59">
        <v>-1.064712027753117</v>
      </c>
      <c r="IK59">
        <v>-0.001826611574738555</v>
      </c>
      <c r="IL59">
        <v>3.313362389709971E-07</v>
      </c>
      <c r="IM59">
        <v>-1.629490614973607E-10</v>
      </c>
      <c r="IN59">
        <v>-0.09531406441470595</v>
      </c>
      <c r="IO59">
        <v>-0.008240702679890409</v>
      </c>
      <c r="IP59">
        <v>0.001077697425498046</v>
      </c>
      <c r="IQ59">
        <v>-1.69598232850356E-05</v>
      </c>
      <c r="IR59">
        <v>3</v>
      </c>
      <c r="IS59">
        <v>2280</v>
      </c>
      <c r="IT59">
        <v>1</v>
      </c>
      <c r="IU59">
        <v>25</v>
      </c>
      <c r="IV59">
        <v>1245</v>
      </c>
      <c r="IW59">
        <v>1242.4</v>
      </c>
      <c r="IX59">
        <v>1.5625</v>
      </c>
      <c r="IY59">
        <v>2.2229</v>
      </c>
      <c r="IZ59">
        <v>1.39648</v>
      </c>
      <c r="JA59">
        <v>2.35352</v>
      </c>
      <c r="JB59">
        <v>1.49536</v>
      </c>
      <c r="JC59">
        <v>2.30713</v>
      </c>
      <c r="JD59">
        <v>38.7717</v>
      </c>
      <c r="JE59">
        <v>24.0525</v>
      </c>
      <c r="JF59">
        <v>18</v>
      </c>
      <c r="JG59">
        <v>508.986</v>
      </c>
      <c r="JH59">
        <v>429.85</v>
      </c>
      <c r="JI59">
        <v>28.2064</v>
      </c>
      <c r="JJ59">
        <v>27.8918</v>
      </c>
      <c r="JK59">
        <v>30.0002</v>
      </c>
      <c r="JL59">
        <v>27.8065</v>
      </c>
      <c r="JM59">
        <v>27.7405</v>
      </c>
      <c r="JN59">
        <v>31.2734</v>
      </c>
      <c r="JO59">
        <v>29.26</v>
      </c>
      <c r="JP59">
        <v>0</v>
      </c>
      <c r="JQ59">
        <v>-999.9</v>
      </c>
      <c r="JR59">
        <v>700.7910000000001</v>
      </c>
      <c r="JS59">
        <v>21.1176</v>
      </c>
      <c r="JT59">
        <v>100.52</v>
      </c>
      <c r="JU59">
        <v>100.416</v>
      </c>
    </row>
    <row r="60" spans="1:281">
      <c r="A60">
        <v>44</v>
      </c>
      <c r="B60">
        <v>1651772214</v>
      </c>
      <c r="C60">
        <v>336.4000000953674</v>
      </c>
      <c r="D60" t="s">
        <v>510</v>
      </c>
      <c r="E60" t="s">
        <v>511</v>
      </c>
      <c r="F60">
        <v>5</v>
      </c>
      <c r="H60" t="s">
        <v>417</v>
      </c>
      <c r="I60">
        <v>1651772211.2</v>
      </c>
      <c r="J60">
        <f>(K60)/1000</f>
        <v>0</v>
      </c>
      <c r="K60">
        <f>IF(CZ60, AN60, AH60)</f>
        <v>0</v>
      </c>
      <c r="L60">
        <f>IF(CZ60, AI60, AG60)</f>
        <v>0</v>
      </c>
      <c r="M60">
        <f>DB60 - IF(AU60&gt;1, L60*CV60*100.0/(AW60*DP60), 0)</f>
        <v>0</v>
      </c>
      <c r="N60">
        <f>((T60-J60/2)*M60-L60)/(T60+J60/2)</f>
        <v>0</v>
      </c>
      <c r="O60">
        <f>N60*(DI60+DJ60)/1000.0</f>
        <v>0</v>
      </c>
      <c r="P60">
        <f>(DB60 - IF(AU60&gt;1, L60*CV60*100.0/(AW60*DP60), 0))*(DI60+DJ60)/1000.0</f>
        <v>0</v>
      </c>
      <c r="Q60">
        <f>2.0/((1/S60-1/R60)+SIGN(S60)*SQRT((1/S60-1/R60)*(1/S60-1/R60) + 4*CW60/((CW60+1)*(CW60+1))*(2*1/S60*1/R60-1/R60*1/R60)))</f>
        <v>0</v>
      </c>
      <c r="R60">
        <f>IF(LEFT(CX60,1)&lt;&gt;"0",IF(LEFT(CX60,1)="1",3.0,CY60),$D$5+$E$5*(DP60*DI60/($K$5*1000))+$F$5*(DP60*DI60/($K$5*1000))*MAX(MIN(CV60,$J$5),$I$5)*MAX(MIN(CV60,$J$5),$I$5)+$G$5*MAX(MIN(CV60,$J$5),$I$5)*(DP60*DI60/($K$5*1000))+$H$5*(DP60*DI60/($K$5*1000))*(DP60*DI60/($K$5*1000)))</f>
        <v>0</v>
      </c>
      <c r="S60">
        <f>J60*(1000-(1000*0.61365*exp(17.502*W60/(240.97+W60))/(DI60+DJ60)+DD60)/2)/(1000*0.61365*exp(17.502*W60/(240.97+W60))/(DI60+DJ60)-DD60)</f>
        <v>0</v>
      </c>
      <c r="T60">
        <f>1/((CW60+1)/(Q60/1.6)+1/(R60/1.37)) + CW60/((CW60+1)/(Q60/1.6) + CW60/(R60/1.37))</f>
        <v>0</v>
      </c>
      <c r="U60">
        <f>(CR60*CU60)</f>
        <v>0</v>
      </c>
      <c r="V60">
        <f>(DK60+(U60+2*0.95*5.67E-8*(((DK60+$B$7)+273)^4-(DK60+273)^4)-44100*J60)/(1.84*29.3*R60+8*0.95*5.67E-8*(DK60+273)^3))</f>
        <v>0</v>
      </c>
      <c r="W60">
        <f>($C$7*DL60+$D$7*DM60+$E$7*V60)</f>
        <v>0</v>
      </c>
      <c r="X60">
        <f>0.61365*exp(17.502*W60/(240.97+W60))</f>
        <v>0</v>
      </c>
      <c r="Y60">
        <f>(Z60/AA60*100)</f>
        <v>0</v>
      </c>
      <c r="Z60">
        <f>DD60*(DI60+DJ60)/1000</f>
        <v>0</v>
      </c>
      <c r="AA60">
        <f>0.61365*exp(17.502*DK60/(240.97+DK60))</f>
        <v>0</v>
      </c>
      <c r="AB60">
        <f>(X60-DD60*(DI60+DJ60)/1000)</f>
        <v>0</v>
      </c>
      <c r="AC60">
        <f>(-J60*44100)</f>
        <v>0</v>
      </c>
      <c r="AD60">
        <f>2*29.3*R60*0.92*(DK60-W60)</f>
        <v>0</v>
      </c>
      <c r="AE60">
        <f>2*0.95*5.67E-8*(((DK60+$B$7)+273)^4-(W60+273)^4)</f>
        <v>0</v>
      </c>
      <c r="AF60">
        <f>U60+AE60+AC60+AD60</f>
        <v>0</v>
      </c>
      <c r="AG60">
        <f>DH60*AU60*(DC60-DB60*(1000-AU60*DE60)/(1000-AU60*DD60))/(100*CV60)</f>
        <v>0</v>
      </c>
      <c r="AH60">
        <f>1000*DH60*AU60*(DD60-DE60)/(100*CV60*(1000-AU60*DD60))</f>
        <v>0</v>
      </c>
      <c r="AI60">
        <f>(AJ60 - AK60 - DI60*1E3/(8.314*(DK60+273.15)) * AM60/DH60 * AL60) * DH60/(100*CV60) * (1000 - DE60)/1000</f>
        <v>0</v>
      </c>
      <c r="AJ60">
        <v>700.5945353863757</v>
      </c>
      <c r="AK60">
        <v>652.6652242424242</v>
      </c>
      <c r="AL60">
        <v>3.325515030213456</v>
      </c>
      <c r="AM60">
        <v>66.72507702095443</v>
      </c>
      <c r="AN60">
        <f>(AP60 - AO60 + DI60*1E3/(8.314*(DK60+273.15)) * AR60/DH60 * AQ60) * DH60/(100*CV60) * 1000/(1000 - AP60)</f>
        <v>0</v>
      </c>
      <c r="AO60">
        <v>21.08630890498035</v>
      </c>
      <c r="AP60">
        <v>26.75454424242423</v>
      </c>
      <c r="AQ60">
        <v>9.020995477281901E-05</v>
      </c>
      <c r="AR60">
        <v>78.22078291278521</v>
      </c>
      <c r="AS60">
        <v>1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MAX(0,($B$13+$C$13*DP60)/(1+$D$13*DP60)*DI60/(DK60+273)*$E$13)</f>
        <v>0</v>
      </c>
      <c r="AX60" t="s">
        <v>418</v>
      </c>
      <c r="AY60" t="s">
        <v>418</v>
      </c>
      <c r="AZ60">
        <v>0</v>
      </c>
      <c r="BA60">
        <v>0</v>
      </c>
      <c r="BB60">
        <f>1-AZ60/BA60</f>
        <v>0</v>
      </c>
      <c r="BC60">
        <v>0</v>
      </c>
      <c r="BD60" t="s">
        <v>418</v>
      </c>
      <c r="BE60" t="s">
        <v>418</v>
      </c>
      <c r="BF60">
        <v>0</v>
      </c>
      <c r="BG60">
        <v>0</v>
      </c>
      <c r="BH60">
        <f>1-BF60/BG60</f>
        <v>0</v>
      </c>
      <c r="BI60">
        <v>0.5</v>
      </c>
      <c r="BJ60">
        <f>CS60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418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f>$B$11*DQ60+$C$11*DR60+$F$11*EC60*(1-EF60)</f>
        <v>0</v>
      </c>
      <c r="CS60">
        <f>CR60*CT60</f>
        <v>0</v>
      </c>
      <c r="CT60">
        <f>($B$11*$D$9+$C$11*$D$9+$F$11*((EP60+EH60)/MAX(EP60+EH60+EQ60, 0.1)*$I$9+EQ60/MAX(EP60+EH60+EQ60, 0.1)*$J$9))/($B$11+$C$11+$F$11)</f>
        <v>0</v>
      </c>
      <c r="CU60">
        <f>($B$11*$K$9+$C$11*$K$9+$F$11*((EP60+EH60)/MAX(EP60+EH60+EQ60, 0.1)*$P$9+EQ60/MAX(EP60+EH60+EQ60, 0.1)*$Q$9))/($B$11+$C$11+$F$11)</f>
        <v>0</v>
      </c>
      <c r="CV60">
        <v>6</v>
      </c>
      <c r="CW60">
        <v>0.5</v>
      </c>
      <c r="CX60" t="s">
        <v>419</v>
      </c>
      <c r="CY60">
        <v>2</v>
      </c>
      <c r="CZ60" t="b">
        <v>1</v>
      </c>
      <c r="DA60">
        <v>1651772211.2</v>
      </c>
      <c r="DB60">
        <v>627.7599</v>
      </c>
      <c r="DC60">
        <v>685.6686999999999</v>
      </c>
      <c r="DD60">
        <v>26.7476</v>
      </c>
      <c r="DE60">
        <v>21.08608</v>
      </c>
      <c r="DF60">
        <v>629.8845</v>
      </c>
      <c r="DG60">
        <v>26.61857</v>
      </c>
      <c r="DH60">
        <v>500.0502</v>
      </c>
      <c r="DI60">
        <v>90.30041999999999</v>
      </c>
      <c r="DJ60">
        <v>0.10000459</v>
      </c>
      <c r="DK60">
        <v>29.22338</v>
      </c>
      <c r="DL60">
        <v>28.56294</v>
      </c>
      <c r="DM60">
        <v>999.9</v>
      </c>
      <c r="DN60">
        <v>0</v>
      </c>
      <c r="DO60">
        <v>0</v>
      </c>
      <c r="DP60">
        <v>10000.365</v>
      </c>
      <c r="DQ60">
        <v>0</v>
      </c>
      <c r="DR60">
        <v>13.24179</v>
      </c>
      <c r="DS60">
        <v>-57.90858000000001</v>
      </c>
      <c r="DT60">
        <v>645.0123</v>
      </c>
      <c r="DU60">
        <v>700.4379999999999</v>
      </c>
      <c r="DV60">
        <v>5.661513999999999</v>
      </c>
      <c r="DW60">
        <v>685.6686999999999</v>
      </c>
      <c r="DX60">
        <v>21.08608</v>
      </c>
      <c r="DY60">
        <v>2.41532</v>
      </c>
      <c r="DZ60">
        <v>1.904083</v>
      </c>
      <c r="EA60">
        <v>20.46688</v>
      </c>
      <c r="EB60">
        <v>16.66851</v>
      </c>
      <c r="EC60">
        <v>1499.96</v>
      </c>
      <c r="ED60">
        <v>0.9730074999999999</v>
      </c>
      <c r="EE60">
        <v>0.02699212</v>
      </c>
      <c r="EF60">
        <v>0</v>
      </c>
      <c r="EG60">
        <v>2.383999999999999</v>
      </c>
      <c r="EH60">
        <v>0</v>
      </c>
      <c r="EI60">
        <v>15557.5</v>
      </c>
      <c r="EJ60">
        <v>12533.07</v>
      </c>
      <c r="EK60">
        <v>36.4496</v>
      </c>
      <c r="EL60">
        <v>38</v>
      </c>
      <c r="EM60">
        <v>36.875</v>
      </c>
      <c r="EN60">
        <v>37.375</v>
      </c>
      <c r="EO60">
        <v>36.312</v>
      </c>
      <c r="EP60">
        <v>1459.47</v>
      </c>
      <c r="EQ60">
        <v>40.49</v>
      </c>
      <c r="ER60">
        <v>0</v>
      </c>
      <c r="ES60">
        <v>1651772214.8</v>
      </c>
      <c r="ET60">
        <v>0</v>
      </c>
      <c r="EU60">
        <v>2.338028</v>
      </c>
      <c r="EV60">
        <v>-0.0310846282362484</v>
      </c>
      <c r="EW60">
        <v>263.261538892742</v>
      </c>
      <c r="EX60">
        <v>15537.956</v>
      </c>
      <c r="EY60">
        <v>15</v>
      </c>
      <c r="EZ60">
        <v>0</v>
      </c>
      <c r="FA60" t="s">
        <v>420</v>
      </c>
      <c r="FB60">
        <v>1651697511.6</v>
      </c>
      <c r="FC60">
        <v>1651697666.1</v>
      </c>
      <c r="FD60">
        <v>0</v>
      </c>
      <c r="FE60">
        <v>-0.019</v>
      </c>
      <c r="FF60">
        <v>0.013</v>
      </c>
      <c r="FG60">
        <v>-2.121</v>
      </c>
      <c r="FH60">
        <v>0.041</v>
      </c>
      <c r="FI60">
        <v>420</v>
      </c>
      <c r="FJ60">
        <v>22</v>
      </c>
      <c r="FK60">
        <v>1.72</v>
      </c>
      <c r="FL60">
        <v>0.27</v>
      </c>
      <c r="FM60">
        <v>-56.8728512195122</v>
      </c>
      <c r="FN60">
        <v>-7.108708013937235</v>
      </c>
      <c r="FO60">
        <v>0.712273272140566</v>
      </c>
      <c r="FP60">
        <v>0</v>
      </c>
      <c r="FQ60">
        <v>5.63176487804878</v>
      </c>
      <c r="FR60">
        <v>0.2212712195121954</v>
      </c>
      <c r="FS60">
        <v>0.02184295746548036</v>
      </c>
      <c r="FT60">
        <v>1</v>
      </c>
      <c r="FU60">
        <v>0</v>
      </c>
      <c r="FV60">
        <v>0</v>
      </c>
      <c r="FW60">
        <v>0</v>
      </c>
      <c r="FX60">
        <v>1</v>
      </c>
      <c r="FY60">
        <v>2</v>
      </c>
      <c r="FZ60">
        <v>3</v>
      </c>
      <c r="GA60" t="s">
        <v>421</v>
      </c>
      <c r="GB60">
        <v>2.98159</v>
      </c>
      <c r="GC60">
        <v>2.70627</v>
      </c>
      <c r="GD60">
        <v>0.127513</v>
      </c>
      <c r="GE60">
        <v>0.133769</v>
      </c>
      <c r="GF60">
        <v>0.114759</v>
      </c>
      <c r="GG60">
        <v>0.0959221</v>
      </c>
      <c r="GH60">
        <v>27596.6</v>
      </c>
      <c r="GI60">
        <v>27452.9</v>
      </c>
      <c r="GJ60">
        <v>29405.4</v>
      </c>
      <c r="GK60">
        <v>29314.7</v>
      </c>
      <c r="GL60">
        <v>34458.5</v>
      </c>
      <c r="GM60">
        <v>35283.6</v>
      </c>
      <c r="GN60">
        <v>41395.1</v>
      </c>
      <c r="GO60">
        <v>41837.1</v>
      </c>
      <c r="GP60">
        <v>1.96297</v>
      </c>
      <c r="GQ60">
        <v>1.86208</v>
      </c>
      <c r="GR60">
        <v>0.0714883</v>
      </c>
      <c r="GS60">
        <v>0</v>
      </c>
      <c r="GT60">
        <v>27.3923</v>
      </c>
      <c r="GU60">
        <v>999.9</v>
      </c>
      <c r="GV60">
        <v>44.9</v>
      </c>
      <c r="GW60">
        <v>35</v>
      </c>
      <c r="GX60">
        <v>28.0837</v>
      </c>
      <c r="GY60">
        <v>62.7308</v>
      </c>
      <c r="GZ60">
        <v>36.1979</v>
      </c>
      <c r="HA60">
        <v>1</v>
      </c>
      <c r="HB60">
        <v>0.0369233</v>
      </c>
      <c r="HC60">
        <v>0</v>
      </c>
      <c r="HD60">
        <v>20.3466</v>
      </c>
      <c r="HE60">
        <v>5.21759</v>
      </c>
      <c r="HF60">
        <v>12.007</v>
      </c>
      <c r="HG60">
        <v>4.98905</v>
      </c>
      <c r="HH60">
        <v>3.28858</v>
      </c>
      <c r="HI60">
        <v>493.6</v>
      </c>
      <c r="HJ60">
        <v>3626.5</v>
      </c>
      <c r="HK60">
        <v>4564.3</v>
      </c>
      <c r="HL60">
        <v>17.8</v>
      </c>
      <c r="HM60">
        <v>1.86768</v>
      </c>
      <c r="HN60">
        <v>1.86661</v>
      </c>
      <c r="HO60">
        <v>1.86615</v>
      </c>
      <c r="HP60">
        <v>1.86605</v>
      </c>
      <c r="HQ60">
        <v>1.86786</v>
      </c>
      <c r="HR60">
        <v>1.87039</v>
      </c>
      <c r="HS60">
        <v>1.86905</v>
      </c>
      <c r="HT60">
        <v>1.87042</v>
      </c>
      <c r="HU60">
        <v>0</v>
      </c>
      <c r="HV60">
        <v>0</v>
      </c>
      <c r="HW60">
        <v>0</v>
      </c>
      <c r="HX60">
        <v>0</v>
      </c>
      <c r="HY60" t="s">
        <v>422</v>
      </c>
      <c r="HZ60" t="s">
        <v>423</v>
      </c>
      <c r="IA60" t="s">
        <v>424</v>
      </c>
      <c r="IB60" t="s">
        <v>424</v>
      </c>
      <c r="IC60" t="s">
        <v>424</v>
      </c>
      <c r="ID60" t="s">
        <v>424</v>
      </c>
      <c r="IE60">
        <v>0</v>
      </c>
      <c r="IF60">
        <v>100</v>
      </c>
      <c r="IG60">
        <v>100</v>
      </c>
      <c r="IH60">
        <v>-2.139</v>
      </c>
      <c r="II60">
        <v>0.1292</v>
      </c>
      <c r="IJ60">
        <v>-1.064712027753117</v>
      </c>
      <c r="IK60">
        <v>-0.001826611574738555</v>
      </c>
      <c r="IL60">
        <v>3.313362389709971E-07</v>
      </c>
      <c r="IM60">
        <v>-1.629490614973607E-10</v>
      </c>
      <c r="IN60">
        <v>-0.09531406441470595</v>
      </c>
      <c r="IO60">
        <v>-0.008240702679890409</v>
      </c>
      <c r="IP60">
        <v>0.001077697425498046</v>
      </c>
      <c r="IQ60">
        <v>-1.69598232850356E-05</v>
      </c>
      <c r="IR60">
        <v>3</v>
      </c>
      <c r="IS60">
        <v>2280</v>
      </c>
      <c r="IT60">
        <v>1</v>
      </c>
      <c r="IU60">
        <v>25</v>
      </c>
      <c r="IV60">
        <v>1245</v>
      </c>
      <c r="IW60">
        <v>1242.5</v>
      </c>
      <c r="IX60">
        <v>1.59058</v>
      </c>
      <c r="IY60">
        <v>2.22046</v>
      </c>
      <c r="IZ60">
        <v>1.39648</v>
      </c>
      <c r="JA60">
        <v>2.35352</v>
      </c>
      <c r="JB60">
        <v>1.49536</v>
      </c>
      <c r="JC60">
        <v>2.31201</v>
      </c>
      <c r="JD60">
        <v>38.7717</v>
      </c>
      <c r="JE60">
        <v>24.0525</v>
      </c>
      <c r="JF60">
        <v>18</v>
      </c>
      <c r="JG60">
        <v>508.917</v>
      </c>
      <c r="JH60">
        <v>429.952</v>
      </c>
      <c r="JI60">
        <v>28.2117</v>
      </c>
      <c r="JJ60">
        <v>27.8942</v>
      </c>
      <c r="JK60">
        <v>30.0003</v>
      </c>
      <c r="JL60">
        <v>27.808</v>
      </c>
      <c r="JM60">
        <v>27.7423</v>
      </c>
      <c r="JN60">
        <v>31.8467</v>
      </c>
      <c r="JO60">
        <v>29.26</v>
      </c>
      <c r="JP60">
        <v>0</v>
      </c>
      <c r="JQ60">
        <v>-999.9</v>
      </c>
      <c r="JR60">
        <v>714.148</v>
      </c>
      <c r="JS60">
        <v>21.1011</v>
      </c>
      <c r="JT60">
        <v>100.522</v>
      </c>
      <c r="JU60">
        <v>100.416</v>
      </c>
    </row>
    <row r="61" spans="1:281">
      <c r="A61">
        <v>45</v>
      </c>
      <c r="B61">
        <v>1651772219</v>
      </c>
      <c r="C61">
        <v>341.4000000953674</v>
      </c>
      <c r="D61" t="s">
        <v>512</v>
      </c>
      <c r="E61" t="s">
        <v>513</v>
      </c>
      <c r="F61">
        <v>5</v>
      </c>
      <c r="H61" t="s">
        <v>417</v>
      </c>
      <c r="I61">
        <v>1651772216.5</v>
      </c>
      <c r="J61">
        <f>(K61)/1000</f>
        <v>0</v>
      </c>
      <c r="K61">
        <f>IF(CZ61, AN61, AH61)</f>
        <v>0</v>
      </c>
      <c r="L61">
        <f>IF(CZ61, AI61, AG61)</f>
        <v>0</v>
      </c>
      <c r="M61">
        <f>DB61 - IF(AU61&gt;1, L61*CV61*100.0/(AW61*DP61), 0)</f>
        <v>0</v>
      </c>
      <c r="N61">
        <f>((T61-J61/2)*M61-L61)/(T61+J61/2)</f>
        <v>0</v>
      </c>
      <c r="O61">
        <f>N61*(DI61+DJ61)/1000.0</f>
        <v>0</v>
      </c>
      <c r="P61">
        <f>(DB61 - IF(AU61&gt;1, L61*CV61*100.0/(AW61*DP61), 0))*(DI61+DJ61)/1000.0</f>
        <v>0</v>
      </c>
      <c r="Q61">
        <f>2.0/((1/S61-1/R61)+SIGN(S61)*SQRT((1/S61-1/R61)*(1/S61-1/R61) + 4*CW61/((CW61+1)*(CW61+1))*(2*1/S61*1/R61-1/R61*1/R61)))</f>
        <v>0</v>
      </c>
      <c r="R61">
        <f>IF(LEFT(CX61,1)&lt;&gt;"0",IF(LEFT(CX61,1)="1",3.0,CY61),$D$5+$E$5*(DP61*DI61/($K$5*1000))+$F$5*(DP61*DI61/($K$5*1000))*MAX(MIN(CV61,$J$5),$I$5)*MAX(MIN(CV61,$J$5),$I$5)+$G$5*MAX(MIN(CV61,$J$5),$I$5)*(DP61*DI61/($K$5*1000))+$H$5*(DP61*DI61/($K$5*1000))*(DP61*DI61/($K$5*1000)))</f>
        <v>0</v>
      </c>
      <c r="S61">
        <f>J61*(1000-(1000*0.61365*exp(17.502*W61/(240.97+W61))/(DI61+DJ61)+DD61)/2)/(1000*0.61365*exp(17.502*W61/(240.97+W61))/(DI61+DJ61)-DD61)</f>
        <v>0</v>
      </c>
      <c r="T61">
        <f>1/((CW61+1)/(Q61/1.6)+1/(R61/1.37)) + CW61/((CW61+1)/(Q61/1.6) + CW61/(R61/1.37))</f>
        <v>0</v>
      </c>
      <c r="U61">
        <f>(CR61*CU61)</f>
        <v>0</v>
      </c>
      <c r="V61">
        <f>(DK61+(U61+2*0.95*5.67E-8*(((DK61+$B$7)+273)^4-(DK61+273)^4)-44100*J61)/(1.84*29.3*R61+8*0.95*5.67E-8*(DK61+273)^3))</f>
        <v>0</v>
      </c>
      <c r="W61">
        <f>($C$7*DL61+$D$7*DM61+$E$7*V61)</f>
        <v>0</v>
      </c>
      <c r="X61">
        <f>0.61365*exp(17.502*W61/(240.97+W61))</f>
        <v>0</v>
      </c>
      <c r="Y61">
        <f>(Z61/AA61*100)</f>
        <v>0</v>
      </c>
      <c r="Z61">
        <f>DD61*(DI61+DJ61)/1000</f>
        <v>0</v>
      </c>
      <c r="AA61">
        <f>0.61365*exp(17.502*DK61/(240.97+DK61))</f>
        <v>0</v>
      </c>
      <c r="AB61">
        <f>(X61-DD61*(DI61+DJ61)/1000)</f>
        <v>0</v>
      </c>
      <c r="AC61">
        <f>(-J61*44100)</f>
        <v>0</v>
      </c>
      <c r="AD61">
        <f>2*29.3*R61*0.92*(DK61-W61)</f>
        <v>0</v>
      </c>
      <c r="AE61">
        <f>2*0.95*5.67E-8*(((DK61+$B$7)+273)^4-(W61+273)^4)</f>
        <v>0</v>
      </c>
      <c r="AF61">
        <f>U61+AE61+AC61+AD61</f>
        <v>0</v>
      </c>
      <c r="AG61">
        <f>DH61*AU61*(DC61-DB61*(1000-AU61*DE61)/(1000-AU61*DD61))/(100*CV61)</f>
        <v>0</v>
      </c>
      <c r="AH61">
        <f>1000*DH61*AU61*(DD61-DE61)/(100*CV61*(1000-AU61*DD61))</f>
        <v>0</v>
      </c>
      <c r="AI61">
        <f>(AJ61 - AK61 - DI61*1E3/(8.314*(DK61+273.15)) * AM61/DH61 * AL61) * DH61/(100*CV61) * (1000 - DE61)/1000</f>
        <v>0</v>
      </c>
      <c r="AJ61">
        <v>717.7304382287907</v>
      </c>
      <c r="AK61">
        <v>669.3015212121211</v>
      </c>
      <c r="AL61">
        <v>3.337180794356533</v>
      </c>
      <c r="AM61">
        <v>66.72507702095443</v>
      </c>
      <c r="AN61">
        <f>(AP61 - AO61 + DI61*1E3/(8.314*(DK61+273.15)) * AR61/DH61 * AQ61) * DH61/(100*CV61) * 1000/(1000 - AP61)</f>
        <v>0</v>
      </c>
      <c r="AO61">
        <v>21.08372324223503</v>
      </c>
      <c r="AP61">
        <v>26.77069999999999</v>
      </c>
      <c r="AQ61">
        <v>0.0001122524678820706</v>
      </c>
      <c r="AR61">
        <v>78.22078291278521</v>
      </c>
      <c r="AS61">
        <v>1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MAX(0,($B$13+$C$13*DP61)/(1+$D$13*DP61)*DI61/(DK61+273)*$E$13)</f>
        <v>0</v>
      </c>
      <c r="AX61" t="s">
        <v>418</v>
      </c>
      <c r="AY61" t="s">
        <v>418</v>
      </c>
      <c r="AZ61">
        <v>0</v>
      </c>
      <c r="BA61">
        <v>0</v>
      </c>
      <c r="BB61">
        <f>1-AZ61/BA61</f>
        <v>0</v>
      </c>
      <c r="BC61">
        <v>0</v>
      </c>
      <c r="BD61" t="s">
        <v>418</v>
      </c>
      <c r="BE61" t="s">
        <v>418</v>
      </c>
      <c r="BF61">
        <v>0</v>
      </c>
      <c r="BG61">
        <v>0</v>
      </c>
      <c r="BH61">
        <f>1-BF61/BG61</f>
        <v>0</v>
      </c>
      <c r="BI61">
        <v>0.5</v>
      </c>
      <c r="BJ61">
        <f>CS61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418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f>$B$11*DQ61+$C$11*DR61+$F$11*EC61*(1-EF61)</f>
        <v>0</v>
      </c>
      <c r="CS61">
        <f>CR61*CT61</f>
        <v>0</v>
      </c>
      <c r="CT61">
        <f>($B$11*$D$9+$C$11*$D$9+$F$11*((EP61+EH61)/MAX(EP61+EH61+EQ61, 0.1)*$I$9+EQ61/MAX(EP61+EH61+EQ61, 0.1)*$J$9))/($B$11+$C$11+$F$11)</f>
        <v>0</v>
      </c>
      <c r="CU61">
        <f>($B$11*$K$9+$C$11*$K$9+$F$11*((EP61+EH61)/MAX(EP61+EH61+EQ61, 0.1)*$P$9+EQ61/MAX(EP61+EH61+EQ61, 0.1)*$Q$9))/($B$11+$C$11+$F$11)</f>
        <v>0</v>
      </c>
      <c r="CV61">
        <v>6</v>
      </c>
      <c r="CW61">
        <v>0.5</v>
      </c>
      <c r="CX61" t="s">
        <v>419</v>
      </c>
      <c r="CY61">
        <v>2</v>
      </c>
      <c r="CZ61" t="b">
        <v>1</v>
      </c>
      <c r="DA61">
        <v>1651772216.5</v>
      </c>
      <c r="DB61">
        <v>644.887111111111</v>
      </c>
      <c r="DC61">
        <v>703.4465555555556</v>
      </c>
      <c r="DD61">
        <v>26.76494444444445</v>
      </c>
      <c r="DE61">
        <v>21.08343333333333</v>
      </c>
      <c r="DF61">
        <v>647.0391111111112</v>
      </c>
      <c r="DG61">
        <v>26.63565555555556</v>
      </c>
      <c r="DH61">
        <v>500.0492222222222</v>
      </c>
      <c r="DI61">
        <v>90.30057777777778</v>
      </c>
      <c r="DJ61">
        <v>0.09996529999999998</v>
      </c>
      <c r="DK61">
        <v>29.22702222222222</v>
      </c>
      <c r="DL61">
        <v>28.56265555555555</v>
      </c>
      <c r="DM61">
        <v>999.9000000000001</v>
      </c>
      <c r="DN61">
        <v>0</v>
      </c>
      <c r="DO61">
        <v>0</v>
      </c>
      <c r="DP61">
        <v>9997.088888888891</v>
      </c>
      <c r="DQ61">
        <v>0</v>
      </c>
      <c r="DR61">
        <v>13.265</v>
      </c>
      <c r="DS61">
        <v>-58.55952222222223</v>
      </c>
      <c r="DT61">
        <v>662.6223333333334</v>
      </c>
      <c r="DU61">
        <v>718.5973333333333</v>
      </c>
      <c r="DV61">
        <v>5.681505555555556</v>
      </c>
      <c r="DW61">
        <v>703.4465555555556</v>
      </c>
      <c r="DX61">
        <v>21.08343333333333</v>
      </c>
      <c r="DY61">
        <v>2.416888888888889</v>
      </c>
      <c r="DZ61">
        <v>1.903846666666666</v>
      </c>
      <c r="EA61">
        <v>20.47737777777778</v>
      </c>
      <c r="EB61">
        <v>16.66653333333333</v>
      </c>
      <c r="EC61">
        <v>1499.986666666666</v>
      </c>
      <c r="ED61">
        <v>0.9730078888888889</v>
      </c>
      <c r="EE61">
        <v>0.0269917</v>
      </c>
      <c r="EF61">
        <v>0</v>
      </c>
      <c r="EG61">
        <v>2.301344444444444</v>
      </c>
      <c r="EH61">
        <v>0</v>
      </c>
      <c r="EI61">
        <v>15571.61111111111</v>
      </c>
      <c r="EJ61">
        <v>12533.3</v>
      </c>
      <c r="EK61">
        <v>36.465</v>
      </c>
      <c r="EL61">
        <v>38</v>
      </c>
      <c r="EM61">
        <v>36.875</v>
      </c>
      <c r="EN61">
        <v>37.375</v>
      </c>
      <c r="EO61">
        <v>36.312</v>
      </c>
      <c r="EP61">
        <v>1459.496666666667</v>
      </c>
      <c r="EQ61">
        <v>40.49</v>
      </c>
      <c r="ER61">
        <v>0</v>
      </c>
      <c r="ES61">
        <v>1651772220.2</v>
      </c>
      <c r="ET61">
        <v>0</v>
      </c>
      <c r="EU61">
        <v>2.332061538461538</v>
      </c>
      <c r="EV61">
        <v>0.06246837219910564</v>
      </c>
      <c r="EW61">
        <v>192.4512822117289</v>
      </c>
      <c r="EX61">
        <v>15557.08461538462</v>
      </c>
      <c r="EY61">
        <v>15</v>
      </c>
      <c r="EZ61">
        <v>0</v>
      </c>
      <c r="FA61" t="s">
        <v>420</v>
      </c>
      <c r="FB61">
        <v>1651697511.6</v>
      </c>
      <c r="FC61">
        <v>1651697666.1</v>
      </c>
      <c r="FD61">
        <v>0</v>
      </c>
      <c r="FE61">
        <v>-0.019</v>
      </c>
      <c r="FF61">
        <v>0.013</v>
      </c>
      <c r="FG61">
        <v>-2.121</v>
      </c>
      <c r="FH61">
        <v>0.041</v>
      </c>
      <c r="FI61">
        <v>420</v>
      </c>
      <c r="FJ61">
        <v>22</v>
      </c>
      <c r="FK61">
        <v>1.72</v>
      </c>
      <c r="FL61">
        <v>0.27</v>
      </c>
      <c r="FM61">
        <v>-57.46553658536585</v>
      </c>
      <c r="FN61">
        <v>-7.974671080139279</v>
      </c>
      <c r="FO61">
        <v>0.7872547707237884</v>
      </c>
      <c r="FP61">
        <v>0</v>
      </c>
      <c r="FQ61">
        <v>5.650097073170731</v>
      </c>
      <c r="FR61">
        <v>0.221247804878045</v>
      </c>
      <c r="FS61">
        <v>0.02184641604182926</v>
      </c>
      <c r="FT61">
        <v>1</v>
      </c>
      <c r="FU61">
        <v>0</v>
      </c>
      <c r="FV61">
        <v>0</v>
      </c>
      <c r="FW61">
        <v>0</v>
      </c>
      <c r="FX61">
        <v>1</v>
      </c>
      <c r="FY61">
        <v>2</v>
      </c>
      <c r="FZ61">
        <v>3</v>
      </c>
      <c r="GA61" t="s">
        <v>421</v>
      </c>
      <c r="GB61">
        <v>2.9815</v>
      </c>
      <c r="GC61">
        <v>2.70622</v>
      </c>
      <c r="GD61">
        <v>0.129752</v>
      </c>
      <c r="GE61">
        <v>0.135964</v>
      </c>
      <c r="GF61">
        <v>0.114807</v>
      </c>
      <c r="GG61">
        <v>0.0959096</v>
      </c>
      <c r="GH61">
        <v>27525.5</v>
      </c>
      <c r="GI61">
        <v>27383.6</v>
      </c>
      <c r="GJ61">
        <v>29405.1</v>
      </c>
      <c r="GK61">
        <v>29315.1</v>
      </c>
      <c r="GL61">
        <v>34456.2</v>
      </c>
      <c r="GM61">
        <v>35284.5</v>
      </c>
      <c r="GN61">
        <v>41394.6</v>
      </c>
      <c r="GO61">
        <v>41837.5</v>
      </c>
      <c r="GP61">
        <v>1.9632</v>
      </c>
      <c r="GQ61">
        <v>1.86217</v>
      </c>
      <c r="GR61">
        <v>0.0717491</v>
      </c>
      <c r="GS61">
        <v>0</v>
      </c>
      <c r="GT61">
        <v>27.3981</v>
      </c>
      <c r="GU61">
        <v>999.9</v>
      </c>
      <c r="GV61">
        <v>44.8</v>
      </c>
      <c r="GW61">
        <v>35</v>
      </c>
      <c r="GX61">
        <v>28.0233</v>
      </c>
      <c r="GY61">
        <v>62.9808</v>
      </c>
      <c r="GZ61">
        <v>36.1819</v>
      </c>
      <c r="HA61">
        <v>1</v>
      </c>
      <c r="HB61">
        <v>0.0370732</v>
      </c>
      <c r="HC61">
        <v>0</v>
      </c>
      <c r="HD61">
        <v>20.3464</v>
      </c>
      <c r="HE61">
        <v>5.21744</v>
      </c>
      <c r="HF61">
        <v>12.0085</v>
      </c>
      <c r="HG61">
        <v>4.98925</v>
      </c>
      <c r="HH61">
        <v>3.28858</v>
      </c>
      <c r="HI61">
        <v>493.6</v>
      </c>
      <c r="HJ61">
        <v>3626.5</v>
      </c>
      <c r="HK61">
        <v>4564.3</v>
      </c>
      <c r="HL61">
        <v>17.8</v>
      </c>
      <c r="HM61">
        <v>1.86768</v>
      </c>
      <c r="HN61">
        <v>1.86661</v>
      </c>
      <c r="HO61">
        <v>1.86615</v>
      </c>
      <c r="HP61">
        <v>1.86604</v>
      </c>
      <c r="HQ61">
        <v>1.86784</v>
      </c>
      <c r="HR61">
        <v>1.87041</v>
      </c>
      <c r="HS61">
        <v>1.86905</v>
      </c>
      <c r="HT61">
        <v>1.87042</v>
      </c>
      <c r="HU61">
        <v>0</v>
      </c>
      <c r="HV61">
        <v>0</v>
      </c>
      <c r="HW61">
        <v>0</v>
      </c>
      <c r="HX61">
        <v>0</v>
      </c>
      <c r="HY61" t="s">
        <v>422</v>
      </c>
      <c r="HZ61" t="s">
        <v>423</v>
      </c>
      <c r="IA61" t="s">
        <v>424</v>
      </c>
      <c r="IB61" t="s">
        <v>424</v>
      </c>
      <c r="IC61" t="s">
        <v>424</v>
      </c>
      <c r="ID61" t="s">
        <v>424</v>
      </c>
      <c r="IE61">
        <v>0</v>
      </c>
      <c r="IF61">
        <v>100</v>
      </c>
      <c r="IG61">
        <v>100</v>
      </c>
      <c r="IH61">
        <v>-2.165</v>
      </c>
      <c r="II61">
        <v>0.1294</v>
      </c>
      <c r="IJ61">
        <v>-1.064712027753117</v>
      </c>
      <c r="IK61">
        <v>-0.001826611574738555</v>
      </c>
      <c r="IL61">
        <v>3.313362389709971E-07</v>
      </c>
      <c r="IM61">
        <v>-1.629490614973607E-10</v>
      </c>
      <c r="IN61">
        <v>-0.09531406441470595</v>
      </c>
      <c r="IO61">
        <v>-0.008240702679890409</v>
      </c>
      <c r="IP61">
        <v>0.001077697425498046</v>
      </c>
      <c r="IQ61">
        <v>-1.69598232850356E-05</v>
      </c>
      <c r="IR61">
        <v>3</v>
      </c>
      <c r="IS61">
        <v>2280</v>
      </c>
      <c r="IT61">
        <v>1</v>
      </c>
      <c r="IU61">
        <v>25</v>
      </c>
      <c r="IV61">
        <v>1245.1</v>
      </c>
      <c r="IW61">
        <v>1242.5</v>
      </c>
      <c r="IX61">
        <v>1.61743</v>
      </c>
      <c r="IY61">
        <v>2.22412</v>
      </c>
      <c r="IZ61">
        <v>1.39648</v>
      </c>
      <c r="JA61">
        <v>2.35229</v>
      </c>
      <c r="JB61">
        <v>1.49536</v>
      </c>
      <c r="JC61">
        <v>2.29736</v>
      </c>
      <c r="JD61">
        <v>38.7717</v>
      </c>
      <c r="JE61">
        <v>24.0525</v>
      </c>
      <c r="JF61">
        <v>18</v>
      </c>
      <c r="JG61">
        <v>509.083</v>
      </c>
      <c r="JH61">
        <v>430.025</v>
      </c>
      <c r="JI61">
        <v>28.2169</v>
      </c>
      <c r="JJ61">
        <v>27.8965</v>
      </c>
      <c r="JK61">
        <v>30.0003</v>
      </c>
      <c r="JL61">
        <v>27.8103</v>
      </c>
      <c r="JM61">
        <v>27.7441</v>
      </c>
      <c r="JN61">
        <v>32.4765</v>
      </c>
      <c r="JO61">
        <v>29.26</v>
      </c>
      <c r="JP61">
        <v>0</v>
      </c>
      <c r="JQ61">
        <v>-999.9</v>
      </c>
      <c r="JR61">
        <v>734.198</v>
      </c>
      <c r="JS61">
        <v>21.0835</v>
      </c>
      <c r="JT61">
        <v>100.521</v>
      </c>
      <c r="JU61">
        <v>100.417</v>
      </c>
    </row>
    <row r="62" spans="1:281">
      <c r="A62">
        <v>46</v>
      </c>
      <c r="B62">
        <v>1651772224</v>
      </c>
      <c r="C62">
        <v>346.4000000953674</v>
      </c>
      <c r="D62" t="s">
        <v>514</v>
      </c>
      <c r="E62" t="s">
        <v>515</v>
      </c>
      <c r="F62">
        <v>5</v>
      </c>
      <c r="H62" t="s">
        <v>417</v>
      </c>
      <c r="I62">
        <v>1651772221.2</v>
      </c>
      <c r="J62">
        <f>(K62)/1000</f>
        <v>0</v>
      </c>
      <c r="K62">
        <f>IF(CZ62, AN62, AH62)</f>
        <v>0</v>
      </c>
      <c r="L62">
        <f>IF(CZ62, AI62, AG62)</f>
        <v>0</v>
      </c>
      <c r="M62">
        <f>DB62 - IF(AU62&gt;1, L62*CV62*100.0/(AW62*DP62), 0)</f>
        <v>0</v>
      </c>
      <c r="N62">
        <f>((T62-J62/2)*M62-L62)/(T62+J62/2)</f>
        <v>0</v>
      </c>
      <c r="O62">
        <f>N62*(DI62+DJ62)/1000.0</f>
        <v>0</v>
      </c>
      <c r="P62">
        <f>(DB62 - IF(AU62&gt;1, L62*CV62*100.0/(AW62*DP62), 0))*(DI62+DJ62)/1000.0</f>
        <v>0</v>
      </c>
      <c r="Q62">
        <f>2.0/((1/S62-1/R62)+SIGN(S62)*SQRT((1/S62-1/R62)*(1/S62-1/R62) + 4*CW62/((CW62+1)*(CW62+1))*(2*1/S62*1/R62-1/R62*1/R62)))</f>
        <v>0</v>
      </c>
      <c r="R62">
        <f>IF(LEFT(CX62,1)&lt;&gt;"0",IF(LEFT(CX62,1)="1",3.0,CY62),$D$5+$E$5*(DP62*DI62/($K$5*1000))+$F$5*(DP62*DI62/($K$5*1000))*MAX(MIN(CV62,$J$5),$I$5)*MAX(MIN(CV62,$J$5),$I$5)+$G$5*MAX(MIN(CV62,$J$5),$I$5)*(DP62*DI62/($K$5*1000))+$H$5*(DP62*DI62/($K$5*1000))*(DP62*DI62/($K$5*1000)))</f>
        <v>0</v>
      </c>
      <c r="S62">
        <f>J62*(1000-(1000*0.61365*exp(17.502*W62/(240.97+W62))/(DI62+DJ62)+DD62)/2)/(1000*0.61365*exp(17.502*W62/(240.97+W62))/(DI62+DJ62)-DD62)</f>
        <v>0</v>
      </c>
      <c r="T62">
        <f>1/((CW62+1)/(Q62/1.6)+1/(R62/1.37)) + CW62/((CW62+1)/(Q62/1.6) + CW62/(R62/1.37))</f>
        <v>0</v>
      </c>
      <c r="U62">
        <f>(CR62*CU62)</f>
        <v>0</v>
      </c>
      <c r="V62">
        <f>(DK62+(U62+2*0.95*5.67E-8*(((DK62+$B$7)+273)^4-(DK62+273)^4)-44100*J62)/(1.84*29.3*R62+8*0.95*5.67E-8*(DK62+273)^3))</f>
        <v>0</v>
      </c>
      <c r="W62">
        <f>($C$7*DL62+$D$7*DM62+$E$7*V62)</f>
        <v>0</v>
      </c>
      <c r="X62">
        <f>0.61365*exp(17.502*W62/(240.97+W62))</f>
        <v>0</v>
      </c>
      <c r="Y62">
        <f>(Z62/AA62*100)</f>
        <v>0</v>
      </c>
      <c r="Z62">
        <f>DD62*(DI62+DJ62)/1000</f>
        <v>0</v>
      </c>
      <c r="AA62">
        <f>0.61365*exp(17.502*DK62/(240.97+DK62))</f>
        <v>0</v>
      </c>
      <c r="AB62">
        <f>(X62-DD62*(DI62+DJ62)/1000)</f>
        <v>0</v>
      </c>
      <c r="AC62">
        <f>(-J62*44100)</f>
        <v>0</v>
      </c>
      <c r="AD62">
        <f>2*29.3*R62*0.92*(DK62-W62)</f>
        <v>0</v>
      </c>
      <c r="AE62">
        <f>2*0.95*5.67E-8*(((DK62+$B$7)+273)^4-(W62+273)^4)</f>
        <v>0</v>
      </c>
      <c r="AF62">
        <f>U62+AE62+AC62+AD62</f>
        <v>0</v>
      </c>
      <c r="AG62">
        <f>DH62*AU62*(DC62-DB62*(1000-AU62*DE62)/(1000-AU62*DD62))/(100*CV62)</f>
        <v>0</v>
      </c>
      <c r="AH62">
        <f>1000*DH62*AU62*(DD62-DE62)/(100*CV62*(1000-AU62*DD62))</f>
        <v>0</v>
      </c>
      <c r="AI62">
        <f>(AJ62 - AK62 - DI62*1E3/(8.314*(DK62+273.15)) * AM62/DH62 * AL62) * DH62/(100*CV62) * (1000 - DE62)/1000</f>
        <v>0</v>
      </c>
      <c r="AJ62">
        <v>734.8078826742736</v>
      </c>
      <c r="AK62">
        <v>686.0425333333334</v>
      </c>
      <c r="AL62">
        <v>3.338210058348943</v>
      </c>
      <c r="AM62">
        <v>66.72507702095443</v>
      </c>
      <c r="AN62">
        <f>(AP62 - AO62 + DI62*1E3/(8.314*(DK62+273.15)) * AR62/DH62 * AQ62) * DH62/(100*CV62) * 1000/(1000 - AP62)</f>
        <v>0</v>
      </c>
      <c r="AO62">
        <v>21.08191417182347</v>
      </c>
      <c r="AP62">
        <v>26.78887999999999</v>
      </c>
      <c r="AQ62">
        <v>8.073653327882878E-05</v>
      </c>
      <c r="AR62">
        <v>78.22078291278521</v>
      </c>
      <c r="AS62">
        <v>1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MAX(0,($B$13+$C$13*DP62)/(1+$D$13*DP62)*DI62/(DK62+273)*$E$13)</f>
        <v>0</v>
      </c>
      <c r="AX62" t="s">
        <v>418</v>
      </c>
      <c r="AY62" t="s">
        <v>418</v>
      </c>
      <c r="AZ62">
        <v>0</v>
      </c>
      <c r="BA62">
        <v>0</v>
      </c>
      <c r="BB62">
        <f>1-AZ62/BA62</f>
        <v>0</v>
      </c>
      <c r="BC62">
        <v>0</v>
      </c>
      <c r="BD62" t="s">
        <v>418</v>
      </c>
      <c r="BE62" t="s">
        <v>418</v>
      </c>
      <c r="BF62">
        <v>0</v>
      </c>
      <c r="BG62">
        <v>0</v>
      </c>
      <c r="BH62">
        <f>1-BF62/BG62</f>
        <v>0</v>
      </c>
      <c r="BI62">
        <v>0.5</v>
      </c>
      <c r="BJ62">
        <f>CS62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418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f>$B$11*DQ62+$C$11*DR62+$F$11*EC62*(1-EF62)</f>
        <v>0</v>
      </c>
      <c r="CS62">
        <f>CR62*CT62</f>
        <v>0</v>
      </c>
      <c r="CT62">
        <f>($B$11*$D$9+$C$11*$D$9+$F$11*((EP62+EH62)/MAX(EP62+EH62+EQ62, 0.1)*$I$9+EQ62/MAX(EP62+EH62+EQ62, 0.1)*$J$9))/($B$11+$C$11+$F$11)</f>
        <v>0</v>
      </c>
      <c r="CU62">
        <f>($B$11*$K$9+$C$11*$K$9+$F$11*((EP62+EH62)/MAX(EP62+EH62+EQ62, 0.1)*$P$9+EQ62/MAX(EP62+EH62+EQ62, 0.1)*$Q$9))/($B$11+$C$11+$F$11)</f>
        <v>0</v>
      </c>
      <c r="CV62">
        <v>6</v>
      </c>
      <c r="CW62">
        <v>0.5</v>
      </c>
      <c r="CX62" t="s">
        <v>419</v>
      </c>
      <c r="CY62">
        <v>2</v>
      </c>
      <c r="CZ62" t="b">
        <v>1</v>
      </c>
      <c r="DA62">
        <v>1651772221.2</v>
      </c>
      <c r="DB62">
        <v>660.2008</v>
      </c>
      <c r="DC62">
        <v>719.1754</v>
      </c>
      <c r="DD62">
        <v>26.77988</v>
      </c>
      <c r="DE62">
        <v>21.082</v>
      </c>
      <c r="DF62">
        <v>662.3774</v>
      </c>
      <c r="DG62">
        <v>26.65038</v>
      </c>
      <c r="DH62">
        <v>500.0404</v>
      </c>
      <c r="DI62">
        <v>90.29986999999998</v>
      </c>
      <c r="DJ62">
        <v>0.10003228</v>
      </c>
      <c r="DK62">
        <v>29.23173000000001</v>
      </c>
      <c r="DL62">
        <v>28.56915</v>
      </c>
      <c r="DM62">
        <v>999.9</v>
      </c>
      <c r="DN62">
        <v>0</v>
      </c>
      <c r="DO62">
        <v>0</v>
      </c>
      <c r="DP62">
        <v>9984.060000000001</v>
      </c>
      <c r="DQ62">
        <v>0</v>
      </c>
      <c r="DR62">
        <v>13.18376</v>
      </c>
      <c r="DS62">
        <v>-58.97466999999999</v>
      </c>
      <c r="DT62">
        <v>678.3675000000001</v>
      </c>
      <c r="DU62">
        <v>734.6638</v>
      </c>
      <c r="DV62">
        <v>5.697861000000001</v>
      </c>
      <c r="DW62">
        <v>719.1754</v>
      </c>
      <c r="DX62">
        <v>21.082</v>
      </c>
      <c r="DY62">
        <v>2.418218</v>
      </c>
      <c r="DZ62">
        <v>1.903704</v>
      </c>
      <c r="EA62">
        <v>20.48631</v>
      </c>
      <c r="EB62">
        <v>16.66535</v>
      </c>
      <c r="EC62">
        <v>1499.986</v>
      </c>
      <c r="ED62">
        <v>0.9730079999999999</v>
      </c>
      <c r="EE62">
        <v>0.02699158</v>
      </c>
      <c r="EF62">
        <v>0</v>
      </c>
      <c r="EG62">
        <v>2.16645</v>
      </c>
      <c r="EH62">
        <v>0</v>
      </c>
      <c r="EI62">
        <v>15578.76</v>
      </c>
      <c r="EJ62">
        <v>12533.27</v>
      </c>
      <c r="EK62">
        <v>36.437</v>
      </c>
      <c r="EL62">
        <v>38</v>
      </c>
      <c r="EM62">
        <v>36.875</v>
      </c>
      <c r="EN62">
        <v>37.375</v>
      </c>
      <c r="EO62">
        <v>36.312</v>
      </c>
      <c r="EP62">
        <v>1459.496</v>
      </c>
      <c r="EQ62">
        <v>40.49</v>
      </c>
      <c r="ER62">
        <v>0</v>
      </c>
      <c r="ES62">
        <v>1651772225</v>
      </c>
      <c r="ET62">
        <v>0</v>
      </c>
      <c r="EU62">
        <v>2.292746153846154</v>
      </c>
      <c r="EV62">
        <v>-0.9952341908206701</v>
      </c>
      <c r="EW62">
        <v>124.1333331324809</v>
      </c>
      <c r="EX62">
        <v>15569.61923076923</v>
      </c>
      <c r="EY62">
        <v>15</v>
      </c>
      <c r="EZ62">
        <v>0</v>
      </c>
      <c r="FA62" t="s">
        <v>420</v>
      </c>
      <c r="FB62">
        <v>1651697511.6</v>
      </c>
      <c r="FC62">
        <v>1651697666.1</v>
      </c>
      <c r="FD62">
        <v>0</v>
      </c>
      <c r="FE62">
        <v>-0.019</v>
      </c>
      <c r="FF62">
        <v>0.013</v>
      </c>
      <c r="FG62">
        <v>-2.121</v>
      </c>
      <c r="FH62">
        <v>0.041</v>
      </c>
      <c r="FI62">
        <v>420</v>
      </c>
      <c r="FJ62">
        <v>22</v>
      </c>
      <c r="FK62">
        <v>1.72</v>
      </c>
      <c r="FL62">
        <v>0.27</v>
      </c>
      <c r="FM62">
        <v>-58.17163000000001</v>
      </c>
      <c r="FN62">
        <v>-6.925206754221285</v>
      </c>
      <c r="FO62">
        <v>0.6694454687276633</v>
      </c>
      <c r="FP62">
        <v>0</v>
      </c>
      <c r="FQ62">
        <v>5.671192749999999</v>
      </c>
      <c r="FR62">
        <v>0.2146697560975599</v>
      </c>
      <c r="FS62">
        <v>0.02067485610439651</v>
      </c>
      <c r="FT62">
        <v>1</v>
      </c>
      <c r="FU62">
        <v>0</v>
      </c>
      <c r="FV62">
        <v>0</v>
      </c>
      <c r="FW62">
        <v>0</v>
      </c>
      <c r="FX62">
        <v>1</v>
      </c>
      <c r="FY62">
        <v>2</v>
      </c>
      <c r="FZ62">
        <v>3</v>
      </c>
      <c r="GA62" t="s">
        <v>421</v>
      </c>
      <c r="GB62">
        <v>2.9814</v>
      </c>
      <c r="GC62">
        <v>2.70616</v>
      </c>
      <c r="GD62">
        <v>0.13197</v>
      </c>
      <c r="GE62">
        <v>0.138122</v>
      </c>
      <c r="GF62">
        <v>0.114862</v>
      </c>
      <c r="GG62">
        <v>0.09590899999999999</v>
      </c>
      <c r="GH62">
        <v>27454.8</v>
      </c>
      <c r="GI62">
        <v>27315.4</v>
      </c>
      <c r="GJ62">
        <v>29404.5</v>
      </c>
      <c r="GK62">
        <v>29315.3</v>
      </c>
      <c r="GL62">
        <v>34453.4</v>
      </c>
      <c r="GM62">
        <v>35284.9</v>
      </c>
      <c r="GN62">
        <v>41393.7</v>
      </c>
      <c r="GO62">
        <v>41837.9</v>
      </c>
      <c r="GP62">
        <v>1.96277</v>
      </c>
      <c r="GQ62">
        <v>1.86213</v>
      </c>
      <c r="GR62">
        <v>0.0716373</v>
      </c>
      <c r="GS62">
        <v>0</v>
      </c>
      <c r="GT62">
        <v>27.404</v>
      </c>
      <c r="GU62">
        <v>999.9</v>
      </c>
      <c r="GV62">
        <v>44.8</v>
      </c>
      <c r="GW62">
        <v>35</v>
      </c>
      <c r="GX62">
        <v>28.0212</v>
      </c>
      <c r="GY62">
        <v>63.0808</v>
      </c>
      <c r="GZ62">
        <v>36.222</v>
      </c>
      <c r="HA62">
        <v>1</v>
      </c>
      <c r="HB62">
        <v>0.0373476</v>
      </c>
      <c r="HC62">
        <v>0</v>
      </c>
      <c r="HD62">
        <v>20.3465</v>
      </c>
      <c r="HE62">
        <v>5.21654</v>
      </c>
      <c r="HF62">
        <v>12.0088</v>
      </c>
      <c r="HG62">
        <v>4.98895</v>
      </c>
      <c r="HH62">
        <v>3.2885</v>
      </c>
      <c r="HI62">
        <v>493.8</v>
      </c>
      <c r="HJ62">
        <v>3627.9</v>
      </c>
      <c r="HK62">
        <v>4564.3</v>
      </c>
      <c r="HL62">
        <v>17.8</v>
      </c>
      <c r="HM62">
        <v>1.86768</v>
      </c>
      <c r="HN62">
        <v>1.86661</v>
      </c>
      <c r="HO62">
        <v>1.86615</v>
      </c>
      <c r="HP62">
        <v>1.86603</v>
      </c>
      <c r="HQ62">
        <v>1.86785</v>
      </c>
      <c r="HR62">
        <v>1.87041</v>
      </c>
      <c r="HS62">
        <v>1.86905</v>
      </c>
      <c r="HT62">
        <v>1.87042</v>
      </c>
      <c r="HU62">
        <v>0</v>
      </c>
      <c r="HV62">
        <v>0</v>
      </c>
      <c r="HW62">
        <v>0</v>
      </c>
      <c r="HX62">
        <v>0</v>
      </c>
      <c r="HY62" t="s">
        <v>422</v>
      </c>
      <c r="HZ62" t="s">
        <v>423</v>
      </c>
      <c r="IA62" t="s">
        <v>424</v>
      </c>
      <c r="IB62" t="s">
        <v>424</v>
      </c>
      <c r="IC62" t="s">
        <v>424</v>
      </c>
      <c r="ID62" t="s">
        <v>424</v>
      </c>
      <c r="IE62">
        <v>0</v>
      </c>
      <c r="IF62">
        <v>100</v>
      </c>
      <c r="IG62">
        <v>100</v>
      </c>
      <c r="IH62">
        <v>-2.191</v>
      </c>
      <c r="II62">
        <v>0.1296</v>
      </c>
      <c r="IJ62">
        <v>-1.064712027753117</v>
      </c>
      <c r="IK62">
        <v>-0.001826611574738555</v>
      </c>
      <c r="IL62">
        <v>3.313362389709971E-07</v>
      </c>
      <c r="IM62">
        <v>-1.629490614973607E-10</v>
      </c>
      <c r="IN62">
        <v>-0.09531406441470595</v>
      </c>
      <c r="IO62">
        <v>-0.008240702679890409</v>
      </c>
      <c r="IP62">
        <v>0.001077697425498046</v>
      </c>
      <c r="IQ62">
        <v>-1.69598232850356E-05</v>
      </c>
      <c r="IR62">
        <v>3</v>
      </c>
      <c r="IS62">
        <v>2280</v>
      </c>
      <c r="IT62">
        <v>1</v>
      </c>
      <c r="IU62">
        <v>25</v>
      </c>
      <c r="IV62">
        <v>1245.2</v>
      </c>
      <c r="IW62">
        <v>1242.6</v>
      </c>
      <c r="IX62">
        <v>1.65161</v>
      </c>
      <c r="IY62">
        <v>2.22168</v>
      </c>
      <c r="IZ62">
        <v>1.39648</v>
      </c>
      <c r="JA62">
        <v>2.35352</v>
      </c>
      <c r="JB62">
        <v>1.49536</v>
      </c>
      <c r="JC62">
        <v>2.29614</v>
      </c>
      <c r="JD62">
        <v>38.7717</v>
      </c>
      <c r="JE62">
        <v>24.0525</v>
      </c>
      <c r="JF62">
        <v>18</v>
      </c>
      <c r="JG62">
        <v>508.823</v>
      </c>
      <c r="JH62">
        <v>430.009</v>
      </c>
      <c r="JI62">
        <v>28.222</v>
      </c>
      <c r="JJ62">
        <v>27.8992</v>
      </c>
      <c r="JK62">
        <v>30.0003</v>
      </c>
      <c r="JL62">
        <v>27.8121</v>
      </c>
      <c r="JM62">
        <v>27.7458</v>
      </c>
      <c r="JN62">
        <v>33.0496</v>
      </c>
      <c r="JO62">
        <v>29.26</v>
      </c>
      <c r="JP62">
        <v>0</v>
      </c>
      <c r="JQ62">
        <v>-999.9</v>
      </c>
      <c r="JR62">
        <v>747.59</v>
      </c>
      <c r="JS62">
        <v>21.052</v>
      </c>
      <c r="JT62">
        <v>100.519</v>
      </c>
      <c r="JU62">
        <v>100.418</v>
      </c>
    </row>
    <row r="63" spans="1:281">
      <c r="A63">
        <v>47</v>
      </c>
      <c r="B63">
        <v>1651772229</v>
      </c>
      <c r="C63">
        <v>351.4000000953674</v>
      </c>
      <c r="D63" t="s">
        <v>516</v>
      </c>
      <c r="E63" t="s">
        <v>517</v>
      </c>
      <c r="F63">
        <v>5</v>
      </c>
      <c r="H63" t="s">
        <v>417</v>
      </c>
      <c r="I63">
        <v>1651772226.5</v>
      </c>
      <c r="J63">
        <f>(K63)/1000</f>
        <v>0</v>
      </c>
      <c r="K63">
        <f>IF(CZ63, AN63, AH63)</f>
        <v>0</v>
      </c>
      <c r="L63">
        <f>IF(CZ63, AI63, AG63)</f>
        <v>0</v>
      </c>
      <c r="M63">
        <f>DB63 - IF(AU63&gt;1, L63*CV63*100.0/(AW63*DP63), 0)</f>
        <v>0</v>
      </c>
      <c r="N63">
        <f>((T63-J63/2)*M63-L63)/(T63+J63/2)</f>
        <v>0</v>
      </c>
      <c r="O63">
        <f>N63*(DI63+DJ63)/1000.0</f>
        <v>0</v>
      </c>
      <c r="P63">
        <f>(DB63 - IF(AU63&gt;1, L63*CV63*100.0/(AW63*DP63), 0))*(DI63+DJ63)/1000.0</f>
        <v>0</v>
      </c>
      <c r="Q63">
        <f>2.0/((1/S63-1/R63)+SIGN(S63)*SQRT((1/S63-1/R63)*(1/S63-1/R63) + 4*CW63/((CW63+1)*(CW63+1))*(2*1/S63*1/R63-1/R63*1/R63)))</f>
        <v>0</v>
      </c>
      <c r="R63">
        <f>IF(LEFT(CX63,1)&lt;&gt;"0",IF(LEFT(CX63,1)="1",3.0,CY63),$D$5+$E$5*(DP63*DI63/($K$5*1000))+$F$5*(DP63*DI63/($K$5*1000))*MAX(MIN(CV63,$J$5),$I$5)*MAX(MIN(CV63,$J$5),$I$5)+$G$5*MAX(MIN(CV63,$J$5),$I$5)*(DP63*DI63/($K$5*1000))+$H$5*(DP63*DI63/($K$5*1000))*(DP63*DI63/($K$5*1000)))</f>
        <v>0</v>
      </c>
      <c r="S63">
        <f>J63*(1000-(1000*0.61365*exp(17.502*W63/(240.97+W63))/(DI63+DJ63)+DD63)/2)/(1000*0.61365*exp(17.502*W63/(240.97+W63))/(DI63+DJ63)-DD63)</f>
        <v>0</v>
      </c>
      <c r="T63">
        <f>1/((CW63+1)/(Q63/1.6)+1/(R63/1.37)) + CW63/((CW63+1)/(Q63/1.6) + CW63/(R63/1.37))</f>
        <v>0</v>
      </c>
      <c r="U63">
        <f>(CR63*CU63)</f>
        <v>0</v>
      </c>
      <c r="V63">
        <f>(DK63+(U63+2*0.95*5.67E-8*(((DK63+$B$7)+273)^4-(DK63+273)^4)-44100*J63)/(1.84*29.3*R63+8*0.95*5.67E-8*(DK63+273)^3))</f>
        <v>0</v>
      </c>
      <c r="W63">
        <f>($C$7*DL63+$D$7*DM63+$E$7*V63)</f>
        <v>0</v>
      </c>
      <c r="X63">
        <f>0.61365*exp(17.502*W63/(240.97+W63))</f>
        <v>0</v>
      </c>
      <c r="Y63">
        <f>(Z63/AA63*100)</f>
        <v>0</v>
      </c>
      <c r="Z63">
        <f>DD63*(DI63+DJ63)/1000</f>
        <v>0</v>
      </c>
      <c r="AA63">
        <f>0.61365*exp(17.502*DK63/(240.97+DK63))</f>
        <v>0</v>
      </c>
      <c r="AB63">
        <f>(X63-DD63*(DI63+DJ63)/1000)</f>
        <v>0</v>
      </c>
      <c r="AC63">
        <f>(-J63*44100)</f>
        <v>0</v>
      </c>
      <c r="AD63">
        <f>2*29.3*R63*0.92*(DK63-W63)</f>
        <v>0</v>
      </c>
      <c r="AE63">
        <f>2*0.95*5.67E-8*(((DK63+$B$7)+273)^4-(W63+273)^4)</f>
        <v>0</v>
      </c>
      <c r="AF63">
        <f>U63+AE63+AC63+AD63</f>
        <v>0</v>
      </c>
      <c r="AG63">
        <f>DH63*AU63*(DC63-DB63*(1000-AU63*DE63)/(1000-AU63*DD63))/(100*CV63)</f>
        <v>0</v>
      </c>
      <c r="AH63">
        <f>1000*DH63*AU63*(DD63-DE63)/(100*CV63*(1000-AU63*DD63))</f>
        <v>0</v>
      </c>
      <c r="AI63">
        <f>(AJ63 - AK63 - DI63*1E3/(8.314*(DK63+273.15)) * AM63/DH63 * AL63) * DH63/(100*CV63) * (1000 - DE63)/1000</f>
        <v>0</v>
      </c>
      <c r="AJ63">
        <v>751.9331695782507</v>
      </c>
      <c r="AK63">
        <v>702.8196363636362</v>
      </c>
      <c r="AL63">
        <v>3.363802673447574</v>
      </c>
      <c r="AM63">
        <v>66.72507702095443</v>
      </c>
      <c r="AN63">
        <f>(AP63 - AO63 + DI63*1E3/(8.314*(DK63+273.15)) * AR63/DH63 * AQ63) * DH63/(100*CV63) * 1000/(1000 - AP63)</f>
        <v>0</v>
      </c>
      <c r="AO63">
        <v>21.08046359880935</v>
      </c>
      <c r="AP63">
        <v>26.80521212121212</v>
      </c>
      <c r="AQ63">
        <v>0.0001015157031496474</v>
      </c>
      <c r="AR63">
        <v>78.22078291278521</v>
      </c>
      <c r="AS63">
        <v>1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MAX(0,($B$13+$C$13*DP63)/(1+$D$13*DP63)*DI63/(DK63+273)*$E$13)</f>
        <v>0</v>
      </c>
      <c r="AX63" t="s">
        <v>418</v>
      </c>
      <c r="AY63" t="s">
        <v>418</v>
      </c>
      <c r="AZ63">
        <v>0</v>
      </c>
      <c r="BA63">
        <v>0</v>
      </c>
      <c r="BB63">
        <f>1-AZ63/BA63</f>
        <v>0</v>
      </c>
      <c r="BC63">
        <v>0</v>
      </c>
      <c r="BD63" t="s">
        <v>418</v>
      </c>
      <c r="BE63" t="s">
        <v>418</v>
      </c>
      <c r="BF63">
        <v>0</v>
      </c>
      <c r="BG63">
        <v>0</v>
      </c>
      <c r="BH63">
        <f>1-BF63/BG63</f>
        <v>0</v>
      </c>
      <c r="BI63">
        <v>0.5</v>
      </c>
      <c r="BJ63">
        <f>CS63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418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f>$B$11*DQ63+$C$11*DR63+$F$11*EC63*(1-EF63)</f>
        <v>0</v>
      </c>
      <c r="CS63">
        <f>CR63*CT63</f>
        <v>0</v>
      </c>
      <c r="CT63">
        <f>($B$11*$D$9+$C$11*$D$9+$F$11*((EP63+EH63)/MAX(EP63+EH63+EQ63, 0.1)*$I$9+EQ63/MAX(EP63+EH63+EQ63, 0.1)*$J$9))/($B$11+$C$11+$F$11)</f>
        <v>0</v>
      </c>
      <c r="CU63">
        <f>($B$11*$K$9+$C$11*$K$9+$F$11*((EP63+EH63)/MAX(EP63+EH63+EQ63, 0.1)*$P$9+EQ63/MAX(EP63+EH63+EQ63, 0.1)*$Q$9))/($B$11+$C$11+$F$11)</f>
        <v>0</v>
      </c>
      <c r="CV63">
        <v>6</v>
      </c>
      <c r="CW63">
        <v>0.5</v>
      </c>
      <c r="CX63" t="s">
        <v>419</v>
      </c>
      <c r="CY63">
        <v>2</v>
      </c>
      <c r="CZ63" t="b">
        <v>1</v>
      </c>
      <c r="DA63">
        <v>1651772226.5</v>
      </c>
      <c r="DB63">
        <v>677.4373333333333</v>
      </c>
      <c r="DC63">
        <v>736.9547777777777</v>
      </c>
      <c r="DD63">
        <v>26.79953333333333</v>
      </c>
      <c r="DE63">
        <v>21.08043333333333</v>
      </c>
      <c r="DF63">
        <v>679.6415555555554</v>
      </c>
      <c r="DG63">
        <v>26.6698</v>
      </c>
      <c r="DH63">
        <v>500.0441111111111</v>
      </c>
      <c r="DI63">
        <v>90.30087777777777</v>
      </c>
      <c r="DJ63">
        <v>0.09993999999999999</v>
      </c>
      <c r="DK63">
        <v>29.23546666666666</v>
      </c>
      <c r="DL63">
        <v>28.57194444444444</v>
      </c>
      <c r="DM63">
        <v>999.9000000000001</v>
      </c>
      <c r="DN63">
        <v>0</v>
      </c>
      <c r="DO63">
        <v>0</v>
      </c>
      <c r="DP63">
        <v>9995.835555555554</v>
      </c>
      <c r="DQ63">
        <v>0</v>
      </c>
      <c r="DR63">
        <v>13.18473333333333</v>
      </c>
      <c r="DS63">
        <v>-59.51762222222222</v>
      </c>
      <c r="DT63">
        <v>696.0922222222222</v>
      </c>
      <c r="DU63">
        <v>752.8247777777777</v>
      </c>
      <c r="DV63">
        <v>5.719091111111111</v>
      </c>
      <c r="DW63">
        <v>736.9547777777777</v>
      </c>
      <c r="DX63">
        <v>21.08043333333333</v>
      </c>
      <c r="DY63">
        <v>2.42002</v>
      </c>
      <c r="DZ63">
        <v>1.903582222222222</v>
      </c>
      <c r="EA63">
        <v>20.49836666666667</v>
      </c>
      <c r="EB63">
        <v>16.66435555555556</v>
      </c>
      <c r="EC63">
        <v>1500.006666666667</v>
      </c>
      <c r="ED63">
        <v>0.9730078888888889</v>
      </c>
      <c r="EE63">
        <v>0.0269917</v>
      </c>
      <c r="EF63">
        <v>0</v>
      </c>
      <c r="EG63">
        <v>2.417744444444444</v>
      </c>
      <c r="EH63">
        <v>0</v>
      </c>
      <c r="EI63">
        <v>15581.18888888889</v>
      </c>
      <c r="EJ63">
        <v>12533.44444444445</v>
      </c>
      <c r="EK63">
        <v>36.437</v>
      </c>
      <c r="EL63">
        <v>38</v>
      </c>
      <c r="EM63">
        <v>36.875</v>
      </c>
      <c r="EN63">
        <v>37.375</v>
      </c>
      <c r="EO63">
        <v>36.312</v>
      </c>
      <c r="EP63">
        <v>1459.515555555555</v>
      </c>
      <c r="EQ63">
        <v>40.49</v>
      </c>
      <c r="ER63">
        <v>0</v>
      </c>
      <c r="ES63">
        <v>1651772229.8</v>
      </c>
      <c r="ET63">
        <v>0</v>
      </c>
      <c r="EU63">
        <v>2.303280769230769</v>
      </c>
      <c r="EV63">
        <v>0.5030598328840027</v>
      </c>
      <c r="EW63">
        <v>57.93162397779118</v>
      </c>
      <c r="EX63">
        <v>15577.01923076923</v>
      </c>
      <c r="EY63">
        <v>15</v>
      </c>
      <c r="EZ63">
        <v>0</v>
      </c>
      <c r="FA63" t="s">
        <v>420</v>
      </c>
      <c r="FB63">
        <v>1651697511.6</v>
      </c>
      <c r="FC63">
        <v>1651697666.1</v>
      </c>
      <c r="FD63">
        <v>0</v>
      </c>
      <c r="FE63">
        <v>-0.019</v>
      </c>
      <c r="FF63">
        <v>0.013</v>
      </c>
      <c r="FG63">
        <v>-2.121</v>
      </c>
      <c r="FH63">
        <v>0.041</v>
      </c>
      <c r="FI63">
        <v>420</v>
      </c>
      <c r="FJ63">
        <v>22</v>
      </c>
      <c r="FK63">
        <v>1.72</v>
      </c>
      <c r="FL63">
        <v>0.27</v>
      </c>
      <c r="FM63">
        <v>-58.7292475</v>
      </c>
      <c r="FN63">
        <v>-6.22423902439033</v>
      </c>
      <c r="FO63">
        <v>0.6006243988498559</v>
      </c>
      <c r="FP63">
        <v>0</v>
      </c>
      <c r="FQ63">
        <v>5.689556000000001</v>
      </c>
      <c r="FR63">
        <v>0.2239395872420283</v>
      </c>
      <c r="FS63">
        <v>0.02157194390869773</v>
      </c>
      <c r="FT63">
        <v>1</v>
      </c>
      <c r="FU63">
        <v>0</v>
      </c>
      <c r="FV63">
        <v>0</v>
      </c>
      <c r="FW63">
        <v>0</v>
      </c>
      <c r="FX63">
        <v>1</v>
      </c>
      <c r="FY63">
        <v>2</v>
      </c>
      <c r="FZ63">
        <v>3</v>
      </c>
      <c r="GA63" t="s">
        <v>421</v>
      </c>
      <c r="GB63">
        <v>2.98154</v>
      </c>
      <c r="GC63">
        <v>2.70606</v>
      </c>
      <c r="GD63">
        <v>0.134167</v>
      </c>
      <c r="GE63">
        <v>0.140274</v>
      </c>
      <c r="GF63">
        <v>0.114909</v>
      </c>
      <c r="GG63">
        <v>0.09590310000000001</v>
      </c>
      <c r="GH63">
        <v>27385</v>
      </c>
      <c r="GI63">
        <v>27247.4</v>
      </c>
      <c r="GJ63">
        <v>29404.2</v>
      </c>
      <c r="GK63">
        <v>29315.5</v>
      </c>
      <c r="GL63">
        <v>34451.3</v>
      </c>
      <c r="GM63">
        <v>35285.3</v>
      </c>
      <c r="GN63">
        <v>41393.4</v>
      </c>
      <c r="GO63">
        <v>41838.1</v>
      </c>
      <c r="GP63">
        <v>1.96312</v>
      </c>
      <c r="GQ63">
        <v>1.8621</v>
      </c>
      <c r="GR63">
        <v>0.070855</v>
      </c>
      <c r="GS63">
        <v>0</v>
      </c>
      <c r="GT63">
        <v>27.4096</v>
      </c>
      <c r="GU63">
        <v>999.9</v>
      </c>
      <c r="GV63">
        <v>44.8</v>
      </c>
      <c r="GW63">
        <v>35</v>
      </c>
      <c r="GX63">
        <v>28.0222</v>
      </c>
      <c r="GY63">
        <v>62.7908</v>
      </c>
      <c r="GZ63">
        <v>36.222</v>
      </c>
      <c r="HA63">
        <v>1</v>
      </c>
      <c r="HB63">
        <v>0.0374187</v>
      </c>
      <c r="HC63">
        <v>0</v>
      </c>
      <c r="HD63">
        <v>20.3466</v>
      </c>
      <c r="HE63">
        <v>5.21804</v>
      </c>
      <c r="HF63">
        <v>12.0095</v>
      </c>
      <c r="HG63">
        <v>4.9892</v>
      </c>
      <c r="HH63">
        <v>3.28865</v>
      </c>
      <c r="HI63">
        <v>493.8</v>
      </c>
      <c r="HJ63">
        <v>3627.9</v>
      </c>
      <c r="HK63">
        <v>4564.3</v>
      </c>
      <c r="HL63">
        <v>17.8</v>
      </c>
      <c r="HM63">
        <v>1.86768</v>
      </c>
      <c r="HN63">
        <v>1.86662</v>
      </c>
      <c r="HO63">
        <v>1.86615</v>
      </c>
      <c r="HP63">
        <v>1.86606</v>
      </c>
      <c r="HQ63">
        <v>1.86788</v>
      </c>
      <c r="HR63">
        <v>1.87041</v>
      </c>
      <c r="HS63">
        <v>1.86905</v>
      </c>
      <c r="HT63">
        <v>1.87042</v>
      </c>
      <c r="HU63">
        <v>0</v>
      </c>
      <c r="HV63">
        <v>0</v>
      </c>
      <c r="HW63">
        <v>0</v>
      </c>
      <c r="HX63">
        <v>0</v>
      </c>
      <c r="HY63" t="s">
        <v>422</v>
      </c>
      <c r="HZ63" t="s">
        <v>423</v>
      </c>
      <c r="IA63" t="s">
        <v>424</v>
      </c>
      <c r="IB63" t="s">
        <v>424</v>
      </c>
      <c r="IC63" t="s">
        <v>424</v>
      </c>
      <c r="ID63" t="s">
        <v>424</v>
      </c>
      <c r="IE63">
        <v>0</v>
      </c>
      <c r="IF63">
        <v>100</v>
      </c>
      <c r="IG63">
        <v>100</v>
      </c>
      <c r="IH63">
        <v>-2.217</v>
      </c>
      <c r="II63">
        <v>0.1298</v>
      </c>
      <c r="IJ63">
        <v>-1.064712027753117</v>
      </c>
      <c r="IK63">
        <v>-0.001826611574738555</v>
      </c>
      <c r="IL63">
        <v>3.313362389709971E-07</v>
      </c>
      <c r="IM63">
        <v>-1.629490614973607E-10</v>
      </c>
      <c r="IN63">
        <v>-0.09531406441470595</v>
      </c>
      <c r="IO63">
        <v>-0.008240702679890409</v>
      </c>
      <c r="IP63">
        <v>0.001077697425498046</v>
      </c>
      <c r="IQ63">
        <v>-1.69598232850356E-05</v>
      </c>
      <c r="IR63">
        <v>3</v>
      </c>
      <c r="IS63">
        <v>2280</v>
      </c>
      <c r="IT63">
        <v>1</v>
      </c>
      <c r="IU63">
        <v>25</v>
      </c>
      <c r="IV63">
        <v>1245.3</v>
      </c>
      <c r="IW63">
        <v>1242.7</v>
      </c>
      <c r="IX63">
        <v>1.68213</v>
      </c>
      <c r="IY63">
        <v>2.21436</v>
      </c>
      <c r="IZ63">
        <v>1.39648</v>
      </c>
      <c r="JA63">
        <v>2.35352</v>
      </c>
      <c r="JB63">
        <v>1.49536</v>
      </c>
      <c r="JC63">
        <v>2.30225</v>
      </c>
      <c r="JD63">
        <v>38.7717</v>
      </c>
      <c r="JE63">
        <v>24.0525</v>
      </c>
      <c r="JF63">
        <v>18</v>
      </c>
      <c r="JG63">
        <v>509.065</v>
      </c>
      <c r="JH63">
        <v>430.01</v>
      </c>
      <c r="JI63">
        <v>28.2271</v>
      </c>
      <c r="JJ63">
        <v>27.9016</v>
      </c>
      <c r="JK63">
        <v>30.0002</v>
      </c>
      <c r="JL63">
        <v>27.8139</v>
      </c>
      <c r="JM63">
        <v>27.748</v>
      </c>
      <c r="JN63">
        <v>33.6784</v>
      </c>
      <c r="JO63">
        <v>29.26</v>
      </c>
      <c r="JP63">
        <v>0</v>
      </c>
      <c r="JQ63">
        <v>-999.9</v>
      </c>
      <c r="JR63">
        <v>767.726</v>
      </c>
      <c r="JS63">
        <v>21.0224</v>
      </c>
      <c r="JT63">
        <v>100.518</v>
      </c>
      <c r="JU63">
        <v>100.419</v>
      </c>
    </row>
    <row r="64" spans="1:281">
      <c r="A64">
        <v>48</v>
      </c>
      <c r="B64">
        <v>1651772234</v>
      </c>
      <c r="C64">
        <v>356.4000000953674</v>
      </c>
      <c r="D64" t="s">
        <v>518</v>
      </c>
      <c r="E64" t="s">
        <v>519</v>
      </c>
      <c r="F64">
        <v>5</v>
      </c>
      <c r="H64" t="s">
        <v>417</v>
      </c>
      <c r="I64">
        <v>1651772231.2</v>
      </c>
      <c r="J64">
        <f>(K64)/1000</f>
        <v>0</v>
      </c>
      <c r="K64">
        <f>IF(CZ64, AN64, AH64)</f>
        <v>0</v>
      </c>
      <c r="L64">
        <f>IF(CZ64, AI64, AG64)</f>
        <v>0</v>
      </c>
      <c r="M64">
        <f>DB64 - IF(AU64&gt;1, L64*CV64*100.0/(AW64*DP64), 0)</f>
        <v>0</v>
      </c>
      <c r="N64">
        <f>((T64-J64/2)*M64-L64)/(T64+J64/2)</f>
        <v>0</v>
      </c>
      <c r="O64">
        <f>N64*(DI64+DJ64)/1000.0</f>
        <v>0</v>
      </c>
      <c r="P64">
        <f>(DB64 - IF(AU64&gt;1, L64*CV64*100.0/(AW64*DP64), 0))*(DI64+DJ64)/1000.0</f>
        <v>0</v>
      </c>
      <c r="Q64">
        <f>2.0/((1/S64-1/R64)+SIGN(S64)*SQRT((1/S64-1/R64)*(1/S64-1/R64) + 4*CW64/((CW64+1)*(CW64+1))*(2*1/S64*1/R64-1/R64*1/R64)))</f>
        <v>0</v>
      </c>
      <c r="R64">
        <f>IF(LEFT(CX64,1)&lt;&gt;"0",IF(LEFT(CX64,1)="1",3.0,CY64),$D$5+$E$5*(DP64*DI64/($K$5*1000))+$F$5*(DP64*DI64/($K$5*1000))*MAX(MIN(CV64,$J$5),$I$5)*MAX(MIN(CV64,$J$5),$I$5)+$G$5*MAX(MIN(CV64,$J$5),$I$5)*(DP64*DI64/($K$5*1000))+$H$5*(DP64*DI64/($K$5*1000))*(DP64*DI64/($K$5*1000)))</f>
        <v>0</v>
      </c>
      <c r="S64">
        <f>J64*(1000-(1000*0.61365*exp(17.502*W64/(240.97+W64))/(DI64+DJ64)+DD64)/2)/(1000*0.61365*exp(17.502*W64/(240.97+W64))/(DI64+DJ64)-DD64)</f>
        <v>0</v>
      </c>
      <c r="T64">
        <f>1/((CW64+1)/(Q64/1.6)+1/(R64/1.37)) + CW64/((CW64+1)/(Q64/1.6) + CW64/(R64/1.37))</f>
        <v>0</v>
      </c>
      <c r="U64">
        <f>(CR64*CU64)</f>
        <v>0</v>
      </c>
      <c r="V64">
        <f>(DK64+(U64+2*0.95*5.67E-8*(((DK64+$B$7)+273)^4-(DK64+273)^4)-44100*J64)/(1.84*29.3*R64+8*0.95*5.67E-8*(DK64+273)^3))</f>
        <v>0</v>
      </c>
      <c r="W64">
        <f>($C$7*DL64+$D$7*DM64+$E$7*V64)</f>
        <v>0</v>
      </c>
      <c r="X64">
        <f>0.61365*exp(17.502*W64/(240.97+W64))</f>
        <v>0</v>
      </c>
      <c r="Y64">
        <f>(Z64/AA64*100)</f>
        <v>0</v>
      </c>
      <c r="Z64">
        <f>DD64*(DI64+DJ64)/1000</f>
        <v>0</v>
      </c>
      <c r="AA64">
        <f>0.61365*exp(17.502*DK64/(240.97+DK64))</f>
        <v>0</v>
      </c>
      <c r="AB64">
        <f>(X64-DD64*(DI64+DJ64)/1000)</f>
        <v>0</v>
      </c>
      <c r="AC64">
        <f>(-J64*44100)</f>
        <v>0</v>
      </c>
      <c r="AD64">
        <f>2*29.3*R64*0.92*(DK64-W64)</f>
        <v>0</v>
      </c>
      <c r="AE64">
        <f>2*0.95*5.67E-8*(((DK64+$B$7)+273)^4-(W64+273)^4)</f>
        <v>0</v>
      </c>
      <c r="AF64">
        <f>U64+AE64+AC64+AD64</f>
        <v>0</v>
      </c>
      <c r="AG64">
        <f>DH64*AU64*(DC64-DB64*(1000-AU64*DE64)/(1000-AU64*DD64))/(100*CV64)</f>
        <v>0</v>
      </c>
      <c r="AH64">
        <f>1000*DH64*AU64*(DD64-DE64)/(100*CV64*(1000-AU64*DD64))</f>
        <v>0</v>
      </c>
      <c r="AI64">
        <f>(AJ64 - AK64 - DI64*1E3/(8.314*(DK64+273.15)) * AM64/DH64 * AL64) * DH64/(100*CV64) * (1000 - DE64)/1000</f>
        <v>0</v>
      </c>
      <c r="AJ64">
        <v>769.1504467051067</v>
      </c>
      <c r="AK64">
        <v>719.5171999999999</v>
      </c>
      <c r="AL64">
        <v>3.34619226139498</v>
      </c>
      <c r="AM64">
        <v>66.72507702095443</v>
      </c>
      <c r="AN64">
        <f>(AP64 - AO64 + DI64*1E3/(8.314*(DK64+273.15)) * AR64/DH64 * AQ64) * DH64/(100*CV64) * 1000/(1000 - AP64)</f>
        <v>0</v>
      </c>
      <c r="AO64">
        <v>21.07904274740842</v>
      </c>
      <c r="AP64">
        <v>26.82523818181818</v>
      </c>
      <c r="AQ64">
        <v>9.704307561433193E-05</v>
      </c>
      <c r="AR64">
        <v>78.22078291278521</v>
      </c>
      <c r="AS64">
        <v>1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MAX(0,($B$13+$C$13*DP64)/(1+$D$13*DP64)*DI64/(DK64+273)*$E$13)</f>
        <v>0</v>
      </c>
      <c r="AX64" t="s">
        <v>418</v>
      </c>
      <c r="AY64" t="s">
        <v>418</v>
      </c>
      <c r="AZ64">
        <v>0</v>
      </c>
      <c r="BA64">
        <v>0</v>
      </c>
      <c r="BB64">
        <f>1-AZ64/BA64</f>
        <v>0</v>
      </c>
      <c r="BC64">
        <v>0</v>
      </c>
      <c r="BD64" t="s">
        <v>418</v>
      </c>
      <c r="BE64" t="s">
        <v>418</v>
      </c>
      <c r="BF64">
        <v>0</v>
      </c>
      <c r="BG64">
        <v>0</v>
      </c>
      <c r="BH64">
        <f>1-BF64/BG64</f>
        <v>0</v>
      </c>
      <c r="BI64">
        <v>0.5</v>
      </c>
      <c r="BJ64">
        <f>CS64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418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f>$B$11*DQ64+$C$11*DR64+$F$11*EC64*(1-EF64)</f>
        <v>0</v>
      </c>
      <c r="CS64">
        <f>CR64*CT64</f>
        <v>0</v>
      </c>
      <c r="CT64">
        <f>($B$11*$D$9+$C$11*$D$9+$F$11*((EP64+EH64)/MAX(EP64+EH64+EQ64, 0.1)*$I$9+EQ64/MAX(EP64+EH64+EQ64, 0.1)*$J$9))/($B$11+$C$11+$F$11)</f>
        <v>0</v>
      </c>
      <c r="CU64">
        <f>($B$11*$K$9+$C$11*$K$9+$F$11*((EP64+EH64)/MAX(EP64+EH64+EQ64, 0.1)*$P$9+EQ64/MAX(EP64+EH64+EQ64, 0.1)*$Q$9))/($B$11+$C$11+$F$11)</f>
        <v>0</v>
      </c>
      <c r="CV64">
        <v>6</v>
      </c>
      <c r="CW64">
        <v>0.5</v>
      </c>
      <c r="CX64" t="s">
        <v>419</v>
      </c>
      <c r="CY64">
        <v>2</v>
      </c>
      <c r="CZ64" t="b">
        <v>1</v>
      </c>
      <c r="DA64">
        <v>1651772231.2</v>
      </c>
      <c r="DB64">
        <v>692.7343</v>
      </c>
      <c r="DC64">
        <v>752.8012</v>
      </c>
      <c r="DD64">
        <v>26.81541</v>
      </c>
      <c r="DE64">
        <v>21.07893</v>
      </c>
      <c r="DF64">
        <v>694.9631000000001</v>
      </c>
      <c r="DG64">
        <v>26.68547</v>
      </c>
      <c r="DH64">
        <v>500.0465</v>
      </c>
      <c r="DI64">
        <v>90.30136000000002</v>
      </c>
      <c r="DJ64">
        <v>0.09997841999999998</v>
      </c>
      <c r="DK64">
        <v>29.23942</v>
      </c>
      <c r="DL64">
        <v>28.56869</v>
      </c>
      <c r="DM64">
        <v>999.9</v>
      </c>
      <c r="DN64">
        <v>0</v>
      </c>
      <c r="DO64">
        <v>0</v>
      </c>
      <c r="DP64">
        <v>10009.94</v>
      </c>
      <c r="DQ64">
        <v>0</v>
      </c>
      <c r="DR64">
        <v>13.19907</v>
      </c>
      <c r="DS64">
        <v>-60.06690000000001</v>
      </c>
      <c r="DT64">
        <v>711.8221000000001</v>
      </c>
      <c r="DU64">
        <v>769.0112999999999</v>
      </c>
      <c r="DV64">
        <v>5.736488</v>
      </c>
      <c r="DW64">
        <v>752.8012</v>
      </c>
      <c r="DX64">
        <v>21.07893</v>
      </c>
      <c r="DY64">
        <v>2.421467</v>
      </c>
      <c r="DZ64">
        <v>1.903456</v>
      </c>
      <c r="EA64">
        <v>20.50807</v>
      </c>
      <c r="EB64">
        <v>16.66331</v>
      </c>
      <c r="EC64">
        <v>1499.983</v>
      </c>
      <c r="ED64">
        <v>0.9730079999999999</v>
      </c>
      <c r="EE64">
        <v>0.02699158</v>
      </c>
      <c r="EF64">
        <v>0</v>
      </c>
      <c r="EG64">
        <v>2.45813</v>
      </c>
      <c r="EH64">
        <v>0</v>
      </c>
      <c r="EI64">
        <v>15577.65</v>
      </c>
      <c r="EJ64">
        <v>12533.26</v>
      </c>
      <c r="EK64">
        <v>36.437</v>
      </c>
      <c r="EL64">
        <v>38</v>
      </c>
      <c r="EM64">
        <v>36.875</v>
      </c>
      <c r="EN64">
        <v>37.375</v>
      </c>
      <c r="EO64">
        <v>36.312</v>
      </c>
      <c r="EP64">
        <v>1459.493</v>
      </c>
      <c r="EQ64">
        <v>40.49</v>
      </c>
      <c r="ER64">
        <v>0</v>
      </c>
      <c r="ES64">
        <v>1651772235.2</v>
      </c>
      <c r="ET64">
        <v>0</v>
      </c>
      <c r="EU64">
        <v>2.363576</v>
      </c>
      <c r="EV64">
        <v>1.408592308631305</v>
      </c>
      <c r="EW64">
        <v>-16.50000008868888</v>
      </c>
      <c r="EX64">
        <v>15578.984</v>
      </c>
      <c r="EY64">
        <v>15</v>
      </c>
      <c r="EZ64">
        <v>0</v>
      </c>
      <c r="FA64" t="s">
        <v>420</v>
      </c>
      <c r="FB64">
        <v>1651697511.6</v>
      </c>
      <c r="FC64">
        <v>1651697666.1</v>
      </c>
      <c r="FD64">
        <v>0</v>
      </c>
      <c r="FE64">
        <v>-0.019</v>
      </c>
      <c r="FF64">
        <v>0.013</v>
      </c>
      <c r="FG64">
        <v>-2.121</v>
      </c>
      <c r="FH64">
        <v>0.041</v>
      </c>
      <c r="FI64">
        <v>420</v>
      </c>
      <c r="FJ64">
        <v>22</v>
      </c>
      <c r="FK64">
        <v>1.72</v>
      </c>
      <c r="FL64">
        <v>0.27</v>
      </c>
      <c r="FM64">
        <v>-59.15926</v>
      </c>
      <c r="FN64">
        <v>-6.118658161350782</v>
      </c>
      <c r="FO64">
        <v>0.5901658469447377</v>
      </c>
      <c r="FP64">
        <v>0</v>
      </c>
      <c r="FQ64">
        <v>5.70440375</v>
      </c>
      <c r="FR64">
        <v>0.2266413883677193</v>
      </c>
      <c r="FS64">
        <v>0.02182585916836952</v>
      </c>
      <c r="FT64">
        <v>1</v>
      </c>
      <c r="FU64">
        <v>0</v>
      </c>
      <c r="FV64">
        <v>0</v>
      </c>
      <c r="FW64">
        <v>0</v>
      </c>
      <c r="FX64">
        <v>1</v>
      </c>
      <c r="FY64">
        <v>2</v>
      </c>
      <c r="FZ64">
        <v>3</v>
      </c>
      <c r="GA64" t="s">
        <v>421</v>
      </c>
      <c r="GB64">
        <v>2.98154</v>
      </c>
      <c r="GC64">
        <v>2.70623</v>
      </c>
      <c r="GD64">
        <v>0.136335</v>
      </c>
      <c r="GE64">
        <v>0.142414</v>
      </c>
      <c r="GF64">
        <v>0.114965</v>
      </c>
      <c r="GG64">
        <v>0.095898</v>
      </c>
      <c r="GH64">
        <v>27316.1</v>
      </c>
      <c r="GI64">
        <v>27179</v>
      </c>
      <c r="GJ64">
        <v>29404</v>
      </c>
      <c r="GK64">
        <v>29315</v>
      </c>
      <c r="GL64">
        <v>34449</v>
      </c>
      <c r="GM64">
        <v>35284.8</v>
      </c>
      <c r="GN64">
        <v>41393.2</v>
      </c>
      <c r="GO64">
        <v>41837.2</v>
      </c>
      <c r="GP64">
        <v>1.96303</v>
      </c>
      <c r="GQ64">
        <v>1.8619</v>
      </c>
      <c r="GR64">
        <v>0.0703149</v>
      </c>
      <c r="GS64">
        <v>0</v>
      </c>
      <c r="GT64">
        <v>27.4144</v>
      </c>
      <c r="GU64">
        <v>999.9</v>
      </c>
      <c r="GV64">
        <v>44.9</v>
      </c>
      <c r="GW64">
        <v>35</v>
      </c>
      <c r="GX64">
        <v>28.0835</v>
      </c>
      <c r="GY64">
        <v>62.8608</v>
      </c>
      <c r="GZ64">
        <v>36.1899</v>
      </c>
      <c r="HA64">
        <v>1</v>
      </c>
      <c r="HB64">
        <v>0.0376448</v>
      </c>
      <c r="HC64">
        <v>0</v>
      </c>
      <c r="HD64">
        <v>20.3466</v>
      </c>
      <c r="HE64">
        <v>5.21774</v>
      </c>
      <c r="HF64">
        <v>12.0092</v>
      </c>
      <c r="HG64">
        <v>4.9891</v>
      </c>
      <c r="HH64">
        <v>3.28865</v>
      </c>
      <c r="HI64">
        <v>494</v>
      </c>
      <c r="HJ64">
        <v>3629.3</v>
      </c>
      <c r="HK64">
        <v>4564.3</v>
      </c>
      <c r="HL64">
        <v>17.8</v>
      </c>
      <c r="HM64">
        <v>1.86768</v>
      </c>
      <c r="HN64">
        <v>1.86661</v>
      </c>
      <c r="HO64">
        <v>1.86617</v>
      </c>
      <c r="HP64">
        <v>1.86608</v>
      </c>
      <c r="HQ64">
        <v>1.86785</v>
      </c>
      <c r="HR64">
        <v>1.87039</v>
      </c>
      <c r="HS64">
        <v>1.86905</v>
      </c>
      <c r="HT64">
        <v>1.87042</v>
      </c>
      <c r="HU64">
        <v>0</v>
      </c>
      <c r="HV64">
        <v>0</v>
      </c>
      <c r="HW64">
        <v>0</v>
      </c>
      <c r="HX64">
        <v>0</v>
      </c>
      <c r="HY64" t="s">
        <v>422</v>
      </c>
      <c r="HZ64" t="s">
        <v>423</v>
      </c>
      <c r="IA64" t="s">
        <v>424</v>
      </c>
      <c r="IB64" t="s">
        <v>424</v>
      </c>
      <c r="IC64" t="s">
        <v>424</v>
      </c>
      <c r="ID64" t="s">
        <v>424</v>
      </c>
      <c r="IE64">
        <v>0</v>
      </c>
      <c r="IF64">
        <v>100</v>
      </c>
      <c r="IG64">
        <v>100</v>
      </c>
      <c r="IH64">
        <v>-2.244</v>
      </c>
      <c r="II64">
        <v>0.1301</v>
      </c>
      <c r="IJ64">
        <v>-1.064712027753117</v>
      </c>
      <c r="IK64">
        <v>-0.001826611574738555</v>
      </c>
      <c r="IL64">
        <v>3.313362389709971E-07</v>
      </c>
      <c r="IM64">
        <v>-1.629490614973607E-10</v>
      </c>
      <c r="IN64">
        <v>-0.09531406441470595</v>
      </c>
      <c r="IO64">
        <v>-0.008240702679890409</v>
      </c>
      <c r="IP64">
        <v>0.001077697425498046</v>
      </c>
      <c r="IQ64">
        <v>-1.69598232850356E-05</v>
      </c>
      <c r="IR64">
        <v>3</v>
      </c>
      <c r="IS64">
        <v>2280</v>
      </c>
      <c r="IT64">
        <v>1</v>
      </c>
      <c r="IU64">
        <v>25</v>
      </c>
      <c r="IV64">
        <v>1245.4</v>
      </c>
      <c r="IW64">
        <v>1242.8</v>
      </c>
      <c r="IX64">
        <v>1.70898</v>
      </c>
      <c r="IY64">
        <v>2.2168</v>
      </c>
      <c r="IZ64">
        <v>1.39648</v>
      </c>
      <c r="JA64">
        <v>2.35352</v>
      </c>
      <c r="JB64">
        <v>1.49536</v>
      </c>
      <c r="JC64">
        <v>2.29614</v>
      </c>
      <c r="JD64">
        <v>38.7717</v>
      </c>
      <c r="JE64">
        <v>24.0525</v>
      </c>
      <c r="JF64">
        <v>18</v>
      </c>
      <c r="JG64">
        <v>509.02</v>
      </c>
      <c r="JH64">
        <v>429.907</v>
      </c>
      <c r="JI64">
        <v>28.2323</v>
      </c>
      <c r="JJ64">
        <v>27.9046</v>
      </c>
      <c r="JK64">
        <v>30.0003</v>
      </c>
      <c r="JL64">
        <v>27.8162</v>
      </c>
      <c r="JM64">
        <v>27.7503</v>
      </c>
      <c r="JN64">
        <v>34.2422</v>
      </c>
      <c r="JO64">
        <v>29.26</v>
      </c>
      <c r="JP64">
        <v>0</v>
      </c>
      <c r="JQ64">
        <v>-999.9</v>
      </c>
      <c r="JR64">
        <v>781.145</v>
      </c>
      <c r="JS64">
        <v>20.9895</v>
      </c>
      <c r="JT64">
        <v>100.517</v>
      </c>
      <c r="JU64">
        <v>100.417</v>
      </c>
    </row>
    <row r="65" spans="1:281">
      <c r="A65">
        <v>49</v>
      </c>
      <c r="B65">
        <v>1651772239</v>
      </c>
      <c r="C65">
        <v>361.4000000953674</v>
      </c>
      <c r="D65" t="s">
        <v>520</v>
      </c>
      <c r="E65" t="s">
        <v>521</v>
      </c>
      <c r="F65">
        <v>5</v>
      </c>
      <c r="H65" t="s">
        <v>417</v>
      </c>
      <c r="I65">
        <v>1651772236.5</v>
      </c>
      <c r="J65">
        <f>(K65)/1000</f>
        <v>0</v>
      </c>
      <c r="K65">
        <f>IF(CZ65, AN65, AH65)</f>
        <v>0</v>
      </c>
      <c r="L65">
        <f>IF(CZ65, AI65, AG65)</f>
        <v>0</v>
      </c>
      <c r="M65">
        <f>DB65 - IF(AU65&gt;1, L65*CV65*100.0/(AW65*DP65), 0)</f>
        <v>0</v>
      </c>
      <c r="N65">
        <f>((T65-J65/2)*M65-L65)/(T65+J65/2)</f>
        <v>0</v>
      </c>
      <c r="O65">
        <f>N65*(DI65+DJ65)/1000.0</f>
        <v>0</v>
      </c>
      <c r="P65">
        <f>(DB65 - IF(AU65&gt;1, L65*CV65*100.0/(AW65*DP65), 0))*(DI65+DJ65)/1000.0</f>
        <v>0</v>
      </c>
      <c r="Q65">
        <f>2.0/((1/S65-1/R65)+SIGN(S65)*SQRT((1/S65-1/R65)*(1/S65-1/R65) + 4*CW65/((CW65+1)*(CW65+1))*(2*1/S65*1/R65-1/R65*1/R65)))</f>
        <v>0</v>
      </c>
      <c r="R65">
        <f>IF(LEFT(CX65,1)&lt;&gt;"0",IF(LEFT(CX65,1)="1",3.0,CY65),$D$5+$E$5*(DP65*DI65/($K$5*1000))+$F$5*(DP65*DI65/($K$5*1000))*MAX(MIN(CV65,$J$5),$I$5)*MAX(MIN(CV65,$J$5),$I$5)+$G$5*MAX(MIN(CV65,$J$5),$I$5)*(DP65*DI65/($K$5*1000))+$H$5*(DP65*DI65/($K$5*1000))*(DP65*DI65/($K$5*1000)))</f>
        <v>0</v>
      </c>
      <c r="S65">
        <f>J65*(1000-(1000*0.61365*exp(17.502*W65/(240.97+W65))/(DI65+DJ65)+DD65)/2)/(1000*0.61365*exp(17.502*W65/(240.97+W65))/(DI65+DJ65)-DD65)</f>
        <v>0</v>
      </c>
      <c r="T65">
        <f>1/((CW65+1)/(Q65/1.6)+1/(R65/1.37)) + CW65/((CW65+1)/(Q65/1.6) + CW65/(R65/1.37))</f>
        <v>0</v>
      </c>
      <c r="U65">
        <f>(CR65*CU65)</f>
        <v>0</v>
      </c>
      <c r="V65">
        <f>(DK65+(U65+2*0.95*5.67E-8*(((DK65+$B$7)+273)^4-(DK65+273)^4)-44100*J65)/(1.84*29.3*R65+8*0.95*5.67E-8*(DK65+273)^3))</f>
        <v>0</v>
      </c>
      <c r="W65">
        <f>($C$7*DL65+$D$7*DM65+$E$7*V65)</f>
        <v>0</v>
      </c>
      <c r="X65">
        <f>0.61365*exp(17.502*W65/(240.97+W65))</f>
        <v>0</v>
      </c>
      <c r="Y65">
        <f>(Z65/AA65*100)</f>
        <v>0</v>
      </c>
      <c r="Z65">
        <f>DD65*(DI65+DJ65)/1000</f>
        <v>0</v>
      </c>
      <c r="AA65">
        <f>0.61365*exp(17.502*DK65/(240.97+DK65))</f>
        <v>0</v>
      </c>
      <c r="AB65">
        <f>(X65-DD65*(DI65+DJ65)/1000)</f>
        <v>0</v>
      </c>
      <c r="AC65">
        <f>(-J65*44100)</f>
        <v>0</v>
      </c>
      <c r="AD65">
        <f>2*29.3*R65*0.92*(DK65-W65)</f>
        <v>0</v>
      </c>
      <c r="AE65">
        <f>2*0.95*5.67E-8*(((DK65+$B$7)+273)^4-(W65+273)^4)</f>
        <v>0</v>
      </c>
      <c r="AF65">
        <f>U65+AE65+AC65+AD65</f>
        <v>0</v>
      </c>
      <c r="AG65">
        <f>DH65*AU65*(DC65-DB65*(1000-AU65*DE65)/(1000-AU65*DD65))/(100*CV65)</f>
        <v>0</v>
      </c>
      <c r="AH65">
        <f>1000*DH65*AU65*(DD65-DE65)/(100*CV65*(1000-AU65*DD65))</f>
        <v>0</v>
      </c>
      <c r="AI65">
        <f>(AJ65 - AK65 - DI65*1E3/(8.314*(DK65+273.15)) * AM65/DH65 * AL65) * DH65/(100*CV65) * (1000 - DE65)/1000</f>
        <v>0</v>
      </c>
      <c r="AJ65">
        <v>786.3812026232592</v>
      </c>
      <c r="AK65">
        <v>736.4358242424242</v>
      </c>
      <c r="AL65">
        <v>3.387090486205508</v>
      </c>
      <c r="AM65">
        <v>66.72507702095443</v>
      </c>
      <c r="AN65">
        <f>(AP65 - AO65 + DI65*1E3/(8.314*(DK65+273.15)) * AR65/DH65 * AQ65) * DH65/(100*CV65) * 1000/(1000 - AP65)</f>
        <v>0</v>
      </c>
      <c r="AO65">
        <v>21.07896499153074</v>
      </c>
      <c r="AP65">
        <v>26.83662484848484</v>
      </c>
      <c r="AQ65">
        <v>4.10325153855229E-05</v>
      </c>
      <c r="AR65">
        <v>78.22078291278521</v>
      </c>
      <c r="AS65">
        <v>1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MAX(0,($B$13+$C$13*DP65)/(1+$D$13*DP65)*DI65/(DK65+273)*$E$13)</f>
        <v>0</v>
      </c>
      <c r="AX65" t="s">
        <v>418</v>
      </c>
      <c r="AY65" t="s">
        <v>418</v>
      </c>
      <c r="AZ65">
        <v>0</v>
      </c>
      <c r="BA65">
        <v>0</v>
      </c>
      <c r="BB65">
        <f>1-AZ65/BA65</f>
        <v>0</v>
      </c>
      <c r="BC65">
        <v>0</v>
      </c>
      <c r="BD65" t="s">
        <v>418</v>
      </c>
      <c r="BE65" t="s">
        <v>418</v>
      </c>
      <c r="BF65">
        <v>0</v>
      </c>
      <c r="BG65">
        <v>0</v>
      </c>
      <c r="BH65">
        <f>1-BF65/BG65</f>
        <v>0</v>
      </c>
      <c r="BI65">
        <v>0.5</v>
      </c>
      <c r="BJ65">
        <f>CS65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418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f>$B$11*DQ65+$C$11*DR65+$F$11*EC65*(1-EF65)</f>
        <v>0</v>
      </c>
      <c r="CS65">
        <f>CR65*CT65</f>
        <v>0</v>
      </c>
      <c r="CT65">
        <f>($B$11*$D$9+$C$11*$D$9+$F$11*((EP65+EH65)/MAX(EP65+EH65+EQ65, 0.1)*$I$9+EQ65/MAX(EP65+EH65+EQ65, 0.1)*$J$9))/($B$11+$C$11+$F$11)</f>
        <v>0</v>
      </c>
      <c r="CU65">
        <f>($B$11*$K$9+$C$11*$K$9+$F$11*((EP65+EH65)/MAX(EP65+EH65+EQ65, 0.1)*$P$9+EQ65/MAX(EP65+EH65+EQ65, 0.1)*$Q$9))/($B$11+$C$11+$F$11)</f>
        <v>0</v>
      </c>
      <c r="CV65">
        <v>6</v>
      </c>
      <c r="CW65">
        <v>0.5</v>
      </c>
      <c r="CX65" t="s">
        <v>419</v>
      </c>
      <c r="CY65">
        <v>2</v>
      </c>
      <c r="CZ65" t="b">
        <v>1</v>
      </c>
      <c r="DA65">
        <v>1651772236.5</v>
      </c>
      <c r="DB65">
        <v>710.087</v>
      </c>
      <c r="DC65">
        <v>770.685111111111</v>
      </c>
      <c r="DD65">
        <v>26.83067777777778</v>
      </c>
      <c r="DE65">
        <v>21.06769999999999</v>
      </c>
      <c r="DF65">
        <v>712.3437777777776</v>
      </c>
      <c r="DG65">
        <v>26.70055555555555</v>
      </c>
      <c r="DH65">
        <v>500.0465555555555</v>
      </c>
      <c r="DI65">
        <v>90.30282222222222</v>
      </c>
      <c r="DJ65">
        <v>0.1000400777777778</v>
      </c>
      <c r="DK65">
        <v>29.24234444444444</v>
      </c>
      <c r="DL65">
        <v>28.57031111111111</v>
      </c>
      <c r="DM65">
        <v>999.9000000000001</v>
      </c>
      <c r="DN65">
        <v>0</v>
      </c>
      <c r="DO65">
        <v>0</v>
      </c>
      <c r="DP65">
        <v>9992.488888888889</v>
      </c>
      <c r="DQ65">
        <v>0</v>
      </c>
      <c r="DR65">
        <v>13.19626666666667</v>
      </c>
      <c r="DS65">
        <v>-60.59806666666667</v>
      </c>
      <c r="DT65">
        <v>729.6643333333333</v>
      </c>
      <c r="DU65">
        <v>787.2708888888889</v>
      </c>
      <c r="DV65">
        <v>5.762981111111111</v>
      </c>
      <c r="DW65">
        <v>770.685111111111</v>
      </c>
      <c r="DX65">
        <v>21.06769999999999</v>
      </c>
      <c r="DY65">
        <v>2.422885555555556</v>
      </c>
      <c r="DZ65">
        <v>1.902472222222222</v>
      </c>
      <c r="EA65">
        <v>20.51754444444444</v>
      </c>
      <c r="EB65">
        <v>16.65517777777778</v>
      </c>
      <c r="EC65">
        <v>1500.003333333333</v>
      </c>
      <c r="ED65">
        <v>0.9730084444444445</v>
      </c>
      <c r="EE65">
        <v>0.0269911</v>
      </c>
      <c r="EF65">
        <v>0</v>
      </c>
      <c r="EG65">
        <v>2.324833333333333</v>
      </c>
      <c r="EH65">
        <v>0</v>
      </c>
      <c r="EI65">
        <v>15568.83333333333</v>
      </c>
      <c r="EJ65">
        <v>12533.47777777778</v>
      </c>
      <c r="EK65">
        <v>36.444</v>
      </c>
      <c r="EL65">
        <v>38</v>
      </c>
      <c r="EM65">
        <v>36.875</v>
      </c>
      <c r="EN65">
        <v>37.375</v>
      </c>
      <c r="EO65">
        <v>36.312</v>
      </c>
      <c r="EP65">
        <v>1459.513333333333</v>
      </c>
      <c r="EQ65">
        <v>40.49</v>
      </c>
      <c r="ER65">
        <v>0</v>
      </c>
      <c r="ES65">
        <v>1651772240</v>
      </c>
      <c r="ET65">
        <v>0</v>
      </c>
      <c r="EU65">
        <v>2.419484</v>
      </c>
      <c r="EV65">
        <v>-0.4465384551062447</v>
      </c>
      <c r="EW65">
        <v>-78.24615376417695</v>
      </c>
      <c r="EX65">
        <v>15575.424</v>
      </c>
      <c r="EY65">
        <v>15</v>
      </c>
      <c r="EZ65">
        <v>0</v>
      </c>
      <c r="FA65" t="s">
        <v>420</v>
      </c>
      <c r="FB65">
        <v>1651697511.6</v>
      </c>
      <c r="FC65">
        <v>1651697666.1</v>
      </c>
      <c r="FD65">
        <v>0</v>
      </c>
      <c r="FE65">
        <v>-0.019</v>
      </c>
      <c r="FF65">
        <v>0.013</v>
      </c>
      <c r="FG65">
        <v>-2.121</v>
      </c>
      <c r="FH65">
        <v>0.041</v>
      </c>
      <c r="FI65">
        <v>420</v>
      </c>
      <c r="FJ65">
        <v>22</v>
      </c>
      <c r="FK65">
        <v>1.72</v>
      </c>
      <c r="FL65">
        <v>0.27</v>
      </c>
      <c r="FM65">
        <v>-59.70599024390244</v>
      </c>
      <c r="FN65">
        <v>-6.369194425087268</v>
      </c>
      <c r="FO65">
        <v>0.6295752276113566</v>
      </c>
      <c r="FP65">
        <v>0</v>
      </c>
      <c r="FQ65">
        <v>5.724875609756097</v>
      </c>
      <c r="FR65">
        <v>0.2394361672473816</v>
      </c>
      <c r="FS65">
        <v>0.02390520843836871</v>
      </c>
      <c r="FT65">
        <v>1</v>
      </c>
      <c r="FU65">
        <v>0</v>
      </c>
      <c r="FV65">
        <v>0</v>
      </c>
      <c r="FW65">
        <v>0</v>
      </c>
      <c r="FX65">
        <v>1</v>
      </c>
      <c r="FY65">
        <v>2</v>
      </c>
      <c r="FZ65">
        <v>3</v>
      </c>
      <c r="GA65" t="s">
        <v>421</v>
      </c>
      <c r="GB65">
        <v>2.98149</v>
      </c>
      <c r="GC65">
        <v>2.70612</v>
      </c>
      <c r="GD65">
        <v>0.138499</v>
      </c>
      <c r="GE65">
        <v>0.14452</v>
      </c>
      <c r="GF65">
        <v>0.114997</v>
      </c>
      <c r="GG65">
        <v>0.0957229</v>
      </c>
      <c r="GH65">
        <v>27247.2</v>
      </c>
      <c r="GI65">
        <v>27112.1</v>
      </c>
      <c r="GJ65">
        <v>29403.4</v>
      </c>
      <c r="GK65">
        <v>29314.8</v>
      </c>
      <c r="GL65">
        <v>34447</v>
      </c>
      <c r="GM65">
        <v>35291.5</v>
      </c>
      <c r="GN65">
        <v>41392.2</v>
      </c>
      <c r="GO65">
        <v>41836.9</v>
      </c>
      <c r="GP65">
        <v>1.96318</v>
      </c>
      <c r="GQ65">
        <v>1.862</v>
      </c>
      <c r="GR65">
        <v>0.0704452</v>
      </c>
      <c r="GS65">
        <v>0</v>
      </c>
      <c r="GT65">
        <v>27.4191</v>
      </c>
      <c r="GU65">
        <v>999.9</v>
      </c>
      <c r="GV65">
        <v>44.8</v>
      </c>
      <c r="GW65">
        <v>35</v>
      </c>
      <c r="GX65">
        <v>28.0228</v>
      </c>
      <c r="GY65">
        <v>62.9608</v>
      </c>
      <c r="GZ65">
        <v>36.4543</v>
      </c>
      <c r="HA65">
        <v>1</v>
      </c>
      <c r="HB65">
        <v>0.0379929</v>
      </c>
      <c r="HC65">
        <v>0</v>
      </c>
      <c r="HD65">
        <v>20.3464</v>
      </c>
      <c r="HE65">
        <v>5.21729</v>
      </c>
      <c r="HF65">
        <v>12.0085</v>
      </c>
      <c r="HG65">
        <v>4.9892</v>
      </c>
      <c r="HH65">
        <v>3.2885</v>
      </c>
      <c r="HI65">
        <v>494</v>
      </c>
      <c r="HJ65">
        <v>3629.3</v>
      </c>
      <c r="HK65">
        <v>4564.3</v>
      </c>
      <c r="HL65">
        <v>17.8</v>
      </c>
      <c r="HM65">
        <v>1.86768</v>
      </c>
      <c r="HN65">
        <v>1.86662</v>
      </c>
      <c r="HO65">
        <v>1.86615</v>
      </c>
      <c r="HP65">
        <v>1.86608</v>
      </c>
      <c r="HQ65">
        <v>1.86787</v>
      </c>
      <c r="HR65">
        <v>1.8704</v>
      </c>
      <c r="HS65">
        <v>1.86905</v>
      </c>
      <c r="HT65">
        <v>1.87042</v>
      </c>
      <c r="HU65">
        <v>0</v>
      </c>
      <c r="HV65">
        <v>0</v>
      </c>
      <c r="HW65">
        <v>0</v>
      </c>
      <c r="HX65">
        <v>0</v>
      </c>
      <c r="HY65" t="s">
        <v>422</v>
      </c>
      <c r="HZ65" t="s">
        <v>423</v>
      </c>
      <c r="IA65" t="s">
        <v>424</v>
      </c>
      <c r="IB65" t="s">
        <v>424</v>
      </c>
      <c r="IC65" t="s">
        <v>424</v>
      </c>
      <c r="ID65" t="s">
        <v>424</v>
      </c>
      <c r="IE65">
        <v>0</v>
      </c>
      <c r="IF65">
        <v>100</v>
      </c>
      <c r="IG65">
        <v>100</v>
      </c>
      <c r="IH65">
        <v>-2.269</v>
      </c>
      <c r="II65">
        <v>0.1303</v>
      </c>
      <c r="IJ65">
        <v>-1.064712027753117</v>
      </c>
      <c r="IK65">
        <v>-0.001826611574738555</v>
      </c>
      <c r="IL65">
        <v>3.313362389709971E-07</v>
      </c>
      <c r="IM65">
        <v>-1.629490614973607E-10</v>
      </c>
      <c r="IN65">
        <v>-0.09531406441470595</v>
      </c>
      <c r="IO65">
        <v>-0.008240702679890409</v>
      </c>
      <c r="IP65">
        <v>0.001077697425498046</v>
      </c>
      <c r="IQ65">
        <v>-1.69598232850356E-05</v>
      </c>
      <c r="IR65">
        <v>3</v>
      </c>
      <c r="IS65">
        <v>2280</v>
      </c>
      <c r="IT65">
        <v>1</v>
      </c>
      <c r="IU65">
        <v>25</v>
      </c>
      <c r="IV65">
        <v>1245.5</v>
      </c>
      <c r="IW65">
        <v>1242.9</v>
      </c>
      <c r="IX65">
        <v>1.74194</v>
      </c>
      <c r="IY65">
        <v>2.2168</v>
      </c>
      <c r="IZ65">
        <v>1.39648</v>
      </c>
      <c r="JA65">
        <v>2.35352</v>
      </c>
      <c r="JB65">
        <v>1.49536</v>
      </c>
      <c r="JC65">
        <v>2.34985</v>
      </c>
      <c r="JD65">
        <v>38.7717</v>
      </c>
      <c r="JE65">
        <v>24.0612</v>
      </c>
      <c r="JF65">
        <v>18</v>
      </c>
      <c r="JG65">
        <v>509.135</v>
      </c>
      <c r="JH65">
        <v>429.981</v>
      </c>
      <c r="JI65">
        <v>28.2373</v>
      </c>
      <c r="JJ65">
        <v>27.9069</v>
      </c>
      <c r="JK65">
        <v>30.0004</v>
      </c>
      <c r="JL65">
        <v>27.8183</v>
      </c>
      <c r="JM65">
        <v>27.7522</v>
      </c>
      <c r="JN65">
        <v>34.8622</v>
      </c>
      <c r="JO65">
        <v>29.5392</v>
      </c>
      <c r="JP65">
        <v>0</v>
      </c>
      <c r="JQ65">
        <v>-999.9</v>
      </c>
      <c r="JR65">
        <v>801.265</v>
      </c>
      <c r="JS65">
        <v>20.9455</v>
      </c>
      <c r="JT65">
        <v>100.515</v>
      </c>
      <c r="JU65">
        <v>100.416</v>
      </c>
    </row>
    <row r="66" spans="1:281">
      <c r="A66">
        <v>50</v>
      </c>
      <c r="B66">
        <v>1651772244</v>
      </c>
      <c r="C66">
        <v>366.4000000953674</v>
      </c>
      <c r="D66" t="s">
        <v>522</v>
      </c>
      <c r="E66" t="s">
        <v>523</v>
      </c>
      <c r="F66">
        <v>5</v>
      </c>
      <c r="H66" t="s">
        <v>417</v>
      </c>
      <c r="I66">
        <v>1651772241.2</v>
      </c>
      <c r="J66">
        <f>(K66)/1000</f>
        <v>0</v>
      </c>
      <c r="K66">
        <f>IF(CZ66, AN66, AH66)</f>
        <v>0</v>
      </c>
      <c r="L66">
        <f>IF(CZ66, AI66, AG66)</f>
        <v>0</v>
      </c>
      <c r="M66">
        <f>DB66 - IF(AU66&gt;1, L66*CV66*100.0/(AW66*DP66), 0)</f>
        <v>0</v>
      </c>
      <c r="N66">
        <f>((T66-J66/2)*M66-L66)/(T66+J66/2)</f>
        <v>0</v>
      </c>
      <c r="O66">
        <f>N66*(DI66+DJ66)/1000.0</f>
        <v>0</v>
      </c>
      <c r="P66">
        <f>(DB66 - IF(AU66&gt;1, L66*CV66*100.0/(AW66*DP66), 0))*(DI66+DJ66)/1000.0</f>
        <v>0</v>
      </c>
      <c r="Q66">
        <f>2.0/((1/S66-1/R66)+SIGN(S66)*SQRT((1/S66-1/R66)*(1/S66-1/R66) + 4*CW66/((CW66+1)*(CW66+1))*(2*1/S66*1/R66-1/R66*1/R66)))</f>
        <v>0</v>
      </c>
      <c r="R66">
        <f>IF(LEFT(CX66,1)&lt;&gt;"0",IF(LEFT(CX66,1)="1",3.0,CY66),$D$5+$E$5*(DP66*DI66/($K$5*1000))+$F$5*(DP66*DI66/($K$5*1000))*MAX(MIN(CV66,$J$5),$I$5)*MAX(MIN(CV66,$J$5),$I$5)+$G$5*MAX(MIN(CV66,$J$5),$I$5)*(DP66*DI66/($K$5*1000))+$H$5*(DP66*DI66/($K$5*1000))*(DP66*DI66/($K$5*1000)))</f>
        <v>0</v>
      </c>
      <c r="S66">
        <f>J66*(1000-(1000*0.61365*exp(17.502*W66/(240.97+W66))/(DI66+DJ66)+DD66)/2)/(1000*0.61365*exp(17.502*W66/(240.97+W66))/(DI66+DJ66)-DD66)</f>
        <v>0</v>
      </c>
      <c r="T66">
        <f>1/((CW66+1)/(Q66/1.6)+1/(R66/1.37)) + CW66/((CW66+1)/(Q66/1.6) + CW66/(R66/1.37))</f>
        <v>0</v>
      </c>
      <c r="U66">
        <f>(CR66*CU66)</f>
        <v>0</v>
      </c>
      <c r="V66">
        <f>(DK66+(U66+2*0.95*5.67E-8*(((DK66+$B$7)+273)^4-(DK66+273)^4)-44100*J66)/(1.84*29.3*R66+8*0.95*5.67E-8*(DK66+273)^3))</f>
        <v>0</v>
      </c>
      <c r="W66">
        <f>($C$7*DL66+$D$7*DM66+$E$7*V66)</f>
        <v>0</v>
      </c>
      <c r="X66">
        <f>0.61365*exp(17.502*W66/(240.97+W66))</f>
        <v>0</v>
      </c>
      <c r="Y66">
        <f>(Z66/AA66*100)</f>
        <v>0</v>
      </c>
      <c r="Z66">
        <f>DD66*(DI66+DJ66)/1000</f>
        <v>0</v>
      </c>
      <c r="AA66">
        <f>0.61365*exp(17.502*DK66/(240.97+DK66))</f>
        <v>0</v>
      </c>
      <c r="AB66">
        <f>(X66-DD66*(DI66+DJ66)/1000)</f>
        <v>0</v>
      </c>
      <c r="AC66">
        <f>(-J66*44100)</f>
        <v>0</v>
      </c>
      <c r="AD66">
        <f>2*29.3*R66*0.92*(DK66-W66)</f>
        <v>0</v>
      </c>
      <c r="AE66">
        <f>2*0.95*5.67E-8*(((DK66+$B$7)+273)^4-(W66+273)^4)</f>
        <v>0</v>
      </c>
      <c r="AF66">
        <f>U66+AE66+AC66+AD66</f>
        <v>0</v>
      </c>
      <c r="AG66">
        <f>DH66*AU66*(DC66-DB66*(1000-AU66*DE66)/(1000-AU66*DD66))/(100*CV66)</f>
        <v>0</v>
      </c>
      <c r="AH66">
        <f>1000*DH66*AU66*(DD66-DE66)/(100*CV66*(1000-AU66*DD66))</f>
        <v>0</v>
      </c>
      <c r="AI66">
        <f>(AJ66 - AK66 - DI66*1E3/(8.314*(DK66+273.15)) * AM66/DH66 * AL66) * DH66/(100*CV66) * (1000 - DE66)/1000</f>
        <v>0</v>
      </c>
      <c r="AJ66">
        <v>803.5721422917421</v>
      </c>
      <c r="AK66">
        <v>753.4413030303026</v>
      </c>
      <c r="AL66">
        <v>3.405999798758465</v>
      </c>
      <c r="AM66">
        <v>66.72507702095443</v>
      </c>
      <c r="AN66">
        <f>(AP66 - AO66 + DI66*1E3/(8.314*(DK66+273.15)) * AR66/DH66 * AQ66) * DH66/(100*CV66) * 1000/(1000 - AP66)</f>
        <v>0</v>
      </c>
      <c r="AO66">
        <v>20.97199714171277</v>
      </c>
      <c r="AP66">
        <v>26.81263696969696</v>
      </c>
      <c r="AQ66">
        <v>-9.125832608292996E-05</v>
      </c>
      <c r="AR66">
        <v>78.22078291278521</v>
      </c>
      <c r="AS66">
        <v>1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MAX(0,($B$13+$C$13*DP66)/(1+$D$13*DP66)*DI66/(DK66+273)*$E$13)</f>
        <v>0</v>
      </c>
      <c r="AX66" t="s">
        <v>418</v>
      </c>
      <c r="AY66" t="s">
        <v>418</v>
      </c>
      <c r="AZ66">
        <v>0</v>
      </c>
      <c r="BA66">
        <v>0</v>
      </c>
      <c r="BB66">
        <f>1-AZ66/BA66</f>
        <v>0</v>
      </c>
      <c r="BC66">
        <v>0</v>
      </c>
      <c r="BD66" t="s">
        <v>418</v>
      </c>
      <c r="BE66" t="s">
        <v>418</v>
      </c>
      <c r="BF66">
        <v>0</v>
      </c>
      <c r="BG66">
        <v>0</v>
      </c>
      <c r="BH66">
        <f>1-BF66/BG66</f>
        <v>0</v>
      </c>
      <c r="BI66">
        <v>0.5</v>
      </c>
      <c r="BJ66">
        <f>CS66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418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f>$B$11*DQ66+$C$11*DR66+$F$11*EC66*(1-EF66)</f>
        <v>0</v>
      </c>
      <c r="CS66">
        <f>CR66*CT66</f>
        <v>0</v>
      </c>
      <c r="CT66">
        <f>($B$11*$D$9+$C$11*$D$9+$F$11*((EP66+EH66)/MAX(EP66+EH66+EQ66, 0.1)*$I$9+EQ66/MAX(EP66+EH66+EQ66, 0.1)*$J$9))/($B$11+$C$11+$F$11)</f>
        <v>0</v>
      </c>
      <c r="CU66">
        <f>($B$11*$K$9+$C$11*$K$9+$F$11*((EP66+EH66)/MAX(EP66+EH66+EQ66, 0.1)*$P$9+EQ66/MAX(EP66+EH66+EQ66, 0.1)*$Q$9))/($B$11+$C$11+$F$11)</f>
        <v>0</v>
      </c>
      <c r="CV66">
        <v>6</v>
      </c>
      <c r="CW66">
        <v>0.5</v>
      </c>
      <c r="CX66" t="s">
        <v>419</v>
      </c>
      <c r="CY66">
        <v>2</v>
      </c>
      <c r="CZ66" t="b">
        <v>1</v>
      </c>
      <c r="DA66">
        <v>1651772241.2</v>
      </c>
      <c r="DB66">
        <v>725.6068</v>
      </c>
      <c r="DC66">
        <v>786.5671</v>
      </c>
      <c r="DD66">
        <v>26.82827</v>
      </c>
      <c r="DE66">
        <v>20.97791</v>
      </c>
      <c r="DF66">
        <v>727.8886</v>
      </c>
      <c r="DG66">
        <v>26.69817</v>
      </c>
      <c r="DH66">
        <v>500.0298</v>
      </c>
      <c r="DI66">
        <v>90.30114</v>
      </c>
      <c r="DJ66">
        <v>0.09989774</v>
      </c>
      <c r="DK66">
        <v>29.2449</v>
      </c>
      <c r="DL66">
        <v>28.56736</v>
      </c>
      <c r="DM66">
        <v>999.9</v>
      </c>
      <c r="DN66">
        <v>0</v>
      </c>
      <c r="DO66">
        <v>0</v>
      </c>
      <c r="DP66">
        <v>10009.68</v>
      </c>
      <c r="DQ66">
        <v>0</v>
      </c>
      <c r="DR66">
        <v>13.20838</v>
      </c>
      <c r="DS66">
        <v>-60.96012</v>
      </c>
      <c r="DT66">
        <v>745.6102000000001</v>
      </c>
      <c r="DU66">
        <v>803.421</v>
      </c>
      <c r="DV66">
        <v>5.850361999999999</v>
      </c>
      <c r="DW66">
        <v>786.5671</v>
      </c>
      <c r="DX66">
        <v>20.97791</v>
      </c>
      <c r="DY66">
        <v>2.422623</v>
      </c>
      <c r="DZ66">
        <v>1.894331</v>
      </c>
      <c r="EA66">
        <v>20.51580000000001</v>
      </c>
      <c r="EB66">
        <v>16.58766</v>
      </c>
      <c r="EC66">
        <v>1500.008</v>
      </c>
      <c r="ED66">
        <v>0.9730079999999999</v>
      </c>
      <c r="EE66">
        <v>0.02699158</v>
      </c>
      <c r="EF66">
        <v>0</v>
      </c>
      <c r="EG66">
        <v>2.37347</v>
      </c>
      <c r="EH66">
        <v>0</v>
      </c>
      <c r="EI66">
        <v>15556.42</v>
      </c>
      <c r="EJ66">
        <v>12533.49</v>
      </c>
      <c r="EK66">
        <v>36.4433</v>
      </c>
      <c r="EL66">
        <v>38</v>
      </c>
      <c r="EM66">
        <v>36.875</v>
      </c>
      <c r="EN66">
        <v>37.375</v>
      </c>
      <c r="EO66">
        <v>36.312</v>
      </c>
      <c r="EP66">
        <v>1459.518</v>
      </c>
      <c r="EQ66">
        <v>40.49</v>
      </c>
      <c r="ER66">
        <v>0</v>
      </c>
      <c r="ES66">
        <v>1651772244.8</v>
      </c>
      <c r="ET66">
        <v>0</v>
      </c>
      <c r="EU66">
        <v>2.400392</v>
      </c>
      <c r="EV66">
        <v>-0.6991538550528292</v>
      </c>
      <c r="EW66">
        <v>-129.030769479086</v>
      </c>
      <c r="EX66">
        <v>15567.288</v>
      </c>
      <c r="EY66">
        <v>15</v>
      </c>
      <c r="EZ66">
        <v>0</v>
      </c>
      <c r="FA66" t="s">
        <v>420</v>
      </c>
      <c r="FB66">
        <v>1651697511.6</v>
      </c>
      <c r="FC66">
        <v>1651697666.1</v>
      </c>
      <c r="FD66">
        <v>0</v>
      </c>
      <c r="FE66">
        <v>-0.019</v>
      </c>
      <c r="FF66">
        <v>0.013</v>
      </c>
      <c r="FG66">
        <v>-2.121</v>
      </c>
      <c r="FH66">
        <v>0.041</v>
      </c>
      <c r="FI66">
        <v>420</v>
      </c>
      <c r="FJ66">
        <v>22</v>
      </c>
      <c r="FK66">
        <v>1.72</v>
      </c>
      <c r="FL66">
        <v>0.27</v>
      </c>
      <c r="FM66">
        <v>-60.20465609756097</v>
      </c>
      <c r="FN66">
        <v>-6.026941463414806</v>
      </c>
      <c r="FO66">
        <v>0.597858148625118</v>
      </c>
      <c r="FP66">
        <v>0</v>
      </c>
      <c r="FQ66">
        <v>5.761747804878049</v>
      </c>
      <c r="FR66">
        <v>0.4788275958188103</v>
      </c>
      <c r="FS66">
        <v>0.05168421391829589</v>
      </c>
      <c r="FT66">
        <v>1</v>
      </c>
      <c r="FU66">
        <v>0</v>
      </c>
      <c r="FV66">
        <v>0</v>
      </c>
      <c r="FW66">
        <v>0</v>
      </c>
      <c r="FX66">
        <v>1</v>
      </c>
      <c r="FY66">
        <v>2</v>
      </c>
      <c r="FZ66">
        <v>3</v>
      </c>
      <c r="GA66" t="s">
        <v>421</v>
      </c>
      <c r="GB66">
        <v>2.9815</v>
      </c>
      <c r="GC66">
        <v>2.70627</v>
      </c>
      <c r="GD66">
        <v>0.140652</v>
      </c>
      <c r="GE66">
        <v>0.146596</v>
      </c>
      <c r="GF66">
        <v>0.114918</v>
      </c>
      <c r="GG66">
        <v>0.09549489999999999</v>
      </c>
      <c r="GH66">
        <v>27178.6</v>
      </c>
      <c r="GI66">
        <v>27046.1</v>
      </c>
      <c r="GJ66">
        <v>29403</v>
      </c>
      <c r="GK66">
        <v>29314.7</v>
      </c>
      <c r="GL66">
        <v>34449.5</v>
      </c>
      <c r="GM66">
        <v>35300.3</v>
      </c>
      <c r="GN66">
        <v>41391.5</v>
      </c>
      <c r="GO66">
        <v>41836.6</v>
      </c>
      <c r="GP66">
        <v>1.96292</v>
      </c>
      <c r="GQ66">
        <v>1.86213</v>
      </c>
      <c r="GR66">
        <v>0.0702776</v>
      </c>
      <c r="GS66">
        <v>0</v>
      </c>
      <c r="GT66">
        <v>27.4243</v>
      </c>
      <c r="GU66">
        <v>999.9</v>
      </c>
      <c r="GV66">
        <v>44.8</v>
      </c>
      <c r="GW66">
        <v>35</v>
      </c>
      <c r="GX66">
        <v>28.022</v>
      </c>
      <c r="GY66">
        <v>63.0008</v>
      </c>
      <c r="GZ66">
        <v>36.4062</v>
      </c>
      <c r="HA66">
        <v>1</v>
      </c>
      <c r="HB66">
        <v>0.0380996</v>
      </c>
      <c r="HC66">
        <v>0</v>
      </c>
      <c r="HD66">
        <v>20.3463</v>
      </c>
      <c r="HE66">
        <v>5.21669</v>
      </c>
      <c r="HF66">
        <v>12.0083</v>
      </c>
      <c r="HG66">
        <v>4.98875</v>
      </c>
      <c r="HH66">
        <v>3.28845</v>
      </c>
      <c r="HI66">
        <v>494.2</v>
      </c>
      <c r="HJ66">
        <v>3630.8</v>
      </c>
      <c r="HK66">
        <v>4564.3</v>
      </c>
      <c r="HL66">
        <v>17.8</v>
      </c>
      <c r="HM66">
        <v>1.86768</v>
      </c>
      <c r="HN66">
        <v>1.86661</v>
      </c>
      <c r="HO66">
        <v>1.86615</v>
      </c>
      <c r="HP66">
        <v>1.86607</v>
      </c>
      <c r="HQ66">
        <v>1.86785</v>
      </c>
      <c r="HR66">
        <v>1.8704</v>
      </c>
      <c r="HS66">
        <v>1.86905</v>
      </c>
      <c r="HT66">
        <v>1.87042</v>
      </c>
      <c r="HU66">
        <v>0</v>
      </c>
      <c r="HV66">
        <v>0</v>
      </c>
      <c r="HW66">
        <v>0</v>
      </c>
      <c r="HX66">
        <v>0</v>
      </c>
      <c r="HY66" t="s">
        <v>422</v>
      </c>
      <c r="HZ66" t="s">
        <v>423</v>
      </c>
      <c r="IA66" t="s">
        <v>424</v>
      </c>
      <c r="IB66" t="s">
        <v>424</v>
      </c>
      <c r="IC66" t="s">
        <v>424</v>
      </c>
      <c r="ID66" t="s">
        <v>424</v>
      </c>
      <c r="IE66">
        <v>0</v>
      </c>
      <c r="IF66">
        <v>100</v>
      </c>
      <c r="IG66">
        <v>100</v>
      </c>
      <c r="IH66">
        <v>-2.296</v>
      </c>
      <c r="II66">
        <v>0.1298</v>
      </c>
      <c r="IJ66">
        <v>-1.064712027753117</v>
      </c>
      <c r="IK66">
        <v>-0.001826611574738555</v>
      </c>
      <c r="IL66">
        <v>3.313362389709971E-07</v>
      </c>
      <c r="IM66">
        <v>-1.629490614973607E-10</v>
      </c>
      <c r="IN66">
        <v>-0.09531406441470595</v>
      </c>
      <c r="IO66">
        <v>-0.008240702679890409</v>
      </c>
      <c r="IP66">
        <v>0.001077697425498046</v>
      </c>
      <c r="IQ66">
        <v>-1.69598232850356E-05</v>
      </c>
      <c r="IR66">
        <v>3</v>
      </c>
      <c r="IS66">
        <v>2280</v>
      </c>
      <c r="IT66">
        <v>1</v>
      </c>
      <c r="IU66">
        <v>25</v>
      </c>
      <c r="IV66">
        <v>1245.5</v>
      </c>
      <c r="IW66">
        <v>1243</v>
      </c>
      <c r="IX66">
        <v>1.7688</v>
      </c>
      <c r="IY66">
        <v>2.21436</v>
      </c>
      <c r="IZ66">
        <v>1.39648</v>
      </c>
      <c r="JA66">
        <v>2.35229</v>
      </c>
      <c r="JB66">
        <v>1.49536</v>
      </c>
      <c r="JC66">
        <v>2.34985</v>
      </c>
      <c r="JD66">
        <v>38.7717</v>
      </c>
      <c r="JE66">
        <v>24.0612</v>
      </c>
      <c r="JF66">
        <v>18</v>
      </c>
      <c r="JG66">
        <v>508.994</v>
      </c>
      <c r="JH66">
        <v>430.069</v>
      </c>
      <c r="JI66">
        <v>28.2425</v>
      </c>
      <c r="JJ66">
        <v>27.9093</v>
      </c>
      <c r="JK66">
        <v>30.0003</v>
      </c>
      <c r="JL66">
        <v>27.8206</v>
      </c>
      <c r="JM66">
        <v>27.754</v>
      </c>
      <c r="JN66">
        <v>35.418</v>
      </c>
      <c r="JO66">
        <v>29.5392</v>
      </c>
      <c r="JP66">
        <v>0</v>
      </c>
      <c r="JQ66">
        <v>-999.9</v>
      </c>
      <c r="JR66">
        <v>814.622</v>
      </c>
      <c r="JS66">
        <v>20.9476</v>
      </c>
      <c r="JT66">
        <v>100.513</v>
      </c>
      <c r="JU66">
        <v>100.415</v>
      </c>
    </row>
    <row r="67" spans="1:281">
      <c r="A67">
        <v>51</v>
      </c>
      <c r="B67">
        <v>1651772249</v>
      </c>
      <c r="C67">
        <v>371.4000000953674</v>
      </c>
      <c r="D67" t="s">
        <v>524</v>
      </c>
      <c r="E67" t="s">
        <v>525</v>
      </c>
      <c r="F67">
        <v>5</v>
      </c>
      <c r="H67" t="s">
        <v>417</v>
      </c>
      <c r="I67">
        <v>1651772246.5</v>
      </c>
      <c r="J67">
        <f>(K67)/1000</f>
        <v>0</v>
      </c>
      <c r="K67">
        <f>IF(CZ67, AN67, AH67)</f>
        <v>0</v>
      </c>
      <c r="L67">
        <f>IF(CZ67, AI67, AG67)</f>
        <v>0</v>
      </c>
      <c r="M67">
        <f>DB67 - IF(AU67&gt;1, L67*CV67*100.0/(AW67*DP67), 0)</f>
        <v>0</v>
      </c>
      <c r="N67">
        <f>((T67-J67/2)*M67-L67)/(T67+J67/2)</f>
        <v>0</v>
      </c>
      <c r="O67">
        <f>N67*(DI67+DJ67)/1000.0</f>
        <v>0</v>
      </c>
      <c r="P67">
        <f>(DB67 - IF(AU67&gt;1, L67*CV67*100.0/(AW67*DP67), 0))*(DI67+DJ67)/1000.0</f>
        <v>0</v>
      </c>
      <c r="Q67">
        <f>2.0/((1/S67-1/R67)+SIGN(S67)*SQRT((1/S67-1/R67)*(1/S67-1/R67) + 4*CW67/((CW67+1)*(CW67+1))*(2*1/S67*1/R67-1/R67*1/R67)))</f>
        <v>0</v>
      </c>
      <c r="R67">
        <f>IF(LEFT(CX67,1)&lt;&gt;"0",IF(LEFT(CX67,1)="1",3.0,CY67),$D$5+$E$5*(DP67*DI67/($K$5*1000))+$F$5*(DP67*DI67/($K$5*1000))*MAX(MIN(CV67,$J$5),$I$5)*MAX(MIN(CV67,$J$5),$I$5)+$G$5*MAX(MIN(CV67,$J$5),$I$5)*(DP67*DI67/($K$5*1000))+$H$5*(DP67*DI67/($K$5*1000))*(DP67*DI67/($K$5*1000)))</f>
        <v>0</v>
      </c>
      <c r="S67">
        <f>J67*(1000-(1000*0.61365*exp(17.502*W67/(240.97+W67))/(DI67+DJ67)+DD67)/2)/(1000*0.61365*exp(17.502*W67/(240.97+W67))/(DI67+DJ67)-DD67)</f>
        <v>0</v>
      </c>
      <c r="T67">
        <f>1/((CW67+1)/(Q67/1.6)+1/(R67/1.37)) + CW67/((CW67+1)/(Q67/1.6) + CW67/(R67/1.37))</f>
        <v>0</v>
      </c>
      <c r="U67">
        <f>(CR67*CU67)</f>
        <v>0</v>
      </c>
      <c r="V67">
        <f>(DK67+(U67+2*0.95*5.67E-8*(((DK67+$B$7)+273)^4-(DK67+273)^4)-44100*J67)/(1.84*29.3*R67+8*0.95*5.67E-8*(DK67+273)^3))</f>
        <v>0</v>
      </c>
      <c r="W67">
        <f>($C$7*DL67+$D$7*DM67+$E$7*V67)</f>
        <v>0</v>
      </c>
      <c r="X67">
        <f>0.61365*exp(17.502*W67/(240.97+W67))</f>
        <v>0</v>
      </c>
      <c r="Y67">
        <f>(Z67/AA67*100)</f>
        <v>0</v>
      </c>
      <c r="Z67">
        <f>DD67*(DI67+DJ67)/1000</f>
        <v>0</v>
      </c>
      <c r="AA67">
        <f>0.61365*exp(17.502*DK67/(240.97+DK67))</f>
        <v>0</v>
      </c>
      <c r="AB67">
        <f>(X67-DD67*(DI67+DJ67)/1000)</f>
        <v>0</v>
      </c>
      <c r="AC67">
        <f>(-J67*44100)</f>
        <v>0</v>
      </c>
      <c r="AD67">
        <f>2*29.3*R67*0.92*(DK67-W67)</f>
        <v>0</v>
      </c>
      <c r="AE67">
        <f>2*0.95*5.67E-8*(((DK67+$B$7)+273)^4-(W67+273)^4)</f>
        <v>0</v>
      </c>
      <c r="AF67">
        <f>U67+AE67+AC67+AD67</f>
        <v>0</v>
      </c>
      <c r="AG67">
        <f>DH67*AU67*(DC67-DB67*(1000-AU67*DE67)/(1000-AU67*DD67))/(100*CV67)</f>
        <v>0</v>
      </c>
      <c r="AH67">
        <f>1000*DH67*AU67*(DD67-DE67)/(100*CV67*(1000-AU67*DD67))</f>
        <v>0</v>
      </c>
      <c r="AI67">
        <f>(AJ67 - AK67 - DI67*1E3/(8.314*(DK67+273.15)) * AM67/DH67 * AL67) * DH67/(100*CV67) * (1000 - DE67)/1000</f>
        <v>0</v>
      </c>
      <c r="AJ67">
        <v>820.652736907905</v>
      </c>
      <c r="AK67">
        <v>770.3844606060605</v>
      </c>
      <c r="AL67">
        <v>3.398249159981394</v>
      </c>
      <c r="AM67">
        <v>66.72507702095443</v>
      </c>
      <c r="AN67">
        <f>(AP67 - AO67 + DI67*1E3/(8.314*(DK67+273.15)) * AR67/DH67 * AQ67) * DH67/(100*CV67) * 1000/(1000 - AP67)</f>
        <v>0</v>
      </c>
      <c r="AO67">
        <v>20.94970852857343</v>
      </c>
      <c r="AP67">
        <v>26.79977030303029</v>
      </c>
      <c r="AQ67">
        <v>-0.001412537797092447</v>
      </c>
      <c r="AR67">
        <v>78.22078291278521</v>
      </c>
      <c r="AS67">
        <v>1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MAX(0,($B$13+$C$13*DP67)/(1+$D$13*DP67)*DI67/(DK67+273)*$E$13)</f>
        <v>0</v>
      </c>
      <c r="AX67" t="s">
        <v>418</v>
      </c>
      <c r="AY67" t="s">
        <v>418</v>
      </c>
      <c r="AZ67">
        <v>0</v>
      </c>
      <c r="BA67">
        <v>0</v>
      </c>
      <c r="BB67">
        <f>1-AZ67/BA67</f>
        <v>0</v>
      </c>
      <c r="BC67">
        <v>0</v>
      </c>
      <c r="BD67" t="s">
        <v>418</v>
      </c>
      <c r="BE67" t="s">
        <v>418</v>
      </c>
      <c r="BF67">
        <v>0</v>
      </c>
      <c r="BG67">
        <v>0</v>
      </c>
      <c r="BH67">
        <f>1-BF67/BG67</f>
        <v>0</v>
      </c>
      <c r="BI67">
        <v>0.5</v>
      </c>
      <c r="BJ67">
        <f>CS67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418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f>$B$11*DQ67+$C$11*DR67+$F$11*EC67*(1-EF67)</f>
        <v>0</v>
      </c>
      <c r="CS67">
        <f>CR67*CT67</f>
        <v>0</v>
      </c>
      <c r="CT67">
        <f>($B$11*$D$9+$C$11*$D$9+$F$11*((EP67+EH67)/MAX(EP67+EH67+EQ67, 0.1)*$I$9+EQ67/MAX(EP67+EH67+EQ67, 0.1)*$J$9))/($B$11+$C$11+$F$11)</f>
        <v>0</v>
      </c>
      <c r="CU67">
        <f>($B$11*$K$9+$C$11*$K$9+$F$11*((EP67+EH67)/MAX(EP67+EH67+EQ67, 0.1)*$P$9+EQ67/MAX(EP67+EH67+EQ67, 0.1)*$Q$9))/($B$11+$C$11+$F$11)</f>
        <v>0</v>
      </c>
      <c r="CV67">
        <v>6</v>
      </c>
      <c r="CW67">
        <v>0.5</v>
      </c>
      <c r="CX67" t="s">
        <v>419</v>
      </c>
      <c r="CY67">
        <v>2</v>
      </c>
      <c r="CZ67" t="b">
        <v>1</v>
      </c>
      <c r="DA67">
        <v>1651772246.5</v>
      </c>
      <c r="DB67">
        <v>743.1152222222222</v>
      </c>
      <c r="DC67">
        <v>804.3286666666668</v>
      </c>
      <c r="DD67">
        <v>26.80347777777778</v>
      </c>
      <c r="DE67">
        <v>20.94953333333333</v>
      </c>
      <c r="DF67">
        <v>745.425</v>
      </c>
      <c r="DG67">
        <v>26.67368888888889</v>
      </c>
      <c r="DH67">
        <v>500.061</v>
      </c>
      <c r="DI67">
        <v>90.30348888888888</v>
      </c>
      <c r="DJ67">
        <v>0.1000998555555556</v>
      </c>
      <c r="DK67">
        <v>29.24833333333333</v>
      </c>
      <c r="DL67">
        <v>28.57318888888889</v>
      </c>
      <c r="DM67">
        <v>999.9000000000001</v>
      </c>
      <c r="DN67">
        <v>0</v>
      </c>
      <c r="DO67">
        <v>0</v>
      </c>
      <c r="DP67">
        <v>9994.506666666666</v>
      </c>
      <c r="DQ67">
        <v>0</v>
      </c>
      <c r="DR67">
        <v>13.22625555555556</v>
      </c>
      <c r="DS67">
        <v>-61.21349999999999</v>
      </c>
      <c r="DT67">
        <v>763.5817777777778</v>
      </c>
      <c r="DU67">
        <v>821.5395555555556</v>
      </c>
      <c r="DV67">
        <v>5.853945555555555</v>
      </c>
      <c r="DW67">
        <v>804.3286666666668</v>
      </c>
      <c r="DX67">
        <v>20.94953333333333</v>
      </c>
      <c r="DY67">
        <v>2.420447777777778</v>
      </c>
      <c r="DZ67">
        <v>1.891815555555555</v>
      </c>
      <c r="EA67">
        <v>20.50122222222222</v>
      </c>
      <c r="EB67">
        <v>16.5668</v>
      </c>
      <c r="EC67">
        <v>1499.981111111111</v>
      </c>
      <c r="ED67">
        <v>0.9730078888888889</v>
      </c>
      <c r="EE67">
        <v>0.0269917</v>
      </c>
      <c r="EF67">
        <v>0</v>
      </c>
      <c r="EG67">
        <v>2.2855</v>
      </c>
      <c r="EH67">
        <v>0</v>
      </c>
      <c r="EI67">
        <v>15537.13333333334</v>
      </c>
      <c r="EJ67">
        <v>12533.24444444444</v>
      </c>
      <c r="EK67">
        <v>36.437</v>
      </c>
      <c r="EL67">
        <v>38</v>
      </c>
      <c r="EM67">
        <v>36.875</v>
      </c>
      <c r="EN67">
        <v>37.375</v>
      </c>
      <c r="EO67">
        <v>36.312</v>
      </c>
      <c r="EP67">
        <v>1459.491111111111</v>
      </c>
      <c r="EQ67">
        <v>40.49</v>
      </c>
      <c r="ER67">
        <v>0</v>
      </c>
      <c r="ES67">
        <v>1651772250.2</v>
      </c>
      <c r="ET67">
        <v>0</v>
      </c>
      <c r="EU67">
        <v>2.34405</v>
      </c>
      <c r="EV67">
        <v>-0.3443384582179052</v>
      </c>
      <c r="EW67">
        <v>-190.427350617091</v>
      </c>
      <c r="EX67">
        <v>15553.50769230769</v>
      </c>
      <c r="EY67">
        <v>15</v>
      </c>
      <c r="EZ67">
        <v>0</v>
      </c>
      <c r="FA67" t="s">
        <v>420</v>
      </c>
      <c r="FB67">
        <v>1651697511.6</v>
      </c>
      <c r="FC67">
        <v>1651697666.1</v>
      </c>
      <c r="FD67">
        <v>0</v>
      </c>
      <c r="FE67">
        <v>-0.019</v>
      </c>
      <c r="FF67">
        <v>0.013</v>
      </c>
      <c r="FG67">
        <v>-2.121</v>
      </c>
      <c r="FH67">
        <v>0.041</v>
      </c>
      <c r="FI67">
        <v>420</v>
      </c>
      <c r="FJ67">
        <v>22</v>
      </c>
      <c r="FK67">
        <v>1.72</v>
      </c>
      <c r="FL67">
        <v>0.27</v>
      </c>
      <c r="FM67">
        <v>-60.64019756097561</v>
      </c>
      <c r="FN67">
        <v>-4.753664111498445</v>
      </c>
      <c r="FO67">
        <v>0.4779001479989999</v>
      </c>
      <c r="FP67">
        <v>0</v>
      </c>
      <c r="FQ67">
        <v>5.79612756097561</v>
      </c>
      <c r="FR67">
        <v>0.5235223693379918</v>
      </c>
      <c r="FS67">
        <v>0.05536033918814771</v>
      </c>
      <c r="FT67">
        <v>0</v>
      </c>
      <c r="FU67">
        <v>0</v>
      </c>
      <c r="FV67">
        <v>0</v>
      </c>
      <c r="FW67">
        <v>0</v>
      </c>
      <c r="FX67">
        <v>1</v>
      </c>
      <c r="FY67">
        <v>1</v>
      </c>
      <c r="FZ67">
        <v>3</v>
      </c>
      <c r="GA67" t="s">
        <v>467</v>
      </c>
      <c r="GB67">
        <v>2.98154</v>
      </c>
      <c r="GC67">
        <v>2.70607</v>
      </c>
      <c r="GD67">
        <v>0.14278</v>
      </c>
      <c r="GE67">
        <v>0.148653</v>
      </c>
      <c r="GF67">
        <v>0.11489</v>
      </c>
      <c r="GG67">
        <v>0.0954836</v>
      </c>
      <c r="GH67">
        <v>27111.1</v>
      </c>
      <c r="GI67">
        <v>26980.5</v>
      </c>
      <c r="GJ67">
        <v>29402.7</v>
      </c>
      <c r="GK67">
        <v>29314.2</v>
      </c>
      <c r="GL67">
        <v>34450.6</v>
      </c>
      <c r="GM67">
        <v>35300.5</v>
      </c>
      <c r="GN67">
        <v>41391.4</v>
      </c>
      <c r="GO67">
        <v>41836.2</v>
      </c>
      <c r="GP67">
        <v>1.96295</v>
      </c>
      <c r="GQ67">
        <v>1.8619</v>
      </c>
      <c r="GR67">
        <v>0.0705384</v>
      </c>
      <c r="GS67">
        <v>0</v>
      </c>
      <c r="GT67">
        <v>27.429</v>
      </c>
      <c r="GU67">
        <v>999.9</v>
      </c>
      <c r="GV67">
        <v>44.8</v>
      </c>
      <c r="GW67">
        <v>35</v>
      </c>
      <c r="GX67">
        <v>28.0198</v>
      </c>
      <c r="GY67">
        <v>62.8908</v>
      </c>
      <c r="GZ67">
        <v>36.2941</v>
      </c>
      <c r="HA67">
        <v>1</v>
      </c>
      <c r="HB67">
        <v>0.0382393</v>
      </c>
      <c r="HC67">
        <v>0</v>
      </c>
      <c r="HD67">
        <v>20.3464</v>
      </c>
      <c r="HE67">
        <v>5.21654</v>
      </c>
      <c r="HF67">
        <v>12.0094</v>
      </c>
      <c r="HG67">
        <v>4.9891</v>
      </c>
      <c r="HH67">
        <v>3.28848</v>
      </c>
      <c r="HI67">
        <v>494.2</v>
      </c>
      <c r="HJ67">
        <v>3630.8</v>
      </c>
      <c r="HK67">
        <v>4564.3</v>
      </c>
      <c r="HL67">
        <v>17.8</v>
      </c>
      <c r="HM67">
        <v>1.86768</v>
      </c>
      <c r="HN67">
        <v>1.86662</v>
      </c>
      <c r="HO67">
        <v>1.86615</v>
      </c>
      <c r="HP67">
        <v>1.86607</v>
      </c>
      <c r="HQ67">
        <v>1.86786</v>
      </c>
      <c r="HR67">
        <v>1.87042</v>
      </c>
      <c r="HS67">
        <v>1.86905</v>
      </c>
      <c r="HT67">
        <v>1.87042</v>
      </c>
      <c r="HU67">
        <v>0</v>
      </c>
      <c r="HV67">
        <v>0</v>
      </c>
      <c r="HW67">
        <v>0</v>
      </c>
      <c r="HX67">
        <v>0</v>
      </c>
      <c r="HY67" t="s">
        <v>422</v>
      </c>
      <c r="HZ67" t="s">
        <v>423</v>
      </c>
      <c r="IA67" t="s">
        <v>424</v>
      </c>
      <c r="IB67" t="s">
        <v>424</v>
      </c>
      <c r="IC67" t="s">
        <v>424</v>
      </c>
      <c r="ID67" t="s">
        <v>424</v>
      </c>
      <c r="IE67">
        <v>0</v>
      </c>
      <c r="IF67">
        <v>100</v>
      </c>
      <c r="IG67">
        <v>100</v>
      </c>
      <c r="IH67">
        <v>-2.323</v>
      </c>
      <c r="II67">
        <v>0.1297</v>
      </c>
      <c r="IJ67">
        <v>-1.064712027753117</v>
      </c>
      <c r="IK67">
        <v>-0.001826611574738555</v>
      </c>
      <c r="IL67">
        <v>3.313362389709971E-07</v>
      </c>
      <c r="IM67">
        <v>-1.629490614973607E-10</v>
      </c>
      <c r="IN67">
        <v>-0.09531406441470595</v>
      </c>
      <c r="IO67">
        <v>-0.008240702679890409</v>
      </c>
      <c r="IP67">
        <v>0.001077697425498046</v>
      </c>
      <c r="IQ67">
        <v>-1.69598232850356E-05</v>
      </c>
      <c r="IR67">
        <v>3</v>
      </c>
      <c r="IS67">
        <v>2280</v>
      </c>
      <c r="IT67">
        <v>1</v>
      </c>
      <c r="IU67">
        <v>25</v>
      </c>
      <c r="IV67">
        <v>1245.6</v>
      </c>
      <c r="IW67">
        <v>1243</v>
      </c>
      <c r="IX67">
        <v>1.80054</v>
      </c>
      <c r="IY67">
        <v>2.2168</v>
      </c>
      <c r="IZ67">
        <v>1.39648</v>
      </c>
      <c r="JA67">
        <v>2.35229</v>
      </c>
      <c r="JB67">
        <v>1.49536</v>
      </c>
      <c r="JC67">
        <v>2.33765</v>
      </c>
      <c r="JD67">
        <v>38.7717</v>
      </c>
      <c r="JE67">
        <v>24.0525</v>
      </c>
      <c r="JF67">
        <v>18</v>
      </c>
      <c r="JG67">
        <v>509.027</v>
      </c>
      <c r="JH67">
        <v>429.947</v>
      </c>
      <c r="JI67">
        <v>28.2474</v>
      </c>
      <c r="JJ67">
        <v>27.9123</v>
      </c>
      <c r="JK67">
        <v>30.0002</v>
      </c>
      <c r="JL67">
        <v>27.8227</v>
      </c>
      <c r="JM67">
        <v>27.7557</v>
      </c>
      <c r="JN67">
        <v>36.0333</v>
      </c>
      <c r="JO67">
        <v>29.5392</v>
      </c>
      <c r="JP67">
        <v>0</v>
      </c>
      <c r="JQ67">
        <v>-999.9</v>
      </c>
      <c r="JR67">
        <v>834.657</v>
      </c>
      <c r="JS67">
        <v>20.9297</v>
      </c>
      <c r="JT67">
        <v>100.513</v>
      </c>
      <c r="JU67">
        <v>100.414</v>
      </c>
    </row>
    <row r="68" spans="1:281">
      <c r="A68">
        <v>52</v>
      </c>
      <c r="B68">
        <v>1651772254</v>
      </c>
      <c r="C68">
        <v>376.4000000953674</v>
      </c>
      <c r="D68" t="s">
        <v>526</v>
      </c>
      <c r="E68" t="s">
        <v>527</v>
      </c>
      <c r="F68">
        <v>5</v>
      </c>
      <c r="H68" t="s">
        <v>417</v>
      </c>
      <c r="I68">
        <v>1651772251.2</v>
      </c>
      <c r="J68">
        <f>(K68)/1000</f>
        <v>0</v>
      </c>
      <c r="K68">
        <f>IF(CZ68, AN68, AH68)</f>
        <v>0</v>
      </c>
      <c r="L68">
        <f>IF(CZ68, AI68, AG68)</f>
        <v>0</v>
      </c>
      <c r="M68">
        <f>DB68 - IF(AU68&gt;1, L68*CV68*100.0/(AW68*DP68), 0)</f>
        <v>0</v>
      </c>
      <c r="N68">
        <f>((T68-J68/2)*M68-L68)/(T68+J68/2)</f>
        <v>0</v>
      </c>
      <c r="O68">
        <f>N68*(DI68+DJ68)/1000.0</f>
        <v>0</v>
      </c>
      <c r="P68">
        <f>(DB68 - IF(AU68&gt;1, L68*CV68*100.0/(AW68*DP68), 0))*(DI68+DJ68)/1000.0</f>
        <v>0</v>
      </c>
      <c r="Q68">
        <f>2.0/((1/S68-1/R68)+SIGN(S68)*SQRT((1/S68-1/R68)*(1/S68-1/R68) + 4*CW68/((CW68+1)*(CW68+1))*(2*1/S68*1/R68-1/R68*1/R68)))</f>
        <v>0</v>
      </c>
      <c r="R68">
        <f>IF(LEFT(CX68,1)&lt;&gt;"0",IF(LEFT(CX68,1)="1",3.0,CY68),$D$5+$E$5*(DP68*DI68/($K$5*1000))+$F$5*(DP68*DI68/($K$5*1000))*MAX(MIN(CV68,$J$5),$I$5)*MAX(MIN(CV68,$J$5),$I$5)+$G$5*MAX(MIN(CV68,$J$5),$I$5)*(DP68*DI68/($K$5*1000))+$H$5*(DP68*DI68/($K$5*1000))*(DP68*DI68/($K$5*1000)))</f>
        <v>0</v>
      </c>
      <c r="S68">
        <f>J68*(1000-(1000*0.61365*exp(17.502*W68/(240.97+W68))/(DI68+DJ68)+DD68)/2)/(1000*0.61365*exp(17.502*W68/(240.97+W68))/(DI68+DJ68)-DD68)</f>
        <v>0</v>
      </c>
      <c r="T68">
        <f>1/((CW68+1)/(Q68/1.6)+1/(R68/1.37)) + CW68/((CW68+1)/(Q68/1.6) + CW68/(R68/1.37))</f>
        <v>0</v>
      </c>
      <c r="U68">
        <f>(CR68*CU68)</f>
        <v>0</v>
      </c>
      <c r="V68">
        <f>(DK68+(U68+2*0.95*5.67E-8*(((DK68+$B$7)+273)^4-(DK68+273)^4)-44100*J68)/(1.84*29.3*R68+8*0.95*5.67E-8*(DK68+273)^3))</f>
        <v>0</v>
      </c>
      <c r="W68">
        <f>($C$7*DL68+$D$7*DM68+$E$7*V68)</f>
        <v>0</v>
      </c>
      <c r="X68">
        <f>0.61365*exp(17.502*W68/(240.97+W68))</f>
        <v>0</v>
      </c>
      <c r="Y68">
        <f>(Z68/AA68*100)</f>
        <v>0</v>
      </c>
      <c r="Z68">
        <f>DD68*(DI68+DJ68)/1000</f>
        <v>0</v>
      </c>
      <c r="AA68">
        <f>0.61365*exp(17.502*DK68/(240.97+DK68))</f>
        <v>0</v>
      </c>
      <c r="AB68">
        <f>(X68-DD68*(DI68+DJ68)/1000)</f>
        <v>0</v>
      </c>
      <c r="AC68">
        <f>(-J68*44100)</f>
        <v>0</v>
      </c>
      <c r="AD68">
        <f>2*29.3*R68*0.92*(DK68-W68)</f>
        <v>0</v>
      </c>
      <c r="AE68">
        <f>2*0.95*5.67E-8*(((DK68+$B$7)+273)^4-(W68+273)^4)</f>
        <v>0</v>
      </c>
      <c r="AF68">
        <f>U68+AE68+AC68+AD68</f>
        <v>0</v>
      </c>
      <c r="AG68">
        <f>DH68*AU68*(DC68-DB68*(1000-AU68*DE68)/(1000-AU68*DD68))/(100*CV68)</f>
        <v>0</v>
      </c>
      <c r="AH68">
        <f>1000*DH68*AU68*(DD68-DE68)/(100*CV68*(1000-AU68*DD68))</f>
        <v>0</v>
      </c>
      <c r="AI68">
        <f>(AJ68 - AK68 - DI68*1E3/(8.314*(DK68+273.15)) * AM68/DH68 * AL68) * DH68/(100*CV68) * (1000 - DE68)/1000</f>
        <v>0</v>
      </c>
      <c r="AJ68">
        <v>837.7145185899477</v>
      </c>
      <c r="AK68">
        <v>787.3107757575759</v>
      </c>
      <c r="AL68">
        <v>3.389587236485959</v>
      </c>
      <c r="AM68">
        <v>66.72507702095443</v>
      </c>
      <c r="AN68">
        <f>(AP68 - AO68 + DI68*1E3/(8.314*(DK68+273.15)) * AR68/DH68 * AQ68) * DH68/(100*CV68) * 1000/(1000 - AP68)</f>
        <v>0</v>
      </c>
      <c r="AO68">
        <v>20.94527406211685</v>
      </c>
      <c r="AP68">
        <v>26.79919393939393</v>
      </c>
      <c r="AQ68">
        <v>-2.001414496229654E-05</v>
      </c>
      <c r="AR68">
        <v>78.22078291278521</v>
      </c>
      <c r="AS68">
        <v>1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MAX(0,($B$13+$C$13*DP68)/(1+$D$13*DP68)*DI68/(DK68+273)*$E$13)</f>
        <v>0</v>
      </c>
      <c r="AX68" t="s">
        <v>418</v>
      </c>
      <c r="AY68" t="s">
        <v>418</v>
      </c>
      <c r="AZ68">
        <v>0</v>
      </c>
      <c r="BA68">
        <v>0</v>
      </c>
      <c r="BB68">
        <f>1-AZ68/BA68</f>
        <v>0</v>
      </c>
      <c r="BC68">
        <v>0</v>
      </c>
      <c r="BD68" t="s">
        <v>418</v>
      </c>
      <c r="BE68" t="s">
        <v>418</v>
      </c>
      <c r="BF68">
        <v>0</v>
      </c>
      <c r="BG68">
        <v>0</v>
      </c>
      <c r="BH68">
        <f>1-BF68/BG68</f>
        <v>0</v>
      </c>
      <c r="BI68">
        <v>0.5</v>
      </c>
      <c r="BJ68">
        <f>CS68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418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f>$B$11*DQ68+$C$11*DR68+$F$11*EC68*(1-EF68)</f>
        <v>0</v>
      </c>
      <c r="CS68">
        <f>CR68*CT68</f>
        <v>0</v>
      </c>
      <c r="CT68">
        <f>($B$11*$D$9+$C$11*$D$9+$F$11*((EP68+EH68)/MAX(EP68+EH68+EQ68, 0.1)*$I$9+EQ68/MAX(EP68+EH68+EQ68, 0.1)*$J$9))/($B$11+$C$11+$F$11)</f>
        <v>0</v>
      </c>
      <c r="CU68">
        <f>($B$11*$K$9+$C$11*$K$9+$F$11*((EP68+EH68)/MAX(EP68+EH68+EQ68, 0.1)*$P$9+EQ68/MAX(EP68+EH68+EQ68, 0.1)*$Q$9))/($B$11+$C$11+$F$11)</f>
        <v>0</v>
      </c>
      <c r="CV68">
        <v>6</v>
      </c>
      <c r="CW68">
        <v>0.5</v>
      </c>
      <c r="CX68" t="s">
        <v>419</v>
      </c>
      <c r="CY68">
        <v>2</v>
      </c>
      <c r="CZ68" t="b">
        <v>1</v>
      </c>
      <c r="DA68">
        <v>1651772251.2</v>
      </c>
      <c r="DB68">
        <v>758.6236000000001</v>
      </c>
      <c r="DC68">
        <v>820.0459999999999</v>
      </c>
      <c r="DD68">
        <v>26.7985</v>
      </c>
      <c r="DE68">
        <v>20.94539</v>
      </c>
      <c r="DF68">
        <v>760.9583</v>
      </c>
      <c r="DG68">
        <v>26.66878</v>
      </c>
      <c r="DH68">
        <v>500.0509999999999</v>
      </c>
      <c r="DI68">
        <v>90.30659</v>
      </c>
      <c r="DJ68">
        <v>0.09990817999999999</v>
      </c>
      <c r="DK68">
        <v>29.25343999999999</v>
      </c>
      <c r="DL68">
        <v>28.58101</v>
      </c>
      <c r="DM68">
        <v>999.9</v>
      </c>
      <c r="DN68">
        <v>0</v>
      </c>
      <c r="DO68">
        <v>0</v>
      </c>
      <c r="DP68">
        <v>10001.817</v>
      </c>
      <c r="DQ68">
        <v>0</v>
      </c>
      <c r="DR68">
        <v>13.25048</v>
      </c>
      <c r="DS68">
        <v>-61.42212000000001</v>
      </c>
      <c r="DT68">
        <v>779.5134999999999</v>
      </c>
      <c r="DU68">
        <v>837.5896</v>
      </c>
      <c r="DV68">
        <v>5.853105999999999</v>
      </c>
      <c r="DW68">
        <v>820.0459999999999</v>
      </c>
      <c r="DX68">
        <v>20.94539</v>
      </c>
      <c r="DY68">
        <v>2.420081</v>
      </c>
      <c r="DZ68">
        <v>1.891508</v>
      </c>
      <c r="EA68">
        <v>20.49877</v>
      </c>
      <c r="EB68">
        <v>16.56425</v>
      </c>
      <c r="EC68">
        <v>1500.051</v>
      </c>
      <c r="ED68">
        <v>0.9730089999999999</v>
      </c>
      <c r="EE68">
        <v>0.0269905</v>
      </c>
      <c r="EF68">
        <v>0</v>
      </c>
      <c r="EG68">
        <v>2.244050000000001</v>
      </c>
      <c r="EH68">
        <v>0</v>
      </c>
      <c r="EI68">
        <v>15516.64</v>
      </c>
      <c r="EJ68">
        <v>12533.85</v>
      </c>
      <c r="EK68">
        <v>36.437</v>
      </c>
      <c r="EL68">
        <v>38</v>
      </c>
      <c r="EM68">
        <v>36.875</v>
      </c>
      <c r="EN68">
        <v>37.375</v>
      </c>
      <c r="EO68">
        <v>36.312</v>
      </c>
      <c r="EP68">
        <v>1459.561</v>
      </c>
      <c r="EQ68">
        <v>40.49</v>
      </c>
      <c r="ER68">
        <v>0</v>
      </c>
      <c r="ES68">
        <v>1651772255</v>
      </c>
      <c r="ET68">
        <v>0</v>
      </c>
      <c r="EU68">
        <v>2.322907692307692</v>
      </c>
      <c r="EV68">
        <v>-0.7101128114251601</v>
      </c>
      <c r="EW68">
        <v>-244.2837604476611</v>
      </c>
      <c r="EX68">
        <v>15535.90384615384</v>
      </c>
      <c r="EY68">
        <v>15</v>
      </c>
      <c r="EZ68">
        <v>0</v>
      </c>
      <c r="FA68" t="s">
        <v>420</v>
      </c>
      <c r="FB68">
        <v>1651697511.6</v>
      </c>
      <c r="FC68">
        <v>1651697666.1</v>
      </c>
      <c r="FD68">
        <v>0</v>
      </c>
      <c r="FE68">
        <v>-0.019</v>
      </c>
      <c r="FF68">
        <v>0.013</v>
      </c>
      <c r="FG68">
        <v>-2.121</v>
      </c>
      <c r="FH68">
        <v>0.041</v>
      </c>
      <c r="FI68">
        <v>420</v>
      </c>
      <c r="FJ68">
        <v>22</v>
      </c>
      <c r="FK68">
        <v>1.72</v>
      </c>
      <c r="FL68">
        <v>0.27</v>
      </c>
      <c r="FM68">
        <v>-60.9963756097561</v>
      </c>
      <c r="FN68">
        <v>-3.431575609755937</v>
      </c>
      <c r="FO68">
        <v>0.3427661570655807</v>
      </c>
      <c r="FP68">
        <v>0</v>
      </c>
      <c r="FQ68">
        <v>5.82548512195122</v>
      </c>
      <c r="FR68">
        <v>0.3642806968641167</v>
      </c>
      <c r="FS68">
        <v>0.04456196596146737</v>
      </c>
      <c r="FT68">
        <v>1</v>
      </c>
      <c r="FU68">
        <v>0</v>
      </c>
      <c r="FV68">
        <v>0</v>
      </c>
      <c r="FW68">
        <v>0</v>
      </c>
      <c r="FX68">
        <v>1</v>
      </c>
      <c r="FY68">
        <v>2</v>
      </c>
      <c r="FZ68">
        <v>3</v>
      </c>
      <c r="GA68" t="s">
        <v>421</v>
      </c>
      <c r="GB68">
        <v>2.98143</v>
      </c>
      <c r="GC68">
        <v>2.70626</v>
      </c>
      <c r="GD68">
        <v>0.14488</v>
      </c>
      <c r="GE68">
        <v>0.15068</v>
      </c>
      <c r="GF68">
        <v>0.114897</v>
      </c>
      <c r="GG68">
        <v>0.09547269999999999</v>
      </c>
      <c r="GH68">
        <v>27044.7</v>
      </c>
      <c r="GI68">
        <v>26916.1</v>
      </c>
      <c r="GJ68">
        <v>29402.8</v>
      </c>
      <c r="GK68">
        <v>29314.1</v>
      </c>
      <c r="GL68">
        <v>34450.6</v>
      </c>
      <c r="GM68">
        <v>35300.8</v>
      </c>
      <c r="GN68">
        <v>41391.7</v>
      </c>
      <c r="GO68">
        <v>41836</v>
      </c>
      <c r="GP68">
        <v>1.96273</v>
      </c>
      <c r="GQ68">
        <v>1.86222</v>
      </c>
      <c r="GR68">
        <v>0.070259</v>
      </c>
      <c r="GS68">
        <v>0</v>
      </c>
      <c r="GT68">
        <v>27.4343</v>
      </c>
      <c r="GU68">
        <v>999.9</v>
      </c>
      <c r="GV68">
        <v>44.8</v>
      </c>
      <c r="GW68">
        <v>35</v>
      </c>
      <c r="GX68">
        <v>28.023</v>
      </c>
      <c r="GY68">
        <v>62.8708</v>
      </c>
      <c r="GZ68">
        <v>36.234</v>
      </c>
      <c r="HA68">
        <v>1</v>
      </c>
      <c r="HB68">
        <v>0.0386026</v>
      </c>
      <c r="HC68">
        <v>0</v>
      </c>
      <c r="HD68">
        <v>20.3464</v>
      </c>
      <c r="HE68">
        <v>5.21699</v>
      </c>
      <c r="HF68">
        <v>12.0091</v>
      </c>
      <c r="HG68">
        <v>4.9889</v>
      </c>
      <c r="HH68">
        <v>3.28855</v>
      </c>
      <c r="HI68">
        <v>494.4</v>
      </c>
      <c r="HJ68">
        <v>3632.3</v>
      </c>
      <c r="HK68">
        <v>4564.3</v>
      </c>
      <c r="HL68">
        <v>17.8</v>
      </c>
      <c r="HM68">
        <v>1.86768</v>
      </c>
      <c r="HN68">
        <v>1.86661</v>
      </c>
      <c r="HO68">
        <v>1.86615</v>
      </c>
      <c r="HP68">
        <v>1.86607</v>
      </c>
      <c r="HQ68">
        <v>1.86786</v>
      </c>
      <c r="HR68">
        <v>1.87041</v>
      </c>
      <c r="HS68">
        <v>1.86905</v>
      </c>
      <c r="HT68">
        <v>1.87042</v>
      </c>
      <c r="HU68">
        <v>0</v>
      </c>
      <c r="HV68">
        <v>0</v>
      </c>
      <c r="HW68">
        <v>0</v>
      </c>
      <c r="HX68">
        <v>0</v>
      </c>
      <c r="HY68" t="s">
        <v>422</v>
      </c>
      <c r="HZ68" t="s">
        <v>423</v>
      </c>
      <c r="IA68" t="s">
        <v>424</v>
      </c>
      <c r="IB68" t="s">
        <v>424</v>
      </c>
      <c r="IC68" t="s">
        <v>424</v>
      </c>
      <c r="ID68" t="s">
        <v>424</v>
      </c>
      <c r="IE68">
        <v>0</v>
      </c>
      <c r="IF68">
        <v>100</v>
      </c>
      <c r="IG68">
        <v>100</v>
      </c>
      <c r="IH68">
        <v>-2.349</v>
      </c>
      <c r="II68">
        <v>0.1297</v>
      </c>
      <c r="IJ68">
        <v>-1.064712027753117</v>
      </c>
      <c r="IK68">
        <v>-0.001826611574738555</v>
      </c>
      <c r="IL68">
        <v>3.313362389709971E-07</v>
      </c>
      <c r="IM68">
        <v>-1.629490614973607E-10</v>
      </c>
      <c r="IN68">
        <v>-0.09531406441470595</v>
      </c>
      <c r="IO68">
        <v>-0.008240702679890409</v>
      </c>
      <c r="IP68">
        <v>0.001077697425498046</v>
      </c>
      <c r="IQ68">
        <v>-1.69598232850356E-05</v>
      </c>
      <c r="IR68">
        <v>3</v>
      </c>
      <c r="IS68">
        <v>2280</v>
      </c>
      <c r="IT68">
        <v>1</v>
      </c>
      <c r="IU68">
        <v>25</v>
      </c>
      <c r="IV68">
        <v>1245.7</v>
      </c>
      <c r="IW68">
        <v>1243.1</v>
      </c>
      <c r="IX68">
        <v>1.82739</v>
      </c>
      <c r="IY68">
        <v>2.2168</v>
      </c>
      <c r="IZ68">
        <v>1.39648</v>
      </c>
      <c r="JA68">
        <v>2.35352</v>
      </c>
      <c r="JB68">
        <v>1.49536</v>
      </c>
      <c r="JC68">
        <v>2.29004</v>
      </c>
      <c r="JD68">
        <v>38.7717</v>
      </c>
      <c r="JE68">
        <v>24.0525</v>
      </c>
      <c r="JF68">
        <v>18</v>
      </c>
      <c r="JG68">
        <v>508.901</v>
      </c>
      <c r="JH68">
        <v>430.159</v>
      </c>
      <c r="JI68">
        <v>28.2525</v>
      </c>
      <c r="JJ68">
        <v>27.9147</v>
      </c>
      <c r="JK68">
        <v>30.0004</v>
      </c>
      <c r="JL68">
        <v>27.8251</v>
      </c>
      <c r="JM68">
        <v>27.7581</v>
      </c>
      <c r="JN68">
        <v>36.586</v>
      </c>
      <c r="JO68">
        <v>29.5392</v>
      </c>
      <c r="JP68">
        <v>0</v>
      </c>
      <c r="JQ68">
        <v>-999.9</v>
      </c>
      <c r="JR68">
        <v>848.014</v>
      </c>
      <c r="JS68">
        <v>20.9051</v>
      </c>
      <c r="JT68">
        <v>100.513</v>
      </c>
      <c r="JU68">
        <v>100.414</v>
      </c>
    </row>
    <row r="69" spans="1:281">
      <c r="A69">
        <v>53</v>
      </c>
      <c r="B69">
        <v>1651772259</v>
      </c>
      <c r="C69">
        <v>381.4000000953674</v>
      </c>
      <c r="D69" t="s">
        <v>528</v>
      </c>
      <c r="E69" t="s">
        <v>529</v>
      </c>
      <c r="F69">
        <v>5</v>
      </c>
      <c r="H69" t="s">
        <v>417</v>
      </c>
      <c r="I69">
        <v>1651772256.5</v>
      </c>
      <c r="J69">
        <f>(K69)/1000</f>
        <v>0</v>
      </c>
      <c r="K69">
        <f>IF(CZ69, AN69, AH69)</f>
        <v>0</v>
      </c>
      <c r="L69">
        <f>IF(CZ69, AI69, AG69)</f>
        <v>0</v>
      </c>
      <c r="M69">
        <f>DB69 - IF(AU69&gt;1, L69*CV69*100.0/(AW69*DP69), 0)</f>
        <v>0</v>
      </c>
      <c r="N69">
        <f>((T69-J69/2)*M69-L69)/(T69+J69/2)</f>
        <v>0</v>
      </c>
      <c r="O69">
        <f>N69*(DI69+DJ69)/1000.0</f>
        <v>0</v>
      </c>
      <c r="P69">
        <f>(DB69 - IF(AU69&gt;1, L69*CV69*100.0/(AW69*DP69), 0))*(DI69+DJ69)/1000.0</f>
        <v>0</v>
      </c>
      <c r="Q69">
        <f>2.0/((1/S69-1/R69)+SIGN(S69)*SQRT((1/S69-1/R69)*(1/S69-1/R69) + 4*CW69/((CW69+1)*(CW69+1))*(2*1/S69*1/R69-1/R69*1/R69)))</f>
        <v>0</v>
      </c>
      <c r="R69">
        <f>IF(LEFT(CX69,1)&lt;&gt;"0",IF(LEFT(CX69,1)="1",3.0,CY69),$D$5+$E$5*(DP69*DI69/($K$5*1000))+$F$5*(DP69*DI69/($K$5*1000))*MAX(MIN(CV69,$J$5),$I$5)*MAX(MIN(CV69,$J$5),$I$5)+$G$5*MAX(MIN(CV69,$J$5),$I$5)*(DP69*DI69/($K$5*1000))+$H$5*(DP69*DI69/($K$5*1000))*(DP69*DI69/($K$5*1000)))</f>
        <v>0</v>
      </c>
      <c r="S69">
        <f>J69*(1000-(1000*0.61365*exp(17.502*W69/(240.97+W69))/(DI69+DJ69)+DD69)/2)/(1000*0.61365*exp(17.502*W69/(240.97+W69))/(DI69+DJ69)-DD69)</f>
        <v>0</v>
      </c>
      <c r="T69">
        <f>1/((CW69+1)/(Q69/1.6)+1/(R69/1.37)) + CW69/((CW69+1)/(Q69/1.6) + CW69/(R69/1.37))</f>
        <v>0</v>
      </c>
      <c r="U69">
        <f>(CR69*CU69)</f>
        <v>0</v>
      </c>
      <c r="V69">
        <f>(DK69+(U69+2*0.95*5.67E-8*(((DK69+$B$7)+273)^4-(DK69+273)^4)-44100*J69)/(1.84*29.3*R69+8*0.95*5.67E-8*(DK69+273)^3))</f>
        <v>0</v>
      </c>
      <c r="W69">
        <f>($C$7*DL69+$D$7*DM69+$E$7*V69)</f>
        <v>0</v>
      </c>
      <c r="X69">
        <f>0.61365*exp(17.502*W69/(240.97+W69))</f>
        <v>0</v>
      </c>
      <c r="Y69">
        <f>(Z69/AA69*100)</f>
        <v>0</v>
      </c>
      <c r="Z69">
        <f>DD69*(DI69+DJ69)/1000</f>
        <v>0</v>
      </c>
      <c r="AA69">
        <f>0.61365*exp(17.502*DK69/(240.97+DK69))</f>
        <v>0</v>
      </c>
      <c r="AB69">
        <f>(X69-DD69*(DI69+DJ69)/1000)</f>
        <v>0</v>
      </c>
      <c r="AC69">
        <f>(-J69*44100)</f>
        <v>0</v>
      </c>
      <c r="AD69">
        <f>2*29.3*R69*0.92*(DK69-W69)</f>
        <v>0</v>
      </c>
      <c r="AE69">
        <f>2*0.95*5.67E-8*(((DK69+$B$7)+273)^4-(W69+273)^4)</f>
        <v>0</v>
      </c>
      <c r="AF69">
        <f>U69+AE69+AC69+AD69</f>
        <v>0</v>
      </c>
      <c r="AG69">
        <f>DH69*AU69*(DC69-DB69*(1000-AU69*DE69)/(1000-AU69*DD69))/(100*CV69)</f>
        <v>0</v>
      </c>
      <c r="AH69">
        <f>1000*DH69*AU69*(DD69-DE69)/(100*CV69*(1000-AU69*DD69))</f>
        <v>0</v>
      </c>
      <c r="AI69">
        <f>(AJ69 - AK69 - DI69*1E3/(8.314*(DK69+273.15)) * AM69/DH69 * AL69) * DH69/(100*CV69) * (1000 - DE69)/1000</f>
        <v>0</v>
      </c>
      <c r="AJ69">
        <v>854.9442413884919</v>
      </c>
      <c r="AK69">
        <v>804.4344545454542</v>
      </c>
      <c r="AL69">
        <v>3.428776703688507</v>
      </c>
      <c r="AM69">
        <v>66.72507702095443</v>
      </c>
      <c r="AN69">
        <f>(AP69 - AO69 + DI69*1E3/(8.314*(DK69+273.15)) * AR69/DH69 * AQ69) * DH69/(100*CV69) * 1000/(1000 - AP69)</f>
        <v>0</v>
      </c>
      <c r="AO69">
        <v>20.94192014584728</v>
      </c>
      <c r="AP69">
        <v>26.80312181818183</v>
      </c>
      <c r="AQ69">
        <v>0.0001437117884888895</v>
      </c>
      <c r="AR69">
        <v>78.22078291278521</v>
      </c>
      <c r="AS69">
        <v>1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MAX(0,($B$13+$C$13*DP69)/(1+$D$13*DP69)*DI69/(DK69+273)*$E$13)</f>
        <v>0</v>
      </c>
      <c r="AX69" t="s">
        <v>418</v>
      </c>
      <c r="AY69" t="s">
        <v>418</v>
      </c>
      <c r="AZ69">
        <v>0</v>
      </c>
      <c r="BA69">
        <v>0</v>
      </c>
      <c r="BB69">
        <f>1-AZ69/BA69</f>
        <v>0</v>
      </c>
      <c r="BC69">
        <v>0</v>
      </c>
      <c r="BD69" t="s">
        <v>418</v>
      </c>
      <c r="BE69" t="s">
        <v>418</v>
      </c>
      <c r="BF69">
        <v>0</v>
      </c>
      <c r="BG69">
        <v>0</v>
      </c>
      <c r="BH69">
        <f>1-BF69/BG69</f>
        <v>0</v>
      </c>
      <c r="BI69">
        <v>0.5</v>
      </c>
      <c r="BJ69">
        <f>CS69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418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f>$B$11*DQ69+$C$11*DR69+$F$11*EC69*(1-EF69)</f>
        <v>0</v>
      </c>
      <c r="CS69">
        <f>CR69*CT69</f>
        <v>0</v>
      </c>
      <c r="CT69">
        <f>($B$11*$D$9+$C$11*$D$9+$F$11*((EP69+EH69)/MAX(EP69+EH69+EQ69, 0.1)*$I$9+EQ69/MAX(EP69+EH69+EQ69, 0.1)*$J$9))/($B$11+$C$11+$F$11)</f>
        <v>0</v>
      </c>
      <c r="CU69">
        <f>($B$11*$K$9+$C$11*$K$9+$F$11*((EP69+EH69)/MAX(EP69+EH69+EQ69, 0.1)*$P$9+EQ69/MAX(EP69+EH69+EQ69, 0.1)*$Q$9))/($B$11+$C$11+$F$11)</f>
        <v>0</v>
      </c>
      <c r="CV69">
        <v>6</v>
      </c>
      <c r="CW69">
        <v>0.5</v>
      </c>
      <c r="CX69" t="s">
        <v>419</v>
      </c>
      <c r="CY69">
        <v>2</v>
      </c>
      <c r="CZ69" t="b">
        <v>1</v>
      </c>
      <c r="DA69">
        <v>1651772256.5</v>
      </c>
      <c r="DB69">
        <v>776.1947777777779</v>
      </c>
      <c r="DC69">
        <v>837.8753333333333</v>
      </c>
      <c r="DD69">
        <v>26.8035</v>
      </c>
      <c r="DE69">
        <v>20.94174444444445</v>
      </c>
      <c r="DF69">
        <v>778.5575555555556</v>
      </c>
      <c r="DG69">
        <v>26.67373333333333</v>
      </c>
      <c r="DH69">
        <v>500.0528888888888</v>
      </c>
      <c r="DI69">
        <v>90.30651111111109</v>
      </c>
      <c r="DJ69">
        <v>0.1000452555555556</v>
      </c>
      <c r="DK69">
        <v>29.25617777777778</v>
      </c>
      <c r="DL69">
        <v>28.58155555555556</v>
      </c>
      <c r="DM69">
        <v>999.9000000000001</v>
      </c>
      <c r="DN69">
        <v>0</v>
      </c>
      <c r="DO69">
        <v>0</v>
      </c>
      <c r="DP69">
        <v>9992.788888888888</v>
      </c>
      <c r="DQ69">
        <v>0</v>
      </c>
      <c r="DR69">
        <v>13.26453333333333</v>
      </c>
      <c r="DS69">
        <v>-61.68084444444445</v>
      </c>
      <c r="DT69">
        <v>797.5721111111111</v>
      </c>
      <c r="DU69">
        <v>855.7972222222221</v>
      </c>
      <c r="DV69">
        <v>5.861788888888889</v>
      </c>
      <c r="DW69">
        <v>837.8753333333333</v>
      </c>
      <c r="DX69">
        <v>20.94174444444445</v>
      </c>
      <c r="DY69">
        <v>2.420532222222222</v>
      </c>
      <c r="DZ69">
        <v>1.891173333333333</v>
      </c>
      <c r="EA69">
        <v>20.5018</v>
      </c>
      <c r="EB69">
        <v>16.56147777777777</v>
      </c>
      <c r="EC69">
        <v>1499.985555555555</v>
      </c>
      <c r="ED69">
        <v>0.9730078888888889</v>
      </c>
      <c r="EE69">
        <v>0.0269917</v>
      </c>
      <c r="EF69">
        <v>0</v>
      </c>
      <c r="EG69">
        <v>2.362644444444444</v>
      </c>
      <c r="EH69">
        <v>0</v>
      </c>
      <c r="EI69">
        <v>15487.01111111111</v>
      </c>
      <c r="EJ69">
        <v>12533.27777777778</v>
      </c>
      <c r="EK69">
        <v>36.437</v>
      </c>
      <c r="EL69">
        <v>38</v>
      </c>
      <c r="EM69">
        <v>36.875</v>
      </c>
      <c r="EN69">
        <v>37.375</v>
      </c>
      <c r="EO69">
        <v>36.312</v>
      </c>
      <c r="EP69">
        <v>1459.495555555556</v>
      </c>
      <c r="EQ69">
        <v>40.49</v>
      </c>
      <c r="ER69">
        <v>0</v>
      </c>
      <c r="ES69">
        <v>1651772259.8</v>
      </c>
      <c r="ET69">
        <v>0</v>
      </c>
      <c r="EU69">
        <v>2.321030769230769</v>
      </c>
      <c r="EV69">
        <v>0.07248548381268061</v>
      </c>
      <c r="EW69">
        <v>-295.4393164600104</v>
      </c>
      <c r="EX69">
        <v>15514.25384615385</v>
      </c>
      <c r="EY69">
        <v>15</v>
      </c>
      <c r="EZ69">
        <v>0</v>
      </c>
      <c r="FA69" t="s">
        <v>420</v>
      </c>
      <c r="FB69">
        <v>1651697511.6</v>
      </c>
      <c r="FC69">
        <v>1651697666.1</v>
      </c>
      <c r="FD69">
        <v>0</v>
      </c>
      <c r="FE69">
        <v>-0.019</v>
      </c>
      <c r="FF69">
        <v>0.013</v>
      </c>
      <c r="FG69">
        <v>-2.121</v>
      </c>
      <c r="FH69">
        <v>0.041</v>
      </c>
      <c r="FI69">
        <v>420</v>
      </c>
      <c r="FJ69">
        <v>22</v>
      </c>
      <c r="FK69">
        <v>1.72</v>
      </c>
      <c r="FL69">
        <v>0.27</v>
      </c>
      <c r="FM69">
        <v>-61.27921219512196</v>
      </c>
      <c r="FN69">
        <v>-2.888554703832865</v>
      </c>
      <c r="FO69">
        <v>0.2864745493272563</v>
      </c>
      <c r="FP69">
        <v>0</v>
      </c>
      <c r="FQ69">
        <v>5.851908292682927</v>
      </c>
      <c r="FR69">
        <v>0.08587651567943932</v>
      </c>
      <c r="FS69">
        <v>0.016515928734501</v>
      </c>
      <c r="FT69">
        <v>1</v>
      </c>
      <c r="FU69">
        <v>0</v>
      </c>
      <c r="FV69">
        <v>0</v>
      </c>
      <c r="FW69">
        <v>0</v>
      </c>
      <c r="FX69">
        <v>1</v>
      </c>
      <c r="FY69">
        <v>2</v>
      </c>
      <c r="FZ69">
        <v>3</v>
      </c>
      <c r="GA69" t="s">
        <v>421</v>
      </c>
      <c r="GB69">
        <v>2.98148</v>
      </c>
      <c r="GC69">
        <v>2.70608</v>
      </c>
      <c r="GD69">
        <v>0.146975</v>
      </c>
      <c r="GE69">
        <v>0.152685</v>
      </c>
      <c r="GF69">
        <v>0.114899</v>
      </c>
      <c r="GG69">
        <v>0.0954614</v>
      </c>
      <c r="GH69">
        <v>26978.1</v>
      </c>
      <c r="GI69">
        <v>26852.3</v>
      </c>
      <c r="GJ69">
        <v>29402.5</v>
      </c>
      <c r="GK69">
        <v>29313.8</v>
      </c>
      <c r="GL69">
        <v>34449.8</v>
      </c>
      <c r="GM69">
        <v>35300.9</v>
      </c>
      <c r="GN69">
        <v>41390.8</v>
      </c>
      <c r="GO69">
        <v>41835.6</v>
      </c>
      <c r="GP69">
        <v>1.96308</v>
      </c>
      <c r="GQ69">
        <v>1.86213</v>
      </c>
      <c r="GR69">
        <v>0.0700355</v>
      </c>
      <c r="GS69">
        <v>0</v>
      </c>
      <c r="GT69">
        <v>27.4393</v>
      </c>
      <c r="GU69">
        <v>999.9</v>
      </c>
      <c r="GV69">
        <v>44.8</v>
      </c>
      <c r="GW69">
        <v>35</v>
      </c>
      <c r="GX69">
        <v>28.0238</v>
      </c>
      <c r="GY69">
        <v>62.7608</v>
      </c>
      <c r="GZ69">
        <v>36.1779</v>
      </c>
      <c r="HA69">
        <v>1</v>
      </c>
      <c r="HB69">
        <v>0.0387449</v>
      </c>
      <c r="HC69">
        <v>0</v>
      </c>
      <c r="HD69">
        <v>20.3464</v>
      </c>
      <c r="HE69">
        <v>5.21744</v>
      </c>
      <c r="HF69">
        <v>12.0091</v>
      </c>
      <c r="HG69">
        <v>4.98915</v>
      </c>
      <c r="HH69">
        <v>3.28865</v>
      </c>
      <c r="HI69">
        <v>494.4</v>
      </c>
      <c r="HJ69">
        <v>3632.3</v>
      </c>
      <c r="HK69">
        <v>4564.3</v>
      </c>
      <c r="HL69">
        <v>17.8</v>
      </c>
      <c r="HM69">
        <v>1.86768</v>
      </c>
      <c r="HN69">
        <v>1.86661</v>
      </c>
      <c r="HO69">
        <v>1.86615</v>
      </c>
      <c r="HP69">
        <v>1.86606</v>
      </c>
      <c r="HQ69">
        <v>1.86784</v>
      </c>
      <c r="HR69">
        <v>1.87041</v>
      </c>
      <c r="HS69">
        <v>1.86905</v>
      </c>
      <c r="HT69">
        <v>1.87042</v>
      </c>
      <c r="HU69">
        <v>0</v>
      </c>
      <c r="HV69">
        <v>0</v>
      </c>
      <c r="HW69">
        <v>0</v>
      </c>
      <c r="HX69">
        <v>0</v>
      </c>
      <c r="HY69" t="s">
        <v>422</v>
      </c>
      <c r="HZ69" t="s">
        <v>423</v>
      </c>
      <c r="IA69" t="s">
        <v>424</v>
      </c>
      <c r="IB69" t="s">
        <v>424</v>
      </c>
      <c r="IC69" t="s">
        <v>424</v>
      </c>
      <c r="ID69" t="s">
        <v>424</v>
      </c>
      <c r="IE69">
        <v>0</v>
      </c>
      <c r="IF69">
        <v>100</v>
      </c>
      <c r="IG69">
        <v>100</v>
      </c>
      <c r="IH69">
        <v>-2.377</v>
      </c>
      <c r="II69">
        <v>0.1297</v>
      </c>
      <c r="IJ69">
        <v>-1.064712027753117</v>
      </c>
      <c r="IK69">
        <v>-0.001826611574738555</v>
      </c>
      <c r="IL69">
        <v>3.313362389709971E-07</v>
      </c>
      <c r="IM69">
        <v>-1.629490614973607E-10</v>
      </c>
      <c r="IN69">
        <v>-0.09531406441470595</v>
      </c>
      <c r="IO69">
        <v>-0.008240702679890409</v>
      </c>
      <c r="IP69">
        <v>0.001077697425498046</v>
      </c>
      <c r="IQ69">
        <v>-1.69598232850356E-05</v>
      </c>
      <c r="IR69">
        <v>3</v>
      </c>
      <c r="IS69">
        <v>2280</v>
      </c>
      <c r="IT69">
        <v>1</v>
      </c>
      <c r="IU69">
        <v>25</v>
      </c>
      <c r="IV69">
        <v>1245.8</v>
      </c>
      <c r="IW69">
        <v>1243.2</v>
      </c>
      <c r="IX69">
        <v>1.85791</v>
      </c>
      <c r="IY69">
        <v>2.21558</v>
      </c>
      <c r="IZ69">
        <v>1.39648</v>
      </c>
      <c r="JA69">
        <v>2.35229</v>
      </c>
      <c r="JB69">
        <v>1.49536</v>
      </c>
      <c r="JC69">
        <v>2.31812</v>
      </c>
      <c r="JD69">
        <v>38.7717</v>
      </c>
      <c r="JE69">
        <v>24.0525</v>
      </c>
      <c r="JF69">
        <v>18</v>
      </c>
      <c r="JG69">
        <v>509.148</v>
      </c>
      <c r="JH69">
        <v>430.116</v>
      </c>
      <c r="JI69">
        <v>28.2576</v>
      </c>
      <c r="JJ69">
        <v>27.9176</v>
      </c>
      <c r="JK69">
        <v>30.0003</v>
      </c>
      <c r="JL69">
        <v>27.8274</v>
      </c>
      <c r="JM69">
        <v>27.7604</v>
      </c>
      <c r="JN69">
        <v>37.1942</v>
      </c>
      <c r="JO69">
        <v>29.5392</v>
      </c>
      <c r="JP69">
        <v>0</v>
      </c>
      <c r="JQ69">
        <v>-999.9</v>
      </c>
      <c r="JR69">
        <v>868.048</v>
      </c>
      <c r="JS69">
        <v>20.8896</v>
      </c>
      <c r="JT69">
        <v>100.511</v>
      </c>
      <c r="JU69">
        <v>100.413</v>
      </c>
    </row>
    <row r="70" spans="1:281">
      <c r="A70">
        <v>54</v>
      </c>
      <c r="B70">
        <v>1651772264</v>
      </c>
      <c r="C70">
        <v>386.4000000953674</v>
      </c>
      <c r="D70" t="s">
        <v>530</v>
      </c>
      <c r="E70" t="s">
        <v>531</v>
      </c>
      <c r="F70">
        <v>5</v>
      </c>
      <c r="H70" t="s">
        <v>417</v>
      </c>
      <c r="I70">
        <v>1651772261.2</v>
      </c>
      <c r="J70">
        <f>(K70)/1000</f>
        <v>0</v>
      </c>
      <c r="K70">
        <f>IF(CZ70, AN70, AH70)</f>
        <v>0</v>
      </c>
      <c r="L70">
        <f>IF(CZ70, AI70, AG70)</f>
        <v>0</v>
      </c>
      <c r="M70">
        <f>DB70 - IF(AU70&gt;1, L70*CV70*100.0/(AW70*DP70), 0)</f>
        <v>0</v>
      </c>
      <c r="N70">
        <f>((T70-J70/2)*M70-L70)/(T70+J70/2)</f>
        <v>0</v>
      </c>
      <c r="O70">
        <f>N70*(DI70+DJ70)/1000.0</f>
        <v>0</v>
      </c>
      <c r="P70">
        <f>(DB70 - IF(AU70&gt;1, L70*CV70*100.0/(AW70*DP70), 0))*(DI70+DJ70)/1000.0</f>
        <v>0</v>
      </c>
      <c r="Q70">
        <f>2.0/((1/S70-1/R70)+SIGN(S70)*SQRT((1/S70-1/R70)*(1/S70-1/R70) + 4*CW70/((CW70+1)*(CW70+1))*(2*1/S70*1/R70-1/R70*1/R70)))</f>
        <v>0</v>
      </c>
      <c r="R70">
        <f>IF(LEFT(CX70,1)&lt;&gt;"0",IF(LEFT(CX70,1)="1",3.0,CY70),$D$5+$E$5*(DP70*DI70/($K$5*1000))+$F$5*(DP70*DI70/($K$5*1000))*MAX(MIN(CV70,$J$5),$I$5)*MAX(MIN(CV70,$J$5),$I$5)+$G$5*MAX(MIN(CV70,$J$5),$I$5)*(DP70*DI70/($K$5*1000))+$H$5*(DP70*DI70/($K$5*1000))*(DP70*DI70/($K$5*1000)))</f>
        <v>0</v>
      </c>
      <c r="S70">
        <f>J70*(1000-(1000*0.61365*exp(17.502*W70/(240.97+W70))/(DI70+DJ70)+DD70)/2)/(1000*0.61365*exp(17.502*W70/(240.97+W70))/(DI70+DJ70)-DD70)</f>
        <v>0</v>
      </c>
      <c r="T70">
        <f>1/((CW70+1)/(Q70/1.6)+1/(R70/1.37)) + CW70/((CW70+1)/(Q70/1.6) + CW70/(R70/1.37))</f>
        <v>0</v>
      </c>
      <c r="U70">
        <f>(CR70*CU70)</f>
        <v>0</v>
      </c>
      <c r="V70">
        <f>(DK70+(U70+2*0.95*5.67E-8*(((DK70+$B$7)+273)^4-(DK70+273)^4)-44100*J70)/(1.84*29.3*R70+8*0.95*5.67E-8*(DK70+273)^3))</f>
        <v>0</v>
      </c>
      <c r="W70">
        <f>($C$7*DL70+$D$7*DM70+$E$7*V70)</f>
        <v>0</v>
      </c>
      <c r="X70">
        <f>0.61365*exp(17.502*W70/(240.97+W70))</f>
        <v>0</v>
      </c>
      <c r="Y70">
        <f>(Z70/AA70*100)</f>
        <v>0</v>
      </c>
      <c r="Z70">
        <f>DD70*(DI70+DJ70)/1000</f>
        <v>0</v>
      </c>
      <c r="AA70">
        <f>0.61365*exp(17.502*DK70/(240.97+DK70))</f>
        <v>0</v>
      </c>
      <c r="AB70">
        <f>(X70-DD70*(DI70+DJ70)/1000)</f>
        <v>0</v>
      </c>
      <c r="AC70">
        <f>(-J70*44100)</f>
        <v>0</v>
      </c>
      <c r="AD70">
        <f>2*29.3*R70*0.92*(DK70-W70)</f>
        <v>0</v>
      </c>
      <c r="AE70">
        <f>2*0.95*5.67E-8*(((DK70+$B$7)+273)^4-(W70+273)^4)</f>
        <v>0</v>
      </c>
      <c r="AF70">
        <f>U70+AE70+AC70+AD70</f>
        <v>0</v>
      </c>
      <c r="AG70">
        <f>DH70*AU70*(DC70-DB70*(1000-AU70*DE70)/(1000-AU70*DD70))/(100*CV70)</f>
        <v>0</v>
      </c>
      <c r="AH70">
        <f>1000*DH70*AU70*(DD70-DE70)/(100*CV70*(1000-AU70*DD70))</f>
        <v>0</v>
      </c>
      <c r="AI70">
        <f>(AJ70 - AK70 - DI70*1E3/(8.314*(DK70+273.15)) * AM70/DH70 * AL70) * DH70/(100*CV70) * (1000 - DE70)/1000</f>
        <v>0</v>
      </c>
      <c r="AJ70">
        <v>871.9330863563803</v>
      </c>
      <c r="AK70">
        <v>821.3848121212119</v>
      </c>
      <c r="AL70">
        <v>3.378397979055464</v>
      </c>
      <c r="AM70">
        <v>66.72507702095443</v>
      </c>
      <c r="AN70">
        <f>(AP70 - AO70 + DI70*1E3/(8.314*(DK70+273.15)) * AR70/DH70 * AQ70) * DH70/(100*CV70) * 1000/(1000 - AP70)</f>
        <v>0</v>
      </c>
      <c r="AO70">
        <v>20.93981828815931</v>
      </c>
      <c r="AP70">
        <v>26.81938545454544</v>
      </c>
      <c r="AQ70">
        <v>0.0004060478163503045</v>
      </c>
      <c r="AR70">
        <v>78.22078291278521</v>
      </c>
      <c r="AS70">
        <v>1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MAX(0,($B$13+$C$13*DP70)/(1+$D$13*DP70)*DI70/(DK70+273)*$E$13)</f>
        <v>0</v>
      </c>
      <c r="AX70" t="s">
        <v>418</v>
      </c>
      <c r="AY70" t="s">
        <v>418</v>
      </c>
      <c r="AZ70">
        <v>0</v>
      </c>
      <c r="BA70">
        <v>0</v>
      </c>
      <c r="BB70">
        <f>1-AZ70/BA70</f>
        <v>0</v>
      </c>
      <c r="BC70">
        <v>0</v>
      </c>
      <c r="BD70" t="s">
        <v>418</v>
      </c>
      <c r="BE70" t="s">
        <v>418</v>
      </c>
      <c r="BF70">
        <v>0</v>
      </c>
      <c r="BG70">
        <v>0</v>
      </c>
      <c r="BH70">
        <f>1-BF70/BG70</f>
        <v>0</v>
      </c>
      <c r="BI70">
        <v>0.5</v>
      </c>
      <c r="BJ70">
        <f>CS70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418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f>$B$11*DQ70+$C$11*DR70+$F$11*EC70*(1-EF70)</f>
        <v>0</v>
      </c>
      <c r="CS70">
        <f>CR70*CT70</f>
        <v>0</v>
      </c>
      <c r="CT70">
        <f>($B$11*$D$9+$C$11*$D$9+$F$11*((EP70+EH70)/MAX(EP70+EH70+EQ70, 0.1)*$I$9+EQ70/MAX(EP70+EH70+EQ70, 0.1)*$J$9))/($B$11+$C$11+$F$11)</f>
        <v>0</v>
      </c>
      <c r="CU70">
        <f>($B$11*$K$9+$C$11*$K$9+$F$11*((EP70+EH70)/MAX(EP70+EH70+EQ70, 0.1)*$P$9+EQ70/MAX(EP70+EH70+EQ70, 0.1)*$Q$9))/($B$11+$C$11+$F$11)</f>
        <v>0</v>
      </c>
      <c r="CV70">
        <v>6</v>
      </c>
      <c r="CW70">
        <v>0.5</v>
      </c>
      <c r="CX70" t="s">
        <v>419</v>
      </c>
      <c r="CY70">
        <v>2</v>
      </c>
      <c r="CZ70" t="b">
        <v>1</v>
      </c>
      <c r="DA70">
        <v>1651772261.2</v>
      </c>
      <c r="DB70">
        <v>791.7976</v>
      </c>
      <c r="DC70">
        <v>853.5337999999999</v>
      </c>
      <c r="DD70">
        <v>26.81076000000001</v>
      </c>
      <c r="DE70">
        <v>20.93995</v>
      </c>
      <c r="DF70">
        <v>794.1854999999999</v>
      </c>
      <c r="DG70">
        <v>26.68087</v>
      </c>
      <c r="DH70">
        <v>500.0429</v>
      </c>
      <c r="DI70">
        <v>90.30483999999998</v>
      </c>
      <c r="DJ70">
        <v>0.09992236999999998</v>
      </c>
      <c r="DK70">
        <v>29.26024</v>
      </c>
      <c r="DL70">
        <v>28.58236</v>
      </c>
      <c r="DM70">
        <v>999.9</v>
      </c>
      <c r="DN70">
        <v>0</v>
      </c>
      <c r="DO70">
        <v>0</v>
      </c>
      <c r="DP70">
        <v>10006.37</v>
      </c>
      <c r="DQ70">
        <v>0</v>
      </c>
      <c r="DR70">
        <v>13.265</v>
      </c>
      <c r="DS70">
        <v>-61.73622</v>
      </c>
      <c r="DT70">
        <v>813.611</v>
      </c>
      <c r="DU70">
        <v>871.7887999999999</v>
      </c>
      <c r="DV70">
        <v>5.870796</v>
      </c>
      <c r="DW70">
        <v>853.5337999999999</v>
      </c>
      <c r="DX70">
        <v>20.93995</v>
      </c>
      <c r="DY70">
        <v>2.42114</v>
      </c>
      <c r="DZ70">
        <v>1.890978</v>
      </c>
      <c r="EA70">
        <v>20.50587</v>
      </c>
      <c r="EB70">
        <v>16.55985</v>
      </c>
      <c r="EC70">
        <v>1499.982</v>
      </c>
      <c r="ED70">
        <v>0.9730079999999999</v>
      </c>
      <c r="EE70">
        <v>0.02699158</v>
      </c>
      <c r="EF70">
        <v>0</v>
      </c>
      <c r="EG70">
        <v>2.16416</v>
      </c>
      <c r="EH70">
        <v>0</v>
      </c>
      <c r="EI70">
        <v>15458.2</v>
      </c>
      <c r="EJ70">
        <v>12533.28</v>
      </c>
      <c r="EK70">
        <v>36.437</v>
      </c>
      <c r="EL70">
        <v>38</v>
      </c>
      <c r="EM70">
        <v>36.875</v>
      </c>
      <c r="EN70">
        <v>37.375</v>
      </c>
      <c r="EO70">
        <v>36.312</v>
      </c>
      <c r="EP70">
        <v>1459.492</v>
      </c>
      <c r="EQ70">
        <v>40.49</v>
      </c>
      <c r="ER70">
        <v>0</v>
      </c>
      <c r="ES70">
        <v>1651772265.2</v>
      </c>
      <c r="ET70">
        <v>0</v>
      </c>
      <c r="EU70">
        <v>2.305872</v>
      </c>
      <c r="EV70">
        <v>0.1904461764953164</v>
      </c>
      <c r="EW70">
        <v>-348.076923113593</v>
      </c>
      <c r="EX70">
        <v>15483.748</v>
      </c>
      <c r="EY70">
        <v>15</v>
      </c>
      <c r="EZ70">
        <v>0</v>
      </c>
      <c r="FA70" t="s">
        <v>420</v>
      </c>
      <c r="FB70">
        <v>1651697511.6</v>
      </c>
      <c r="FC70">
        <v>1651697666.1</v>
      </c>
      <c r="FD70">
        <v>0</v>
      </c>
      <c r="FE70">
        <v>-0.019</v>
      </c>
      <c r="FF70">
        <v>0.013</v>
      </c>
      <c r="FG70">
        <v>-2.121</v>
      </c>
      <c r="FH70">
        <v>0.041</v>
      </c>
      <c r="FI70">
        <v>420</v>
      </c>
      <c r="FJ70">
        <v>22</v>
      </c>
      <c r="FK70">
        <v>1.72</v>
      </c>
      <c r="FL70">
        <v>0.27</v>
      </c>
      <c r="FM70">
        <v>-61.47490000000001</v>
      </c>
      <c r="FN70">
        <v>-2.308333797909411</v>
      </c>
      <c r="FO70">
        <v>0.2354599256463101</v>
      </c>
      <c r="FP70">
        <v>0</v>
      </c>
      <c r="FQ70">
        <v>5.859507317073171</v>
      </c>
      <c r="FR70">
        <v>0.05420738675957323</v>
      </c>
      <c r="FS70">
        <v>0.007014273261519649</v>
      </c>
      <c r="FT70">
        <v>1</v>
      </c>
      <c r="FU70">
        <v>0</v>
      </c>
      <c r="FV70">
        <v>0</v>
      </c>
      <c r="FW70">
        <v>0</v>
      </c>
      <c r="FX70">
        <v>1</v>
      </c>
      <c r="FY70">
        <v>2</v>
      </c>
      <c r="FZ70">
        <v>3</v>
      </c>
      <c r="GA70" t="s">
        <v>421</v>
      </c>
      <c r="GB70">
        <v>2.98147</v>
      </c>
      <c r="GC70">
        <v>2.70621</v>
      </c>
      <c r="GD70">
        <v>0.149022</v>
      </c>
      <c r="GE70">
        <v>0.154667</v>
      </c>
      <c r="GF70">
        <v>0.114947</v>
      </c>
      <c r="GG70">
        <v>0.095456</v>
      </c>
      <c r="GH70">
        <v>26913.3</v>
      </c>
      <c r="GI70">
        <v>26789.3</v>
      </c>
      <c r="GJ70">
        <v>29402.5</v>
      </c>
      <c r="GK70">
        <v>29313.6</v>
      </c>
      <c r="GL70">
        <v>34448.5</v>
      </c>
      <c r="GM70">
        <v>35301.2</v>
      </c>
      <c r="GN70">
        <v>41391.5</v>
      </c>
      <c r="GO70">
        <v>41835.6</v>
      </c>
      <c r="GP70">
        <v>1.96308</v>
      </c>
      <c r="GQ70">
        <v>1.86215</v>
      </c>
      <c r="GR70">
        <v>0.06927179999999999</v>
      </c>
      <c r="GS70">
        <v>0</v>
      </c>
      <c r="GT70">
        <v>27.4447</v>
      </c>
      <c r="GU70">
        <v>999.9</v>
      </c>
      <c r="GV70">
        <v>44.8</v>
      </c>
      <c r="GW70">
        <v>35</v>
      </c>
      <c r="GX70">
        <v>28.0208</v>
      </c>
      <c r="GY70">
        <v>62.8908</v>
      </c>
      <c r="GZ70">
        <v>36.1619</v>
      </c>
      <c r="HA70">
        <v>1</v>
      </c>
      <c r="HB70">
        <v>0.0389914</v>
      </c>
      <c r="HC70">
        <v>0</v>
      </c>
      <c r="HD70">
        <v>20.3464</v>
      </c>
      <c r="HE70">
        <v>5.21699</v>
      </c>
      <c r="HF70">
        <v>12.0089</v>
      </c>
      <c r="HG70">
        <v>4.98905</v>
      </c>
      <c r="HH70">
        <v>3.28865</v>
      </c>
      <c r="HI70">
        <v>494.6</v>
      </c>
      <c r="HJ70">
        <v>3633.7</v>
      </c>
      <c r="HK70">
        <v>4564.3</v>
      </c>
      <c r="HL70">
        <v>17.8</v>
      </c>
      <c r="HM70">
        <v>1.86768</v>
      </c>
      <c r="HN70">
        <v>1.86661</v>
      </c>
      <c r="HO70">
        <v>1.86615</v>
      </c>
      <c r="HP70">
        <v>1.86605</v>
      </c>
      <c r="HQ70">
        <v>1.86785</v>
      </c>
      <c r="HR70">
        <v>1.87041</v>
      </c>
      <c r="HS70">
        <v>1.86905</v>
      </c>
      <c r="HT70">
        <v>1.87042</v>
      </c>
      <c r="HU70">
        <v>0</v>
      </c>
      <c r="HV70">
        <v>0</v>
      </c>
      <c r="HW70">
        <v>0</v>
      </c>
      <c r="HX70">
        <v>0</v>
      </c>
      <c r="HY70" t="s">
        <v>422</v>
      </c>
      <c r="HZ70" t="s">
        <v>423</v>
      </c>
      <c r="IA70" t="s">
        <v>424</v>
      </c>
      <c r="IB70" t="s">
        <v>424</v>
      </c>
      <c r="IC70" t="s">
        <v>424</v>
      </c>
      <c r="ID70" t="s">
        <v>424</v>
      </c>
      <c r="IE70">
        <v>0</v>
      </c>
      <c r="IF70">
        <v>100</v>
      </c>
      <c r="IG70">
        <v>100</v>
      </c>
      <c r="IH70">
        <v>-2.403</v>
      </c>
      <c r="II70">
        <v>0.1299</v>
      </c>
      <c r="IJ70">
        <v>-1.064712027753117</v>
      </c>
      <c r="IK70">
        <v>-0.001826611574738555</v>
      </c>
      <c r="IL70">
        <v>3.313362389709971E-07</v>
      </c>
      <c r="IM70">
        <v>-1.629490614973607E-10</v>
      </c>
      <c r="IN70">
        <v>-0.09531406441470595</v>
      </c>
      <c r="IO70">
        <v>-0.008240702679890409</v>
      </c>
      <c r="IP70">
        <v>0.001077697425498046</v>
      </c>
      <c r="IQ70">
        <v>-1.69598232850356E-05</v>
      </c>
      <c r="IR70">
        <v>3</v>
      </c>
      <c r="IS70">
        <v>2280</v>
      </c>
      <c r="IT70">
        <v>1</v>
      </c>
      <c r="IU70">
        <v>25</v>
      </c>
      <c r="IV70">
        <v>1245.9</v>
      </c>
      <c r="IW70">
        <v>1243.3</v>
      </c>
      <c r="IX70">
        <v>1.88599</v>
      </c>
      <c r="IY70">
        <v>2.21191</v>
      </c>
      <c r="IZ70">
        <v>1.39648</v>
      </c>
      <c r="JA70">
        <v>2.35229</v>
      </c>
      <c r="JB70">
        <v>1.49536</v>
      </c>
      <c r="JC70">
        <v>2.30225</v>
      </c>
      <c r="JD70">
        <v>38.7717</v>
      </c>
      <c r="JE70">
        <v>24.0525</v>
      </c>
      <c r="JF70">
        <v>18</v>
      </c>
      <c r="JG70">
        <v>509.169</v>
      </c>
      <c r="JH70">
        <v>430.149</v>
      </c>
      <c r="JI70">
        <v>28.2626</v>
      </c>
      <c r="JJ70">
        <v>27.92</v>
      </c>
      <c r="JK70">
        <v>30.0004</v>
      </c>
      <c r="JL70">
        <v>27.8298</v>
      </c>
      <c r="JM70">
        <v>27.7628</v>
      </c>
      <c r="JN70">
        <v>37.7441</v>
      </c>
      <c r="JO70">
        <v>29.5392</v>
      </c>
      <c r="JP70">
        <v>0</v>
      </c>
      <c r="JQ70">
        <v>-999.9</v>
      </c>
      <c r="JR70">
        <v>881.405</v>
      </c>
      <c r="JS70">
        <v>20.8517</v>
      </c>
      <c r="JT70">
        <v>100.512</v>
      </c>
      <c r="JU70">
        <v>100.412</v>
      </c>
    </row>
    <row r="71" spans="1:281">
      <c r="A71">
        <v>55</v>
      </c>
      <c r="B71">
        <v>1651772269</v>
      </c>
      <c r="C71">
        <v>391.4000000953674</v>
      </c>
      <c r="D71" t="s">
        <v>532</v>
      </c>
      <c r="E71" t="s">
        <v>533</v>
      </c>
      <c r="F71">
        <v>5</v>
      </c>
      <c r="H71" t="s">
        <v>417</v>
      </c>
      <c r="I71">
        <v>1651772266.5</v>
      </c>
      <c r="J71">
        <f>(K71)/1000</f>
        <v>0</v>
      </c>
      <c r="K71">
        <f>IF(CZ71, AN71, AH71)</f>
        <v>0</v>
      </c>
      <c r="L71">
        <f>IF(CZ71, AI71, AG71)</f>
        <v>0</v>
      </c>
      <c r="M71">
        <f>DB71 - IF(AU71&gt;1, L71*CV71*100.0/(AW71*DP71), 0)</f>
        <v>0</v>
      </c>
      <c r="N71">
        <f>((T71-J71/2)*M71-L71)/(T71+J71/2)</f>
        <v>0</v>
      </c>
      <c r="O71">
        <f>N71*(DI71+DJ71)/1000.0</f>
        <v>0</v>
      </c>
      <c r="P71">
        <f>(DB71 - IF(AU71&gt;1, L71*CV71*100.0/(AW71*DP71), 0))*(DI71+DJ71)/1000.0</f>
        <v>0</v>
      </c>
      <c r="Q71">
        <f>2.0/((1/S71-1/R71)+SIGN(S71)*SQRT((1/S71-1/R71)*(1/S71-1/R71) + 4*CW71/((CW71+1)*(CW71+1))*(2*1/S71*1/R71-1/R71*1/R71)))</f>
        <v>0</v>
      </c>
      <c r="R71">
        <f>IF(LEFT(CX71,1)&lt;&gt;"0",IF(LEFT(CX71,1)="1",3.0,CY71),$D$5+$E$5*(DP71*DI71/($K$5*1000))+$F$5*(DP71*DI71/($K$5*1000))*MAX(MIN(CV71,$J$5),$I$5)*MAX(MIN(CV71,$J$5),$I$5)+$G$5*MAX(MIN(CV71,$J$5),$I$5)*(DP71*DI71/($K$5*1000))+$H$5*(DP71*DI71/($K$5*1000))*(DP71*DI71/($K$5*1000)))</f>
        <v>0</v>
      </c>
      <c r="S71">
        <f>J71*(1000-(1000*0.61365*exp(17.502*W71/(240.97+W71))/(DI71+DJ71)+DD71)/2)/(1000*0.61365*exp(17.502*W71/(240.97+W71))/(DI71+DJ71)-DD71)</f>
        <v>0</v>
      </c>
      <c r="T71">
        <f>1/((CW71+1)/(Q71/1.6)+1/(R71/1.37)) + CW71/((CW71+1)/(Q71/1.6) + CW71/(R71/1.37))</f>
        <v>0</v>
      </c>
      <c r="U71">
        <f>(CR71*CU71)</f>
        <v>0</v>
      </c>
      <c r="V71">
        <f>(DK71+(U71+2*0.95*5.67E-8*(((DK71+$B$7)+273)^4-(DK71+273)^4)-44100*J71)/(1.84*29.3*R71+8*0.95*5.67E-8*(DK71+273)^3))</f>
        <v>0</v>
      </c>
      <c r="W71">
        <f>($C$7*DL71+$D$7*DM71+$E$7*V71)</f>
        <v>0</v>
      </c>
      <c r="X71">
        <f>0.61365*exp(17.502*W71/(240.97+W71))</f>
        <v>0</v>
      </c>
      <c r="Y71">
        <f>(Z71/AA71*100)</f>
        <v>0</v>
      </c>
      <c r="Z71">
        <f>DD71*(DI71+DJ71)/1000</f>
        <v>0</v>
      </c>
      <c r="AA71">
        <f>0.61365*exp(17.502*DK71/(240.97+DK71))</f>
        <v>0</v>
      </c>
      <c r="AB71">
        <f>(X71-DD71*(DI71+DJ71)/1000)</f>
        <v>0</v>
      </c>
      <c r="AC71">
        <f>(-J71*44100)</f>
        <v>0</v>
      </c>
      <c r="AD71">
        <f>2*29.3*R71*0.92*(DK71-W71)</f>
        <v>0</v>
      </c>
      <c r="AE71">
        <f>2*0.95*5.67E-8*(((DK71+$B$7)+273)^4-(W71+273)^4)</f>
        <v>0</v>
      </c>
      <c r="AF71">
        <f>U71+AE71+AC71+AD71</f>
        <v>0</v>
      </c>
      <c r="AG71">
        <f>DH71*AU71*(DC71-DB71*(1000-AU71*DE71)/(1000-AU71*DD71))/(100*CV71)</f>
        <v>0</v>
      </c>
      <c r="AH71">
        <f>1000*DH71*AU71*(DD71-DE71)/(100*CV71*(1000-AU71*DD71))</f>
        <v>0</v>
      </c>
      <c r="AI71">
        <f>(AJ71 - AK71 - DI71*1E3/(8.314*(DK71+273.15)) * AM71/DH71 * AL71) * DH71/(100*CV71) * (1000 - DE71)/1000</f>
        <v>0</v>
      </c>
      <c r="AJ71">
        <v>889.0428187534013</v>
      </c>
      <c r="AK71">
        <v>838.3886727272728</v>
      </c>
      <c r="AL71">
        <v>3.396642162906991</v>
      </c>
      <c r="AM71">
        <v>66.72507702095443</v>
      </c>
      <c r="AN71">
        <f>(AP71 - AO71 + DI71*1E3/(8.314*(DK71+273.15)) * AR71/DH71 * AQ71) * DH71/(100*CV71) * 1000/(1000 - AP71)</f>
        <v>0</v>
      </c>
      <c r="AO71">
        <v>20.93855493082259</v>
      </c>
      <c r="AP71">
        <v>26.83020060606061</v>
      </c>
      <c r="AQ71">
        <v>0.0001739717572483013</v>
      </c>
      <c r="AR71">
        <v>78.22078291278521</v>
      </c>
      <c r="AS71">
        <v>1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MAX(0,($B$13+$C$13*DP71)/(1+$D$13*DP71)*DI71/(DK71+273)*$E$13)</f>
        <v>0</v>
      </c>
      <c r="AX71" t="s">
        <v>418</v>
      </c>
      <c r="AY71" t="s">
        <v>418</v>
      </c>
      <c r="AZ71">
        <v>0</v>
      </c>
      <c r="BA71">
        <v>0</v>
      </c>
      <c r="BB71">
        <f>1-AZ71/BA71</f>
        <v>0</v>
      </c>
      <c r="BC71">
        <v>0</v>
      </c>
      <c r="BD71" t="s">
        <v>418</v>
      </c>
      <c r="BE71" t="s">
        <v>418</v>
      </c>
      <c r="BF71">
        <v>0</v>
      </c>
      <c r="BG71">
        <v>0</v>
      </c>
      <c r="BH71">
        <f>1-BF71/BG71</f>
        <v>0</v>
      </c>
      <c r="BI71">
        <v>0.5</v>
      </c>
      <c r="BJ71">
        <f>CS71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418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f>$B$11*DQ71+$C$11*DR71+$F$11*EC71*(1-EF71)</f>
        <v>0</v>
      </c>
      <c r="CS71">
        <f>CR71*CT71</f>
        <v>0</v>
      </c>
      <c r="CT71">
        <f>($B$11*$D$9+$C$11*$D$9+$F$11*((EP71+EH71)/MAX(EP71+EH71+EQ71, 0.1)*$I$9+EQ71/MAX(EP71+EH71+EQ71, 0.1)*$J$9))/($B$11+$C$11+$F$11)</f>
        <v>0</v>
      </c>
      <c r="CU71">
        <f>($B$11*$K$9+$C$11*$K$9+$F$11*((EP71+EH71)/MAX(EP71+EH71+EQ71, 0.1)*$P$9+EQ71/MAX(EP71+EH71+EQ71, 0.1)*$Q$9))/($B$11+$C$11+$F$11)</f>
        <v>0</v>
      </c>
      <c r="CV71">
        <v>6</v>
      </c>
      <c r="CW71">
        <v>0.5</v>
      </c>
      <c r="CX71" t="s">
        <v>419</v>
      </c>
      <c r="CY71">
        <v>2</v>
      </c>
      <c r="CZ71" t="b">
        <v>1</v>
      </c>
      <c r="DA71">
        <v>1651772266.5</v>
      </c>
      <c r="DB71">
        <v>809.2878888888889</v>
      </c>
      <c r="DC71">
        <v>871.3012222222222</v>
      </c>
      <c r="DD71">
        <v>26.82481111111111</v>
      </c>
      <c r="DE71">
        <v>20.93832222222222</v>
      </c>
      <c r="DF71">
        <v>811.704111111111</v>
      </c>
      <c r="DG71">
        <v>26.69476666666667</v>
      </c>
      <c r="DH71">
        <v>500.0473333333334</v>
      </c>
      <c r="DI71">
        <v>90.30421111111112</v>
      </c>
      <c r="DJ71">
        <v>0.1000001444444444</v>
      </c>
      <c r="DK71">
        <v>29.26397777777778</v>
      </c>
      <c r="DL71">
        <v>28.58318888888889</v>
      </c>
      <c r="DM71">
        <v>999.9000000000001</v>
      </c>
      <c r="DN71">
        <v>0</v>
      </c>
      <c r="DO71">
        <v>0</v>
      </c>
      <c r="DP71">
        <v>10003.81888888889</v>
      </c>
      <c r="DQ71">
        <v>0</v>
      </c>
      <c r="DR71">
        <v>13.265</v>
      </c>
      <c r="DS71">
        <v>-62.01333333333334</v>
      </c>
      <c r="DT71">
        <v>831.5954444444445</v>
      </c>
      <c r="DU71">
        <v>889.9349999999999</v>
      </c>
      <c r="DV71">
        <v>5.886492222222222</v>
      </c>
      <c r="DW71">
        <v>871.3012222222222</v>
      </c>
      <c r="DX71">
        <v>20.93832222222222</v>
      </c>
      <c r="DY71">
        <v>2.422392222222222</v>
      </c>
      <c r="DZ71">
        <v>1.890816666666667</v>
      </c>
      <c r="EA71">
        <v>20.51426666666667</v>
      </c>
      <c r="EB71">
        <v>16.55852222222222</v>
      </c>
      <c r="EC71">
        <v>1499.998888888889</v>
      </c>
      <c r="ED71">
        <v>0.9730078888888889</v>
      </c>
      <c r="EE71">
        <v>0.0269917</v>
      </c>
      <c r="EF71">
        <v>0</v>
      </c>
      <c r="EG71">
        <v>2.420722222222222</v>
      </c>
      <c r="EH71">
        <v>0</v>
      </c>
      <c r="EI71">
        <v>15422.48888888889</v>
      </c>
      <c r="EJ71">
        <v>12533.4</v>
      </c>
      <c r="EK71">
        <v>36.437</v>
      </c>
      <c r="EL71">
        <v>38</v>
      </c>
      <c r="EM71">
        <v>36.875</v>
      </c>
      <c r="EN71">
        <v>37.375</v>
      </c>
      <c r="EO71">
        <v>36.312</v>
      </c>
      <c r="EP71">
        <v>1459.507777777778</v>
      </c>
      <c r="EQ71">
        <v>40.49</v>
      </c>
      <c r="ER71">
        <v>0</v>
      </c>
      <c r="ES71">
        <v>1651772270</v>
      </c>
      <c r="ET71">
        <v>0</v>
      </c>
      <c r="EU71">
        <v>2.345864</v>
      </c>
      <c r="EV71">
        <v>0.2625692388682105</v>
      </c>
      <c r="EW71">
        <v>-388.5076917376604</v>
      </c>
      <c r="EX71">
        <v>15454.188</v>
      </c>
      <c r="EY71">
        <v>15</v>
      </c>
      <c r="EZ71">
        <v>0</v>
      </c>
      <c r="FA71" t="s">
        <v>420</v>
      </c>
      <c r="FB71">
        <v>1651697511.6</v>
      </c>
      <c r="FC71">
        <v>1651697666.1</v>
      </c>
      <c r="FD71">
        <v>0</v>
      </c>
      <c r="FE71">
        <v>-0.019</v>
      </c>
      <c r="FF71">
        <v>0.013</v>
      </c>
      <c r="FG71">
        <v>-2.121</v>
      </c>
      <c r="FH71">
        <v>0.041</v>
      </c>
      <c r="FI71">
        <v>420</v>
      </c>
      <c r="FJ71">
        <v>22</v>
      </c>
      <c r="FK71">
        <v>1.72</v>
      </c>
      <c r="FL71">
        <v>0.27</v>
      </c>
      <c r="FM71">
        <v>-61.67751463414636</v>
      </c>
      <c r="FN71">
        <v>-2.182388153310219</v>
      </c>
      <c r="FO71">
        <v>0.2226245439989037</v>
      </c>
      <c r="FP71">
        <v>0</v>
      </c>
      <c r="FQ71">
        <v>5.86638</v>
      </c>
      <c r="FR71">
        <v>0.1221675261324087</v>
      </c>
      <c r="FS71">
        <v>0.01236653253055472</v>
      </c>
      <c r="FT71">
        <v>1</v>
      </c>
      <c r="FU71">
        <v>0</v>
      </c>
      <c r="FV71">
        <v>0</v>
      </c>
      <c r="FW71">
        <v>0</v>
      </c>
      <c r="FX71">
        <v>1</v>
      </c>
      <c r="FY71">
        <v>2</v>
      </c>
      <c r="FZ71">
        <v>3</v>
      </c>
      <c r="GA71" t="s">
        <v>421</v>
      </c>
      <c r="GB71">
        <v>2.98146</v>
      </c>
      <c r="GC71">
        <v>2.70616</v>
      </c>
      <c r="GD71">
        <v>0.151059</v>
      </c>
      <c r="GE71">
        <v>0.156638</v>
      </c>
      <c r="GF71">
        <v>0.114977</v>
      </c>
      <c r="GG71">
        <v>0.0954387</v>
      </c>
      <c r="GH71">
        <v>26848.6</v>
      </c>
      <c r="GI71">
        <v>26726.8</v>
      </c>
      <c r="GJ71">
        <v>29402.1</v>
      </c>
      <c r="GK71">
        <v>29313.7</v>
      </c>
      <c r="GL71">
        <v>34446.9</v>
      </c>
      <c r="GM71">
        <v>35301.9</v>
      </c>
      <c r="GN71">
        <v>41390.9</v>
      </c>
      <c r="GO71">
        <v>41835.6</v>
      </c>
      <c r="GP71">
        <v>1.9628</v>
      </c>
      <c r="GQ71">
        <v>1.8621</v>
      </c>
      <c r="GR71">
        <v>0.0697374</v>
      </c>
      <c r="GS71">
        <v>0</v>
      </c>
      <c r="GT71">
        <v>27.4494</v>
      </c>
      <c r="GU71">
        <v>999.9</v>
      </c>
      <c r="GV71">
        <v>44.8</v>
      </c>
      <c r="GW71">
        <v>35</v>
      </c>
      <c r="GX71">
        <v>28.0211</v>
      </c>
      <c r="GY71">
        <v>62.7208</v>
      </c>
      <c r="GZ71">
        <v>36.1779</v>
      </c>
      <c r="HA71">
        <v>1</v>
      </c>
      <c r="HB71">
        <v>0.039314</v>
      </c>
      <c r="HC71">
        <v>0</v>
      </c>
      <c r="HD71">
        <v>20.3463</v>
      </c>
      <c r="HE71">
        <v>5.21789</v>
      </c>
      <c r="HF71">
        <v>12.0079</v>
      </c>
      <c r="HG71">
        <v>4.98935</v>
      </c>
      <c r="HH71">
        <v>3.28865</v>
      </c>
      <c r="HI71">
        <v>494.6</v>
      </c>
      <c r="HJ71">
        <v>3633.7</v>
      </c>
      <c r="HK71">
        <v>4564.3</v>
      </c>
      <c r="HL71">
        <v>17.8</v>
      </c>
      <c r="HM71">
        <v>1.86768</v>
      </c>
      <c r="HN71">
        <v>1.86661</v>
      </c>
      <c r="HO71">
        <v>1.86615</v>
      </c>
      <c r="HP71">
        <v>1.86604</v>
      </c>
      <c r="HQ71">
        <v>1.86784</v>
      </c>
      <c r="HR71">
        <v>1.87041</v>
      </c>
      <c r="HS71">
        <v>1.86905</v>
      </c>
      <c r="HT71">
        <v>1.87042</v>
      </c>
      <c r="HU71">
        <v>0</v>
      </c>
      <c r="HV71">
        <v>0</v>
      </c>
      <c r="HW71">
        <v>0</v>
      </c>
      <c r="HX71">
        <v>0</v>
      </c>
      <c r="HY71" t="s">
        <v>422</v>
      </c>
      <c r="HZ71" t="s">
        <v>423</v>
      </c>
      <c r="IA71" t="s">
        <v>424</v>
      </c>
      <c r="IB71" t="s">
        <v>424</v>
      </c>
      <c r="IC71" t="s">
        <v>424</v>
      </c>
      <c r="ID71" t="s">
        <v>424</v>
      </c>
      <c r="IE71">
        <v>0</v>
      </c>
      <c r="IF71">
        <v>100</v>
      </c>
      <c r="IG71">
        <v>100</v>
      </c>
      <c r="IH71">
        <v>-2.43</v>
      </c>
      <c r="II71">
        <v>0.1301</v>
      </c>
      <c r="IJ71">
        <v>-1.064712027753117</v>
      </c>
      <c r="IK71">
        <v>-0.001826611574738555</v>
      </c>
      <c r="IL71">
        <v>3.313362389709971E-07</v>
      </c>
      <c r="IM71">
        <v>-1.629490614973607E-10</v>
      </c>
      <c r="IN71">
        <v>-0.09531406441470595</v>
      </c>
      <c r="IO71">
        <v>-0.008240702679890409</v>
      </c>
      <c r="IP71">
        <v>0.001077697425498046</v>
      </c>
      <c r="IQ71">
        <v>-1.69598232850356E-05</v>
      </c>
      <c r="IR71">
        <v>3</v>
      </c>
      <c r="IS71">
        <v>2280</v>
      </c>
      <c r="IT71">
        <v>1</v>
      </c>
      <c r="IU71">
        <v>25</v>
      </c>
      <c r="IV71">
        <v>1246</v>
      </c>
      <c r="IW71">
        <v>1243.4</v>
      </c>
      <c r="IX71">
        <v>1.91528</v>
      </c>
      <c r="IY71">
        <v>2.21558</v>
      </c>
      <c r="IZ71">
        <v>1.39648</v>
      </c>
      <c r="JA71">
        <v>2.35352</v>
      </c>
      <c r="JB71">
        <v>1.49536</v>
      </c>
      <c r="JC71">
        <v>2.30225</v>
      </c>
      <c r="JD71">
        <v>38.7717</v>
      </c>
      <c r="JE71">
        <v>24.0525</v>
      </c>
      <c r="JF71">
        <v>18</v>
      </c>
      <c r="JG71">
        <v>509.011</v>
      </c>
      <c r="JH71">
        <v>430.136</v>
      </c>
      <c r="JI71">
        <v>28.2676</v>
      </c>
      <c r="JJ71">
        <v>27.923</v>
      </c>
      <c r="JK71">
        <v>30.0002</v>
      </c>
      <c r="JL71">
        <v>27.8321</v>
      </c>
      <c r="JM71">
        <v>27.7651</v>
      </c>
      <c r="JN71">
        <v>38.352</v>
      </c>
      <c r="JO71">
        <v>29.8438</v>
      </c>
      <c r="JP71">
        <v>0</v>
      </c>
      <c r="JQ71">
        <v>-999.9</v>
      </c>
      <c r="JR71">
        <v>901.439</v>
      </c>
      <c r="JS71">
        <v>20.8132</v>
      </c>
      <c r="JT71">
        <v>100.511</v>
      </c>
      <c r="JU71">
        <v>100.412</v>
      </c>
    </row>
    <row r="72" spans="1:281">
      <c r="A72">
        <v>56</v>
      </c>
      <c r="B72">
        <v>1651772274</v>
      </c>
      <c r="C72">
        <v>396.4000000953674</v>
      </c>
      <c r="D72" t="s">
        <v>534</v>
      </c>
      <c r="E72" t="s">
        <v>535</v>
      </c>
      <c r="F72">
        <v>5</v>
      </c>
      <c r="H72" t="s">
        <v>417</v>
      </c>
      <c r="I72">
        <v>1651772271.2</v>
      </c>
      <c r="J72">
        <f>(K72)/1000</f>
        <v>0</v>
      </c>
      <c r="K72">
        <f>IF(CZ72, AN72, AH72)</f>
        <v>0</v>
      </c>
      <c r="L72">
        <f>IF(CZ72, AI72, AG72)</f>
        <v>0</v>
      </c>
      <c r="M72">
        <f>DB72 - IF(AU72&gt;1, L72*CV72*100.0/(AW72*DP72), 0)</f>
        <v>0</v>
      </c>
      <c r="N72">
        <f>((T72-J72/2)*M72-L72)/(T72+J72/2)</f>
        <v>0</v>
      </c>
      <c r="O72">
        <f>N72*(DI72+DJ72)/1000.0</f>
        <v>0</v>
      </c>
      <c r="P72">
        <f>(DB72 - IF(AU72&gt;1, L72*CV72*100.0/(AW72*DP72), 0))*(DI72+DJ72)/1000.0</f>
        <v>0</v>
      </c>
      <c r="Q72">
        <f>2.0/((1/S72-1/R72)+SIGN(S72)*SQRT((1/S72-1/R72)*(1/S72-1/R72) + 4*CW72/((CW72+1)*(CW72+1))*(2*1/S72*1/R72-1/R72*1/R72)))</f>
        <v>0</v>
      </c>
      <c r="R72">
        <f>IF(LEFT(CX72,1)&lt;&gt;"0",IF(LEFT(CX72,1)="1",3.0,CY72),$D$5+$E$5*(DP72*DI72/($K$5*1000))+$F$5*(DP72*DI72/($K$5*1000))*MAX(MIN(CV72,$J$5),$I$5)*MAX(MIN(CV72,$J$5),$I$5)+$G$5*MAX(MIN(CV72,$J$5),$I$5)*(DP72*DI72/($K$5*1000))+$H$5*(DP72*DI72/($K$5*1000))*(DP72*DI72/($K$5*1000)))</f>
        <v>0</v>
      </c>
      <c r="S72">
        <f>J72*(1000-(1000*0.61365*exp(17.502*W72/(240.97+W72))/(DI72+DJ72)+DD72)/2)/(1000*0.61365*exp(17.502*W72/(240.97+W72))/(DI72+DJ72)-DD72)</f>
        <v>0</v>
      </c>
      <c r="T72">
        <f>1/((CW72+1)/(Q72/1.6)+1/(R72/1.37)) + CW72/((CW72+1)/(Q72/1.6) + CW72/(R72/1.37))</f>
        <v>0</v>
      </c>
      <c r="U72">
        <f>(CR72*CU72)</f>
        <v>0</v>
      </c>
      <c r="V72">
        <f>(DK72+(U72+2*0.95*5.67E-8*(((DK72+$B$7)+273)^4-(DK72+273)^4)-44100*J72)/(1.84*29.3*R72+8*0.95*5.67E-8*(DK72+273)^3))</f>
        <v>0</v>
      </c>
      <c r="W72">
        <f>($C$7*DL72+$D$7*DM72+$E$7*V72)</f>
        <v>0</v>
      </c>
      <c r="X72">
        <f>0.61365*exp(17.502*W72/(240.97+W72))</f>
        <v>0</v>
      </c>
      <c r="Y72">
        <f>(Z72/AA72*100)</f>
        <v>0</v>
      </c>
      <c r="Z72">
        <f>DD72*(DI72+DJ72)/1000</f>
        <v>0</v>
      </c>
      <c r="AA72">
        <f>0.61365*exp(17.502*DK72/(240.97+DK72))</f>
        <v>0</v>
      </c>
      <c r="AB72">
        <f>(X72-DD72*(DI72+DJ72)/1000)</f>
        <v>0</v>
      </c>
      <c r="AC72">
        <f>(-J72*44100)</f>
        <v>0</v>
      </c>
      <c r="AD72">
        <f>2*29.3*R72*0.92*(DK72-W72)</f>
        <v>0</v>
      </c>
      <c r="AE72">
        <f>2*0.95*5.67E-8*(((DK72+$B$7)+273)^4-(W72+273)^4)</f>
        <v>0</v>
      </c>
      <c r="AF72">
        <f>U72+AE72+AC72+AD72</f>
        <v>0</v>
      </c>
      <c r="AG72">
        <f>DH72*AU72*(DC72-DB72*(1000-AU72*DE72)/(1000-AU72*DD72))/(100*CV72)</f>
        <v>0</v>
      </c>
      <c r="AH72">
        <f>1000*DH72*AU72*(DD72-DE72)/(100*CV72*(1000-AU72*DD72))</f>
        <v>0</v>
      </c>
      <c r="AI72">
        <f>(AJ72 - AK72 - DI72*1E3/(8.314*(DK72+273.15)) * AM72/DH72 * AL72) * DH72/(100*CV72) * (1000 - DE72)/1000</f>
        <v>0</v>
      </c>
      <c r="AJ72">
        <v>906.1293646679144</v>
      </c>
      <c r="AK72">
        <v>855.4728909090908</v>
      </c>
      <c r="AL72">
        <v>3.417644272878754</v>
      </c>
      <c r="AM72">
        <v>66.72507702095443</v>
      </c>
      <c r="AN72">
        <f>(AP72 - AO72 + DI72*1E3/(8.314*(DK72+273.15)) * AR72/DH72 * AQ72) * DH72/(100*CV72) * 1000/(1000 - AP72)</f>
        <v>0</v>
      </c>
      <c r="AO72">
        <v>20.91079468750062</v>
      </c>
      <c r="AP72">
        <v>26.82939333333332</v>
      </c>
      <c r="AQ72">
        <v>7.942227275782387E-05</v>
      </c>
      <c r="AR72">
        <v>78.22078291278521</v>
      </c>
      <c r="AS72">
        <v>1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MAX(0,($B$13+$C$13*DP72)/(1+$D$13*DP72)*DI72/(DK72+273)*$E$13)</f>
        <v>0</v>
      </c>
      <c r="AX72" t="s">
        <v>418</v>
      </c>
      <c r="AY72" t="s">
        <v>418</v>
      </c>
      <c r="AZ72">
        <v>0</v>
      </c>
      <c r="BA72">
        <v>0</v>
      </c>
      <c r="BB72">
        <f>1-AZ72/BA72</f>
        <v>0</v>
      </c>
      <c r="BC72">
        <v>0</v>
      </c>
      <c r="BD72" t="s">
        <v>418</v>
      </c>
      <c r="BE72" t="s">
        <v>418</v>
      </c>
      <c r="BF72">
        <v>0</v>
      </c>
      <c r="BG72">
        <v>0</v>
      </c>
      <c r="BH72">
        <f>1-BF72/BG72</f>
        <v>0</v>
      </c>
      <c r="BI72">
        <v>0.5</v>
      </c>
      <c r="BJ72">
        <f>CS72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418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f>$B$11*DQ72+$C$11*DR72+$F$11*EC72*(1-EF72)</f>
        <v>0</v>
      </c>
      <c r="CS72">
        <f>CR72*CT72</f>
        <v>0</v>
      </c>
      <c r="CT72">
        <f>($B$11*$D$9+$C$11*$D$9+$F$11*((EP72+EH72)/MAX(EP72+EH72+EQ72, 0.1)*$I$9+EQ72/MAX(EP72+EH72+EQ72, 0.1)*$J$9))/($B$11+$C$11+$F$11)</f>
        <v>0</v>
      </c>
      <c r="CU72">
        <f>($B$11*$K$9+$C$11*$K$9+$F$11*((EP72+EH72)/MAX(EP72+EH72+EQ72, 0.1)*$P$9+EQ72/MAX(EP72+EH72+EQ72, 0.1)*$Q$9))/($B$11+$C$11+$F$11)</f>
        <v>0</v>
      </c>
      <c r="CV72">
        <v>6</v>
      </c>
      <c r="CW72">
        <v>0.5</v>
      </c>
      <c r="CX72" t="s">
        <v>419</v>
      </c>
      <c r="CY72">
        <v>2</v>
      </c>
      <c r="CZ72" t="b">
        <v>1</v>
      </c>
      <c r="DA72">
        <v>1651772271.2</v>
      </c>
      <c r="DB72">
        <v>824.8724</v>
      </c>
      <c r="DC72">
        <v>887.0566999999999</v>
      </c>
      <c r="DD72">
        <v>26.83176</v>
      </c>
      <c r="DE72">
        <v>20.90834</v>
      </c>
      <c r="DF72">
        <v>827.3137</v>
      </c>
      <c r="DG72">
        <v>26.70159</v>
      </c>
      <c r="DH72">
        <v>500.0426</v>
      </c>
      <c r="DI72">
        <v>90.30340000000001</v>
      </c>
      <c r="DJ72">
        <v>0.1000384</v>
      </c>
      <c r="DK72">
        <v>29.2686</v>
      </c>
      <c r="DL72">
        <v>28.58393</v>
      </c>
      <c r="DM72">
        <v>999.9</v>
      </c>
      <c r="DN72">
        <v>0</v>
      </c>
      <c r="DO72">
        <v>0</v>
      </c>
      <c r="DP72">
        <v>9994.875</v>
      </c>
      <c r="DQ72">
        <v>0</v>
      </c>
      <c r="DR72">
        <v>13.25206</v>
      </c>
      <c r="DS72">
        <v>-62.18428</v>
      </c>
      <c r="DT72">
        <v>847.6154</v>
      </c>
      <c r="DU72">
        <v>905.9994</v>
      </c>
      <c r="DV72">
        <v>5.923421</v>
      </c>
      <c r="DW72">
        <v>887.0566999999999</v>
      </c>
      <c r="DX72">
        <v>20.90834</v>
      </c>
      <c r="DY72">
        <v>2.423</v>
      </c>
      <c r="DZ72">
        <v>1.888092</v>
      </c>
      <c r="EA72">
        <v>20.51832</v>
      </c>
      <c r="EB72">
        <v>16.53584</v>
      </c>
      <c r="EC72">
        <v>1500.021</v>
      </c>
      <c r="ED72">
        <v>0.9730089999999999</v>
      </c>
      <c r="EE72">
        <v>0.0269905</v>
      </c>
      <c r="EF72">
        <v>0</v>
      </c>
      <c r="EG72">
        <v>2.36167</v>
      </c>
      <c r="EH72">
        <v>0</v>
      </c>
      <c r="EI72">
        <v>15387.9</v>
      </c>
      <c r="EJ72">
        <v>12533.59</v>
      </c>
      <c r="EK72">
        <v>36.437</v>
      </c>
      <c r="EL72">
        <v>38</v>
      </c>
      <c r="EM72">
        <v>36.875</v>
      </c>
      <c r="EN72">
        <v>37.375</v>
      </c>
      <c r="EO72">
        <v>36.312</v>
      </c>
      <c r="EP72">
        <v>1459.531</v>
      </c>
      <c r="EQ72">
        <v>40.49</v>
      </c>
      <c r="ER72">
        <v>0</v>
      </c>
      <c r="ES72">
        <v>1651772274.8</v>
      </c>
      <c r="ET72">
        <v>0</v>
      </c>
      <c r="EU72">
        <v>2.3271</v>
      </c>
      <c r="EV72">
        <v>0.2976384740903988</v>
      </c>
      <c r="EW72">
        <v>-423.0692315134181</v>
      </c>
      <c r="EX72">
        <v>15421.7</v>
      </c>
      <c r="EY72">
        <v>15</v>
      </c>
      <c r="EZ72">
        <v>0</v>
      </c>
      <c r="FA72" t="s">
        <v>420</v>
      </c>
      <c r="FB72">
        <v>1651697511.6</v>
      </c>
      <c r="FC72">
        <v>1651697666.1</v>
      </c>
      <c r="FD72">
        <v>0</v>
      </c>
      <c r="FE72">
        <v>-0.019</v>
      </c>
      <c r="FF72">
        <v>0.013</v>
      </c>
      <c r="FG72">
        <v>-2.121</v>
      </c>
      <c r="FH72">
        <v>0.041</v>
      </c>
      <c r="FI72">
        <v>420</v>
      </c>
      <c r="FJ72">
        <v>22</v>
      </c>
      <c r="FK72">
        <v>1.72</v>
      </c>
      <c r="FL72">
        <v>0.27</v>
      </c>
      <c r="FM72">
        <v>-61.89808499999999</v>
      </c>
      <c r="FN72">
        <v>-2.183437148217648</v>
      </c>
      <c r="FO72">
        <v>0.2184441078971922</v>
      </c>
      <c r="FP72">
        <v>0</v>
      </c>
      <c r="FQ72">
        <v>5.885426</v>
      </c>
      <c r="FR72">
        <v>0.2463354596622785</v>
      </c>
      <c r="FS72">
        <v>0.02559991423813756</v>
      </c>
      <c r="FT72">
        <v>1</v>
      </c>
      <c r="FU72">
        <v>0</v>
      </c>
      <c r="FV72">
        <v>0</v>
      </c>
      <c r="FW72">
        <v>0</v>
      </c>
      <c r="FX72">
        <v>1</v>
      </c>
      <c r="FY72">
        <v>2</v>
      </c>
      <c r="FZ72">
        <v>3</v>
      </c>
      <c r="GA72" t="s">
        <v>421</v>
      </c>
      <c r="GB72">
        <v>2.98137</v>
      </c>
      <c r="GC72">
        <v>2.70605</v>
      </c>
      <c r="GD72">
        <v>0.153085</v>
      </c>
      <c r="GE72">
        <v>0.158589</v>
      </c>
      <c r="GF72">
        <v>0.114969</v>
      </c>
      <c r="GG72">
        <v>0.0952668</v>
      </c>
      <c r="GH72">
        <v>26784.3</v>
      </c>
      <c r="GI72">
        <v>26664.8</v>
      </c>
      <c r="GJ72">
        <v>29401.9</v>
      </c>
      <c r="GK72">
        <v>29313.4</v>
      </c>
      <c r="GL72">
        <v>34446.8</v>
      </c>
      <c r="GM72">
        <v>35308.6</v>
      </c>
      <c r="GN72">
        <v>41390.3</v>
      </c>
      <c r="GO72">
        <v>41835.4</v>
      </c>
      <c r="GP72">
        <v>1.96273</v>
      </c>
      <c r="GQ72">
        <v>1.8623</v>
      </c>
      <c r="GR72">
        <v>0.0694208</v>
      </c>
      <c r="GS72">
        <v>0</v>
      </c>
      <c r="GT72">
        <v>27.4539</v>
      </c>
      <c r="GU72">
        <v>999.9</v>
      </c>
      <c r="GV72">
        <v>44.8</v>
      </c>
      <c r="GW72">
        <v>35</v>
      </c>
      <c r="GX72">
        <v>28.0194</v>
      </c>
      <c r="GY72">
        <v>62.7908</v>
      </c>
      <c r="GZ72">
        <v>36.242</v>
      </c>
      <c r="HA72">
        <v>1</v>
      </c>
      <c r="HB72">
        <v>0.0395376</v>
      </c>
      <c r="HC72">
        <v>0</v>
      </c>
      <c r="HD72">
        <v>20.3464</v>
      </c>
      <c r="HE72">
        <v>5.21714</v>
      </c>
      <c r="HF72">
        <v>12.0086</v>
      </c>
      <c r="HG72">
        <v>4.9887</v>
      </c>
      <c r="HH72">
        <v>3.28865</v>
      </c>
      <c r="HI72">
        <v>494.8</v>
      </c>
      <c r="HJ72">
        <v>3635.2</v>
      </c>
      <c r="HK72">
        <v>4564.3</v>
      </c>
      <c r="HL72">
        <v>17.8</v>
      </c>
      <c r="HM72">
        <v>1.86768</v>
      </c>
      <c r="HN72">
        <v>1.86662</v>
      </c>
      <c r="HO72">
        <v>1.86615</v>
      </c>
      <c r="HP72">
        <v>1.86607</v>
      </c>
      <c r="HQ72">
        <v>1.86784</v>
      </c>
      <c r="HR72">
        <v>1.8704</v>
      </c>
      <c r="HS72">
        <v>1.86905</v>
      </c>
      <c r="HT72">
        <v>1.87042</v>
      </c>
      <c r="HU72">
        <v>0</v>
      </c>
      <c r="HV72">
        <v>0</v>
      </c>
      <c r="HW72">
        <v>0</v>
      </c>
      <c r="HX72">
        <v>0</v>
      </c>
      <c r="HY72" t="s">
        <v>422</v>
      </c>
      <c r="HZ72" t="s">
        <v>423</v>
      </c>
      <c r="IA72" t="s">
        <v>424</v>
      </c>
      <c r="IB72" t="s">
        <v>424</v>
      </c>
      <c r="IC72" t="s">
        <v>424</v>
      </c>
      <c r="ID72" t="s">
        <v>424</v>
      </c>
      <c r="IE72">
        <v>0</v>
      </c>
      <c r="IF72">
        <v>100</v>
      </c>
      <c r="IG72">
        <v>100</v>
      </c>
      <c r="IH72">
        <v>-2.456</v>
      </c>
      <c r="II72">
        <v>0.1301</v>
      </c>
      <c r="IJ72">
        <v>-1.064712027753117</v>
      </c>
      <c r="IK72">
        <v>-0.001826611574738555</v>
      </c>
      <c r="IL72">
        <v>3.313362389709971E-07</v>
      </c>
      <c r="IM72">
        <v>-1.629490614973607E-10</v>
      </c>
      <c r="IN72">
        <v>-0.09531406441470595</v>
      </c>
      <c r="IO72">
        <v>-0.008240702679890409</v>
      </c>
      <c r="IP72">
        <v>0.001077697425498046</v>
      </c>
      <c r="IQ72">
        <v>-1.69598232850356E-05</v>
      </c>
      <c r="IR72">
        <v>3</v>
      </c>
      <c r="IS72">
        <v>2280</v>
      </c>
      <c r="IT72">
        <v>1</v>
      </c>
      <c r="IU72">
        <v>25</v>
      </c>
      <c r="IV72">
        <v>1246</v>
      </c>
      <c r="IW72">
        <v>1243.5</v>
      </c>
      <c r="IX72">
        <v>1.94336</v>
      </c>
      <c r="IY72">
        <v>2.20825</v>
      </c>
      <c r="IZ72">
        <v>1.39648</v>
      </c>
      <c r="JA72">
        <v>2.35229</v>
      </c>
      <c r="JB72">
        <v>1.49536</v>
      </c>
      <c r="JC72">
        <v>2.30835</v>
      </c>
      <c r="JD72">
        <v>38.7717</v>
      </c>
      <c r="JE72">
        <v>24.0525</v>
      </c>
      <c r="JF72">
        <v>18</v>
      </c>
      <c r="JG72">
        <v>508.982</v>
      </c>
      <c r="JH72">
        <v>430.273</v>
      </c>
      <c r="JI72">
        <v>28.2727</v>
      </c>
      <c r="JJ72">
        <v>27.926</v>
      </c>
      <c r="JK72">
        <v>30.0004</v>
      </c>
      <c r="JL72">
        <v>27.8344</v>
      </c>
      <c r="JM72">
        <v>27.7674</v>
      </c>
      <c r="JN72">
        <v>38.8917</v>
      </c>
      <c r="JO72">
        <v>29.8438</v>
      </c>
      <c r="JP72">
        <v>0</v>
      </c>
      <c r="JQ72">
        <v>-999.9</v>
      </c>
      <c r="JR72">
        <v>914.795</v>
      </c>
      <c r="JS72">
        <v>20.7916</v>
      </c>
      <c r="JT72">
        <v>100.51</v>
      </c>
      <c r="JU72">
        <v>100.412</v>
      </c>
    </row>
    <row r="73" spans="1:281">
      <c r="A73">
        <v>57</v>
      </c>
      <c r="B73">
        <v>1651772279</v>
      </c>
      <c r="C73">
        <v>401.4000000953674</v>
      </c>
      <c r="D73" t="s">
        <v>536</v>
      </c>
      <c r="E73" t="s">
        <v>537</v>
      </c>
      <c r="F73">
        <v>5</v>
      </c>
      <c r="H73" t="s">
        <v>417</v>
      </c>
      <c r="I73">
        <v>1651772276.5</v>
      </c>
      <c r="J73">
        <f>(K73)/1000</f>
        <v>0</v>
      </c>
      <c r="K73">
        <f>IF(CZ73, AN73, AH73)</f>
        <v>0</v>
      </c>
      <c r="L73">
        <f>IF(CZ73, AI73, AG73)</f>
        <v>0</v>
      </c>
      <c r="M73">
        <f>DB73 - IF(AU73&gt;1, L73*CV73*100.0/(AW73*DP73), 0)</f>
        <v>0</v>
      </c>
      <c r="N73">
        <f>((T73-J73/2)*M73-L73)/(T73+J73/2)</f>
        <v>0</v>
      </c>
      <c r="O73">
        <f>N73*(DI73+DJ73)/1000.0</f>
        <v>0</v>
      </c>
      <c r="P73">
        <f>(DB73 - IF(AU73&gt;1, L73*CV73*100.0/(AW73*DP73), 0))*(DI73+DJ73)/1000.0</f>
        <v>0</v>
      </c>
      <c r="Q73">
        <f>2.0/((1/S73-1/R73)+SIGN(S73)*SQRT((1/S73-1/R73)*(1/S73-1/R73) + 4*CW73/((CW73+1)*(CW73+1))*(2*1/S73*1/R73-1/R73*1/R73)))</f>
        <v>0</v>
      </c>
      <c r="R73">
        <f>IF(LEFT(CX73,1)&lt;&gt;"0",IF(LEFT(CX73,1)="1",3.0,CY73),$D$5+$E$5*(DP73*DI73/($K$5*1000))+$F$5*(DP73*DI73/($K$5*1000))*MAX(MIN(CV73,$J$5),$I$5)*MAX(MIN(CV73,$J$5),$I$5)+$G$5*MAX(MIN(CV73,$J$5),$I$5)*(DP73*DI73/($K$5*1000))+$H$5*(DP73*DI73/($K$5*1000))*(DP73*DI73/($K$5*1000)))</f>
        <v>0</v>
      </c>
      <c r="S73">
        <f>J73*(1000-(1000*0.61365*exp(17.502*W73/(240.97+W73))/(DI73+DJ73)+DD73)/2)/(1000*0.61365*exp(17.502*W73/(240.97+W73))/(DI73+DJ73)-DD73)</f>
        <v>0</v>
      </c>
      <c r="T73">
        <f>1/((CW73+1)/(Q73/1.6)+1/(R73/1.37)) + CW73/((CW73+1)/(Q73/1.6) + CW73/(R73/1.37))</f>
        <v>0</v>
      </c>
      <c r="U73">
        <f>(CR73*CU73)</f>
        <v>0</v>
      </c>
      <c r="V73">
        <f>(DK73+(U73+2*0.95*5.67E-8*(((DK73+$B$7)+273)^4-(DK73+273)^4)-44100*J73)/(1.84*29.3*R73+8*0.95*5.67E-8*(DK73+273)^3))</f>
        <v>0</v>
      </c>
      <c r="W73">
        <f>($C$7*DL73+$D$7*DM73+$E$7*V73)</f>
        <v>0</v>
      </c>
      <c r="X73">
        <f>0.61365*exp(17.502*W73/(240.97+W73))</f>
        <v>0</v>
      </c>
      <c r="Y73">
        <f>(Z73/AA73*100)</f>
        <v>0</v>
      </c>
      <c r="Z73">
        <f>DD73*(DI73+DJ73)/1000</f>
        <v>0</v>
      </c>
      <c r="AA73">
        <f>0.61365*exp(17.502*DK73/(240.97+DK73))</f>
        <v>0</v>
      </c>
      <c r="AB73">
        <f>(X73-DD73*(DI73+DJ73)/1000)</f>
        <v>0</v>
      </c>
      <c r="AC73">
        <f>(-J73*44100)</f>
        <v>0</v>
      </c>
      <c r="AD73">
        <f>2*29.3*R73*0.92*(DK73-W73)</f>
        <v>0</v>
      </c>
      <c r="AE73">
        <f>2*0.95*5.67E-8*(((DK73+$B$7)+273)^4-(W73+273)^4)</f>
        <v>0</v>
      </c>
      <c r="AF73">
        <f>U73+AE73+AC73+AD73</f>
        <v>0</v>
      </c>
      <c r="AG73">
        <f>DH73*AU73*(DC73-DB73*(1000-AU73*DE73)/(1000-AU73*DD73))/(100*CV73)</f>
        <v>0</v>
      </c>
      <c r="AH73">
        <f>1000*DH73*AU73*(DD73-DE73)/(100*CV73*(1000-AU73*DD73))</f>
        <v>0</v>
      </c>
      <c r="AI73">
        <f>(AJ73 - AK73 - DI73*1E3/(8.314*(DK73+273.15)) * AM73/DH73 * AL73) * DH73/(100*CV73) * (1000 - DE73)/1000</f>
        <v>0</v>
      </c>
      <c r="AJ73">
        <v>923.2979167975311</v>
      </c>
      <c r="AK73">
        <v>872.5656303030305</v>
      </c>
      <c r="AL73">
        <v>3.419875491974973</v>
      </c>
      <c r="AM73">
        <v>66.72507702095443</v>
      </c>
      <c r="AN73">
        <f>(AP73 - AO73 + DI73*1E3/(8.314*(DK73+273.15)) * AR73/DH73 * AQ73) * DH73/(100*CV73) * 1000/(1000 - AP73)</f>
        <v>0</v>
      </c>
      <c r="AO73">
        <v>20.87648941552109</v>
      </c>
      <c r="AP73">
        <v>26.81352363636362</v>
      </c>
      <c r="AQ73">
        <v>-0.0002311175077718333</v>
      </c>
      <c r="AR73">
        <v>78.22078291278521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MAX(0,($B$13+$C$13*DP73)/(1+$D$13*DP73)*DI73/(DK73+273)*$E$13)</f>
        <v>0</v>
      </c>
      <c r="AX73" t="s">
        <v>418</v>
      </c>
      <c r="AY73" t="s">
        <v>418</v>
      </c>
      <c r="AZ73">
        <v>0</v>
      </c>
      <c r="BA73">
        <v>0</v>
      </c>
      <c r="BB73">
        <f>1-AZ73/BA73</f>
        <v>0</v>
      </c>
      <c r="BC73">
        <v>0</v>
      </c>
      <c r="BD73" t="s">
        <v>418</v>
      </c>
      <c r="BE73" t="s">
        <v>418</v>
      </c>
      <c r="BF73">
        <v>0</v>
      </c>
      <c r="BG73">
        <v>0</v>
      </c>
      <c r="BH73">
        <f>1-BF73/BG73</f>
        <v>0</v>
      </c>
      <c r="BI73">
        <v>0.5</v>
      </c>
      <c r="BJ73">
        <f>CS73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418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f>$B$11*DQ73+$C$11*DR73+$F$11*EC73*(1-EF73)</f>
        <v>0</v>
      </c>
      <c r="CS73">
        <f>CR73*CT73</f>
        <v>0</v>
      </c>
      <c r="CT73">
        <f>($B$11*$D$9+$C$11*$D$9+$F$11*((EP73+EH73)/MAX(EP73+EH73+EQ73, 0.1)*$I$9+EQ73/MAX(EP73+EH73+EQ73, 0.1)*$J$9))/($B$11+$C$11+$F$11)</f>
        <v>0</v>
      </c>
      <c r="CU73">
        <f>($B$11*$K$9+$C$11*$K$9+$F$11*((EP73+EH73)/MAX(EP73+EH73+EQ73, 0.1)*$P$9+EQ73/MAX(EP73+EH73+EQ73, 0.1)*$Q$9))/($B$11+$C$11+$F$11)</f>
        <v>0</v>
      </c>
      <c r="CV73">
        <v>6</v>
      </c>
      <c r="CW73">
        <v>0.5</v>
      </c>
      <c r="CX73" t="s">
        <v>419</v>
      </c>
      <c r="CY73">
        <v>2</v>
      </c>
      <c r="CZ73" t="b">
        <v>1</v>
      </c>
      <c r="DA73">
        <v>1651772276.5</v>
      </c>
      <c r="DB73">
        <v>842.5053333333333</v>
      </c>
      <c r="DC73">
        <v>904.8767777777779</v>
      </c>
      <c r="DD73">
        <v>26.81928888888889</v>
      </c>
      <c r="DE73">
        <v>20.87597777777778</v>
      </c>
      <c r="DF73">
        <v>844.975111111111</v>
      </c>
      <c r="DG73">
        <v>26.68933333333333</v>
      </c>
      <c r="DH73">
        <v>500.0404444444444</v>
      </c>
      <c r="DI73">
        <v>90.30434444444445</v>
      </c>
      <c r="DJ73">
        <v>0.09996477777777778</v>
      </c>
      <c r="DK73">
        <v>29.27072222222222</v>
      </c>
      <c r="DL73">
        <v>28.59031111111111</v>
      </c>
      <c r="DM73">
        <v>999.9000000000001</v>
      </c>
      <c r="DN73">
        <v>0</v>
      </c>
      <c r="DO73">
        <v>0</v>
      </c>
      <c r="DP73">
        <v>10009.23111111111</v>
      </c>
      <c r="DQ73">
        <v>0</v>
      </c>
      <c r="DR73">
        <v>13.22672222222222</v>
      </c>
      <c r="DS73">
        <v>-62.37148888888888</v>
      </c>
      <c r="DT73">
        <v>865.7232222222223</v>
      </c>
      <c r="DU73">
        <v>924.1697777777778</v>
      </c>
      <c r="DV73">
        <v>5.943314444444444</v>
      </c>
      <c r="DW73">
        <v>904.8767777777779</v>
      </c>
      <c r="DX73">
        <v>20.87597777777778</v>
      </c>
      <c r="DY73">
        <v>2.421898888888889</v>
      </c>
      <c r="DZ73">
        <v>1.885191111111111</v>
      </c>
      <c r="EA73">
        <v>20.51094444444444</v>
      </c>
      <c r="EB73">
        <v>16.51164444444445</v>
      </c>
      <c r="EC73">
        <v>1499.945555555556</v>
      </c>
      <c r="ED73">
        <v>0.9730073333333333</v>
      </c>
      <c r="EE73">
        <v>0.0269923</v>
      </c>
      <c r="EF73">
        <v>0</v>
      </c>
      <c r="EG73">
        <v>2.333866666666667</v>
      </c>
      <c r="EH73">
        <v>0</v>
      </c>
      <c r="EI73">
        <v>15345.65555555556</v>
      </c>
      <c r="EJ73">
        <v>12532.95555555556</v>
      </c>
      <c r="EK73">
        <v>36.45099999999999</v>
      </c>
      <c r="EL73">
        <v>38</v>
      </c>
      <c r="EM73">
        <v>36.875</v>
      </c>
      <c r="EN73">
        <v>37.375</v>
      </c>
      <c r="EO73">
        <v>36.312</v>
      </c>
      <c r="EP73">
        <v>1459.455555555556</v>
      </c>
      <c r="EQ73">
        <v>40.49</v>
      </c>
      <c r="ER73">
        <v>0</v>
      </c>
      <c r="ES73">
        <v>1651772280.2</v>
      </c>
      <c r="ET73">
        <v>0</v>
      </c>
      <c r="EU73">
        <v>2.35975</v>
      </c>
      <c r="EV73">
        <v>-0.3257196594612192</v>
      </c>
      <c r="EW73">
        <v>-458.5948721612477</v>
      </c>
      <c r="EX73">
        <v>15383.97307692308</v>
      </c>
      <c r="EY73">
        <v>15</v>
      </c>
      <c r="EZ73">
        <v>0</v>
      </c>
      <c r="FA73" t="s">
        <v>420</v>
      </c>
      <c r="FB73">
        <v>1651697511.6</v>
      </c>
      <c r="FC73">
        <v>1651697666.1</v>
      </c>
      <c r="FD73">
        <v>0</v>
      </c>
      <c r="FE73">
        <v>-0.019</v>
      </c>
      <c r="FF73">
        <v>0.013</v>
      </c>
      <c r="FG73">
        <v>-2.121</v>
      </c>
      <c r="FH73">
        <v>0.041</v>
      </c>
      <c r="FI73">
        <v>420</v>
      </c>
      <c r="FJ73">
        <v>22</v>
      </c>
      <c r="FK73">
        <v>1.72</v>
      </c>
      <c r="FL73">
        <v>0.27</v>
      </c>
      <c r="FM73">
        <v>-62.07161499999999</v>
      </c>
      <c r="FN73">
        <v>-2.46912495309543</v>
      </c>
      <c r="FO73">
        <v>0.2417489405871309</v>
      </c>
      <c r="FP73">
        <v>0</v>
      </c>
      <c r="FQ73">
        <v>5.9060055</v>
      </c>
      <c r="FR73">
        <v>0.3050746716697768</v>
      </c>
      <c r="FS73">
        <v>0.03060741870445788</v>
      </c>
      <c r="FT73">
        <v>1</v>
      </c>
      <c r="FU73">
        <v>0</v>
      </c>
      <c r="FV73">
        <v>0</v>
      </c>
      <c r="FW73">
        <v>0</v>
      </c>
      <c r="FX73">
        <v>1</v>
      </c>
      <c r="FY73">
        <v>2</v>
      </c>
      <c r="FZ73">
        <v>3</v>
      </c>
      <c r="GA73" t="s">
        <v>421</v>
      </c>
      <c r="GB73">
        <v>2.98146</v>
      </c>
      <c r="GC73">
        <v>2.70629</v>
      </c>
      <c r="GD73">
        <v>0.155094</v>
      </c>
      <c r="GE73">
        <v>0.160521</v>
      </c>
      <c r="GF73">
        <v>0.114923</v>
      </c>
      <c r="GG73">
        <v>0.09523719999999999</v>
      </c>
      <c r="GH73">
        <v>26720.6</v>
      </c>
      <c r="GI73">
        <v>26603.3</v>
      </c>
      <c r="GJ73">
        <v>29401.8</v>
      </c>
      <c r="GK73">
        <v>29313.1</v>
      </c>
      <c r="GL73">
        <v>34448.2</v>
      </c>
      <c r="GM73">
        <v>35309.1</v>
      </c>
      <c r="GN73">
        <v>41389.8</v>
      </c>
      <c r="GO73">
        <v>41834.5</v>
      </c>
      <c r="GP73">
        <v>1.96327</v>
      </c>
      <c r="GQ73">
        <v>1.862</v>
      </c>
      <c r="GR73">
        <v>0.0692904</v>
      </c>
      <c r="GS73">
        <v>0</v>
      </c>
      <c r="GT73">
        <v>27.458</v>
      </c>
      <c r="GU73">
        <v>999.9</v>
      </c>
      <c r="GV73">
        <v>44.8</v>
      </c>
      <c r="GW73">
        <v>35</v>
      </c>
      <c r="GX73">
        <v>28.0215</v>
      </c>
      <c r="GY73">
        <v>62.9808</v>
      </c>
      <c r="GZ73">
        <v>36.25</v>
      </c>
      <c r="HA73">
        <v>1</v>
      </c>
      <c r="HB73">
        <v>0.0399085</v>
      </c>
      <c r="HC73">
        <v>0</v>
      </c>
      <c r="HD73">
        <v>20.3464</v>
      </c>
      <c r="HE73">
        <v>5.21699</v>
      </c>
      <c r="HF73">
        <v>12.0076</v>
      </c>
      <c r="HG73">
        <v>4.98915</v>
      </c>
      <c r="HH73">
        <v>3.28858</v>
      </c>
      <c r="HI73">
        <v>494.8</v>
      </c>
      <c r="HJ73">
        <v>3635.2</v>
      </c>
      <c r="HK73">
        <v>4564.3</v>
      </c>
      <c r="HL73">
        <v>17.8</v>
      </c>
      <c r="HM73">
        <v>1.86768</v>
      </c>
      <c r="HN73">
        <v>1.86662</v>
      </c>
      <c r="HO73">
        <v>1.86615</v>
      </c>
      <c r="HP73">
        <v>1.86605</v>
      </c>
      <c r="HQ73">
        <v>1.86788</v>
      </c>
      <c r="HR73">
        <v>1.87042</v>
      </c>
      <c r="HS73">
        <v>1.86905</v>
      </c>
      <c r="HT73">
        <v>1.87042</v>
      </c>
      <c r="HU73">
        <v>0</v>
      </c>
      <c r="HV73">
        <v>0</v>
      </c>
      <c r="HW73">
        <v>0</v>
      </c>
      <c r="HX73">
        <v>0</v>
      </c>
      <c r="HY73" t="s">
        <v>422</v>
      </c>
      <c r="HZ73" t="s">
        <v>423</v>
      </c>
      <c r="IA73" t="s">
        <v>424</v>
      </c>
      <c r="IB73" t="s">
        <v>424</v>
      </c>
      <c r="IC73" t="s">
        <v>424</v>
      </c>
      <c r="ID73" t="s">
        <v>424</v>
      </c>
      <c r="IE73">
        <v>0</v>
      </c>
      <c r="IF73">
        <v>100</v>
      </c>
      <c r="IG73">
        <v>100</v>
      </c>
      <c r="IH73">
        <v>-2.483</v>
      </c>
      <c r="II73">
        <v>0.1299</v>
      </c>
      <c r="IJ73">
        <v>-1.064712027753117</v>
      </c>
      <c r="IK73">
        <v>-0.001826611574738555</v>
      </c>
      <c r="IL73">
        <v>3.313362389709971E-07</v>
      </c>
      <c r="IM73">
        <v>-1.629490614973607E-10</v>
      </c>
      <c r="IN73">
        <v>-0.09531406441470595</v>
      </c>
      <c r="IO73">
        <v>-0.008240702679890409</v>
      </c>
      <c r="IP73">
        <v>0.001077697425498046</v>
      </c>
      <c r="IQ73">
        <v>-1.69598232850356E-05</v>
      </c>
      <c r="IR73">
        <v>3</v>
      </c>
      <c r="IS73">
        <v>2280</v>
      </c>
      <c r="IT73">
        <v>1</v>
      </c>
      <c r="IU73">
        <v>25</v>
      </c>
      <c r="IV73">
        <v>1246.1</v>
      </c>
      <c r="IW73">
        <v>1243.5</v>
      </c>
      <c r="IX73">
        <v>1.96777</v>
      </c>
      <c r="IY73">
        <v>2.21069</v>
      </c>
      <c r="IZ73">
        <v>1.39648</v>
      </c>
      <c r="JA73">
        <v>2.35352</v>
      </c>
      <c r="JB73">
        <v>1.49536</v>
      </c>
      <c r="JC73">
        <v>2.30225</v>
      </c>
      <c r="JD73">
        <v>38.7717</v>
      </c>
      <c r="JE73">
        <v>24.0525</v>
      </c>
      <c r="JF73">
        <v>18</v>
      </c>
      <c r="JG73">
        <v>509.359</v>
      </c>
      <c r="JH73">
        <v>430.111</v>
      </c>
      <c r="JI73">
        <v>28.2775</v>
      </c>
      <c r="JJ73">
        <v>27.9289</v>
      </c>
      <c r="JK73">
        <v>30.0003</v>
      </c>
      <c r="JL73">
        <v>27.8368</v>
      </c>
      <c r="JM73">
        <v>27.7698</v>
      </c>
      <c r="JN73">
        <v>39.4923</v>
      </c>
      <c r="JO73">
        <v>30.133</v>
      </c>
      <c r="JP73">
        <v>0</v>
      </c>
      <c r="JQ73">
        <v>-999.9</v>
      </c>
      <c r="JR73">
        <v>934.828</v>
      </c>
      <c r="JS73">
        <v>20.7745</v>
      </c>
      <c r="JT73">
        <v>100.509</v>
      </c>
      <c r="JU73">
        <v>100.41</v>
      </c>
    </row>
    <row r="74" spans="1:281">
      <c r="A74">
        <v>58</v>
      </c>
      <c r="B74">
        <v>1651772284</v>
      </c>
      <c r="C74">
        <v>406.4000000953674</v>
      </c>
      <c r="D74" t="s">
        <v>538</v>
      </c>
      <c r="E74" t="s">
        <v>539</v>
      </c>
      <c r="F74">
        <v>5</v>
      </c>
      <c r="H74" t="s">
        <v>417</v>
      </c>
      <c r="I74">
        <v>1651772281.2</v>
      </c>
      <c r="J74">
        <f>(K74)/1000</f>
        <v>0</v>
      </c>
      <c r="K74">
        <f>IF(CZ74, AN74, AH74)</f>
        <v>0</v>
      </c>
      <c r="L74">
        <f>IF(CZ74, AI74, AG74)</f>
        <v>0</v>
      </c>
      <c r="M74">
        <f>DB74 - IF(AU74&gt;1, L74*CV74*100.0/(AW74*DP74), 0)</f>
        <v>0</v>
      </c>
      <c r="N74">
        <f>((T74-J74/2)*M74-L74)/(T74+J74/2)</f>
        <v>0</v>
      </c>
      <c r="O74">
        <f>N74*(DI74+DJ74)/1000.0</f>
        <v>0</v>
      </c>
      <c r="P74">
        <f>(DB74 - IF(AU74&gt;1, L74*CV74*100.0/(AW74*DP74), 0))*(DI74+DJ74)/1000.0</f>
        <v>0</v>
      </c>
      <c r="Q74">
        <f>2.0/((1/S74-1/R74)+SIGN(S74)*SQRT((1/S74-1/R74)*(1/S74-1/R74) + 4*CW74/((CW74+1)*(CW74+1))*(2*1/S74*1/R74-1/R74*1/R74)))</f>
        <v>0</v>
      </c>
      <c r="R74">
        <f>IF(LEFT(CX74,1)&lt;&gt;"0",IF(LEFT(CX74,1)="1",3.0,CY74),$D$5+$E$5*(DP74*DI74/($K$5*1000))+$F$5*(DP74*DI74/($K$5*1000))*MAX(MIN(CV74,$J$5),$I$5)*MAX(MIN(CV74,$J$5),$I$5)+$G$5*MAX(MIN(CV74,$J$5),$I$5)*(DP74*DI74/($K$5*1000))+$H$5*(DP74*DI74/($K$5*1000))*(DP74*DI74/($K$5*1000)))</f>
        <v>0</v>
      </c>
      <c r="S74">
        <f>J74*(1000-(1000*0.61365*exp(17.502*W74/(240.97+W74))/(DI74+DJ74)+DD74)/2)/(1000*0.61365*exp(17.502*W74/(240.97+W74))/(DI74+DJ74)-DD74)</f>
        <v>0</v>
      </c>
      <c r="T74">
        <f>1/((CW74+1)/(Q74/1.6)+1/(R74/1.37)) + CW74/((CW74+1)/(Q74/1.6) + CW74/(R74/1.37))</f>
        <v>0</v>
      </c>
      <c r="U74">
        <f>(CR74*CU74)</f>
        <v>0</v>
      </c>
      <c r="V74">
        <f>(DK74+(U74+2*0.95*5.67E-8*(((DK74+$B$7)+273)^4-(DK74+273)^4)-44100*J74)/(1.84*29.3*R74+8*0.95*5.67E-8*(DK74+273)^3))</f>
        <v>0</v>
      </c>
      <c r="W74">
        <f>($C$7*DL74+$D$7*DM74+$E$7*V74)</f>
        <v>0</v>
      </c>
      <c r="X74">
        <f>0.61365*exp(17.502*W74/(240.97+W74))</f>
        <v>0</v>
      </c>
      <c r="Y74">
        <f>(Z74/AA74*100)</f>
        <v>0</v>
      </c>
      <c r="Z74">
        <f>DD74*(DI74+DJ74)/1000</f>
        <v>0</v>
      </c>
      <c r="AA74">
        <f>0.61365*exp(17.502*DK74/(240.97+DK74))</f>
        <v>0</v>
      </c>
      <c r="AB74">
        <f>(X74-DD74*(DI74+DJ74)/1000)</f>
        <v>0</v>
      </c>
      <c r="AC74">
        <f>(-J74*44100)</f>
        <v>0</v>
      </c>
      <c r="AD74">
        <f>2*29.3*R74*0.92*(DK74-W74)</f>
        <v>0</v>
      </c>
      <c r="AE74">
        <f>2*0.95*5.67E-8*(((DK74+$B$7)+273)^4-(W74+273)^4)</f>
        <v>0</v>
      </c>
      <c r="AF74">
        <f>U74+AE74+AC74+AD74</f>
        <v>0</v>
      </c>
      <c r="AG74">
        <f>DH74*AU74*(DC74-DB74*(1000-AU74*DE74)/(1000-AU74*DD74))/(100*CV74)</f>
        <v>0</v>
      </c>
      <c r="AH74">
        <f>1000*DH74*AU74*(DD74-DE74)/(100*CV74*(1000-AU74*DD74))</f>
        <v>0</v>
      </c>
      <c r="AI74">
        <f>(AJ74 - AK74 - DI74*1E3/(8.314*(DK74+273.15)) * AM74/DH74 * AL74) * DH74/(100*CV74) * (1000 - DE74)/1000</f>
        <v>0</v>
      </c>
      <c r="AJ74">
        <v>940.4041863519172</v>
      </c>
      <c r="AK74">
        <v>889.7147939393939</v>
      </c>
      <c r="AL74">
        <v>3.438540701172926</v>
      </c>
      <c r="AM74">
        <v>66.72507702095443</v>
      </c>
      <c r="AN74">
        <f>(AP74 - AO74 + DI74*1E3/(8.314*(DK74+273.15)) * AR74/DH74 * AQ74) * DH74/(100*CV74) * 1000/(1000 - AP74)</f>
        <v>0</v>
      </c>
      <c r="AO74">
        <v>20.83353756694214</v>
      </c>
      <c r="AP74">
        <v>26.80389212121212</v>
      </c>
      <c r="AQ74">
        <v>1.212614853697233E-05</v>
      </c>
      <c r="AR74">
        <v>78.22078291278521</v>
      </c>
      <c r="AS74">
        <v>1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MAX(0,($B$13+$C$13*DP74)/(1+$D$13*DP74)*DI74/(DK74+273)*$E$13)</f>
        <v>0</v>
      </c>
      <c r="AX74" t="s">
        <v>418</v>
      </c>
      <c r="AY74" t="s">
        <v>418</v>
      </c>
      <c r="AZ74">
        <v>0</v>
      </c>
      <c r="BA74">
        <v>0</v>
      </c>
      <c r="BB74">
        <f>1-AZ74/BA74</f>
        <v>0</v>
      </c>
      <c r="BC74">
        <v>0</v>
      </c>
      <c r="BD74" t="s">
        <v>418</v>
      </c>
      <c r="BE74" t="s">
        <v>418</v>
      </c>
      <c r="BF74">
        <v>0</v>
      </c>
      <c r="BG74">
        <v>0</v>
      </c>
      <c r="BH74">
        <f>1-BF74/BG74</f>
        <v>0</v>
      </c>
      <c r="BI74">
        <v>0.5</v>
      </c>
      <c r="BJ74">
        <f>CS74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418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f>$B$11*DQ74+$C$11*DR74+$F$11*EC74*(1-EF74)</f>
        <v>0</v>
      </c>
      <c r="CS74">
        <f>CR74*CT74</f>
        <v>0</v>
      </c>
      <c r="CT74">
        <f>($B$11*$D$9+$C$11*$D$9+$F$11*((EP74+EH74)/MAX(EP74+EH74+EQ74, 0.1)*$I$9+EQ74/MAX(EP74+EH74+EQ74, 0.1)*$J$9))/($B$11+$C$11+$F$11)</f>
        <v>0</v>
      </c>
      <c r="CU74">
        <f>($B$11*$K$9+$C$11*$K$9+$F$11*((EP74+EH74)/MAX(EP74+EH74+EQ74, 0.1)*$P$9+EQ74/MAX(EP74+EH74+EQ74, 0.1)*$Q$9))/($B$11+$C$11+$F$11)</f>
        <v>0</v>
      </c>
      <c r="CV74">
        <v>6</v>
      </c>
      <c r="CW74">
        <v>0.5</v>
      </c>
      <c r="CX74" t="s">
        <v>419</v>
      </c>
      <c r="CY74">
        <v>2</v>
      </c>
      <c r="CZ74" t="b">
        <v>1</v>
      </c>
      <c r="DA74">
        <v>1651772281.2</v>
      </c>
      <c r="DB74">
        <v>858.1656</v>
      </c>
      <c r="DC74">
        <v>920.6361999999999</v>
      </c>
      <c r="DD74">
        <v>26.81160999999999</v>
      </c>
      <c r="DE74">
        <v>20.82536</v>
      </c>
      <c r="DF74">
        <v>860.6605999999999</v>
      </c>
      <c r="DG74">
        <v>26.68173</v>
      </c>
      <c r="DH74">
        <v>500.0514999999999</v>
      </c>
      <c r="DI74">
        <v>90.30213999999998</v>
      </c>
      <c r="DJ74">
        <v>0.09997487000000001</v>
      </c>
      <c r="DK74">
        <v>29.27570000000001</v>
      </c>
      <c r="DL74">
        <v>28.59091</v>
      </c>
      <c r="DM74">
        <v>999.9</v>
      </c>
      <c r="DN74">
        <v>0</v>
      </c>
      <c r="DO74">
        <v>0</v>
      </c>
      <c r="DP74">
        <v>10012</v>
      </c>
      <c r="DQ74">
        <v>0</v>
      </c>
      <c r="DR74">
        <v>13.24614</v>
      </c>
      <c r="DS74">
        <v>-62.47062</v>
      </c>
      <c r="DT74">
        <v>881.8081</v>
      </c>
      <c r="DU74">
        <v>940.2162999999998</v>
      </c>
      <c r="DV74">
        <v>5.98624</v>
      </c>
      <c r="DW74">
        <v>920.6361999999999</v>
      </c>
      <c r="DX74">
        <v>20.82536</v>
      </c>
      <c r="DY74">
        <v>2.421144</v>
      </c>
      <c r="DZ74">
        <v>1.880576</v>
      </c>
      <c r="EA74">
        <v>20.50589</v>
      </c>
      <c r="EB74">
        <v>16.4731</v>
      </c>
      <c r="EC74">
        <v>1500.008</v>
      </c>
      <c r="ED74">
        <v>0.9730089999999999</v>
      </c>
      <c r="EE74">
        <v>0.0269905</v>
      </c>
      <c r="EF74">
        <v>0</v>
      </c>
      <c r="EG74">
        <v>2.25633</v>
      </c>
      <c r="EH74">
        <v>0</v>
      </c>
      <c r="EI74">
        <v>15307.61</v>
      </c>
      <c r="EJ74">
        <v>12533.49</v>
      </c>
      <c r="EK74">
        <v>36.4496</v>
      </c>
      <c r="EL74">
        <v>38</v>
      </c>
      <c r="EM74">
        <v>36.875</v>
      </c>
      <c r="EN74">
        <v>37.375</v>
      </c>
      <c r="EO74">
        <v>36.312</v>
      </c>
      <c r="EP74">
        <v>1459.518</v>
      </c>
      <c r="EQ74">
        <v>40.49</v>
      </c>
      <c r="ER74">
        <v>0</v>
      </c>
      <c r="ES74">
        <v>1651772285</v>
      </c>
      <c r="ET74">
        <v>0</v>
      </c>
      <c r="EU74">
        <v>2.340673076923077</v>
      </c>
      <c r="EV74">
        <v>-0.06459144739930595</v>
      </c>
      <c r="EW74">
        <v>-484.0034181561744</v>
      </c>
      <c r="EX74">
        <v>15346.40384615385</v>
      </c>
      <c r="EY74">
        <v>15</v>
      </c>
      <c r="EZ74">
        <v>0</v>
      </c>
      <c r="FA74" t="s">
        <v>420</v>
      </c>
      <c r="FB74">
        <v>1651697511.6</v>
      </c>
      <c r="FC74">
        <v>1651697666.1</v>
      </c>
      <c r="FD74">
        <v>0</v>
      </c>
      <c r="FE74">
        <v>-0.019</v>
      </c>
      <c r="FF74">
        <v>0.013</v>
      </c>
      <c r="FG74">
        <v>-2.121</v>
      </c>
      <c r="FH74">
        <v>0.041</v>
      </c>
      <c r="FI74">
        <v>420</v>
      </c>
      <c r="FJ74">
        <v>22</v>
      </c>
      <c r="FK74">
        <v>1.72</v>
      </c>
      <c r="FL74">
        <v>0.27</v>
      </c>
      <c r="FM74">
        <v>-62.22606499999999</v>
      </c>
      <c r="FN74">
        <v>-2.053436397748599</v>
      </c>
      <c r="FO74">
        <v>0.2014116773551125</v>
      </c>
      <c r="FP74">
        <v>0</v>
      </c>
      <c r="FQ74">
        <v>5.9273685</v>
      </c>
      <c r="FR74">
        <v>0.353225741088181</v>
      </c>
      <c r="FS74">
        <v>0.03607751304829646</v>
      </c>
      <c r="FT74">
        <v>1</v>
      </c>
      <c r="FU74">
        <v>0</v>
      </c>
      <c r="FV74">
        <v>0</v>
      </c>
      <c r="FW74">
        <v>0</v>
      </c>
      <c r="FX74">
        <v>1</v>
      </c>
      <c r="FY74">
        <v>2</v>
      </c>
      <c r="FZ74">
        <v>3</v>
      </c>
      <c r="GA74" t="s">
        <v>421</v>
      </c>
      <c r="GB74">
        <v>2.98139</v>
      </c>
      <c r="GC74">
        <v>2.70633</v>
      </c>
      <c r="GD74">
        <v>0.157085</v>
      </c>
      <c r="GE74">
        <v>0.162427</v>
      </c>
      <c r="GF74">
        <v>0.114881</v>
      </c>
      <c r="GG74">
        <v>0.0948942</v>
      </c>
      <c r="GH74">
        <v>26657.7</v>
      </c>
      <c r="GI74">
        <v>26542.9</v>
      </c>
      <c r="GJ74">
        <v>29401.8</v>
      </c>
      <c r="GK74">
        <v>29313.2</v>
      </c>
      <c r="GL74">
        <v>34450.3</v>
      </c>
      <c r="GM74">
        <v>35323</v>
      </c>
      <c r="GN74">
        <v>41390.2</v>
      </c>
      <c r="GO74">
        <v>41834.9</v>
      </c>
      <c r="GP74">
        <v>1.9629</v>
      </c>
      <c r="GQ74">
        <v>1.8619</v>
      </c>
      <c r="GR74">
        <v>0.0694394</v>
      </c>
      <c r="GS74">
        <v>0</v>
      </c>
      <c r="GT74">
        <v>27.4609</v>
      </c>
      <c r="GU74">
        <v>999.9</v>
      </c>
      <c r="GV74">
        <v>44.8</v>
      </c>
      <c r="GW74">
        <v>35</v>
      </c>
      <c r="GX74">
        <v>28.0199</v>
      </c>
      <c r="GY74">
        <v>62.8408</v>
      </c>
      <c r="GZ74">
        <v>36.2139</v>
      </c>
      <c r="HA74">
        <v>1</v>
      </c>
      <c r="HB74">
        <v>0.0400559</v>
      </c>
      <c r="HC74">
        <v>0</v>
      </c>
      <c r="HD74">
        <v>20.3464</v>
      </c>
      <c r="HE74">
        <v>5.21639</v>
      </c>
      <c r="HF74">
        <v>12.0085</v>
      </c>
      <c r="HG74">
        <v>4.9892</v>
      </c>
      <c r="HH74">
        <v>3.2885</v>
      </c>
      <c r="HI74">
        <v>495.1</v>
      </c>
      <c r="HJ74">
        <v>3636.7</v>
      </c>
      <c r="HK74">
        <v>4564.3</v>
      </c>
      <c r="HL74">
        <v>17.8</v>
      </c>
      <c r="HM74">
        <v>1.86768</v>
      </c>
      <c r="HN74">
        <v>1.86662</v>
      </c>
      <c r="HO74">
        <v>1.86616</v>
      </c>
      <c r="HP74">
        <v>1.86605</v>
      </c>
      <c r="HQ74">
        <v>1.86786</v>
      </c>
      <c r="HR74">
        <v>1.87042</v>
      </c>
      <c r="HS74">
        <v>1.86905</v>
      </c>
      <c r="HT74">
        <v>1.87042</v>
      </c>
      <c r="HU74">
        <v>0</v>
      </c>
      <c r="HV74">
        <v>0</v>
      </c>
      <c r="HW74">
        <v>0</v>
      </c>
      <c r="HX74">
        <v>0</v>
      </c>
      <c r="HY74" t="s">
        <v>422</v>
      </c>
      <c r="HZ74" t="s">
        <v>423</v>
      </c>
      <c r="IA74" t="s">
        <v>424</v>
      </c>
      <c r="IB74" t="s">
        <v>424</v>
      </c>
      <c r="IC74" t="s">
        <v>424</v>
      </c>
      <c r="ID74" t="s">
        <v>424</v>
      </c>
      <c r="IE74">
        <v>0</v>
      </c>
      <c r="IF74">
        <v>100</v>
      </c>
      <c r="IG74">
        <v>100</v>
      </c>
      <c r="IH74">
        <v>-2.51</v>
      </c>
      <c r="II74">
        <v>0.1297</v>
      </c>
      <c r="IJ74">
        <v>-1.064712027753117</v>
      </c>
      <c r="IK74">
        <v>-0.001826611574738555</v>
      </c>
      <c r="IL74">
        <v>3.313362389709971E-07</v>
      </c>
      <c r="IM74">
        <v>-1.629490614973607E-10</v>
      </c>
      <c r="IN74">
        <v>-0.09531406441470595</v>
      </c>
      <c r="IO74">
        <v>-0.008240702679890409</v>
      </c>
      <c r="IP74">
        <v>0.001077697425498046</v>
      </c>
      <c r="IQ74">
        <v>-1.69598232850356E-05</v>
      </c>
      <c r="IR74">
        <v>3</v>
      </c>
      <c r="IS74">
        <v>2280</v>
      </c>
      <c r="IT74">
        <v>1</v>
      </c>
      <c r="IU74">
        <v>25</v>
      </c>
      <c r="IV74">
        <v>1246.2</v>
      </c>
      <c r="IW74">
        <v>1243.6</v>
      </c>
      <c r="IX74">
        <v>1.99951</v>
      </c>
      <c r="IY74">
        <v>2.21313</v>
      </c>
      <c r="IZ74">
        <v>1.39648</v>
      </c>
      <c r="JA74">
        <v>2.35229</v>
      </c>
      <c r="JB74">
        <v>1.49536</v>
      </c>
      <c r="JC74">
        <v>2.30591</v>
      </c>
      <c r="JD74">
        <v>38.7964</v>
      </c>
      <c r="JE74">
        <v>24.0525</v>
      </c>
      <c r="JF74">
        <v>18</v>
      </c>
      <c r="JG74">
        <v>509.136</v>
      </c>
      <c r="JH74">
        <v>430.068</v>
      </c>
      <c r="JI74">
        <v>28.2809</v>
      </c>
      <c r="JJ74">
        <v>27.9319</v>
      </c>
      <c r="JK74">
        <v>30.0003</v>
      </c>
      <c r="JL74">
        <v>27.8392</v>
      </c>
      <c r="JM74">
        <v>27.7721</v>
      </c>
      <c r="JN74">
        <v>40.0309</v>
      </c>
      <c r="JO74">
        <v>30.133</v>
      </c>
      <c r="JP74">
        <v>0</v>
      </c>
      <c r="JQ74">
        <v>-999.9</v>
      </c>
      <c r="JR74">
        <v>948.187</v>
      </c>
      <c r="JS74">
        <v>20.7717</v>
      </c>
      <c r="JT74">
        <v>100.51</v>
      </c>
      <c r="JU74">
        <v>100.411</v>
      </c>
    </row>
    <row r="75" spans="1:281">
      <c r="A75">
        <v>59</v>
      </c>
      <c r="B75">
        <v>1651772288.5</v>
      </c>
      <c r="C75">
        <v>410.9000000953674</v>
      </c>
      <c r="D75" t="s">
        <v>540</v>
      </c>
      <c r="E75" t="s">
        <v>541</v>
      </c>
      <c r="F75">
        <v>5</v>
      </c>
      <c r="H75" t="s">
        <v>417</v>
      </c>
      <c r="I75">
        <v>1651772285.65</v>
      </c>
      <c r="J75">
        <f>(K75)/1000</f>
        <v>0</v>
      </c>
      <c r="K75">
        <f>IF(CZ75, AN75, AH75)</f>
        <v>0</v>
      </c>
      <c r="L75">
        <f>IF(CZ75, AI75, AG75)</f>
        <v>0</v>
      </c>
      <c r="M75">
        <f>DB75 - IF(AU75&gt;1, L75*CV75*100.0/(AW75*DP75), 0)</f>
        <v>0</v>
      </c>
      <c r="N75">
        <f>((T75-J75/2)*M75-L75)/(T75+J75/2)</f>
        <v>0</v>
      </c>
      <c r="O75">
        <f>N75*(DI75+DJ75)/1000.0</f>
        <v>0</v>
      </c>
      <c r="P75">
        <f>(DB75 - IF(AU75&gt;1, L75*CV75*100.0/(AW75*DP75), 0))*(DI75+DJ75)/1000.0</f>
        <v>0</v>
      </c>
      <c r="Q75">
        <f>2.0/((1/S75-1/R75)+SIGN(S75)*SQRT((1/S75-1/R75)*(1/S75-1/R75) + 4*CW75/((CW75+1)*(CW75+1))*(2*1/S75*1/R75-1/R75*1/R75)))</f>
        <v>0</v>
      </c>
      <c r="R75">
        <f>IF(LEFT(CX75,1)&lt;&gt;"0",IF(LEFT(CX75,1)="1",3.0,CY75),$D$5+$E$5*(DP75*DI75/($K$5*1000))+$F$5*(DP75*DI75/($K$5*1000))*MAX(MIN(CV75,$J$5),$I$5)*MAX(MIN(CV75,$J$5),$I$5)+$G$5*MAX(MIN(CV75,$J$5),$I$5)*(DP75*DI75/($K$5*1000))+$H$5*(DP75*DI75/($K$5*1000))*(DP75*DI75/($K$5*1000)))</f>
        <v>0</v>
      </c>
      <c r="S75">
        <f>J75*(1000-(1000*0.61365*exp(17.502*W75/(240.97+W75))/(DI75+DJ75)+DD75)/2)/(1000*0.61365*exp(17.502*W75/(240.97+W75))/(DI75+DJ75)-DD75)</f>
        <v>0</v>
      </c>
      <c r="T75">
        <f>1/((CW75+1)/(Q75/1.6)+1/(R75/1.37)) + CW75/((CW75+1)/(Q75/1.6) + CW75/(R75/1.37))</f>
        <v>0</v>
      </c>
      <c r="U75">
        <f>(CR75*CU75)</f>
        <v>0</v>
      </c>
      <c r="V75">
        <f>(DK75+(U75+2*0.95*5.67E-8*(((DK75+$B$7)+273)^4-(DK75+273)^4)-44100*J75)/(1.84*29.3*R75+8*0.95*5.67E-8*(DK75+273)^3))</f>
        <v>0</v>
      </c>
      <c r="W75">
        <f>($C$7*DL75+$D$7*DM75+$E$7*V75)</f>
        <v>0</v>
      </c>
      <c r="X75">
        <f>0.61365*exp(17.502*W75/(240.97+W75))</f>
        <v>0</v>
      </c>
      <c r="Y75">
        <f>(Z75/AA75*100)</f>
        <v>0</v>
      </c>
      <c r="Z75">
        <f>DD75*(DI75+DJ75)/1000</f>
        <v>0</v>
      </c>
      <c r="AA75">
        <f>0.61365*exp(17.502*DK75/(240.97+DK75))</f>
        <v>0</v>
      </c>
      <c r="AB75">
        <f>(X75-DD75*(DI75+DJ75)/1000)</f>
        <v>0</v>
      </c>
      <c r="AC75">
        <f>(-J75*44100)</f>
        <v>0</v>
      </c>
      <c r="AD75">
        <f>2*29.3*R75*0.92*(DK75-W75)</f>
        <v>0</v>
      </c>
      <c r="AE75">
        <f>2*0.95*5.67E-8*(((DK75+$B$7)+273)^4-(W75+273)^4)</f>
        <v>0</v>
      </c>
      <c r="AF75">
        <f>U75+AE75+AC75+AD75</f>
        <v>0</v>
      </c>
      <c r="AG75">
        <f>DH75*AU75*(DC75-DB75*(1000-AU75*DE75)/(1000-AU75*DD75))/(100*CV75)</f>
        <v>0</v>
      </c>
      <c r="AH75">
        <f>1000*DH75*AU75*(DD75-DE75)/(100*CV75*(1000-AU75*DD75))</f>
        <v>0</v>
      </c>
      <c r="AI75">
        <f>(AJ75 - AK75 - DI75*1E3/(8.314*(DK75+273.15)) * AM75/DH75 * AL75) * DH75/(100*CV75) * (1000 - DE75)/1000</f>
        <v>0</v>
      </c>
      <c r="AJ75">
        <v>955.5433049279931</v>
      </c>
      <c r="AK75">
        <v>904.9455030303025</v>
      </c>
      <c r="AL75">
        <v>3.388811297514529</v>
      </c>
      <c r="AM75">
        <v>66.72507702095443</v>
      </c>
      <c r="AN75">
        <f>(AP75 - AO75 + DI75*1E3/(8.314*(DK75+273.15)) * AR75/DH75 * AQ75) * DH75/(100*CV75) * 1000/(1000 - AP75)</f>
        <v>0</v>
      </c>
      <c r="AO75">
        <v>20.75913357684591</v>
      </c>
      <c r="AP75">
        <v>26.77188969696968</v>
      </c>
      <c r="AQ75">
        <v>-0.0077215274713743</v>
      </c>
      <c r="AR75">
        <v>78.22078291278521</v>
      </c>
      <c r="AS75">
        <v>1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MAX(0,($B$13+$C$13*DP75)/(1+$D$13*DP75)*DI75/(DK75+273)*$E$13)</f>
        <v>0</v>
      </c>
      <c r="AX75" t="s">
        <v>418</v>
      </c>
      <c r="AY75" t="s">
        <v>418</v>
      </c>
      <c r="AZ75">
        <v>0</v>
      </c>
      <c r="BA75">
        <v>0</v>
      </c>
      <c r="BB75">
        <f>1-AZ75/BA75</f>
        <v>0</v>
      </c>
      <c r="BC75">
        <v>0</v>
      </c>
      <c r="BD75" t="s">
        <v>418</v>
      </c>
      <c r="BE75" t="s">
        <v>418</v>
      </c>
      <c r="BF75">
        <v>0</v>
      </c>
      <c r="BG75">
        <v>0</v>
      </c>
      <c r="BH75">
        <f>1-BF75/BG75</f>
        <v>0</v>
      </c>
      <c r="BI75">
        <v>0.5</v>
      </c>
      <c r="BJ75">
        <f>CS75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418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f>$B$11*DQ75+$C$11*DR75+$F$11*EC75*(1-EF75)</f>
        <v>0</v>
      </c>
      <c r="CS75">
        <f>CR75*CT75</f>
        <v>0</v>
      </c>
      <c r="CT75">
        <f>($B$11*$D$9+$C$11*$D$9+$F$11*((EP75+EH75)/MAX(EP75+EH75+EQ75, 0.1)*$I$9+EQ75/MAX(EP75+EH75+EQ75, 0.1)*$J$9))/($B$11+$C$11+$F$11)</f>
        <v>0</v>
      </c>
      <c r="CU75">
        <f>($B$11*$K$9+$C$11*$K$9+$F$11*((EP75+EH75)/MAX(EP75+EH75+EQ75, 0.1)*$P$9+EQ75/MAX(EP75+EH75+EQ75, 0.1)*$Q$9))/($B$11+$C$11+$F$11)</f>
        <v>0</v>
      </c>
      <c r="CV75">
        <v>6</v>
      </c>
      <c r="CW75">
        <v>0.5</v>
      </c>
      <c r="CX75" t="s">
        <v>419</v>
      </c>
      <c r="CY75">
        <v>2</v>
      </c>
      <c r="CZ75" t="b">
        <v>1</v>
      </c>
      <c r="DA75">
        <v>1651772285.65</v>
      </c>
      <c r="DB75">
        <v>872.9550999999999</v>
      </c>
      <c r="DC75">
        <v>935.4376</v>
      </c>
      <c r="DD75">
        <v>26.78724</v>
      </c>
      <c r="DE75">
        <v>20.76141</v>
      </c>
      <c r="DF75">
        <v>875.4743000000001</v>
      </c>
      <c r="DG75">
        <v>26.65766</v>
      </c>
      <c r="DH75">
        <v>500.0561</v>
      </c>
      <c r="DI75">
        <v>90.30271999999999</v>
      </c>
      <c r="DJ75">
        <v>0.10003932</v>
      </c>
      <c r="DK75">
        <v>29.27776</v>
      </c>
      <c r="DL75">
        <v>28.59142000000001</v>
      </c>
      <c r="DM75">
        <v>999.9</v>
      </c>
      <c r="DN75">
        <v>0</v>
      </c>
      <c r="DO75">
        <v>0</v>
      </c>
      <c r="DP75">
        <v>10005.925</v>
      </c>
      <c r="DQ75">
        <v>0</v>
      </c>
      <c r="DR75">
        <v>13.2536</v>
      </c>
      <c r="DS75">
        <v>-62.48248</v>
      </c>
      <c r="DT75">
        <v>896.9826999999999</v>
      </c>
      <c r="DU75">
        <v>955.2701999999999</v>
      </c>
      <c r="DV75">
        <v>6.025826</v>
      </c>
      <c r="DW75">
        <v>935.4376</v>
      </c>
      <c r="DX75">
        <v>20.76141</v>
      </c>
      <c r="DY75">
        <v>2.418961</v>
      </c>
      <c r="DZ75">
        <v>1.874813</v>
      </c>
      <c r="EA75">
        <v>20.49127</v>
      </c>
      <c r="EB75">
        <v>16.42491</v>
      </c>
      <c r="EC75">
        <v>1500.006</v>
      </c>
      <c r="ED75">
        <v>0.9730089999999999</v>
      </c>
      <c r="EE75">
        <v>0.0269905</v>
      </c>
      <c r="EF75">
        <v>0</v>
      </c>
      <c r="EG75">
        <v>2.283090000000001</v>
      </c>
      <c r="EH75">
        <v>0</v>
      </c>
      <c r="EI75">
        <v>15269.84</v>
      </c>
      <c r="EJ75">
        <v>12533.48</v>
      </c>
      <c r="EK75">
        <v>36.4496</v>
      </c>
      <c r="EL75">
        <v>38</v>
      </c>
      <c r="EM75">
        <v>36.875</v>
      </c>
      <c r="EN75">
        <v>37.375</v>
      </c>
      <c r="EO75">
        <v>36.312</v>
      </c>
      <c r="EP75">
        <v>1459.516</v>
      </c>
      <c r="EQ75">
        <v>40.49</v>
      </c>
      <c r="ER75">
        <v>0</v>
      </c>
      <c r="ES75">
        <v>1651772289.8</v>
      </c>
      <c r="ET75">
        <v>0</v>
      </c>
      <c r="EU75">
        <v>2.306</v>
      </c>
      <c r="EV75">
        <v>0.1211350466670256</v>
      </c>
      <c r="EW75">
        <v>-500.7111114509547</v>
      </c>
      <c r="EX75">
        <v>15306.94615384615</v>
      </c>
      <c r="EY75">
        <v>15</v>
      </c>
      <c r="EZ75">
        <v>0</v>
      </c>
      <c r="FA75" t="s">
        <v>420</v>
      </c>
      <c r="FB75">
        <v>1651697511.6</v>
      </c>
      <c r="FC75">
        <v>1651697666.1</v>
      </c>
      <c r="FD75">
        <v>0</v>
      </c>
      <c r="FE75">
        <v>-0.019</v>
      </c>
      <c r="FF75">
        <v>0.013</v>
      </c>
      <c r="FG75">
        <v>-2.121</v>
      </c>
      <c r="FH75">
        <v>0.041</v>
      </c>
      <c r="FI75">
        <v>420</v>
      </c>
      <c r="FJ75">
        <v>22</v>
      </c>
      <c r="FK75">
        <v>1.72</v>
      </c>
      <c r="FL75">
        <v>0.27</v>
      </c>
      <c r="FM75">
        <v>-62.36213902439024</v>
      </c>
      <c r="FN75">
        <v>-1.287029268292678</v>
      </c>
      <c r="FO75">
        <v>0.138353007103777</v>
      </c>
      <c r="FP75">
        <v>0</v>
      </c>
      <c r="FQ75">
        <v>5.964745853658537</v>
      </c>
      <c r="FR75">
        <v>0.4292604878048881</v>
      </c>
      <c r="FS75">
        <v>0.0451748831561711</v>
      </c>
      <c r="FT75">
        <v>1</v>
      </c>
      <c r="FU75">
        <v>0</v>
      </c>
      <c r="FV75">
        <v>0</v>
      </c>
      <c r="FW75">
        <v>0</v>
      </c>
      <c r="FX75">
        <v>1</v>
      </c>
      <c r="FY75">
        <v>2</v>
      </c>
      <c r="FZ75">
        <v>3</v>
      </c>
      <c r="GA75" t="s">
        <v>421</v>
      </c>
      <c r="GB75">
        <v>2.98143</v>
      </c>
      <c r="GC75">
        <v>2.70624</v>
      </c>
      <c r="GD75">
        <v>0.158854</v>
      </c>
      <c r="GE75">
        <v>0.164137</v>
      </c>
      <c r="GF75">
        <v>0.114799</v>
      </c>
      <c r="GG75">
        <v>0.094861</v>
      </c>
      <c r="GH75">
        <v>26602.1</v>
      </c>
      <c r="GI75">
        <v>26488.7</v>
      </c>
      <c r="GJ75">
        <v>29402.3</v>
      </c>
      <c r="GK75">
        <v>29313.2</v>
      </c>
      <c r="GL75">
        <v>34454</v>
      </c>
      <c r="GM75">
        <v>35324.2</v>
      </c>
      <c r="GN75">
        <v>41390.7</v>
      </c>
      <c r="GO75">
        <v>41834.7</v>
      </c>
      <c r="GP75">
        <v>1.96295</v>
      </c>
      <c r="GQ75">
        <v>1.8621</v>
      </c>
      <c r="GR75">
        <v>0.0687316</v>
      </c>
      <c r="GS75">
        <v>0</v>
      </c>
      <c r="GT75">
        <v>27.463</v>
      </c>
      <c r="GU75">
        <v>999.9</v>
      </c>
      <c r="GV75">
        <v>44.8</v>
      </c>
      <c r="GW75">
        <v>35</v>
      </c>
      <c r="GX75">
        <v>28.0208</v>
      </c>
      <c r="GY75">
        <v>62.8908</v>
      </c>
      <c r="GZ75">
        <v>36.1458</v>
      </c>
      <c r="HA75">
        <v>1</v>
      </c>
      <c r="HB75">
        <v>0.0401753</v>
      </c>
      <c r="HC75">
        <v>0</v>
      </c>
      <c r="HD75">
        <v>20.3464</v>
      </c>
      <c r="HE75">
        <v>5.21609</v>
      </c>
      <c r="HF75">
        <v>12.0076</v>
      </c>
      <c r="HG75">
        <v>4.9891</v>
      </c>
      <c r="HH75">
        <v>3.2885</v>
      </c>
      <c r="HI75">
        <v>495.1</v>
      </c>
      <c r="HJ75">
        <v>3636.7</v>
      </c>
      <c r="HK75">
        <v>4564.3</v>
      </c>
      <c r="HL75">
        <v>17.8</v>
      </c>
      <c r="HM75">
        <v>1.86768</v>
      </c>
      <c r="HN75">
        <v>1.86661</v>
      </c>
      <c r="HO75">
        <v>1.86615</v>
      </c>
      <c r="HP75">
        <v>1.86604</v>
      </c>
      <c r="HQ75">
        <v>1.86783</v>
      </c>
      <c r="HR75">
        <v>1.87039</v>
      </c>
      <c r="HS75">
        <v>1.86905</v>
      </c>
      <c r="HT75">
        <v>1.87042</v>
      </c>
      <c r="HU75">
        <v>0</v>
      </c>
      <c r="HV75">
        <v>0</v>
      </c>
      <c r="HW75">
        <v>0</v>
      </c>
      <c r="HX75">
        <v>0</v>
      </c>
      <c r="HY75" t="s">
        <v>422</v>
      </c>
      <c r="HZ75" t="s">
        <v>423</v>
      </c>
      <c r="IA75" t="s">
        <v>424</v>
      </c>
      <c r="IB75" t="s">
        <v>424</v>
      </c>
      <c r="IC75" t="s">
        <v>424</v>
      </c>
      <c r="ID75" t="s">
        <v>424</v>
      </c>
      <c r="IE75">
        <v>0</v>
      </c>
      <c r="IF75">
        <v>100</v>
      </c>
      <c r="IG75">
        <v>100</v>
      </c>
      <c r="IH75">
        <v>-2.535</v>
      </c>
      <c r="II75">
        <v>0.1293</v>
      </c>
      <c r="IJ75">
        <v>-1.064712027753117</v>
      </c>
      <c r="IK75">
        <v>-0.001826611574738555</v>
      </c>
      <c r="IL75">
        <v>3.313362389709971E-07</v>
      </c>
      <c r="IM75">
        <v>-1.629490614973607E-10</v>
      </c>
      <c r="IN75">
        <v>-0.09531406441470595</v>
      </c>
      <c r="IO75">
        <v>-0.008240702679890409</v>
      </c>
      <c r="IP75">
        <v>0.001077697425498046</v>
      </c>
      <c r="IQ75">
        <v>-1.69598232850356E-05</v>
      </c>
      <c r="IR75">
        <v>3</v>
      </c>
      <c r="IS75">
        <v>2280</v>
      </c>
      <c r="IT75">
        <v>1</v>
      </c>
      <c r="IU75">
        <v>25</v>
      </c>
      <c r="IV75">
        <v>1246.3</v>
      </c>
      <c r="IW75">
        <v>1243.7</v>
      </c>
      <c r="IX75">
        <v>2.02393</v>
      </c>
      <c r="IY75">
        <v>2.21436</v>
      </c>
      <c r="IZ75">
        <v>1.39648</v>
      </c>
      <c r="JA75">
        <v>2.35229</v>
      </c>
      <c r="JB75">
        <v>1.49536</v>
      </c>
      <c r="JC75">
        <v>2.30835</v>
      </c>
      <c r="JD75">
        <v>38.7717</v>
      </c>
      <c r="JE75">
        <v>24.0525</v>
      </c>
      <c r="JF75">
        <v>18</v>
      </c>
      <c r="JG75">
        <v>509.186</v>
      </c>
      <c r="JH75">
        <v>430.203</v>
      </c>
      <c r="JI75">
        <v>28.2849</v>
      </c>
      <c r="JJ75">
        <v>27.9345</v>
      </c>
      <c r="JK75">
        <v>30.0003</v>
      </c>
      <c r="JL75">
        <v>27.8412</v>
      </c>
      <c r="JM75">
        <v>27.7741</v>
      </c>
      <c r="JN75">
        <v>40.521</v>
      </c>
      <c r="JO75">
        <v>30.133</v>
      </c>
      <c r="JP75">
        <v>0</v>
      </c>
      <c r="JQ75">
        <v>-999.9</v>
      </c>
      <c r="JR75">
        <v>968.2430000000001</v>
      </c>
      <c r="JS75">
        <v>20.7785</v>
      </c>
      <c r="JT75">
        <v>100.511</v>
      </c>
      <c r="JU75">
        <v>100.41</v>
      </c>
    </row>
    <row r="76" spans="1:281">
      <c r="A76">
        <v>60</v>
      </c>
      <c r="B76">
        <v>1651772294</v>
      </c>
      <c r="C76">
        <v>416.4000000953674</v>
      </c>
      <c r="D76" t="s">
        <v>542</v>
      </c>
      <c r="E76" t="s">
        <v>543</v>
      </c>
      <c r="F76">
        <v>5</v>
      </c>
      <c r="H76" t="s">
        <v>417</v>
      </c>
      <c r="I76">
        <v>1651772291.25</v>
      </c>
      <c r="J76">
        <f>(K76)/1000</f>
        <v>0</v>
      </c>
      <c r="K76">
        <f>IF(CZ76, AN76, AH76)</f>
        <v>0</v>
      </c>
      <c r="L76">
        <f>IF(CZ76, AI76, AG76)</f>
        <v>0</v>
      </c>
      <c r="M76">
        <f>DB76 - IF(AU76&gt;1, L76*CV76*100.0/(AW76*DP76), 0)</f>
        <v>0</v>
      </c>
      <c r="N76">
        <f>((T76-J76/2)*M76-L76)/(T76+J76/2)</f>
        <v>0</v>
      </c>
      <c r="O76">
        <f>N76*(DI76+DJ76)/1000.0</f>
        <v>0</v>
      </c>
      <c r="P76">
        <f>(DB76 - IF(AU76&gt;1, L76*CV76*100.0/(AW76*DP76), 0))*(DI76+DJ76)/1000.0</f>
        <v>0</v>
      </c>
      <c r="Q76">
        <f>2.0/((1/S76-1/R76)+SIGN(S76)*SQRT((1/S76-1/R76)*(1/S76-1/R76) + 4*CW76/((CW76+1)*(CW76+1))*(2*1/S76*1/R76-1/R76*1/R76)))</f>
        <v>0</v>
      </c>
      <c r="R76">
        <f>IF(LEFT(CX76,1)&lt;&gt;"0",IF(LEFT(CX76,1)="1",3.0,CY76),$D$5+$E$5*(DP76*DI76/($K$5*1000))+$F$5*(DP76*DI76/($K$5*1000))*MAX(MIN(CV76,$J$5),$I$5)*MAX(MIN(CV76,$J$5),$I$5)+$G$5*MAX(MIN(CV76,$J$5),$I$5)*(DP76*DI76/($K$5*1000))+$H$5*(DP76*DI76/($K$5*1000))*(DP76*DI76/($K$5*1000)))</f>
        <v>0</v>
      </c>
      <c r="S76">
        <f>J76*(1000-(1000*0.61365*exp(17.502*W76/(240.97+W76))/(DI76+DJ76)+DD76)/2)/(1000*0.61365*exp(17.502*W76/(240.97+W76))/(DI76+DJ76)-DD76)</f>
        <v>0</v>
      </c>
      <c r="T76">
        <f>1/((CW76+1)/(Q76/1.6)+1/(R76/1.37)) + CW76/((CW76+1)/(Q76/1.6) + CW76/(R76/1.37))</f>
        <v>0</v>
      </c>
      <c r="U76">
        <f>(CR76*CU76)</f>
        <v>0</v>
      </c>
      <c r="V76">
        <f>(DK76+(U76+2*0.95*5.67E-8*(((DK76+$B$7)+273)^4-(DK76+273)^4)-44100*J76)/(1.84*29.3*R76+8*0.95*5.67E-8*(DK76+273)^3))</f>
        <v>0</v>
      </c>
      <c r="W76">
        <f>($C$7*DL76+$D$7*DM76+$E$7*V76)</f>
        <v>0</v>
      </c>
      <c r="X76">
        <f>0.61365*exp(17.502*W76/(240.97+W76))</f>
        <v>0</v>
      </c>
      <c r="Y76">
        <f>(Z76/AA76*100)</f>
        <v>0</v>
      </c>
      <c r="Z76">
        <f>DD76*(DI76+DJ76)/1000</f>
        <v>0</v>
      </c>
      <c r="AA76">
        <f>0.61365*exp(17.502*DK76/(240.97+DK76))</f>
        <v>0</v>
      </c>
      <c r="AB76">
        <f>(X76-DD76*(DI76+DJ76)/1000)</f>
        <v>0</v>
      </c>
      <c r="AC76">
        <f>(-J76*44100)</f>
        <v>0</v>
      </c>
      <c r="AD76">
        <f>2*29.3*R76*0.92*(DK76-W76)</f>
        <v>0</v>
      </c>
      <c r="AE76">
        <f>2*0.95*5.67E-8*(((DK76+$B$7)+273)^4-(W76+273)^4)</f>
        <v>0</v>
      </c>
      <c r="AF76">
        <f>U76+AE76+AC76+AD76</f>
        <v>0</v>
      </c>
      <c r="AG76">
        <f>DH76*AU76*(DC76-DB76*(1000-AU76*DE76)/(1000-AU76*DD76))/(100*CV76)</f>
        <v>0</v>
      </c>
      <c r="AH76">
        <f>1000*DH76*AU76*(DD76-DE76)/(100*CV76*(1000-AU76*DD76))</f>
        <v>0</v>
      </c>
      <c r="AI76">
        <f>(AJ76 - AK76 - DI76*1E3/(8.314*(DK76+273.15)) * AM76/DH76 * AL76) * DH76/(100*CV76) * (1000 - DE76)/1000</f>
        <v>0</v>
      </c>
      <c r="AJ76">
        <v>974.3609473178163</v>
      </c>
      <c r="AK76">
        <v>923.7009636363638</v>
      </c>
      <c r="AL76">
        <v>3.401888094495821</v>
      </c>
      <c r="AM76">
        <v>66.72507702095443</v>
      </c>
      <c r="AN76">
        <f>(AP76 - AO76 + DI76*1E3/(8.314*(DK76+273.15)) * AR76/DH76 * AQ76) * DH76/(100*CV76) * 1000/(1000 - AP76)</f>
        <v>0</v>
      </c>
      <c r="AO76">
        <v>20.75204150600349</v>
      </c>
      <c r="AP76">
        <v>26.75945696969696</v>
      </c>
      <c r="AQ76">
        <v>-0.0005036030910629328</v>
      </c>
      <c r="AR76">
        <v>78.22078291278521</v>
      </c>
      <c r="AS76">
        <v>1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MAX(0,($B$13+$C$13*DP76)/(1+$D$13*DP76)*DI76/(DK76+273)*$E$13)</f>
        <v>0</v>
      </c>
      <c r="AX76" t="s">
        <v>418</v>
      </c>
      <c r="AY76" t="s">
        <v>418</v>
      </c>
      <c r="AZ76">
        <v>0</v>
      </c>
      <c r="BA76">
        <v>0</v>
      </c>
      <c r="BB76">
        <f>1-AZ76/BA76</f>
        <v>0</v>
      </c>
      <c r="BC76">
        <v>0</v>
      </c>
      <c r="BD76" t="s">
        <v>418</v>
      </c>
      <c r="BE76" t="s">
        <v>418</v>
      </c>
      <c r="BF76">
        <v>0</v>
      </c>
      <c r="BG76">
        <v>0</v>
      </c>
      <c r="BH76">
        <f>1-BF76/BG76</f>
        <v>0</v>
      </c>
      <c r="BI76">
        <v>0.5</v>
      </c>
      <c r="BJ76">
        <f>CS76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418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f>$B$11*DQ76+$C$11*DR76+$F$11*EC76*(1-EF76)</f>
        <v>0</v>
      </c>
      <c r="CS76">
        <f>CR76*CT76</f>
        <v>0</v>
      </c>
      <c r="CT76">
        <f>($B$11*$D$9+$C$11*$D$9+$F$11*((EP76+EH76)/MAX(EP76+EH76+EQ76, 0.1)*$I$9+EQ76/MAX(EP76+EH76+EQ76, 0.1)*$J$9))/($B$11+$C$11+$F$11)</f>
        <v>0</v>
      </c>
      <c r="CU76">
        <f>($B$11*$K$9+$C$11*$K$9+$F$11*((EP76+EH76)/MAX(EP76+EH76+EQ76, 0.1)*$P$9+EQ76/MAX(EP76+EH76+EQ76, 0.1)*$Q$9))/($B$11+$C$11+$F$11)</f>
        <v>0</v>
      </c>
      <c r="CV76">
        <v>6</v>
      </c>
      <c r="CW76">
        <v>0.5</v>
      </c>
      <c r="CX76" t="s">
        <v>419</v>
      </c>
      <c r="CY76">
        <v>2</v>
      </c>
      <c r="CZ76" t="b">
        <v>1</v>
      </c>
      <c r="DA76">
        <v>1651772291.25</v>
      </c>
      <c r="DB76">
        <v>891.5298999999999</v>
      </c>
      <c r="DC76">
        <v>954.1783000000001</v>
      </c>
      <c r="DD76">
        <v>26.7641</v>
      </c>
      <c r="DE76">
        <v>20.75189</v>
      </c>
      <c r="DF76">
        <v>894.0791999999999</v>
      </c>
      <c r="DG76">
        <v>26.63482</v>
      </c>
      <c r="DH76">
        <v>500.0486</v>
      </c>
      <c r="DI76">
        <v>90.30369999999999</v>
      </c>
      <c r="DJ76">
        <v>0.10005039</v>
      </c>
      <c r="DK76">
        <v>29.28257</v>
      </c>
      <c r="DL76">
        <v>28.58452</v>
      </c>
      <c r="DM76">
        <v>999.9</v>
      </c>
      <c r="DN76">
        <v>0</v>
      </c>
      <c r="DO76">
        <v>0</v>
      </c>
      <c r="DP76">
        <v>9996.744999999999</v>
      </c>
      <c r="DQ76">
        <v>0</v>
      </c>
      <c r="DR76">
        <v>13.265</v>
      </c>
      <c r="DS76">
        <v>-62.64824</v>
      </c>
      <c r="DT76">
        <v>916.0469999999999</v>
      </c>
      <c r="DU76">
        <v>974.3987999999999</v>
      </c>
      <c r="DV76">
        <v>6.012202</v>
      </c>
      <c r="DW76">
        <v>954.1783000000001</v>
      </c>
      <c r="DX76">
        <v>20.75189</v>
      </c>
      <c r="DY76">
        <v>2.416898</v>
      </c>
      <c r="DZ76">
        <v>1.873973</v>
      </c>
      <c r="EA76">
        <v>20.47744</v>
      </c>
      <c r="EB76">
        <v>16.41787</v>
      </c>
      <c r="EC76">
        <v>1500.003</v>
      </c>
      <c r="ED76">
        <v>0.9730089999999999</v>
      </c>
      <c r="EE76">
        <v>0.0269905</v>
      </c>
      <c r="EF76">
        <v>0</v>
      </c>
      <c r="EG76">
        <v>2.36398</v>
      </c>
      <c r="EH76">
        <v>0</v>
      </c>
      <c r="EI76">
        <v>15220.99</v>
      </c>
      <c r="EJ76">
        <v>12533.43</v>
      </c>
      <c r="EK76">
        <v>36.4496</v>
      </c>
      <c r="EL76">
        <v>38</v>
      </c>
      <c r="EM76">
        <v>36.875</v>
      </c>
      <c r="EN76">
        <v>37.375</v>
      </c>
      <c r="EO76">
        <v>36.312</v>
      </c>
      <c r="EP76">
        <v>1459.513</v>
      </c>
      <c r="EQ76">
        <v>40.49</v>
      </c>
      <c r="ER76">
        <v>0</v>
      </c>
      <c r="ES76">
        <v>1651772295.2</v>
      </c>
      <c r="ET76">
        <v>0</v>
      </c>
      <c r="EU76">
        <v>2.333488</v>
      </c>
      <c r="EV76">
        <v>0.3870153767542935</v>
      </c>
      <c r="EW76">
        <v>-523.5307692289621</v>
      </c>
      <c r="EX76">
        <v>15258.332</v>
      </c>
      <c r="EY76">
        <v>15</v>
      </c>
      <c r="EZ76">
        <v>0</v>
      </c>
      <c r="FA76" t="s">
        <v>420</v>
      </c>
      <c r="FB76">
        <v>1651697511.6</v>
      </c>
      <c r="FC76">
        <v>1651697666.1</v>
      </c>
      <c r="FD76">
        <v>0</v>
      </c>
      <c r="FE76">
        <v>-0.019</v>
      </c>
      <c r="FF76">
        <v>0.013</v>
      </c>
      <c r="FG76">
        <v>-2.121</v>
      </c>
      <c r="FH76">
        <v>0.041</v>
      </c>
      <c r="FI76">
        <v>420</v>
      </c>
      <c r="FJ76">
        <v>22</v>
      </c>
      <c r="FK76">
        <v>1.72</v>
      </c>
      <c r="FL76">
        <v>0.27</v>
      </c>
      <c r="FM76">
        <v>-62.47303750000001</v>
      </c>
      <c r="FN76">
        <v>-1.110516697936063</v>
      </c>
      <c r="FO76">
        <v>0.1184063589666948</v>
      </c>
      <c r="FP76">
        <v>0</v>
      </c>
      <c r="FQ76">
        <v>5.988596749999999</v>
      </c>
      <c r="FR76">
        <v>0.3116254784240076</v>
      </c>
      <c r="FS76">
        <v>0.03619356913786623</v>
      </c>
      <c r="FT76">
        <v>1</v>
      </c>
      <c r="FU76">
        <v>0</v>
      </c>
      <c r="FV76">
        <v>0</v>
      </c>
      <c r="FW76">
        <v>0</v>
      </c>
      <c r="FX76">
        <v>1</v>
      </c>
      <c r="FY76">
        <v>2</v>
      </c>
      <c r="FZ76">
        <v>3</v>
      </c>
      <c r="GA76" t="s">
        <v>421</v>
      </c>
      <c r="GB76">
        <v>2.98133</v>
      </c>
      <c r="GC76">
        <v>2.7062</v>
      </c>
      <c r="GD76">
        <v>0.160993</v>
      </c>
      <c r="GE76">
        <v>0.166196</v>
      </c>
      <c r="GF76">
        <v>0.114765</v>
      </c>
      <c r="GG76">
        <v>0.09484529999999999</v>
      </c>
      <c r="GH76">
        <v>26534.3</v>
      </c>
      <c r="GI76">
        <v>26422.7</v>
      </c>
      <c r="GJ76">
        <v>29402.2</v>
      </c>
      <c r="GK76">
        <v>29312.4</v>
      </c>
      <c r="GL76">
        <v>34455.5</v>
      </c>
      <c r="GM76">
        <v>35323.9</v>
      </c>
      <c r="GN76">
        <v>41390.8</v>
      </c>
      <c r="GO76">
        <v>41833.6</v>
      </c>
      <c r="GP76">
        <v>1.9628</v>
      </c>
      <c r="GQ76">
        <v>1.86195</v>
      </c>
      <c r="GR76">
        <v>0.068713</v>
      </c>
      <c r="GS76">
        <v>0</v>
      </c>
      <c r="GT76">
        <v>27.4663</v>
      </c>
      <c r="GU76">
        <v>999.9</v>
      </c>
      <c r="GV76">
        <v>44.8</v>
      </c>
      <c r="GW76">
        <v>35</v>
      </c>
      <c r="GX76">
        <v>28.0231</v>
      </c>
      <c r="GY76">
        <v>62.9508</v>
      </c>
      <c r="GZ76">
        <v>36.234</v>
      </c>
      <c r="HA76">
        <v>1</v>
      </c>
      <c r="HB76">
        <v>0.0405285</v>
      </c>
      <c r="HC76">
        <v>0</v>
      </c>
      <c r="HD76">
        <v>20.3463</v>
      </c>
      <c r="HE76">
        <v>5.21774</v>
      </c>
      <c r="HF76">
        <v>12.0086</v>
      </c>
      <c r="HG76">
        <v>4.9894</v>
      </c>
      <c r="HH76">
        <v>3.28865</v>
      </c>
      <c r="HI76">
        <v>495.3</v>
      </c>
      <c r="HJ76">
        <v>3638.1</v>
      </c>
      <c r="HK76">
        <v>4564.3</v>
      </c>
      <c r="HL76">
        <v>17.8</v>
      </c>
      <c r="HM76">
        <v>1.86768</v>
      </c>
      <c r="HN76">
        <v>1.86661</v>
      </c>
      <c r="HO76">
        <v>1.86615</v>
      </c>
      <c r="HP76">
        <v>1.86606</v>
      </c>
      <c r="HQ76">
        <v>1.86785</v>
      </c>
      <c r="HR76">
        <v>1.8704</v>
      </c>
      <c r="HS76">
        <v>1.86905</v>
      </c>
      <c r="HT76">
        <v>1.87042</v>
      </c>
      <c r="HU76">
        <v>0</v>
      </c>
      <c r="HV76">
        <v>0</v>
      </c>
      <c r="HW76">
        <v>0</v>
      </c>
      <c r="HX76">
        <v>0</v>
      </c>
      <c r="HY76" t="s">
        <v>422</v>
      </c>
      <c r="HZ76" t="s">
        <v>423</v>
      </c>
      <c r="IA76" t="s">
        <v>424</v>
      </c>
      <c r="IB76" t="s">
        <v>424</v>
      </c>
      <c r="IC76" t="s">
        <v>424</v>
      </c>
      <c r="ID76" t="s">
        <v>424</v>
      </c>
      <c r="IE76">
        <v>0</v>
      </c>
      <c r="IF76">
        <v>100</v>
      </c>
      <c r="IG76">
        <v>100</v>
      </c>
      <c r="IH76">
        <v>-2.565</v>
      </c>
      <c r="II76">
        <v>0.1292</v>
      </c>
      <c r="IJ76">
        <v>-1.064712027753117</v>
      </c>
      <c r="IK76">
        <v>-0.001826611574738555</v>
      </c>
      <c r="IL76">
        <v>3.313362389709971E-07</v>
      </c>
      <c r="IM76">
        <v>-1.629490614973607E-10</v>
      </c>
      <c r="IN76">
        <v>-0.09531406441470595</v>
      </c>
      <c r="IO76">
        <v>-0.008240702679890409</v>
      </c>
      <c r="IP76">
        <v>0.001077697425498046</v>
      </c>
      <c r="IQ76">
        <v>-1.69598232850356E-05</v>
      </c>
      <c r="IR76">
        <v>3</v>
      </c>
      <c r="IS76">
        <v>2280</v>
      </c>
      <c r="IT76">
        <v>1</v>
      </c>
      <c r="IU76">
        <v>25</v>
      </c>
      <c r="IV76">
        <v>1246.4</v>
      </c>
      <c r="IW76">
        <v>1243.8</v>
      </c>
      <c r="IX76">
        <v>2.05444</v>
      </c>
      <c r="IY76">
        <v>2.21436</v>
      </c>
      <c r="IZ76">
        <v>1.39648</v>
      </c>
      <c r="JA76">
        <v>2.35229</v>
      </c>
      <c r="JB76">
        <v>1.49536</v>
      </c>
      <c r="JC76">
        <v>2.2998</v>
      </c>
      <c r="JD76">
        <v>38.7717</v>
      </c>
      <c r="JE76">
        <v>24.0525</v>
      </c>
      <c r="JF76">
        <v>18</v>
      </c>
      <c r="JG76">
        <v>509.111</v>
      </c>
      <c r="JH76">
        <v>430.137</v>
      </c>
      <c r="JI76">
        <v>28.2902</v>
      </c>
      <c r="JJ76">
        <v>27.9378</v>
      </c>
      <c r="JK76">
        <v>30.0002</v>
      </c>
      <c r="JL76">
        <v>27.8439</v>
      </c>
      <c r="JM76">
        <v>27.7774</v>
      </c>
      <c r="JN76">
        <v>41.1685</v>
      </c>
      <c r="JO76">
        <v>30.133</v>
      </c>
      <c r="JP76">
        <v>0</v>
      </c>
      <c r="JQ76">
        <v>-999.9</v>
      </c>
      <c r="JR76">
        <v>981.6130000000001</v>
      </c>
      <c r="JS76">
        <v>20.7787</v>
      </c>
      <c r="JT76">
        <v>100.511</v>
      </c>
      <c r="JU76">
        <v>100.408</v>
      </c>
    </row>
    <row r="77" spans="1:281">
      <c r="A77">
        <v>61</v>
      </c>
      <c r="B77">
        <v>1651772299</v>
      </c>
      <c r="C77">
        <v>421.4000000953674</v>
      </c>
      <c r="D77" t="s">
        <v>544</v>
      </c>
      <c r="E77" t="s">
        <v>545</v>
      </c>
      <c r="F77">
        <v>5</v>
      </c>
      <c r="H77" t="s">
        <v>417</v>
      </c>
      <c r="I77">
        <v>1651772296.5</v>
      </c>
      <c r="J77">
        <f>(K77)/1000</f>
        <v>0</v>
      </c>
      <c r="K77">
        <f>IF(CZ77, AN77, AH77)</f>
        <v>0</v>
      </c>
      <c r="L77">
        <f>IF(CZ77, AI77, AG77)</f>
        <v>0</v>
      </c>
      <c r="M77">
        <f>DB77 - IF(AU77&gt;1, L77*CV77*100.0/(AW77*DP77), 0)</f>
        <v>0</v>
      </c>
      <c r="N77">
        <f>((T77-J77/2)*M77-L77)/(T77+J77/2)</f>
        <v>0</v>
      </c>
      <c r="O77">
        <f>N77*(DI77+DJ77)/1000.0</f>
        <v>0</v>
      </c>
      <c r="P77">
        <f>(DB77 - IF(AU77&gt;1, L77*CV77*100.0/(AW77*DP77), 0))*(DI77+DJ77)/1000.0</f>
        <v>0</v>
      </c>
      <c r="Q77">
        <f>2.0/((1/S77-1/R77)+SIGN(S77)*SQRT((1/S77-1/R77)*(1/S77-1/R77) + 4*CW77/((CW77+1)*(CW77+1))*(2*1/S77*1/R77-1/R77*1/R77)))</f>
        <v>0</v>
      </c>
      <c r="R77">
        <f>IF(LEFT(CX77,1)&lt;&gt;"0",IF(LEFT(CX77,1)="1",3.0,CY77),$D$5+$E$5*(DP77*DI77/($K$5*1000))+$F$5*(DP77*DI77/($K$5*1000))*MAX(MIN(CV77,$J$5),$I$5)*MAX(MIN(CV77,$J$5),$I$5)+$G$5*MAX(MIN(CV77,$J$5),$I$5)*(DP77*DI77/($K$5*1000))+$H$5*(DP77*DI77/($K$5*1000))*(DP77*DI77/($K$5*1000)))</f>
        <v>0</v>
      </c>
      <c r="S77">
        <f>J77*(1000-(1000*0.61365*exp(17.502*W77/(240.97+W77))/(DI77+DJ77)+DD77)/2)/(1000*0.61365*exp(17.502*W77/(240.97+W77))/(DI77+DJ77)-DD77)</f>
        <v>0</v>
      </c>
      <c r="T77">
        <f>1/((CW77+1)/(Q77/1.6)+1/(R77/1.37)) + CW77/((CW77+1)/(Q77/1.6) + CW77/(R77/1.37))</f>
        <v>0</v>
      </c>
      <c r="U77">
        <f>(CR77*CU77)</f>
        <v>0</v>
      </c>
      <c r="V77">
        <f>(DK77+(U77+2*0.95*5.67E-8*(((DK77+$B$7)+273)^4-(DK77+273)^4)-44100*J77)/(1.84*29.3*R77+8*0.95*5.67E-8*(DK77+273)^3))</f>
        <v>0</v>
      </c>
      <c r="W77">
        <f>($C$7*DL77+$D$7*DM77+$E$7*V77)</f>
        <v>0</v>
      </c>
      <c r="X77">
        <f>0.61365*exp(17.502*W77/(240.97+W77))</f>
        <v>0</v>
      </c>
      <c r="Y77">
        <f>(Z77/AA77*100)</f>
        <v>0</v>
      </c>
      <c r="Z77">
        <f>DD77*(DI77+DJ77)/1000</f>
        <v>0</v>
      </c>
      <c r="AA77">
        <f>0.61365*exp(17.502*DK77/(240.97+DK77))</f>
        <v>0</v>
      </c>
      <c r="AB77">
        <f>(X77-DD77*(DI77+DJ77)/1000)</f>
        <v>0</v>
      </c>
      <c r="AC77">
        <f>(-J77*44100)</f>
        <v>0</v>
      </c>
      <c r="AD77">
        <f>2*29.3*R77*0.92*(DK77-W77)</f>
        <v>0</v>
      </c>
      <c r="AE77">
        <f>2*0.95*5.67E-8*(((DK77+$B$7)+273)^4-(W77+273)^4)</f>
        <v>0</v>
      </c>
      <c r="AF77">
        <f>U77+AE77+AC77+AD77</f>
        <v>0</v>
      </c>
      <c r="AG77">
        <f>DH77*AU77*(DC77-DB77*(1000-AU77*DE77)/(1000-AU77*DD77))/(100*CV77)</f>
        <v>0</v>
      </c>
      <c r="AH77">
        <f>1000*DH77*AU77*(DD77-DE77)/(100*CV77*(1000-AU77*DD77))</f>
        <v>0</v>
      </c>
      <c r="AI77">
        <f>(AJ77 - AK77 - DI77*1E3/(8.314*(DK77+273.15)) * AM77/DH77 * AL77) * DH77/(100*CV77) * (1000 - DE77)/1000</f>
        <v>0</v>
      </c>
      <c r="AJ77">
        <v>991.5736309205402</v>
      </c>
      <c r="AK77">
        <v>940.7913454545451</v>
      </c>
      <c r="AL77">
        <v>3.428660779482151</v>
      </c>
      <c r="AM77">
        <v>66.72507702095443</v>
      </c>
      <c r="AN77">
        <f>(AP77 - AO77 + DI77*1E3/(8.314*(DK77+273.15)) * AR77/DH77 * AQ77) * DH77/(100*CV77) * 1000/(1000 - AP77)</f>
        <v>0</v>
      </c>
      <c r="AO77">
        <v>20.74800121980792</v>
      </c>
      <c r="AP77">
        <v>26.76028666666666</v>
      </c>
      <c r="AQ77">
        <v>2.490282700009436E-05</v>
      </c>
      <c r="AR77">
        <v>78.22078291278521</v>
      </c>
      <c r="AS77">
        <v>1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MAX(0,($B$13+$C$13*DP77)/(1+$D$13*DP77)*DI77/(DK77+273)*$E$13)</f>
        <v>0</v>
      </c>
      <c r="AX77" t="s">
        <v>418</v>
      </c>
      <c r="AY77" t="s">
        <v>418</v>
      </c>
      <c r="AZ77">
        <v>0</v>
      </c>
      <c r="BA77">
        <v>0</v>
      </c>
      <c r="BB77">
        <f>1-AZ77/BA77</f>
        <v>0</v>
      </c>
      <c r="BC77">
        <v>0</v>
      </c>
      <c r="BD77" t="s">
        <v>418</v>
      </c>
      <c r="BE77" t="s">
        <v>418</v>
      </c>
      <c r="BF77">
        <v>0</v>
      </c>
      <c r="BG77">
        <v>0</v>
      </c>
      <c r="BH77">
        <f>1-BF77/BG77</f>
        <v>0</v>
      </c>
      <c r="BI77">
        <v>0.5</v>
      </c>
      <c r="BJ77">
        <f>CS77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418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f>$B$11*DQ77+$C$11*DR77+$F$11*EC77*(1-EF77)</f>
        <v>0</v>
      </c>
      <c r="CS77">
        <f>CR77*CT77</f>
        <v>0</v>
      </c>
      <c r="CT77">
        <f>($B$11*$D$9+$C$11*$D$9+$F$11*((EP77+EH77)/MAX(EP77+EH77+EQ77, 0.1)*$I$9+EQ77/MAX(EP77+EH77+EQ77, 0.1)*$J$9))/($B$11+$C$11+$F$11)</f>
        <v>0</v>
      </c>
      <c r="CU77">
        <f>($B$11*$K$9+$C$11*$K$9+$F$11*((EP77+EH77)/MAX(EP77+EH77+EQ77, 0.1)*$P$9+EQ77/MAX(EP77+EH77+EQ77, 0.1)*$Q$9))/($B$11+$C$11+$F$11)</f>
        <v>0</v>
      </c>
      <c r="CV77">
        <v>6</v>
      </c>
      <c r="CW77">
        <v>0.5</v>
      </c>
      <c r="CX77" t="s">
        <v>419</v>
      </c>
      <c r="CY77">
        <v>2</v>
      </c>
      <c r="CZ77" t="b">
        <v>1</v>
      </c>
      <c r="DA77">
        <v>1651772296.5</v>
      </c>
      <c r="DB77">
        <v>908.9344444444445</v>
      </c>
      <c r="DC77">
        <v>971.8270000000001</v>
      </c>
      <c r="DD77">
        <v>26.75834444444444</v>
      </c>
      <c r="DE77">
        <v>20.74787777777778</v>
      </c>
      <c r="DF77">
        <v>911.5124444444443</v>
      </c>
      <c r="DG77">
        <v>26.62915555555556</v>
      </c>
      <c r="DH77">
        <v>500.0497777777777</v>
      </c>
      <c r="DI77">
        <v>90.30405555555556</v>
      </c>
      <c r="DJ77">
        <v>0.09991505555555556</v>
      </c>
      <c r="DK77">
        <v>29.28873333333334</v>
      </c>
      <c r="DL77">
        <v>28.5928</v>
      </c>
      <c r="DM77">
        <v>999.9000000000001</v>
      </c>
      <c r="DN77">
        <v>0</v>
      </c>
      <c r="DO77">
        <v>0</v>
      </c>
      <c r="DP77">
        <v>10008.62222222222</v>
      </c>
      <c r="DQ77">
        <v>0</v>
      </c>
      <c r="DR77">
        <v>13.265</v>
      </c>
      <c r="DS77">
        <v>-62.89252222222222</v>
      </c>
      <c r="DT77">
        <v>933.9248888888887</v>
      </c>
      <c r="DU77">
        <v>992.4174444444444</v>
      </c>
      <c r="DV77">
        <v>6.010465555555556</v>
      </c>
      <c r="DW77">
        <v>971.8270000000001</v>
      </c>
      <c r="DX77">
        <v>20.74787777777778</v>
      </c>
      <c r="DY77">
        <v>2.416387777777778</v>
      </c>
      <c r="DZ77">
        <v>1.873617777777778</v>
      </c>
      <c r="EA77">
        <v>20.47403333333333</v>
      </c>
      <c r="EB77">
        <v>16.4149</v>
      </c>
      <c r="EC77">
        <v>1499.994444444445</v>
      </c>
      <c r="ED77">
        <v>0.9730089999999999</v>
      </c>
      <c r="EE77">
        <v>0.0269905</v>
      </c>
      <c r="EF77">
        <v>0</v>
      </c>
      <c r="EG77">
        <v>2.288422222222222</v>
      </c>
      <c r="EH77">
        <v>0</v>
      </c>
      <c r="EI77">
        <v>15173.6</v>
      </c>
      <c r="EJ77">
        <v>12533.37777777778</v>
      </c>
      <c r="EK77">
        <v>36.45099999999999</v>
      </c>
      <c r="EL77">
        <v>38</v>
      </c>
      <c r="EM77">
        <v>36.875</v>
      </c>
      <c r="EN77">
        <v>37.375</v>
      </c>
      <c r="EO77">
        <v>36.312</v>
      </c>
      <c r="EP77">
        <v>1459.504444444445</v>
      </c>
      <c r="EQ77">
        <v>40.49</v>
      </c>
      <c r="ER77">
        <v>0</v>
      </c>
      <c r="ES77">
        <v>1651772300</v>
      </c>
      <c r="ET77">
        <v>0</v>
      </c>
      <c r="EU77">
        <v>2.303084</v>
      </c>
      <c r="EV77">
        <v>-0.7055461632522579</v>
      </c>
      <c r="EW77">
        <v>-536.0846145634201</v>
      </c>
      <c r="EX77">
        <v>15216.016</v>
      </c>
      <c r="EY77">
        <v>15</v>
      </c>
      <c r="EZ77">
        <v>0</v>
      </c>
      <c r="FA77" t="s">
        <v>420</v>
      </c>
      <c r="FB77">
        <v>1651697511.6</v>
      </c>
      <c r="FC77">
        <v>1651697666.1</v>
      </c>
      <c r="FD77">
        <v>0</v>
      </c>
      <c r="FE77">
        <v>-0.019</v>
      </c>
      <c r="FF77">
        <v>0.013</v>
      </c>
      <c r="FG77">
        <v>-2.121</v>
      </c>
      <c r="FH77">
        <v>0.041</v>
      </c>
      <c r="FI77">
        <v>420</v>
      </c>
      <c r="FJ77">
        <v>22</v>
      </c>
      <c r="FK77">
        <v>1.72</v>
      </c>
      <c r="FL77">
        <v>0.27</v>
      </c>
      <c r="FM77">
        <v>-62.62324000000001</v>
      </c>
      <c r="FN77">
        <v>-1.634039774859074</v>
      </c>
      <c r="FO77">
        <v>0.1724709929234482</v>
      </c>
      <c r="FP77">
        <v>0</v>
      </c>
      <c r="FQ77">
        <v>6.0084585</v>
      </c>
      <c r="FR77">
        <v>0.08326288930580447</v>
      </c>
      <c r="FS77">
        <v>0.02139608475282337</v>
      </c>
      <c r="FT77">
        <v>1</v>
      </c>
      <c r="FU77">
        <v>0</v>
      </c>
      <c r="FV77">
        <v>0</v>
      </c>
      <c r="FW77">
        <v>0</v>
      </c>
      <c r="FX77">
        <v>1</v>
      </c>
      <c r="FY77">
        <v>2</v>
      </c>
      <c r="FZ77">
        <v>3</v>
      </c>
      <c r="GA77" t="s">
        <v>421</v>
      </c>
      <c r="GB77">
        <v>2.98126</v>
      </c>
      <c r="GC77">
        <v>2.706</v>
      </c>
      <c r="GD77">
        <v>0.162926</v>
      </c>
      <c r="GE77">
        <v>0.168068</v>
      </c>
      <c r="GF77">
        <v>0.114773</v>
      </c>
      <c r="GG77">
        <v>0.0948338</v>
      </c>
      <c r="GH77">
        <v>26472</v>
      </c>
      <c r="GI77">
        <v>26363</v>
      </c>
      <c r="GJ77">
        <v>29400.9</v>
      </c>
      <c r="GK77">
        <v>29312</v>
      </c>
      <c r="GL77">
        <v>34453.7</v>
      </c>
      <c r="GM77">
        <v>35323.8</v>
      </c>
      <c r="GN77">
        <v>41389</v>
      </c>
      <c r="GO77">
        <v>41832.8</v>
      </c>
      <c r="GP77">
        <v>1.96257</v>
      </c>
      <c r="GQ77">
        <v>1.86205</v>
      </c>
      <c r="GR77">
        <v>0.0689737</v>
      </c>
      <c r="GS77">
        <v>0</v>
      </c>
      <c r="GT77">
        <v>27.4704</v>
      </c>
      <c r="GU77">
        <v>999.9</v>
      </c>
      <c r="GV77">
        <v>44.8</v>
      </c>
      <c r="GW77">
        <v>35</v>
      </c>
      <c r="GX77">
        <v>28.0221</v>
      </c>
      <c r="GY77">
        <v>62.6308</v>
      </c>
      <c r="GZ77">
        <v>36.3101</v>
      </c>
      <c r="HA77">
        <v>1</v>
      </c>
      <c r="HB77">
        <v>0.040846</v>
      </c>
      <c r="HC77">
        <v>0</v>
      </c>
      <c r="HD77">
        <v>20.3461</v>
      </c>
      <c r="HE77">
        <v>5.21534</v>
      </c>
      <c r="HF77">
        <v>12.0086</v>
      </c>
      <c r="HG77">
        <v>4.98855</v>
      </c>
      <c r="HH77">
        <v>3.28828</v>
      </c>
      <c r="HI77">
        <v>495.3</v>
      </c>
      <c r="HJ77">
        <v>3638.1</v>
      </c>
      <c r="HK77">
        <v>4564.3</v>
      </c>
      <c r="HL77">
        <v>17.8</v>
      </c>
      <c r="HM77">
        <v>1.86768</v>
      </c>
      <c r="HN77">
        <v>1.86662</v>
      </c>
      <c r="HO77">
        <v>1.86616</v>
      </c>
      <c r="HP77">
        <v>1.86607</v>
      </c>
      <c r="HQ77">
        <v>1.86786</v>
      </c>
      <c r="HR77">
        <v>1.8704</v>
      </c>
      <c r="HS77">
        <v>1.86905</v>
      </c>
      <c r="HT77">
        <v>1.87042</v>
      </c>
      <c r="HU77">
        <v>0</v>
      </c>
      <c r="HV77">
        <v>0</v>
      </c>
      <c r="HW77">
        <v>0</v>
      </c>
      <c r="HX77">
        <v>0</v>
      </c>
      <c r="HY77" t="s">
        <v>422</v>
      </c>
      <c r="HZ77" t="s">
        <v>423</v>
      </c>
      <c r="IA77" t="s">
        <v>424</v>
      </c>
      <c r="IB77" t="s">
        <v>424</v>
      </c>
      <c r="IC77" t="s">
        <v>424</v>
      </c>
      <c r="ID77" t="s">
        <v>424</v>
      </c>
      <c r="IE77">
        <v>0</v>
      </c>
      <c r="IF77">
        <v>100</v>
      </c>
      <c r="IG77">
        <v>100</v>
      </c>
      <c r="IH77">
        <v>-2.591</v>
      </c>
      <c r="II77">
        <v>0.1292</v>
      </c>
      <c r="IJ77">
        <v>-1.064712027753117</v>
      </c>
      <c r="IK77">
        <v>-0.001826611574738555</v>
      </c>
      <c r="IL77">
        <v>3.313362389709971E-07</v>
      </c>
      <c r="IM77">
        <v>-1.629490614973607E-10</v>
      </c>
      <c r="IN77">
        <v>-0.09531406441470595</v>
      </c>
      <c r="IO77">
        <v>-0.008240702679890409</v>
      </c>
      <c r="IP77">
        <v>0.001077697425498046</v>
      </c>
      <c r="IQ77">
        <v>-1.69598232850356E-05</v>
      </c>
      <c r="IR77">
        <v>3</v>
      </c>
      <c r="IS77">
        <v>2280</v>
      </c>
      <c r="IT77">
        <v>1</v>
      </c>
      <c r="IU77">
        <v>25</v>
      </c>
      <c r="IV77">
        <v>1246.5</v>
      </c>
      <c r="IW77">
        <v>1243.9</v>
      </c>
      <c r="IX77">
        <v>2.08618</v>
      </c>
      <c r="IY77">
        <v>2.21313</v>
      </c>
      <c r="IZ77">
        <v>1.39648</v>
      </c>
      <c r="JA77">
        <v>2.35229</v>
      </c>
      <c r="JB77">
        <v>1.49536</v>
      </c>
      <c r="JC77">
        <v>2.27417</v>
      </c>
      <c r="JD77">
        <v>38.7717</v>
      </c>
      <c r="JE77">
        <v>24.0525</v>
      </c>
      <c r="JF77">
        <v>18</v>
      </c>
      <c r="JG77">
        <v>508.99</v>
      </c>
      <c r="JH77">
        <v>430.219</v>
      </c>
      <c r="JI77">
        <v>28.295</v>
      </c>
      <c r="JJ77">
        <v>27.9408</v>
      </c>
      <c r="JK77">
        <v>30.0004</v>
      </c>
      <c r="JL77">
        <v>27.8468</v>
      </c>
      <c r="JM77">
        <v>27.7803</v>
      </c>
      <c r="JN77">
        <v>41.7661</v>
      </c>
      <c r="JO77">
        <v>30.133</v>
      </c>
      <c r="JP77">
        <v>0</v>
      </c>
      <c r="JQ77">
        <v>-999.9</v>
      </c>
      <c r="JR77">
        <v>1001.65</v>
      </c>
      <c r="JS77">
        <v>20.8395</v>
      </c>
      <c r="JT77">
        <v>100.507</v>
      </c>
      <c r="JU77">
        <v>100.406</v>
      </c>
    </row>
    <row r="78" spans="1:281">
      <c r="A78">
        <v>62</v>
      </c>
      <c r="B78">
        <v>1651772304</v>
      </c>
      <c r="C78">
        <v>426.4000000953674</v>
      </c>
      <c r="D78" t="s">
        <v>546</v>
      </c>
      <c r="E78" t="s">
        <v>547</v>
      </c>
      <c r="F78">
        <v>5</v>
      </c>
      <c r="H78" t="s">
        <v>417</v>
      </c>
      <c r="I78">
        <v>1651772301.2</v>
      </c>
      <c r="J78">
        <f>(K78)/1000</f>
        <v>0</v>
      </c>
      <c r="K78">
        <f>IF(CZ78, AN78, AH78)</f>
        <v>0</v>
      </c>
      <c r="L78">
        <f>IF(CZ78, AI78, AG78)</f>
        <v>0</v>
      </c>
      <c r="M78">
        <f>DB78 - IF(AU78&gt;1, L78*CV78*100.0/(AW78*DP78), 0)</f>
        <v>0</v>
      </c>
      <c r="N78">
        <f>((T78-J78/2)*M78-L78)/(T78+J78/2)</f>
        <v>0</v>
      </c>
      <c r="O78">
        <f>N78*(DI78+DJ78)/1000.0</f>
        <v>0</v>
      </c>
      <c r="P78">
        <f>(DB78 - IF(AU78&gt;1, L78*CV78*100.0/(AW78*DP78), 0))*(DI78+DJ78)/1000.0</f>
        <v>0</v>
      </c>
      <c r="Q78">
        <f>2.0/((1/S78-1/R78)+SIGN(S78)*SQRT((1/S78-1/R78)*(1/S78-1/R78) + 4*CW78/((CW78+1)*(CW78+1))*(2*1/S78*1/R78-1/R78*1/R78)))</f>
        <v>0</v>
      </c>
      <c r="R78">
        <f>IF(LEFT(CX78,1)&lt;&gt;"0",IF(LEFT(CX78,1)="1",3.0,CY78),$D$5+$E$5*(DP78*DI78/($K$5*1000))+$F$5*(DP78*DI78/($K$5*1000))*MAX(MIN(CV78,$J$5),$I$5)*MAX(MIN(CV78,$J$5),$I$5)+$G$5*MAX(MIN(CV78,$J$5),$I$5)*(DP78*DI78/($K$5*1000))+$H$5*(DP78*DI78/($K$5*1000))*(DP78*DI78/($K$5*1000)))</f>
        <v>0</v>
      </c>
      <c r="S78">
        <f>J78*(1000-(1000*0.61365*exp(17.502*W78/(240.97+W78))/(DI78+DJ78)+DD78)/2)/(1000*0.61365*exp(17.502*W78/(240.97+W78))/(DI78+DJ78)-DD78)</f>
        <v>0</v>
      </c>
      <c r="T78">
        <f>1/((CW78+1)/(Q78/1.6)+1/(R78/1.37)) + CW78/((CW78+1)/(Q78/1.6) + CW78/(R78/1.37))</f>
        <v>0</v>
      </c>
      <c r="U78">
        <f>(CR78*CU78)</f>
        <v>0</v>
      </c>
      <c r="V78">
        <f>(DK78+(U78+2*0.95*5.67E-8*(((DK78+$B$7)+273)^4-(DK78+273)^4)-44100*J78)/(1.84*29.3*R78+8*0.95*5.67E-8*(DK78+273)^3))</f>
        <v>0</v>
      </c>
      <c r="W78">
        <f>($C$7*DL78+$D$7*DM78+$E$7*V78)</f>
        <v>0</v>
      </c>
      <c r="X78">
        <f>0.61365*exp(17.502*W78/(240.97+W78))</f>
        <v>0</v>
      </c>
      <c r="Y78">
        <f>(Z78/AA78*100)</f>
        <v>0</v>
      </c>
      <c r="Z78">
        <f>DD78*(DI78+DJ78)/1000</f>
        <v>0</v>
      </c>
      <c r="AA78">
        <f>0.61365*exp(17.502*DK78/(240.97+DK78))</f>
        <v>0</v>
      </c>
      <c r="AB78">
        <f>(X78-DD78*(DI78+DJ78)/1000)</f>
        <v>0</v>
      </c>
      <c r="AC78">
        <f>(-J78*44100)</f>
        <v>0</v>
      </c>
      <c r="AD78">
        <f>2*29.3*R78*0.92*(DK78-W78)</f>
        <v>0</v>
      </c>
      <c r="AE78">
        <f>2*0.95*5.67E-8*(((DK78+$B$7)+273)^4-(W78+273)^4)</f>
        <v>0</v>
      </c>
      <c r="AF78">
        <f>U78+AE78+AC78+AD78</f>
        <v>0</v>
      </c>
      <c r="AG78">
        <f>DH78*AU78*(DC78-DB78*(1000-AU78*DE78)/(1000-AU78*DD78))/(100*CV78)</f>
        <v>0</v>
      </c>
      <c r="AH78">
        <f>1000*DH78*AU78*(DD78-DE78)/(100*CV78*(1000-AU78*DD78))</f>
        <v>0</v>
      </c>
      <c r="AI78">
        <f>(AJ78 - AK78 - DI78*1E3/(8.314*(DK78+273.15)) * AM78/DH78 * AL78) * DH78/(100*CV78) * (1000 - DE78)/1000</f>
        <v>0</v>
      </c>
      <c r="AJ78">
        <v>1008.49946855778</v>
      </c>
      <c r="AK78">
        <v>957.7908787878787</v>
      </c>
      <c r="AL78">
        <v>3.386910416317925</v>
      </c>
      <c r="AM78">
        <v>66.72507702095443</v>
      </c>
      <c r="AN78">
        <f>(AP78 - AO78 + DI78*1E3/(8.314*(DK78+273.15)) * AR78/DH78 * AQ78) * DH78/(100*CV78) * 1000/(1000 - AP78)</f>
        <v>0</v>
      </c>
      <c r="AO78">
        <v>20.7450069755679</v>
      </c>
      <c r="AP78">
        <v>26.76796545454545</v>
      </c>
      <c r="AQ78">
        <v>0.0001442174129275812</v>
      </c>
      <c r="AR78">
        <v>78.22078291278521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MAX(0,($B$13+$C$13*DP78)/(1+$D$13*DP78)*DI78/(DK78+273)*$E$13)</f>
        <v>0</v>
      </c>
      <c r="AX78" t="s">
        <v>418</v>
      </c>
      <c r="AY78" t="s">
        <v>418</v>
      </c>
      <c r="AZ78">
        <v>0</v>
      </c>
      <c r="BA78">
        <v>0</v>
      </c>
      <c r="BB78">
        <f>1-AZ78/BA78</f>
        <v>0</v>
      </c>
      <c r="BC78">
        <v>0</v>
      </c>
      <c r="BD78" t="s">
        <v>418</v>
      </c>
      <c r="BE78" t="s">
        <v>418</v>
      </c>
      <c r="BF78">
        <v>0</v>
      </c>
      <c r="BG78">
        <v>0</v>
      </c>
      <c r="BH78">
        <f>1-BF78/BG78</f>
        <v>0</v>
      </c>
      <c r="BI78">
        <v>0.5</v>
      </c>
      <c r="BJ78">
        <f>CS78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418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f>$B$11*DQ78+$C$11*DR78+$F$11*EC78*(1-EF78)</f>
        <v>0</v>
      </c>
      <c r="CS78">
        <f>CR78*CT78</f>
        <v>0</v>
      </c>
      <c r="CT78">
        <f>($B$11*$D$9+$C$11*$D$9+$F$11*((EP78+EH78)/MAX(EP78+EH78+EQ78, 0.1)*$I$9+EQ78/MAX(EP78+EH78+EQ78, 0.1)*$J$9))/($B$11+$C$11+$F$11)</f>
        <v>0</v>
      </c>
      <c r="CU78">
        <f>($B$11*$K$9+$C$11*$K$9+$F$11*((EP78+EH78)/MAX(EP78+EH78+EQ78, 0.1)*$P$9+EQ78/MAX(EP78+EH78+EQ78, 0.1)*$Q$9))/($B$11+$C$11+$F$11)</f>
        <v>0</v>
      </c>
      <c r="CV78">
        <v>6</v>
      </c>
      <c r="CW78">
        <v>0.5</v>
      </c>
      <c r="CX78" t="s">
        <v>419</v>
      </c>
      <c r="CY78">
        <v>2</v>
      </c>
      <c r="CZ78" t="b">
        <v>1</v>
      </c>
      <c r="DA78">
        <v>1651772301.2</v>
      </c>
      <c r="DB78">
        <v>924.5722</v>
      </c>
      <c r="DC78">
        <v>987.4532999999999</v>
      </c>
      <c r="DD78">
        <v>26.76376</v>
      </c>
      <c r="DE78">
        <v>20.74508</v>
      </c>
      <c r="DF78">
        <v>927.1755000000001</v>
      </c>
      <c r="DG78">
        <v>26.6345</v>
      </c>
      <c r="DH78">
        <v>500.0236</v>
      </c>
      <c r="DI78">
        <v>90.30496000000001</v>
      </c>
      <c r="DJ78">
        <v>0.10000515</v>
      </c>
      <c r="DK78">
        <v>29.29252</v>
      </c>
      <c r="DL78">
        <v>28.58944</v>
      </c>
      <c r="DM78">
        <v>999.9</v>
      </c>
      <c r="DN78">
        <v>0</v>
      </c>
      <c r="DO78">
        <v>0</v>
      </c>
      <c r="DP78">
        <v>9997.49</v>
      </c>
      <c r="DQ78">
        <v>0</v>
      </c>
      <c r="DR78">
        <v>13.19585</v>
      </c>
      <c r="DS78">
        <v>-62.88100000000001</v>
      </c>
      <c r="DT78">
        <v>949.9978000000001</v>
      </c>
      <c r="DU78">
        <v>1008.3714</v>
      </c>
      <c r="DV78">
        <v>6.018674</v>
      </c>
      <c r="DW78">
        <v>987.4532999999999</v>
      </c>
      <c r="DX78">
        <v>20.74508</v>
      </c>
      <c r="DY78">
        <v>2.416901</v>
      </c>
      <c r="DZ78">
        <v>1.873384</v>
      </c>
      <c r="EA78">
        <v>20.47745</v>
      </c>
      <c r="EB78">
        <v>16.41295</v>
      </c>
      <c r="EC78">
        <v>1499.99</v>
      </c>
      <c r="ED78">
        <v>0.9730089999999999</v>
      </c>
      <c r="EE78">
        <v>0.0269905</v>
      </c>
      <c r="EF78">
        <v>0</v>
      </c>
      <c r="EG78">
        <v>2.3615</v>
      </c>
      <c r="EH78">
        <v>0</v>
      </c>
      <c r="EI78">
        <v>15130.47</v>
      </c>
      <c r="EJ78">
        <v>12533.34</v>
      </c>
      <c r="EK78">
        <v>36.46849999999999</v>
      </c>
      <c r="EL78">
        <v>38</v>
      </c>
      <c r="EM78">
        <v>36.875</v>
      </c>
      <c r="EN78">
        <v>37.375</v>
      </c>
      <c r="EO78">
        <v>36.312</v>
      </c>
      <c r="EP78">
        <v>1459.5</v>
      </c>
      <c r="EQ78">
        <v>40.49</v>
      </c>
      <c r="ER78">
        <v>0</v>
      </c>
      <c r="ES78">
        <v>1651772304.8</v>
      </c>
      <c r="ET78">
        <v>0</v>
      </c>
      <c r="EU78">
        <v>2.318636</v>
      </c>
      <c r="EV78">
        <v>-0.1356077002568264</v>
      </c>
      <c r="EW78">
        <v>-542.2384623785349</v>
      </c>
      <c r="EX78">
        <v>15172.88</v>
      </c>
      <c r="EY78">
        <v>15</v>
      </c>
      <c r="EZ78">
        <v>0</v>
      </c>
      <c r="FA78" t="s">
        <v>420</v>
      </c>
      <c r="FB78">
        <v>1651697511.6</v>
      </c>
      <c r="FC78">
        <v>1651697666.1</v>
      </c>
      <c r="FD78">
        <v>0</v>
      </c>
      <c r="FE78">
        <v>-0.019</v>
      </c>
      <c r="FF78">
        <v>0.013</v>
      </c>
      <c r="FG78">
        <v>-2.121</v>
      </c>
      <c r="FH78">
        <v>0.041</v>
      </c>
      <c r="FI78">
        <v>420</v>
      </c>
      <c r="FJ78">
        <v>22</v>
      </c>
      <c r="FK78">
        <v>1.72</v>
      </c>
      <c r="FL78">
        <v>0.27</v>
      </c>
      <c r="FM78">
        <v>-62.70569024390243</v>
      </c>
      <c r="FN78">
        <v>-1.671401393728371</v>
      </c>
      <c r="FO78">
        <v>0.177818410806901</v>
      </c>
      <c r="FP78">
        <v>0</v>
      </c>
      <c r="FQ78">
        <v>6.017063658536586</v>
      </c>
      <c r="FR78">
        <v>-0.03632257839720105</v>
      </c>
      <c r="FS78">
        <v>0.007213961651732768</v>
      </c>
      <c r="FT78">
        <v>1</v>
      </c>
      <c r="FU78">
        <v>0</v>
      </c>
      <c r="FV78">
        <v>0</v>
      </c>
      <c r="FW78">
        <v>0</v>
      </c>
      <c r="FX78">
        <v>1</v>
      </c>
      <c r="FY78">
        <v>2</v>
      </c>
      <c r="FZ78">
        <v>3</v>
      </c>
      <c r="GA78" t="s">
        <v>421</v>
      </c>
      <c r="GB78">
        <v>2.98141</v>
      </c>
      <c r="GC78">
        <v>2.70631</v>
      </c>
      <c r="GD78">
        <v>0.16483</v>
      </c>
      <c r="GE78">
        <v>0.169905</v>
      </c>
      <c r="GF78">
        <v>0.114792</v>
      </c>
      <c r="GG78">
        <v>0.0948243</v>
      </c>
      <c r="GH78">
        <v>26411.7</v>
      </c>
      <c r="GI78">
        <v>26304.8</v>
      </c>
      <c r="GJ78">
        <v>29400.8</v>
      </c>
      <c r="GK78">
        <v>29312.1</v>
      </c>
      <c r="GL78">
        <v>34453</v>
      </c>
      <c r="GM78">
        <v>35324.5</v>
      </c>
      <c r="GN78">
        <v>41389</v>
      </c>
      <c r="GO78">
        <v>41833.2</v>
      </c>
      <c r="GP78">
        <v>1.96312</v>
      </c>
      <c r="GQ78">
        <v>1.86197</v>
      </c>
      <c r="GR78">
        <v>0.0682659</v>
      </c>
      <c r="GS78">
        <v>0</v>
      </c>
      <c r="GT78">
        <v>27.4751</v>
      </c>
      <c r="GU78">
        <v>999.9</v>
      </c>
      <c r="GV78">
        <v>44.8</v>
      </c>
      <c r="GW78">
        <v>35</v>
      </c>
      <c r="GX78">
        <v>28.0238</v>
      </c>
      <c r="GY78">
        <v>62.6108</v>
      </c>
      <c r="GZ78">
        <v>36.4062</v>
      </c>
      <c r="HA78">
        <v>1</v>
      </c>
      <c r="HB78">
        <v>0.0411306</v>
      </c>
      <c r="HC78">
        <v>0</v>
      </c>
      <c r="HD78">
        <v>20.3465</v>
      </c>
      <c r="HE78">
        <v>5.21729</v>
      </c>
      <c r="HF78">
        <v>12.0086</v>
      </c>
      <c r="HG78">
        <v>4.98915</v>
      </c>
      <c r="HH78">
        <v>3.28865</v>
      </c>
      <c r="HI78">
        <v>495.3</v>
      </c>
      <c r="HJ78">
        <v>3638.1</v>
      </c>
      <c r="HK78">
        <v>4564.3</v>
      </c>
      <c r="HL78">
        <v>17.8</v>
      </c>
      <c r="HM78">
        <v>1.86768</v>
      </c>
      <c r="HN78">
        <v>1.86661</v>
      </c>
      <c r="HO78">
        <v>1.86615</v>
      </c>
      <c r="HP78">
        <v>1.86607</v>
      </c>
      <c r="HQ78">
        <v>1.86784</v>
      </c>
      <c r="HR78">
        <v>1.8704</v>
      </c>
      <c r="HS78">
        <v>1.86905</v>
      </c>
      <c r="HT78">
        <v>1.87042</v>
      </c>
      <c r="HU78">
        <v>0</v>
      </c>
      <c r="HV78">
        <v>0</v>
      </c>
      <c r="HW78">
        <v>0</v>
      </c>
      <c r="HX78">
        <v>0</v>
      </c>
      <c r="HY78" t="s">
        <v>422</v>
      </c>
      <c r="HZ78" t="s">
        <v>423</v>
      </c>
      <c r="IA78" t="s">
        <v>424</v>
      </c>
      <c r="IB78" t="s">
        <v>424</v>
      </c>
      <c r="IC78" t="s">
        <v>424</v>
      </c>
      <c r="ID78" t="s">
        <v>424</v>
      </c>
      <c r="IE78">
        <v>0</v>
      </c>
      <c r="IF78">
        <v>100</v>
      </c>
      <c r="IG78">
        <v>100</v>
      </c>
      <c r="IH78">
        <v>-2.619</v>
      </c>
      <c r="II78">
        <v>0.1293</v>
      </c>
      <c r="IJ78">
        <v>-1.064712027753117</v>
      </c>
      <c r="IK78">
        <v>-0.001826611574738555</v>
      </c>
      <c r="IL78">
        <v>3.313362389709971E-07</v>
      </c>
      <c r="IM78">
        <v>-1.629490614973607E-10</v>
      </c>
      <c r="IN78">
        <v>-0.09531406441470595</v>
      </c>
      <c r="IO78">
        <v>-0.008240702679890409</v>
      </c>
      <c r="IP78">
        <v>0.001077697425498046</v>
      </c>
      <c r="IQ78">
        <v>-1.69598232850356E-05</v>
      </c>
      <c r="IR78">
        <v>3</v>
      </c>
      <c r="IS78">
        <v>2280</v>
      </c>
      <c r="IT78">
        <v>1</v>
      </c>
      <c r="IU78">
        <v>25</v>
      </c>
      <c r="IV78">
        <v>1246.5</v>
      </c>
      <c r="IW78">
        <v>1244</v>
      </c>
      <c r="IX78">
        <v>2.11304</v>
      </c>
      <c r="IY78">
        <v>2.21436</v>
      </c>
      <c r="IZ78">
        <v>1.39648</v>
      </c>
      <c r="JA78">
        <v>2.35229</v>
      </c>
      <c r="JB78">
        <v>1.49536</v>
      </c>
      <c r="JC78">
        <v>2.27539</v>
      </c>
      <c r="JD78">
        <v>38.7717</v>
      </c>
      <c r="JE78">
        <v>24.0525</v>
      </c>
      <c r="JF78">
        <v>18</v>
      </c>
      <c r="JG78">
        <v>509.367</v>
      </c>
      <c r="JH78">
        <v>430.191</v>
      </c>
      <c r="JI78">
        <v>28.2999</v>
      </c>
      <c r="JJ78">
        <v>27.9438</v>
      </c>
      <c r="JK78">
        <v>30.0003</v>
      </c>
      <c r="JL78">
        <v>27.8492</v>
      </c>
      <c r="JM78">
        <v>27.7826</v>
      </c>
      <c r="JN78">
        <v>42.3024</v>
      </c>
      <c r="JO78">
        <v>29.8532</v>
      </c>
      <c r="JP78">
        <v>0</v>
      </c>
      <c r="JQ78">
        <v>-999.9</v>
      </c>
      <c r="JR78">
        <v>1015</v>
      </c>
      <c r="JS78">
        <v>20.8628</v>
      </c>
      <c r="JT78">
        <v>100.507</v>
      </c>
      <c r="JU78">
        <v>100.407</v>
      </c>
    </row>
    <row r="79" spans="1:281">
      <c r="A79">
        <v>63</v>
      </c>
      <c r="B79">
        <v>1651772309</v>
      </c>
      <c r="C79">
        <v>431.4000000953674</v>
      </c>
      <c r="D79" t="s">
        <v>548</v>
      </c>
      <c r="E79" t="s">
        <v>549</v>
      </c>
      <c r="F79">
        <v>5</v>
      </c>
      <c r="H79" t="s">
        <v>417</v>
      </c>
      <c r="I79">
        <v>1651772306.5</v>
      </c>
      <c r="J79">
        <f>(K79)/1000</f>
        <v>0</v>
      </c>
      <c r="K79">
        <f>IF(CZ79, AN79, AH79)</f>
        <v>0</v>
      </c>
      <c r="L79">
        <f>IF(CZ79, AI79, AG79)</f>
        <v>0</v>
      </c>
      <c r="M79">
        <f>DB79 - IF(AU79&gt;1, L79*CV79*100.0/(AW79*DP79), 0)</f>
        <v>0</v>
      </c>
      <c r="N79">
        <f>((T79-J79/2)*M79-L79)/(T79+J79/2)</f>
        <v>0</v>
      </c>
      <c r="O79">
        <f>N79*(DI79+DJ79)/1000.0</f>
        <v>0</v>
      </c>
      <c r="P79">
        <f>(DB79 - IF(AU79&gt;1, L79*CV79*100.0/(AW79*DP79), 0))*(DI79+DJ79)/1000.0</f>
        <v>0</v>
      </c>
      <c r="Q79">
        <f>2.0/((1/S79-1/R79)+SIGN(S79)*SQRT((1/S79-1/R79)*(1/S79-1/R79) + 4*CW79/((CW79+1)*(CW79+1))*(2*1/S79*1/R79-1/R79*1/R79)))</f>
        <v>0</v>
      </c>
      <c r="R79">
        <f>IF(LEFT(CX79,1)&lt;&gt;"0",IF(LEFT(CX79,1)="1",3.0,CY79),$D$5+$E$5*(DP79*DI79/($K$5*1000))+$F$5*(DP79*DI79/($K$5*1000))*MAX(MIN(CV79,$J$5),$I$5)*MAX(MIN(CV79,$J$5),$I$5)+$G$5*MAX(MIN(CV79,$J$5),$I$5)*(DP79*DI79/($K$5*1000))+$H$5*(DP79*DI79/($K$5*1000))*(DP79*DI79/($K$5*1000)))</f>
        <v>0</v>
      </c>
      <c r="S79">
        <f>J79*(1000-(1000*0.61365*exp(17.502*W79/(240.97+W79))/(DI79+DJ79)+DD79)/2)/(1000*0.61365*exp(17.502*W79/(240.97+W79))/(DI79+DJ79)-DD79)</f>
        <v>0</v>
      </c>
      <c r="T79">
        <f>1/((CW79+1)/(Q79/1.6)+1/(R79/1.37)) + CW79/((CW79+1)/(Q79/1.6) + CW79/(R79/1.37))</f>
        <v>0</v>
      </c>
      <c r="U79">
        <f>(CR79*CU79)</f>
        <v>0</v>
      </c>
      <c r="V79">
        <f>(DK79+(U79+2*0.95*5.67E-8*(((DK79+$B$7)+273)^4-(DK79+273)^4)-44100*J79)/(1.84*29.3*R79+8*0.95*5.67E-8*(DK79+273)^3))</f>
        <v>0</v>
      </c>
      <c r="W79">
        <f>($C$7*DL79+$D$7*DM79+$E$7*V79)</f>
        <v>0</v>
      </c>
      <c r="X79">
        <f>0.61365*exp(17.502*W79/(240.97+W79))</f>
        <v>0</v>
      </c>
      <c r="Y79">
        <f>(Z79/AA79*100)</f>
        <v>0</v>
      </c>
      <c r="Z79">
        <f>DD79*(DI79+DJ79)/1000</f>
        <v>0</v>
      </c>
      <c r="AA79">
        <f>0.61365*exp(17.502*DK79/(240.97+DK79))</f>
        <v>0</v>
      </c>
      <c r="AB79">
        <f>(X79-DD79*(DI79+DJ79)/1000)</f>
        <v>0</v>
      </c>
      <c r="AC79">
        <f>(-J79*44100)</f>
        <v>0</v>
      </c>
      <c r="AD79">
        <f>2*29.3*R79*0.92*(DK79-W79)</f>
        <v>0</v>
      </c>
      <c r="AE79">
        <f>2*0.95*5.67E-8*(((DK79+$B$7)+273)^4-(W79+273)^4)</f>
        <v>0</v>
      </c>
      <c r="AF79">
        <f>U79+AE79+AC79+AD79</f>
        <v>0</v>
      </c>
      <c r="AG79">
        <f>DH79*AU79*(DC79-DB79*(1000-AU79*DE79)/(1000-AU79*DD79))/(100*CV79)</f>
        <v>0</v>
      </c>
      <c r="AH79">
        <f>1000*DH79*AU79*(DD79-DE79)/(100*CV79*(1000-AU79*DD79))</f>
        <v>0</v>
      </c>
      <c r="AI79">
        <f>(AJ79 - AK79 - DI79*1E3/(8.314*(DK79+273.15)) * AM79/DH79 * AL79) * DH79/(100*CV79) * (1000 - DE79)/1000</f>
        <v>0</v>
      </c>
      <c r="AJ79">
        <v>1025.607355963814</v>
      </c>
      <c r="AK79">
        <v>975.0921272727268</v>
      </c>
      <c r="AL79">
        <v>3.45979697284858</v>
      </c>
      <c r="AM79">
        <v>66.72507702095443</v>
      </c>
      <c r="AN79">
        <f>(AP79 - AO79 + DI79*1E3/(8.314*(DK79+273.15)) * AR79/DH79 * AQ79) * DH79/(100*CV79) * 1000/(1000 - AP79)</f>
        <v>0</v>
      </c>
      <c r="AO79">
        <v>20.75435011448129</v>
      </c>
      <c r="AP79">
        <v>26.7730406060606</v>
      </c>
      <c r="AQ79">
        <v>-4.58606468898662E-05</v>
      </c>
      <c r="AR79">
        <v>78.22078291278521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MAX(0,($B$13+$C$13*DP79)/(1+$D$13*DP79)*DI79/(DK79+273)*$E$13)</f>
        <v>0</v>
      </c>
      <c r="AX79" t="s">
        <v>418</v>
      </c>
      <c r="AY79" t="s">
        <v>418</v>
      </c>
      <c r="AZ79">
        <v>0</v>
      </c>
      <c r="BA79">
        <v>0</v>
      </c>
      <c r="BB79">
        <f>1-AZ79/BA79</f>
        <v>0</v>
      </c>
      <c r="BC79">
        <v>0</v>
      </c>
      <c r="BD79" t="s">
        <v>418</v>
      </c>
      <c r="BE79" t="s">
        <v>418</v>
      </c>
      <c r="BF79">
        <v>0</v>
      </c>
      <c r="BG79">
        <v>0</v>
      </c>
      <c r="BH79">
        <f>1-BF79/BG79</f>
        <v>0</v>
      </c>
      <c r="BI79">
        <v>0.5</v>
      </c>
      <c r="BJ79">
        <f>CS79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418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f>$B$11*DQ79+$C$11*DR79+$F$11*EC79*(1-EF79)</f>
        <v>0</v>
      </c>
      <c r="CS79">
        <f>CR79*CT79</f>
        <v>0</v>
      </c>
      <c r="CT79">
        <f>($B$11*$D$9+$C$11*$D$9+$F$11*((EP79+EH79)/MAX(EP79+EH79+EQ79, 0.1)*$I$9+EQ79/MAX(EP79+EH79+EQ79, 0.1)*$J$9))/($B$11+$C$11+$F$11)</f>
        <v>0</v>
      </c>
      <c r="CU79">
        <f>($B$11*$K$9+$C$11*$K$9+$F$11*((EP79+EH79)/MAX(EP79+EH79+EQ79, 0.1)*$P$9+EQ79/MAX(EP79+EH79+EQ79, 0.1)*$Q$9))/($B$11+$C$11+$F$11)</f>
        <v>0</v>
      </c>
      <c r="CV79">
        <v>6</v>
      </c>
      <c r="CW79">
        <v>0.5</v>
      </c>
      <c r="CX79" t="s">
        <v>419</v>
      </c>
      <c r="CY79">
        <v>2</v>
      </c>
      <c r="CZ79" t="b">
        <v>1</v>
      </c>
      <c r="DA79">
        <v>1651772306.5</v>
      </c>
      <c r="DB79">
        <v>942.2604444444444</v>
      </c>
      <c r="DC79">
        <v>1005.178555555556</v>
      </c>
      <c r="DD79">
        <v>26.77045555555556</v>
      </c>
      <c r="DE79">
        <v>20.76092222222222</v>
      </c>
      <c r="DF79">
        <v>944.8926666666666</v>
      </c>
      <c r="DG79">
        <v>26.6411</v>
      </c>
      <c r="DH79">
        <v>500.0624444444445</v>
      </c>
      <c r="DI79">
        <v>90.30305555555555</v>
      </c>
      <c r="DJ79">
        <v>0.1000565666666667</v>
      </c>
      <c r="DK79">
        <v>29.2941</v>
      </c>
      <c r="DL79">
        <v>28.59563333333334</v>
      </c>
      <c r="DM79">
        <v>999.9000000000001</v>
      </c>
      <c r="DN79">
        <v>0</v>
      </c>
      <c r="DO79">
        <v>0</v>
      </c>
      <c r="DP79">
        <v>10000.69444444445</v>
      </c>
      <c r="DQ79">
        <v>0</v>
      </c>
      <c r="DR79">
        <v>13.08184444444444</v>
      </c>
      <c r="DS79">
        <v>-62.91892222222222</v>
      </c>
      <c r="DT79">
        <v>968.1792222222222</v>
      </c>
      <c r="DU79">
        <v>1026.488888888889</v>
      </c>
      <c r="DV79">
        <v>6.009556666666667</v>
      </c>
      <c r="DW79">
        <v>1005.178555555556</v>
      </c>
      <c r="DX79">
        <v>20.76092222222222</v>
      </c>
      <c r="DY79">
        <v>2.417454444444444</v>
      </c>
      <c r="DZ79">
        <v>1.874774444444445</v>
      </c>
      <c r="EA79">
        <v>20.48115555555556</v>
      </c>
      <c r="EB79">
        <v>16.42456666666667</v>
      </c>
      <c r="EC79">
        <v>1499.976666666666</v>
      </c>
      <c r="ED79">
        <v>0.9730067777777778</v>
      </c>
      <c r="EE79">
        <v>0.02699274444444445</v>
      </c>
      <c r="EF79">
        <v>0</v>
      </c>
      <c r="EG79">
        <v>2.377477777777778</v>
      </c>
      <c r="EH79">
        <v>0</v>
      </c>
      <c r="EI79">
        <v>15082.36666666666</v>
      </c>
      <c r="EJ79">
        <v>12533.18888888889</v>
      </c>
      <c r="EK79">
        <v>36.472</v>
      </c>
      <c r="EL79">
        <v>38</v>
      </c>
      <c r="EM79">
        <v>36.875</v>
      </c>
      <c r="EN79">
        <v>37.375</v>
      </c>
      <c r="EO79">
        <v>36.312</v>
      </c>
      <c r="EP79">
        <v>1459.483333333333</v>
      </c>
      <c r="EQ79">
        <v>40.48777777777778</v>
      </c>
      <c r="ER79">
        <v>0</v>
      </c>
      <c r="ES79">
        <v>1651772310.2</v>
      </c>
      <c r="ET79">
        <v>0</v>
      </c>
      <c r="EU79">
        <v>2.313526923076923</v>
      </c>
      <c r="EV79">
        <v>0.4391965838129226</v>
      </c>
      <c r="EW79">
        <v>-547.8222226117911</v>
      </c>
      <c r="EX79">
        <v>15126.53846153846</v>
      </c>
      <c r="EY79">
        <v>15</v>
      </c>
      <c r="EZ79">
        <v>0</v>
      </c>
      <c r="FA79" t="s">
        <v>420</v>
      </c>
      <c r="FB79">
        <v>1651697511.6</v>
      </c>
      <c r="FC79">
        <v>1651697666.1</v>
      </c>
      <c r="FD79">
        <v>0</v>
      </c>
      <c r="FE79">
        <v>-0.019</v>
      </c>
      <c r="FF79">
        <v>0.013</v>
      </c>
      <c r="FG79">
        <v>-2.121</v>
      </c>
      <c r="FH79">
        <v>0.041</v>
      </c>
      <c r="FI79">
        <v>420</v>
      </c>
      <c r="FJ79">
        <v>22</v>
      </c>
      <c r="FK79">
        <v>1.72</v>
      </c>
      <c r="FL79">
        <v>0.27</v>
      </c>
      <c r="FM79">
        <v>-62.833015</v>
      </c>
      <c r="FN79">
        <v>-1.001178236397761</v>
      </c>
      <c r="FO79">
        <v>0.1227123965824159</v>
      </c>
      <c r="FP79">
        <v>0</v>
      </c>
      <c r="FQ79">
        <v>6.01316075</v>
      </c>
      <c r="FR79">
        <v>-0.000322739212013513</v>
      </c>
      <c r="FS79">
        <v>0.007360436939306009</v>
      </c>
      <c r="FT79">
        <v>1</v>
      </c>
      <c r="FU79">
        <v>0</v>
      </c>
      <c r="FV79">
        <v>0</v>
      </c>
      <c r="FW79">
        <v>0</v>
      </c>
      <c r="FX79">
        <v>1</v>
      </c>
      <c r="FY79">
        <v>2</v>
      </c>
      <c r="FZ79">
        <v>3</v>
      </c>
      <c r="GA79" t="s">
        <v>421</v>
      </c>
      <c r="GB79">
        <v>2.98142</v>
      </c>
      <c r="GC79">
        <v>2.70613</v>
      </c>
      <c r="GD79">
        <v>0.166746</v>
      </c>
      <c r="GE79">
        <v>0.17174</v>
      </c>
      <c r="GF79">
        <v>0.114808</v>
      </c>
      <c r="GG79">
        <v>0.09496</v>
      </c>
      <c r="GH79">
        <v>26350.5</v>
      </c>
      <c r="GI79">
        <v>26247</v>
      </c>
      <c r="GJ79">
        <v>29400.2</v>
      </c>
      <c r="GK79">
        <v>29312.5</v>
      </c>
      <c r="GL79">
        <v>34451.4</v>
      </c>
      <c r="GM79">
        <v>35319.6</v>
      </c>
      <c r="GN79">
        <v>41387.8</v>
      </c>
      <c r="GO79">
        <v>41833.8</v>
      </c>
      <c r="GP79">
        <v>1.96315</v>
      </c>
      <c r="GQ79">
        <v>1.86195</v>
      </c>
      <c r="GR79">
        <v>0.068564</v>
      </c>
      <c r="GS79">
        <v>0</v>
      </c>
      <c r="GT79">
        <v>27.4803</v>
      </c>
      <c r="GU79">
        <v>999.9</v>
      </c>
      <c r="GV79">
        <v>44.8</v>
      </c>
      <c r="GW79">
        <v>35</v>
      </c>
      <c r="GX79">
        <v>28.0226</v>
      </c>
      <c r="GY79">
        <v>62.6508</v>
      </c>
      <c r="GZ79">
        <v>36.4103</v>
      </c>
      <c r="HA79">
        <v>1</v>
      </c>
      <c r="HB79">
        <v>0.0412652</v>
      </c>
      <c r="HC79">
        <v>0</v>
      </c>
      <c r="HD79">
        <v>20.3467</v>
      </c>
      <c r="HE79">
        <v>5.21759</v>
      </c>
      <c r="HF79">
        <v>12.0091</v>
      </c>
      <c r="HG79">
        <v>4.98905</v>
      </c>
      <c r="HH79">
        <v>3.28865</v>
      </c>
      <c r="HI79">
        <v>495.5</v>
      </c>
      <c r="HJ79">
        <v>3639.6</v>
      </c>
      <c r="HK79">
        <v>4564.3</v>
      </c>
      <c r="HL79">
        <v>17.8</v>
      </c>
      <c r="HM79">
        <v>1.86768</v>
      </c>
      <c r="HN79">
        <v>1.86663</v>
      </c>
      <c r="HO79">
        <v>1.86615</v>
      </c>
      <c r="HP79">
        <v>1.86609</v>
      </c>
      <c r="HQ79">
        <v>1.86785</v>
      </c>
      <c r="HR79">
        <v>1.8704</v>
      </c>
      <c r="HS79">
        <v>1.86905</v>
      </c>
      <c r="HT79">
        <v>1.87042</v>
      </c>
      <c r="HU79">
        <v>0</v>
      </c>
      <c r="HV79">
        <v>0</v>
      </c>
      <c r="HW79">
        <v>0</v>
      </c>
      <c r="HX79">
        <v>0</v>
      </c>
      <c r="HY79" t="s">
        <v>422</v>
      </c>
      <c r="HZ79" t="s">
        <v>423</v>
      </c>
      <c r="IA79" t="s">
        <v>424</v>
      </c>
      <c r="IB79" t="s">
        <v>424</v>
      </c>
      <c r="IC79" t="s">
        <v>424</v>
      </c>
      <c r="ID79" t="s">
        <v>424</v>
      </c>
      <c r="IE79">
        <v>0</v>
      </c>
      <c r="IF79">
        <v>100</v>
      </c>
      <c r="IG79">
        <v>100</v>
      </c>
      <c r="IH79">
        <v>-2.646</v>
      </c>
      <c r="II79">
        <v>0.1294</v>
      </c>
      <c r="IJ79">
        <v>-1.064712027753117</v>
      </c>
      <c r="IK79">
        <v>-0.001826611574738555</v>
      </c>
      <c r="IL79">
        <v>3.313362389709971E-07</v>
      </c>
      <c r="IM79">
        <v>-1.629490614973607E-10</v>
      </c>
      <c r="IN79">
        <v>-0.09531406441470595</v>
      </c>
      <c r="IO79">
        <v>-0.008240702679890409</v>
      </c>
      <c r="IP79">
        <v>0.001077697425498046</v>
      </c>
      <c r="IQ79">
        <v>-1.69598232850356E-05</v>
      </c>
      <c r="IR79">
        <v>3</v>
      </c>
      <c r="IS79">
        <v>2280</v>
      </c>
      <c r="IT79">
        <v>1</v>
      </c>
      <c r="IU79">
        <v>25</v>
      </c>
      <c r="IV79">
        <v>1246.6</v>
      </c>
      <c r="IW79">
        <v>1244</v>
      </c>
      <c r="IX79">
        <v>2.13745</v>
      </c>
      <c r="IY79">
        <v>2.21558</v>
      </c>
      <c r="IZ79">
        <v>1.39648</v>
      </c>
      <c r="JA79">
        <v>2.35229</v>
      </c>
      <c r="JB79">
        <v>1.49536</v>
      </c>
      <c r="JC79">
        <v>2.28638</v>
      </c>
      <c r="JD79">
        <v>38.7717</v>
      </c>
      <c r="JE79">
        <v>24.0525</v>
      </c>
      <c r="JF79">
        <v>18</v>
      </c>
      <c r="JG79">
        <v>509.409</v>
      </c>
      <c r="JH79">
        <v>430.197</v>
      </c>
      <c r="JI79">
        <v>28.3046</v>
      </c>
      <c r="JJ79">
        <v>27.9467</v>
      </c>
      <c r="JK79">
        <v>30.0003</v>
      </c>
      <c r="JL79">
        <v>27.8521</v>
      </c>
      <c r="JM79">
        <v>27.7854</v>
      </c>
      <c r="JN79">
        <v>42.8968</v>
      </c>
      <c r="JO79">
        <v>29.8532</v>
      </c>
      <c r="JP79">
        <v>0</v>
      </c>
      <c r="JQ79">
        <v>-999.9</v>
      </c>
      <c r="JR79">
        <v>1035.05</v>
      </c>
      <c r="JS79">
        <v>20.8726</v>
      </c>
      <c r="JT79">
        <v>100.504</v>
      </c>
      <c r="JU79">
        <v>100.408</v>
      </c>
    </row>
    <row r="80" spans="1:281">
      <c r="A80">
        <v>64</v>
      </c>
      <c r="B80">
        <v>1651772314</v>
      </c>
      <c r="C80">
        <v>436.4000000953674</v>
      </c>
      <c r="D80" t="s">
        <v>550</v>
      </c>
      <c r="E80" t="s">
        <v>551</v>
      </c>
      <c r="F80">
        <v>5</v>
      </c>
      <c r="H80" t="s">
        <v>417</v>
      </c>
      <c r="I80">
        <v>1651772311.2</v>
      </c>
      <c r="J80">
        <f>(K80)/1000</f>
        <v>0</v>
      </c>
      <c r="K80">
        <f>IF(CZ80, AN80, AH80)</f>
        <v>0</v>
      </c>
      <c r="L80">
        <f>IF(CZ80, AI80, AG80)</f>
        <v>0</v>
      </c>
      <c r="M80">
        <f>DB80 - IF(AU80&gt;1, L80*CV80*100.0/(AW80*DP80), 0)</f>
        <v>0</v>
      </c>
      <c r="N80">
        <f>((T80-J80/2)*M80-L80)/(T80+J80/2)</f>
        <v>0</v>
      </c>
      <c r="O80">
        <f>N80*(DI80+DJ80)/1000.0</f>
        <v>0</v>
      </c>
      <c r="P80">
        <f>(DB80 - IF(AU80&gt;1, L80*CV80*100.0/(AW80*DP80), 0))*(DI80+DJ80)/1000.0</f>
        <v>0</v>
      </c>
      <c r="Q80">
        <f>2.0/((1/S80-1/R80)+SIGN(S80)*SQRT((1/S80-1/R80)*(1/S80-1/R80) + 4*CW80/((CW80+1)*(CW80+1))*(2*1/S80*1/R80-1/R80*1/R80)))</f>
        <v>0</v>
      </c>
      <c r="R80">
        <f>IF(LEFT(CX80,1)&lt;&gt;"0",IF(LEFT(CX80,1)="1",3.0,CY80),$D$5+$E$5*(DP80*DI80/($K$5*1000))+$F$5*(DP80*DI80/($K$5*1000))*MAX(MIN(CV80,$J$5),$I$5)*MAX(MIN(CV80,$J$5),$I$5)+$G$5*MAX(MIN(CV80,$J$5),$I$5)*(DP80*DI80/($K$5*1000))+$H$5*(DP80*DI80/($K$5*1000))*(DP80*DI80/($K$5*1000)))</f>
        <v>0</v>
      </c>
      <c r="S80">
        <f>J80*(1000-(1000*0.61365*exp(17.502*W80/(240.97+W80))/(DI80+DJ80)+DD80)/2)/(1000*0.61365*exp(17.502*W80/(240.97+W80))/(DI80+DJ80)-DD80)</f>
        <v>0</v>
      </c>
      <c r="T80">
        <f>1/((CW80+1)/(Q80/1.6)+1/(R80/1.37)) + CW80/((CW80+1)/(Q80/1.6) + CW80/(R80/1.37))</f>
        <v>0</v>
      </c>
      <c r="U80">
        <f>(CR80*CU80)</f>
        <v>0</v>
      </c>
      <c r="V80">
        <f>(DK80+(U80+2*0.95*5.67E-8*(((DK80+$B$7)+273)^4-(DK80+273)^4)-44100*J80)/(1.84*29.3*R80+8*0.95*5.67E-8*(DK80+273)^3))</f>
        <v>0</v>
      </c>
      <c r="W80">
        <f>($C$7*DL80+$D$7*DM80+$E$7*V80)</f>
        <v>0</v>
      </c>
      <c r="X80">
        <f>0.61365*exp(17.502*W80/(240.97+W80))</f>
        <v>0</v>
      </c>
      <c r="Y80">
        <f>(Z80/AA80*100)</f>
        <v>0</v>
      </c>
      <c r="Z80">
        <f>DD80*(DI80+DJ80)/1000</f>
        <v>0</v>
      </c>
      <c r="AA80">
        <f>0.61365*exp(17.502*DK80/(240.97+DK80))</f>
        <v>0</v>
      </c>
      <c r="AB80">
        <f>(X80-DD80*(DI80+DJ80)/1000)</f>
        <v>0</v>
      </c>
      <c r="AC80">
        <f>(-J80*44100)</f>
        <v>0</v>
      </c>
      <c r="AD80">
        <f>2*29.3*R80*0.92*(DK80-W80)</f>
        <v>0</v>
      </c>
      <c r="AE80">
        <f>2*0.95*5.67E-8*(((DK80+$B$7)+273)^4-(W80+273)^4)</f>
        <v>0</v>
      </c>
      <c r="AF80">
        <f>U80+AE80+AC80+AD80</f>
        <v>0</v>
      </c>
      <c r="AG80">
        <f>DH80*AU80*(DC80-DB80*(1000-AU80*DE80)/(1000-AU80*DD80))/(100*CV80)</f>
        <v>0</v>
      </c>
      <c r="AH80">
        <f>1000*DH80*AU80*(DD80-DE80)/(100*CV80*(1000-AU80*DD80))</f>
        <v>0</v>
      </c>
      <c r="AI80">
        <f>(AJ80 - AK80 - DI80*1E3/(8.314*(DK80+273.15)) * AM80/DH80 * AL80) * DH80/(100*CV80) * (1000 - DE80)/1000</f>
        <v>0</v>
      </c>
      <c r="AJ80">
        <v>1042.883868926918</v>
      </c>
      <c r="AK80">
        <v>992.2671878787875</v>
      </c>
      <c r="AL80">
        <v>3.455126842424558</v>
      </c>
      <c r="AM80">
        <v>66.72507702095443</v>
      </c>
      <c r="AN80">
        <f>(AP80 - AO80 + DI80*1E3/(8.314*(DK80+273.15)) * AR80/DH80 * AQ80) * DH80/(100*CV80) * 1000/(1000 - AP80)</f>
        <v>0</v>
      </c>
      <c r="AO80">
        <v>20.79022457452235</v>
      </c>
      <c r="AP80">
        <v>26.79664666666666</v>
      </c>
      <c r="AQ80">
        <v>0.005301575197822358</v>
      </c>
      <c r="AR80">
        <v>78.22078291278521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MAX(0,($B$13+$C$13*DP80)/(1+$D$13*DP80)*DI80/(DK80+273)*$E$13)</f>
        <v>0</v>
      </c>
      <c r="AX80" t="s">
        <v>418</v>
      </c>
      <c r="AY80" t="s">
        <v>418</v>
      </c>
      <c r="AZ80">
        <v>0</v>
      </c>
      <c r="BA80">
        <v>0</v>
      </c>
      <c r="BB80">
        <f>1-AZ80/BA80</f>
        <v>0</v>
      </c>
      <c r="BC80">
        <v>0</v>
      </c>
      <c r="BD80" t="s">
        <v>418</v>
      </c>
      <c r="BE80" t="s">
        <v>418</v>
      </c>
      <c r="BF80">
        <v>0</v>
      </c>
      <c r="BG80">
        <v>0</v>
      </c>
      <c r="BH80">
        <f>1-BF80/BG80</f>
        <v>0</v>
      </c>
      <c r="BI80">
        <v>0.5</v>
      </c>
      <c r="BJ80">
        <f>CS80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418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f>$B$11*DQ80+$C$11*DR80+$F$11*EC80*(1-EF80)</f>
        <v>0</v>
      </c>
      <c r="CS80">
        <f>CR80*CT80</f>
        <v>0</v>
      </c>
      <c r="CT80">
        <f>($B$11*$D$9+$C$11*$D$9+$F$11*((EP80+EH80)/MAX(EP80+EH80+EQ80, 0.1)*$I$9+EQ80/MAX(EP80+EH80+EQ80, 0.1)*$J$9))/($B$11+$C$11+$F$11)</f>
        <v>0</v>
      </c>
      <c r="CU80">
        <f>($B$11*$K$9+$C$11*$K$9+$F$11*((EP80+EH80)/MAX(EP80+EH80+EQ80, 0.1)*$P$9+EQ80/MAX(EP80+EH80+EQ80, 0.1)*$Q$9))/($B$11+$C$11+$F$11)</f>
        <v>0</v>
      </c>
      <c r="CV80">
        <v>6</v>
      </c>
      <c r="CW80">
        <v>0.5</v>
      </c>
      <c r="CX80" t="s">
        <v>419</v>
      </c>
      <c r="CY80">
        <v>2</v>
      </c>
      <c r="CZ80" t="b">
        <v>1</v>
      </c>
      <c r="DA80">
        <v>1651772311.2</v>
      </c>
      <c r="DB80">
        <v>957.9580999999998</v>
      </c>
      <c r="DC80">
        <v>1021.023</v>
      </c>
      <c r="DD80">
        <v>26.78665999999999</v>
      </c>
      <c r="DE80">
        <v>20.78967</v>
      </c>
      <c r="DF80">
        <v>960.6159999999998</v>
      </c>
      <c r="DG80">
        <v>26.65711</v>
      </c>
      <c r="DH80">
        <v>500.0409000000001</v>
      </c>
      <c r="DI80">
        <v>90.30337</v>
      </c>
      <c r="DJ80">
        <v>0.09992002000000001</v>
      </c>
      <c r="DK80">
        <v>29.29914</v>
      </c>
      <c r="DL80">
        <v>28.60328</v>
      </c>
      <c r="DM80">
        <v>999.9</v>
      </c>
      <c r="DN80">
        <v>0</v>
      </c>
      <c r="DO80">
        <v>0</v>
      </c>
      <c r="DP80">
        <v>10007.377</v>
      </c>
      <c r="DQ80">
        <v>0</v>
      </c>
      <c r="DR80">
        <v>13.04208</v>
      </c>
      <c r="DS80">
        <v>-63.06576</v>
      </c>
      <c r="DT80">
        <v>984.3248</v>
      </c>
      <c r="DU80">
        <v>1042.7</v>
      </c>
      <c r="DV80">
        <v>5.997000000000001</v>
      </c>
      <c r="DW80">
        <v>1021.023</v>
      </c>
      <c r="DX80">
        <v>20.78967</v>
      </c>
      <c r="DY80">
        <v>2.418927</v>
      </c>
      <c r="DZ80">
        <v>1.877378</v>
      </c>
      <c r="EA80">
        <v>20.49104000000001</v>
      </c>
      <c r="EB80">
        <v>16.44638</v>
      </c>
      <c r="EC80">
        <v>1500</v>
      </c>
      <c r="ED80">
        <v>0.972993</v>
      </c>
      <c r="EE80">
        <v>0.02700668</v>
      </c>
      <c r="EF80">
        <v>0</v>
      </c>
      <c r="EG80">
        <v>2.28495</v>
      </c>
      <c r="EH80">
        <v>0</v>
      </c>
      <c r="EI80">
        <v>15039.54</v>
      </c>
      <c r="EJ80">
        <v>12533.35</v>
      </c>
      <c r="EK80">
        <v>36.4748</v>
      </c>
      <c r="EL80">
        <v>38</v>
      </c>
      <c r="EM80">
        <v>36.875</v>
      </c>
      <c r="EN80">
        <v>37.375</v>
      </c>
      <c r="EO80">
        <v>36.312</v>
      </c>
      <c r="EP80">
        <v>1459.486</v>
      </c>
      <c r="EQ80">
        <v>40.513</v>
      </c>
      <c r="ER80">
        <v>0</v>
      </c>
      <c r="ES80">
        <v>1651772315</v>
      </c>
      <c r="ET80">
        <v>0</v>
      </c>
      <c r="EU80">
        <v>2.311815384615385</v>
      </c>
      <c r="EV80">
        <v>0.01077607567623373</v>
      </c>
      <c r="EW80">
        <v>-547.9008539669483</v>
      </c>
      <c r="EX80">
        <v>15082.79615384615</v>
      </c>
      <c r="EY80">
        <v>15</v>
      </c>
      <c r="EZ80">
        <v>0</v>
      </c>
      <c r="FA80" t="s">
        <v>420</v>
      </c>
      <c r="FB80">
        <v>1651697511.6</v>
      </c>
      <c r="FC80">
        <v>1651697666.1</v>
      </c>
      <c r="FD80">
        <v>0</v>
      </c>
      <c r="FE80">
        <v>-0.019</v>
      </c>
      <c r="FF80">
        <v>0.013</v>
      </c>
      <c r="FG80">
        <v>-2.121</v>
      </c>
      <c r="FH80">
        <v>0.041</v>
      </c>
      <c r="FI80">
        <v>420</v>
      </c>
      <c r="FJ80">
        <v>22</v>
      </c>
      <c r="FK80">
        <v>1.72</v>
      </c>
      <c r="FL80">
        <v>0.27</v>
      </c>
      <c r="FM80">
        <v>-62.92587804878048</v>
      </c>
      <c r="FN80">
        <v>-0.8967951219511479</v>
      </c>
      <c r="FO80">
        <v>0.1124986970378646</v>
      </c>
      <c r="FP80">
        <v>0</v>
      </c>
      <c r="FQ80">
        <v>6.00942487804878</v>
      </c>
      <c r="FR80">
        <v>-0.05013073170730743</v>
      </c>
      <c r="FS80">
        <v>0.01048114570211819</v>
      </c>
      <c r="FT80">
        <v>1</v>
      </c>
      <c r="FU80">
        <v>0</v>
      </c>
      <c r="FV80">
        <v>0</v>
      </c>
      <c r="FW80">
        <v>0</v>
      </c>
      <c r="FX80">
        <v>1</v>
      </c>
      <c r="FY80">
        <v>2</v>
      </c>
      <c r="FZ80">
        <v>3</v>
      </c>
      <c r="GA80" t="s">
        <v>421</v>
      </c>
      <c r="GB80">
        <v>2.98144</v>
      </c>
      <c r="GC80">
        <v>2.70622</v>
      </c>
      <c r="GD80">
        <v>0.168642</v>
      </c>
      <c r="GE80">
        <v>0.173556</v>
      </c>
      <c r="GF80">
        <v>0.114877</v>
      </c>
      <c r="GG80">
        <v>0.0949779</v>
      </c>
      <c r="GH80">
        <v>26290.6</v>
      </c>
      <c r="GI80">
        <v>26188.9</v>
      </c>
      <c r="GJ80">
        <v>29400.3</v>
      </c>
      <c r="GK80">
        <v>29311.9</v>
      </c>
      <c r="GL80">
        <v>34448.9</v>
      </c>
      <c r="GM80">
        <v>35317.9</v>
      </c>
      <c r="GN80">
        <v>41388</v>
      </c>
      <c r="GO80">
        <v>41832.6</v>
      </c>
      <c r="GP80">
        <v>1.96285</v>
      </c>
      <c r="GQ80">
        <v>1.86232</v>
      </c>
      <c r="GR80">
        <v>0.0685453</v>
      </c>
      <c r="GS80">
        <v>0</v>
      </c>
      <c r="GT80">
        <v>27.485</v>
      </c>
      <c r="GU80">
        <v>999.9</v>
      </c>
      <c r="GV80">
        <v>44.8</v>
      </c>
      <c r="GW80">
        <v>35</v>
      </c>
      <c r="GX80">
        <v>28.0231</v>
      </c>
      <c r="GY80">
        <v>62.9008</v>
      </c>
      <c r="GZ80">
        <v>36.3301</v>
      </c>
      <c r="HA80">
        <v>1</v>
      </c>
      <c r="HB80">
        <v>0.0415676</v>
      </c>
      <c r="HC80">
        <v>0</v>
      </c>
      <c r="HD80">
        <v>20.3465</v>
      </c>
      <c r="HE80">
        <v>5.21624</v>
      </c>
      <c r="HF80">
        <v>12.0091</v>
      </c>
      <c r="HG80">
        <v>4.98895</v>
      </c>
      <c r="HH80">
        <v>3.2885</v>
      </c>
      <c r="HI80">
        <v>495.5</v>
      </c>
      <c r="HJ80">
        <v>3639.6</v>
      </c>
      <c r="HK80">
        <v>4564.3</v>
      </c>
      <c r="HL80">
        <v>17.8</v>
      </c>
      <c r="HM80">
        <v>1.86768</v>
      </c>
      <c r="HN80">
        <v>1.86663</v>
      </c>
      <c r="HO80">
        <v>1.86617</v>
      </c>
      <c r="HP80">
        <v>1.86607</v>
      </c>
      <c r="HQ80">
        <v>1.86788</v>
      </c>
      <c r="HR80">
        <v>1.87041</v>
      </c>
      <c r="HS80">
        <v>1.86905</v>
      </c>
      <c r="HT80">
        <v>1.87042</v>
      </c>
      <c r="HU80">
        <v>0</v>
      </c>
      <c r="HV80">
        <v>0</v>
      </c>
      <c r="HW80">
        <v>0</v>
      </c>
      <c r="HX80">
        <v>0</v>
      </c>
      <c r="HY80" t="s">
        <v>422</v>
      </c>
      <c r="HZ80" t="s">
        <v>423</v>
      </c>
      <c r="IA80" t="s">
        <v>424</v>
      </c>
      <c r="IB80" t="s">
        <v>424</v>
      </c>
      <c r="IC80" t="s">
        <v>424</v>
      </c>
      <c r="ID80" t="s">
        <v>424</v>
      </c>
      <c r="IE80">
        <v>0</v>
      </c>
      <c r="IF80">
        <v>100</v>
      </c>
      <c r="IG80">
        <v>100</v>
      </c>
      <c r="IH80">
        <v>-2.674</v>
      </c>
      <c r="II80">
        <v>0.1297</v>
      </c>
      <c r="IJ80">
        <v>-1.064712027753117</v>
      </c>
      <c r="IK80">
        <v>-0.001826611574738555</v>
      </c>
      <c r="IL80">
        <v>3.313362389709971E-07</v>
      </c>
      <c r="IM80">
        <v>-1.629490614973607E-10</v>
      </c>
      <c r="IN80">
        <v>-0.09531406441470595</v>
      </c>
      <c r="IO80">
        <v>-0.008240702679890409</v>
      </c>
      <c r="IP80">
        <v>0.001077697425498046</v>
      </c>
      <c r="IQ80">
        <v>-1.69598232850356E-05</v>
      </c>
      <c r="IR80">
        <v>3</v>
      </c>
      <c r="IS80">
        <v>2280</v>
      </c>
      <c r="IT80">
        <v>1</v>
      </c>
      <c r="IU80">
        <v>25</v>
      </c>
      <c r="IV80">
        <v>1246.7</v>
      </c>
      <c r="IW80">
        <v>1244.1</v>
      </c>
      <c r="IX80">
        <v>2.16919</v>
      </c>
      <c r="IY80">
        <v>2.21558</v>
      </c>
      <c r="IZ80">
        <v>1.39648</v>
      </c>
      <c r="JA80">
        <v>2.35352</v>
      </c>
      <c r="JB80">
        <v>1.49536</v>
      </c>
      <c r="JC80">
        <v>2.26318</v>
      </c>
      <c r="JD80">
        <v>38.7717</v>
      </c>
      <c r="JE80">
        <v>24.0525</v>
      </c>
      <c r="JF80">
        <v>18</v>
      </c>
      <c r="JG80">
        <v>509.24</v>
      </c>
      <c r="JH80">
        <v>430.44</v>
      </c>
      <c r="JI80">
        <v>28.3095</v>
      </c>
      <c r="JJ80">
        <v>27.9503</v>
      </c>
      <c r="JK80">
        <v>30.0004</v>
      </c>
      <c r="JL80">
        <v>27.8551</v>
      </c>
      <c r="JM80">
        <v>27.7879</v>
      </c>
      <c r="JN80">
        <v>43.4269</v>
      </c>
      <c r="JO80">
        <v>29.8532</v>
      </c>
      <c r="JP80">
        <v>0</v>
      </c>
      <c r="JQ80">
        <v>-999.9</v>
      </c>
      <c r="JR80">
        <v>1048.43</v>
      </c>
      <c r="JS80">
        <v>20.8721</v>
      </c>
      <c r="JT80">
        <v>100.505</v>
      </c>
      <c r="JU80">
        <v>100.406</v>
      </c>
    </row>
    <row r="81" spans="1:281">
      <c r="A81">
        <v>65</v>
      </c>
      <c r="B81">
        <v>1651772319</v>
      </c>
      <c r="C81">
        <v>441.4000000953674</v>
      </c>
      <c r="D81" t="s">
        <v>552</v>
      </c>
      <c r="E81" t="s">
        <v>553</v>
      </c>
      <c r="F81">
        <v>5</v>
      </c>
      <c r="H81" t="s">
        <v>417</v>
      </c>
      <c r="I81">
        <v>1651772316.5</v>
      </c>
      <c r="J81">
        <f>(K81)/1000</f>
        <v>0</v>
      </c>
      <c r="K81">
        <f>IF(CZ81, AN81, AH81)</f>
        <v>0</v>
      </c>
      <c r="L81">
        <f>IF(CZ81, AI81, AG81)</f>
        <v>0</v>
      </c>
      <c r="M81">
        <f>DB81 - IF(AU81&gt;1, L81*CV81*100.0/(AW81*DP81), 0)</f>
        <v>0</v>
      </c>
      <c r="N81">
        <f>((T81-J81/2)*M81-L81)/(T81+J81/2)</f>
        <v>0</v>
      </c>
      <c r="O81">
        <f>N81*(DI81+DJ81)/1000.0</f>
        <v>0</v>
      </c>
      <c r="P81">
        <f>(DB81 - IF(AU81&gt;1, L81*CV81*100.0/(AW81*DP81), 0))*(DI81+DJ81)/1000.0</f>
        <v>0</v>
      </c>
      <c r="Q81">
        <f>2.0/((1/S81-1/R81)+SIGN(S81)*SQRT((1/S81-1/R81)*(1/S81-1/R81) + 4*CW81/((CW81+1)*(CW81+1))*(2*1/S81*1/R81-1/R81*1/R81)))</f>
        <v>0</v>
      </c>
      <c r="R81">
        <f>IF(LEFT(CX81,1)&lt;&gt;"0",IF(LEFT(CX81,1)="1",3.0,CY81),$D$5+$E$5*(DP81*DI81/($K$5*1000))+$F$5*(DP81*DI81/($K$5*1000))*MAX(MIN(CV81,$J$5),$I$5)*MAX(MIN(CV81,$J$5),$I$5)+$G$5*MAX(MIN(CV81,$J$5),$I$5)*(DP81*DI81/($K$5*1000))+$H$5*(DP81*DI81/($K$5*1000))*(DP81*DI81/($K$5*1000)))</f>
        <v>0</v>
      </c>
      <c r="S81">
        <f>J81*(1000-(1000*0.61365*exp(17.502*W81/(240.97+W81))/(DI81+DJ81)+DD81)/2)/(1000*0.61365*exp(17.502*W81/(240.97+W81))/(DI81+DJ81)-DD81)</f>
        <v>0</v>
      </c>
      <c r="T81">
        <f>1/((CW81+1)/(Q81/1.6)+1/(R81/1.37)) + CW81/((CW81+1)/(Q81/1.6) + CW81/(R81/1.37))</f>
        <v>0</v>
      </c>
      <c r="U81">
        <f>(CR81*CU81)</f>
        <v>0</v>
      </c>
      <c r="V81">
        <f>(DK81+(U81+2*0.95*5.67E-8*(((DK81+$B$7)+273)^4-(DK81+273)^4)-44100*J81)/(1.84*29.3*R81+8*0.95*5.67E-8*(DK81+273)^3))</f>
        <v>0</v>
      </c>
      <c r="W81">
        <f>($C$7*DL81+$D$7*DM81+$E$7*V81)</f>
        <v>0</v>
      </c>
      <c r="X81">
        <f>0.61365*exp(17.502*W81/(240.97+W81))</f>
        <v>0</v>
      </c>
      <c r="Y81">
        <f>(Z81/AA81*100)</f>
        <v>0</v>
      </c>
      <c r="Z81">
        <f>DD81*(DI81+DJ81)/1000</f>
        <v>0</v>
      </c>
      <c r="AA81">
        <f>0.61365*exp(17.502*DK81/(240.97+DK81))</f>
        <v>0</v>
      </c>
      <c r="AB81">
        <f>(X81-DD81*(DI81+DJ81)/1000)</f>
        <v>0</v>
      </c>
      <c r="AC81">
        <f>(-J81*44100)</f>
        <v>0</v>
      </c>
      <c r="AD81">
        <f>2*29.3*R81*0.92*(DK81-W81)</f>
        <v>0</v>
      </c>
      <c r="AE81">
        <f>2*0.95*5.67E-8*(((DK81+$B$7)+273)^4-(W81+273)^4)</f>
        <v>0</v>
      </c>
      <c r="AF81">
        <f>U81+AE81+AC81+AD81</f>
        <v>0</v>
      </c>
      <c r="AG81">
        <f>DH81*AU81*(DC81-DB81*(1000-AU81*DE81)/(1000-AU81*DD81))/(100*CV81)</f>
        <v>0</v>
      </c>
      <c r="AH81">
        <f>1000*DH81*AU81*(DD81-DE81)/(100*CV81*(1000-AU81*DD81))</f>
        <v>0</v>
      </c>
      <c r="AI81">
        <f>(AJ81 - AK81 - DI81*1E3/(8.314*(DK81+273.15)) * AM81/DH81 * AL81) * DH81/(100*CV81) * (1000 - DE81)/1000</f>
        <v>0</v>
      </c>
      <c r="AJ81">
        <v>1059.933305900793</v>
      </c>
      <c r="AK81">
        <v>1009.397363636363</v>
      </c>
      <c r="AL81">
        <v>3.418033257102042</v>
      </c>
      <c r="AM81">
        <v>66.72507702095443</v>
      </c>
      <c r="AN81">
        <f>(AP81 - AO81 + DI81*1E3/(8.314*(DK81+273.15)) * AR81/DH81 * AQ81) * DH81/(100*CV81) * 1000/(1000 - AP81)</f>
        <v>0</v>
      </c>
      <c r="AO81">
        <v>20.79404406548505</v>
      </c>
      <c r="AP81">
        <v>26.81612545454546</v>
      </c>
      <c r="AQ81">
        <v>0.001031944537840988</v>
      </c>
      <c r="AR81">
        <v>78.22078291278521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MAX(0,($B$13+$C$13*DP81)/(1+$D$13*DP81)*DI81/(DK81+273)*$E$13)</f>
        <v>0</v>
      </c>
      <c r="AX81" t="s">
        <v>418</v>
      </c>
      <c r="AY81" t="s">
        <v>418</v>
      </c>
      <c r="AZ81">
        <v>0</v>
      </c>
      <c r="BA81">
        <v>0</v>
      </c>
      <c r="BB81">
        <f>1-AZ81/BA81</f>
        <v>0</v>
      </c>
      <c r="BC81">
        <v>0</v>
      </c>
      <c r="BD81" t="s">
        <v>418</v>
      </c>
      <c r="BE81" t="s">
        <v>418</v>
      </c>
      <c r="BF81">
        <v>0</v>
      </c>
      <c r="BG81">
        <v>0</v>
      </c>
      <c r="BH81">
        <f>1-BF81/BG81</f>
        <v>0</v>
      </c>
      <c r="BI81">
        <v>0.5</v>
      </c>
      <c r="BJ81">
        <f>CS81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418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f>$B$11*DQ81+$C$11*DR81+$F$11*EC81*(1-EF81)</f>
        <v>0</v>
      </c>
      <c r="CS81">
        <f>CR81*CT81</f>
        <v>0</v>
      </c>
      <c r="CT81">
        <f>($B$11*$D$9+$C$11*$D$9+$F$11*((EP81+EH81)/MAX(EP81+EH81+EQ81, 0.1)*$I$9+EQ81/MAX(EP81+EH81+EQ81, 0.1)*$J$9))/($B$11+$C$11+$F$11)</f>
        <v>0</v>
      </c>
      <c r="CU81">
        <f>($B$11*$K$9+$C$11*$K$9+$F$11*((EP81+EH81)/MAX(EP81+EH81+EQ81, 0.1)*$P$9+EQ81/MAX(EP81+EH81+EQ81, 0.1)*$Q$9))/($B$11+$C$11+$F$11)</f>
        <v>0</v>
      </c>
      <c r="CV81">
        <v>6</v>
      </c>
      <c r="CW81">
        <v>0.5</v>
      </c>
      <c r="CX81" t="s">
        <v>419</v>
      </c>
      <c r="CY81">
        <v>2</v>
      </c>
      <c r="CZ81" t="b">
        <v>1</v>
      </c>
      <c r="DA81">
        <v>1651772316.5</v>
      </c>
      <c r="DB81">
        <v>975.6873333333333</v>
      </c>
      <c r="DC81">
        <v>1038.756666666667</v>
      </c>
      <c r="DD81">
        <v>26.80838888888889</v>
      </c>
      <c r="DE81">
        <v>20.80708888888889</v>
      </c>
      <c r="DF81">
        <v>978.3748888888889</v>
      </c>
      <c r="DG81">
        <v>26.67855555555555</v>
      </c>
      <c r="DH81">
        <v>500.0584444444444</v>
      </c>
      <c r="DI81">
        <v>90.30407777777778</v>
      </c>
      <c r="DJ81">
        <v>0.1000521555555556</v>
      </c>
      <c r="DK81">
        <v>29.30308888888889</v>
      </c>
      <c r="DL81">
        <v>28.60518888888889</v>
      </c>
      <c r="DM81">
        <v>999.9000000000001</v>
      </c>
      <c r="DN81">
        <v>0</v>
      </c>
      <c r="DO81">
        <v>0</v>
      </c>
      <c r="DP81">
        <v>9989.719999999999</v>
      </c>
      <c r="DQ81">
        <v>0</v>
      </c>
      <c r="DR81">
        <v>13.06574444444444</v>
      </c>
      <c r="DS81">
        <v>-63.06792222222222</v>
      </c>
      <c r="DT81">
        <v>1002.564333333333</v>
      </c>
      <c r="DU81">
        <v>1060.83</v>
      </c>
      <c r="DV81">
        <v>6.001304444444445</v>
      </c>
      <c r="DW81">
        <v>1038.756666666667</v>
      </c>
      <c r="DX81">
        <v>20.80708888888889</v>
      </c>
      <c r="DY81">
        <v>2.420905555555555</v>
      </c>
      <c r="DZ81">
        <v>1.878964444444444</v>
      </c>
      <c r="EA81">
        <v>20.5043</v>
      </c>
      <c r="EB81">
        <v>16.45965555555556</v>
      </c>
      <c r="EC81">
        <v>1499.993333333333</v>
      </c>
      <c r="ED81">
        <v>0.9729934444444444</v>
      </c>
      <c r="EE81">
        <v>0.02700618888888889</v>
      </c>
      <c r="EF81">
        <v>0</v>
      </c>
      <c r="EG81">
        <v>2.2361</v>
      </c>
      <c r="EH81">
        <v>0</v>
      </c>
      <c r="EI81">
        <v>14991.4</v>
      </c>
      <c r="EJ81">
        <v>12533.31111111111</v>
      </c>
      <c r="EK81">
        <v>36.472</v>
      </c>
      <c r="EL81">
        <v>38</v>
      </c>
      <c r="EM81">
        <v>36.875</v>
      </c>
      <c r="EN81">
        <v>37.375</v>
      </c>
      <c r="EO81">
        <v>36.32599999999999</v>
      </c>
      <c r="EP81">
        <v>1459.48</v>
      </c>
      <c r="EQ81">
        <v>40.51111111111111</v>
      </c>
      <c r="ER81">
        <v>0</v>
      </c>
      <c r="ES81">
        <v>1651772319.8</v>
      </c>
      <c r="ET81">
        <v>0</v>
      </c>
      <c r="EU81">
        <v>2.302684615384615</v>
      </c>
      <c r="EV81">
        <v>-1.10957948503202</v>
      </c>
      <c r="EW81">
        <v>-542.6495730303683</v>
      </c>
      <c r="EX81">
        <v>15039.19615384615</v>
      </c>
      <c r="EY81">
        <v>15</v>
      </c>
      <c r="EZ81">
        <v>0</v>
      </c>
      <c r="FA81" t="s">
        <v>420</v>
      </c>
      <c r="FB81">
        <v>1651697511.6</v>
      </c>
      <c r="FC81">
        <v>1651697666.1</v>
      </c>
      <c r="FD81">
        <v>0</v>
      </c>
      <c r="FE81">
        <v>-0.019</v>
      </c>
      <c r="FF81">
        <v>0.013</v>
      </c>
      <c r="FG81">
        <v>-2.121</v>
      </c>
      <c r="FH81">
        <v>0.041</v>
      </c>
      <c r="FI81">
        <v>420</v>
      </c>
      <c r="FJ81">
        <v>22</v>
      </c>
      <c r="FK81">
        <v>1.72</v>
      </c>
      <c r="FL81">
        <v>0.27</v>
      </c>
      <c r="FM81">
        <v>-62.98627749999999</v>
      </c>
      <c r="FN81">
        <v>-0.816863414634015</v>
      </c>
      <c r="FO81">
        <v>0.09960153735635859</v>
      </c>
      <c r="FP81">
        <v>0</v>
      </c>
      <c r="FQ81">
        <v>6.00717925</v>
      </c>
      <c r="FR81">
        <v>-0.08275193245779358</v>
      </c>
      <c r="FS81">
        <v>0.01268589933499006</v>
      </c>
      <c r="FT81">
        <v>1</v>
      </c>
      <c r="FU81">
        <v>0</v>
      </c>
      <c r="FV81">
        <v>0</v>
      </c>
      <c r="FW81">
        <v>0</v>
      </c>
      <c r="FX81">
        <v>1</v>
      </c>
      <c r="FY81">
        <v>2</v>
      </c>
      <c r="FZ81">
        <v>3</v>
      </c>
      <c r="GA81" t="s">
        <v>421</v>
      </c>
      <c r="GB81">
        <v>2.98134</v>
      </c>
      <c r="GC81">
        <v>2.70607</v>
      </c>
      <c r="GD81">
        <v>0.170511</v>
      </c>
      <c r="GE81">
        <v>0.175371</v>
      </c>
      <c r="GF81">
        <v>0.11494</v>
      </c>
      <c r="GG81">
        <v>0.0951838</v>
      </c>
      <c r="GH81">
        <v>26232.1</v>
      </c>
      <c r="GI81">
        <v>26131.5</v>
      </c>
      <c r="GJ81">
        <v>29401.1</v>
      </c>
      <c r="GK81">
        <v>29312.1</v>
      </c>
      <c r="GL81">
        <v>34447.1</v>
      </c>
      <c r="GM81">
        <v>35310.1</v>
      </c>
      <c r="GN81">
        <v>41388.8</v>
      </c>
      <c r="GO81">
        <v>41832.9</v>
      </c>
      <c r="GP81">
        <v>1.96285</v>
      </c>
      <c r="GQ81">
        <v>1.86243</v>
      </c>
      <c r="GR81">
        <v>0.0687502</v>
      </c>
      <c r="GS81">
        <v>0</v>
      </c>
      <c r="GT81">
        <v>27.4903</v>
      </c>
      <c r="GU81">
        <v>999.9</v>
      </c>
      <c r="GV81">
        <v>44.8</v>
      </c>
      <c r="GW81">
        <v>35</v>
      </c>
      <c r="GX81">
        <v>28.0228</v>
      </c>
      <c r="GY81">
        <v>62.9708</v>
      </c>
      <c r="GZ81">
        <v>36.4022</v>
      </c>
      <c r="HA81">
        <v>1</v>
      </c>
      <c r="HB81">
        <v>0.041748</v>
      </c>
      <c r="HC81">
        <v>0</v>
      </c>
      <c r="HD81">
        <v>20.3466</v>
      </c>
      <c r="HE81">
        <v>5.21684</v>
      </c>
      <c r="HF81">
        <v>12.0089</v>
      </c>
      <c r="HG81">
        <v>4.98885</v>
      </c>
      <c r="HH81">
        <v>3.2885</v>
      </c>
      <c r="HI81">
        <v>495.7</v>
      </c>
      <c r="HJ81">
        <v>3641.1</v>
      </c>
      <c r="HK81">
        <v>4564.3</v>
      </c>
      <c r="HL81">
        <v>17.8</v>
      </c>
      <c r="HM81">
        <v>1.86768</v>
      </c>
      <c r="HN81">
        <v>1.86663</v>
      </c>
      <c r="HO81">
        <v>1.86618</v>
      </c>
      <c r="HP81">
        <v>1.86604</v>
      </c>
      <c r="HQ81">
        <v>1.86787</v>
      </c>
      <c r="HR81">
        <v>1.87041</v>
      </c>
      <c r="HS81">
        <v>1.86905</v>
      </c>
      <c r="HT81">
        <v>1.87042</v>
      </c>
      <c r="HU81">
        <v>0</v>
      </c>
      <c r="HV81">
        <v>0</v>
      </c>
      <c r="HW81">
        <v>0</v>
      </c>
      <c r="HX81">
        <v>0</v>
      </c>
      <c r="HY81" t="s">
        <v>422</v>
      </c>
      <c r="HZ81" t="s">
        <v>423</v>
      </c>
      <c r="IA81" t="s">
        <v>424</v>
      </c>
      <c r="IB81" t="s">
        <v>424</v>
      </c>
      <c r="IC81" t="s">
        <v>424</v>
      </c>
      <c r="ID81" t="s">
        <v>424</v>
      </c>
      <c r="IE81">
        <v>0</v>
      </c>
      <c r="IF81">
        <v>100</v>
      </c>
      <c r="IG81">
        <v>100</v>
      </c>
      <c r="IH81">
        <v>-2.701</v>
      </c>
      <c r="II81">
        <v>0.13</v>
      </c>
      <c r="IJ81">
        <v>-1.064712027753117</v>
      </c>
      <c r="IK81">
        <v>-0.001826611574738555</v>
      </c>
      <c r="IL81">
        <v>3.313362389709971E-07</v>
      </c>
      <c r="IM81">
        <v>-1.629490614973607E-10</v>
      </c>
      <c r="IN81">
        <v>-0.09531406441470595</v>
      </c>
      <c r="IO81">
        <v>-0.008240702679890409</v>
      </c>
      <c r="IP81">
        <v>0.001077697425498046</v>
      </c>
      <c r="IQ81">
        <v>-1.69598232850356E-05</v>
      </c>
      <c r="IR81">
        <v>3</v>
      </c>
      <c r="IS81">
        <v>2280</v>
      </c>
      <c r="IT81">
        <v>1</v>
      </c>
      <c r="IU81">
        <v>25</v>
      </c>
      <c r="IV81">
        <v>1246.8</v>
      </c>
      <c r="IW81">
        <v>1244.2</v>
      </c>
      <c r="IX81">
        <v>2.19971</v>
      </c>
      <c r="IY81">
        <v>2.21436</v>
      </c>
      <c r="IZ81">
        <v>1.39648</v>
      </c>
      <c r="JA81">
        <v>2.35229</v>
      </c>
      <c r="JB81">
        <v>1.49536</v>
      </c>
      <c r="JC81">
        <v>2.28394</v>
      </c>
      <c r="JD81">
        <v>38.7717</v>
      </c>
      <c r="JE81">
        <v>24.0525</v>
      </c>
      <c r="JF81">
        <v>18</v>
      </c>
      <c r="JG81">
        <v>509.26</v>
      </c>
      <c r="JH81">
        <v>430.521</v>
      </c>
      <c r="JI81">
        <v>28.3142</v>
      </c>
      <c r="JJ81">
        <v>27.9533</v>
      </c>
      <c r="JK81">
        <v>30.0002</v>
      </c>
      <c r="JL81">
        <v>27.8575</v>
      </c>
      <c r="JM81">
        <v>27.7908</v>
      </c>
      <c r="JN81">
        <v>44.0233</v>
      </c>
      <c r="JO81">
        <v>29.5723</v>
      </c>
      <c r="JP81">
        <v>0</v>
      </c>
      <c r="JQ81">
        <v>-999.9</v>
      </c>
      <c r="JR81">
        <v>1068.67</v>
      </c>
      <c r="JS81">
        <v>20.8591</v>
      </c>
      <c r="JT81">
        <v>100.507</v>
      </c>
      <c r="JU81">
        <v>100.406</v>
      </c>
    </row>
    <row r="82" spans="1:281">
      <c r="A82">
        <v>66</v>
      </c>
      <c r="B82">
        <v>1651772324</v>
      </c>
      <c r="C82">
        <v>446.4000000953674</v>
      </c>
      <c r="D82" t="s">
        <v>554</v>
      </c>
      <c r="E82" t="s">
        <v>555</v>
      </c>
      <c r="F82">
        <v>5</v>
      </c>
      <c r="H82" t="s">
        <v>417</v>
      </c>
      <c r="I82">
        <v>1651772321.2</v>
      </c>
      <c r="J82">
        <f>(K82)/1000</f>
        <v>0</v>
      </c>
      <c r="K82">
        <f>IF(CZ82, AN82, AH82)</f>
        <v>0</v>
      </c>
      <c r="L82">
        <f>IF(CZ82, AI82, AG82)</f>
        <v>0</v>
      </c>
      <c r="M82">
        <f>DB82 - IF(AU82&gt;1, L82*CV82*100.0/(AW82*DP82), 0)</f>
        <v>0</v>
      </c>
      <c r="N82">
        <f>((T82-J82/2)*M82-L82)/(T82+J82/2)</f>
        <v>0</v>
      </c>
      <c r="O82">
        <f>N82*(DI82+DJ82)/1000.0</f>
        <v>0</v>
      </c>
      <c r="P82">
        <f>(DB82 - IF(AU82&gt;1, L82*CV82*100.0/(AW82*DP82), 0))*(DI82+DJ82)/1000.0</f>
        <v>0</v>
      </c>
      <c r="Q82">
        <f>2.0/((1/S82-1/R82)+SIGN(S82)*SQRT((1/S82-1/R82)*(1/S82-1/R82) + 4*CW82/((CW82+1)*(CW82+1))*(2*1/S82*1/R82-1/R82*1/R82)))</f>
        <v>0</v>
      </c>
      <c r="R82">
        <f>IF(LEFT(CX82,1)&lt;&gt;"0",IF(LEFT(CX82,1)="1",3.0,CY82),$D$5+$E$5*(DP82*DI82/($K$5*1000))+$F$5*(DP82*DI82/($K$5*1000))*MAX(MIN(CV82,$J$5),$I$5)*MAX(MIN(CV82,$J$5),$I$5)+$G$5*MAX(MIN(CV82,$J$5),$I$5)*(DP82*DI82/($K$5*1000))+$H$5*(DP82*DI82/($K$5*1000))*(DP82*DI82/($K$5*1000)))</f>
        <v>0</v>
      </c>
      <c r="S82">
        <f>J82*(1000-(1000*0.61365*exp(17.502*W82/(240.97+W82))/(DI82+DJ82)+DD82)/2)/(1000*0.61365*exp(17.502*W82/(240.97+W82))/(DI82+DJ82)-DD82)</f>
        <v>0</v>
      </c>
      <c r="T82">
        <f>1/((CW82+1)/(Q82/1.6)+1/(R82/1.37)) + CW82/((CW82+1)/(Q82/1.6) + CW82/(R82/1.37))</f>
        <v>0</v>
      </c>
      <c r="U82">
        <f>(CR82*CU82)</f>
        <v>0</v>
      </c>
      <c r="V82">
        <f>(DK82+(U82+2*0.95*5.67E-8*(((DK82+$B$7)+273)^4-(DK82+273)^4)-44100*J82)/(1.84*29.3*R82+8*0.95*5.67E-8*(DK82+273)^3))</f>
        <v>0</v>
      </c>
      <c r="W82">
        <f>($C$7*DL82+$D$7*DM82+$E$7*V82)</f>
        <v>0</v>
      </c>
      <c r="X82">
        <f>0.61365*exp(17.502*W82/(240.97+W82))</f>
        <v>0</v>
      </c>
      <c r="Y82">
        <f>(Z82/AA82*100)</f>
        <v>0</v>
      </c>
      <c r="Z82">
        <f>DD82*(DI82+DJ82)/1000</f>
        <v>0</v>
      </c>
      <c r="AA82">
        <f>0.61365*exp(17.502*DK82/(240.97+DK82))</f>
        <v>0</v>
      </c>
      <c r="AB82">
        <f>(X82-DD82*(DI82+DJ82)/1000)</f>
        <v>0</v>
      </c>
      <c r="AC82">
        <f>(-J82*44100)</f>
        <v>0</v>
      </c>
      <c r="AD82">
        <f>2*29.3*R82*0.92*(DK82-W82)</f>
        <v>0</v>
      </c>
      <c r="AE82">
        <f>2*0.95*5.67E-8*(((DK82+$B$7)+273)^4-(W82+273)^4)</f>
        <v>0</v>
      </c>
      <c r="AF82">
        <f>U82+AE82+AC82+AD82</f>
        <v>0</v>
      </c>
      <c r="AG82">
        <f>DH82*AU82*(DC82-DB82*(1000-AU82*DE82)/(1000-AU82*DD82))/(100*CV82)</f>
        <v>0</v>
      </c>
      <c r="AH82">
        <f>1000*DH82*AU82*(DD82-DE82)/(100*CV82*(1000-AU82*DD82))</f>
        <v>0</v>
      </c>
      <c r="AI82">
        <f>(AJ82 - AK82 - DI82*1E3/(8.314*(DK82+273.15)) * AM82/DH82 * AL82) * DH82/(100*CV82) * (1000 - DE82)/1000</f>
        <v>0</v>
      </c>
      <c r="AJ82">
        <v>1077.257426999965</v>
      </c>
      <c r="AK82">
        <v>1026.620363636363</v>
      </c>
      <c r="AL82">
        <v>3.434243427664999</v>
      </c>
      <c r="AM82">
        <v>66.72507702095443</v>
      </c>
      <c r="AN82">
        <f>(AP82 - AO82 + DI82*1E3/(8.314*(DK82+273.15)) * AR82/DH82 * AQ82) * DH82/(100*CV82) * 1000/(1000 - AP82)</f>
        <v>0</v>
      </c>
      <c r="AO82">
        <v>20.8970839473273</v>
      </c>
      <c r="AP82">
        <v>26.86608727272727</v>
      </c>
      <c r="AQ82">
        <v>0.01120994432598476</v>
      </c>
      <c r="AR82">
        <v>78.22078291278521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MAX(0,($B$13+$C$13*DP82)/(1+$D$13*DP82)*DI82/(DK82+273)*$E$13)</f>
        <v>0</v>
      </c>
      <c r="AX82" t="s">
        <v>418</v>
      </c>
      <c r="AY82" t="s">
        <v>418</v>
      </c>
      <c r="AZ82">
        <v>0</v>
      </c>
      <c r="BA82">
        <v>0</v>
      </c>
      <c r="BB82">
        <f>1-AZ82/BA82</f>
        <v>0</v>
      </c>
      <c r="BC82">
        <v>0</v>
      </c>
      <c r="BD82" t="s">
        <v>418</v>
      </c>
      <c r="BE82" t="s">
        <v>418</v>
      </c>
      <c r="BF82">
        <v>0</v>
      </c>
      <c r="BG82">
        <v>0</v>
      </c>
      <c r="BH82">
        <f>1-BF82/BG82</f>
        <v>0</v>
      </c>
      <c r="BI82">
        <v>0.5</v>
      </c>
      <c r="BJ82">
        <f>CS82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418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f>$B$11*DQ82+$C$11*DR82+$F$11*EC82*(1-EF82)</f>
        <v>0</v>
      </c>
      <c r="CS82">
        <f>CR82*CT82</f>
        <v>0</v>
      </c>
      <c r="CT82">
        <f>($B$11*$D$9+$C$11*$D$9+$F$11*((EP82+EH82)/MAX(EP82+EH82+EQ82, 0.1)*$I$9+EQ82/MAX(EP82+EH82+EQ82, 0.1)*$J$9))/($B$11+$C$11+$F$11)</f>
        <v>0</v>
      </c>
      <c r="CU82">
        <f>($B$11*$K$9+$C$11*$K$9+$F$11*((EP82+EH82)/MAX(EP82+EH82+EQ82, 0.1)*$P$9+EQ82/MAX(EP82+EH82+EQ82, 0.1)*$Q$9))/($B$11+$C$11+$F$11)</f>
        <v>0</v>
      </c>
      <c r="CV82">
        <v>6</v>
      </c>
      <c r="CW82">
        <v>0.5</v>
      </c>
      <c r="CX82" t="s">
        <v>419</v>
      </c>
      <c r="CY82">
        <v>2</v>
      </c>
      <c r="CZ82" t="b">
        <v>1</v>
      </c>
      <c r="DA82">
        <v>1651772321.2</v>
      </c>
      <c r="DB82">
        <v>991.3771</v>
      </c>
      <c r="DC82">
        <v>1054.587</v>
      </c>
      <c r="DD82">
        <v>26.84238</v>
      </c>
      <c r="DE82">
        <v>20.89108</v>
      </c>
      <c r="DF82">
        <v>994.0906000000001</v>
      </c>
      <c r="DG82">
        <v>26.71212000000001</v>
      </c>
      <c r="DH82">
        <v>500.041</v>
      </c>
      <c r="DI82">
        <v>90.30261</v>
      </c>
      <c r="DJ82">
        <v>0.10002043</v>
      </c>
      <c r="DK82">
        <v>29.30683</v>
      </c>
      <c r="DL82">
        <v>28.60753</v>
      </c>
      <c r="DM82">
        <v>999.9</v>
      </c>
      <c r="DN82">
        <v>0</v>
      </c>
      <c r="DO82">
        <v>0</v>
      </c>
      <c r="DP82">
        <v>9991.062</v>
      </c>
      <c r="DQ82">
        <v>0</v>
      </c>
      <c r="DR82">
        <v>13.0753</v>
      </c>
      <c r="DS82">
        <v>-63.20928</v>
      </c>
      <c r="DT82">
        <v>1018.723</v>
      </c>
      <c r="DU82">
        <v>1077.088</v>
      </c>
      <c r="DV82">
        <v>5.951299000000001</v>
      </c>
      <c r="DW82">
        <v>1054.587</v>
      </c>
      <c r="DX82">
        <v>20.89108</v>
      </c>
      <c r="DY82">
        <v>2.423937</v>
      </c>
      <c r="DZ82">
        <v>1.886521</v>
      </c>
      <c r="EA82">
        <v>20.52457</v>
      </c>
      <c r="EB82">
        <v>16.52273</v>
      </c>
      <c r="EC82">
        <v>1499.995</v>
      </c>
      <c r="ED82">
        <v>0.9729889999999999</v>
      </c>
      <c r="EE82">
        <v>0.0270107</v>
      </c>
      <c r="EF82">
        <v>0</v>
      </c>
      <c r="EG82">
        <v>2.35773</v>
      </c>
      <c r="EH82">
        <v>0</v>
      </c>
      <c r="EI82">
        <v>14949.52</v>
      </c>
      <c r="EJ82">
        <v>12533.32</v>
      </c>
      <c r="EK82">
        <v>36.4874</v>
      </c>
      <c r="EL82">
        <v>38</v>
      </c>
      <c r="EM82">
        <v>36.875</v>
      </c>
      <c r="EN82">
        <v>37.375</v>
      </c>
      <c r="EO82">
        <v>36.312</v>
      </c>
      <c r="EP82">
        <v>1459.475</v>
      </c>
      <c r="EQ82">
        <v>40.52</v>
      </c>
      <c r="ER82">
        <v>0</v>
      </c>
      <c r="ES82">
        <v>1651772325.2</v>
      </c>
      <c r="ET82">
        <v>0</v>
      </c>
      <c r="EU82">
        <v>2.314548</v>
      </c>
      <c r="EV82">
        <v>1.087569241034676</v>
      </c>
      <c r="EW82">
        <v>-538.5000000122658</v>
      </c>
      <c r="EX82">
        <v>14987.784</v>
      </c>
      <c r="EY82">
        <v>15</v>
      </c>
      <c r="EZ82">
        <v>0</v>
      </c>
      <c r="FA82" t="s">
        <v>420</v>
      </c>
      <c r="FB82">
        <v>1651697511.6</v>
      </c>
      <c r="FC82">
        <v>1651697666.1</v>
      </c>
      <c r="FD82">
        <v>0</v>
      </c>
      <c r="FE82">
        <v>-0.019</v>
      </c>
      <c r="FF82">
        <v>0.013</v>
      </c>
      <c r="FG82">
        <v>-2.121</v>
      </c>
      <c r="FH82">
        <v>0.041</v>
      </c>
      <c r="FI82">
        <v>420</v>
      </c>
      <c r="FJ82">
        <v>22</v>
      </c>
      <c r="FK82">
        <v>1.72</v>
      </c>
      <c r="FL82">
        <v>0.27</v>
      </c>
      <c r="FM82">
        <v>-63.05924390243901</v>
      </c>
      <c r="FN82">
        <v>-0.9170257839719845</v>
      </c>
      <c r="FO82">
        <v>0.1094349991921485</v>
      </c>
      <c r="FP82">
        <v>0</v>
      </c>
      <c r="FQ82">
        <v>5.992363902439025</v>
      </c>
      <c r="FR82">
        <v>-0.2085597909407586</v>
      </c>
      <c r="FS82">
        <v>0.02571023331216762</v>
      </c>
      <c r="FT82">
        <v>1</v>
      </c>
      <c r="FU82">
        <v>0</v>
      </c>
      <c r="FV82">
        <v>0</v>
      </c>
      <c r="FW82">
        <v>0</v>
      </c>
      <c r="FX82">
        <v>1</v>
      </c>
      <c r="FY82">
        <v>2</v>
      </c>
      <c r="FZ82">
        <v>3</v>
      </c>
      <c r="GA82" t="s">
        <v>421</v>
      </c>
      <c r="GB82">
        <v>2.9813</v>
      </c>
      <c r="GC82">
        <v>2.70611</v>
      </c>
      <c r="GD82">
        <v>0.172363</v>
      </c>
      <c r="GE82">
        <v>0.17716</v>
      </c>
      <c r="GF82">
        <v>0.115082</v>
      </c>
      <c r="GG82">
        <v>0.09534189999999999</v>
      </c>
      <c r="GH82">
        <v>26173.1</v>
      </c>
      <c r="GI82">
        <v>26074.6</v>
      </c>
      <c r="GJ82">
        <v>29400.6</v>
      </c>
      <c r="GK82">
        <v>29311.9</v>
      </c>
      <c r="GL82">
        <v>34441</v>
      </c>
      <c r="GM82">
        <v>35303.7</v>
      </c>
      <c r="GN82">
        <v>41388.2</v>
      </c>
      <c r="GO82">
        <v>41832.7</v>
      </c>
      <c r="GP82">
        <v>1.9627</v>
      </c>
      <c r="GQ82">
        <v>1.86227</v>
      </c>
      <c r="GR82">
        <v>0.0677258</v>
      </c>
      <c r="GS82">
        <v>0</v>
      </c>
      <c r="GT82">
        <v>27.4943</v>
      </c>
      <c r="GU82">
        <v>999.9</v>
      </c>
      <c r="GV82">
        <v>44.8</v>
      </c>
      <c r="GW82">
        <v>35</v>
      </c>
      <c r="GX82">
        <v>28.0225</v>
      </c>
      <c r="GY82">
        <v>62.8908</v>
      </c>
      <c r="GZ82">
        <v>36.4103</v>
      </c>
      <c r="HA82">
        <v>1</v>
      </c>
      <c r="HB82">
        <v>0.0419893</v>
      </c>
      <c r="HC82">
        <v>0</v>
      </c>
      <c r="HD82">
        <v>20.3466</v>
      </c>
      <c r="HE82">
        <v>5.21669</v>
      </c>
      <c r="HF82">
        <v>12.0088</v>
      </c>
      <c r="HG82">
        <v>4.9891</v>
      </c>
      <c r="HH82">
        <v>3.28865</v>
      </c>
      <c r="HI82">
        <v>495.7</v>
      </c>
      <c r="HJ82">
        <v>3641.1</v>
      </c>
      <c r="HK82">
        <v>4564.3</v>
      </c>
      <c r="HL82">
        <v>17.8</v>
      </c>
      <c r="HM82">
        <v>1.86768</v>
      </c>
      <c r="HN82">
        <v>1.86662</v>
      </c>
      <c r="HO82">
        <v>1.86615</v>
      </c>
      <c r="HP82">
        <v>1.86604</v>
      </c>
      <c r="HQ82">
        <v>1.86787</v>
      </c>
      <c r="HR82">
        <v>1.87042</v>
      </c>
      <c r="HS82">
        <v>1.86905</v>
      </c>
      <c r="HT82">
        <v>1.87042</v>
      </c>
      <c r="HU82">
        <v>0</v>
      </c>
      <c r="HV82">
        <v>0</v>
      </c>
      <c r="HW82">
        <v>0</v>
      </c>
      <c r="HX82">
        <v>0</v>
      </c>
      <c r="HY82" t="s">
        <v>422</v>
      </c>
      <c r="HZ82" t="s">
        <v>423</v>
      </c>
      <c r="IA82" t="s">
        <v>424</v>
      </c>
      <c r="IB82" t="s">
        <v>424</v>
      </c>
      <c r="IC82" t="s">
        <v>424</v>
      </c>
      <c r="ID82" t="s">
        <v>424</v>
      </c>
      <c r="IE82">
        <v>0</v>
      </c>
      <c r="IF82">
        <v>100</v>
      </c>
      <c r="IG82">
        <v>100</v>
      </c>
      <c r="IH82">
        <v>-2.73</v>
      </c>
      <c r="II82">
        <v>0.1306</v>
      </c>
      <c r="IJ82">
        <v>-1.064712027753117</v>
      </c>
      <c r="IK82">
        <v>-0.001826611574738555</v>
      </c>
      <c r="IL82">
        <v>3.313362389709971E-07</v>
      </c>
      <c r="IM82">
        <v>-1.629490614973607E-10</v>
      </c>
      <c r="IN82">
        <v>-0.09531406441470595</v>
      </c>
      <c r="IO82">
        <v>-0.008240702679890409</v>
      </c>
      <c r="IP82">
        <v>0.001077697425498046</v>
      </c>
      <c r="IQ82">
        <v>-1.69598232850356E-05</v>
      </c>
      <c r="IR82">
        <v>3</v>
      </c>
      <c r="IS82">
        <v>2280</v>
      </c>
      <c r="IT82">
        <v>1</v>
      </c>
      <c r="IU82">
        <v>25</v>
      </c>
      <c r="IV82">
        <v>1246.9</v>
      </c>
      <c r="IW82">
        <v>1244.3</v>
      </c>
      <c r="IX82">
        <v>2.22656</v>
      </c>
      <c r="IY82">
        <v>2.21436</v>
      </c>
      <c r="IZ82">
        <v>1.39648</v>
      </c>
      <c r="JA82">
        <v>2.35229</v>
      </c>
      <c r="JB82">
        <v>1.49536</v>
      </c>
      <c r="JC82">
        <v>2.28394</v>
      </c>
      <c r="JD82">
        <v>38.7717</v>
      </c>
      <c r="JE82">
        <v>24.0525</v>
      </c>
      <c r="JF82">
        <v>18</v>
      </c>
      <c r="JG82">
        <v>509.193</v>
      </c>
      <c r="JH82">
        <v>430.453</v>
      </c>
      <c r="JI82">
        <v>28.319</v>
      </c>
      <c r="JJ82">
        <v>27.9568</v>
      </c>
      <c r="JK82">
        <v>30.0004</v>
      </c>
      <c r="JL82">
        <v>27.861</v>
      </c>
      <c r="JM82">
        <v>27.7937</v>
      </c>
      <c r="JN82">
        <v>44.558</v>
      </c>
      <c r="JO82">
        <v>29.5723</v>
      </c>
      <c r="JP82">
        <v>0</v>
      </c>
      <c r="JQ82">
        <v>-999.9</v>
      </c>
      <c r="JR82">
        <v>1082.09</v>
      </c>
      <c r="JS82">
        <v>20.8564</v>
      </c>
      <c r="JT82">
        <v>100.505</v>
      </c>
      <c r="JU82">
        <v>100.406</v>
      </c>
    </row>
    <row r="83" spans="1:281">
      <c r="A83">
        <v>67</v>
      </c>
      <c r="B83">
        <v>1651772329</v>
      </c>
      <c r="C83">
        <v>451.4000000953674</v>
      </c>
      <c r="D83" t="s">
        <v>556</v>
      </c>
      <c r="E83" t="s">
        <v>557</v>
      </c>
      <c r="F83">
        <v>5</v>
      </c>
      <c r="H83" t="s">
        <v>417</v>
      </c>
      <c r="I83">
        <v>1651772326.5</v>
      </c>
      <c r="J83">
        <f>(K83)/1000</f>
        <v>0</v>
      </c>
      <c r="K83">
        <f>IF(CZ83, AN83, AH83)</f>
        <v>0</v>
      </c>
      <c r="L83">
        <f>IF(CZ83, AI83, AG83)</f>
        <v>0</v>
      </c>
      <c r="M83">
        <f>DB83 - IF(AU83&gt;1, L83*CV83*100.0/(AW83*DP83), 0)</f>
        <v>0</v>
      </c>
      <c r="N83">
        <f>((T83-J83/2)*M83-L83)/(T83+J83/2)</f>
        <v>0</v>
      </c>
      <c r="O83">
        <f>N83*(DI83+DJ83)/1000.0</f>
        <v>0</v>
      </c>
      <c r="P83">
        <f>(DB83 - IF(AU83&gt;1, L83*CV83*100.0/(AW83*DP83), 0))*(DI83+DJ83)/1000.0</f>
        <v>0</v>
      </c>
      <c r="Q83">
        <f>2.0/((1/S83-1/R83)+SIGN(S83)*SQRT((1/S83-1/R83)*(1/S83-1/R83) + 4*CW83/((CW83+1)*(CW83+1))*(2*1/S83*1/R83-1/R83*1/R83)))</f>
        <v>0</v>
      </c>
      <c r="R83">
        <f>IF(LEFT(CX83,1)&lt;&gt;"0",IF(LEFT(CX83,1)="1",3.0,CY83),$D$5+$E$5*(DP83*DI83/($K$5*1000))+$F$5*(DP83*DI83/($K$5*1000))*MAX(MIN(CV83,$J$5),$I$5)*MAX(MIN(CV83,$J$5),$I$5)+$G$5*MAX(MIN(CV83,$J$5),$I$5)*(DP83*DI83/($K$5*1000))+$H$5*(DP83*DI83/($K$5*1000))*(DP83*DI83/($K$5*1000)))</f>
        <v>0</v>
      </c>
      <c r="S83">
        <f>J83*(1000-(1000*0.61365*exp(17.502*W83/(240.97+W83))/(DI83+DJ83)+DD83)/2)/(1000*0.61365*exp(17.502*W83/(240.97+W83))/(DI83+DJ83)-DD83)</f>
        <v>0</v>
      </c>
      <c r="T83">
        <f>1/((CW83+1)/(Q83/1.6)+1/(R83/1.37)) + CW83/((CW83+1)/(Q83/1.6) + CW83/(R83/1.37))</f>
        <v>0</v>
      </c>
      <c r="U83">
        <f>(CR83*CU83)</f>
        <v>0</v>
      </c>
      <c r="V83">
        <f>(DK83+(U83+2*0.95*5.67E-8*(((DK83+$B$7)+273)^4-(DK83+273)^4)-44100*J83)/(1.84*29.3*R83+8*0.95*5.67E-8*(DK83+273)^3))</f>
        <v>0</v>
      </c>
      <c r="W83">
        <f>($C$7*DL83+$D$7*DM83+$E$7*V83)</f>
        <v>0</v>
      </c>
      <c r="X83">
        <f>0.61365*exp(17.502*W83/(240.97+W83))</f>
        <v>0</v>
      </c>
      <c r="Y83">
        <f>(Z83/AA83*100)</f>
        <v>0</v>
      </c>
      <c r="Z83">
        <f>DD83*(DI83+DJ83)/1000</f>
        <v>0</v>
      </c>
      <c r="AA83">
        <f>0.61365*exp(17.502*DK83/(240.97+DK83))</f>
        <v>0</v>
      </c>
      <c r="AB83">
        <f>(X83-DD83*(DI83+DJ83)/1000)</f>
        <v>0</v>
      </c>
      <c r="AC83">
        <f>(-J83*44100)</f>
        <v>0</v>
      </c>
      <c r="AD83">
        <f>2*29.3*R83*0.92*(DK83-W83)</f>
        <v>0</v>
      </c>
      <c r="AE83">
        <f>2*0.95*5.67E-8*(((DK83+$B$7)+273)^4-(W83+273)^4)</f>
        <v>0</v>
      </c>
      <c r="AF83">
        <f>U83+AE83+AC83+AD83</f>
        <v>0</v>
      </c>
      <c r="AG83">
        <f>DH83*AU83*(DC83-DB83*(1000-AU83*DE83)/(1000-AU83*DD83))/(100*CV83)</f>
        <v>0</v>
      </c>
      <c r="AH83">
        <f>1000*DH83*AU83*(DD83-DE83)/(100*CV83*(1000-AU83*DD83))</f>
        <v>0</v>
      </c>
      <c r="AI83">
        <f>(AJ83 - AK83 - DI83*1E3/(8.314*(DK83+273.15)) * AM83/DH83 * AL83) * DH83/(100*CV83) * (1000 - DE83)/1000</f>
        <v>0</v>
      </c>
      <c r="AJ83">
        <v>1094.402542042185</v>
      </c>
      <c r="AK83">
        <v>1043.911393939394</v>
      </c>
      <c r="AL83">
        <v>3.474912509228054</v>
      </c>
      <c r="AM83">
        <v>66.72507702095443</v>
      </c>
      <c r="AN83">
        <f>(AP83 - AO83 + DI83*1E3/(8.314*(DK83+273.15)) * AR83/DH83 * AQ83) * DH83/(100*CV83) * 1000/(1000 - AP83)</f>
        <v>0</v>
      </c>
      <c r="AO83">
        <v>20.90792623910654</v>
      </c>
      <c r="AP83">
        <v>26.89767757575758</v>
      </c>
      <c r="AQ83">
        <v>0.00742025460929766</v>
      </c>
      <c r="AR83">
        <v>78.22078291278521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MAX(0,($B$13+$C$13*DP83)/(1+$D$13*DP83)*DI83/(DK83+273)*$E$13)</f>
        <v>0</v>
      </c>
      <c r="AX83" t="s">
        <v>418</v>
      </c>
      <c r="AY83" t="s">
        <v>418</v>
      </c>
      <c r="AZ83">
        <v>0</v>
      </c>
      <c r="BA83">
        <v>0</v>
      </c>
      <c r="BB83">
        <f>1-AZ83/BA83</f>
        <v>0</v>
      </c>
      <c r="BC83">
        <v>0</v>
      </c>
      <c r="BD83" t="s">
        <v>418</v>
      </c>
      <c r="BE83" t="s">
        <v>418</v>
      </c>
      <c r="BF83">
        <v>0</v>
      </c>
      <c r="BG83">
        <v>0</v>
      </c>
      <c r="BH83">
        <f>1-BF83/BG83</f>
        <v>0</v>
      </c>
      <c r="BI83">
        <v>0.5</v>
      </c>
      <c r="BJ83">
        <f>CS83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418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f>$B$11*DQ83+$C$11*DR83+$F$11*EC83*(1-EF83)</f>
        <v>0</v>
      </c>
      <c r="CS83">
        <f>CR83*CT83</f>
        <v>0</v>
      </c>
      <c r="CT83">
        <f>($B$11*$D$9+$C$11*$D$9+$F$11*((EP83+EH83)/MAX(EP83+EH83+EQ83, 0.1)*$I$9+EQ83/MAX(EP83+EH83+EQ83, 0.1)*$J$9))/($B$11+$C$11+$F$11)</f>
        <v>0</v>
      </c>
      <c r="CU83">
        <f>($B$11*$K$9+$C$11*$K$9+$F$11*((EP83+EH83)/MAX(EP83+EH83+EQ83, 0.1)*$P$9+EQ83/MAX(EP83+EH83+EQ83, 0.1)*$Q$9))/($B$11+$C$11+$F$11)</f>
        <v>0</v>
      </c>
      <c r="CV83">
        <v>6</v>
      </c>
      <c r="CW83">
        <v>0.5</v>
      </c>
      <c r="CX83" t="s">
        <v>419</v>
      </c>
      <c r="CY83">
        <v>2</v>
      </c>
      <c r="CZ83" t="b">
        <v>1</v>
      </c>
      <c r="DA83">
        <v>1651772326.5</v>
      </c>
      <c r="DB83">
        <v>1009.076666666667</v>
      </c>
      <c r="DC83">
        <v>1072.417777777778</v>
      </c>
      <c r="DD83">
        <v>26.88673333333334</v>
      </c>
      <c r="DE83">
        <v>20.90787777777778</v>
      </c>
      <c r="DF83">
        <v>1011.818888888889</v>
      </c>
      <c r="DG83">
        <v>26.75586666666667</v>
      </c>
      <c r="DH83">
        <v>500.066</v>
      </c>
      <c r="DI83">
        <v>90.30248888888889</v>
      </c>
      <c r="DJ83">
        <v>0.1000520888888889</v>
      </c>
      <c r="DK83">
        <v>29.31085555555556</v>
      </c>
      <c r="DL83">
        <v>28.60862222222222</v>
      </c>
      <c r="DM83">
        <v>999.9000000000001</v>
      </c>
      <c r="DN83">
        <v>0</v>
      </c>
      <c r="DO83">
        <v>0</v>
      </c>
      <c r="DP83">
        <v>9997.916666666666</v>
      </c>
      <c r="DQ83">
        <v>0</v>
      </c>
      <c r="DR83">
        <v>13.09607777777778</v>
      </c>
      <c r="DS83">
        <v>-63.33995555555556</v>
      </c>
      <c r="DT83">
        <v>1036.957777777778</v>
      </c>
      <c r="DU83">
        <v>1095.318888888889</v>
      </c>
      <c r="DV83">
        <v>5.978844444444444</v>
      </c>
      <c r="DW83">
        <v>1072.417777777778</v>
      </c>
      <c r="DX83">
        <v>20.90787777777778</v>
      </c>
      <c r="DY83">
        <v>2.427936666666667</v>
      </c>
      <c r="DZ83">
        <v>1.888032222222222</v>
      </c>
      <c r="EA83">
        <v>20.55132222222222</v>
      </c>
      <c r="EB83">
        <v>16.53533333333333</v>
      </c>
      <c r="EC83">
        <v>1499.986666666667</v>
      </c>
      <c r="ED83">
        <v>0.9729889999999999</v>
      </c>
      <c r="EE83">
        <v>0.0270107</v>
      </c>
      <c r="EF83">
        <v>0</v>
      </c>
      <c r="EG83">
        <v>2.336133333333334</v>
      </c>
      <c r="EH83">
        <v>0</v>
      </c>
      <c r="EI83">
        <v>14903.13333333334</v>
      </c>
      <c r="EJ83">
        <v>12533.22222222222</v>
      </c>
      <c r="EK83">
        <v>36.5</v>
      </c>
      <c r="EL83">
        <v>38</v>
      </c>
      <c r="EM83">
        <v>36.875</v>
      </c>
      <c r="EN83">
        <v>37.375</v>
      </c>
      <c r="EO83">
        <v>36.32599999999999</v>
      </c>
      <c r="EP83">
        <v>1459.466666666667</v>
      </c>
      <c r="EQ83">
        <v>40.52</v>
      </c>
      <c r="ER83">
        <v>0</v>
      </c>
      <c r="ES83">
        <v>1651772330</v>
      </c>
      <c r="ET83">
        <v>0</v>
      </c>
      <c r="EU83">
        <v>2.354192</v>
      </c>
      <c r="EV83">
        <v>1.247846160722242</v>
      </c>
      <c r="EW83">
        <v>-532.8230761240686</v>
      </c>
      <c r="EX83">
        <v>14945.024</v>
      </c>
      <c r="EY83">
        <v>15</v>
      </c>
      <c r="EZ83">
        <v>0</v>
      </c>
      <c r="FA83" t="s">
        <v>420</v>
      </c>
      <c r="FB83">
        <v>1651697511.6</v>
      </c>
      <c r="FC83">
        <v>1651697666.1</v>
      </c>
      <c r="FD83">
        <v>0</v>
      </c>
      <c r="FE83">
        <v>-0.019</v>
      </c>
      <c r="FF83">
        <v>0.013</v>
      </c>
      <c r="FG83">
        <v>-2.121</v>
      </c>
      <c r="FH83">
        <v>0.041</v>
      </c>
      <c r="FI83">
        <v>420</v>
      </c>
      <c r="FJ83">
        <v>22</v>
      </c>
      <c r="FK83">
        <v>1.72</v>
      </c>
      <c r="FL83">
        <v>0.27</v>
      </c>
      <c r="FM83">
        <v>-63.16976500000001</v>
      </c>
      <c r="FN83">
        <v>-1.142764727954948</v>
      </c>
      <c r="FO83">
        <v>0.1232069023025903</v>
      </c>
      <c r="FP83">
        <v>0</v>
      </c>
      <c r="FQ83">
        <v>5.981542</v>
      </c>
      <c r="FR83">
        <v>-0.1209251031895067</v>
      </c>
      <c r="FS83">
        <v>0.02214378063926759</v>
      </c>
      <c r="FT83">
        <v>1</v>
      </c>
      <c r="FU83">
        <v>0</v>
      </c>
      <c r="FV83">
        <v>0</v>
      </c>
      <c r="FW83">
        <v>0</v>
      </c>
      <c r="FX83">
        <v>1</v>
      </c>
      <c r="FY83">
        <v>2</v>
      </c>
      <c r="FZ83">
        <v>3</v>
      </c>
      <c r="GA83" t="s">
        <v>421</v>
      </c>
      <c r="GB83">
        <v>2.98142</v>
      </c>
      <c r="GC83">
        <v>2.7062</v>
      </c>
      <c r="GD83">
        <v>0.174216</v>
      </c>
      <c r="GE83">
        <v>0.178948</v>
      </c>
      <c r="GF83">
        <v>0.115167</v>
      </c>
      <c r="GG83">
        <v>0.09534380000000001</v>
      </c>
      <c r="GH83">
        <v>26114.5</v>
      </c>
      <c r="GI83">
        <v>26017.8</v>
      </c>
      <c r="GJ83">
        <v>29400.6</v>
      </c>
      <c r="GK83">
        <v>29311.7</v>
      </c>
      <c r="GL83">
        <v>34437.9</v>
      </c>
      <c r="GM83">
        <v>35303.3</v>
      </c>
      <c r="GN83">
        <v>41388.4</v>
      </c>
      <c r="GO83">
        <v>41832.3</v>
      </c>
      <c r="GP83">
        <v>1.96277</v>
      </c>
      <c r="GQ83">
        <v>1.8624</v>
      </c>
      <c r="GR83">
        <v>0.06835910000000001</v>
      </c>
      <c r="GS83">
        <v>0</v>
      </c>
      <c r="GT83">
        <v>27.4983</v>
      </c>
      <c r="GU83">
        <v>999.9</v>
      </c>
      <c r="GV83">
        <v>44.8</v>
      </c>
      <c r="GW83">
        <v>35</v>
      </c>
      <c r="GX83">
        <v>28.021</v>
      </c>
      <c r="GY83">
        <v>62.9608</v>
      </c>
      <c r="GZ83">
        <v>36.3021</v>
      </c>
      <c r="HA83">
        <v>1</v>
      </c>
      <c r="HB83">
        <v>0.0423171</v>
      </c>
      <c r="HC83">
        <v>0</v>
      </c>
      <c r="HD83">
        <v>20.3466</v>
      </c>
      <c r="HE83">
        <v>5.21744</v>
      </c>
      <c r="HF83">
        <v>12.0097</v>
      </c>
      <c r="HG83">
        <v>4.9892</v>
      </c>
      <c r="HH83">
        <v>3.28865</v>
      </c>
      <c r="HI83">
        <v>495.9</v>
      </c>
      <c r="HJ83">
        <v>3642.5</v>
      </c>
      <c r="HK83">
        <v>4564.3</v>
      </c>
      <c r="HL83">
        <v>17.8</v>
      </c>
      <c r="HM83">
        <v>1.86768</v>
      </c>
      <c r="HN83">
        <v>1.86663</v>
      </c>
      <c r="HO83">
        <v>1.86616</v>
      </c>
      <c r="HP83">
        <v>1.86609</v>
      </c>
      <c r="HQ83">
        <v>1.86787</v>
      </c>
      <c r="HR83">
        <v>1.87042</v>
      </c>
      <c r="HS83">
        <v>1.86905</v>
      </c>
      <c r="HT83">
        <v>1.87042</v>
      </c>
      <c r="HU83">
        <v>0</v>
      </c>
      <c r="HV83">
        <v>0</v>
      </c>
      <c r="HW83">
        <v>0</v>
      </c>
      <c r="HX83">
        <v>0</v>
      </c>
      <c r="HY83" t="s">
        <v>422</v>
      </c>
      <c r="HZ83" t="s">
        <v>423</v>
      </c>
      <c r="IA83" t="s">
        <v>424</v>
      </c>
      <c r="IB83" t="s">
        <v>424</v>
      </c>
      <c r="IC83" t="s">
        <v>424</v>
      </c>
      <c r="ID83" t="s">
        <v>424</v>
      </c>
      <c r="IE83">
        <v>0</v>
      </c>
      <c r="IF83">
        <v>100</v>
      </c>
      <c r="IG83">
        <v>100</v>
      </c>
      <c r="IH83">
        <v>-2.76</v>
      </c>
      <c r="II83">
        <v>0.131</v>
      </c>
      <c r="IJ83">
        <v>-1.064712027753117</v>
      </c>
      <c r="IK83">
        <v>-0.001826611574738555</v>
      </c>
      <c r="IL83">
        <v>3.313362389709971E-07</v>
      </c>
      <c r="IM83">
        <v>-1.629490614973607E-10</v>
      </c>
      <c r="IN83">
        <v>-0.09531406441470595</v>
      </c>
      <c r="IO83">
        <v>-0.008240702679890409</v>
      </c>
      <c r="IP83">
        <v>0.001077697425498046</v>
      </c>
      <c r="IQ83">
        <v>-1.69598232850356E-05</v>
      </c>
      <c r="IR83">
        <v>3</v>
      </c>
      <c r="IS83">
        <v>2280</v>
      </c>
      <c r="IT83">
        <v>1</v>
      </c>
      <c r="IU83">
        <v>25</v>
      </c>
      <c r="IV83">
        <v>1247</v>
      </c>
      <c r="IW83">
        <v>1244.4</v>
      </c>
      <c r="IX83">
        <v>2.25464</v>
      </c>
      <c r="IY83">
        <v>2.21313</v>
      </c>
      <c r="IZ83">
        <v>1.39648</v>
      </c>
      <c r="JA83">
        <v>2.35229</v>
      </c>
      <c r="JB83">
        <v>1.49536</v>
      </c>
      <c r="JC83">
        <v>2.26318</v>
      </c>
      <c r="JD83">
        <v>38.7964</v>
      </c>
      <c r="JE83">
        <v>24.0437</v>
      </c>
      <c r="JF83">
        <v>18</v>
      </c>
      <c r="JG83">
        <v>509.261</v>
      </c>
      <c r="JH83">
        <v>430.55</v>
      </c>
      <c r="JI83">
        <v>28.3237</v>
      </c>
      <c r="JJ83">
        <v>27.9598</v>
      </c>
      <c r="JK83">
        <v>30.0003</v>
      </c>
      <c r="JL83">
        <v>27.8633</v>
      </c>
      <c r="JM83">
        <v>27.7967</v>
      </c>
      <c r="JN83">
        <v>45.1439</v>
      </c>
      <c r="JO83">
        <v>29.5723</v>
      </c>
      <c r="JP83">
        <v>0</v>
      </c>
      <c r="JQ83">
        <v>-999.9</v>
      </c>
      <c r="JR83">
        <v>1102.13</v>
      </c>
      <c r="JS83">
        <v>20.8544</v>
      </c>
      <c r="JT83">
        <v>100.505</v>
      </c>
      <c r="JU83">
        <v>100.405</v>
      </c>
    </row>
    <row r="84" spans="1:281">
      <c r="A84">
        <v>68</v>
      </c>
      <c r="B84">
        <v>1651772334</v>
      </c>
      <c r="C84">
        <v>456.4000000953674</v>
      </c>
      <c r="D84" t="s">
        <v>558</v>
      </c>
      <c r="E84" t="s">
        <v>559</v>
      </c>
      <c r="F84">
        <v>5</v>
      </c>
      <c r="H84" t="s">
        <v>417</v>
      </c>
      <c r="I84">
        <v>1651772331.2</v>
      </c>
      <c r="J84">
        <f>(K84)/1000</f>
        <v>0</v>
      </c>
      <c r="K84">
        <f>IF(CZ84, AN84, AH84)</f>
        <v>0</v>
      </c>
      <c r="L84">
        <f>IF(CZ84, AI84, AG84)</f>
        <v>0</v>
      </c>
      <c r="M84">
        <f>DB84 - IF(AU84&gt;1, L84*CV84*100.0/(AW84*DP84), 0)</f>
        <v>0</v>
      </c>
      <c r="N84">
        <f>((T84-J84/2)*M84-L84)/(T84+J84/2)</f>
        <v>0</v>
      </c>
      <c r="O84">
        <f>N84*(DI84+DJ84)/1000.0</f>
        <v>0</v>
      </c>
      <c r="P84">
        <f>(DB84 - IF(AU84&gt;1, L84*CV84*100.0/(AW84*DP84), 0))*(DI84+DJ84)/1000.0</f>
        <v>0</v>
      </c>
      <c r="Q84">
        <f>2.0/((1/S84-1/R84)+SIGN(S84)*SQRT((1/S84-1/R84)*(1/S84-1/R84) + 4*CW84/((CW84+1)*(CW84+1))*(2*1/S84*1/R84-1/R84*1/R84)))</f>
        <v>0</v>
      </c>
      <c r="R84">
        <f>IF(LEFT(CX84,1)&lt;&gt;"0",IF(LEFT(CX84,1)="1",3.0,CY84),$D$5+$E$5*(DP84*DI84/($K$5*1000))+$F$5*(DP84*DI84/($K$5*1000))*MAX(MIN(CV84,$J$5),$I$5)*MAX(MIN(CV84,$J$5),$I$5)+$G$5*MAX(MIN(CV84,$J$5),$I$5)*(DP84*DI84/($K$5*1000))+$H$5*(DP84*DI84/($K$5*1000))*(DP84*DI84/($K$5*1000)))</f>
        <v>0</v>
      </c>
      <c r="S84">
        <f>J84*(1000-(1000*0.61365*exp(17.502*W84/(240.97+W84))/(DI84+DJ84)+DD84)/2)/(1000*0.61365*exp(17.502*W84/(240.97+W84))/(DI84+DJ84)-DD84)</f>
        <v>0</v>
      </c>
      <c r="T84">
        <f>1/((CW84+1)/(Q84/1.6)+1/(R84/1.37)) + CW84/((CW84+1)/(Q84/1.6) + CW84/(R84/1.37))</f>
        <v>0</v>
      </c>
      <c r="U84">
        <f>(CR84*CU84)</f>
        <v>0</v>
      </c>
      <c r="V84">
        <f>(DK84+(U84+2*0.95*5.67E-8*(((DK84+$B$7)+273)^4-(DK84+273)^4)-44100*J84)/(1.84*29.3*R84+8*0.95*5.67E-8*(DK84+273)^3))</f>
        <v>0</v>
      </c>
      <c r="W84">
        <f>($C$7*DL84+$D$7*DM84+$E$7*V84)</f>
        <v>0</v>
      </c>
      <c r="X84">
        <f>0.61365*exp(17.502*W84/(240.97+W84))</f>
        <v>0</v>
      </c>
      <c r="Y84">
        <f>(Z84/AA84*100)</f>
        <v>0</v>
      </c>
      <c r="Z84">
        <f>DD84*(DI84+DJ84)/1000</f>
        <v>0</v>
      </c>
      <c r="AA84">
        <f>0.61365*exp(17.502*DK84/(240.97+DK84))</f>
        <v>0</v>
      </c>
      <c r="AB84">
        <f>(X84-DD84*(DI84+DJ84)/1000)</f>
        <v>0</v>
      </c>
      <c r="AC84">
        <f>(-J84*44100)</f>
        <v>0</v>
      </c>
      <c r="AD84">
        <f>2*29.3*R84*0.92*(DK84-W84)</f>
        <v>0</v>
      </c>
      <c r="AE84">
        <f>2*0.95*5.67E-8*(((DK84+$B$7)+273)^4-(W84+273)^4)</f>
        <v>0</v>
      </c>
      <c r="AF84">
        <f>U84+AE84+AC84+AD84</f>
        <v>0</v>
      </c>
      <c r="AG84">
        <f>DH84*AU84*(DC84-DB84*(1000-AU84*DE84)/(1000-AU84*DD84))/(100*CV84)</f>
        <v>0</v>
      </c>
      <c r="AH84">
        <f>1000*DH84*AU84*(DD84-DE84)/(100*CV84*(1000-AU84*DD84))</f>
        <v>0</v>
      </c>
      <c r="AI84">
        <f>(AJ84 - AK84 - DI84*1E3/(8.314*(DK84+273.15)) * AM84/DH84 * AL84) * DH84/(100*CV84) * (1000 - DE84)/1000</f>
        <v>0</v>
      </c>
      <c r="AJ84">
        <v>1111.572635119135</v>
      </c>
      <c r="AK84">
        <v>1061.067090909091</v>
      </c>
      <c r="AL84">
        <v>3.425021057063824</v>
      </c>
      <c r="AM84">
        <v>66.72507702095443</v>
      </c>
      <c r="AN84">
        <f>(AP84 - AO84 + DI84*1E3/(8.314*(DK84+273.15)) * AR84/DH84 * AQ84) * DH84/(100*CV84) * 1000/(1000 - AP84)</f>
        <v>0</v>
      </c>
      <c r="AO84">
        <v>20.90784070640204</v>
      </c>
      <c r="AP84">
        <v>26.91456969696968</v>
      </c>
      <c r="AQ84">
        <v>0.001124154192710454</v>
      </c>
      <c r="AR84">
        <v>78.22078291278521</v>
      </c>
      <c r="AS84">
        <v>1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MAX(0,($B$13+$C$13*DP84)/(1+$D$13*DP84)*DI84/(DK84+273)*$E$13)</f>
        <v>0</v>
      </c>
      <c r="AX84" t="s">
        <v>418</v>
      </c>
      <c r="AY84" t="s">
        <v>418</v>
      </c>
      <c r="AZ84">
        <v>0</v>
      </c>
      <c r="BA84">
        <v>0</v>
      </c>
      <c r="BB84">
        <f>1-AZ84/BA84</f>
        <v>0</v>
      </c>
      <c r="BC84">
        <v>0</v>
      </c>
      <c r="BD84" t="s">
        <v>418</v>
      </c>
      <c r="BE84" t="s">
        <v>418</v>
      </c>
      <c r="BF84">
        <v>0</v>
      </c>
      <c r="BG84">
        <v>0</v>
      </c>
      <c r="BH84">
        <f>1-BF84/BG84</f>
        <v>0</v>
      </c>
      <c r="BI84">
        <v>0.5</v>
      </c>
      <c r="BJ84">
        <f>CS84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418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f>$B$11*DQ84+$C$11*DR84+$F$11*EC84*(1-EF84)</f>
        <v>0</v>
      </c>
      <c r="CS84">
        <f>CR84*CT84</f>
        <v>0</v>
      </c>
      <c r="CT84">
        <f>($B$11*$D$9+$C$11*$D$9+$F$11*((EP84+EH84)/MAX(EP84+EH84+EQ84, 0.1)*$I$9+EQ84/MAX(EP84+EH84+EQ84, 0.1)*$J$9))/($B$11+$C$11+$F$11)</f>
        <v>0</v>
      </c>
      <c r="CU84">
        <f>($B$11*$K$9+$C$11*$K$9+$F$11*((EP84+EH84)/MAX(EP84+EH84+EQ84, 0.1)*$P$9+EQ84/MAX(EP84+EH84+EQ84, 0.1)*$Q$9))/($B$11+$C$11+$F$11)</f>
        <v>0</v>
      </c>
      <c r="CV84">
        <v>6</v>
      </c>
      <c r="CW84">
        <v>0.5</v>
      </c>
      <c r="CX84" t="s">
        <v>419</v>
      </c>
      <c r="CY84">
        <v>2</v>
      </c>
      <c r="CZ84" t="b">
        <v>1</v>
      </c>
      <c r="DA84">
        <v>1651772331.2</v>
      </c>
      <c r="DB84">
        <v>1024.846</v>
      </c>
      <c r="DC84">
        <v>1088.161</v>
      </c>
      <c r="DD84">
        <v>26.9077</v>
      </c>
      <c r="DE84">
        <v>20.90819</v>
      </c>
      <c r="DF84">
        <v>1027.611</v>
      </c>
      <c r="DG84">
        <v>26.77658</v>
      </c>
      <c r="DH84">
        <v>500.0414</v>
      </c>
      <c r="DI84">
        <v>90.30293</v>
      </c>
      <c r="DJ84">
        <v>0.09989084000000001</v>
      </c>
      <c r="DK84">
        <v>29.3115</v>
      </c>
      <c r="DL84">
        <v>28.61571</v>
      </c>
      <c r="DM84">
        <v>999.9</v>
      </c>
      <c r="DN84">
        <v>0</v>
      </c>
      <c r="DO84">
        <v>0</v>
      </c>
      <c r="DP84">
        <v>10016.12</v>
      </c>
      <c r="DQ84">
        <v>0</v>
      </c>
      <c r="DR84">
        <v>13.14077</v>
      </c>
      <c r="DS84">
        <v>-63.31406999999999</v>
      </c>
      <c r="DT84">
        <v>1053.184</v>
      </c>
      <c r="DU84">
        <v>1111.399</v>
      </c>
      <c r="DV84">
        <v>5.999529</v>
      </c>
      <c r="DW84">
        <v>1088.161</v>
      </c>
      <c r="DX84">
        <v>20.90819</v>
      </c>
      <c r="DY84">
        <v>2.429845</v>
      </c>
      <c r="DZ84">
        <v>1.888071</v>
      </c>
      <c r="EA84">
        <v>20.56405</v>
      </c>
      <c r="EB84">
        <v>16.53565</v>
      </c>
      <c r="EC84">
        <v>1500.039</v>
      </c>
      <c r="ED84">
        <v>0.9729896</v>
      </c>
      <c r="EE84">
        <v>0.02701017</v>
      </c>
      <c r="EF84">
        <v>0</v>
      </c>
      <c r="EG84">
        <v>2.23353</v>
      </c>
      <c r="EH84">
        <v>0</v>
      </c>
      <c r="EI84">
        <v>14862.88</v>
      </c>
      <c r="EJ84">
        <v>12533.68</v>
      </c>
      <c r="EK84">
        <v>36.4874</v>
      </c>
      <c r="EL84">
        <v>38</v>
      </c>
      <c r="EM84">
        <v>36.875</v>
      </c>
      <c r="EN84">
        <v>37.375</v>
      </c>
      <c r="EO84">
        <v>36.312</v>
      </c>
      <c r="EP84">
        <v>1459.519</v>
      </c>
      <c r="EQ84">
        <v>40.52</v>
      </c>
      <c r="ER84">
        <v>0</v>
      </c>
      <c r="ES84">
        <v>1651772334.8</v>
      </c>
      <c r="ET84">
        <v>0</v>
      </c>
      <c r="EU84">
        <v>2.336536</v>
      </c>
      <c r="EV84">
        <v>-1.026538455819892</v>
      </c>
      <c r="EW84">
        <v>-516.0923084762687</v>
      </c>
      <c r="EX84">
        <v>14903.092</v>
      </c>
      <c r="EY84">
        <v>15</v>
      </c>
      <c r="EZ84">
        <v>0</v>
      </c>
      <c r="FA84" t="s">
        <v>420</v>
      </c>
      <c r="FB84">
        <v>1651697511.6</v>
      </c>
      <c r="FC84">
        <v>1651697666.1</v>
      </c>
      <c r="FD84">
        <v>0</v>
      </c>
      <c r="FE84">
        <v>-0.019</v>
      </c>
      <c r="FF84">
        <v>0.013</v>
      </c>
      <c r="FG84">
        <v>-2.121</v>
      </c>
      <c r="FH84">
        <v>0.041</v>
      </c>
      <c r="FI84">
        <v>420</v>
      </c>
      <c r="FJ84">
        <v>22</v>
      </c>
      <c r="FK84">
        <v>1.72</v>
      </c>
      <c r="FL84">
        <v>0.27</v>
      </c>
      <c r="FM84">
        <v>-63.22903749999999</v>
      </c>
      <c r="FN84">
        <v>-1.040331332082446</v>
      </c>
      <c r="FO84">
        <v>0.1257204452097991</v>
      </c>
      <c r="FP84">
        <v>0</v>
      </c>
      <c r="FQ84">
        <v>5.98228125</v>
      </c>
      <c r="FR84">
        <v>0.02568078799247475</v>
      </c>
      <c r="FS84">
        <v>0.02261180258045566</v>
      </c>
      <c r="FT84">
        <v>1</v>
      </c>
      <c r="FU84">
        <v>0</v>
      </c>
      <c r="FV84">
        <v>0</v>
      </c>
      <c r="FW84">
        <v>0</v>
      </c>
      <c r="FX84">
        <v>1</v>
      </c>
      <c r="FY84">
        <v>2</v>
      </c>
      <c r="FZ84">
        <v>3</v>
      </c>
      <c r="GA84" t="s">
        <v>421</v>
      </c>
      <c r="GB84">
        <v>2.98137</v>
      </c>
      <c r="GC84">
        <v>2.70621</v>
      </c>
      <c r="GD84">
        <v>0.176043</v>
      </c>
      <c r="GE84">
        <v>0.180676</v>
      </c>
      <c r="GF84">
        <v>0.115215</v>
      </c>
      <c r="GG84">
        <v>0.09535150000000001</v>
      </c>
      <c r="GH84">
        <v>26056.9</v>
      </c>
      <c r="GI84">
        <v>25963</v>
      </c>
      <c r="GJ84">
        <v>29400.8</v>
      </c>
      <c r="GK84">
        <v>29311.7</v>
      </c>
      <c r="GL84">
        <v>34436.4</v>
      </c>
      <c r="GM84">
        <v>35303.2</v>
      </c>
      <c r="GN84">
        <v>41388.9</v>
      </c>
      <c r="GO84">
        <v>41832.5</v>
      </c>
      <c r="GP84">
        <v>1.96262</v>
      </c>
      <c r="GQ84">
        <v>1.86235</v>
      </c>
      <c r="GR84">
        <v>0.0682101</v>
      </c>
      <c r="GS84">
        <v>0</v>
      </c>
      <c r="GT84">
        <v>27.5023</v>
      </c>
      <c r="GU84">
        <v>999.9</v>
      </c>
      <c r="GV84">
        <v>44.8</v>
      </c>
      <c r="GW84">
        <v>35</v>
      </c>
      <c r="GX84">
        <v>28.0236</v>
      </c>
      <c r="GY84">
        <v>62.7308</v>
      </c>
      <c r="GZ84">
        <v>36.1779</v>
      </c>
      <c r="HA84">
        <v>1</v>
      </c>
      <c r="HB84">
        <v>0.0424695</v>
      </c>
      <c r="HC84">
        <v>0</v>
      </c>
      <c r="HD84">
        <v>20.3468</v>
      </c>
      <c r="HE84">
        <v>5.21729</v>
      </c>
      <c r="HF84">
        <v>12.0089</v>
      </c>
      <c r="HG84">
        <v>4.98895</v>
      </c>
      <c r="HH84">
        <v>3.28865</v>
      </c>
      <c r="HI84">
        <v>495.9</v>
      </c>
      <c r="HJ84">
        <v>3642.5</v>
      </c>
      <c r="HK84">
        <v>4564.3</v>
      </c>
      <c r="HL84">
        <v>17.8</v>
      </c>
      <c r="HM84">
        <v>1.86768</v>
      </c>
      <c r="HN84">
        <v>1.86662</v>
      </c>
      <c r="HO84">
        <v>1.86615</v>
      </c>
      <c r="HP84">
        <v>1.86606</v>
      </c>
      <c r="HQ84">
        <v>1.86786</v>
      </c>
      <c r="HR84">
        <v>1.87042</v>
      </c>
      <c r="HS84">
        <v>1.86905</v>
      </c>
      <c r="HT84">
        <v>1.87042</v>
      </c>
      <c r="HU84">
        <v>0</v>
      </c>
      <c r="HV84">
        <v>0</v>
      </c>
      <c r="HW84">
        <v>0</v>
      </c>
      <c r="HX84">
        <v>0</v>
      </c>
      <c r="HY84" t="s">
        <v>422</v>
      </c>
      <c r="HZ84" t="s">
        <v>423</v>
      </c>
      <c r="IA84" t="s">
        <v>424</v>
      </c>
      <c r="IB84" t="s">
        <v>424</v>
      </c>
      <c r="IC84" t="s">
        <v>424</v>
      </c>
      <c r="ID84" t="s">
        <v>424</v>
      </c>
      <c r="IE84">
        <v>0</v>
      </c>
      <c r="IF84">
        <v>100</v>
      </c>
      <c r="IG84">
        <v>100</v>
      </c>
      <c r="IH84">
        <v>-2.78</v>
      </c>
      <c r="II84">
        <v>0.1312</v>
      </c>
      <c r="IJ84">
        <v>-1.064712027753117</v>
      </c>
      <c r="IK84">
        <v>-0.001826611574738555</v>
      </c>
      <c r="IL84">
        <v>3.313362389709971E-07</v>
      </c>
      <c r="IM84">
        <v>-1.629490614973607E-10</v>
      </c>
      <c r="IN84">
        <v>-0.09531406441470595</v>
      </c>
      <c r="IO84">
        <v>-0.008240702679890409</v>
      </c>
      <c r="IP84">
        <v>0.001077697425498046</v>
      </c>
      <c r="IQ84">
        <v>-1.69598232850356E-05</v>
      </c>
      <c r="IR84">
        <v>3</v>
      </c>
      <c r="IS84">
        <v>2280</v>
      </c>
      <c r="IT84">
        <v>1</v>
      </c>
      <c r="IU84">
        <v>25</v>
      </c>
      <c r="IV84">
        <v>1247</v>
      </c>
      <c r="IW84">
        <v>1244.5</v>
      </c>
      <c r="IX84">
        <v>2.28027</v>
      </c>
      <c r="IY84">
        <v>2.20825</v>
      </c>
      <c r="IZ84">
        <v>1.39648</v>
      </c>
      <c r="JA84">
        <v>2.35229</v>
      </c>
      <c r="JB84">
        <v>1.49536</v>
      </c>
      <c r="JC84">
        <v>2.30713</v>
      </c>
      <c r="JD84">
        <v>38.7717</v>
      </c>
      <c r="JE84">
        <v>24.0525</v>
      </c>
      <c r="JF84">
        <v>18</v>
      </c>
      <c r="JG84">
        <v>509.189</v>
      </c>
      <c r="JH84">
        <v>430.537</v>
      </c>
      <c r="JI84">
        <v>28.3268</v>
      </c>
      <c r="JJ84">
        <v>27.9628</v>
      </c>
      <c r="JK84">
        <v>30.0003</v>
      </c>
      <c r="JL84">
        <v>27.8663</v>
      </c>
      <c r="JM84">
        <v>27.799</v>
      </c>
      <c r="JN84">
        <v>45.6364</v>
      </c>
      <c r="JO84">
        <v>29.5723</v>
      </c>
      <c r="JP84">
        <v>0</v>
      </c>
      <c r="JQ84">
        <v>-999.9</v>
      </c>
      <c r="JR84">
        <v>1115.79</v>
      </c>
      <c r="JS84">
        <v>20.8382</v>
      </c>
      <c r="JT84">
        <v>100.506</v>
      </c>
      <c r="JU84">
        <v>100.405</v>
      </c>
    </row>
    <row r="85" spans="1:281">
      <c r="A85">
        <v>69</v>
      </c>
      <c r="B85">
        <v>1651772339</v>
      </c>
      <c r="C85">
        <v>461.4000000953674</v>
      </c>
      <c r="D85" t="s">
        <v>560</v>
      </c>
      <c r="E85" t="s">
        <v>561</v>
      </c>
      <c r="F85">
        <v>5</v>
      </c>
      <c r="H85" t="s">
        <v>417</v>
      </c>
      <c r="I85">
        <v>1651772336.5</v>
      </c>
      <c r="J85">
        <f>(K85)/1000</f>
        <v>0</v>
      </c>
      <c r="K85">
        <f>IF(CZ85, AN85, AH85)</f>
        <v>0</v>
      </c>
      <c r="L85">
        <f>IF(CZ85, AI85, AG85)</f>
        <v>0</v>
      </c>
      <c r="M85">
        <f>DB85 - IF(AU85&gt;1, L85*CV85*100.0/(AW85*DP85), 0)</f>
        <v>0</v>
      </c>
      <c r="N85">
        <f>((T85-J85/2)*M85-L85)/(T85+J85/2)</f>
        <v>0</v>
      </c>
      <c r="O85">
        <f>N85*(DI85+DJ85)/1000.0</f>
        <v>0</v>
      </c>
      <c r="P85">
        <f>(DB85 - IF(AU85&gt;1, L85*CV85*100.0/(AW85*DP85), 0))*(DI85+DJ85)/1000.0</f>
        <v>0</v>
      </c>
      <c r="Q85">
        <f>2.0/((1/S85-1/R85)+SIGN(S85)*SQRT((1/S85-1/R85)*(1/S85-1/R85) + 4*CW85/((CW85+1)*(CW85+1))*(2*1/S85*1/R85-1/R85*1/R85)))</f>
        <v>0</v>
      </c>
      <c r="R85">
        <f>IF(LEFT(CX85,1)&lt;&gt;"0",IF(LEFT(CX85,1)="1",3.0,CY85),$D$5+$E$5*(DP85*DI85/($K$5*1000))+$F$5*(DP85*DI85/($K$5*1000))*MAX(MIN(CV85,$J$5),$I$5)*MAX(MIN(CV85,$J$5),$I$5)+$G$5*MAX(MIN(CV85,$J$5),$I$5)*(DP85*DI85/($K$5*1000))+$H$5*(DP85*DI85/($K$5*1000))*(DP85*DI85/($K$5*1000)))</f>
        <v>0</v>
      </c>
      <c r="S85">
        <f>J85*(1000-(1000*0.61365*exp(17.502*W85/(240.97+W85))/(DI85+DJ85)+DD85)/2)/(1000*0.61365*exp(17.502*W85/(240.97+W85))/(DI85+DJ85)-DD85)</f>
        <v>0</v>
      </c>
      <c r="T85">
        <f>1/((CW85+1)/(Q85/1.6)+1/(R85/1.37)) + CW85/((CW85+1)/(Q85/1.6) + CW85/(R85/1.37))</f>
        <v>0</v>
      </c>
      <c r="U85">
        <f>(CR85*CU85)</f>
        <v>0</v>
      </c>
      <c r="V85">
        <f>(DK85+(U85+2*0.95*5.67E-8*(((DK85+$B$7)+273)^4-(DK85+273)^4)-44100*J85)/(1.84*29.3*R85+8*0.95*5.67E-8*(DK85+273)^3))</f>
        <v>0</v>
      </c>
      <c r="W85">
        <f>($C$7*DL85+$D$7*DM85+$E$7*V85)</f>
        <v>0</v>
      </c>
      <c r="X85">
        <f>0.61365*exp(17.502*W85/(240.97+W85))</f>
        <v>0</v>
      </c>
      <c r="Y85">
        <f>(Z85/AA85*100)</f>
        <v>0</v>
      </c>
      <c r="Z85">
        <f>DD85*(DI85+DJ85)/1000</f>
        <v>0</v>
      </c>
      <c r="AA85">
        <f>0.61365*exp(17.502*DK85/(240.97+DK85))</f>
        <v>0</v>
      </c>
      <c r="AB85">
        <f>(X85-DD85*(DI85+DJ85)/1000)</f>
        <v>0</v>
      </c>
      <c r="AC85">
        <f>(-J85*44100)</f>
        <v>0</v>
      </c>
      <c r="AD85">
        <f>2*29.3*R85*0.92*(DK85-W85)</f>
        <v>0</v>
      </c>
      <c r="AE85">
        <f>2*0.95*5.67E-8*(((DK85+$B$7)+273)^4-(W85+273)^4)</f>
        <v>0</v>
      </c>
      <c r="AF85">
        <f>U85+AE85+AC85+AD85</f>
        <v>0</v>
      </c>
      <c r="AG85">
        <f>DH85*AU85*(DC85-DB85*(1000-AU85*DE85)/(1000-AU85*DD85))/(100*CV85)</f>
        <v>0</v>
      </c>
      <c r="AH85">
        <f>1000*DH85*AU85*(DD85-DE85)/(100*CV85*(1000-AU85*DD85))</f>
        <v>0</v>
      </c>
      <c r="AI85">
        <f>(AJ85 - AK85 - DI85*1E3/(8.314*(DK85+273.15)) * AM85/DH85 * AL85) * DH85/(100*CV85) * (1000 - DE85)/1000</f>
        <v>0</v>
      </c>
      <c r="AJ85">
        <v>1128.097682690819</v>
      </c>
      <c r="AK85">
        <v>1078.059454545455</v>
      </c>
      <c r="AL85">
        <v>3.375738777786674</v>
      </c>
      <c r="AM85">
        <v>66.72507702095443</v>
      </c>
      <c r="AN85">
        <f>(AP85 - AO85 + DI85*1E3/(8.314*(DK85+273.15)) * AR85/DH85 * AQ85) * DH85/(100*CV85) * 1000/(1000 - AP85)</f>
        <v>0</v>
      </c>
      <c r="AO85">
        <v>20.90950875348935</v>
      </c>
      <c r="AP85">
        <v>26.9243806060606</v>
      </c>
      <c r="AQ85">
        <v>0.0005763261019923054</v>
      </c>
      <c r="AR85">
        <v>78.22078291278521</v>
      </c>
      <c r="AS85">
        <v>1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MAX(0,($B$13+$C$13*DP85)/(1+$D$13*DP85)*DI85/(DK85+273)*$E$13)</f>
        <v>0</v>
      </c>
      <c r="AX85" t="s">
        <v>418</v>
      </c>
      <c r="AY85" t="s">
        <v>418</v>
      </c>
      <c r="AZ85">
        <v>0</v>
      </c>
      <c r="BA85">
        <v>0</v>
      </c>
      <c r="BB85">
        <f>1-AZ85/BA85</f>
        <v>0</v>
      </c>
      <c r="BC85">
        <v>0</v>
      </c>
      <c r="BD85" t="s">
        <v>418</v>
      </c>
      <c r="BE85" t="s">
        <v>418</v>
      </c>
      <c r="BF85">
        <v>0</v>
      </c>
      <c r="BG85">
        <v>0</v>
      </c>
      <c r="BH85">
        <f>1-BF85/BG85</f>
        <v>0</v>
      </c>
      <c r="BI85">
        <v>0.5</v>
      </c>
      <c r="BJ85">
        <f>CS85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418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f>$B$11*DQ85+$C$11*DR85+$F$11*EC85*(1-EF85)</f>
        <v>0</v>
      </c>
      <c r="CS85">
        <f>CR85*CT85</f>
        <v>0</v>
      </c>
      <c r="CT85">
        <f>($B$11*$D$9+$C$11*$D$9+$F$11*((EP85+EH85)/MAX(EP85+EH85+EQ85, 0.1)*$I$9+EQ85/MAX(EP85+EH85+EQ85, 0.1)*$J$9))/($B$11+$C$11+$F$11)</f>
        <v>0</v>
      </c>
      <c r="CU85">
        <f>($B$11*$K$9+$C$11*$K$9+$F$11*((EP85+EH85)/MAX(EP85+EH85+EQ85, 0.1)*$P$9+EQ85/MAX(EP85+EH85+EQ85, 0.1)*$Q$9))/($B$11+$C$11+$F$11)</f>
        <v>0</v>
      </c>
      <c r="CV85">
        <v>6</v>
      </c>
      <c r="CW85">
        <v>0.5</v>
      </c>
      <c r="CX85" t="s">
        <v>419</v>
      </c>
      <c r="CY85">
        <v>2</v>
      </c>
      <c r="CZ85" t="b">
        <v>1</v>
      </c>
      <c r="DA85">
        <v>1651772336.5</v>
      </c>
      <c r="DB85">
        <v>1042.478888888889</v>
      </c>
      <c r="DC85">
        <v>1105.324444444444</v>
      </c>
      <c r="DD85">
        <v>26.92086666666667</v>
      </c>
      <c r="DE85">
        <v>20.90933333333333</v>
      </c>
      <c r="DF85">
        <v>1045.274444444444</v>
      </c>
      <c r="DG85">
        <v>26.78958888888889</v>
      </c>
      <c r="DH85">
        <v>500.0418888888889</v>
      </c>
      <c r="DI85">
        <v>90.30282222222222</v>
      </c>
      <c r="DJ85">
        <v>0.09998664444444444</v>
      </c>
      <c r="DK85">
        <v>29.318</v>
      </c>
      <c r="DL85">
        <v>28.6267</v>
      </c>
      <c r="DM85">
        <v>999.9000000000001</v>
      </c>
      <c r="DN85">
        <v>0</v>
      </c>
      <c r="DO85">
        <v>0</v>
      </c>
      <c r="DP85">
        <v>10009.57777777778</v>
      </c>
      <c r="DQ85">
        <v>0</v>
      </c>
      <c r="DR85">
        <v>13.21734444444444</v>
      </c>
      <c r="DS85">
        <v>-62.84740000000001</v>
      </c>
      <c r="DT85">
        <v>1071.318888888889</v>
      </c>
      <c r="DU85">
        <v>1128.931111111111</v>
      </c>
      <c r="DV85">
        <v>6.011554444444445</v>
      </c>
      <c r="DW85">
        <v>1105.324444444444</v>
      </c>
      <c r="DX85">
        <v>20.90933333333333</v>
      </c>
      <c r="DY85">
        <v>2.431031111111111</v>
      </c>
      <c r="DZ85">
        <v>1.888171111111111</v>
      </c>
      <c r="EA85">
        <v>20.57197777777778</v>
      </c>
      <c r="EB85">
        <v>16.5365</v>
      </c>
      <c r="EC85">
        <v>1499.975555555556</v>
      </c>
      <c r="ED85">
        <v>0.9729912222222222</v>
      </c>
      <c r="EE85">
        <v>0.02700845555555555</v>
      </c>
      <c r="EF85">
        <v>0</v>
      </c>
      <c r="EG85">
        <v>2.496711111111111</v>
      </c>
      <c r="EH85">
        <v>0</v>
      </c>
      <c r="EI85">
        <v>14817.88888888889</v>
      </c>
      <c r="EJ85">
        <v>12533.15555555556</v>
      </c>
      <c r="EK85">
        <v>36.486</v>
      </c>
      <c r="EL85">
        <v>38</v>
      </c>
      <c r="EM85">
        <v>36.875</v>
      </c>
      <c r="EN85">
        <v>37.375</v>
      </c>
      <c r="EO85">
        <v>36.319</v>
      </c>
      <c r="EP85">
        <v>1459.458888888889</v>
      </c>
      <c r="EQ85">
        <v>40.51555555555555</v>
      </c>
      <c r="ER85">
        <v>0</v>
      </c>
      <c r="ES85">
        <v>1651772340.2</v>
      </c>
      <c r="ET85">
        <v>0</v>
      </c>
      <c r="EU85">
        <v>2.35795</v>
      </c>
      <c r="EV85">
        <v>-0.3606119681214401</v>
      </c>
      <c r="EW85">
        <v>-509.6581200076361</v>
      </c>
      <c r="EX85">
        <v>14859.20384615385</v>
      </c>
      <c r="EY85">
        <v>15</v>
      </c>
      <c r="EZ85">
        <v>0</v>
      </c>
      <c r="FA85" t="s">
        <v>420</v>
      </c>
      <c r="FB85">
        <v>1651697511.6</v>
      </c>
      <c r="FC85">
        <v>1651697666.1</v>
      </c>
      <c r="FD85">
        <v>0</v>
      </c>
      <c r="FE85">
        <v>-0.019</v>
      </c>
      <c r="FF85">
        <v>0.013</v>
      </c>
      <c r="FG85">
        <v>-2.121</v>
      </c>
      <c r="FH85">
        <v>0.041</v>
      </c>
      <c r="FI85">
        <v>420</v>
      </c>
      <c r="FJ85">
        <v>22</v>
      </c>
      <c r="FK85">
        <v>1.72</v>
      </c>
      <c r="FL85">
        <v>0.27</v>
      </c>
      <c r="FM85">
        <v>-63.1948243902439</v>
      </c>
      <c r="FN85">
        <v>0.923021602787394</v>
      </c>
      <c r="FO85">
        <v>0.1895379011978391</v>
      </c>
      <c r="FP85">
        <v>0</v>
      </c>
      <c r="FQ85">
        <v>5.983527317073172</v>
      </c>
      <c r="FR85">
        <v>0.2142154703832719</v>
      </c>
      <c r="FS85">
        <v>0.02329138540888716</v>
      </c>
      <c r="FT85">
        <v>1</v>
      </c>
      <c r="FU85">
        <v>0</v>
      </c>
      <c r="FV85">
        <v>0</v>
      </c>
      <c r="FW85">
        <v>0</v>
      </c>
      <c r="FX85">
        <v>1</v>
      </c>
      <c r="FY85">
        <v>2</v>
      </c>
      <c r="FZ85">
        <v>3</v>
      </c>
      <c r="GA85" t="s">
        <v>421</v>
      </c>
      <c r="GB85">
        <v>2.98145</v>
      </c>
      <c r="GC85">
        <v>2.7064</v>
      </c>
      <c r="GD85">
        <v>0.177823</v>
      </c>
      <c r="GE85">
        <v>0.182329</v>
      </c>
      <c r="GF85">
        <v>0.115245</v>
      </c>
      <c r="GG85">
        <v>0.095347</v>
      </c>
      <c r="GH85">
        <v>26000.4</v>
      </c>
      <c r="GI85">
        <v>25910.1</v>
      </c>
      <c r="GJ85">
        <v>29400.7</v>
      </c>
      <c r="GK85">
        <v>29311.2</v>
      </c>
      <c r="GL85">
        <v>34435</v>
      </c>
      <c r="GM85">
        <v>35302.8</v>
      </c>
      <c r="GN85">
        <v>41388.6</v>
      </c>
      <c r="GO85">
        <v>41831.8</v>
      </c>
      <c r="GP85">
        <v>1.96255</v>
      </c>
      <c r="GQ85">
        <v>1.86245</v>
      </c>
      <c r="GR85">
        <v>0.06890300000000001</v>
      </c>
      <c r="GS85">
        <v>0</v>
      </c>
      <c r="GT85">
        <v>27.5075</v>
      </c>
      <c r="GU85">
        <v>999.9</v>
      </c>
      <c r="GV85">
        <v>44.8</v>
      </c>
      <c r="GW85">
        <v>35</v>
      </c>
      <c r="GX85">
        <v>28.0239</v>
      </c>
      <c r="GY85">
        <v>63.0108</v>
      </c>
      <c r="GZ85">
        <v>36.5825</v>
      </c>
      <c r="HA85">
        <v>1</v>
      </c>
      <c r="HB85">
        <v>0.0426347</v>
      </c>
      <c r="HC85">
        <v>0</v>
      </c>
      <c r="HD85">
        <v>20.3466</v>
      </c>
      <c r="HE85">
        <v>5.21729</v>
      </c>
      <c r="HF85">
        <v>12.0097</v>
      </c>
      <c r="HG85">
        <v>4.98865</v>
      </c>
      <c r="HH85">
        <v>3.28865</v>
      </c>
      <c r="HI85">
        <v>496.1</v>
      </c>
      <c r="HJ85">
        <v>3644</v>
      </c>
      <c r="HK85">
        <v>4564.3</v>
      </c>
      <c r="HL85">
        <v>17.8</v>
      </c>
      <c r="HM85">
        <v>1.86768</v>
      </c>
      <c r="HN85">
        <v>1.86663</v>
      </c>
      <c r="HO85">
        <v>1.86615</v>
      </c>
      <c r="HP85">
        <v>1.86608</v>
      </c>
      <c r="HQ85">
        <v>1.86785</v>
      </c>
      <c r="HR85">
        <v>1.87042</v>
      </c>
      <c r="HS85">
        <v>1.86905</v>
      </c>
      <c r="HT85">
        <v>1.87042</v>
      </c>
      <c r="HU85">
        <v>0</v>
      </c>
      <c r="HV85">
        <v>0</v>
      </c>
      <c r="HW85">
        <v>0</v>
      </c>
      <c r="HX85">
        <v>0</v>
      </c>
      <c r="HY85" t="s">
        <v>422</v>
      </c>
      <c r="HZ85" t="s">
        <v>423</v>
      </c>
      <c r="IA85" t="s">
        <v>424</v>
      </c>
      <c r="IB85" t="s">
        <v>424</v>
      </c>
      <c r="IC85" t="s">
        <v>424</v>
      </c>
      <c r="ID85" t="s">
        <v>424</v>
      </c>
      <c r="IE85">
        <v>0</v>
      </c>
      <c r="IF85">
        <v>100</v>
      </c>
      <c r="IG85">
        <v>100</v>
      </c>
      <c r="IH85">
        <v>-2.81</v>
      </c>
      <c r="II85">
        <v>0.1313</v>
      </c>
      <c r="IJ85">
        <v>-1.064712027753117</v>
      </c>
      <c r="IK85">
        <v>-0.001826611574738555</v>
      </c>
      <c r="IL85">
        <v>3.313362389709971E-07</v>
      </c>
      <c r="IM85">
        <v>-1.629490614973607E-10</v>
      </c>
      <c r="IN85">
        <v>-0.09531406441470595</v>
      </c>
      <c r="IO85">
        <v>-0.008240702679890409</v>
      </c>
      <c r="IP85">
        <v>0.001077697425498046</v>
      </c>
      <c r="IQ85">
        <v>-1.69598232850356E-05</v>
      </c>
      <c r="IR85">
        <v>3</v>
      </c>
      <c r="IS85">
        <v>2280</v>
      </c>
      <c r="IT85">
        <v>1</v>
      </c>
      <c r="IU85">
        <v>25</v>
      </c>
      <c r="IV85">
        <v>1247.1</v>
      </c>
      <c r="IW85">
        <v>1244.5</v>
      </c>
      <c r="IX85">
        <v>2.30469</v>
      </c>
      <c r="IY85">
        <v>2.20825</v>
      </c>
      <c r="IZ85">
        <v>1.39648</v>
      </c>
      <c r="JA85">
        <v>2.35352</v>
      </c>
      <c r="JB85">
        <v>1.49536</v>
      </c>
      <c r="JC85">
        <v>2.30957</v>
      </c>
      <c r="JD85">
        <v>38.7717</v>
      </c>
      <c r="JE85">
        <v>24.0525</v>
      </c>
      <c r="JF85">
        <v>18</v>
      </c>
      <c r="JG85">
        <v>509.159</v>
      </c>
      <c r="JH85">
        <v>430.617</v>
      </c>
      <c r="JI85">
        <v>28.3314</v>
      </c>
      <c r="JJ85">
        <v>27.9662</v>
      </c>
      <c r="JK85">
        <v>30.0003</v>
      </c>
      <c r="JL85">
        <v>27.8685</v>
      </c>
      <c r="JM85">
        <v>27.8017</v>
      </c>
      <c r="JN85">
        <v>46.1401</v>
      </c>
      <c r="JO85">
        <v>29.5723</v>
      </c>
      <c r="JP85">
        <v>0</v>
      </c>
      <c r="JQ85">
        <v>-999.9</v>
      </c>
      <c r="JR85">
        <v>1135.82</v>
      </c>
      <c r="JS85">
        <v>20.8171</v>
      </c>
      <c r="JT85">
        <v>100.506</v>
      </c>
      <c r="JU85">
        <v>100.404</v>
      </c>
    </row>
    <row r="86" spans="1:281">
      <c r="A86">
        <v>70</v>
      </c>
      <c r="B86">
        <v>1651772344</v>
      </c>
      <c r="C86">
        <v>466.4000000953674</v>
      </c>
      <c r="D86" t="s">
        <v>562</v>
      </c>
      <c r="E86" t="s">
        <v>563</v>
      </c>
      <c r="F86">
        <v>5</v>
      </c>
      <c r="H86" t="s">
        <v>417</v>
      </c>
      <c r="I86">
        <v>1651772341.2</v>
      </c>
      <c r="J86">
        <f>(K86)/1000</f>
        <v>0</v>
      </c>
      <c r="K86">
        <f>IF(CZ86, AN86, AH86)</f>
        <v>0</v>
      </c>
      <c r="L86">
        <f>IF(CZ86, AI86, AG86)</f>
        <v>0</v>
      </c>
      <c r="M86">
        <f>DB86 - IF(AU86&gt;1, L86*CV86*100.0/(AW86*DP86), 0)</f>
        <v>0</v>
      </c>
      <c r="N86">
        <f>((T86-J86/2)*M86-L86)/(T86+J86/2)</f>
        <v>0</v>
      </c>
      <c r="O86">
        <f>N86*(DI86+DJ86)/1000.0</f>
        <v>0</v>
      </c>
      <c r="P86">
        <f>(DB86 - IF(AU86&gt;1, L86*CV86*100.0/(AW86*DP86), 0))*(DI86+DJ86)/1000.0</f>
        <v>0</v>
      </c>
      <c r="Q86">
        <f>2.0/((1/S86-1/R86)+SIGN(S86)*SQRT((1/S86-1/R86)*(1/S86-1/R86) + 4*CW86/((CW86+1)*(CW86+1))*(2*1/S86*1/R86-1/R86*1/R86)))</f>
        <v>0</v>
      </c>
      <c r="R86">
        <f>IF(LEFT(CX86,1)&lt;&gt;"0",IF(LEFT(CX86,1)="1",3.0,CY86),$D$5+$E$5*(DP86*DI86/($K$5*1000))+$F$5*(DP86*DI86/($K$5*1000))*MAX(MIN(CV86,$J$5),$I$5)*MAX(MIN(CV86,$J$5),$I$5)+$G$5*MAX(MIN(CV86,$J$5),$I$5)*(DP86*DI86/($K$5*1000))+$H$5*(DP86*DI86/($K$5*1000))*(DP86*DI86/($K$5*1000)))</f>
        <v>0</v>
      </c>
      <c r="S86">
        <f>J86*(1000-(1000*0.61365*exp(17.502*W86/(240.97+W86))/(DI86+DJ86)+DD86)/2)/(1000*0.61365*exp(17.502*W86/(240.97+W86))/(DI86+DJ86)-DD86)</f>
        <v>0</v>
      </c>
      <c r="T86">
        <f>1/((CW86+1)/(Q86/1.6)+1/(R86/1.37)) + CW86/((CW86+1)/(Q86/1.6) + CW86/(R86/1.37))</f>
        <v>0</v>
      </c>
      <c r="U86">
        <f>(CR86*CU86)</f>
        <v>0</v>
      </c>
      <c r="V86">
        <f>(DK86+(U86+2*0.95*5.67E-8*(((DK86+$B$7)+273)^4-(DK86+273)^4)-44100*J86)/(1.84*29.3*R86+8*0.95*5.67E-8*(DK86+273)^3))</f>
        <v>0</v>
      </c>
      <c r="W86">
        <f>($C$7*DL86+$D$7*DM86+$E$7*V86)</f>
        <v>0</v>
      </c>
      <c r="X86">
        <f>0.61365*exp(17.502*W86/(240.97+W86))</f>
        <v>0</v>
      </c>
      <c r="Y86">
        <f>(Z86/AA86*100)</f>
        <v>0</v>
      </c>
      <c r="Z86">
        <f>DD86*(DI86+DJ86)/1000</f>
        <v>0</v>
      </c>
      <c r="AA86">
        <f>0.61365*exp(17.502*DK86/(240.97+DK86))</f>
        <v>0</v>
      </c>
      <c r="AB86">
        <f>(X86-DD86*(DI86+DJ86)/1000)</f>
        <v>0</v>
      </c>
      <c r="AC86">
        <f>(-J86*44100)</f>
        <v>0</v>
      </c>
      <c r="AD86">
        <f>2*29.3*R86*0.92*(DK86-W86)</f>
        <v>0</v>
      </c>
      <c r="AE86">
        <f>2*0.95*5.67E-8*(((DK86+$B$7)+273)^4-(W86+273)^4)</f>
        <v>0</v>
      </c>
      <c r="AF86">
        <f>U86+AE86+AC86+AD86</f>
        <v>0</v>
      </c>
      <c r="AG86">
        <f>DH86*AU86*(DC86-DB86*(1000-AU86*DE86)/(1000-AU86*DD86))/(100*CV86)</f>
        <v>0</v>
      </c>
      <c r="AH86">
        <f>1000*DH86*AU86*(DD86-DE86)/(100*CV86*(1000-AU86*DD86))</f>
        <v>0</v>
      </c>
      <c r="AI86">
        <f>(AJ86 - AK86 - DI86*1E3/(8.314*(DK86+273.15)) * AM86/DH86 * AL86) * DH86/(100*CV86) * (1000 - DE86)/1000</f>
        <v>0</v>
      </c>
      <c r="AJ86">
        <v>1144.590619616558</v>
      </c>
      <c r="AK86">
        <v>1094.754666666667</v>
      </c>
      <c r="AL86">
        <v>3.347198453504005</v>
      </c>
      <c r="AM86">
        <v>66.72507702095443</v>
      </c>
      <c r="AN86">
        <f>(AP86 - AO86 + DI86*1E3/(8.314*(DK86+273.15)) * AR86/DH86 * AQ86) * DH86/(100*CV86) * 1000/(1000 - AP86)</f>
        <v>0</v>
      </c>
      <c r="AO86">
        <v>20.9100516120222</v>
      </c>
      <c r="AP86">
        <v>26.93228666666667</v>
      </c>
      <c r="AQ86">
        <v>0.0002506469592091829</v>
      </c>
      <c r="AR86">
        <v>78.22078291278521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MAX(0,($B$13+$C$13*DP86)/(1+$D$13*DP86)*DI86/(DK86+273)*$E$13)</f>
        <v>0</v>
      </c>
      <c r="AX86" t="s">
        <v>418</v>
      </c>
      <c r="AY86" t="s">
        <v>418</v>
      </c>
      <c r="AZ86">
        <v>0</v>
      </c>
      <c r="BA86">
        <v>0</v>
      </c>
      <c r="BB86">
        <f>1-AZ86/BA86</f>
        <v>0</v>
      </c>
      <c r="BC86">
        <v>0</v>
      </c>
      <c r="BD86" t="s">
        <v>418</v>
      </c>
      <c r="BE86" t="s">
        <v>418</v>
      </c>
      <c r="BF86">
        <v>0</v>
      </c>
      <c r="BG86">
        <v>0</v>
      </c>
      <c r="BH86">
        <f>1-BF86/BG86</f>
        <v>0</v>
      </c>
      <c r="BI86">
        <v>0.5</v>
      </c>
      <c r="BJ86">
        <f>CS86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418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f>$B$11*DQ86+$C$11*DR86+$F$11*EC86*(1-EF86)</f>
        <v>0</v>
      </c>
      <c r="CS86">
        <f>CR86*CT86</f>
        <v>0</v>
      </c>
      <c r="CT86">
        <f>($B$11*$D$9+$C$11*$D$9+$F$11*((EP86+EH86)/MAX(EP86+EH86+EQ86, 0.1)*$I$9+EQ86/MAX(EP86+EH86+EQ86, 0.1)*$J$9))/($B$11+$C$11+$F$11)</f>
        <v>0</v>
      </c>
      <c r="CU86">
        <f>($B$11*$K$9+$C$11*$K$9+$F$11*((EP86+EH86)/MAX(EP86+EH86+EQ86, 0.1)*$P$9+EQ86/MAX(EP86+EH86+EQ86, 0.1)*$Q$9))/($B$11+$C$11+$F$11)</f>
        <v>0</v>
      </c>
      <c r="CV86">
        <v>6</v>
      </c>
      <c r="CW86">
        <v>0.5</v>
      </c>
      <c r="CX86" t="s">
        <v>419</v>
      </c>
      <c r="CY86">
        <v>2</v>
      </c>
      <c r="CZ86" t="b">
        <v>1</v>
      </c>
      <c r="DA86">
        <v>1651772341.2</v>
      </c>
      <c r="DB86">
        <v>1057.781</v>
      </c>
      <c r="DC86">
        <v>1120.522</v>
      </c>
      <c r="DD86">
        <v>26.92923</v>
      </c>
      <c r="DE86">
        <v>20.9071</v>
      </c>
      <c r="DF86">
        <v>1060.606</v>
      </c>
      <c r="DG86">
        <v>26.79786</v>
      </c>
      <c r="DH86">
        <v>500.0603</v>
      </c>
      <c r="DI86">
        <v>90.30135</v>
      </c>
      <c r="DJ86">
        <v>0.10002724</v>
      </c>
      <c r="DK86">
        <v>29.32195</v>
      </c>
      <c r="DL86">
        <v>28.62392</v>
      </c>
      <c r="DM86">
        <v>999.9</v>
      </c>
      <c r="DN86">
        <v>0</v>
      </c>
      <c r="DO86">
        <v>0</v>
      </c>
      <c r="DP86">
        <v>10012.5</v>
      </c>
      <c r="DQ86">
        <v>0</v>
      </c>
      <c r="DR86">
        <v>13.14835</v>
      </c>
      <c r="DS86">
        <v>-62.73945</v>
      </c>
      <c r="DT86">
        <v>1087.056</v>
      </c>
      <c r="DU86">
        <v>1144.449</v>
      </c>
      <c r="DV86">
        <v>6.022127</v>
      </c>
      <c r="DW86">
        <v>1120.522</v>
      </c>
      <c r="DX86">
        <v>20.9071</v>
      </c>
      <c r="DY86">
        <v>2.431747</v>
      </c>
      <c r="DZ86">
        <v>1.887939</v>
      </c>
      <c r="EA86">
        <v>20.57675</v>
      </c>
      <c r="EB86">
        <v>16.53456</v>
      </c>
      <c r="EC86">
        <v>1500.057</v>
      </c>
      <c r="ED86">
        <v>0.9729896</v>
      </c>
      <c r="EE86">
        <v>0.02701017</v>
      </c>
      <c r="EF86">
        <v>0</v>
      </c>
      <c r="EG86">
        <v>2.41896</v>
      </c>
      <c r="EH86">
        <v>0</v>
      </c>
      <c r="EI86">
        <v>14779.88</v>
      </c>
      <c r="EJ86">
        <v>12533.82</v>
      </c>
      <c r="EK86">
        <v>36.4874</v>
      </c>
      <c r="EL86">
        <v>38</v>
      </c>
      <c r="EM86">
        <v>36.875</v>
      </c>
      <c r="EN86">
        <v>37.375</v>
      </c>
      <c r="EO86">
        <v>36.3309</v>
      </c>
      <c r="EP86">
        <v>1459.538</v>
      </c>
      <c r="EQ86">
        <v>40.51899999999999</v>
      </c>
      <c r="ER86">
        <v>0</v>
      </c>
      <c r="ES86">
        <v>1651772345</v>
      </c>
      <c r="ET86">
        <v>0</v>
      </c>
      <c r="EU86">
        <v>2.327973076923077</v>
      </c>
      <c r="EV86">
        <v>0.2763863207515895</v>
      </c>
      <c r="EW86">
        <v>-498.8170933334019</v>
      </c>
      <c r="EX86">
        <v>14818.94615384615</v>
      </c>
      <c r="EY86">
        <v>15</v>
      </c>
      <c r="EZ86">
        <v>0</v>
      </c>
      <c r="FA86" t="s">
        <v>420</v>
      </c>
      <c r="FB86">
        <v>1651697511.6</v>
      </c>
      <c r="FC86">
        <v>1651697666.1</v>
      </c>
      <c r="FD86">
        <v>0</v>
      </c>
      <c r="FE86">
        <v>-0.019</v>
      </c>
      <c r="FF86">
        <v>0.013</v>
      </c>
      <c r="FG86">
        <v>-2.121</v>
      </c>
      <c r="FH86">
        <v>0.041</v>
      </c>
      <c r="FI86">
        <v>420</v>
      </c>
      <c r="FJ86">
        <v>22</v>
      </c>
      <c r="FK86">
        <v>1.72</v>
      </c>
      <c r="FL86">
        <v>0.27</v>
      </c>
      <c r="FM86">
        <v>-63.0761243902439</v>
      </c>
      <c r="FN86">
        <v>2.490535191637671</v>
      </c>
      <c r="FO86">
        <v>0.2887510961064512</v>
      </c>
      <c r="FP86">
        <v>0</v>
      </c>
      <c r="FQ86">
        <v>5.999555609756098</v>
      </c>
      <c r="FR86">
        <v>0.1883161672473903</v>
      </c>
      <c r="FS86">
        <v>0.01920056783316589</v>
      </c>
      <c r="FT86">
        <v>1</v>
      </c>
      <c r="FU86">
        <v>0</v>
      </c>
      <c r="FV86">
        <v>0</v>
      </c>
      <c r="FW86">
        <v>0</v>
      </c>
      <c r="FX86">
        <v>1</v>
      </c>
      <c r="FY86">
        <v>2</v>
      </c>
      <c r="FZ86">
        <v>3</v>
      </c>
      <c r="GA86" t="s">
        <v>421</v>
      </c>
      <c r="GB86">
        <v>2.98141</v>
      </c>
      <c r="GC86">
        <v>2.70615</v>
      </c>
      <c r="GD86">
        <v>0.179571</v>
      </c>
      <c r="GE86">
        <v>0.184046</v>
      </c>
      <c r="GF86">
        <v>0.115258</v>
      </c>
      <c r="GG86">
        <v>0.0952914</v>
      </c>
      <c r="GH86">
        <v>25945.2</v>
      </c>
      <c r="GI86">
        <v>25855.7</v>
      </c>
      <c r="GJ86">
        <v>29400.7</v>
      </c>
      <c r="GK86">
        <v>29311.2</v>
      </c>
      <c r="GL86">
        <v>34434.3</v>
      </c>
      <c r="GM86">
        <v>35305.3</v>
      </c>
      <c r="GN86">
        <v>41388.2</v>
      </c>
      <c r="GO86">
        <v>41832.1</v>
      </c>
      <c r="GP86">
        <v>1.9627</v>
      </c>
      <c r="GQ86">
        <v>1.8621</v>
      </c>
      <c r="GR86">
        <v>0.0680983</v>
      </c>
      <c r="GS86">
        <v>0</v>
      </c>
      <c r="GT86">
        <v>27.5123</v>
      </c>
      <c r="GU86">
        <v>999.9</v>
      </c>
      <c r="GV86">
        <v>44.8</v>
      </c>
      <c r="GW86">
        <v>35</v>
      </c>
      <c r="GX86">
        <v>28.0237</v>
      </c>
      <c r="GY86">
        <v>62.6908</v>
      </c>
      <c r="GZ86">
        <v>36.2099</v>
      </c>
      <c r="HA86">
        <v>1</v>
      </c>
      <c r="HB86">
        <v>0.0429065</v>
      </c>
      <c r="HC86">
        <v>0</v>
      </c>
      <c r="HD86">
        <v>20.3466</v>
      </c>
      <c r="HE86">
        <v>5.21609</v>
      </c>
      <c r="HF86">
        <v>12.0095</v>
      </c>
      <c r="HG86">
        <v>4.98875</v>
      </c>
      <c r="HH86">
        <v>3.2885</v>
      </c>
      <c r="HI86">
        <v>496.1</v>
      </c>
      <c r="HJ86">
        <v>3644</v>
      </c>
      <c r="HK86">
        <v>4564.3</v>
      </c>
      <c r="HL86">
        <v>17.8</v>
      </c>
      <c r="HM86">
        <v>1.86768</v>
      </c>
      <c r="HN86">
        <v>1.86663</v>
      </c>
      <c r="HO86">
        <v>1.86615</v>
      </c>
      <c r="HP86">
        <v>1.86607</v>
      </c>
      <c r="HQ86">
        <v>1.86788</v>
      </c>
      <c r="HR86">
        <v>1.87041</v>
      </c>
      <c r="HS86">
        <v>1.86905</v>
      </c>
      <c r="HT86">
        <v>1.87042</v>
      </c>
      <c r="HU86">
        <v>0</v>
      </c>
      <c r="HV86">
        <v>0</v>
      </c>
      <c r="HW86">
        <v>0</v>
      </c>
      <c r="HX86">
        <v>0</v>
      </c>
      <c r="HY86" t="s">
        <v>422</v>
      </c>
      <c r="HZ86" t="s">
        <v>423</v>
      </c>
      <c r="IA86" t="s">
        <v>424</v>
      </c>
      <c r="IB86" t="s">
        <v>424</v>
      </c>
      <c r="IC86" t="s">
        <v>424</v>
      </c>
      <c r="ID86" t="s">
        <v>424</v>
      </c>
      <c r="IE86">
        <v>0</v>
      </c>
      <c r="IF86">
        <v>100</v>
      </c>
      <c r="IG86">
        <v>100</v>
      </c>
      <c r="IH86">
        <v>-2.84</v>
      </c>
      <c r="II86">
        <v>0.1315</v>
      </c>
      <c r="IJ86">
        <v>-1.064712027753117</v>
      </c>
      <c r="IK86">
        <v>-0.001826611574738555</v>
      </c>
      <c r="IL86">
        <v>3.313362389709971E-07</v>
      </c>
      <c r="IM86">
        <v>-1.629490614973607E-10</v>
      </c>
      <c r="IN86">
        <v>-0.09531406441470595</v>
      </c>
      <c r="IO86">
        <v>-0.008240702679890409</v>
      </c>
      <c r="IP86">
        <v>0.001077697425498046</v>
      </c>
      <c r="IQ86">
        <v>-1.69598232850356E-05</v>
      </c>
      <c r="IR86">
        <v>3</v>
      </c>
      <c r="IS86">
        <v>2280</v>
      </c>
      <c r="IT86">
        <v>1</v>
      </c>
      <c r="IU86">
        <v>25</v>
      </c>
      <c r="IV86">
        <v>1247.2</v>
      </c>
      <c r="IW86">
        <v>1244.6</v>
      </c>
      <c r="IX86">
        <v>2.33521</v>
      </c>
      <c r="IY86">
        <v>2.20703</v>
      </c>
      <c r="IZ86">
        <v>1.39648</v>
      </c>
      <c r="JA86">
        <v>2.35352</v>
      </c>
      <c r="JB86">
        <v>1.49536</v>
      </c>
      <c r="JC86">
        <v>2.2937</v>
      </c>
      <c r="JD86">
        <v>38.7717</v>
      </c>
      <c r="JE86">
        <v>24.0525</v>
      </c>
      <c r="JF86">
        <v>18</v>
      </c>
      <c r="JG86">
        <v>509.283</v>
      </c>
      <c r="JH86">
        <v>430.426</v>
      </c>
      <c r="JI86">
        <v>28.336</v>
      </c>
      <c r="JJ86">
        <v>27.9694</v>
      </c>
      <c r="JK86">
        <v>30.0002</v>
      </c>
      <c r="JL86">
        <v>27.8716</v>
      </c>
      <c r="JM86">
        <v>27.8043</v>
      </c>
      <c r="JN86">
        <v>46.7265</v>
      </c>
      <c r="JO86">
        <v>29.8644</v>
      </c>
      <c r="JP86">
        <v>0</v>
      </c>
      <c r="JQ86">
        <v>-999.9</v>
      </c>
      <c r="JR86">
        <v>1149.18</v>
      </c>
      <c r="JS86">
        <v>20.8092</v>
      </c>
      <c r="JT86">
        <v>100.505</v>
      </c>
      <c r="JU86">
        <v>100.404</v>
      </c>
    </row>
    <row r="87" spans="1:281">
      <c r="A87">
        <v>71</v>
      </c>
      <c r="B87">
        <v>1651772349</v>
      </c>
      <c r="C87">
        <v>471.4000000953674</v>
      </c>
      <c r="D87" t="s">
        <v>564</v>
      </c>
      <c r="E87" t="s">
        <v>565</v>
      </c>
      <c r="F87">
        <v>5</v>
      </c>
      <c r="H87" t="s">
        <v>417</v>
      </c>
      <c r="I87">
        <v>1651772346.5</v>
      </c>
      <c r="J87">
        <f>(K87)/1000</f>
        <v>0</v>
      </c>
      <c r="K87">
        <f>IF(CZ87, AN87, AH87)</f>
        <v>0</v>
      </c>
      <c r="L87">
        <f>IF(CZ87, AI87, AG87)</f>
        <v>0</v>
      </c>
      <c r="M87">
        <f>DB87 - IF(AU87&gt;1, L87*CV87*100.0/(AW87*DP87), 0)</f>
        <v>0</v>
      </c>
      <c r="N87">
        <f>((T87-J87/2)*M87-L87)/(T87+J87/2)</f>
        <v>0</v>
      </c>
      <c r="O87">
        <f>N87*(DI87+DJ87)/1000.0</f>
        <v>0</v>
      </c>
      <c r="P87">
        <f>(DB87 - IF(AU87&gt;1, L87*CV87*100.0/(AW87*DP87), 0))*(DI87+DJ87)/1000.0</f>
        <v>0</v>
      </c>
      <c r="Q87">
        <f>2.0/((1/S87-1/R87)+SIGN(S87)*SQRT((1/S87-1/R87)*(1/S87-1/R87) + 4*CW87/((CW87+1)*(CW87+1))*(2*1/S87*1/R87-1/R87*1/R87)))</f>
        <v>0</v>
      </c>
      <c r="R87">
        <f>IF(LEFT(CX87,1)&lt;&gt;"0",IF(LEFT(CX87,1)="1",3.0,CY87),$D$5+$E$5*(DP87*DI87/($K$5*1000))+$F$5*(DP87*DI87/($K$5*1000))*MAX(MIN(CV87,$J$5),$I$5)*MAX(MIN(CV87,$J$5),$I$5)+$G$5*MAX(MIN(CV87,$J$5),$I$5)*(DP87*DI87/($K$5*1000))+$H$5*(DP87*DI87/($K$5*1000))*(DP87*DI87/($K$5*1000)))</f>
        <v>0</v>
      </c>
      <c r="S87">
        <f>J87*(1000-(1000*0.61365*exp(17.502*W87/(240.97+W87))/(DI87+DJ87)+DD87)/2)/(1000*0.61365*exp(17.502*W87/(240.97+W87))/(DI87+DJ87)-DD87)</f>
        <v>0</v>
      </c>
      <c r="T87">
        <f>1/((CW87+1)/(Q87/1.6)+1/(R87/1.37)) + CW87/((CW87+1)/(Q87/1.6) + CW87/(R87/1.37))</f>
        <v>0</v>
      </c>
      <c r="U87">
        <f>(CR87*CU87)</f>
        <v>0</v>
      </c>
      <c r="V87">
        <f>(DK87+(U87+2*0.95*5.67E-8*(((DK87+$B$7)+273)^4-(DK87+273)^4)-44100*J87)/(1.84*29.3*R87+8*0.95*5.67E-8*(DK87+273)^3))</f>
        <v>0</v>
      </c>
      <c r="W87">
        <f>($C$7*DL87+$D$7*DM87+$E$7*V87)</f>
        <v>0</v>
      </c>
      <c r="X87">
        <f>0.61365*exp(17.502*W87/(240.97+W87))</f>
        <v>0</v>
      </c>
      <c r="Y87">
        <f>(Z87/AA87*100)</f>
        <v>0</v>
      </c>
      <c r="Z87">
        <f>DD87*(DI87+DJ87)/1000</f>
        <v>0</v>
      </c>
      <c r="AA87">
        <f>0.61365*exp(17.502*DK87/(240.97+DK87))</f>
        <v>0</v>
      </c>
      <c r="AB87">
        <f>(X87-DD87*(DI87+DJ87)/1000)</f>
        <v>0</v>
      </c>
      <c r="AC87">
        <f>(-J87*44100)</f>
        <v>0</v>
      </c>
      <c r="AD87">
        <f>2*29.3*R87*0.92*(DK87-W87)</f>
        <v>0</v>
      </c>
      <c r="AE87">
        <f>2*0.95*5.67E-8*(((DK87+$B$7)+273)^4-(W87+273)^4)</f>
        <v>0</v>
      </c>
      <c r="AF87">
        <f>U87+AE87+AC87+AD87</f>
        <v>0</v>
      </c>
      <c r="AG87">
        <f>DH87*AU87*(DC87-DB87*(1000-AU87*DE87)/(1000-AU87*DD87))/(100*CV87)</f>
        <v>0</v>
      </c>
      <c r="AH87">
        <f>1000*DH87*AU87*(DD87-DE87)/(100*CV87*(1000-AU87*DD87))</f>
        <v>0</v>
      </c>
      <c r="AI87">
        <f>(AJ87 - AK87 - DI87*1E3/(8.314*(DK87+273.15)) * AM87/DH87 * AL87) * DH87/(100*CV87) * (1000 - DE87)/1000</f>
        <v>0</v>
      </c>
      <c r="AJ87">
        <v>1161.70899789203</v>
      </c>
      <c r="AK87">
        <v>1111.606303030303</v>
      </c>
      <c r="AL87">
        <v>3.376300518961926</v>
      </c>
      <c r="AM87">
        <v>66.72507702095443</v>
      </c>
      <c r="AN87">
        <f>(AP87 - AO87 + DI87*1E3/(8.314*(DK87+273.15)) * AR87/DH87 * AQ87) * DH87/(100*CV87) * 1000/(1000 - AP87)</f>
        <v>0</v>
      </c>
      <c r="AO87">
        <v>20.86508541824315</v>
      </c>
      <c r="AP87">
        <v>26.91971939393938</v>
      </c>
      <c r="AQ87">
        <v>-0.0001946981756094867</v>
      </c>
      <c r="AR87">
        <v>78.22078291278521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MAX(0,($B$13+$C$13*DP87)/(1+$D$13*DP87)*DI87/(DK87+273)*$E$13)</f>
        <v>0</v>
      </c>
      <c r="AX87" t="s">
        <v>418</v>
      </c>
      <c r="AY87" t="s">
        <v>418</v>
      </c>
      <c r="AZ87">
        <v>0</v>
      </c>
      <c r="BA87">
        <v>0</v>
      </c>
      <c r="BB87">
        <f>1-AZ87/BA87</f>
        <v>0</v>
      </c>
      <c r="BC87">
        <v>0</v>
      </c>
      <c r="BD87" t="s">
        <v>418</v>
      </c>
      <c r="BE87" t="s">
        <v>418</v>
      </c>
      <c r="BF87">
        <v>0</v>
      </c>
      <c r="BG87">
        <v>0</v>
      </c>
      <c r="BH87">
        <f>1-BF87/BG87</f>
        <v>0</v>
      </c>
      <c r="BI87">
        <v>0.5</v>
      </c>
      <c r="BJ87">
        <f>CS87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418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f>$B$11*DQ87+$C$11*DR87+$F$11*EC87*(1-EF87)</f>
        <v>0</v>
      </c>
      <c r="CS87">
        <f>CR87*CT87</f>
        <v>0</v>
      </c>
      <c r="CT87">
        <f>($B$11*$D$9+$C$11*$D$9+$F$11*((EP87+EH87)/MAX(EP87+EH87+EQ87, 0.1)*$I$9+EQ87/MAX(EP87+EH87+EQ87, 0.1)*$J$9))/($B$11+$C$11+$F$11)</f>
        <v>0</v>
      </c>
      <c r="CU87">
        <f>($B$11*$K$9+$C$11*$K$9+$F$11*((EP87+EH87)/MAX(EP87+EH87+EQ87, 0.1)*$P$9+EQ87/MAX(EP87+EH87+EQ87, 0.1)*$Q$9))/($B$11+$C$11+$F$11)</f>
        <v>0</v>
      </c>
      <c r="CV87">
        <v>6</v>
      </c>
      <c r="CW87">
        <v>0.5</v>
      </c>
      <c r="CX87" t="s">
        <v>419</v>
      </c>
      <c r="CY87">
        <v>2</v>
      </c>
      <c r="CZ87" t="b">
        <v>1</v>
      </c>
      <c r="DA87">
        <v>1651772346.5</v>
      </c>
      <c r="DB87">
        <v>1075.1</v>
      </c>
      <c r="DC87">
        <v>1138.325555555556</v>
      </c>
      <c r="DD87">
        <v>26.92645555555555</v>
      </c>
      <c r="DE87">
        <v>20.86393333333333</v>
      </c>
      <c r="DF87">
        <v>1077.951111111111</v>
      </c>
      <c r="DG87">
        <v>26.79508888888889</v>
      </c>
      <c r="DH87">
        <v>500.0568888888889</v>
      </c>
      <c r="DI87">
        <v>90.29806666666667</v>
      </c>
      <c r="DJ87">
        <v>0.1001224444444444</v>
      </c>
      <c r="DK87">
        <v>29.3255</v>
      </c>
      <c r="DL87">
        <v>28.62888888888888</v>
      </c>
      <c r="DM87">
        <v>999.9000000000001</v>
      </c>
      <c r="DN87">
        <v>0</v>
      </c>
      <c r="DO87">
        <v>0</v>
      </c>
      <c r="DP87">
        <v>9987.566666666668</v>
      </c>
      <c r="DQ87">
        <v>0</v>
      </c>
      <c r="DR87">
        <v>13.15006666666667</v>
      </c>
      <c r="DS87">
        <v>-63.22652222222223</v>
      </c>
      <c r="DT87">
        <v>1104.848888888889</v>
      </c>
      <c r="DU87">
        <v>1162.583333333333</v>
      </c>
      <c r="DV87">
        <v>6.062515555555555</v>
      </c>
      <c r="DW87">
        <v>1138.325555555556</v>
      </c>
      <c r="DX87">
        <v>20.86393333333333</v>
      </c>
      <c r="DY87">
        <v>2.431406666666667</v>
      </c>
      <c r="DZ87">
        <v>1.883973333333333</v>
      </c>
      <c r="EA87">
        <v>20.57447777777778</v>
      </c>
      <c r="EB87">
        <v>16.50148888888889</v>
      </c>
      <c r="EC87">
        <v>1500.016666666667</v>
      </c>
      <c r="ED87">
        <v>0.9729918888888888</v>
      </c>
      <c r="EE87">
        <v>0.02700786666666667</v>
      </c>
      <c r="EF87">
        <v>0</v>
      </c>
      <c r="EG87">
        <v>2.449177777777778</v>
      </c>
      <c r="EH87">
        <v>0</v>
      </c>
      <c r="EI87">
        <v>14736.42222222222</v>
      </c>
      <c r="EJ87">
        <v>12533.51111111111</v>
      </c>
      <c r="EK87">
        <v>36.5</v>
      </c>
      <c r="EL87">
        <v>38</v>
      </c>
      <c r="EM87">
        <v>36.875</v>
      </c>
      <c r="EN87">
        <v>37.375</v>
      </c>
      <c r="EO87">
        <v>36.32599999999999</v>
      </c>
      <c r="EP87">
        <v>1459.502222222222</v>
      </c>
      <c r="EQ87">
        <v>40.50777777777778</v>
      </c>
      <c r="ER87">
        <v>0</v>
      </c>
      <c r="ES87">
        <v>1651772350.4</v>
      </c>
      <c r="ET87">
        <v>0</v>
      </c>
      <c r="EU87">
        <v>2.408888</v>
      </c>
      <c r="EV87">
        <v>-0.05741537601269972</v>
      </c>
      <c r="EW87">
        <v>-482.946153112077</v>
      </c>
      <c r="EX87">
        <v>14771.98</v>
      </c>
      <c r="EY87">
        <v>15</v>
      </c>
      <c r="EZ87">
        <v>0</v>
      </c>
      <c r="FA87" t="s">
        <v>420</v>
      </c>
      <c r="FB87">
        <v>1651697511.6</v>
      </c>
      <c r="FC87">
        <v>1651697666.1</v>
      </c>
      <c r="FD87">
        <v>0</v>
      </c>
      <c r="FE87">
        <v>-0.019</v>
      </c>
      <c r="FF87">
        <v>0.013</v>
      </c>
      <c r="FG87">
        <v>-2.121</v>
      </c>
      <c r="FH87">
        <v>0.041</v>
      </c>
      <c r="FI87">
        <v>420</v>
      </c>
      <c r="FJ87">
        <v>22</v>
      </c>
      <c r="FK87">
        <v>1.72</v>
      </c>
      <c r="FL87">
        <v>0.27</v>
      </c>
      <c r="FM87">
        <v>-63.0285775</v>
      </c>
      <c r="FN87">
        <v>0.5208799249534083</v>
      </c>
      <c r="FO87">
        <v>0.2767985833485241</v>
      </c>
      <c r="FP87">
        <v>0</v>
      </c>
      <c r="FQ87">
        <v>6.02327</v>
      </c>
      <c r="FR87">
        <v>0.23085568480299</v>
      </c>
      <c r="FS87">
        <v>0.02363817685440226</v>
      </c>
      <c r="FT87">
        <v>1</v>
      </c>
      <c r="FU87">
        <v>0</v>
      </c>
      <c r="FV87">
        <v>0</v>
      </c>
      <c r="FW87">
        <v>0</v>
      </c>
      <c r="FX87">
        <v>1</v>
      </c>
      <c r="FY87">
        <v>2</v>
      </c>
      <c r="FZ87">
        <v>3</v>
      </c>
      <c r="GA87" t="s">
        <v>421</v>
      </c>
      <c r="GB87">
        <v>2.98146</v>
      </c>
      <c r="GC87">
        <v>2.70609</v>
      </c>
      <c r="GD87">
        <v>0.181317</v>
      </c>
      <c r="GE87">
        <v>0.185774</v>
      </c>
      <c r="GF87">
        <v>0.115213</v>
      </c>
      <c r="GG87">
        <v>0.0951593</v>
      </c>
      <c r="GH87">
        <v>25889.8</v>
      </c>
      <c r="GI87">
        <v>25801.1</v>
      </c>
      <c r="GJ87">
        <v>29400.6</v>
      </c>
      <c r="GK87">
        <v>29311.4</v>
      </c>
      <c r="GL87">
        <v>34435.9</v>
      </c>
      <c r="GM87">
        <v>35310.6</v>
      </c>
      <c r="GN87">
        <v>41388</v>
      </c>
      <c r="GO87">
        <v>41832.2</v>
      </c>
      <c r="GP87">
        <v>1.9628</v>
      </c>
      <c r="GQ87">
        <v>1.86232</v>
      </c>
      <c r="GR87">
        <v>0.0682473</v>
      </c>
      <c r="GS87">
        <v>0</v>
      </c>
      <c r="GT87">
        <v>27.5163</v>
      </c>
      <c r="GU87">
        <v>999.9</v>
      </c>
      <c r="GV87">
        <v>44.8</v>
      </c>
      <c r="GW87">
        <v>35</v>
      </c>
      <c r="GX87">
        <v>28.0247</v>
      </c>
      <c r="GY87">
        <v>62.7908</v>
      </c>
      <c r="GZ87">
        <v>36.1979</v>
      </c>
      <c r="HA87">
        <v>1</v>
      </c>
      <c r="HB87">
        <v>0.0431402</v>
      </c>
      <c r="HC87">
        <v>0</v>
      </c>
      <c r="HD87">
        <v>20.3466</v>
      </c>
      <c r="HE87">
        <v>5.21669</v>
      </c>
      <c r="HF87">
        <v>12.0088</v>
      </c>
      <c r="HG87">
        <v>4.98905</v>
      </c>
      <c r="HH87">
        <v>3.2885</v>
      </c>
      <c r="HI87">
        <v>496.4</v>
      </c>
      <c r="HJ87">
        <v>3645.5</v>
      </c>
      <c r="HK87">
        <v>4564.3</v>
      </c>
      <c r="HL87">
        <v>17.8</v>
      </c>
      <c r="HM87">
        <v>1.86768</v>
      </c>
      <c r="HN87">
        <v>1.86662</v>
      </c>
      <c r="HO87">
        <v>1.86615</v>
      </c>
      <c r="HP87">
        <v>1.86605</v>
      </c>
      <c r="HQ87">
        <v>1.86786</v>
      </c>
      <c r="HR87">
        <v>1.87041</v>
      </c>
      <c r="HS87">
        <v>1.86905</v>
      </c>
      <c r="HT87">
        <v>1.87042</v>
      </c>
      <c r="HU87">
        <v>0</v>
      </c>
      <c r="HV87">
        <v>0</v>
      </c>
      <c r="HW87">
        <v>0</v>
      </c>
      <c r="HX87">
        <v>0</v>
      </c>
      <c r="HY87" t="s">
        <v>422</v>
      </c>
      <c r="HZ87" t="s">
        <v>423</v>
      </c>
      <c r="IA87" t="s">
        <v>424</v>
      </c>
      <c r="IB87" t="s">
        <v>424</v>
      </c>
      <c r="IC87" t="s">
        <v>424</v>
      </c>
      <c r="ID87" t="s">
        <v>424</v>
      </c>
      <c r="IE87">
        <v>0</v>
      </c>
      <c r="IF87">
        <v>100</v>
      </c>
      <c r="IG87">
        <v>100</v>
      </c>
      <c r="IH87">
        <v>-2.87</v>
      </c>
      <c r="II87">
        <v>0.1312</v>
      </c>
      <c r="IJ87">
        <v>-1.064712027753117</v>
      </c>
      <c r="IK87">
        <v>-0.001826611574738555</v>
      </c>
      <c r="IL87">
        <v>3.313362389709971E-07</v>
      </c>
      <c r="IM87">
        <v>-1.629490614973607E-10</v>
      </c>
      <c r="IN87">
        <v>-0.09531406441470595</v>
      </c>
      <c r="IO87">
        <v>-0.008240702679890409</v>
      </c>
      <c r="IP87">
        <v>0.001077697425498046</v>
      </c>
      <c r="IQ87">
        <v>-1.69598232850356E-05</v>
      </c>
      <c r="IR87">
        <v>3</v>
      </c>
      <c r="IS87">
        <v>2280</v>
      </c>
      <c r="IT87">
        <v>1</v>
      </c>
      <c r="IU87">
        <v>25</v>
      </c>
      <c r="IV87">
        <v>1247.3</v>
      </c>
      <c r="IW87">
        <v>1244.7</v>
      </c>
      <c r="IX87">
        <v>2.35962</v>
      </c>
      <c r="IY87">
        <v>2.20337</v>
      </c>
      <c r="IZ87">
        <v>1.39648</v>
      </c>
      <c r="JA87">
        <v>2.35352</v>
      </c>
      <c r="JB87">
        <v>1.49536</v>
      </c>
      <c r="JC87">
        <v>2.34375</v>
      </c>
      <c r="JD87">
        <v>38.7717</v>
      </c>
      <c r="JE87">
        <v>24.0525</v>
      </c>
      <c r="JF87">
        <v>18</v>
      </c>
      <c r="JG87">
        <v>509.372</v>
      </c>
      <c r="JH87">
        <v>430.582</v>
      </c>
      <c r="JI87">
        <v>28.3406</v>
      </c>
      <c r="JJ87">
        <v>27.9728</v>
      </c>
      <c r="JK87">
        <v>30.0003</v>
      </c>
      <c r="JL87">
        <v>27.8744</v>
      </c>
      <c r="JM87">
        <v>27.8071</v>
      </c>
      <c r="JN87">
        <v>47.2248</v>
      </c>
      <c r="JO87">
        <v>29.8644</v>
      </c>
      <c r="JP87">
        <v>0</v>
      </c>
      <c r="JQ87">
        <v>-999.9</v>
      </c>
      <c r="JR87">
        <v>1169.23</v>
      </c>
      <c r="JS87">
        <v>20.8171</v>
      </c>
      <c r="JT87">
        <v>100.505</v>
      </c>
      <c r="JU87">
        <v>100.404</v>
      </c>
    </row>
    <row r="88" spans="1:281">
      <c r="A88">
        <v>72</v>
      </c>
      <c r="B88">
        <v>1651772354</v>
      </c>
      <c r="C88">
        <v>476.4000000953674</v>
      </c>
      <c r="D88" t="s">
        <v>566</v>
      </c>
      <c r="E88" t="s">
        <v>567</v>
      </c>
      <c r="F88">
        <v>5</v>
      </c>
      <c r="H88" t="s">
        <v>417</v>
      </c>
      <c r="I88">
        <v>1651772351.2</v>
      </c>
      <c r="J88">
        <f>(K88)/1000</f>
        <v>0</v>
      </c>
      <c r="K88">
        <f>IF(CZ88, AN88, AH88)</f>
        <v>0</v>
      </c>
      <c r="L88">
        <f>IF(CZ88, AI88, AG88)</f>
        <v>0</v>
      </c>
      <c r="M88">
        <f>DB88 - IF(AU88&gt;1, L88*CV88*100.0/(AW88*DP88), 0)</f>
        <v>0</v>
      </c>
      <c r="N88">
        <f>((T88-J88/2)*M88-L88)/(T88+J88/2)</f>
        <v>0</v>
      </c>
      <c r="O88">
        <f>N88*(DI88+DJ88)/1000.0</f>
        <v>0</v>
      </c>
      <c r="P88">
        <f>(DB88 - IF(AU88&gt;1, L88*CV88*100.0/(AW88*DP88), 0))*(DI88+DJ88)/1000.0</f>
        <v>0</v>
      </c>
      <c r="Q88">
        <f>2.0/((1/S88-1/R88)+SIGN(S88)*SQRT((1/S88-1/R88)*(1/S88-1/R88) + 4*CW88/((CW88+1)*(CW88+1))*(2*1/S88*1/R88-1/R88*1/R88)))</f>
        <v>0</v>
      </c>
      <c r="R88">
        <f>IF(LEFT(CX88,1)&lt;&gt;"0",IF(LEFT(CX88,1)="1",3.0,CY88),$D$5+$E$5*(DP88*DI88/($K$5*1000))+$F$5*(DP88*DI88/($K$5*1000))*MAX(MIN(CV88,$J$5),$I$5)*MAX(MIN(CV88,$J$5),$I$5)+$G$5*MAX(MIN(CV88,$J$5),$I$5)*(DP88*DI88/($K$5*1000))+$H$5*(DP88*DI88/($K$5*1000))*(DP88*DI88/($K$5*1000)))</f>
        <v>0</v>
      </c>
      <c r="S88">
        <f>J88*(1000-(1000*0.61365*exp(17.502*W88/(240.97+W88))/(DI88+DJ88)+DD88)/2)/(1000*0.61365*exp(17.502*W88/(240.97+W88))/(DI88+DJ88)-DD88)</f>
        <v>0</v>
      </c>
      <c r="T88">
        <f>1/((CW88+1)/(Q88/1.6)+1/(R88/1.37)) + CW88/((CW88+1)/(Q88/1.6) + CW88/(R88/1.37))</f>
        <v>0</v>
      </c>
      <c r="U88">
        <f>(CR88*CU88)</f>
        <v>0</v>
      </c>
      <c r="V88">
        <f>(DK88+(U88+2*0.95*5.67E-8*(((DK88+$B$7)+273)^4-(DK88+273)^4)-44100*J88)/(1.84*29.3*R88+8*0.95*5.67E-8*(DK88+273)^3))</f>
        <v>0</v>
      </c>
      <c r="W88">
        <f>($C$7*DL88+$D$7*DM88+$E$7*V88)</f>
        <v>0</v>
      </c>
      <c r="X88">
        <f>0.61365*exp(17.502*W88/(240.97+W88))</f>
        <v>0</v>
      </c>
      <c r="Y88">
        <f>(Z88/AA88*100)</f>
        <v>0</v>
      </c>
      <c r="Z88">
        <f>DD88*(DI88+DJ88)/1000</f>
        <v>0</v>
      </c>
      <c r="AA88">
        <f>0.61365*exp(17.502*DK88/(240.97+DK88))</f>
        <v>0</v>
      </c>
      <c r="AB88">
        <f>(X88-DD88*(DI88+DJ88)/1000)</f>
        <v>0</v>
      </c>
      <c r="AC88">
        <f>(-J88*44100)</f>
        <v>0</v>
      </c>
      <c r="AD88">
        <f>2*29.3*R88*0.92*(DK88-W88)</f>
        <v>0</v>
      </c>
      <c r="AE88">
        <f>2*0.95*5.67E-8*(((DK88+$B$7)+273)^4-(W88+273)^4)</f>
        <v>0</v>
      </c>
      <c r="AF88">
        <f>U88+AE88+AC88+AD88</f>
        <v>0</v>
      </c>
      <c r="AG88">
        <f>DH88*AU88*(DC88-DB88*(1000-AU88*DE88)/(1000-AU88*DD88))/(100*CV88)</f>
        <v>0</v>
      </c>
      <c r="AH88">
        <f>1000*DH88*AU88*(DD88-DE88)/(100*CV88*(1000-AU88*DD88))</f>
        <v>0</v>
      </c>
      <c r="AI88">
        <f>(AJ88 - AK88 - DI88*1E3/(8.314*(DK88+273.15)) * AM88/DH88 * AL88) * DH88/(100*CV88) * (1000 - DE88)/1000</f>
        <v>0</v>
      </c>
      <c r="AJ88">
        <v>1178.708516756388</v>
      </c>
      <c r="AK88">
        <v>1128.585212121213</v>
      </c>
      <c r="AL88">
        <v>3.394109755284055</v>
      </c>
      <c r="AM88">
        <v>66.72507702095443</v>
      </c>
      <c r="AN88">
        <f>(AP88 - AO88 + DI88*1E3/(8.314*(DK88+273.15)) * AR88/DH88 * AQ88) * DH88/(100*CV88) * 1000/(1000 - AP88)</f>
        <v>0</v>
      </c>
      <c r="AO88">
        <v>20.85159162554933</v>
      </c>
      <c r="AP88">
        <v>26.90918424242425</v>
      </c>
      <c r="AQ88">
        <v>-0.0002242032875615296</v>
      </c>
      <c r="AR88">
        <v>78.22078291278521</v>
      </c>
      <c r="AS88">
        <v>1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MAX(0,($B$13+$C$13*DP88)/(1+$D$13*DP88)*DI88/(DK88+273)*$E$13)</f>
        <v>0</v>
      </c>
      <c r="AX88" t="s">
        <v>418</v>
      </c>
      <c r="AY88" t="s">
        <v>418</v>
      </c>
      <c r="AZ88">
        <v>0</v>
      </c>
      <c r="BA88">
        <v>0</v>
      </c>
      <c r="BB88">
        <f>1-AZ88/BA88</f>
        <v>0</v>
      </c>
      <c r="BC88">
        <v>0</v>
      </c>
      <c r="BD88" t="s">
        <v>418</v>
      </c>
      <c r="BE88" t="s">
        <v>418</v>
      </c>
      <c r="BF88">
        <v>0</v>
      </c>
      <c r="BG88">
        <v>0</v>
      </c>
      <c r="BH88">
        <f>1-BF88/BG88</f>
        <v>0</v>
      </c>
      <c r="BI88">
        <v>0.5</v>
      </c>
      <c r="BJ88">
        <f>CS88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418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f>$B$11*DQ88+$C$11*DR88+$F$11*EC88*(1-EF88)</f>
        <v>0</v>
      </c>
      <c r="CS88">
        <f>CR88*CT88</f>
        <v>0</v>
      </c>
      <c r="CT88">
        <f>($B$11*$D$9+$C$11*$D$9+$F$11*((EP88+EH88)/MAX(EP88+EH88+EQ88, 0.1)*$I$9+EQ88/MAX(EP88+EH88+EQ88, 0.1)*$J$9))/($B$11+$C$11+$F$11)</f>
        <v>0</v>
      </c>
      <c r="CU88">
        <f>($B$11*$K$9+$C$11*$K$9+$F$11*((EP88+EH88)/MAX(EP88+EH88+EQ88, 0.1)*$P$9+EQ88/MAX(EP88+EH88+EQ88, 0.1)*$Q$9))/($B$11+$C$11+$F$11)</f>
        <v>0</v>
      </c>
      <c r="CV88">
        <v>6</v>
      </c>
      <c r="CW88">
        <v>0.5</v>
      </c>
      <c r="CX88" t="s">
        <v>419</v>
      </c>
      <c r="CY88">
        <v>2</v>
      </c>
      <c r="CZ88" t="b">
        <v>1</v>
      </c>
      <c r="DA88">
        <v>1651772351.2</v>
      </c>
      <c r="DB88">
        <v>1090.613</v>
      </c>
      <c r="DC88">
        <v>1153.995</v>
      </c>
      <c r="DD88">
        <v>26.91223</v>
      </c>
      <c r="DE88">
        <v>20.85152</v>
      </c>
      <c r="DF88">
        <v>1093.489</v>
      </c>
      <c r="DG88">
        <v>26.78105</v>
      </c>
      <c r="DH88">
        <v>500.0183999999999</v>
      </c>
      <c r="DI88">
        <v>90.29756</v>
      </c>
      <c r="DJ88">
        <v>0.09980992999999999</v>
      </c>
      <c r="DK88">
        <v>29.32947</v>
      </c>
      <c r="DL88">
        <v>28.6297</v>
      </c>
      <c r="DM88">
        <v>999.9</v>
      </c>
      <c r="DN88">
        <v>0</v>
      </c>
      <c r="DO88">
        <v>0</v>
      </c>
      <c r="DP88">
        <v>10004.44</v>
      </c>
      <c r="DQ88">
        <v>0</v>
      </c>
      <c r="DR88">
        <v>13.20795</v>
      </c>
      <c r="DS88">
        <v>-63.38354</v>
      </c>
      <c r="DT88">
        <v>1120.774</v>
      </c>
      <c r="DU88">
        <v>1178.569</v>
      </c>
      <c r="DV88">
        <v>6.060713</v>
      </c>
      <c r="DW88">
        <v>1153.995</v>
      </c>
      <c r="DX88">
        <v>20.85152</v>
      </c>
      <c r="DY88">
        <v>2.430109</v>
      </c>
      <c r="DZ88">
        <v>1.88284</v>
      </c>
      <c r="EA88">
        <v>20.56584</v>
      </c>
      <c r="EB88">
        <v>16.49205</v>
      </c>
      <c r="EC88">
        <v>1500</v>
      </c>
      <c r="ED88">
        <v>0.9729936</v>
      </c>
      <c r="EE88">
        <v>0.02700613</v>
      </c>
      <c r="EF88">
        <v>0</v>
      </c>
      <c r="EG88">
        <v>2.40214</v>
      </c>
      <c r="EH88">
        <v>0</v>
      </c>
      <c r="EI88">
        <v>14700.08</v>
      </c>
      <c r="EJ88">
        <v>12533.37</v>
      </c>
      <c r="EK88">
        <v>36.5</v>
      </c>
      <c r="EL88">
        <v>38</v>
      </c>
      <c r="EM88">
        <v>36.875</v>
      </c>
      <c r="EN88">
        <v>37.375</v>
      </c>
      <c r="EO88">
        <v>36.3309</v>
      </c>
      <c r="EP88">
        <v>1459.491</v>
      </c>
      <c r="EQ88">
        <v>40.505</v>
      </c>
      <c r="ER88">
        <v>0</v>
      </c>
      <c r="ES88">
        <v>1651772355.2</v>
      </c>
      <c r="ET88">
        <v>0</v>
      </c>
      <c r="EU88">
        <v>2.371696</v>
      </c>
      <c r="EV88">
        <v>0.3418769383277644</v>
      </c>
      <c r="EW88">
        <v>-470.7769230359513</v>
      </c>
      <c r="EX88">
        <v>14733.812</v>
      </c>
      <c r="EY88">
        <v>15</v>
      </c>
      <c r="EZ88">
        <v>0</v>
      </c>
      <c r="FA88" t="s">
        <v>420</v>
      </c>
      <c r="FB88">
        <v>1651697511.6</v>
      </c>
      <c r="FC88">
        <v>1651697666.1</v>
      </c>
      <c r="FD88">
        <v>0</v>
      </c>
      <c r="FE88">
        <v>-0.019</v>
      </c>
      <c r="FF88">
        <v>0.013</v>
      </c>
      <c r="FG88">
        <v>-2.121</v>
      </c>
      <c r="FH88">
        <v>0.041</v>
      </c>
      <c r="FI88">
        <v>420</v>
      </c>
      <c r="FJ88">
        <v>22</v>
      </c>
      <c r="FK88">
        <v>1.72</v>
      </c>
      <c r="FL88">
        <v>0.27</v>
      </c>
      <c r="FM88">
        <v>-63.0455525</v>
      </c>
      <c r="FN88">
        <v>-2.325902814258831</v>
      </c>
      <c r="FO88">
        <v>0.2924835995295288</v>
      </c>
      <c r="FP88">
        <v>0</v>
      </c>
      <c r="FQ88">
        <v>6.038466000000001</v>
      </c>
      <c r="FR88">
        <v>0.2202276923076744</v>
      </c>
      <c r="FS88">
        <v>0.02310722428159638</v>
      </c>
      <c r="FT88">
        <v>1</v>
      </c>
      <c r="FU88">
        <v>0</v>
      </c>
      <c r="FV88">
        <v>0</v>
      </c>
      <c r="FW88">
        <v>0</v>
      </c>
      <c r="FX88">
        <v>1</v>
      </c>
      <c r="FY88">
        <v>2</v>
      </c>
      <c r="FZ88">
        <v>3</v>
      </c>
      <c r="GA88" t="s">
        <v>421</v>
      </c>
      <c r="GB88">
        <v>2.98128</v>
      </c>
      <c r="GC88">
        <v>2.70619</v>
      </c>
      <c r="GD88">
        <v>0.183069</v>
      </c>
      <c r="GE88">
        <v>0.187468</v>
      </c>
      <c r="GF88">
        <v>0.115184</v>
      </c>
      <c r="GG88">
        <v>0.09515510000000001</v>
      </c>
      <c r="GH88">
        <v>25834.2</v>
      </c>
      <c r="GI88">
        <v>25747.3</v>
      </c>
      <c r="GJ88">
        <v>29400.5</v>
      </c>
      <c r="GK88">
        <v>29311.4</v>
      </c>
      <c r="GL88">
        <v>34437.1</v>
      </c>
      <c r="GM88">
        <v>35310.8</v>
      </c>
      <c r="GN88">
        <v>41388</v>
      </c>
      <c r="GO88">
        <v>41832.1</v>
      </c>
      <c r="GP88">
        <v>1.96238</v>
      </c>
      <c r="GQ88">
        <v>1.86227</v>
      </c>
      <c r="GR88">
        <v>0.0683777</v>
      </c>
      <c r="GS88">
        <v>0</v>
      </c>
      <c r="GT88">
        <v>27.5201</v>
      </c>
      <c r="GU88">
        <v>999.9</v>
      </c>
      <c r="GV88">
        <v>44.8</v>
      </c>
      <c r="GW88">
        <v>35</v>
      </c>
      <c r="GX88">
        <v>28.0222</v>
      </c>
      <c r="GY88">
        <v>62.9208</v>
      </c>
      <c r="GZ88">
        <v>36.3021</v>
      </c>
      <c r="HA88">
        <v>1</v>
      </c>
      <c r="HB88">
        <v>0.0434121</v>
      </c>
      <c r="HC88">
        <v>0</v>
      </c>
      <c r="HD88">
        <v>20.3467</v>
      </c>
      <c r="HE88">
        <v>5.21684</v>
      </c>
      <c r="HF88">
        <v>12.0092</v>
      </c>
      <c r="HG88">
        <v>4.9888</v>
      </c>
      <c r="HH88">
        <v>3.28845</v>
      </c>
      <c r="HI88">
        <v>496.4</v>
      </c>
      <c r="HJ88">
        <v>3645.5</v>
      </c>
      <c r="HK88">
        <v>4564.3</v>
      </c>
      <c r="HL88">
        <v>17.8</v>
      </c>
      <c r="HM88">
        <v>1.86768</v>
      </c>
      <c r="HN88">
        <v>1.86662</v>
      </c>
      <c r="HO88">
        <v>1.86615</v>
      </c>
      <c r="HP88">
        <v>1.86603</v>
      </c>
      <c r="HQ88">
        <v>1.86785</v>
      </c>
      <c r="HR88">
        <v>1.87042</v>
      </c>
      <c r="HS88">
        <v>1.86905</v>
      </c>
      <c r="HT88">
        <v>1.87042</v>
      </c>
      <c r="HU88">
        <v>0</v>
      </c>
      <c r="HV88">
        <v>0</v>
      </c>
      <c r="HW88">
        <v>0</v>
      </c>
      <c r="HX88">
        <v>0</v>
      </c>
      <c r="HY88" t="s">
        <v>422</v>
      </c>
      <c r="HZ88" t="s">
        <v>423</v>
      </c>
      <c r="IA88" t="s">
        <v>424</v>
      </c>
      <c r="IB88" t="s">
        <v>424</v>
      </c>
      <c r="IC88" t="s">
        <v>424</v>
      </c>
      <c r="ID88" t="s">
        <v>424</v>
      </c>
      <c r="IE88">
        <v>0</v>
      </c>
      <c r="IF88">
        <v>100</v>
      </c>
      <c r="IG88">
        <v>100</v>
      </c>
      <c r="IH88">
        <v>-2.89</v>
      </c>
      <c r="II88">
        <v>0.1311</v>
      </c>
      <c r="IJ88">
        <v>-1.064712027753117</v>
      </c>
      <c r="IK88">
        <v>-0.001826611574738555</v>
      </c>
      <c r="IL88">
        <v>3.313362389709971E-07</v>
      </c>
      <c r="IM88">
        <v>-1.629490614973607E-10</v>
      </c>
      <c r="IN88">
        <v>-0.09531406441470595</v>
      </c>
      <c r="IO88">
        <v>-0.008240702679890409</v>
      </c>
      <c r="IP88">
        <v>0.001077697425498046</v>
      </c>
      <c r="IQ88">
        <v>-1.69598232850356E-05</v>
      </c>
      <c r="IR88">
        <v>3</v>
      </c>
      <c r="IS88">
        <v>2280</v>
      </c>
      <c r="IT88">
        <v>1</v>
      </c>
      <c r="IU88">
        <v>25</v>
      </c>
      <c r="IV88">
        <v>1247.4</v>
      </c>
      <c r="IW88">
        <v>1244.8</v>
      </c>
      <c r="IX88">
        <v>2.3877</v>
      </c>
      <c r="IY88">
        <v>2.19971</v>
      </c>
      <c r="IZ88">
        <v>1.39648</v>
      </c>
      <c r="JA88">
        <v>2.35229</v>
      </c>
      <c r="JB88">
        <v>1.49536</v>
      </c>
      <c r="JC88">
        <v>2.33276</v>
      </c>
      <c r="JD88">
        <v>38.7964</v>
      </c>
      <c r="JE88">
        <v>24.0525</v>
      </c>
      <c r="JF88">
        <v>18</v>
      </c>
      <c r="JG88">
        <v>509.123</v>
      </c>
      <c r="JH88">
        <v>430.574</v>
      </c>
      <c r="JI88">
        <v>28.3454</v>
      </c>
      <c r="JJ88">
        <v>27.9765</v>
      </c>
      <c r="JK88">
        <v>30.0004</v>
      </c>
      <c r="JL88">
        <v>27.8775</v>
      </c>
      <c r="JM88">
        <v>27.8101</v>
      </c>
      <c r="JN88">
        <v>47.8073</v>
      </c>
      <c r="JO88">
        <v>29.8644</v>
      </c>
      <c r="JP88">
        <v>0</v>
      </c>
      <c r="JQ88">
        <v>-999.9</v>
      </c>
      <c r="JR88">
        <v>1182.64</v>
      </c>
      <c r="JS88">
        <v>20.819</v>
      </c>
      <c r="JT88">
        <v>100.505</v>
      </c>
      <c r="JU88">
        <v>100.404</v>
      </c>
    </row>
    <row r="89" spans="1:281">
      <c r="A89">
        <v>73</v>
      </c>
      <c r="B89">
        <v>1651772359</v>
      </c>
      <c r="C89">
        <v>481.4000000953674</v>
      </c>
      <c r="D89" t="s">
        <v>568</v>
      </c>
      <c r="E89" t="s">
        <v>569</v>
      </c>
      <c r="F89">
        <v>5</v>
      </c>
      <c r="H89" t="s">
        <v>417</v>
      </c>
      <c r="I89">
        <v>1651772356.5</v>
      </c>
      <c r="J89">
        <f>(K89)/1000</f>
        <v>0</v>
      </c>
      <c r="K89">
        <f>IF(CZ89, AN89, AH89)</f>
        <v>0</v>
      </c>
      <c r="L89">
        <f>IF(CZ89, AI89, AG89)</f>
        <v>0</v>
      </c>
      <c r="M89">
        <f>DB89 - IF(AU89&gt;1, L89*CV89*100.0/(AW89*DP89), 0)</f>
        <v>0</v>
      </c>
      <c r="N89">
        <f>((T89-J89/2)*M89-L89)/(T89+J89/2)</f>
        <v>0</v>
      </c>
      <c r="O89">
        <f>N89*(DI89+DJ89)/1000.0</f>
        <v>0</v>
      </c>
      <c r="P89">
        <f>(DB89 - IF(AU89&gt;1, L89*CV89*100.0/(AW89*DP89), 0))*(DI89+DJ89)/1000.0</f>
        <v>0</v>
      </c>
      <c r="Q89">
        <f>2.0/((1/S89-1/R89)+SIGN(S89)*SQRT((1/S89-1/R89)*(1/S89-1/R89) + 4*CW89/((CW89+1)*(CW89+1))*(2*1/S89*1/R89-1/R89*1/R89)))</f>
        <v>0</v>
      </c>
      <c r="R89">
        <f>IF(LEFT(CX89,1)&lt;&gt;"0",IF(LEFT(CX89,1)="1",3.0,CY89),$D$5+$E$5*(DP89*DI89/($K$5*1000))+$F$5*(DP89*DI89/($K$5*1000))*MAX(MIN(CV89,$J$5),$I$5)*MAX(MIN(CV89,$J$5),$I$5)+$G$5*MAX(MIN(CV89,$J$5),$I$5)*(DP89*DI89/($K$5*1000))+$H$5*(DP89*DI89/($K$5*1000))*(DP89*DI89/($K$5*1000)))</f>
        <v>0</v>
      </c>
      <c r="S89">
        <f>J89*(1000-(1000*0.61365*exp(17.502*W89/(240.97+W89))/(DI89+DJ89)+DD89)/2)/(1000*0.61365*exp(17.502*W89/(240.97+W89))/(DI89+DJ89)-DD89)</f>
        <v>0</v>
      </c>
      <c r="T89">
        <f>1/((CW89+1)/(Q89/1.6)+1/(R89/1.37)) + CW89/((CW89+1)/(Q89/1.6) + CW89/(R89/1.37))</f>
        <v>0</v>
      </c>
      <c r="U89">
        <f>(CR89*CU89)</f>
        <v>0</v>
      </c>
      <c r="V89">
        <f>(DK89+(U89+2*0.95*5.67E-8*(((DK89+$B$7)+273)^4-(DK89+273)^4)-44100*J89)/(1.84*29.3*R89+8*0.95*5.67E-8*(DK89+273)^3))</f>
        <v>0</v>
      </c>
      <c r="W89">
        <f>($C$7*DL89+$D$7*DM89+$E$7*V89)</f>
        <v>0</v>
      </c>
      <c r="X89">
        <f>0.61365*exp(17.502*W89/(240.97+W89))</f>
        <v>0</v>
      </c>
      <c r="Y89">
        <f>(Z89/AA89*100)</f>
        <v>0</v>
      </c>
      <c r="Z89">
        <f>DD89*(DI89+DJ89)/1000</f>
        <v>0</v>
      </c>
      <c r="AA89">
        <f>0.61365*exp(17.502*DK89/(240.97+DK89))</f>
        <v>0</v>
      </c>
      <c r="AB89">
        <f>(X89-DD89*(DI89+DJ89)/1000)</f>
        <v>0</v>
      </c>
      <c r="AC89">
        <f>(-J89*44100)</f>
        <v>0</v>
      </c>
      <c r="AD89">
        <f>2*29.3*R89*0.92*(DK89-W89)</f>
        <v>0</v>
      </c>
      <c r="AE89">
        <f>2*0.95*5.67E-8*(((DK89+$B$7)+273)^4-(W89+273)^4)</f>
        <v>0</v>
      </c>
      <c r="AF89">
        <f>U89+AE89+AC89+AD89</f>
        <v>0</v>
      </c>
      <c r="AG89">
        <f>DH89*AU89*(DC89-DB89*(1000-AU89*DE89)/(1000-AU89*DD89))/(100*CV89)</f>
        <v>0</v>
      </c>
      <c r="AH89">
        <f>1000*DH89*AU89*(DD89-DE89)/(100*CV89*(1000-AU89*DD89))</f>
        <v>0</v>
      </c>
      <c r="AI89">
        <f>(AJ89 - AK89 - DI89*1E3/(8.314*(DK89+273.15)) * AM89/DH89 * AL89) * DH89/(100*CV89) * (1000 - DE89)/1000</f>
        <v>0</v>
      </c>
      <c r="AJ89">
        <v>1195.797147576566</v>
      </c>
      <c r="AK89">
        <v>1145.51903030303</v>
      </c>
      <c r="AL89">
        <v>3.393102467940599</v>
      </c>
      <c r="AM89">
        <v>66.72507702095443</v>
      </c>
      <c r="AN89">
        <f>(AP89 - AO89 + DI89*1E3/(8.314*(DK89+273.15)) * AR89/DH89 * AQ89) * DH89/(100*CV89) * 1000/(1000 - AP89)</f>
        <v>0</v>
      </c>
      <c r="AO89">
        <v>20.85047093762837</v>
      </c>
      <c r="AP89">
        <v>26.90844303030303</v>
      </c>
      <c r="AQ89">
        <v>-9.012873310832544E-06</v>
      </c>
      <c r="AR89">
        <v>78.22078291278521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MAX(0,($B$13+$C$13*DP89)/(1+$D$13*DP89)*DI89/(DK89+273)*$E$13)</f>
        <v>0</v>
      </c>
      <c r="AX89" t="s">
        <v>418</v>
      </c>
      <c r="AY89" t="s">
        <v>418</v>
      </c>
      <c r="AZ89">
        <v>0</v>
      </c>
      <c r="BA89">
        <v>0</v>
      </c>
      <c r="BB89">
        <f>1-AZ89/BA89</f>
        <v>0</v>
      </c>
      <c r="BC89">
        <v>0</v>
      </c>
      <c r="BD89" t="s">
        <v>418</v>
      </c>
      <c r="BE89" t="s">
        <v>418</v>
      </c>
      <c r="BF89">
        <v>0</v>
      </c>
      <c r="BG89">
        <v>0</v>
      </c>
      <c r="BH89">
        <f>1-BF89/BG89</f>
        <v>0</v>
      </c>
      <c r="BI89">
        <v>0.5</v>
      </c>
      <c r="BJ89">
        <f>CS89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418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f>$B$11*DQ89+$C$11*DR89+$F$11*EC89*(1-EF89)</f>
        <v>0</v>
      </c>
      <c r="CS89">
        <f>CR89*CT89</f>
        <v>0</v>
      </c>
      <c r="CT89">
        <f>($B$11*$D$9+$C$11*$D$9+$F$11*((EP89+EH89)/MAX(EP89+EH89+EQ89, 0.1)*$I$9+EQ89/MAX(EP89+EH89+EQ89, 0.1)*$J$9))/($B$11+$C$11+$F$11)</f>
        <v>0</v>
      </c>
      <c r="CU89">
        <f>($B$11*$K$9+$C$11*$K$9+$F$11*((EP89+EH89)/MAX(EP89+EH89+EQ89, 0.1)*$P$9+EQ89/MAX(EP89+EH89+EQ89, 0.1)*$Q$9))/($B$11+$C$11+$F$11)</f>
        <v>0</v>
      </c>
      <c r="CV89">
        <v>6</v>
      </c>
      <c r="CW89">
        <v>0.5</v>
      </c>
      <c r="CX89" t="s">
        <v>419</v>
      </c>
      <c r="CY89">
        <v>2</v>
      </c>
      <c r="CZ89" t="b">
        <v>1</v>
      </c>
      <c r="DA89">
        <v>1651772356.5</v>
      </c>
      <c r="DB89">
        <v>1108.088888888889</v>
      </c>
      <c r="DC89">
        <v>1171.701111111111</v>
      </c>
      <c r="DD89">
        <v>26.90678888888889</v>
      </c>
      <c r="DE89">
        <v>20.84996666666667</v>
      </c>
      <c r="DF89">
        <v>1111</v>
      </c>
      <c r="DG89">
        <v>26.77567777777778</v>
      </c>
      <c r="DH89">
        <v>500.0491111111111</v>
      </c>
      <c r="DI89">
        <v>90.29893333333332</v>
      </c>
      <c r="DJ89">
        <v>0.09993778888888888</v>
      </c>
      <c r="DK89">
        <v>29.33565555555555</v>
      </c>
      <c r="DL89">
        <v>28.63697777777778</v>
      </c>
      <c r="DM89">
        <v>999.9000000000001</v>
      </c>
      <c r="DN89">
        <v>0</v>
      </c>
      <c r="DO89">
        <v>0</v>
      </c>
      <c r="DP89">
        <v>10014.98888888889</v>
      </c>
      <c r="DQ89">
        <v>0</v>
      </c>
      <c r="DR89">
        <v>13.2088</v>
      </c>
      <c r="DS89">
        <v>-63.61072222222222</v>
      </c>
      <c r="DT89">
        <v>1138.731111111111</v>
      </c>
      <c r="DU89">
        <v>1196.651111111111</v>
      </c>
      <c r="DV89">
        <v>6.056835555555555</v>
      </c>
      <c r="DW89">
        <v>1171.701111111111</v>
      </c>
      <c r="DX89">
        <v>20.84996666666667</v>
      </c>
      <c r="DY89">
        <v>2.429652222222222</v>
      </c>
      <c r="DZ89">
        <v>1.88273</v>
      </c>
      <c r="EA89">
        <v>20.5628</v>
      </c>
      <c r="EB89">
        <v>16.49111111111111</v>
      </c>
      <c r="EC89">
        <v>1499.964444444445</v>
      </c>
      <c r="ED89">
        <v>0.9729963333333332</v>
      </c>
      <c r="EE89">
        <v>0.0270034</v>
      </c>
      <c r="EF89">
        <v>0</v>
      </c>
      <c r="EG89">
        <v>2.237966666666667</v>
      </c>
      <c r="EH89">
        <v>0</v>
      </c>
      <c r="EI89">
        <v>14659.54444444444</v>
      </c>
      <c r="EJ89">
        <v>12533.05555555555</v>
      </c>
      <c r="EK89">
        <v>36.5</v>
      </c>
      <c r="EL89">
        <v>38</v>
      </c>
      <c r="EM89">
        <v>36.875</v>
      </c>
      <c r="EN89">
        <v>37.375</v>
      </c>
      <c r="EO89">
        <v>36.361</v>
      </c>
      <c r="EP89">
        <v>1459.463333333334</v>
      </c>
      <c r="EQ89">
        <v>40.5</v>
      </c>
      <c r="ER89">
        <v>0</v>
      </c>
      <c r="ES89">
        <v>1651772360</v>
      </c>
      <c r="ET89">
        <v>0</v>
      </c>
      <c r="EU89">
        <v>2.346536</v>
      </c>
      <c r="EV89">
        <v>-0.6960461451113376</v>
      </c>
      <c r="EW89">
        <v>-459.407691621175</v>
      </c>
      <c r="EX89">
        <v>14696.4</v>
      </c>
      <c r="EY89">
        <v>15</v>
      </c>
      <c r="EZ89">
        <v>0</v>
      </c>
      <c r="FA89" t="s">
        <v>420</v>
      </c>
      <c r="FB89">
        <v>1651697511.6</v>
      </c>
      <c r="FC89">
        <v>1651697666.1</v>
      </c>
      <c r="FD89">
        <v>0</v>
      </c>
      <c r="FE89">
        <v>-0.019</v>
      </c>
      <c r="FF89">
        <v>0.013</v>
      </c>
      <c r="FG89">
        <v>-2.121</v>
      </c>
      <c r="FH89">
        <v>0.041</v>
      </c>
      <c r="FI89">
        <v>420</v>
      </c>
      <c r="FJ89">
        <v>22</v>
      </c>
      <c r="FK89">
        <v>1.72</v>
      </c>
      <c r="FL89">
        <v>0.27</v>
      </c>
      <c r="FM89">
        <v>-63.1769325</v>
      </c>
      <c r="FN89">
        <v>-3.455609380862799</v>
      </c>
      <c r="FO89">
        <v>0.3462544594568421</v>
      </c>
      <c r="FP89">
        <v>0</v>
      </c>
      <c r="FQ89">
        <v>6.0477355</v>
      </c>
      <c r="FR89">
        <v>0.1465740337710997</v>
      </c>
      <c r="FS89">
        <v>0.01859248893370649</v>
      </c>
      <c r="FT89">
        <v>1</v>
      </c>
      <c r="FU89">
        <v>0</v>
      </c>
      <c r="FV89">
        <v>0</v>
      </c>
      <c r="FW89">
        <v>0</v>
      </c>
      <c r="FX89">
        <v>1</v>
      </c>
      <c r="FY89">
        <v>2</v>
      </c>
      <c r="FZ89">
        <v>3</v>
      </c>
      <c r="GA89" t="s">
        <v>421</v>
      </c>
      <c r="GB89">
        <v>2.98137</v>
      </c>
      <c r="GC89">
        <v>2.70626</v>
      </c>
      <c r="GD89">
        <v>0.184802</v>
      </c>
      <c r="GE89">
        <v>0.189153</v>
      </c>
      <c r="GF89">
        <v>0.115186</v>
      </c>
      <c r="GG89">
        <v>0.095148</v>
      </c>
      <c r="GH89">
        <v>25779.3</v>
      </c>
      <c r="GI89">
        <v>25693.7</v>
      </c>
      <c r="GJ89">
        <v>29400.4</v>
      </c>
      <c r="GK89">
        <v>29311</v>
      </c>
      <c r="GL89">
        <v>34437.1</v>
      </c>
      <c r="GM89">
        <v>35310.6</v>
      </c>
      <c r="GN89">
        <v>41388.1</v>
      </c>
      <c r="GO89">
        <v>41831.5</v>
      </c>
      <c r="GP89">
        <v>1.96257</v>
      </c>
      <c r="GQ89">
        <v>1.8623</v>
      </c>
      <c r="GR89">
        <v>0.06855650000000001</v>
      </c>
      <c r="GS89">
        <v>0</v>
      </c>
      <c r="GT89">
        <v>27.5233</v>
      </c>
      <c r="GU89">
        <v>999.9</v>
      </c>
      <c r="GV89">
        <v>44.8</v>
      </c>
      <c r="GW89">
        <v>35</v>
      </c>
      <c r="GX89">
        <v>28.0231</v>
      </c>
      <c r="GY89">
        <v>63.0208</v>
      </c>
      <c r="GZ89">
        <v>36.5705</v>
      </c>
      <c r="HA89">
        <v>1</v>
      </c>
      <c r="HB89">
        <v>0.043623</v>
      </c>
      <c r="HC89">
        <v>0</v>
      </c>
      <c r="HD89">
        <v>20.3466</v>
      </c>
      <c r="HE89">
        <v>5.21624</v>
      </c>
      <c r="HF89">
        <v>12.0086</v>
      </c>
      <c r="HG89">
        <v>4.98905</v>
      </c>
      <c r="HH89">
        <v>3.28858</v>
      </c>
      <c r="HI89">
        <v>496.6</v>
      </c>
      <c r="HJ89">
        <v>3646.9</v>
      </c>
      <c r="HK89">
        <v>4564.3</v>
      </c>
      <c r="HL89">
        <v>17.8</v>
      </c>
      <c r="HM89">
        <v>1.86768</v>
      </c>
      <c r="HN89">
        <v>1.86662</v>
      </c>
      <c r="HO89">
        <v>1.86615</v>
      </c>
      <c r="HP89">
        <v>1.86608</v>
      </c>
      <c r="HQ89">
        <v>1.86786</v>
      </c>
      <c r="HR89">
        <v>1.87042</v>
      </c>
      <c r="HS89">
        <v>1.86905</v>
      </c>
      <c r="HT89">
        <v>1.87042</v>
      </c>
      <c r="HU89">
        <v>0</v>
      </c>
      <c r="HV89">
        <v>0</v>
      </c>
      <c r="HW89">
        <v>0</v>
      </c>
      <c r="HX89">
        <v>0</v>
      </c>
      <c r="HY89" t="s">
        <v>422</v>
      </c>
      <c r="HZ89" t="s">
        <v>423</v>
      </c>
      <c r="IA89" t="s">
        <v>424</v>
      </c>
      <c r="IB89" t="s">
        <v>424</v>
      </c>
      <c r="IC89" t="s">
        <v>424</v>
      </c>
      <c r="ID89" t="s">
        <v>424</v>
      </c>
      <c r="IE89">
        <v>0</v>
      </c>
      <c r="IF89">
        <v>100</v>
      </c>
      <c r="IG89">
        <v>100</v>
      </c>
      <c r="IH89">
        <v>-2.92</v>
      </c>
      <c r="II89">
        <v>0.1311</v>
      </c>
      <c r="IJ89">
        <v>-1.064712027753117</v>
      </c>
      <c r="IK89">
        <v>-0.001826611574738555</v>
      </c>
      <c r="IL89">
        <v>3.313362389709971E-07</v>
      </c>
      <c r="IM89">
        <v>-1.629490614973607E-10</v>
      </c>
      <c r="IN89">
        <v>-0.09531406441470595</v>
      </c>
      <c r="IO89">
        <v>-0.008240702679890409</v>
      </c>
      <c r="IP89">
        <v>0.001077697425498046</v>
      </c>
      <c r="IQ89">
        <v>-1.69598232850356E-05</v>
      </c>
      <c r="IR89">
        <v>3</v>
      </c>
      <c r="IS89">
        <v>2280</v>
      </c>
      <c r="IT89">
        <v>1</v>
      </c>
      <c r="IU89">
        <v>25</v>
      </c>
      <c r="IV89">
        <v>1247.5</v>
      </c>
      <c r="IW89">
        <v>1244.9</v>
      </c>
      <c r="IX89">
        <v>2.41455</v>
      </c>
      <c r="IY89">
        <v>2.19604</v>
      </c>
      <c r="IZ89">
        <v>1.39648</v>
      </c>
      <c r="JA89">
        <v>2.35229</v>
      </c>
      <c r="JB89">
        <v>1.49536</v>
      </c>
      <c r="JC89">
        <v>2.32056</v>
      </c>
      <c r="JD89">
        <v>38.7717</v>
      </c>
      <c r="JE89">
        <v>24.0525</v>
      </c>
      <c r="JF89">
        <v>18</v>
      </c>
      <c r="JG89">
        <v>509.277</v>
      </c>
      <c r="JH89">
        <v>430.61</v>
      </c>
      <c r="JI89">
        <v>28.3498</v>
      </c>
      <c r="JJ89">
        <v>27.9795</v>
      </c>
      <c r="JK89">
        <v>30.0003</v>
      </c>
      <c r="JL89">
        <v>27.8803</v>
      </c>
      <c r="JM89">
        <v>27.8129</v>
      </c>
      <c r="JN89">
        <v>48.3165</v>
      </c>
      <c r="JO89">
        <v>29.8644</v>
      </c>
      <c r="JP89">
        <v>0</v>
      </c>
      <c r="JQ89">
        <v>-999.9</v>
      </c>
      <c r="JR89">
        <v>1202.69</v>
      </c>
      <c r="JS89">
        <v>20.8148</v>
      </c>
      <c r="JT89">
        <v>100.505</v>
      </c>
      <c r="JU89">
        <v>100.403</v>
      </c>
    </row>
    <row r="90" spans="1:281">
      <c r="A90">
        <v>74</v>
      </c>
      <c r="B90">
        <v>1651775070.6</v>
      </c>
      <c r="C90">
        <v>3193</v>
      </c>
      <c r="D90" t="s">
        <v>570</v>
      </c>
      <c r="E90" t="s">
        <v>571</v>
      </c>
      <c r="F90">
        <v>5</v>
      </c>
      <c r="G90" t="s">
        <v>572</v>
      </c>
      <c r="H90" t="s">
        <v>417</v>
      </c>
      <c r="I90">
        <v>1651775067.85</v>
      </c>
      <c r="J90">
        <f>(K90)/1000</f>
        <v>0</v>
      </c>
      <c r="K90">
        <f>IF(CZ90, AN90, AH90)</f>
        <v>0</v>
      </c>
      <c r="L90">
        <f>IF(CZ90, AI90, AG90)</f>
        <v>0</v>
      </c>
      <c r="M90">
        <f>DB90 - IF(AU90&gt;1, L90*CV90*100.0/(AW90*DP90), 0)</f>
        <v>0</v>
      </c>
      <c r="N90">
        <f>((T90-J90/2)*M90-L90)/(T90+J90/2)</f>
        <v>0</v>
      </c>
      <c r="O90">
        <f>N90*(DI90+DJ90)/1000.0</f>
        <v>0</v>
      </c>
      <c r="P90">
        <f>(DB90 - IF(AU90&gt;1, L90*CV90*100.0/(AW90*DP90), 0))*(DI90+DJ90)/1000.0</f>
        <v>0</v>
      </c>
      <c r="Q90">
        <f>2.0/((1/S90-1/R90)+SIGN(S90)*SQRT((1/S90-1/R90)*(1/S90-1/R90) + 4*CW90/((CW90+1)*(CW90+1))*(2*1/S90*1/R90-1/R90*1/R90)))</f>
        <v>0</v>
      </c>
      <c r="R90">
        <f>IF(LEFT(CX90,1)&lt;&gt;"0",IF(LEFT(CX90,1)="1",3.0,CY90),$D$5+$E$5*(DP90*DI90/($K$5*1000))+$F$5*(DP90*DI90/($K$5*1000))*MAX(MIN(CV90,$J$5),$I$5)*MAX(MIN(CV90,$J$5),$I$5)+$G$5*MAX(MIN(CV90,$J$5),$I$5)*(DP90*DI90/($K$5*1000))+$H$5*(DP90*DI90/($K$5*1000))*(DP90*DI90/($K$5*1000)))</f>
        <v>0</v>
      </c>
      <c r="S90">
        <f>J90*(1000-(1000*0.61365*exp(17.502*W90/(240.97+W90))/(DI90+DJ90)+DD90)/2)/(1000*0.61365*exp(17.502*W90/(240.97+W90))/(DI90+DJ90)-DD90)</f>
        <v>0</v>
      </c>
      <c r="T90">
        <f>1/((CW90+1)/(Q90/1.6)+1/(R90/1.37)) + CW90/((CW90+1)/(Q90/1.6) + CW90/(R90/1.37))</f>
        <v>0</v>
      </c>
      <c r="U90">
        <f>(CR90*CU90)</f>
        <v>0</v>
      </c>
      <c r="V90">
        <f>(DK90+(U90+2*0.95*5.67E-8*(((DK90+$B$7)+273)^4-(DK90+273)^4)-44100*J90)/(1.84*29.3*R90+8*0.95*5.67E-8*(DK90+273)^3))</f>
        <v>0</v>
      </c>
      <c r="W90">
        <f>($C$7*DL90+$D$7*DM90+$E$7*V90)</f>
        <v>0</v>
      </c>
      <c r="X90">
        <f>0.61365*exp(17.502*W90/(240.97+W90))</f>
        <v>0</v>
      </c>
      <c r="Y90">
        <f>(Z90/AA90*100)</f>
        <v>0</v>
      </c>
      <c r="Z90">
        <f>DD90*(DI90+DJ90)/1000</f>
        <v>0</v>
      </c>
      <c r="AA90">
        <f>0.61365*exp(17.502*DK90/(240.97+DK90))</f>
        <v>0</v>
      </c>
      <c r="AB90">
        <f>(X90-DD90*(DI90+DJ90)/1000)</f>
        <v>0</v>
      </c>
      <c r="AC90">
        <f>(-J90*44100)</f>
        <v>0</v>
      </c>
      <c r="AD90">
        <f>2*29.3*R90*0.92*(DK90-W90)</f>
        <v>0</v>
      </c>
      <c r="AE90">
        <f>2*0.95*5.67E-8*(((DK90+$B$7)+273)^4-(W90+273)^4)</f>
        <v>0</v>
      </c>
      <c r="AF90">
        <f>U90+AE90+AC90+AD90</f>
        <v>0</v>
      </c>
      <c r="AG90">
        <f>DH90*AU90*(DC90-DB90*(1000-AU90*DE90)/(1000-AU90*DD90))/(100*CV90)</f>
        <v>0</v>
      </c>
      <c r="AH90">
        <f>1000*DH90*AU90*(DD90-DE90)/(100*CV90*(1000-AU90*DD90))</f>
        <v>0</v>
      </c>
      <c r="AI90">
        <f>(AJ90 - AK90 - DI90*1E3/(8.314*(DK90+273.15)) * AM90/DH90 * AL90) * DH90/(100*CV90) * (1000 - DE90)/1000</f>
        <v>0</v>
      </c>
      <c r="AJ90">
        <v>491.2065723371612</v>
      </c>
      <c r="AK90">
        <v>460.9612727272726</v>
      </c>
      <c r="AL90">
        <v>-4.808739124875371E-05</v>
      </c>
      <c r="AM90">
        <v>66.72507702095443</v>
      </c>
      <c r="AN90">
        <f>(AP90 - AO90 + DI90*1E3/(8.314*(DK90+273.15)) * AR90/DH90 * AQ90) * DH90/(100*CV90) * 1000/(1000 - AP90)</f>
        <v>0</v>
      </c>
      <c r="AO90">
        <v>22.98846034469295</v>
      </c>
      <c r="AP90">
        <v>30.35281696969697</v>
      </c>
      <c r="AQ90">
        <v>-4.39935258169739E-06</v>
      </c>
      <c r="AR90">
        <v>78.22078291278521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MAX(0,($B$13+$C$13*DP90)/(1+$D$13*DP90)*DI90/(DK90+273)*$E$13)</f>
        <v>0</v>
      </c>
      <c r="AX90" t="s">
        <v>573</v>
      </c>
      <c r="AY90">
        <v>10510</v>
      </c>
      <c r="AZ90">
        <v>590.42</v>
      </c>
      <c r="BA90">
        <v>2650.6</v>
      </c>
      <c r="BB90">
        <f>1-AZ90/BA90</f>
        <v>0</v>
      </c>
      <c r="BC90">
        <v>-1.816883183993991</v>
      </c>
      <c r="BD90" t="s">
        <v>574</v>
      </c>
      <c r="BE90">
        <v>10383.7</v>
      </c>
      <c r="BF90">
        <v>2.276223076923077</v>
      </c>
      <c r="BG90">
        <v>2.5932</v>
      </c>
      <c r="BH90">
        <f>1-BF90/BG90</f>
        <v>0</v>
      </c>
      <c r="BI90">
        <v>0.5</v>
      </c>
      <c r="BJ90">
        <f>CS90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418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1218</v>
      </c>
      <c r="CA90">
        <v>300</v>
      </c>
      <c r="CB90">
        <v>300</v>
      </c>
      <c r="CC90">
        <v>300</v>
      </c>
      <c r="CD90">
        <v>10383.7</v>
      </c>
      <c r="CE90">
        <v>1.85</v>
      </c>
      <c r="CF90">
        <v>-0.00732341</v>
      </c>
      <c r="CG90">
        <v>1.48</v>
      </c>
      <c r="CH90" t="s">
        <v>418</v>
      </c>
      <c r="CI90" t="s">
        <v>418</v>
      </c>
      <c r="CJ90" t="s">
        <v>418</v>
      </c>
      <c r="CK90" t="s">
        <v>418</v>
      </c>
      <c r="CL90" t="s">
        <v>418</v>
      </c>
      <c r="CM90" t="s">
        <v>418</v>
      </c>
      <c r="CN90" t="s">
        <v>418</v>
      </c>
      <c r="CO90" t="s">
        <v>418</v>
      </c>
      <c r="CP90" t="s">
        <v>418</v>
      </c>
      <c r="CQ90" t="s">
        <v>418</v>
      </c>
      <c r="CR90">
        <f>$B$11*DQ90+$C$11*DR90+$F$11*EC90*(1-EF90)</f>
        <v>0</v>
      </c>
      <c r="CS90">
        <f>CR90*CT90</f>
        <v>0</v>
      </c>
      <c r="CT90">
        <f>($B$11*$D$9+$C$11*$D$9+$F$11*((EP90+EH90)/MAX(EP90+EH90+EQ90, 0.1)*$I$9+EQ90/MAX(EP90+EH90+EQ90, 0.1)*$J$9))/($B$11+$C$11+$F$11)</f>
        <v>0</v>
      </c>
      <c r="CU90">
        <f>($B$11*$K$9+$C$11*$K$9+$F$11*((EP90+EH90)/MAX(EP90+EH90+EQ90, 0.1)*$P$9+EQ90/MAX(EP90+EH90+EQ90, 0.1)*$Q$9))/($B$11+$C$11+$F$11)</f>
        <v>0</v>
      </c>
      <c r="CV90">
        <v>6</v>
      </c>
      <c r="CW90">
        <v>0.5</v>
      </c>
      <c r="CX90" t="s">
        <v>419</v>
      </c>
      <c r="CY90">
        <v>2</v>
      </c>
      <c r="CZ90" t="b">
        <v>1</v>
      </c>
      <c r="DA90">
        <v>1651775067.85</v>
      </c>
      <c r="DB90">
        <v>447.4747</v>
      </c>
      <c r="DC90">
        <v>479.903</v>
      </c>
      <c r="DD90">
        <v>30.28173</v>
      </c>
      <c r="DE90">
        <v>22.98837</v>
      </c>
      <c r="DF90">
        <v>448.8087</v>
      </c>
      <c r="DG90">
        <v>30.24673</v>
      </c>
      <c r="DH90">
        <v>500.0572</v>
      </c>
      <c r="DI90">
        <v>90.25877</v>
      </c>
      <c r="DJ90">
        <v>0.1000027</v>
      </c>
      <c r="DK90">
        <v>30.81035</v>
      </c>
      <c r="DL90">
        <v>29.92315</v>
      </c>
      <c r="DM90">
        <v>999.9</v>
      </c>
      <c r="DN90">
        <v>0</v>
      </c>
      <c r="DO90">
        <v>0</v>
      </c>
      <c r="DP90">
        <v>9992.244999999999</v>
      </c>
      <c r="DQ90">
        <v>0</v>
      </c>
      <c r="DR90">
        <v>13.22689</v>
      </c>
      <c r="DS90">
        <v>-32.92695999999999</v>
      </c>
      <c r="DT90">
        <v>460.9687</v>
      </c>
      <c r="DU90">
        <v>491.1949000000001</v>
      </c>
      <c r="DV90">
        <v>7.366296</v>
      </c>
      <c r="DW90">
        <v>479.903</v>
      </c>
      <c r="DX90">
        <v>22.98837</v>
      </c>
      <c r="DY90">
        <v>2.739777</v>
      </c>
      <c r="DZ90">
        <v>2.074902</v>
      </c>
      <c r="EA90">
        <v>22.52564</v>
      </c>
      <c r="EB90">
        <v>18.02782</v>
      </c>
      <c r="EC90">
        <v>1499.994</v>
      </c>
      <c r="ED90">
        <v>0.9729905999999999</v>
      </c>
      <c r="EE90">
        <v>0.02700906</v>
      </c>
      <c r="EF90">
        <v>0</v>
      </c>
      <c r="EG90">
        <v>2.28265</v>
      </c>
      <c r="EH90">
        <v>0</v>
      </c>
      <c r="EI90">
        <v>15510.35</v>
      </c>
      <c r="EJ90">
        <v>12533.29</v>
      </c>
      <c r="EK90">
        <v>37.437</v>
      </c>
      <c r="EL90">
        <v>38.8874</v>
      </c>
      <c r="EM90">
        <v>37.812</v>
      </c>
      <c r="EN90">
        <v>38.25</v>
      </c>
      <c r="EO90">
        <v>37.375</v>
      </c>
      <c r="EP90">
        <v>1459.484</v>
      </c>
      <c r="EQ90">
        <v>40.51</v>
      </c>
      <c r="ER90">
        <v>0</v>
      </c>
      <c r="ES90">
        <v>1651775071.4</v>
      </c>
      <c r="ET90">
        <v>0</v>
      </c>
      <c r="EU90">
        <v>2.276223076923077</v>
      </c>
      <c r="EV90">
        <v>-0.9483828892577242</v>
      </c>
      <c r="EW90">
        <v>2.430769170658333</v>
      </c>
      <c r="EX90">
        <v>15510.18076923077</v>
      </c>
      <c r="EY90">
        <v>15</v>
      </c>
      <c r="EZ90">
        <v>1651775102.6</v>
      </c>
      <c r="FA90" t="s">
        <v>575</v>
      </c>
      <c r="FB90">
        <v>1651775093.6</v>
      </c>
      <c r="FC90">
        <v>1651775102.6</v>
      </c>
      <c r="FD90">
        <v>1</v>
      </c>
      <c r="FE90">
        <v>0.551</v>
      </c>
      <c r="FF90">
        <v>-0.043</v>
      </c>
      <c r="FG90">
        <v>-1.334</v>
      </c>
      <c r="FH90">
        <v>0.035</v>
      </c>
      <c r="FI90">
        <v>480</v>
      </c>
      <c r="FJ90">
        <v>23</v>
      </c>
      <c r="FK90">
        <v>0.02</v>
      </c>
      <c r="FL90">
        <v>0.01</v>
      </c>
      <c r="FM90">
        <v>-32.872075</v>
      </c>
      <c r="FN90">
        <v>-0.268802251406994</v>
      </c>
      <c r="FO90">
        <v>0.04052151743209991</v>
      </c>
      <c r="FP90">
        <v>0</v>
      </c>
      <c r="FQ90">
        <v>7.362490249999999</v>
      </c>
      <c r="FR90">
        <v>0.02647913696058486</v>
      </c>
      <c r="FS90">
        <v>0.002700862350713128</v>
      </c>
      <c r="FT90">
        <v>1</v>
      </c>
      <c r="FU90">
        <v>0</v>
      </c>
      <c r="FV90">
        <v>0</v>
      </c>
      <c r="FW90">
        <v>0</v>
      </c>
      <c r="FX90">
        <v>1</v>
      </c>
      <c r="FY90">
        <v>2</v>
      </c>
      <c r="FZ90">
        <v>3</v>
      </c>
      <c r="GA90" t="s">
        <v>421</v>
      </c>
      <c r="GB90">
        <v>2.97982</v>
      </c>
      <c r="GC90">
        <v>2.70616</v>
      </c>
      <c r="GD90">
        <v>0.09850639999999999</v>
      </c>
      <c r="GE90">
        <v>0.102486</v>
      </c>
      <c r="GF90">
        <v>0.124831</v>
      </c>
      <c r="GG90">
        <v>0.101506</v>
      </c>
      <c r="GH90">
        <v>28442.3</v>
      </c>
      <c r="GI90">
        <v>28378.8</v>
      </c>
      <c r="GJ90">
        <v>29340.1</v>
      </c>
      <c r="GK90">
        <v>29253.2</v>
      </c>
      <c r="GL90">
        <v>33987.8</v>
      </c>
      <c r="GM90">
        <v>34989.9</v>
      </c>
      <c r="GN90">
        <v>41300.6</v>
      </c>
      <c r="GO90">
        <v>41749.9</v>
      </c>
      <c r="GP90">
        <v>1.95085</v>
      </c>
      <c r="GQ90">
        <v>1.8481</v>
      </c>
      <c r="GR90">
        <v>0.07113070000000001</v>
      </c>
      <c r="GS90">
        <v>0</v>
      </c>
      <c r="GT90">
        <v>28.7656</v>
      </c>
      <c r="GU90">
        <v>999.9</v>
      </c>
      <c r="GV90">
        <v>44.8</v>
      </c>
      <c r="GW90">
        <v>34.8</v>
      </c>
      <c r="GX90">
        <v>27.7297</v>
      </c>
      <c r="GY90">
        <v>62.4585</v>
      </c>
      <c r="GZ90">
        <v>35.4527</v>
      </c>
      <c r="HA90">
        <v>1</v>
      </c>
      <c r="HB90">
        <v>0.138496</v>
      </c>
      <c r="HC90">
        <v>0</v>
      </c>
      <c r="HD90">
        <v>20.3464</v>
      </c>
      <c r="HE90">
        <v>5.22358</v>
      </c>
      <c r="HF90">
        <v>12.0099</v>
      </c>
      <c r="HG90">
        <v>4.99095</v>
      </c>
      <c r="HH90">
        <v>3.29</v>
      </c>
      <c r="HI90">
        <v>551.3</v>
      </c>
      <c r="HJ90">
        <v>3982.1</v>
      </c>
      <c r="HK90">
        <v>4639.4</v>
      </c>
      <c r="HL90">
        <v>18.5</v>
      </c>
      <c r="HM90">
        <v>1.86767</v>
      </c>
      <c r="HN90">
        <v>1.86663</v>
      </c>
      <c r="HO90">
        <v>1.86615</v>
      </c>
      <c r="HP90">
        <v>1.866</v>
      </c>
      <c r="HQ90">
        <v>1.86784</v>
      </c>
      <c r="HR90">
        <v>1.87037</v>
      </c>
      <c r="HS90">
        <v>1.86903</v>
      </c>
      <c r="HT90">
        <v>1.87041</v>
      </c>
      <c r="HU90">
        <v>0</v>
      </c>
      <c r="HV90">
        <v>0</v>
      </c>
      <c r="HW90">
        <v>0</v>
      </c>
      <c r="HX90">
        <v>0</v>
      </c>
      <c r="HY90" t="s">
        <v>422</v>
      </c>
      <c r="HZ90" t="s">
        <v>423</v>
      </c>
      <c r="IA90" t="s">
        <v>424</v>
      </c>
      <c r="IB90" t="s">
        <v>424</v>
      </c>
      <c r="IC90" t="s">
        <v>424</v>
      </c>
      <c r="ID90" t="s">
        <v>424</v>
      </c>
      <c r="IE90">
        <v>0</v>
      </c>
      <c r="IF90">
        <v>100</v>
      </c>
      <c r="IG90">
        <v>100</v>
      </c>
      <c r="IH90">
        <v>-1.334</v>
      </c>
      <c r="II90">
        <v>0.035</v>
      </c>
      <c r="IJ90">
        <v>-1.064712027753117</v>
      </c>
      <c r="IK90">
        <v>-0.001826611574738555</v>
      </c>
      <c r="IL90">
        <v>3.313362389709971E-07</v>
      </c>
      <c r="IM90">
        <v>-1.629490614973607E-10</v>
      </c>
      <c r="IN90">
        <v>0.1079348176781914</v>
      </c>
      <c r="IO90">
        <v>0</v>
      </c>
      <c r="IP90">
        <v>0</v>
      </c>
      <c r="IQ90">
        <v>0</v>
      </c>
      <c r="IR90">
        <v>3</v>
      </c>
      <c r="IS90">
        <v>2280</v>
      </c>
      <c r="IT90">
        <v>1</v>
      </c>
      <c r="IU90">
        <v>25</v>
      </c>
      <c r="IV90">
        <v>1292.7</v>
      </c>
      <c r="IW90">
        <v>1290.1</v>
      </c>
      <c r="IX90">
        <v>1.16699</v>
      </c>
      <c r="IY90">
        <v>2.23633</v>
      </c>
      <c r="IZ90">
        <v>1.39648</v>
      </c>
      <c r="JA90">
        <v>2.35352</v>
      </c>
      <c r="JB90">
        <v>1.49536</v>
      </c>
      <c r="JC90">
        <v>2.34619</v>
      </c>
      <c r="JD90">
        <v>38.7964</v>
      </c>
      <c r="JE90">
        <v>24.0437</v>
      </c>
      <c r="JF90">
        <v>18</v>
      </c>
      <c r="JG90">
        <v>512.718</v>
      </c>
      <c r="JH90">
        <v>431.623</v>
      </c>
      <c r="JI90">
        <v>29.969</v>
      </c>
      <c r="JJ90">
        <v>29.299</v>
      </c>
      <c r="JK90">
        <v>30</v>
      </c>
      <c r="JL90">
        <v>29.1896</v>
      </c>
      <c r="JM90">
        <v>29.118</v>
      </c>
      <c r="JN90">
        <v>23.3587</v>
      </c>
      <c r="JO90">
        <v>22.3758</v>
      </c>
      <c r="JP90">
        <v>0</v>
      </c>
      <c r="JQ90">
        <v>-999.9</v>
      </c>
      <c r="JR90">
        <v>479.9</v>
      </c>
      <c r="JS90">
        <v>23.0202</v>
      </c>
      <c r="JT90">
        <v>100.295</v>
      </c>
      <c r="JU90">
        <v>100.206</v>
      </c>
    </row>
    <row r="91" spans="1:281">
      <c r="A91">
        <v>75</v>
      </c>
      <c r="B91">
        <v>1651775289.6</v>
      </c>
      <c r="C91">
        <v>3412</v>
      </c>
      <c r="D91" t="s">
        <v>576</v>
      </c>
      <c r="E91" t="s">
        <v>577</v>
      </c>
      <c r="F91">
        <v>5</v>
      </c>
      <c r="G91" t="s">
        <v>572</v>
      </c>
      <c r="H91" t="s">
        <v>417</v>
      </c>
      <c r="I91">
        <v>1651775286.6</v>
      </c>
      <c r="J91">
        <f>(K91)/1000</f>
        <v>0</v>
      </c>
      <c r="K91">
        <f>IF(CZ91, AN91, AH91)</f>
        <v>0</v>
      </c>
      <c r="L91">
        <f>IF(CZ91, AI91, AG91)</f>
        <v>0</v>
      </c>
      <c r="M91">
        <f>DB91 - IF(AU91&gt;1, L91*CV91*100.0/(AW91*DP91), 0)</f>
        <v>0</v>
      </c>
      <c r="N91">
        <f>((T91-J91/2)*M91-L91)/(T91+J91/2)</f>
        <v>0</v>
      </c>
      <c r="O91">
        <f>N91*(DI91+DJ91)/1000.0</f>
        <v>0</v>
      </c>
      <c r="P91">
        <f>(DB91 - IF(AU91&gt;1, L91*CV91*100.0/(AW91*DP91), 0))*(DI91+DJ91)/1000.0</f>
        <v>0</v>
      </c>
      <c r="Q91">
        <f>2.0/((1/S91-1/R91)+SIGN(S91)*SQRT((1/S91-1/R91)*(1/S91-1/R91) + 4*CW91/((CW91+1)*(CW91+1))*(2*1/S91*1/R91-1/R91*1/R91)))</f>
        <v>0</v>
      </c>
      <c r="R91">
        <f>IF(LEFT(CX91,1)&lt;&gt;"0",IF(LEFT(CX91,1)="1",3.0,CY91),$D$5+$E$5*(DP91*DI91/($K$5*1000))+$F$5*(DP91*DI91/($K$5*1000))*MAX(MIN(CV91,$J$5),$I$5)*MAX(MIN(CV91,$J$5),$I$5)+$G$5*MAX(MIN(CV91,$J$5),$I$5)*(DP91*DI91/($K$5*1000))+$H$5*(DP91*DI91/($K$5*1000))*(DP91*DI91/($K$5*1000)))</f>
        <v>0</v>
      </c>
      <c r="S91">
        <f>J91*(1000-(1000*0.61365*exp(17.502*W91/(240.97+W91))/(DI91+DJ91)+DD91)/2)/(1000*0.61365*exp(17.502*W91/(240.97+W91))/(DI91+DJ91)-DD91)</f>
        <v>0</v>
      </c>
      <c r="T91">
        <f>1/((CW91+1)/(Q91/1.6)+1/(R91/1.37)) + CW91/((CW91+1)/(Q91/1.6) + CW91/(R91/1.37))</f>
        <v>0</v>
      </c>
      <c r="U91">
        <f>(CR91*CU91)</f>
        <v>0</v>
      </c>
      <c r="V91">
        <f>(DK91+(U91+2*0.95*5.67E-8*(((DK91+$B$7)+273)^4-(DK91+273)^4)-44100*J91)/(1.84*29.3*R91+8*0.95*5.67E-8*(DK91+273)^3))</f>
        <v>0</v>
      </c>
      <c r="W91">
        <f>($C$7*DL91+$D$7*DM91+$E$7*V91)</f>
        <v>0</v>
      </c>
      <c r="X91">
        <f>0.61365*exp(17.502*W91/(240.97+W91))</f>
        <v>0</v>
      </c>
      <c r="Y91">
        <f>(Z91/AA91*100)</f>
        <v>0</v>
      </c>
      <c r="Z91">
        <f>DD91*(DI91+DJ91)/1000</f>
        <v>0</v>
      </c>
      <c r="AA91">
        <f>0.61365*exp(17.502*DK91/(240.97+DK91))</f>
        <v>0</v>
      </c>
      <c r="AB91">
        <f>(X91-DD91*(DI91+DJ91)/1000)</f>
        <v>0</v>
      </c>
      <c r="AC91">
        <f>(-J91*44100)</f>
        <v>0</v>
      </c>
      <c r="AD91">
        <f>2*29.3*R91*0.92*(DK91-W91)</f>
        <v>0</v>
      </c>
      <c r="AE91">
        <f>2*0.95*5.67E-8*(((DK91+$B$7)+273)^4-(W91+273)^4)</f>
        <v>0</v>
      </c>
      <c r="AF91">
        <f>U91+AE91+AC91+AD91</f>
        <v>0</v>
      </c>
      <c r="AG91">
        <f>DH91*AU91*(DC91-DB91*(1000-AU91*DE91)/(1000-AU91*DD91))/(100*CV91)</f>
        <v>0</v>
      </c>
      <c r="AH91">
        <f>1000*DH91*AU91*(DD91-DE91)/(100*CV91*(1000-AU91*DD91))</f>
        <v>0</v>
      </c>
      <c r="AI91">
        <f>(AJ91 - AK91 - DI91*1E3/(8.314*(DK91+273.15)) * AM91/DH91 * AL91) * DH91/(100*CV91) * (1000 - DE91)/1000</f>
        <v>0</v>
      </c>
      <c r="AJ91">
        <v>409.385244023158</v>
      </c>
      <c r="AK91">
        <v>383.7555272727271</v>
      </c>
      <c r="AL91">
        <v>-0.01135838128836759</v>
      </c>
      <c r="AM91">
        <v>66.79449453128035</v>
      </c>
      <c r="AN91">
        <f>(AP91 - AO91 + DI91*1E3/(8.314*(DK91+273.15)) * AR91/DH91 * AQ91) * DH91/(100*CV91) * 1000/(1000 - AP91)</f>
        <v>0</v>
      </c>
      <c r="AO91">
        <v>23.00725463399344</v>
      </c>
      <c r="AP91">
        <v>30.37813272727272</v>
      </c>
      <c r="AQ91">
        <v>1.044617606475149E-05</v>
      </c>
      <c r="AR91">
        <v>78.18817170517835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MAX(0,($B$13+$C$13*DP91)/(1+$D$13*DP91)*DI91/(DK91+273)*$E$13)</f>
        <v>0</v>
      </c>
      <c r="AX91" t="s">
        <v>573</v>
      </c>
      <c r="AY91">
        <v>10510</v>
      </c>
      <c r="AZ91">
        <v>590.42</v>
      </c>
      <c r="BA91">
        <v>2650.6</v>
      </c>
      <c r="BB91">
        <f>1-AZ91/BA91</f>
        <v>0</v>
      </c>
      <c r="BC91">
        <v>-1.816883183993991</v>
      </c>
      <c r="BD91" t="s">
        <v>578</v>
      </c>
      <c r="BE91">
        <v>10383.1</v>
      </c>
      <c r="BF91">
        <v>2.300111538461538</v>
      </c>
      <c r="BG91">
        <v>3.122</v>
      </c>
      <c r="BH91">
        <f>1-BF91/BG91</f>
        <v>0</v>
      </c>
      <c r="BI91">
        <v>0.5</v>
      </c>
      <c r="BJ91">
        <f>CS91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418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1219</v>
      </c>
      <c r="CA91">
        <v>300</v>
      </c>
      <c r="CB91">
        <v>300</v>
      </c>
      <c r="CC91">
        <v>300</v>
      </c>
      <c r="CD91">
        <v>10383.1</v>
      </c>
      <c r="CE91">
        <v>1.46</v>
      </c>
      <c r="CF91">
        <v>-0.00732287</v>
      </c>
      <c r="CG91">
        <v>0.53</v>
      </c>
      <c r="CH91" t="s">
        <v>418</v>
      </c>
      <c r="CI91" t="s">
        <v>418</v>
      </c>
      <c r="CJ91" t="s">
        <v>418</v>
      </c>
      <c r="CK91" t="s">
        <v>418</v>
      </c>
      <c r="CL91" t="s">
        <v>418</v>
      </c>
      <c r="CM91" t="s">
        <v>418</v>
      </c>
      <c r="CN91" t="s">
        <v>418</v>
      </c>
      <c r="CO91" t="s">
        <v>418</v>
      </c>
      <c r="CP91" t="s">
        <v>418</v>
      </c>
      <c r="CQ91" t="s">
        <v>418</v>
      </c>
      <c r="CR91">
        <f>$B$11*DQ91+$C$11*DR91+$F$11*EC91*(1-EF91)</f>
        <v>0</v>
      </c>
      <c r="CS91">
        <f>CR91*CT91</f>
        <v>0</v>
      </c>
      <c r="CT91">
        <f>($B$11*$D$9+$C$11*$D$9+$F$11*((EP91+EH91)/MAX(EP91+EH91+EQ91, 0.1)*$I$9+EQ91/MAX(EP91+EH91+EQ91, 0.1)*$J$9))/($B$11+$C$11+$F$11)</f>
        <v>0</v>
      </c>
      <c r="CU91">
        <f>($B$11*$K$9+$C$11*$K$9+$F$11*((EP91+EH91)/MAX(EP91+EH91+EQ91, 0.1)*$P$9+EQ91/MAX(EP91+EH91+EQ91, 0.1)*$Q$9))/($B$11+$C$11+$F$11)</f>
        <v>0</v>
      </c>
      <c r="CV91">
        <v>6</v>
      </c>
      <c r="CW91">
        <v>0.5</v>
      </c>
      <c r="CX91" t="s">
        <v>419</v>
      </c>
      <c r="CY91">
        <v>2</v>
      </c>
      <c r="CZ91" t="b">
        <v>1</v>
      </c>
      <c r="DA91">
        <v>1651775286.6</v>
      </c>
      <c r="DB91">
        <v>372.1395454545454</v>
      </c>
      <c r="DC91">
        <v>399.9716363636364</v>
      </c>
      <c r="DD91">
        <v>30.37654545454545</v>
      </c>
      <c r="DE91">
        <v>23.00742727272727</v>
      </c>
      <c r="DF91">
        <v>373.2973636363637</v>
      </c>
      <c r="DG91">
        <v>30.31195454545454</v>
      </c>
      <c r="DH91">
        <v>500.0767272727273</v>
      </c>
      <c r="DI91">
        <v>90.25692727272728</v>
      </c>
      <c r="DJ91">
        <v>0.1001346</v>
      </c>
      <c r="DK91">
        <v>30.8032909090909</v>
      </c>
      <c r="DL91">
        <v>29.89897272727273</v>
      </c>
      <c r="DM91">
        <v>999.9</v>
      </c>
      <c r="DN91">
        <v>0</v>
      </c>
      <c r="DO91">
        <v>0</v>
      </c>
      <c r="DP91">
        <v>9986.703636363636</v>
      </c>
      <c r="DQ91">
        <v>0</v>
      </c>
      <c r="DR91">
        <v>13.3212</v>
      </c>
      <c r="DS91">
        <v>-27.83215454545455</v>
      </c>
      <c r="DT91">
        <v>383.7979999999999</v>
      </c>
      <c r="DU91">
        <v>409.3907272727272</v>
      </c>
      <c r="DV91">
        <v>7.369124545454546</v>
      </c>
      <c r="DW91">
        <v>399.9716363636364</v>
      </c>
      <c r="DX91">
        <v>23.00742727272727</v>
      </c>
      <c r="DY91">
        <v>2.741696363636364</v>
      </c>
      <c r="DZ91">
        <v>2.07658</v>
      </c>
      <c r="EA91">
        <v>22.53717272727273</v>
      </c>
      <c r="EB91">
        <v>18.04066363636364</v>
      </c>
      <c r="EC91">
        <v>1499.971818181818</v>
      </c>
      <c r="ED91">
        <v>0.9729916363636363</v>
      </c>
      <c r="EE91">
        <v>0.02700812727272727</v>
      </c>
      <c r="EF91">
        <v>0</v>
      </c>
      <c r="EG91">
        <v>2.406072727272727</v>
      </c>
      <c r="EH91">
        <v>0</v>
      </c>
      <c r="EI91">
        <v>15076.85454545455</v>
      </c>
      <c r="EJ91">
        <v>12533.1</v>
      </c>
      <c r="EK91">
        <v>37.437</v>
      </c>
      <c r="EL91">
        <v>38.86354545454546</v>
      </c>
      <c r="EM91">
        <v>37.77254545454546</v>
      </c>
      <c r="EN91">
        <v>38.25</v>
      </c>
      <c r="EO91">
        <v>37.33490909090909</v>
      </c>
      <c r="EP91">
        <v>1459.461818181818</v>
      </c>
      <c r="EQ91">
        <v>40.51</v>
      </c>
      <c r="ER91">
        <v>0</v>
      </c>
      <c r="ES91">
        <v>218.6000001430511</v>
      </c>
      <c r="ET91">
        <v>0</v>
      </c>
      <c r="EU91">
        <v>2.300111538461538</v>
      </c>
      <c r="EV91">
        <v>0.2528170935828744</v>
      </c>
      <c r="EW91">
        <v>111.6547008874777</v>
      </c>
      <c r="EX91">
        <v>15068.98076923077</v>
      </c>
      <c r="EY91">
        <v>15</v>
      </c>
      <c r="EZ91">
        <v>1651775102.6</v>
      </c>
      <c r="FA91" t="s">
        <v>575</v>
      </c>
      <c r="FB91">
        <v>1651775093.6</v>
      </c>
      <c r="FC91">
        <v>1651775102.6</v>
      </c>
      <c r="FD91">
        <v>1</v>
      </c>
      <c r="FE91">
        <v>0.551</v>
      </c>
      <c r="FF91">
        <v>-0.043</v>
      </c>
      <c r="FG91">
        <v>-1.334</v>
      </c>
      <c r="FH91">
        <v>0.035</v>
      </c>
      <c r="FI91">
        <v>480</v>
      </c>
      <c r="FJ91">
        <v>23</v>
      </c>
      <c r="FK91">
        <v>0.02</v>
      </c>
      <c r="FL91">
        <v>0.01</v>
      </c>
      <c r="FM91">
        <v>-27.80398</v>
      </c>
      <c r="FN91">
        <v>-0.35225290806743</v>
      </c>
      <c r="FO91">
        <v>0.04406950873336354</v>
      </c>
      <c r="FP91">
        <v>0</v>
      </c>
      <c r="FQ91">
        <v>7.364800249999999</v>
      </c>
      <c r="FR91">
        <v>0.04958555347089273</v>
      </c>
      <c r="FS91">
        <v>0.005398010970487198</v>
      </c>
      <c r="FT91">
        <v>1</v>
      </c>
      <c r="FU91">
        <v>0</v>
      </c>
      <c r="FV91">
        <v>0</v>
      </c>
      <c r="FW91">
        <v>0</v>
      </c>
      <c r="FX91">
        <v>1</v>
      </c>
      <c r="FY91">
        <v>2</v>
      </c>
      <c r="FZ91">
        <v>3</v>
      </c>
      <c r="GA91" t="s">
        <v>421</v>
      </c>
      <c r="GB91">
        <v>2.97979</v>
      </c>
      <c r="GC91">
        <v>2.70604</v>
      </c>
      <c r="GD91">
        <v>0.0855402</v>
      </c>
      <c r="GE91">
        <v>0.0893365</v>
      </c>
      <c r="GF91">
        <v>0.125024</v>
      </c>
      <c r="GG91">
        <v>0.101574</v>
      </c>
      <c r="GH91">
        <v>28854.2</v>
      </c>
      <c r="GI91">
        <v>28796.3</v>
      </c>
      <c r="GJ91">
        <v>29342.8</v>
      </c>
      <c r="GK91">
        <v>29254.8</v>
      </c>
      <c r="GL91">
        <v>33983.1</v>
      </c>
      <c r="GM91">
        <v>34989.2</v>
      </c>
      <c r="GN91">
        <v>41304.5</v>
      </c>
      <c r="GO91">
        <v>41752.5</v>
      </c>
      <c r="GP91">
        <v>1.95095</v>
      </c>
      <c r="GQ91">
        <v>1.84827</v>
      </c>
      <c r="GR91">
        <v>0.0752695</v>
      </c>
      <c r="GS91">
        <v>0</v>
      </c>
      <c r="GT91">
        <v>28.6742</v>
      </c>
      <c r="GU91">
        <v>999.9</v>
      </c>
      <c r="GV91">
        <v>44.7</v>
      </c>
      <c r="GW91">
        <v>34.8</v>
      </c>
      <c r="GX91">
        <v>27.6633</v>
      </c>
      <c r="GY91">
        <v>62.7885</v>
      </c>
      <c r="GZ91">
        <v>35.6731</v>
      </c>
      <c r="HA91">
        <v>1</v>
      </c>
      <c r="HB91">
        <v>0.135556</v>
      </c>
      <c r="HC91">
        <v>0</v>
      </c>
      <c r="HD91">
        <v>20.3466</v>
      </c>
      <c r="HE91">
        <v>5.22328</v>
      </c>
      <c r="HF91">
        <v>12.0099</v>
      </c>
      <c r="HG91">
        <v>4.9913</v>
      </c>
      <c r="HH91">
        <v>3.29</v>
      </c>
      <c r="HI91">
        <v>555.7</v>
      </c>
      <c r="HJ91">
        <v>4003.7</v>
      </c>
      <c r="HK91">
        <v>4640.2</v>
      </c>
      <c r="HL91">
        <v>18.6</v>
      </c>
      <c r="HM91">
        <v>1.86768</v>
      </c>
      <c r="HN91">
        <v>1.86661</v>
      </c>
      <c r="HO91">
        <v>1.86615</v>
      </c>
      <c r="HP91">
        <v>1.866</v>
      </c>
      <c r="HQ91">
        <v>1.86783</v>
      </c>
      <c r="HR91">
        <v>1.87037</v>
      </c>
      <c r="HS91">
        <v>1.86904</v>
      </c>
      <c r="HT91">
        <v>1.87042</v>
      </c>
      <c r="HU91">
        <v>0</v>
      </c>
      <c r="HV91">
        <v>0</v>
      </c>
      <c r="HW91">
        <v>0</v>
      </c>
      <c r="HX91">
        <v>0</v>
      </c>
      <c r="HY91" t="s">
        <v>422</v>
      </c>
      <c r="HZ91" t="s">
        <v>423</v>
      </c>
      <c r="IA91" t="s">
        <v>424</v>
      </c>
      <c r="IB91" t="s">
        <v>424</v>
      </c>
      <c r="IC91" t="s">
        <v>424</v>
      </c>
      <c r="ID91" t="s">
        <v>424</v>
      </c>
      <c r="IE91">
        <v>0</v>
      </c>
      <c r="IF91">
        <v>100</v>
      </c>
      <c r="IG91">
        <v>100</v>
      </c>
      <c r="IH91">
        <v>-1.158</v>
      </c>
      <c r="II91">
        <v>0.0646</v>
      </c>
      <c r="IJ91">
        <v>-0.5134728609764008</v>
      </c>
      <c r="IK91">
        <v>-0.001826611574738555</v>
      </c>
      <c r="IL91">
        <v>3.313362389709971E-07</v>
      </c>
      <c r="IM91">
        <v>-1.629490614973607E-10</v>
      </c>
      <c r="IN91">
        <v>0.06459834545301171</v>
      </c>
      <c r="IO91">
        <v>0</v>
      </c>
      <c r="IP91">
        <v>0</v>
      </c>
      <c r="IQ91">
        <v>0</v>
      </c>
      <c r="IR91">
        <v>3</v>
      </c>
      <c r="IS91">
        <v>2280</v>
      </c>
      <c r="IT91">
        <v>1</v>
      </c>
      <c r="IU91">
        <v>25</v>
      </c>
      <c r="IV91">
        <v>3.3</v>
      </c>
      <c r="IW91">
        <v>3.1</v>
      </c>
      <c r="IX91">
        <v>1.00952</v>
      </c>
      <c r="IY91">
        <v>2.22656</v>
      </c>
      <c r="IZ91">
        <v>1.39648</v>
      </c>
      <c r="JA91">
        <v>2.35229</v>
      </c>
      <c r="JB91">
        <v>1.49536</v>
      </c>
      <c r="JC91">
        <v>2.37183</v>
      </c>
      <c r="JD91">
        <v>38.8211</v>
      </c>
      <c r="JE91">
        <v>24.0525</v>
      </c>
      <c r="JF91">
        <v>18</v>
      </c>
      <c r="JG91">
        <v>512.601</v>
      </c>
      <c r="JH91">
        <v>431.568</v>
      </c>
      <c r="JI91">
        <v>29.971</v>
      </c>
      <c r="JJ91">
        <v>29.2727</v>
      </c>
      <c r="JK91">
        <v>30.0001</v>
      </c>
      <c r="JL91">
        <v>29.1678</v>
      </c>
      <c r="JM91">
        <v>29.0958</v>
      </c>
      <c r="JN91">
        <v>20.2248</v>
      </c>
      <c r="JO91">
        <v>22.0695</v>
      </c>
      <c r="JP91">
        <v>0.491434</v>
      </c>
      <c r="JQ91">
        <v>-999.9</v>
      </c>
      <c r="JR91">
        <v>400</v>
      </c>
      <c r="JS91">
        <v>22.9995</v>
      </c>
      <c r="JT91">
        <v>100.304</v>
      </c>
      <c r="JU91">
        <v>100.212</v>
      </c>
    </row>
    <row r="92" spans="1:281">
      <c r="A92">
        <v>76</v>
      </c>
      <c r="B92">
        <v>1651775355.5</v>
      </c>
      <c r="C92">
        <v>3477.900000095367</v>
      </c>
      <c r="D92" t="s">
        <v>579</v>
      </c>
      <c r="E92" t="s">
        <v>580</v>
      </c>
      <c r="F92">
        <v>5</v>
      </c>
      <c r="G92" t="s">
        <v>572</v>
      </c>
      <c r="H92" t="s">
        <v>417</v>
      </c>
      <c r="I92">
        <v>1651775352.5</v>
      </c>
      <c r="J92">
        <f>(K92)/1000</f>
        <v>0</v>
      </c>
      <c r="K92">
        <f>IF(CZ92, AN92, AH92)</f>
        <v>0</v>
      </c>
      <c r="L92">
        <f>IF(CZ92, AI92, AG92)</f>
        <v>0</v>
      </c>
      <c r="M92">
        <f>DB92 - IF(AU92&gt;1, L92*CV92*100.0/(AW92*DP92), 0)</f>
        <v>0</v>
      </c>
      <c r="N92">
        <f>((T92-J92/2)*M92-L92)/(T92+J92/2)</f>
        <v>0</v>
      </c>
      <c r="O92">
        <f>N92*(DI92+DJ92)/1000.0</f>
        <v>0</v>
      </c>
      <c r="P92">
        <f>(DB92 - IF(AU92&gt;1, L92*CV92*100.0/(AW92*DP92), 0))*(DI92+DJ92)/1000.0</f>
        <v>0</v>
      </c>
      <c r="Q92">
        <f>2.0/((1/S92-1/R92)+SIGN(S92)*SQRT((1/S92-1/R92)*(1/S92-1/R92) + 4*CW92/((CW92+1)*(CW92+1))*(2*1/S92*1/R92-1/R92*1/R92)))</f>
        <v>0</v>
      </c>
      <c r="R92">
        <f>IF(LEFT(CX92,1)&lt;&gt;"0",IF(LEFT(CX92,1)="1",3.0,CY92),$D$5+$E$5*(DP92*DI92/($K$5*1000))+$F$5*(DP92*DI92/($K$5*1000))*MAX(MIN(CV92,$J$5),$I$5)*MAX(MIN(CV92,$J$5),$I$5)+$G$5*MAX(MIN(CV92,$J$5),$I$5)*(DP92*DI92/($K$5*1000))+$H$5*(DP92*DI92/($K$5*1000))*(DP92*DI92/($K$5*1000)))</f>
        <v>0</v>
      </c>
      <c r="S92">
        <f>J92*(1000-(1000*0.61365*exp(17.502*W92/(240.97+W92))/(DI92+DJ92)+DD92)/2)/(1000*0.61365*exp(17.502*W92/(240.97+W92))/(DI92+DJ92)-DD92)</f>
        <v>0</v>
      </c>
      <c r="T92">
        <f>1/((CW92+1)/(Q92/1.6)+1/(R92/1.37)) + CW92/((CW92+1)/(Q92/1.6) + CW92/(R92/1.37))</f>
        <v>0</v>
      </c>
      <c r="U92">
        <f>(CR92*CU92)</f>
        <v>0</v>
      </c>
      <c r="V92">
        <f>(DK92+(U92+2*0.95*5.67E-8*(((DK92+$B$7)+273)^4-(DK92+273)^4)-44100*J92)/(1.84*29.3*R92+8*0.95*5.67E-8*(DK92+273)^3))</f>
        <v>0</v>
      </c>
      <c r="W92">
        <f>($C$7*DL92+$D$7*DM92+$E$7*V92)</f>
        <v>0</v>
      </c>
      <c r="X92">
        <f>0.61365*exp(17.502*W92/(240.97+W92))</f>
        <v>0</v>
      </c>
      <c r="Y92">
        <f>(Z92/AA92*100)</f>
        <v>0</v>
      </c>
      <c r="Z92">
        <f>DD92*(DI92+DJ92)/1000</f>
        <v>0</v>
      </c>
      <c r="AA92">
        <f>0.61365*exp(17.502*DK92/(240.97+DK92))</f>
        <v>0</v>
      </c>
      <c r="AB92">
        <f>(X92-DD92*(DI92+DJ92)/1000)</f>
        <v>0</v>
      </c>
      <c r="AC92">
        <f>(-J92*44100)</f>
        <v>0</v>
      </c>
      <c r="AD92">
        <f>2*29.3*R92*0.92*(DK92-W92)</f>
        <v>0</v>
      </c>
      <c r="AE92">
        <f>2*0.95*5.67E-8*(((DK92+$B$7)+273)^4-(W92+273)^4)</f>
        <v>0</v>
      </c>
      <c r="AF92">
        <f>U92+AE92+AC92+AD92</f>
        <v>0</v>
      </c>
      <c r="AG92">
        <f>DH92*AU92*(DC92-DB92*(1000-AU92*DE92)/(1000-AU92*DD92))/(100*CV92)</f>
        <v>0</v>
      </c>
      <c r="AH92">
        <f>1000*DH92*AU92*(DD92-DE92)/(100*CV92*(1000-AU92*DD92))</f>
        <v>0</v>
      </c>
      <c r="AI92">
        <f>(AJ92 - AK92 - DI92*1E3/(8.314*(DK92+273.15)) * AM92/DH92 * AL92) * DH92/(100*CV92) * (1000 - DE92)/1000</f>
        <v>0</v>
      </c>
      <c r="AJ92">
        <v>306.9594320926547</v>
      </c>
      <c r="AK92">
        <v>287.8930121212121</v>
      </c>
      <c r="AL92">
        <v>-0.01191665492433057</v>
      </c>
      <c r="AM92">
        <v>66.79449453128035</v>
      </c>
      <c r="AN92">
        <f>(AP92 - AO92 + DI92*1E3/(8.314*(DK92+273.15)) * AR92/DH92 * AQ92) * DH92/(100*CV92) * 1000/(1000 - AP92)</f>
        <v>0</v>
      </c>
      <c r="AO92">
        <v>22.94723640722395</v>
      </c>
      <c r="AP92">
        <v>30.42368969696969</v>
      </c>
      <c r="AQ92">
        <v>0.0001719391227154174</v>
      </c>
      <c r="AR92">
        <v>78.18817170517835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MAX(0,($B$13+$C$13*DP92)/(1+$D$13*DP92)*DI92/(DK92+273)*$E$13)</f>
        <v>0</v>
      </c>
      <c r="AX92" t="s">
        <v>418</v>
      </c>
      <c r="AY92" t="s">
        <v>418</v>
      </c>
      <c r="AZ92">
        <v>0</v>
      </c>
      <c r="BA92">
        <v>0</v>
      </c>
      <c r="BB92">
        <f>1-AZ92/BA92</f>
        <v>0</v>
      </c>
      <c r="BC92">
        <v>0</v>
      </c>
      <c r="BD92" t="s">
        <v>418</v>
      </c>
      <c r="BE92" t="s">
        <v>418</v>
      </c>
      <c r="BF92">
        <v>0</v>
      </c>
      <c r="BG92">
        <v>0</v>
      </c>
      <c r="BH92">
        <f>1-BF92/BG92</f>
        <v>0</v>
      </c>
      <c r="BI92">
        <v>0.5</v>
      </c>
      <c r="BJ92">
        <f>CS92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418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1219</v>
      </c>
      <c r="CA92">
        <v>300</v>
      </c>
      <c r="CB92">
        <v>300</v>
      </c>
      <c r="CC92">
        <v>300</v>
      </c>
      <c r="CD92">
        <v>10383.1</v>
      </c>
      <c r="CE92">
        <v>1.46</v>
      </c>
      <c r="CF92">
        <v>-0.00732287</v>
      </c>
      <c r="CG92">
        <v>0.53</v>
      </c>
      <c r="CH92" t="s">
        <v>418</v>
      </c>
      <c r="CI92" t="s">
        <v>418</v>
      </c>
      <c r="CJ92" t="s">
        <v>418</v>
      </c>
      <c r="CK92" t="s">
        <v>418</v>
      </c>
      <c r="CL92" t="s">
        <v>418</v>
      </c>
      <c r="CM92" t="s">
        <v>418</v>
      </c>
      <c r="CN92" t="s">
        <v>418</v>
      </c>
      <c r="CO92" t="s">
        <v>418</v>
      </c>
      <c r="CP92" t="s">
        <v>418</v>
      </c>
      <c r="CQ92" t="s">
        <v>418</v>
      </c>
      <c r="CR92">
        <f>$B$11*DQ92+$C$11*DR92+$F$11*EC92*(1-EF92)</f>
        <v>0</v>
      </c>
      <c r="CS92">
        <f>CR92*CT92</f>
        <v>0</v>
      </c>
      <c r="CT92">
        <f>($B$11*$D$9+$C$11*$D$9+$F$11*((EP92+EH92)/MAX(EP92+EH92+EQ92, 0.1)*$I$9+EQ92/MAX(EP92+EH92+EQ92, 0.1)*$J$9))/($B$11+$C$11+$F$11)</f>
        <v>0</v>
      </c>
      <c r="CU92">
        <f>($B$11*$K$9+$C$11*$K$9+$F$11*((EP92+EH92)/MAX(EP92+EH92+EQ92, 0.1)*$P$9+EQ92/MAX(EP92+EH92+EQ92, 0.1)*$Q$9))/($B$11+$C$11+$F$11)</f>
        <v>0</v>
      </c>
      <c r="CV92">
        <v>6</v>
      </c>
      <c r="CW92">
        <v>0.5</v>
      </c>
      <c r="CX92" t="s">
        <v>419</v>
      </c>
      <c r="CY92">
        <v>2</v>
      </c>
      <c r="CZ92" t="b">
        <v>1</v>
      </c>
      <c r="DA92">
        <v>1651775352.5</v>
      </c>
      <c r="DB92">
        <v>279.1662727272728</v>
      </c>
      <c r="DC92">
        <v>299.9401818181818</v>
      </c>
      <c r="DD92">
        <v>30.42037272727273</v>
      </c>
      <c r="DE92">
        <v>22.94532727272727</v>
      </c>
      <c r="DF92">
        <v>280.1689999999999</v>
      </c>
      <c r="DG92">
        <v>30.35578181818181</v>
      </c>
      <c r="DH92">
        <v>500.0586363636364</v>
      </c>
      <c r="DI92">
        <v>90.26409090909091</v>
      </c>
      <c r="DJ92">
        <v>0.09998546363636364</v>
      </c>
      <c r="DK92">
        <v>30.82780909090909</v>
      </c>
      <c r="DL92">
        <v>29.92129090909091</v>
      </c>
      <c r="DM92">
        <v>999.9</v>
      </c>
      <c r="DN92">
        <v>0</v>
      </c>
      <c r="DO92">
        <v>0</v>
      </c>
      <c r="DP92">
        <v>9998.982727272727</v>
      </c>
      <c r="DQ92">
        <v>0</v>
      </c>
      <c r="DR92">
        <v>13.3212</v>
      </c>
      <c r="DS92">
        <v>-20.77396363636364</v>
      </c>
      <c r="DT92">
        <v>287.925</v>
      </c>
      <c r="DU92">
        <v>306.9840909090909</v>
      </c>
      <c r="DV92">
        <v>7.475057272727272</v>
      </c>
      <c r="DW92">
        <v>299.9401818181818</v>
      </c>
      <c r="DX92">
        <v>22.94532727272727</v>
      </c>
      <c r="DY92">
        <v>2.745868181818182</v>
      </c>
      <c r="DZ92">
        <v>2.071138181818182</v>
      </c>
      <c r="EA92">
        <v>22.56222727272727</v>
      </c>
      <c r="EB92">
        <v>17.99892727272727</v>
      </c>
      <c r="EC92">
        <v>1500.041818181818</v>
      </c>
      <c r="ED92">
        <v>0.9729949090909091</v>
      </c>
      <c r="EE92">
        <v>0.02700518181818181</v>
      </c>
      <c r="EF92">
        <v>0</v>
      </c>
      <c r="EG92">
        <v>2.212081818181818</v>
      </c>
      <c r="EH92">
        <v>0</v>
      </c>
      <c r="EI92">
        <v>14114.92727272727</v>
      </c>
      <c r="EJ92">
        <v>12533.7</v>
      </c>
      <c r="EK92">
        <v>37.437</v>
      </c>
      <c r="EL92">
        <v>38.812</v>
      </c>
      <c r="EM92">
        <v>37.77818181818182</v>
      </c>
      <c r="EN92">
        <v>38.24427272727273</v>
      </c>
      <c r="EO92">
        <v>37.375</v>
      </c>
      <c r="EP92">
        <v>1459.530909090909</v>
      </c>
      <c r="EQ92">
        <v>40.51090909090909</v>
      </c>
      <c r="ER92">
        <v>0</v>
      </c>
      <c r="ES92">
        <v>65.40000009536743</v>
      </c>
      <c r="ET92">
        <v>0</v>
      </c>
      <c r="EU92">
        <v>2.346342307692308</v>
      </c>
      <c r="EV92">
        <v>-0.8993743589151905</v>
      </c>
      <c r="EW92">
        <v>-86.29743574606995</v>
      </c>
      <c r="EX92">
        <v>14120.80769230769</v>
      </c>
      <c r="EY92">
        <v>15</v>
      </c>
      <c r="EZ92">
        <v>1651775102.6</v>
      </c>
      <c r="FA92" t="s">
        <v>575</v>
      </c>
      <c r="FB92">
        <v>1651775093.6</v>
      </c>
      <c r="FC92">
        <v>1651775102.6</v>
      </c>
      <c r="FD92">
        <v>1</v>
      </c>
      <c r="FE92">
        <v>0.551</v>
      </c>
      <c r="FF92">
        <v>-0.043</v>
      </c>
      <c r="FG92">
        <v>-1.334</v>
      </c>
      <c r="FH92">
        <v>0.035</v>
      </c>
      <c r="FI92">
        <v>480</v>
      </c>
      <c r="FJ92">
        <v>23</v>
      </c>
      <c r="FK92">
        <v>0.02</v>
      </c>
      <c r="FL92">
        <v>0.01</v>
      </c>
      <c r="FM92">
        <v>-20.8099175</v>
      </c>
      <c r="FN92">
        <v>-0.09054821763599064</v>
      </c>
      <c r="FO92">
        <v>0.1790334380604642</v>
      </c>
      <c r="FP92">
        <v>1</v>
      </c>
      <c r="FQ92">
        <v>7.463050999999998</v>
      </c>
      <c r="FR92">
        <v>0.1144491557223033</v>
      </c>
      <c r="FS92">
        <v>0.01141582822225348</v>
      </c>
      <c r="FT92">
        <v>1</v>
      </c>
      <c r="FU92">
        <v>0</v>
      </c>
      <c r="FV92">
        <v>0</v>
      </c>
      <c r="FW92">
        <v>0</v>
      </c>
      <c r="FX92">
        <v>1</v>
      </c>
      <c r="FY92">
        <v>3</v>
      </c>
      <c r="FZ92">
        <v>3</v>
      </c>
      <c r="GA92" t="s">
        <v>581</v>
      </c>
      <c r="GB92">
        <v>2.97955</v>
      </c>
      <c r="GC92">
        <v>2.70612</v>
      </c>
      <c r="GD92">
        <v>0.0678298</v>
      </c>
      <c r="GE92">
        <v>0.0711155</v>
      </c>
      <c r="GF92">
        <v>0.12516</v>
      </c>
      <c r="GG92">
        <v>0.101375</v>
      </c>
      <c r="GH92">
        <v>29413.6</v>
      </c>
      <c r="GI92">
        <v>29374.2</v>
      </c>
      <c r="GJ92">
        <v>29343.2</v>
      </c>
      <c r="GK92">
        <v>29256.3</v>
      </c>
      <c r="GL92">
        <v>33977.5</v>
      </c>
      <c r="GM92">
        <v>34998.5</v>
      </c>
      <c r="GN92">
        <v>41304.7</v>
      </c>
      <c r="GO92">
        <v>41754.6</v>
      </c>
      <c r="GP92">
        <v>1.95075</v>
      </c>
      <c r="GQ92">
        <v>1.848</v>
      </c>
      <c r="GR92">
        <v>0.07487829999999999</v>
      </c>
      <c r="GS92">
        <v>0</v>
      </c>
      <c r="GT92">
        <v>28.7001</v>
      </c>
      <c r="GU92">
        <v>999.9</v>
      </c>
      <c r="GV92">
        <v>44.6</v>
      </c>
      <c r="GW92">
        <v>34.8</v>
      </c>
      <c r="GX92">
        <v>27.6013</v>
      </c>
      <c r="GY92">
        <v>62.7285</v>
      </c>
      <c r="GZ92">
        <v>35.8253</v>
      </c>
      <c r="HA92">
        <v>1</v>
      </c>
      <c r="HB92">
        <v>0.134405</v>
      </c>
      <c r="HC92">
        <v>0</v>
      </c>
      <c r="HD92">
        <v>20.3467</v>
      </c>
      <c r="HE92">
        <v>5.22343</v>
      </c>
      <c r="HF92">
        <v>12.0099</v>
      </c>
      <c r="HG92">
        <v>4.9908</v>
      </c>
      <c r="HH92">
        <v>3.29</v>
      </c>
      <c r="HI92">
        <v>557</v>
      </c>
      <c r="HJ92">
        <v>4010.2</v>
      </c>
      <c r="HK92">
        <v>4640.4</v>
      </c>
      <c r="HL92">
        <v>18.6</v>
      </c>
      <c r="HM92">
        <v>1.86768</v>
      </c>
      <c r="HN92">
        <v>1.86661</v>
      </c>
      <c r="HO92">
        <v>1.86615</v>
      </c>
      <c r="HP92">
        <v>1.866</v>
      </c>
      <c r="HQ92">
        <v>1.86783</v>
      </c>
      <c r="HR92">
        <v>1.8704</v>
      </c>
      <c r="HS92">
        <v>1.86905</v>
      </c>
      <c r="HT92">
        <v>1.8704</v>
      </c>
      <c r="HU92">
        <v>0</v>
      </c>
      <c r="HV92">
        <v>0</v>
      </c>
      <c r="HW92">
        <v>0</v>
      </c>
      <c r="HX92">
        <v>0</v>
      </c>
      <c r="HY92" t="s">
        <v>422</v>
      </c>
      <c r="HZ92" t="s">
        <v>423</v>
      </c>
      <c r="IA92" t="s">
        <v>424</v>
      </c>
      <c r="IB92" t="s">
        <v>424</v>
      </c>
      <c r="IC92" t="s">
        <v>424</v>
      </c>
      <c r="ID92" t="s">
        <v>424</v>
      </c>
      <c r="IE92">
        <v>0</v>
      </c>
      <c r="IF92">
        <v>100</v>
      </c>
      <c r="IG92">
        <v>100</v>
      </c>
      <c r="IH92">
        <v>-1.003</v>
      </c>
      <c r="II92">
        <v>0.0646</v>
      </c>
      <c r="IJ92">
        <v>-0.5134728609764008</v>
      </c>
      <c r="IK92">
        <v>-0.001826611574738555</v>
      </c>
      <c r="IL92">
        <v>3.313362389709971E-07</v>
      </c>
      <c r="IM92">
        <v>-1.629490614973607E-10</v>
      </c>
      <c r="IN92">
        <v>0.06459834545301171</v>
      </c>
      <c r="IO92">
        <v>0</v>
      </c>
      <c r="IP92">
        <v>0</v>
      </c>
      <c r="IQ92">
        <v>0</v>
      </c>
      <c r="IR92">
        <v>3</v>
      </c>
      <c r="IS92">
        <v>2280</v>
      </c>
      <c r="IT92">
        <v>1</v>
      </c>
      <c r="IU92">
        <v>25</v>
      </c>
      <c r="IV92">
        <v>4.4</v>
      </c>
      <c r="IW92">
        <v>4.2</v>
      </c>
      <c r="IX92">
        <v>0.805664</v>
      </c>
      <c r="IY92">
        <v>2.23511</v>
      </c>
      <c r="IZ92">
        <v>1.39648</v>
      </c>
      <c r="JA92">
        <v>2.35352</v>
      </c>
      <c r="JB92">
        <v>1.49536</v>
      </c>
      <c r="JC92">
        <v>2.30713</v>
      </c>
      <c r="JD92">
        <v>38.8211</v>
      </c>
      <c r="JE92">
        <v>24.0525</v>
      </c>
      <c r="JF92">
        <v>18</v>
      </c>
      <c r="JG92">
        <v>512.38</v>
      </c>
      <c r="JH92">
        <v>431.33</v>
      </c>
      <c r="JI92">
        <v>29.9725</v>
      </c>
      <c r="JJ92">
        <v>29.2614</v>
      </c>
      <c r="JK92">
        <v>30.0001</v>
      </c>
      <c r="JL92">
        <v>29.1571</v>
      </c>
      <c r="JM92">
        <v>29.0859</v>
      </c>
      <c r="JN92">
        <v>16.1356</v>
      </c>
      <c r="JO92">
        <v>21.7474</v>
      </c>
      <c r="JP92">
        <v>0.491434</v>
      </c>
      <c r="JQ92">
        <v>-999.9</v>
      </c>
      <c r="JR92">
        <v>300</v>
      </c>
      <c r="JS92">
        <v>23.0288</v>
      </c>
      <c r="JT92">
        <v>100.305</v>
      </c>
      <c r="JU92">
        <v>100.217</v>
      </c>
    </row>
    <row r="93" spans="1:281">
      <c r="A93">
        <v>77</v>
      </c>
      <c r="B93">
        <v>1651775422.5</v>
      </c>
      <c r="C93">
        <v>3544.900000095367</v>
      </c>
      <c r="D93" t="s">
        <v>582</v>
      </c>
      <c r="E93" t="s">
        <v>583</v>
      </c>
      <c r="F93">
        <v>5</v>
      </c>
      <c r="G93" t="s">
        <v>572</v>
      </c>
      <c r="H93" t="s">
        <v>417</v>
      </c>
      <c r="I93">
        <v>1651775419.5</v>
      </c>
      <c r="J93">
        <f>(K93)/1000</f>
        <v>0</v>
      </c>
      <c r="K93">
        <f>IF(CZ93, AN93, AH93)</f>
        <v>0</v>
      </c>
      <c r="L93">
        <f>IF(CZ93, AI93, AG93)</f>
        <v>0</v>
      </c>
      <c r="M93">
        <f>DB93 - IF(AU93&gt;1, L93*CV93*100.0/(AW93*DP93), 0)</f>
        <v>0</v>
      </c>
      <c r="N93">
        <f>((T93-J93/2)*M93-L93)/(T93+J93/2)</f>
        <v>0</v>
      </c>
      <c r="O93">
        <f>N93*(DI93+DJ93)/1000.0</f>
        <v>0</v>
      </c>
      <c r="P93">
        <f>(DB93 - IF(AU93&gt;1, L93*CV93*100.0/(AW93*DP93), 0))*(DI93+DJ93)/1000.0</f>
        <v>0</v>
      </c>
      <c r="Q93">
        <f>2.0/((1/S93-1/R93)+SIGN(S93)*SQRT((1/S93-1/R93)*(1/S93-1/R93) + 4*CW93/((CW93+1)*(CW93+1))*(2*1/S93*1/R93-1/R93*1/R93)))</f>
        <v>0</v>
      </c>
      <c r="R93">
        <f>IF(LEFT(CX93,1)&lt;&gt;"0",IF(LEFT(CX93,1)="1",3.0,CY93),$D$5+$E$5*(DP93*DI93/($K$5*1000))+$F$5*(DP93*DI93/($K$5*1000))*MAX(MIN(CV93,$J$5),$I$5)*MAX(MIN(CV93,$J$5),$I$5)+$G$5*MAX(MIN(CV93,$J$5),$I$5)*(DP93*DI93/($K$5*1000))+$H$5*(DP93*DI93/($K$5*1000))*(DP93*DI93/($K$5*1000)))</f>
        <v>0</v>
      </c>
      <c r="S93">
        <f>J93*(1000-(1000*0.61365*exp(17.502*W93/(240.97+W93))/(DI93+DJ93)+DD93)/2)/(1000*0.61365*exp(17.502*W93/(240.97+W93))/(DI93+DJ93)-DD93)</f>
        <v>0</v>
      </c>
      <c r="T93">
        <f>1/((CW93+1)/(Q93/1.6)+1/(R93/1.37)) + CW93/((CW93+1)/(Q93/1.6) + CW93/(R93/1.37))</f>
        <v>0</v>
      </c>
      <c r="U93">
        <f>(CR93*CU93)</f>
        <v>0</v>
      </c>
      <c r="V93">
        <f>(DK93+(U93+2*0.95*5.67E-8*(((DK93+$B$7)+273)^4-(DK93+273)^4)-44100*J93)/(1.84*29.3*R93+8*0.95*5.67E-8*(DK93+273)^3))</f>
        <v>0</v>
      </c>
      <c r="W93">
        <f>($C$7*DL93+$D$7*DM93+$E$7*V93)</f>
        <v>0</v>
      </c>
      <c r="X93">
        <f>0.61365*exp(17.502*W93/(240.97+W93))</f>
        <v>0</v>
      </c>
      <c r="Y93">
        <f>(Z93/AA93*100)</f>
        <v>0</v>
      </c>
      <c r="Z93">
        <f>DD93*(DI93+DJ93)/1000</f>
        <v>0</v>
      </c>
      <c r="AA93">
        <f>0.61365*exp(17.502*DK93/(240.97+DK93))</f>
        <v>0</v>
      </c>
      <c r="AB93">
        <f>(X93-DD93*(DI93+DJ93)/1000)</f>
        <v>0</v>
      </c>
      <c r="AC93">
        <f>(-J93*44100)</f>
        <v>0</v>
      </c>
      <c r="AD93">
        <f>2*29.3*R93*0.92*(DK93-W93)</f>
        <v>0</v>
      </c>
      <c r="AE93">
        <f>2*0.95*5.67E-8*(((DK93+$B$7)+273)^4-(W93+273)^4)</f>
        <v>0</v>
      </c>
      <c r="AF93">
        <f>U93+AE93+AC93+AD93</f>
        <v>0</v>
      </c>
      <c r="AG93">
        <f>DH93*AU93*(DC93-DB93*(1000-AU93*DE93)/(1000-AU93*DD93))/(100*CV93)</f>
        <v>0</v>
      </c>
      <c r="AH93">
        <f>1000*DH93*AU93*(DD93-DE93)/(100*CV93*(1000-AU93*DD93))</f>
        <v>0</v>
      </c>
      <c r="AI93">
        <f>(AJ93 - AK93 - DI93*1E3/(8.314*(DK93+273.15)) * AM93/DH93 * AL93) * DH93/(100*CV93) * (1000 - DE93)/1000</f>
        <v>0</v>
      </c>
      <c r="AJ93">
        <v>204.6618921468378</v>
      </c>
      <c r="AK93">
        <v>193.2152606060606</v>
      </c>
      <c r="AL93">
        <v>0.0003541858541872527</v>
      </c>
      <c r="AM93">
        <v>66.79449453128035</v>
      </c>
      <c r="AN93">
        <f>(AP93 - AO93 + DI93*1E3/(8.314*(DK93+273.15)) * AR93/DH93 * AQ93) * DH93/(100*CV93) * 1000/(1000 - AP93)</f>
        <v>0</v>
      </c>
      <c r="AO93">
        <v>22.95119079253713</v>
      </c>
      <c r="AP93">
        <v>30.51986303030301</v>
      </c>
      <c r="AQ93">
        <v>2.091297356652387E-05</v>
      </c>
      <c r="AR93">
        <v>78.18817170517835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MAX(0,($B$13+$C$13*DP93)/(1+$D$13*DP93)*DI93/(DK93+273)*$E$13)</f>
        <v>0</v>
      </c>
      <c r="AX93" t="s">
        <v>573</v>
      </c>
      <c r="AY93">
        <v>10510</v>
      </c>
      <c r="AZ93">
        <v>590.42</v>
      </c>
      <c r="BA93">
        <v>2650.6</v>
      </c>
      <c r="BB93">
        <f>1-AZ93/BA93</f>
        <v>0</v>
      </c>
      <c r="BC93">
        <v>-1.816883183993991</v>
      </c>
      <c r="BD93" t="s">
        <v>584</v>
      </c>
      <c r="BE93">
        <v>10380.8</v>
      </c>
      <c r="BF93">
        <v>2.297861538461539</v>
      </c>
      <c r="BG93">
        <v>2.23765</v>
      </c>
      <c r="BH93">
        <f>1-BF93/BG93</f>
        <v>0</v>
      </c>
      <c r="BI93">
        <v>0.5</v>
      </c>
      <c r="BJ93">
        <f>CS93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418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1220</v>
      </c>
      <c r="CA93">
        <v>300</v>
      </c>
      <c r="CB93">
        <v>300</v>
      </c>
      <c r="CC93">
        <v>300</v>
      </c>
      <c r="CD93">
        <v>10380.8</v>
      </c>
      <c r="CE93">
        <v>1.08</v>
      </c>
      <c r="CF93">
        <v>-0.00732097</v>
      </c>
      <c r="CG93">
        <v>0.6</v>
      </c>
      <c r="CH93" t="s">
        <v>418</v>
      </c>
      <c r="CI93" t="s">
        <v>418</v>
      </c>
      <c r="CJ93" t="s">
        <v>418</v>
      </c>
      <c r="CK93" t="s">
        <v>418</v>
      </c>
      <c r="CL93" t="s">
        <v>418</v>
      </c>
      <c r="CM93" t="s">
        <v>418</v>
      </c>
      <c r="CN93" t="s">
        <v>418</v>
      </c>
      <c r="CO93" t="s">
        <v>418</v>
      </c>
      <c r="CP93" t="s">
        <v>418</v>
      </c>
      <c r="CQ93" t="s">
        <v>418</v>
      </c>
      <c r="CR93">
        <f>$B$11*DQ93+$C$11*DR93+$F$11*EC93*(1-EF93)</f>
        <v>0</v>
      </c>
      <c r="CS93">
        <f>CR93*CT93</f>
        <v>0</v>
      </c>
      <c r="CT93">
        <f>($B$11*$D$9+$C$11*$D$9+$F$11*((EP93+EH93)/MAX(EP93+EH93+EQ93, 0.1)*$I$9+EQ93/MAX(EP93+EH93+EQ93, 0.1)*$J$9))/($B$11+$C$11+$F$11)</f>
        <v>0</v>
      </c>
      <c r="CU93">
        <f>($B$11*$K$9+$C$11*$K$9+$F$11*((EP93+EH93)/MAX(EP93+EH93+EQ93, 0.1)*$P$9+EQ93/MAX(EP93+EH93+EQ93, 0.1)*$Q$9))/($B$11+$C$11+$F$11)</f>
        <v>0</v>
      </c>
      <c r="CV93">
        <v>6</v>
      </c>
      <c r="CW93">
        <v>0.5</v>
      </c>
      <c r="CX93" t="s">
        <v>419</v>
      </c>
      <c r="CY93">
        <v>2</v>
      </c>
      <c r="CZ93" t="b">
        <v>1</v>
      </c>
      <c r="DA93">
        <v>1651775419.5</v>
      </c>
      <c r="DB93">
        <v>187.3125454545455</v>
      </c>
      <c r="DC93">
        <v>199.9796363636364</v>
      </c>
      <c r="DD93">
        <v>30.51668181818182</v>
      </c>
      <c r="DE93">
        <v>22.95012727272727</v>
      </c>
      <c r="DF93">
        <v>188.1590909090909</v>
      </c>
      <c r="DG93">
        <v>30.45208181818182</v>
      </c>
      <c r="DH93">
        <v>500.0529090909091</v>
      </c>
      <c r="DI93">
        <v>90.25223636363636</v>
      </c>
      <c r="DJ93">
        <v>0.1000011909090909</v>
      </c>
      <c r="DK93">
        <v>30.80684545454545</v>
      </c>
      <c r="DL93">
        <v>29.88489090909091</v>
      </c>
      <c r="DM93">
        <v>999.9</v>
      </c>
      <c r="DN93">
        <v>0</v>
      </c>
      <c r="DO93">
        <v>0</v>
      </c>
      <c r="DP93">
        <v>10004.30454545455</v>
      </c>
      <c r="DQ93">
        <v>0</v>
      </c>
      <c r="DR93">
        <v>12.55396363636364</v>
      </c>
      <c r="DS93">
        <v>-12.66727272727273</v>
      </c>
      <c r="DT93">
        <v>193.2083636363636</v>
      </c>
      <c r="DU93">
        <v>204.6771818181818</v>
      </c>
      <c r="DV93">
        <v>7.566543636363636</v>
      </c>
      <c r="DW93">
        <v>199.9796363636364</v>
      </c>
      <c r="DX93">
        <v>22.95012727272727</v>
      </c>
      <c r="DY93">
        <v>2.7542</v>
      </c>
      <c r="DZ93">
        <v>2.0713</v>
      </c>
      <c r="EA93">
        <v>22.61211818181818</v>
      </c>
      <c r="EB93">
        <v>18.00019090909091</v>
      </c>
      <c r="EC93">
        <v>1499.991818181818</v>
      </c>
      <c r="ED93">
        <v>0.9729964545454546</v>
      </c>
      <c r="EE93">
        <v>0.02700371818181818</v>
      </c>
      <c r="EF93">
        <v>0</v>
      </c>
      <c r="EG93">
        <v>2.288509090909091</v>
      </c>
      <c r="EH93">
        <v>0</v>
      </c>
      <c r="EI93">
        <v>12988.87272727273</v>
      </c>
      <c r="EJ93">
        <v>12533.3</v>
      </c>
      <c r="EK93">
        <v>37.437</v>
      </c>
      <c r="EL93">
        <v>38.812</v>
      </c>
      <c r="EM93">
        <v>37.75</v>
      </c>
      <c r="EN93">
        <v>38.25</v>
      </c>
      <c r="EO93">
        <v>37.312</v>
      </c>
      <c r="EP93">
        <v>1459.486363636363</v>
      </c>
      <c r="EQ93">
        <v>40.51</v>
      </c>
      <c r="ER93">
        <v>0</v>
      </c>
      <c r="ES93">
        <v>132.6000001430511</v>
      </c>
      <c r="ET93">
        <v>0</v>
      </c>
      <c r="EU93">
        <v>2.297861538461539</v>
      </c>
      <c r="EV93">
        <v>-0.3033367718063248</v>
      </c>
      <c r="EW93">
        <v>-226.246154032981</v>
      </c>
      <c r="EX93">
        <v>13005.81923076923</v>
      </c>
      <c r="EY93">
        <v>15</v>
      </c>
      <c r="EZ93">
        <v>1651775102.6</v>
      </c>
      <c r="FA93" t="s">
        <v>575</v>
      </c>
      <c r="FB93">
        <v>1651775093.6</v>
      </c>
      <c r="FC93">
        <v>1651775102.6</v>
      </c>
      <c r="FD93">
        <v>1</v>
      </c>
      <c r="FE93">
        <v>0.551</v>
      </c>
      <c r="FF93">
        <v>-0.043</v>
      </c>
      <c r="FG93">
        <v>-1.334</v>
      </c>
      <c r="FH93">
        <v>0.035</v>
      </c>
      <c r="FI93">
        <v>480</v>
      </c>
      <c r="FJ93">
        <v>23</v>
      </c>
      <c r="FK93">
        <v>0.02</v>
      </c>
      <c r="FL93">
        <v>0.01</v>
      </c>
      <c r="FM93">
        <v>-12.663715</v>
      </c>
      <c r="FN93">
        <v>-0.07144615384613788</v>
      </c>
      <c r="FO93">
        <v>0.03753015154512442</v>
      </c>
      <c r="FP93">
        <v>1</v>
      </c>
      <c r="FQ93">
        <v>7.554227249999999</v>
      </c>
      <c r="FR93">
        <v>0.08519966228890774</v>
      </c>
      <c r="FS93">
        <v>0.00828883073403593</v>
      </c>
      <c r="FT93">
        <v>1</v>
      </c>
      <c r="FU93">
        <v>0</v>
      </c>
      <c r="FV93">
        <v>0</v>
      </c>
      <c r="FW93">
        <v>0</v>
      </c>
      <c r="FX93">
        <v>1</v>
      </c>
      <c r="FY93">
        <v>3</v>
      </c>
      <c r="FZ93">
        <v>3</v>
      </c>
      <c r="GA93" t="s">
        <v>581</v>
      </c>
      <c r="GB93">
        <v>2.97979</v>
      </c>
      <c r="GC93">
        <v>2.70611</v>
      </c>
      <c r="GD93">
        <v>0.0479669</v>
      </c>
      <c r="GE93">
        <v>0.0501997</v>
      </c>
      <c r="GF93">
        <v>0.125429</v>
      </c>
      <c r="GG93">
        <v>0.101371</v>
      </c>
      <c r="GH93">
        <v>30041</v>
      </c>
      <c r="GI93">
        <v>30034.9</v>
      </c>
      <c r="GJ93">
        <v>29343.7</v>
      </c>
      <c r="GK93">
        <v>29255.6</v>
      </c>
      <c r="GL93">
        <v>33967.6</v>
      </c>
      <c r="GM93">
        <v>34997.4</v>
      </c>
      <c r="GN93">
        <v>41306</v>
      </c>
      <c r="GO93">
        <v>41753.7</v>
      </c>
      <c r="GP93">
        <v>1.95147</v>
      </c>
      <c r="GQ93">
        <v>1.84775</v>
      </c>
      <c r="GR93">
        <v>0.0740252</v>
      </c>
      <c r="GS93">
        <v>0</v>
      </c>
      <c r="GT93">
        <v>28.678</v>
      </c>
      <c r="GU93">
        <v>999.9</v>
      </c>
      <c r="GV93">
        <v>44.5</v>
      </c>
      <c r="GW93">
        <v>34.8</v>
      </c>
      <c r="GX93">
        <v>27.5448</v>
      </c>
      <c r="GY93">
        <v>62.5385</v>
      </c>
      <c r="GZ93">
        <v>35.8013</v>
      </c>
      <c r="HA93">
        <v>1</v>
      </c>
      <c r="HB93">
        <v>0.13372</v>
      </c>
      <c r="HC93">
        <v>0</v>
      </c>
      <c r="HD93">
        <v>20.3463</v>
      </c>
      <c r="HE93">
        <v>5.22208</v>
      </c>
      <c r="HF93">
        <v>12.0099</v>
      </c>
      <c r="HG93">
        <v>4.99035</v>
      </c>
      <c r="HH93">
        <v>3.28953</v>
      </c>
      <c r="HI93">
        <v>558.5</v>
      </c>
      <c r="HJ93">
        <v>4017.6</v>
      </c>
      <c r="HK93">
        <v>4640.7</v>
      </c>
      <c r="HL93">
        <v>18.6</v>
      </c>
      <c r="HM93">
        <v>1.86768</v>
      </c>
      <c r="HN93">
        <v>1.86661</v>
      </c>
      <c r="HO93">
        <v>1.86615</v>
      </c>
      <c r="HP93">
        <v>1.866</v>
      </c>
      <c r="HQ93">
        <v>1.86783</v>
      </c>
      <c r="HR93">
        <v>1.87041</v>
      </c>
      <c r="HS93">
        <v>1.86904</v>
      </c>
      <c r="HT93">
        <v>1.87039</v>
      </c>
      <c r="HU93">
        <v>0</v>
      </c>
      <c r="HV93">
        <v>0</v>
      </c>
      <c r="HW93">
        <v>0</v>
      </c>
      <c r="HX93">
        <v>0</v>
      </c>
      <c r="HY93" t="s">
        <v>422</v>
      </c>
      <c r="HZ93" t="s">
        <v>423</v>
      </c>
      <c r="IA93" t="s">
        <v>424</v>
      </c>
      <c r="IB93" t="s">
        <v>424</v>
      </c>
      <c r="IC93" t="s">
        <v>424</v>
      </c>
      <c r="ID93" t="s">
        <v>424</v>
      </c>
      <c r="IE93">
        <v>0</v>
      </c>
      <c r="IF93">
        <v>100</v>
      </c>
      <c r="IG93">
        <v>100</v>
      </c>
      <c r="IH93">
        <v>-0.846</v>
      </c>
      <c r="II93">
        <v>0.0646</v>
      </c>
      <c r="IJ93">
        <v>-0.5134728609764008</v>
      </c>
      <c r="IK93">
        <v>-0.001826611574738555</v>
      </c>
      <c r="IL93">
        <v>3.313362389709971E-07</v>
      </c>
      <c r="IM93">
        <v>-1.629490614973607E-10</v>
      </c>
      <c r="IN93">
        <v>0.06459834545301171</v>
      </c>
      <c r="IO93">
        <v>0</v>
      </c>
      <c r="IP93">
        <v>0</v>
      </c>
      <c r="IQ93">
        <v>0</v>
      </c>
      <c r="IR93">
        <v>3</v>
      </c>
      <c r="IS93">
        <v>2280</v>
      </c>
      <c r="IT93">
        <v>1</v>
      </c>
      <c r="IU93">
        <v>25</v>
      </c>
      <c r="IV93">
        <v>5.5</v>
      </c>
      <c r="IW93">
        <v>5.3</v>
      </c>
      <c r="IX93">
        <v>0.592041</v>
      </c>
      <c r="IY93">
        <v>2.24731</v>
      </c>
      <c r="IZ93">
        <v>1.39648</v>
      </c>
      <c r="JA93">
        <v>2.35229</v>
      </c>
      <c r="JB93">
        <v>1.49536</v>
      </c>
      <c r="JC93">
        <v>2.35962</v>
      </c>
      <c r="JD93">
        <v>38.7964</v>
      </c>
      <c r="JE93">
        <v>24.0525</v>
      </c>
      <c r="JF93">
        <v>18</v>
      </c>
      <c r="JG93">
        <v>512.772</v>
      </c>
      <c r="JH93">
        <v>431.09</v>
      </c>
      <c r="JI93">
        <v>29.9704</v>
      </c>
      <c r="JJ93">
        <v>29.2495</v>
      </c>
      <c r="JK93">
        <v>30.0001</v>
      </c>
      <c r="JL93">
        <v>29.1472</v>
      </c>
      <c r="JM93">
        <v>29.0736</v>
      </c>
      <c r="JN93">
        <v>11.8427</v>
      </c>
      <c r="JO93">
        <v>22.3586</v>
      </c>
      <c r="JP93">
        <v>0.491434</v>
      </c>
      <c r="JQ93">
        <v>-999.9</v>
      </c>
      <c r="JR93">
        <v>200</v>
      </c>
      <c r="JS93">
        <v>22.733</v>
      </c>
      <c r="JT93">
        <v>100.308</v>
      </c>
      <c r="JU93">
        <v>100.215</v>
      </c>
    </row>
    <row r="94" spans="1:281">
      <c r="A94">
        <v>78</v>
      </c>
      <c r="B94">
        <v>1651775489.5</v>
      </c>
      <c r="C94">
        <v>3611.900000095367</v>
      </c>
      <c r="D94" t="s">
        <v>585</v>
      </c>
      <c r="E94" t="s">
        <v>586</v>
      </c>
      <c r="F94">
        <v>5</v>
      </c>
      <c r="G94" t="s">
        <v>572</v>
      </c>
      <c r="H94" t="s">
        <v>417</v>
      </c>
      <c r="I94">
        <v>1651775486.75</v>
      </c>
      <c r="J94">
        <f>(K94)/1000</f>
        <v>0</v>
      </c>
      <c r="K94">
        <f>IF(CZ94, AN94, AH94)</f>
        <v>0</v>
      </c>
      <c r="L94">
        <f>IF(CZ94, AI94, AG94)</f>
        <v>0</v>
      </c>
      <c r="M94">
        <f>DB94 - IF(AU94&gt;1, L94*CV94*100.0/(AW94*DP94), 0)</f>
        <v>0</v>
      </c>
      <c r="N94">
        <f>((T94-J94/2)*M94-L94)/(T94+J94/2)</f>
        <v>0</v>
      </c>
      <c r="O94">
        <f>N94*(DI94+DJ94)/1000.0</f>
        <v>0</v>
      </c>
      <c r="P94">
        <f>(DB94 - IF(AU94&gt;1, L94*CV94*100.0/(AW94*DP94), 0))*(DI94+DJ94)/1000.0</f>
        <v>0</v>
      </c>
      <c r="Q94">
        <f>2.0/((1/S94-1/R94)+SIGN(S94)*SQRT((1/S94-1/R94)*(1/S94-1/R94) + 4*CW94/((CW94+1)*(CW94+1))*(2*1/S94*1/R94-1/R94*1/R94)))</f>
        <v>0</v>
      </c>
      <c r="R94">
        <f>IF(LEFT(CX94,1)&lt;&gt;"0",IF(LEFT(CX94,1)="1",3.0,CY94),$D$5+$E$5*(DP94*DI94/($K$5*1000))+$F$5*(DP94*DI94/($K$5*1000))*MAX(MIN(CV94,$J$5),$I$5)*MAX(MIN(CV94,$J$5),$I$5)+$G$5*MAX(MIN(CV94,$J$5),$I$5)*(DP94*DI94/($K$5*1000))+$H$5*(DP94*DI94/($K$5*1000))*(DP94*DI94/($K$5*1000)))</f>
        <v>0</v>
      </c>
      <c r="S94">
        <f>J94*(1000-(1000*0.61365*exp(17.502*W94/(240.97+W94))/(DI94+DJ94)+DD94)/2)/(1000*0.61365*exp(17.502*W94/(240.97+W94))/(DI94+DJ94)-DD94)</f>
        <v>0</v>
      </c>
      <c r="T94">
        <f>1/((CW94+1)/(Q94/1.6)+1/(R94/1.37)) + CW94/((CW94+1)/(Q94/1.6) + CW94/(R94/1.37))</f>
        <v>0</v>
      </c>
      <c r="U94">
        <f>(CR94*CU94)</f>
        <v>0</v>
      </c>
      <c r="V94">
        <f>(DK94+(U94+2*0.95*5.67E-8*(((DK94+$B$7)+273)^4-(DK94+273)^4)-44100*J94)/(1.84*29.3*R94+8*0.95*5.67E-8*(DK94+273)^3))</f>
        <v>0</v>
      </c>
      <c r="W94">
        <f>($C$7*DL94+$D$7*DM94+$E$7*V94)</f>
        <v>0</v>
      </c>
      <c r="X94">
        <f>0.61365*exp(17.502*W94/(240.97+W94))</f>
        <v>0</v>
      </c>
      <c r="Y94">
        <f>(Z94/AA94*100)</f>
        <v>0</v>
      </c>
      <c r="Z94">
        <f>DD94*(DI94+DJ94)/1000</f>
        <v>0</v>
      </c>
      <c r="AA94">
        <f>0.61365*exp(17.502*DK94/(240.97+DK94))</f>
        <v>0</v>
      </c>
      <c r="AB94">
        <f>(X94-DD94*(DI94+DJ94)/1000)</f>
        <v>0</v>
      </c>
      <c r="AC94">
        <f>(-J94*44100)</f>
        <v>0</v>
      </c>
      <c r="AD94">
        <f>2*29.3*R94*0.92*(DK94-W94)</f>
        <v>0</v>
      </c>
      <c r="AE94">
        <f>2*0.95*5.67E-8*(((DK94+$B$7)+273)^4-(W94+273)^4)</f>
        <v>0</v>
      </c>
      <c r="AF94">
        <f>U94+AE94+AC94+AD94</f>
        <v>0</v>
      </c>
      <c r="AG94">
        <f>DH94*AU94*(DC94-DB94*(1000-AU94*DE94)/(1000-AU94*DD94))/(100*CV94)</f>
        <v>0</v>
      </c>
      <c r="AH94">
        <f>1000*DH94*AU94*(DD94-DE94)/(100*CV94*(1000-AU94*DD94))</f>
        <v>0</v>
      </c>
      <c r="AI94">
        <f>(AJ94 - AK94 - DI94*1E3/(8.314*(DK94+273.15)) * AM94/DH94 * AL94) * DH94/(100*CV94) * (1000 - DE94)/1000</f>
        <v>0</v>
      </c>
      <c r="AJ94">
        <v>102.2533517782334</v>
      </c>
      <c r="AK94">
        <v>99.24831939393938</v>
      </c>
      <c r="AL94">
        <v>2.26011949553342E-05</v>
      </c>
      <c r="AM94">
        <v>66.79449453128035</v>
      </c>
      <c r="AN94">
        <f>(AP94 - AO94 + DI94*1E3/(8.314*(DK94+273.15)) * AR94/DH94 * AQ94) * DH94/(100*CV94) * 1000/(1000 - AP94)</f>
        <v>0</v>
      </c>
      <c r="AO94">
        <v>22.3978898002726</v>
      </c>
      <c r="AP94">
        <v>30.28682606060607</v>
      </c>
      <c r="AQ94">
        <v>0.0001351960484225887</v>
      </c>
      <c r="AR94">
        <v>78.18817170517835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MAX(0,($B$13+$C$13*DP94)/(1+$D$13*DP94)*DI94/(DK94+273)*$E$13)</f>
        <v>0</v>
      </c>
      <c r="AX94" t="s">
        <v>418</v>
      </c>
      <c r="AY94" t="s">
        <v>418</v>
      </c>
      <c r="AZ94">
        <v>0</v>
      </c>
      <c r="BA94">
        <v>0</v>
      </c>
      <c r="BB94">
        <f>1-AZ94/BA94</f>
        <v>0</v>
      </c>
      <c r="BC94">
        <v>0</v>
      </c>
      <c r="BD94" t="s">
        <v>418</v>
      </c>
      <c r="BE94" t="s">
        <v>418</v>
      </c>
      <c r="BF94">
        <v>0</v>
      </c>
      <c r="BG94">
        <v>0</v>
      </c>
      <c r="BH94">
        <f>1-BF94/BG94</f>
        <v>0</v>
      </c>
      <c r="BI94">
        <v>0.5</v>
      </c>
      <c r="BJ94">
        <f>CS94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418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1220</v>
      </c>
      <c r="CA94">
        <v>300</v>
      </c>
      <c r="CB94">
        <v>300</v>
      </c>
      <c r="CC94">
        <v>300</v>
      </c>
      <c r="CD94">
        <v>10380.8</v>
      </c>
      <c r="CE94">
        <v>1.08</v>
      </c>
      <c r="CF94">
        <v>-0.00732097</v>
      </c>
      <c r="CG94">
        <v>0.6</v>
      </c>
      <c r="CH94" t="s">
        <v>418</v>
      </c>
      <c r="CI94" t="s">
        <v>418</v>
      </c>
      <c r="CJ94" t="s">
        <v>418</v>
      </c>
      <c r="CK94" t="s">
        <v>418</v>
      </c>
      <c r="CL94" t="s">
        <v>418</v>
      </c>
      <c r="CM94" t="s">
        <v>418</v>
      </c>
      <c r="CN94" t="s">
        <v>418</v>
      </c>
      <c r="CO94" t="s">
        <v>418</v>
      </c>
      <c r="CP94" t="s">
        <v>418</v>
      </c>
      <c r="CQ94" t="s">
        <v>418</v>
      </c>
      <c r="CR94">
        <f>$B$11*DQ94+$C$11*DR94+$F$11*EC94*(1-EF94)</f>
        <v>0</v>
      </c>
      <c r="CS94">
        <f>CR94*CT94</f>
        <v>0</v>
      </c>
      <c r="CT94">
        <f>($B$11*$D$9+$C$11*$D$9+$F$11*((EP94+EH94)/MAX(EP94+EH94+EQ94, 0.1)*$I$9+EQ94/MAX(EP94+EH94+EQ94, 0.1)*$J$9))/($B$11+$C$11+$F$11)</f>
        <v>0</v>
      </c>
      <c r="CU94">
        <f>($B$11*$K$9+$C$11*$K$9+$F$11*((EP94+EH94)/MAX(EP94+EH94+EQ94, 0.1)*$P$9+EQ94/MAX(EP94+EH94+EQ94, 0.1)*$Q$9))/($B$11+$C$11+$F$11)</f>
        <v>0</v>
      </c>
      <c r="CV94">
        <v>6</v>
      </c>
      <c r="CW94">
        <v>0.5</v>
      </c>
      <c r="CX94" t="s">
        <v>419</v>
      </c>
      <c r="CY94">
        <v>2</v>
      </c>
      <c r="CZ94" t="b">
        <v>1</v>
      </c>
      <c r="DA94">
        <v>1651775486.75</v>
      </c>
      <c r="DB94">
        <v>96.14307000000001</v>
      </c>
      <c r="DC94">
        <v>99.96756999999999</v>
      </c>
      <c r="DD94">
        <v>30.28663</v>
      </c>
      <c r="DE94">
        <v>22.3972</v>
      </c>
      <c r="DF94">
        <v>96.92807000000001</v>
      </c>
      <c r="DG94">
        <v>30.22203</v>
      </c>
      <c r="DH94">
        <v>500.0339</v>
      </c>
      <c r="DI94">
        <v>90.24968999999999</v>
      </c>
      <c r="DJ94">
        <v>0.09999733</v>
      </c>
      <c r="DK94">
        <v>30.81206</v>
      </c>
      <c r="DL94">
        <v>29.86462</v>
      </c>
      <c r="DM94">
        <v>999.9</v>
      </c>
      <c r="DN94">
        <v>0</v>
      </c>
      <c r="DO94">
        <v>0</v>
      </c>
      <c r="DP94">
        <v>9997.5</v>
      </c>
      <c r="DQ94">
        <v>0</v>
      </c>
      <c r="DR94">
        <v>13.3774</v>
      </c>
      <c r="DS94">
        <v>-3.727077</v>
      </c>
      <c r="DT94">
        <v>99.24634</v>
      </c>
      <c r="DU94">
        <v>102.2579</v>
      </c>
      <c r="DV94">
        <v>7.889435000000001</v>
      </c>
      <c r="DW94">
        <v>99.96756999999999</v>
      </c>
      <c r="DX94">
        <v>22.3972</v>
      </c>
      <c r="DY94">
        <v>2.733359</v>
      </c>
      <c r="DZ94">
        <v>2.021339</v>
      </c>
      <c r="EA94">
        <v>22.48705</v>
      </c>
      <c r="EB94">
        <v>17.61248</v>
      </c>
      <c r="EC94">
        <v>1499.982</v>
      </c>
      <c r="ED94">
        <v>0.9729965</v>
      </c>
      <c r="EE94">
        <v>0.02700367</v>
      </c>
      <c r="EF94">
        <v>0</v>
      </c>
      <c r="EG94">
        <v>2.343760000000001</v>
      </c>
      <c r="EH94">
        <v>0</v>
      </c>
      <c r="EI94">
        <v>12494.36</v>
      </c>
      <c r="EJ94">
        <v>12533.22</v>
      </c>
      <c r="EK94">
        <v>37.437</v>
      </c>
      <c r="EL94">
        <v>38.812</v>
      </c>
      <c r="EM94">
        <v>37.75</v>
      </c>
      <c r="EN94">
        <v>38.2185</v>
      </c>
      <c r="EO94">
        <v>37.375</v>
      </c>
      <c r="EP94">
        <v>1459.481</v>
      </c>
      <c r="EQ94">
        <v>40.503</v>
      </c>
      <c r="ER94">
        <v>0</v>
      </c>
      <c r="ES94">
        <v>66.60000014305115</v>
      </c>
      <c r="ET94">
        <v>0</v>
      </c>
      <c r="EU94">
        <v>2.400403846153846</v>
      </c>
      <c r="EV94">
        <v>0.3699726454014198</v>
      </c>
      <c r="EW94">
        <v>-142.9948718566894</v>
      </c>
      <c r="EX94">
        <v>12505.33076923077</v>
      </c>
      <c r="EY94">
        <v>15</v>
      </c>
      <c r="EZ94">
        <v>1651775511</v>
      </c>
      <c r="FA94" t="s">
        <v>587</v>
      </c>
      <c r="FB94">
        <v>1651775511</v>
      </c>
      <c r="FC94">
        <v>1651775102.6</v>
      </c>
      <c r="FD94">
        <v>2</v>
      </c>
      <c r="FE94">
        <v>-0.091</v>
      </c>
      <c r="FF94">
        <v>-0.043</v>
      </c>
      <c r="FG94">
        <v>-0.785</v>
      </c>
      <c r="FH94">
        <v>0.035</v>
      </c>
      <c r="FI94">
        <v>100</v>
      </c>
      <c r="FJ94">
        <v>23</v>
      </c>
      <c r="FK94">
        <v>0.18</v>
      </c>
      <c r="FL94">
        <v>0.01</v>
      </c>
      <c r="FM94">
        <v>-3.730846097560975</v>
      </c>
      <c r="FN94">
        <v>-0.07043979094076669</v>
      </c>
      <c r="FO94">
        <v>0.03567154723770677</v>
      </c>
      <c r="FP94">
        <v>1</v>
      </c>
      <c r="FQ94">
        <v>7.880938536585367</v>
      </c>
      <c r="FR94">
        <v>0.05510216027873726</v>
      </c>
      <c r="FS94">
        <v>0.005921082037310738</v>
      </c>
      <c r="FT94">
        <v>1</v>
      </c>
      <c r="FU94">
        <v>0</v>
      </c>
      <c r="FV94">
        <v>0</v>
      </c>
      <c r="FW94">
        <v>0</v>
      </c>
      <c r="FX94">
        <v>1</v>
      </c>
      <c r="FY94">
        <v>3</v>
      </c>
      <c r="FZ94">
        <v>3</v>
      </c>
      <c r="GA94" t="s">
        <v>581</v>
      </c>
      <c r="GB94">
        <v>2.97983</v>
      </c>
      <c r="GC94">
        <v>2.70623</v>
      </c>
      <c r="GD94">
        <v>0.0256485</v>
      </c>
      <c r="GE94">
        <v>0.0261879</v>
      </c>
      <c r="GF94">
        <v>0.124768</v>
      </c>
      <c r="GG94">
        <v>0.099687</v>
      </c>
      <c r="GH94">
        <v>30745.1</v>
      </c>
      <c r="GI94">
        <v>30793.5</v>
      </c>
      <c r="GJ94">
        <v>29343.6</v>
      </c>
      <c r="GK94">
        <v>29254.9</v>
      </c>
      <c r="GL94">
        <v>33992.7</v>
      </c>
      <c r="GM94">
        <v>35062.7</v>
      </c>
      <c r="GN94">
        <v>41305.4</v>
      </c>
      <c r="GO94">
        <v>41752.7</v>
      </c>
      <c r="GP94">
        <v>1.9517</v>
      </c>
      <c r="GQ94">
        <v>1.8468</v>
      </c>
      <c r="GR94">
        <v>0.07266549999999999</v>
      </c>
      <c r="GS94">
        <v>0</v>
      </c>
      <c r="GT94">
        <v>28.6829</v>
      </c>
      <c r="GU94">
        <v>999.9</v>
      </c>
      <c r="GV94">
        <v>44.5</v>
      </c>
      <c r="GW94">
        <v>34.8</v>
      </c>
      <c r="GX94">
        <v>27.5426</v>
      </c>
      <c r="GY94">
        <v>62.8285</v>
      </c>
      <c r="GZ94">
        <v>35.9255</v>
      </c>
      <c r="HA94">
        <v>1</v>
      </c>
      <c r="HB94">
        <v>0.133206</v>
      </c>
      <c r="HC94">
        <v>0</v>
      </c>
      <c r="HD94">
        <v>20.3468</v>
      </c>
      <c r="HE94">
        <v>5.22493</v>
      </c>
      <c r="HF94">
        <v>12.0099</v>
      </c>
      <c r="HG94">
        <v>4.99125</v>
      </c>
      <c r="HH94">
        <v>3.29</v>
      </c>
      <c r="HI94">
        <v>559.8</v>
      </c>
      <c r="HJ94">
        <v>4024.5</v>
      </c>
      <c r="HK94">
        <v>4640.9</v>
      </c>
      <c r="HL94">
        <v>18.7</v>
      </c>
      <c r="HM94">
        <v>1.86768</v>
      </c>
      <c r="HN94">
        <v>1.86661</v>
      </c>
      <c r="HO94">
        <v>1.86615</v>
      </c>
      <c r="HP94">
        <v>1.86602</v>
      </c>
      <c r="HQ94">
        <v>1.86783</v>
      </c>
      <c r="HR94">
        <v>1.87036</v>
      </c>
      <c r="HS94">
        <v>1.86904</v>
      </c>
      <c r="HT94">
        <v>1.87041</v>
      </c>
      <c r="HU94">
        <v>0</v>
      </c>
      <c r="HV94">
        <v>0</v>
      </c>
      <c r="HW94">
        <v>0</v>
      </c>
      <c r="HX94">
        <v>0</v>
      </c>
      <c r="HY94" t="s">
        <v>422</v>
      </c>
      <c r="HZ94" t="s">
        <v>423</v>
      </c>
      <c r="IA94" t="s">
        <v>424</v>
      </c>
      <c r="IB94" t="s">
        <v>424</v>
      </c>
      <c r="IC94" t="s">
        <v>424</v>
      </c>
      <c r="ID94" t="s">
        <v>424</v>
      </c>
      <c r="IE94">
        <v>0</v>
      </c>
      <c r="IF94">
        <v>100</v>
      </c>
      <c r="IG94">
        <v>100</v>
      </c>
      <c r="IH94">
        <v>-0.785</v>
      </c>
      <c r="II94">
        <v>0.0646</v>
      </c>
      <c r="IJ94">
        <v>-0.5134728609764008</v>
      </c>
      <c r="IK94">
        <v>-0.001826611574738555</v>
      </c>
      <c r="IL94">
        <v>3.313362389709971E-07</v>
      </c>
      <c r="IM94">
        <v>-1.629490614973607E-10</v>
      </c>
      <c r="IN94">
        <v>0.06459834545301171</v>
      </c>
      <c r="IO94">
        <v>0</v>
      </c>
      <c r="IP94">
        <v>0</v>
      </c>
      <c r="IQ94">
        <v>0</v>
      </c>
      <c r="IR94">
        <v>3</v>
      </c>
      <c r="IS94">
        <v>2280</v>
      </c>
      <c r="IT94">
        <v>1</v>
      </c>
      <c r="IU94">
        <v>25</v>
      </c>
      <c r="IV94">
        <v>6.6</v>
      </c>
      <c r="IW94">
        <v>6.4</v>
      </c>
      <c r="IX94">
        <v>0.368652</v>
      </c>
      <c r="IY94">
        <v>2.27295</v>
      </c>
      <c r="IZ94">
        <v>1.39648</v>
      </c>
      <c r="JA94">
        <v>2.35352</v>
      </c>
      <c r="JB94">
        <v>1.49536</v>
      </c>
      <c r="JC94">
        <v>2.33154</v>
      </c>
      <c r="JD94">
        <v>38.8211</v>
      </c>
      <c r="JE94">
        <v>24.0612</v>
      </c>
      <c r="JF94">
        <v>18</v>
      </c>
      <c r="JG94">
        <v>512.794</v>
      </c>
      <c r="JH94">
        <v>430.427</v>
      </c>
      <c r="JI94">
        <v>29.9678</v>
      </c>
      <c r="JJ94">
        <v>29.2375</v>
      </c>
      <c r="JK94">
        <v>30.0001</v>
      </c>
      <c r="JL94">
        <v>29.1322</v>
      </c>
      <c r="JM94">
        <v>29.0613</v>
      </c>
      <c r="JN94">
        <v>7.37923</v>
      </c>
      <c r="JO94">
        <v>23.8596</v>
      </c>
      <c r="JP94">
        <v>0</v>
      </c>
      <c r="JQ94">
        <v>-999.9</v>
      </c>
      <c r="JR94">
        <v>100</v>
      </c>
      <c r="JS94">
        <v>22.409</v>
      </c>
      <c r="JT94">
        <v>100.307</v>
      </c>
      <c r="JU94">
        <v>100.213</v>
      </c>
    </row>
    <row r="95" spans="1:281">
      <c r="A95">
        <v>79</v>
      </c>
      <c r="B95">
        <v>1651775577</v>
      </c>
      <c r="C95">
        <v>3699.400000095367</v>
      </c>
      <c r="D95" t="s">
        <v>588</v>
      </c>
      <c r="E95" t="s">
        <v>589</v>
      </c>
      <c r="F95">
        <v>5</v>
      </c>
      <c r="G95" t="s">
        <v>572</v>
      </c>
      <c r="H95" t="s">
        <v>417</v>
      </c>
      <c r="I95">
        <v>1651775574</v>
      </c>
      <c r="J95">
        <f>(K95)/1000</f>
        <v>0</v>
      </c>
      <c r="K95">
        <f>IF(CZ95, AN95, AH95)</f>
        <v>0</v>
      </c>
      <c r="L95">
        <f>IF(CZ95, AI95, AG95)</f>
        <v>0</v>
      </c>
      <c r="M95">
        <f>DB95 - IF(AU95&gt;1, L95*CV95*100.0/(AW95*DP95), 0)</f>
        <v>0</v>
      </c>
      <c r="N95">
        <f>((T95-J95/2)*M95-L95)/(T95+J95/2)</f>
        <v>0</v>
      </c>
      <c r="O95">
        <f>N95*(DI95+DJ95)/1000.0</f>
        <v>0</v>
      </c>
      <c r="P95">
        <f>(DB95 - IF(AU95&gt;1, L95*CV95*100.0/(AW95*DP95), 0))*(DI95+DJ95)/1000.0</f>
        <v>0</v>
      </c>
      <c r="Q95">
        <f>2.0/((1/S95-1/R95)+SIGN(S95)*SQRT((1/S95-1/R95)*(1/S95-1/R95) + 4*CW95/((CW95+1)*(CW95+1))*(2*1/S95*1/R95-1/R95*1/R95)))</f>
        <v>0</v>
      </c>
      <c r="R95">
        <f>IF(LEFT(CX95,1)&lt;&gt;"0",IF(LEFT(CX95,1)="1",3.0,CY95),$D$5+$E$5*(DP95*DI95/($K$5*1000))+$F$5*(DP95*DI95/($K$5*1000))*MAX(MIN(CV95,$J$5),$I$5)*MAX(MIN(CV95,$J$5),$I$5)+$G$5*MAX(MIN(CV95,$J$5),$I$5)*(DP95*DI95/($K$5*1000))+$H$5*(DP95*DI95/($K$5*1000))*(DP95*DI95/($K$5*1000)))</f>
        <v>0</v>
      </c>
      <c r="S95">
        <f>J95*(1000-(1000*0.61365*exp(17.502*W95/(240.97+W95))/(DI95+DJ95)+DD95)/2)/(1000*0.61365*exp(17.502*W95/(240.97+W95))/(DI95+DJ95)-DD95)</f>
        <v>0</v>
      </c>
      <c r="T95">
        <f>1/((CW95+1)/(Q95/1.6)+1/(R95/1.37)) + CW95/((CW95+1)/(Q95/1.6) + CW95/(R95/1.37))</f>
        <v>0</v>
      </c>
      <c r="U95">
        <f>(CR95*CU95)</f>
        <v>0</v>
      </c>
      <c r="V95">
        <f>(DK95+(U95+2*0.95*5.67E-8*(((DK95+$B$7)+273)^4-(DK95+273)^4)-44100*J95)/(1.84*29.3*R95+8*0.95*5.67E-8*(DK95+273)^3))</f>
        <v>0</v>
      </c>
      <c r="W95">
        <f>($C$7*DL95+$D$7*DM95+$E$7*V95)</f>
        <v>0</v>
      </c>
      <c r="X95">
        <f>0.61365*exp(17.502*W95/(240.97+W95))</f>
        <v>0</v>
      </c>
      <c r="Y95">
        <f>(Z95/AA95*100)</f>
        <v>0</v>
      </c>
      <c r="Z95">
        <f>DD95*(DI95+DJ95)/1000</f>
        <v>0</v>
      </c>
      <c r="AA95">
        <f>0.61365*exp(17.502*DK95/(240.97+DK95))</f>
        <v>0</v>
      </c>
      <c r="AB95">
        <f>(X95-DD95*(DI95+DJ95)/1000)</f>
        <v>0</v>
      </c>
      <c r="AC95">
        <f>(-J95*44100)</f>
        <v>0</v>
      </c>
      <c r="AD95">
        <f>2*29.3*R95*0.92*(DK95-W95)</f>
        <v>0</v>
      </c>
      <c r="AE95">
        <f>2*0.95*5.67E-8*(((DK95+$B$7)+273)^4-(W95+273)^4)</f>
        <v>0</v>
      </c>
      <c r="AF95">
        <f>U95+AE95+AC95+AD95</f>
        <v>0</v>
      </c>
      <c r="AG95">
        <f>DH95*AU95*(DC95-DB95*(1000-AU95*DE95)/(1000-AU95*DD95))/(100*CV95)</f>
        <v>0</v>
      </c>
      <c r="AH95">
        <f>1000*DH95*AU95*(DD95-DE95)/(100*CV95*(1000-AU95*DD95))</f>
        <v>0</v>
      </c>
      <c r="AI95">
        <f>(AJ95 - AK95 - DI95*1E3/(8.314*(DK95+273.15)) * AM95/DH95 * AL95) * DH95/(100*CV95) * (1000 - DE95)/1000</f>
        <v>0</v>
      </c>
      <c r="AJ95">
        <v>51.24092593201564</v>
      </c>
      <c r="AK95">
        <v>52.43391939393941</v>
      </c>
      <c r="AL95">
        <v>0.0003375523755030183</v>
      </c>
      <c r="AM95">
        <v>66.79784825270333</v>
      </c>
      <c r="AN95">
        <f>(AP95 - AO95 + DI95*1E3/(8.314*(DK95+273.15)) * AR95/DH95 * AQ95) * DH95/(100*CV95) * 1000/(1000 - AP95)</f>
        <v>0</v>
      </c>
      <c r="AO95">
        <v>22.1748607571344</v>
      </c>
      <c r="AP95">
        <v>30.29060909090908</v>
      </c>
      <c r="AQ95">
        <v>-0.0003579435204877361</v>
      </c>
      <c r="AR95">
        <v>78.1853250173471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MAX(0,($B$13+$C$13*DP95)/(1+$D$13*DP95)*DI95/(DK95+273)*$E$13)</f>
        <v>0</v>
      </c>
      <c r="AX95" t="s">
        <v>573</v>
      </c>
      <c r="AY95">
        <v>10510</v>
      </c>
      <c r="AZ95">
        <v>590.42</v>
      </c>
      <c r="BA95">
        <v>2650.6</v>
      </c>
      <c r="BB95">
        <f>1-AZ95/BA95</f>
        <v>0</v>
      </c>
      <c r="BC95">
        <v>-1.816883183993991</v>
      </c>
      <c r="BD95" t="s">
        <v>590</v>
      </c>
      <c r="BE95">
        <v>10380.6</v>
      </c>
      <c r="BF95">
        <v>2.416726923076923</v>
      </c>
      <c r="BG95">
        <v>2.7772</v>
      </c>
      <c r="BH95">
        <f>1-BF95/BG95</f>
        <v>0</v>
      </c>
      <c r="BI95">
        <v>0.5</v>
      </c>
      <c r="BJ95">
        <f>CS95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418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1221</v>
      </c>
      <c r="CA95">
        <v>300</v>
      </c>
      <c r="CB95">
        <v>300</v>
      </c>
      <c r="CC95">
        <v>300</v>
      </c>
      <c r="CD95">
        <v>10380.6</v>
      </c>
      <c r="CE95">
        <v>1.29</v>
      </c>
      <c r="CF95">
        <v>-0.00732064</v>
      </c>
      <c r="CG95">
        <v>0.5600000000000001</v>
      </c>
      <c r="CH95" t="s">
        <v>418</v>
      </c>
      <c r="CI95" t="s">
        <v>418</v>
      </c>
      <c r="CJ95" t="s">
        <v>418</v>
      </c>
      <c r="CK95" t="s">
        <v>418</v>
      </c>
      <c r="CL95" t="s">
        <v>418</v>
      </c>
      <c r="CM95" t="s">
        <v>418</v>
      </c>
      <c r="CN95" t="s">
        <v>418</v>
      </c>
      <c r="CO95" t="s">
        <v>418</v>
      </c>
      <c r="CP95" t="s">
        <v>418</v>
      </c>
      <c r="CQ95" t="s">
        <v>418</v>
      </c>
      <c r="CR95">
        <f>$B$11*DQ95+$C$11*DR95+$F$11*EC95*(1-EF95)</f>
        <v>0</v>
      </c>
      <c r="CS95">
        <f>CR95*CT95</f>
        <v>0</v>
      </c>
      <c r="CT95">
        <f>($B$11*$D$9+$C$11*$D$9+$F$11*((EP95+EH95)/MAX(EP95+EH95+EQ95, 0.1)*$I$9+EQ95/MAX(EP95+EH95+EQ95, 0.1)*$J$9))/($B$11+$C$11+$F$11)</f>
        <v>0</v>
      </c>
      <c r="CU95">
        <f>($B$11*$K$9+$C$11*$K$9+$F$11*((EP95+EH95)/MAX(EP95+EH95+EQ95, 0.1)*$P$9+EQ95/MAX(EP95+EH95+EQ95, 0.1)*$Q$9))/($B$11+$C$11+$F$11)</f>
        <v>0</v>
      </c>
      <c r="CV95">
        <v>6</v>
      </c>
      <c r="CW95">
        <v>0.5</v>
      </c>
      <c r="CX95" t="s">
        <v>419</v>
      </c>
      <c r="CY95">
        <v>2</v>
      </c>
      <c r="CZ95" t="b">
        <v>1</v>
      </c>
      <c r="DA95">
        <v>1651775574</v>
      </c>
      <c r="DB95">
        <v>50.75957272727272</v>
      </c>
      <c r="DC95">
        <v>50.05974545454546</v>
      </c>
      <c r="DD95">
        <v>30.30862727272727</v>
      </c>
      <c r="DE95">
        <v>22.16733636363636</v>
      </c>
      <c r="DF95">
        <v>51.53357272727272</v>
      </c>
      <c r="DG95">
        <v>30.24402727272727</v>
      </c>
      <c r="DH95">
        <v>500.0362727272728</v>
      </c>
      <c r="DI95">
        <v>90.2453</v>
      </c>
      <c r="DJ95">
        <v>0.1001441818181818</v>
      </c>
      <c r="DK95">
        <v>30.79291818181818</v>
      </c>
      <c r="DL95">
        <v>29.83299090909091</v>
      </c>
      <c r="DM95">
        <v>999.9</v>
      </c>
      <c r="DN95">
        <v>0</v>
      </c>
      <c r="DO95">
        <v>0</v>
      </c>
      <c r="DP95">
        <v>9988.859090909091</v>
      </c>
      <c r="DQ95">
        <v>0</v>
      </c>
      <c r="DR95">
        <v>13.3774</v>
      </c>
      <c r="DS95">
        <v>0.7759344545454546</v>
      </c>
      <c r="DT95">
        <v>52.42460000000001</v>
      </c>
      <c r="DU95">
        <v>51.19459999999999</v>
      </c>
      <c r="DV95">
        <v>8.141303636363636</v>
      </c>
      <c r="DW95">
        <v>50.05974545454546</v>
      </c>
      <c r="DX95">
        <v>22.16733636363636</v>
      </c>
      <c r="DY95">
        <v>2.735211818181818</v>
      </c>
      <c r="DZ95">
        <v>2.000497272727273</v>
      </c>
      <c r="EA95">
        <v>22.49818181818182</v>
      </c>
      <c r="EB95">
        <v>17.44826363636364</v>
      </c>
      <c r="EC95">
        <v>1500.030909090909</v>
      </c>
      <c r="ED95">
        <v>0.9729960000000001</v>
      </c>
      <c r="EE95">
        <v>0.0270042</v>
      </c>
      <c r="EF95">
        <v>0</v>
      </c>
      <c r="EG95">
        <v>2.4274</v>
      </c>
      <c r="EH95">
        <v>0</v>
      </c>
      <c r="EI95">
        <v>12472.23636363636</v>
      </c>
      <c r="EJ95">
        <v>12533.63636363636</v>
      </c>
      <c r="EK95">
        <v>37.375</v>
      </c>
      <c r="EL95">
        <v>38.812</v>
      </c>
      <c r="EM95">
        <v>37.75</v>
      </c>
      <c r="EN95">
        <v>38.187</v>
      </c>
      <c r="EO95">
        <v>37.312</v>
      </c>
      <c r="EP95">
        <v>1459.520909090909</v>
      </c>
      <c r="EQ95">
        <v>40.51</v>
      </c>
      <c r="ER95">
        <v>0</v>
      </c>
      <c r="ES95">
        <v>154.2000000476837</v>
      </c>
      <c r="ET95">
        <v>0</v>
      </c>
      <c r="EU95">
        <v>2.416726923076923</v>
      </c>
      <c r="EV95">
        <v>-0.9659179217844084</v>
      </c>
      <c r="EW95">
        <v>7.388034183403631</v>
      </c>
      <c r="EX95">
        <v>12471.40384615385</v>
      </c>
      <c r="EY95">
        <v>15</v>
      </c>
      <c r="EZ95">
        <v>1651775595</v>
      </c>
      <c r="FA95" t="s">
        <v>591</v>
      </c>
      <c r="FB95">
        <v>1651775595</v>
      </c>
      <c r="FC95">
        <v>1651775102.6</v>
      </c>
      <c r="FD95">
        <v>3</v>
      </c>
      <c r="FE95">
        <v>-0.078</v>
      </c>
      <c r="FF95">
        <v>-0.043</v>
      </c>
      <c r="FG95">
        <v>-0.774</v>
      </c>
      <c r="FH95">
        <v>0.035</v>
      </c>
      <c r="FI95">
        <v>49</v>
      </c>
      <c r="FJ95">
        <v>23</v>
      </c>
      <c r="FK95">
        <v>0.26</v>
      </c>
      <c r="FL95">
        <v>0.01</v>
      </c>
      <c r="FM95">
        <v>0.7956613414634146</v>
      </c>
      <c r="FN95">
        <v>-0.1175470871080156</v>
      </c>
      <c r="FO95">
        <v>0.03485056167977207</v>
      </c>
      <c r="FP95">
        <v>0</v>
      </c>
      <c r="FQ95">
        <v>8.089754146341463</v>
      </c>
      <c r="FR95">
        <v>0.3130024390243988</v>
      </c>
      <c r="FS95">
        <v>0.0339730309808731</v>
      </c>
      <c r="FT95">
        <v>1</v>
      </c>
      <c r="FU95">
        <v>0</v>
      </c>
      <c r="FV95">
        <v>0</v>
      </c>
      <c r="FW95">
        <v>0</v>
      </c>
      <c r="FX95">
        <v>1</v>
      </c>
      <c r="FY95">
        <v>2</v>
      </c>
      <c r="FZ95">
        <v>3</v>
      </c>
      <c r="GA95" t="s">
        <v>421</v>
      </c>
      <c r="GB95">
        <v>2.97977</v>
      </c>
      <c r="GC95">
        <v>2.70611</v>
      </c>
      <c r="GD95">
        <v>0.0137401</v>
      </c>
      <c r="GE95">
        <v>0.0131975</v>
      </c>
      <c r="GF95">
        <v>0.12477</v>
      </c>
      <c r="GG95">
        <v>0.0988444</v>
      </c>
      <c r="GH95">
        <v>31123.3</v>
      </c>
      <c r="GI95">
        <v>31206.8</v>
      </c>
      <c r="GJ95">
        <v>29345.8</v>
      </c>
      <c r="GK95">
        <v>29257.4</v>
      </c>
      <c r="GL95">
        <v>33995.1</v>
      </c>
      <c r="GM95">
        <v>35098.7</v>
      </c>
      <c r="GN95">
        <v>41308.7</v>
      </c>
      <c r="GO95">
        <v>41756.2</v>
      </c>
      <c r="GP95">
        <v>1.9519</v>
      </c>
      <c r="GQ95">
        <v>1.84617</v>
      </c>
      <c r="GR95">
        <v>0.072293</v>
      </c>
      <c r="GS95">
        <v>0</v>
      </c>
      <c r="GT95">
        <v>28.6478</v>
      </c>
      <c r="GU95">
        <v>999.9</v>
      </c>
      <c r="GV95">
        <v>44.3</v>
      </c>
      <c r="GW95">
        <v>34.8</v>
      </c>
      <c r="GX95">
        <v>27.4202</v>
      </c>
      <c r="GY95">
        <v>62.6686</v>
      </c>
      <c r="GZ95">
        <v>36.0216</v>
      </c>
      <c r="HA95">
        <v>1</v>
      </c>
      <c r="HB95">
        <v>0.131507</v>
      </c>
      <c r="HC95">
        <v>0</v>
      </c>
      <c r="HD95">
        <v>20.3468</v>
      </c>
      <c r="HE95">
        <v>5.22418</v>
      </c>
      <c r="HF95">
        <v>12.0099</v>
      </c>
      <c r="HG95">
        <v>4.99115</v>
      </c>
      <c r="HH95">
        <v>3.29</v>
      </c>
      <c r="HI95">
        <v>561.4</v>
      </c>
      <c r="HJ95">
        <v>4033.1</v>
      </c>
      <c r="HK95">
        <v>4641</v>
      </c>
      <c r="HL95">
        <v>18.7</v>
      </c>
      <c r="HM95">
        <v>1.86768</v>
      </c>
      <c r="HN95">
        <v>1.86663</v>
      </c>
      <c r="HO95">
        <v>1.86615</v>
      </c>
      <c r="HP95">
        <v>1.86601</v>
      </c>
      <c r="HQ95">
        <v>1.86783</v>
      </c>
      <c r="HR95">
        <v>1.8704</v>
      </c>
      <c r="HS95">
        <v>1.86905</v>
      </c>
      <c r="HT95">
        <v>1.87042</v>
      </c>
      <c r="HU95">
        <v>0</v>
      </c>
      <c r="HV95">
        <v>0</v>
      </c>
      <c r="HW95">
        <v>0</v>
      </c>
      <c r="HX95">
        <v>0</v>
      </c>
      <c r="HY95" t="s">
        <v>422</v>
      </c>
      <c r="HZ95" t="s">
        <v>423</v>
      </c>
      <c r="IA95" t="s">
        <v>424</v>
      </c>
      <c r="IB95" t="s">
        <v>424</v>
      </c>
      <c r="IC95" t="s">
        <v>424</v>
      </c>
      <c r="ID95" t="s">
        <v>424</v>
      </c>
      <c r="IE95">
        <v>0</v>
      </c>
      <c r="IF95">
        <v>100</v>
      </c>
      <c r="IG95">
        <v>100</v>
      </c>
      <c r="IH95">
        <v>-0.774</v>
      </c>
      <c r="II95">
        <v>0.0645</v>
      </c>
      <c r="IJ95">
        <v>-0.6046084013791193</v>
      </c>
      <c r="IK95">
        <v>-0.001826611574738555</v>
      </c>
      <c r="IL95">
        <v>3.313362389709971E-07</v>
      </c>
      <c r="IM95">
        <v>-1.629490614973607E-10</v>
      </c>
      <c r="IN95">
        <v>0.06459834545301171</v>
      </c>
      <c r="IO95">
        <v>0</v>
      </c>
      <c r="IP95">
        <v>0</v>
      </c>
      <c r="IQ95">
        <v>0</v>
      </c>
      <c r="IR95">
        <v>3</v>
      </c>
      <c r="IS95">
        <v>2280</v>
      </c>
      <c r="IT95">
        <v>1</v>
      </c>
      <c r="IU95">
        <v>25</v>
      </c>
      <c r="IV95">
        <v>1.1</v>
      </c>
      <c r="IW95">
        <v>7.9</v>
      </c>
      <c r="IX95">
        <v>0.258789</v>
      </c>
      <c r="IY95">
        <v>2.30591</v>
      </c>
      <c r="IZ95">
        <v>1.39648</v>
      </c>
      <c r="JA95">
        <v>2.35352</v>
      </c>
      <c r="JB95">
        <v>1.49536</v>
      </c>
      <c r="JC95">
        <v>2.36694</v>
      </c>
      <c r="JD95">
        <v>38.7964</v>
      </c>
      <c r="JE95">
        <v>24.0525</v>
      </c>
      <c r="JF95">
        <v>18</v>
      </c>
      <c r="JG95">
        <v>512.8</v>
      </c>
      <c r="JH95">
        <v>429.926</v>
      </c>
      <c r="JI95">
        <v>29.9608</v>
      </c>
      <c r="JJ95">
        <v>29.2212</v>
      </c>
      <c r="JK95">
        <v>29.9999</v>
      </c>
      <c r="JL95">
        <v>29.1173</v>
      </c>
      <c r="JM95">
        <v>29.044</v>
      </c>
      <c r="JN95">
        <v>5.17979</v>
      </c>
      <c r="JO95">
        <v>24.4975</v>
      </c>
      <c r="JP95">
        <v>0</v>
      </c>
      <c r="JQ95">
        <v>-999.9</v>
      </c>
      <c r="JR95">
        <v>50</v>
      </c>
      <c r="JS95">
        <v>22.125</v>
      </c>
      <c r="JT95">
        <v>100.315</v>
      </c>
      <c r="JU95">
        <v>100.221</v>
      </c>
    </row>
    <row r="96" spans="1:281">
      <c r="A96">
        <v>80</v>
      </c>
      <c r="B96">
        <v>1651775661</v>
      </c>
      <c r="C96">
        <v>3783.400000095367</v>
      </c>
      <c r="D96" t="s">
        <v>592</v>
      </c>
      <c r="E96" t="s">
        <v>593</v>
      </c>
      <c r="F96">
        <v>5</v>
      </c>
      <c r="G96" t="s">
        <v>572</v>
      </c>
      <c r="H96" t="s">
        <v>417</v>
      </c>
      <c r="I96">
        <v>1651775658</v>
      </c>
      <c r="J96">
        <f>(K96)/1000</f>
        <v>0</v>
      </c>
      <c r="K96">
        <f>IF(CZ96, AN96, AH96)</f>
        <v>0</v>
      </c>
      <c r="L96">
        <f>IF(CZ96, AI96, AG96)</f>
        <v>0</v>
      </c>
      <c r="M96">
        <f>DB96 - IF(AU96&gt;1, L96*CV96*100.0/(AW96*DP96), 0)</f>
        <v>0</v>
      </c>
      <c r="N96">
        <f>((T96-J96/2)*M96-L96)/(T96+J96/2)</f>
        <v>0</v>
      </c>
      <c r="O96">
        <f>N96*(DI96+DJ96)/1000.0</f>
        <v>0</v>
      </c>
      <c r="P96">
        <f>(DB96 - IF(AU96&gt;1, L96*CV96*100.0/(AW96*DP96), 0))*(DI96+DJ96)/1000.0</f>
        <v>0</v>
      </c>
      <c r="Q96">
        <f>2.0/((1/S96-1/R96)+SIGN(S96)*SQRT((1/S96-1/R96)*(1/S96-1/R96) + 4*CW96/((CW96+1)*(CW96+1))*(2*1/S96*1/R96-1/R96*1/R96)))</f>
        <v>0</v>
      </c>
      <c r="R96">
        <f>IF(LEFT(CX96,1)&lt;&gt;"0",IF(LEFT(CX96,1)="1",3.0,CY96),$D$5+$E$5*(DP96*DI96/($K$5*1000))+$F$5*(DP96*DI96/($K$5*1000))*MAX(MIN(CV96,$J$5),$I$5)*MAX(MIN(CV96,$J$5),$I$5)+$G$5*MAX(MIN(CV96,$J$5),$I$5)*(DP96*DI96/($K$5*1000))+$H$5*(DP96*DI96/($K$5*1000))*(DP96*DI96/($K$5*1000)))</f>
        <v>0</v>
      </c>
      <c r="S96">
        <f>J96*(1000-(1000*0.61365*exp(17.502*W96/(240.97+W96))/(DI96+DJ96)+DD96)/2)/(1000*0.61365*exp(17.502*W96/(240.97+W96))/(DI96+DJ96)-DD96)</f>
        <v>0</v>
      </c>
      <c r="T96">
        <f>1/((CW96+1)/(Q96/1.6)+1/(R96/1.37)) + CW96/((CW96+1)/(Q96/1.6) + CW96/(R96/1.37))</f>
        <v>0</v>
      </c>
      <c r="U96">
        <f>(CR96*CU96)</f>
        <v>0</v>
      </c>
      <c r="V96">
        <f>(DK96+(U96+2*0.95*5.67E-8*(((DK96+$B$7)+273)^4-(DK96+273)^4)-44100*J96)/(1.84*29.3*R96+8*0.95*5.67E-8*(DK96+273)^3))</f>
        <v>0</v>
      </c>
      <c r="W96">
        <f>($C$7*DL96+$D$7*DM96+$E$7*V96)</f>
        <v>0</v>
      </c>
      <c r="X96">
        <f>0.61365*exp(17.502*W96/(240.97+W96))</f>
        <v>0</v>
      </c>
      <c r="Y96">
        <f>(Z96/AA96*100)</f>
        <v>0</v>
      </c>
      <c r="Z96">
        <f>DD96*(DI96+DJ96)/1000</f>
        <v>0</v>
      </c>
      <c r="AA96">
        <f>0.61365*exp(17.502*DK96/(240.97+DK96))</f>
        <v>0</v>
      </c>
      <c r="AB96">
        <f>(X96-DD96*(DI96+DJ96)/1000)</f>
        <v>0</v>
      </c>
      <c r="AC96">
        <f>(-J96*44100)</f>
        <v>0</v>
      </c>
      <c r="AD96">
        <f>2*29.3*R96*0.92*(DK96-W96)</f>
        <v>0</v>
      </c>
      <c r="AE96">
        <f>2*0.95*5.67E-8*(((DK96+$B$7)+273)^4-(W96+273)^4)</f>
        <v>0</v>
      </c>
      <c r="AF96">
        <f>U96+AE96+AC96+AD96</f>
        <v>0</v>
      </c>
      <c r="AG96">
        <f>DH96*AU96*(DC96-DB96*(1000-AU96*DE96)/(1000-AU96*DD96))/(100*CV96)</f>
        <v>0</v>
      </c>
      <c r="AH96">
        <f>1000*DH96*AU96*(DD96-DE96)/(100*CV96*(1000-AU96*DD96))</f>
        <v>0</v>
      </c>
      <c r="AI96">
        <f>(AJ96 - AK96 - DI96*1E3/(8.314*(DK96+273.15)) * AM96/DH96 * AL96) * DH96/(100*CV96) * (1000 - DE96)/1000</f>
        <v>0</v>
      </c>
      <c r="AJ96">
        <v>0.6311271255831459</v>
      </c>
      <c r="AK96">
        <v>6.32935315151515</v>
      </c>
      <c r="AL96">
        <v>-0.0008272193081445802</v>
      </c>
      <c r="AM96">
        <v>66.81075251764723</v>
      </c>
      <c r="AN96">
        <f>(AP96 - AO96 + DI96*1E3/(8.314*(DK96+273.15)) * AR96/DH96 * AQ96) * DH96/(100*CV96) * 1000/(1000 - AP96)</f>
        <v>0</v>
      </c>
      <c r="AO96">
        <v>21.65731909272792</v>
      </c>
      <c r="AP96">
        <v>30.06871454545454</v>
      </c>
      <c r="AQ96">
        <v>0.0001906942408712546</v>
      </c>
      <c r="AR96">
        <v>78.17240245930286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MAX(0,($B$13+$C$13*DP96)/(1+$D$13*DP96)*DI96/(DK96+273)*$E$13)</f>
        <v>0</v>
      </c>
      <c r="AX96" t="s">
        <v>418</v>
      </c>
      <c r="AY96" t="s">
        <v>418</v>
      </c>
      <c r="AZ96">
        <v>0</v>
      </c>
      <c r="BA96">
        <v>0</v>
      </c>
      <c r="BB96">
        <f>1-AZ96/BA96</f>
        <v>0</v>
      </c>
      <c r="BC96">
        <v>0</v>
      </c>
      <c r="BD96" t="s">
        <v>418</v>
      </c>
      <c r="BE96" t="s">
        <v>418</v>
      </c>
      <c r="BF96">
        <v>0</v>
      </c>
      <c r="BG96">
        <v>0</v>
      </c>
      <c r="BH96">
        <f>1-BF96/BG96</f>
        <v>0</v>
      </c>
      <c r="BI96">
        <v>0.5</v>
      </c>
      <c r="BJ96">
        <f>CS96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418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1221</v>
      </c>
      <c r="CA96">
        <v>300</v>
      </c>
      <c r="CB96">
        <v>300</v>
      </c>
      <c r="CC96">
        <v>300</v>
      </c>
      <c r="CD96">
        <v>10380.6</v>
      </c>
      <c r="CE96">
        <v>1.29</v>
      </c>
      <c r="CF96">
        <v>-0.00732064</v>
      </c>
      <c r="CG96">
        <v>0.5600000000000001</v>
      </c>
      <c r="CH96" t="s">
        <v>418</v>
      </c>
      <c r="CI96" t="s">
        <v>418</v>
      </c>
      <c r="CJ96" t="s">
        <v>418</v>
      </c>
      <c r="CK96" t="s">
        <v>418</v>
      </c>
      <c r="CL96" t="s">
        <v>418</v>
      </c>
      <c r="CM96" t="s">
        <v>418</v>
      </c>
      <c r="CN96" t="s">
        <v>418</v>
      </c>
      <c r="CO96" t="s">
        <v>418</v>
      </c>
      <c r="CP96" t="s">
        <v>418</v>
      </c>
      <c r="CQ96" t="s">
        <v>418</v>
      </c>
      <c r="CR96">
        <f>$B$11*DQ96+$C$11*DR96+$F$11*EC96*(1-EF96)</f>
        <v>0</v>
      </c>
      <c r="CS96">
        <f>CR96*CT96</f>
        <v>0</v>
      </c>
      <c r="CT96">
        <f>($B$11*$D$9+$C$11*$D$9+$F$11*((EP96+EH96)/MAX(EP96+EH96+EQ96, 0.1)*$I$9+EQ96/MAX(EP96+EH96+EQ96, 0.1)*$J$9))/($B$11+$C$11+$F$11)</f>
        <v>0</v>
      </c>
      <c r="CU96">
        <f>($B$11*$K$9+$C$11*$K$9+$F$11*((EP96+EH96)/MAX(EP96+EH96+EQ96, 0.1)*$P$9+EQ96/MAX(EP96+EH96+EQ96, 0.1)*$Q$9))/($B$11+$C$11+$F$11)</f>
        <v>0</v>
      </c>
      <c r="CV96">
        <v>6</v>
      </c>
      <c r="CW96">
        <v>0.5</v>
      </c>
      <c r="CX96" t="s">
        <v>419</v>
      </c>
      <c r="CY96">
        <v>2</v>
      </c>
      <c r="CZ96" t="b">
        <v>1</v>
      </c>
      <c r="DA96">
        <v>1651775658</v>
      </c>
      <c r="DB96">
        <v>6.152259090909091</v>
      </c>
      <c r="DC96">
        <v>0.6140174545454546</v>
      </c>
      <c r="DD96">
        <v>30.06759090909091</v>
      </c>
      <c r="DE96">
        <v>21.65712727272727</v>
      </c>
      <c r="DF96">
        <v>6.857259090909091</v>
      </c>
      <c r="DG96">
        <v>30.00299090909091</v>
      </c>
      <c r="DH96">
        <v>500.0493636363636</v>
      </c>
      <c r="DI96">
        <v>90.24906363636364</v>
      </c>
      <c r="DJ96">
        <v>0.09991023636363637</v>
      </c>
      <c r="DK96">
        <v>30.76813636363636</v>
      </c>
      <c r="DL96">
        <v>29.76172727272727</v>
      </c>
      <c r="DM96">
        <v>999.9</v>
      </c>
      <c r="DN96">
        <v>0</v>
      </c>
      <c r="DO96">
        <v>0</v>
      </c>
      <c r="DP96">
        <v>10008.16363636364</v>
      </c>
      <c r="DQ96">
        <v>0</v>
      </c>
      <c r="DR96">
        <v>13.3774</v>
      </c>
      <c r="DS96">
        <v>5.548020909090909</v>
      </c>
      <c r="DT96">
        <v>6.35306</v>
      </c>
      <c r="DU96">
        <v>0.6276097272727273</v>
      </c>
      <c r="DV96">
        <v>8.410478181818183</v>
      </c>
      <c r="DW96">
        <v>0.6140174545454546</v>
      </c>
      <c r="DX96">
        <v>21.65712727272727</v>
      </c>
      <c r="DY96">
        <v>2.713571818181818</v>
      </c>
      <c r="DZ96">
        <v>1.954535454545455</v>
      </c>
      <c r="EA96">
        <v>22.36753636363636</v>
      </c>
      <c r="EB96">
        <v>17.08075454545454</v>
      </c>
      <c r="EC96">
        <v>1500.03</v>
      </c>
      <c r="ED96">
        <v>0.9729949090909091</v>
      </c>
      <c r="EE96">
        <v>0.02700518181818181</v>
      </c>
      <c r="EF96">
        <v>0</v>
      </c>
      <c r="EG96">
        <v>2.446118181818182</v>
      </c>
      <c r="EH96">
        <v>0</v>
      </c>
      <c r="EI96">
        <v>12665.42727272727</v>
      </c>
      <c r="EJ96">
        <v>12533.6</v>
      </c>
      <c r="EK96">
        <v>37.375</v>
      </c>
      <c r="EL96">
        <v>38.75</v>
      </c>
      <c r="EM96">
        <v>37.72136363636363</v>
      </c>
      <c r="EN96">
        <v>38.125</v>
      </c>
      <c r="EO96">
        <v>37.312</v>
      </c>
      <c r="EP96">
        <v>1459.519090909091</v>
      </c>
      <c r="EQ96">
        <v>40.51090909090909</v>
      </c>
      <c r="ER96">
        <v>0</v>
      </c>
      <c r="ES96">
        <v>83.40000009536743</v>
      </c>
      <c r="ET96">
        <v>0</v>
      </c>
      <c r="EU96">
        <v>2.420492</v>
      </c>
      <c r="EV96">
        <v>0.1106000046540447</v>
      </c>
      <c r="EW96">
        <v>124.6153844917959</v>
      </c>
      <c r="EX96">
        <v>12656.556</v>
      </c>
      <c r="EY96">
        <v>15</v>
      </c>
      <c r="EZ96">
        <v>1651775686</v>
      </c>
      <c r="FA96" t="s">
        <v>594</v>
      </c>
      <c r="FB96">
        <v>1651775686</v>
      </c>
      <c r="FC96">
        <v>1651775102.6</v>
      </c>
      <c r="FD96">
        <v>4</v>
      </c>
      <c r="FE96">
        <v>-0.02</v>
      </c>
      <c r="FF96">
        <v>-0.043</v>
      </c>
      <c r="FG96">
        <v>-0.705</v>
      </c>
      <c r="FH96">
        <v>0.035</v>
      </c>
      <c r="FI96">
        <v>0</v>
      </c>
      <c r="FJ96">
        <v>23</v>
      </c>
      <c r="FK96">
        <v>0.28</v>
      </c>
      <c r="FL96">
        <v>0.01</v>
      </c>
      <c r="FM96">
        <v>5.576908536585366</v>
      </c>
      <c r="FN96">
        <v>-0.3145032752613178</v>
      </c>
      <c r="FO96">
        <v>0.03351237307440235</v>
      </c>
      <c r="FP96">
        <v>0</v>
      </c>
      <c r="FQ96">
        <v>8.403724146341464</v>
      </c>
      <c r="FR96">
        <v>0.1093737282230165</v>
      </c>
      <c r="FS96">
        <v>0.01614132523582946</v>
      </c>
      <c r="FT96">
        <v>1</v>
      </c>
      <c r="FU96">
        <v>0</v>
      </c>
      <c r="FV96">
        <v>0</v>
      </c>
      <c r="FW96">
        <v>0</v>
      </c>
      <c r="FX96">
        <v>1</v>
      </c>
      <c r="FY96">
        <v>2</v>
      </c>
      <c r="FZ96">
        <v>3</v>
      </c>
      <c r="GA96" t="s">
        <v>421</v>
      </c>
      <c r="GB96">
        <v>2.97983</v>
      </c>
      <c r="GC96">
        <v>2.70616</v>
      </c>
      <c r="GD96">
        <v>0.00181351</v>
      </c>
      <c r="GE96">
        <v>0.000155057</v>
      </c>
      <c r="GF96">
        <v>0.124158</v>
      </c>
      <c r="GG96">
        <v>0.0973844</v>
      </c>
      <c r="GH96">
        <v>31501.5</v>
      </c>
      <c r="GI96">
        <v>31619</v>
      </c>
      <c r="GJ96">
        <v>29347.5</v>
      </c>
      <c r="GK96">
        <v>29257.1</v>
      </c>
      <c r="GL96">
        <v>34020.2</v>
      </c>
      <c r="GM96">
        <v>35155.6</v>
      </c>
      <c r="GN96">
        <v>41310.4</v>
      </c>
      <c r="GO96">
        <v>41755.7</v>
      </c>
      <c r="GP96">
        <v>1.95222</v>
      </c>
      <c r="GQ96">
        <v>1.8458</v>
      </c>
      <c r="GR96">
        <v>0.07209930000000001</v>
      </c>
      <c r="GS96">
        <v>0</v>
      </c>
      <c r="GT96">
        <v>28.5835</v>
      </c>
      <c r="GU96">
        <v>999.9</v>
      </c>
      <c r="GV96">
        <v>44.3</v>
      </c>
      <c r="GW96">
        <v>34.8</v>
      </c>
      <c r="GX96">
        <v>27.4222</v>
      </c>
      <c r="GY96">
        <v>62.5486</v>
      </c>
      <c r="GZ96">
        <v>35.7171</v>
      </c>
      <c r="HA96">
        <v>1</v>
      </c>
      <c r="HB96">
        <v>0.129903</v>
      </c>
      <c r="HC96">
        <v>0</v>
      </c>
      <c r="HD96">
        <v>20.3471</v>
      </c>
      <c r="HE96">
        <v>5.22343</v>
      </c>
      <c r="HF96">
        <v>12.0099</v>
      </c>
      <c r="HG96">
        <v>4.991</v>
      </c>
      <c r="HH96">
        <v>3.29</v>
      </c>
      <c r="HI96">
        <v>563</v>
      </c>
      <c r="HJ96">
        <v>4042.1</v>
      </c>
      <c r="HK96">
        <v>4641</v>
      </c>
      <c r="HL96">
        <v>18.7</v>
      </c>
      <c r="HM96">
        <v>1.8677</v>
      </c>
      <c r="HN96">
        <v>1.86666</v>
      </c>
      <c r="HO96">
        <v>1.86621</v>
      </c>
      <c r="HP96">
        <v>1.86607</v>
      </c>
      <c r="HQ96">
        <v>1.86785</v>
      </c>
      <c r="HR96">
        <v>1.87042</v>
      </c>
      <c r="HS96">
        <v>1.86905</v>
      </c>
      <c r="HT96">
        <v>1.87042</v>
      </c>
      <c r="HU96">
        <v>0</v>
      </c>
      <c r="HV96">
        <v>0</v>
      </c>
      <c r="HW96">
        <v>0</v>
      </c>
      <c r="HX96">
        <v>0</v>
      </c>
      <c r="HY96" t="s">
        <v>422</v>
      </c>
      <c r="HZ96" t="s">
        <v>423</v>
      </c>
      <c r="IA96" t="s">
        <v>424</v>
      </c>
      <c r="IB96" t="s">
        <v>424</v>
      </c>
      <c r="IC96" t="s">
        <v>424</v>
      </c>
      <c r="ID96" t="s">
        <v>424</v>
      </c>
      <c r="IE96">
        <v>0</v>
      </c>
      <c r="IF96">
        <v>100</v>
      </c>
      <c r="IG96">
        <v>100</v>
      </c>
      <c r="IH96">
        <v>-0.705</v>
      </c>
      <c r="II96">
        <v>0.0646</v>
      </c>
      <c r="IJ96">
        <v>-0.6827094175299562</v>
      </c>
      <c r="IK96">
        <v>-0.001826611574738555</v>
      </c>
      <c r="IL96">
        <v>3.313362389709971E-07</v>
      </c>
      <c r="IM96">
        <v>-1.629490614973607E-10</v>
      </c>
      <c r="IN96">
        <v>0.06459834545301171</v>
      </c>
      <c r="IO96">
        <v>0</v>
      </c>
      <c r="IP96">
        <v>0</v>
      </c>
      <c r="IQ96">
        <v>0</v>
      </c>
      <c r="IR96">
        <v>3</v>
      </c>
      <c r="IS96">
        <v>2280</v>
      </c>
      <c r="IT96">
        <v>1</v>
      </c>
      <c r="IU96">
        <v>25</v>
      </c>
      <c r="IV96">
        <v>1.1</v>
      </c>
      <c r="IW96">
        <v>9.300000000000001</v>
      </c>
      <c r="IX96">
        <v>0.0317383</v>
      </c>
      <c r="IY96">
        <v>4.99878</v>
      </c>
      <c r="IZ96">
        <v>1.39648</v>
      </c>
      <c r="JA96">
        <v>2.35229</v>
      </c>
      <c r="JB96">
        <v>1.49536</v>
      </c>
      <c r="JC96">
        <v>2.35107</v>
      </c>
      <c r="JD96">
        <v>38.7964</v>
      </c>
      <c r="JE96">
        <v>24.0437</v>
      </c>
      <c r="JF96">
        <v>18</v>
      </c>
      <c r="JG96">
        <v>512.867</v>
      </c>
      <c r="JH96">
        <v>429.561</v>
      </c>
      <c r="JI96">
        <v>29.9488</v>
      </c>
      <c r="JJ96">
        <v>29.2011</v>
      </c>
      <c r="JK96">
        <v>29.9999</v>
      </c>
      <c r="JL96">
        <v>29.1</v>
      </c>
      <c r="JM96">
        <v>29.0247</v>
      </c>
      <c r="JN96">
        <v>0</v>
      </c>
      <c r="JO96">
        <v>25.9161</v>
      </c>
      <c r="JP96">
        <v>0</v>
      </c>
      <c r="JQ96">
        <v>-999.9</v>
      </c>
      <c r="JR96">
        <v>0</v>
      </c>
      <c r="JS96">
        <v>21.5668</v>
      </c>
      <c r="JT96">
        <v>100.319</v>
      </c>
      <c r="JU96">
        <v>100.22</v>
      </c>
    </row>
    <row r="97" spans="1:281">
      <c r="A97">
        <v>81</v>
      </c>
      <c r="B97">
        <v>1651775752</v>
      </c>
      <c r="C97">
        <v>3874.400000095367</v>
      </c>
      <c r="D97" t="s">
        <v>595</v>
      </c>
      <c r="E97" t="s">
        <v>596</v>
      </c>
      <c r="F97">
        <v>5</v>
      </c>
      <c r="G97" t="s">
        <v>572</v>
      </c>
      <c r="H97" t="s">
        <v>417</v>
      </c>
      <c r="I97">
        <v>1651775749</v>
      </c>
      <c r="J97">
        <f>(K97)/1000</f>
        <v>0</v>
      </c>
      <c r="K97">
        <f>IF(CZ97, AN97, AH97)</f>
        <v>0</v>
      </c>
      <c r="L97">
        <f>IF(CZ97, AI97, AG97)</f>
        <v>0</v>
      </c>
      <c r="M97">
        <f>DB97 - IF(AU97&gt;1, L97*CV97*100.0/(AW97*DP97), 0)</f>
        <v>0</v>
      </c>
      <c r="N97">
        <f>((T97-J97/2)*M97-L97)/(T97+J97/2)</f>
        <v>0</v>
      </c>
      <c r="O97">
        <f>N97*(DI97+DJ97)/1000.0</f>
        <v>0</v>
      </c>
      <c r="P97">
        <f>(DB97 - IF(AU97&gt;1, L97*CV97*100.0/(AW97*DP97), 0))*(DI97+DJ97)/1000.0</f>
        <v>0</v>
      </c>
      <c r="Q97">
        <f>2.0/((1/S97-1/R97)+SIGN(S97)*SQRT((1/S97-1/R97)*(1/S97-1/R97) + 4*CW97/((CW97+1)*(CW97+1))*(2*1/S97*1/R97-1/R97*1/R97)))</f>
        <v>0</v>
      </c>
      <c r="R97">
        <f>IF(LEFT(CX97,1)&lt;&gt;"0",IF(LEFT(CX97,1)="1",3.0,CY97),$D$5+$E$5*(DP97*DI97/($K$5*1000))+$F$5*(DP97*DI97/($K$5*1000))*MAX(MIN(CV97,$J$5),$I$5)*MAX(MIN(CV97,$J$5),$I$5)+$G$5*MAX(MIN(CV97,$J$5),$I$5)*(DP97*DI97/($K$5*1000))+$H$5*(DP97*DI97/($K$5*1000))*(DP97*DI97/($K$5*1000)))</f>
        <v>0</v>
      </c>
      <c r="S97">
        <f>J97*(1000-(1000*0.61365*exp(17.502*W97/(240.97+W97))/(DI97+DJ97)+DD97)/2)/(1000*0.61365*exp(17.502*W97/(240.97+W97))/(DI97+DJ97)-DD97)</f>
        <v>0</v>
      </c>
      <c r="T97">
        <f>1/((CW97+1)/(Q97/1.6)+1/(R97/1.37)) + CW97/((CW97+1)/(Q97/1.6) + CW97/(R97/1.37))</f>
        <v>0</v>
      </c>
      <c r="U97">
        <f>(CR97*CU97)</f>
        <v>0</v>
      </c>
      <c r="V97">
        <f>(DK97+(U97+2*0.95*5.67E-8*(((DK97+$B$7)+273)^4-(DK97+273)^4)-44100*J97)/(1.84*29.3*R97+8*0.95*5.67E-8*(DK97+273)^3))</f>
        <v>0</v>
      </c>
      <c r="W97">
        <f>($C$7*DL97+$D$7*DM97+$E$7*V97)</f>
        <v>0</v>
      </c>
      <c r="X97">
        <f>0.61365*exp(17.502*W97/(240.97+W97))</f>
        <v>0</v>
      </c>
      <c r="Y97">
        <f>(Z97/AA97*100)</f>
        <v>0</v>
      </c>
      <c r="Z97">
        <f>DD97*(DI97+DJ97)/1000</f>
        <v>0</v>
      </c>
      <c r="AA97">
        <f>0.61365*exp(17.502*DK97/(240.97+DK97))</f>
        <v>0</v>
      </c>
      <c r="AB97">
        <f>(X97-DD97*(DI97+DJ97)/1000)</f>
        <v>0</v>
      </c>
      <c r="AC97">
        <f>(-J97*44100)</f>
        <v>0</v>
      </c>
      <c r="AD97">
        <f>2*29.3*R97*0.92*(DK97-W97)</f>
        <v>0</v>
      </c>
      <c r="AE97">
        <f>2*0.95*5.67E-8*(((DK97+$B$7)+273)^4-(W97+273)^4)</f>
        <v>0</v>
      </c>
      <c r="AF97">
        <f>U97+AE97+AC97+AD97</f>
        <v>0</v>
      </c>
      <c r="AG97">
        <f>DH97*AU97*(DC97-DB97*(1000-AU97*DE97)/(1000-AU97*DD97))/(100*CV97)</f>
        <v>0</v>
      </c>
      <c r="AH97">
        <f>1000*DH97*AU97*(DD97-DE97)/(100*CV97*(1000-AU97*DD97))</f>
        <v>0</v>
      </c>
      <c r="AI97">
        <f>(AJ97 - AK97 - DI97*1E3/(8.314*(DK97+273.15)) * AM97/DH97 * AL97) * DH97/(100*CV97) * (1000 - DE97)/1000</f>
        <v>0</v>
      </c>
      <c r="AJ97">
        <v>408.9276590795451</v>
      </c>
      <c r="AK97">
        <v>383.2412909090909</v>
      </c>
      <c r="AL97">
        <v>-0.134104050851685</v>
      </c>
      <c r="AM97">
        <v>66.79738697613678</v>
      </c>
      <c r="AN97">
        <f>(AP97 - AO97 + DI97*1E3/(8.314*(DK97+273.15)) * AR97/DH97 * AQ97) * DH97/(100*CV97) * 1000/(1000 - AP97)</f>
        <v>0</v>
      </c>
      <c r="AO97">
        <v>21.26867119293539</v>
      </c>
      <c r="AP97">
        <v>29.8930096969697</v>
      </c>
      <c r="AQ97">
        <v>-0.001220115760918199</v>
      </c>
      <c r="AR97">
        <v>78.18566756768526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MAX(0,($B$13+$C$13*DP97)/(1+$D$13*DP97)*DI97/(DK97+273)*$E$13)</f>
        <v>0</v>
      </c>
      <c r="AX97" t="s">
        <v>573</v>
      </c>
      <c r="AY97">
        <v>10510</v>
      </c>
      <c r="AZ97">
        <v>590.42</v>
      </c>
      <c r="BA97">
        <v>2650.6</v>
      </c>
      <c r="BB97">
        <f>1-AZ97/BA97</f>
        <v>0</v>
      </c>
      <c r="BC97">
        <v>-1.816883183993991</v>
      </c>
      <c r="BD97" t="s">
        <v>597</v>
      </c>
      <c r="BE97">
        <v>10382.2</v>
      </c>
      <c r="BF97">
        <v>2.41054</v>
      </c>
      <c r="BG97">
        <v>2.9736</v>
      </c>
      <c r="BH97">
        <f>1-BF97/BG97</f>
        <v>0</v>
      </c>
      <c r="BI97">
        <v>0.5</v>
      </c>
      <c r="BJ97">
        <f>CS97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418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1222</v>
      </c>
      <c r="CA97">
        <v>300</v>
      </c>
      <c r="CB97">
        <v>300</v>
      </c>
      <c r="CC97">
        <v>300</v>
      </c>
      <c r="CD97">
        <v>10382.2</v>
      </c>
      <c r="CE97">
        <v>1.57</v>
      </c>
      <c r="CF97">
        <v>-0.00732194</v>
      </c>
      <c r="CG97">
        <v>1.47</v>
      </c>
      <c r="CH97" t="s">
        <v>418</v>
      </c>
      <c r="CI97" t="s">
        <v>418</v>
      </c>
      <c r="CJ97" t="s">
        <v>418</v>
      </c>
      <c r="CK97" t="s">
        <v>418</v>
      </c>
      <c r="CL97" t="s">
        <v>418</v>
      </c>
      <c r="CM97" t="s">
        <v>418</v>
      </c>
      <c r="CN97" t="s">
        <v>418</v>
      </c>
      <c r="CO97" t="s">
        <v>418</v>
      </c>
      <c r="CP97" t="s">
        <v>418</v>
      </c>
      <c r="CQ97" t="s">
        <v>418</v>
      </c>
      <c r="CR97">
        <f>$B$11*DQ97+$C$11*DR97+$F$11*EC97*(1-EF97)</f>
        <v>0</v>
      </c>
      <c r="CS97">
        <f>CR97*CT97</f>
        <v>0</v>
      </c>
      <c r="CT97">
        <f>($B$11*$D$9+$C$11*$D$9+$F$11*((EP97+EH97)/MAX(EP97+EH97+EQ97, 0.1)*$I$9+EQ97/MAX(EP97+EH97+EQ97, 0.1)*$J$9))/($B$11+$C$11+$F$11)</f>
        <v>0</v>
      </c>
      <c r="CU97">
        <f>($B$11*$K$9+$C$11*$K$9+$F$11*((EP97+EH97)/MAX(EP97+EH97+EQ97, 0.1)*$P$9+EQ97/MAX(EP97+EH97+EQ97, 0.1)*$Q$9))/($B$11+$C$11+$F$11)</f>
        <v>0</v>
      </c>
      <c r="CV97">
        <v>6</v>
      </c>
      <c r="CW97">
        <v>0.5</v>
      </c>
      <c r="CX97" t="s">
        <v>419</v>
      </c>
      <c r="CY97">
        <v>2</v>
      </c>
      <c r="CZ97" t="b">
        <v>1</v>
      </c>
      <c r="DA97">
        <v>1651775749</v>
      </c>
      <c r="DB97">
        <v>372.1079090909091</v>
      </c>
      <c r="DC97">
        <v>400.2413636363637</v>
      </c>
      <c r="DD97">
        <v>29.90623636363636</v>
      </c>
      <c r="DE97">
        <v>21.26616363636364</v>
      </c>
      <c r="DF97">
        <v>373.4555454545455</v>
      </c>
      <c r="DG97">
        <v>29.84164545454546</v>
      </c>
      <c r="DH97">
        <v>500.057090909091</v>
      </c>
      <c r="DI97">
        <v>90.2567909090909</v>
      </c>
      <c r="DJ97">
        <v>0.1000344090909091</v>
      </c>
      <c r="DK97">
        <v>30.72798181818182</v>
      </c>
      <c r="DL97">
        <v>29.68787272727273</v>
      </c>
      <c r="DM97">
        <v>999.9</v>
      </c>
      <c r="DN97">
        <v>0</v>
      </c>
      <c r="DO97">
        <v>0</v>
      </c>
      <c r="DP97">
        <v>10005.00454545455</v>
      </c>
      <c r="DQ97">
        <v>0</v>
      </c>
      <c r="DR97">
        <v>13.3774</v>
      </c>
      <c r="DS97">
        <v>-28.13333636363636</v>
      </c>
      <c r="DT97">
        <v>383.5792727272728</v>
      </c>
      <c r="DU97">
        <v>408.9378181818182</v>
      </c>
      <c r="DV97">
        <v>8.640072727272727</v>
      </c>
      <c r="DW97">
        <v>400.2413636363637</v>
      </c>
      <c r="DX97">
        <v>21.26616363636364</v>
      </c>
      <c r="DY97">
        <v>2.699240909090909</v>
      </c>
      <c r="DZ97">
        <v>1.919414545454545</v>
      </c>
      <c r="EA97">
        <v>22.28049090909091</v>
      </c>
      <c r="EB97">
        <v>16.79478181818182</v>
      </c>
      <c r="EC97">
        <v>1499.993636363636</v>
      </c>
      <c r="ED97">
        <v>0.9729916363636363</v>
      </c>
      <c r="EE97">
        <v>0.02700812727272727</v>
      </c>
      <c r="EF97">
        <v>0</v>
      </c>
      <c r="EG97">
        <v>2.378372727272727</v>
      </c>
      <c r="EH97">
        <v>0</v>
      </c>
      <c r="EI97">
        <v>12848.94545454546</v>
      </c>
      <c r="EJ97">
        <v>12533.3</v>
      </c>
      <c r="EK97">
        <v>37.312</v>
      </c>
      <c r="EL97">
        <v>38.687</v>
      </c>
      <c r="EM97">
        <v>37.625</v>
      </c>
      <c r="EN97">
        <v>38.125</v>
      </c>
      <c r="EO97">
        <v>37.24427272727273</v>
      </c>
      <c r="EP97">
        <v>1459.481818181818</v>
      </c>
      <c r="EQ97">
        <v>40.51181818181818</v>
      </c>
      <c r="ER97">
        <v>0</v>
      </c>
      <c r="ES97">
        <v>174.6000001430511</v>
      </c>
      <c r="ET97">
        <v>0</v>
      </c>
      <c r="EU97">
        <v>2.41054</v>
      </c>
      <c r="EV97">
        <v>0.5165846130481118</v>
      </c>
      <c r="EW97">
        <v>1044.723076979324</v>
      </c>
      <c r="EX97">
        <v>12777.96</v>
      </c>
      <c r="EY97">
        <v>15</v>
      </c>
      <c r="EZ97">
        <v>1651775686</v>
      </c>
      <c r="FA97" t="s">
        <v>594</v>
      </c>
      <c r="FB97">
        <v>1651775686</v>
      </c>
      <c r="FC97">
        <v>1651775102.6</v>
      </c>
      <c r="FD97">
        <v>4</v>
      </c>
      <c r="FE97">
        <v>-0.02</v>
      </c>
      <c r="FF97">
        <v>-0.043</v>
      </c>
      <c r="FG97">
        <v>-0.705</v>
      </c>
      <c r="FH97">
        <v>0.035</v>
      </c>
      <c r="FI97">
        <v>0</v>
      </c>
      <c r="FJ97">
        <v>23</v>
      </c>
      <c r="FK97">
        <v>0.28</v>
      </c>
      <c r="FL97">
        <v>0.01</v>
      </c>
      <c r="FM97">
        <v>-26.14061</v>
      </c>
      <c r="FN97">
        <v>-19.84991819887424</v>
      </c>
      <c r="FO97">
        <v>1.994885457964943</v>
      </c>
      <c r="FP97">
        <v>0</v>
      </c>
      <c r="FQ97">
        <v>8.634010249999999</v>
      </c>
      <c r="FR97">
        <v>0.02157714821760978</v>
      </c>
      <c r="FS97">
        <v>0.01364940905085265</v>
      </c>
      <c r="FT97">
        <v>1</v>
      </c>
      <c r="FU97">
        <v>0</v>
      </c>
      <c r="FV97">
        <v>0</v>
      </c>
      <c r="FW97">
        <v>0</v>
      </c>
      <c r="FX97">
        <v>1</v>
      </c>
      <c r="FY97">
        <v>2</v>
      </c>
      <c r="FZ97">
        <v>3</v>
      </c>
      <c r="GA97" t="s">
        <v>421</v>
      </c>
      <c r="GB97">
        <v>2.97987</v>
      </c>
      <c r="GC97">
        <v>2.70613</v>
      </c>
      <c r="GD97">
        <v>0.08552650000000001</v>
      </c>
      <c r="GE97">
        <v>0.0893912</v>
      </c>
      <c r="GF97">
        <v>0.123671</v>
      </c>
      <c r="GG97">
        <v>0.09610639999999999</v>
      </c>
      <c r="GH97">
        <v>28860.6</v>
      </c>
      <c r="GI97">
        <v>28798.4</v>
      </c>
      <c r="GJ97">
        <v>29348.2</v>
      </c>
      <c r="GK97">
        <v>29258.2</v>
      </c>
      <c r="GL97">
        <v>34042</v>
      </c>
      <c r="GM97">
        <v>35209.5</v>
      </c>
      <c r="GN97">
        <v>41311.8</v>
      </c>
      <c r="GO97">
        <v>41758</v>
      </c>
      <c r="GP97">
        <v>1.95275</v>
      </c>
      <c r="GQ97">
        <v>1.84678</v>
      </c>
      <c r="GR97">
        <v>0.07063899999999999</v>
      </c>
      <c r="GS97">
        <v>0</v>
      </c>
      <c r="GT97">
        <v>28.5328</v>
      </c>
      <c r="GU97">
        <v>999.9</v>
      </c>
      <c r="GV97">
        <v>44.2</v>
      </c>
      <c r="GW97">
        <v>34.8</v>
      </c>
      <c r="GX97">
        <v>27.3549</v>
      </c>
      <c r="GY97">
        <v>62.5986</v>
      </c>
      <c r="GZ97">
        <v>35.5048</v>
      </c>
      <c r="HA97">
        <v>1</v>
      </c>
      <c r="HB97">
        <v>0.128013</v>
      </c>
      <c r="HC97">
        <v>0</v>
      </c>
      <c r="HD97">
        <v>20.347</v>
      </c>
      <c r="HE97">
        <v>5.22328</v>
      </c>
      <c r="HF97">
        <v>12.0099</v>
      </c>
      <c r="HG97">
        <v>4.9897</v>
      </c>
      <c r="HH97">
        <v>3.29</v>
      </c>
      <c r="HI97">
        <v>564.8</v>
      </c>
      <c r="HJ97">
        <v>4052.6</v>
      </c>
      <c r="HK97">
        <v>4641</v>
      </c>
      <c r="HL97">
        <v>18.7</v>
      </c>
      <c r="HM97">
        <v>1.86768</v>
      </c>
      <c r="HN97">
        <v>1.86661</v>
      </c>
      <c r="HO97">
        <v>1.86615</v>
      </c>
      <c r="HP97">
        <v>1.866</v>
      </c>
      <c r="HQ97">
        <v>1.86783</v>
      </c>
      <c r="HR97">
        <v>1.87036</v>
      </c>
      <c r="HS97">
        <v>1.86905</v>
      </c>
      <c r="HT97">
        <v>1.87039</v>
      </c>
      <c r="HU97">
        <v>0</v>
      </c>
      <c r="HV97">
        <v>0</v>
      </c>
      <c r="HW97">
        <v>0</v>
      </c>
      <c r="HX97">
        <v>0</v>
      </c>
      <c r="HY97" t="s">
        <v>422</v>
      </c>
      <c r="HZ97" t="s">
        <v>423</v>
      </c>
      <c r="IA97" t="s">
        <v>424</v>
      </c>
      <c r="IB97" t="s">
        <v>424</v>
      </c>
      <c r="IC97" t="s">
        <v>424</v>
      </c>
      <c r="ID97" t="s">
        <v>424</v>
      </c>
      <c r="IE97">
        <v>0</v>
      </c>
      <c r="IF97">
        <v>100</v>
      </c>
      <c r="IG97">
        <v>100</v>
      </c>
      <c r="IH97">
        <v>-1.347</v>
      </c>
      <c r="II97">
        <v>0.0646</v>
      </c>
      <c r="IJ97">
        <v>-0.7030678540346029</v>
      </c>
      <c r="IK97">
        <v>-0.001826611574738555</v>
      </c>
      <c r="IL97">
        <v>3.313362389709971E-07</v>
      </c>
      <c r="IM97">
        <v>-1.629490614973607E-10</v>
      </c>
      <c r="IN97">
        <v>0.06459834545301171</v>
      </c>
      <c r="IO97">
        <v>0</v>
      </c>
      <c r="IP97">
        <v>0</v>
      </c>
      <c r="IQ97">
        <v>0</v>
      </c>
      <c r="IR97">
        <v>3</v>
      </c>
      <c r="IS97">
        <v>2280</v>
      </c>
      <c r="IT97">
        <v>1</v>
      </c>
      <c r="IU97">
        <v>25</v>
      </c>
      <c r="IV97">
        <v>1.1</v>
      </c>
      <c r="IW97">
        <v>10.8</v>
      </c>
      <c r="IX97">
        <v>1.01562</v>
      </c>
      <c r="IY97">
        <v>2.25464</v>
      </c>
      <c r="IZ97">
        <v>1.39648</v>
      </c>
      <c r="JA97">
        <v>2.35352</v>
      </c>
      <c r="JB97">
        <v>1.49536</v>
      </c>
      <c r="JC97">
        <v>2.29126</v>
      </c>
      <c r="JD97">
        <v>38.8211</v>
      </c>
      <c r="JE97">
        <v>24.0525</v>
      </c>
      <c r="JF97">
        <v>18</v>
      </c>
      <c r="JG97">
        <v>512.996</v>
      </c>
      <c r="JH97">
        <v>429.967</v>
      </c>
      <c r="JI97">
        <v>29.931</v>
      </c>
      <c r="JJ97">
        <v>29.1752</v>
      </c>
      <c r="JK97">
        <v>29.9999</v>
      </c>
      <c r="JL97">
        <v>29.0742</v>
      </c>
      <c r="JM97">
        <v>28.9996</v>
      </c>
      <c r="JN97">
        <v>20.3354</v>
      </c>
      <c r="JO97">
        <v>27.1448</v>
      </c>
      <c r="JP97">
        <v>0</v>
      </c>
      <c r="JQ97">
        <v>-999.9</v>
      </c>
      <c r="JR97">
        <v>400</v>
      </c>
      <c r="JS97">
        <v>21.1688</v>
      </c>
      <c r="JT97">
        <v>100.322</v>
      </c>
      <c r="JU97">
        <v>100.225</v>
      </c>
    </row>
    <row r="98" spans="1:281">
      <c r="A98">
        <v>82</v>
      </c>
      <c r="B98">
        <v>1651775819</v>
      </c>
      <c r="C98">
        <v>3941.400000095367</v>
      </c>
      <c r="D98" t="s">
        <v>598</v>
      </c>
      <c r="E98" t="s">
        <v>599</v>
      </c>
      <c r="F98">
        <v>5</v>
      </c>
      <c r="G98" t="s">
        <v>572</v>
      </c>
      <c r="H98" t="s">
        <v>417</v>
      </c>
      <c r="I98">
        <v>1651775816.25</v>
      </c>
      <c r="J98">
        <f>(K98)/1000</f>
        <v>0</v>
      </c>
      <c r="K98">
        <f>IF(CZ98, AN98, AH98)</f>
        <v>0</v>
      </c>
      <c r="L98">
        <f>IF(CZ98, AI98, AG98)</f>
        <v>0</v>
      </c>
      <c r="M98">
        <f>DB98 - IF(AU98&gt;1, L98*CV98*100.0/(AW98*DP98), 0)</f>
        <v>0</v>
      </c>
      <c r="N98">
        <f>((T98-J98/2)*M98-L98)/(T98+J98/2)</f>
        <v>0</v>
      </c>
      <c r="O98">
        <f>N98*(DI98+DJ98)/1000.0</f>
        <v>0</v>
      </c>
      <c r="P98">
        <f>(DB98 - IF(AU98&gt;1, L98*CV98*100.0/(AW98*DP98), 0))*(DI98+DJ98)/1000.0</f>
        <v>0</v>
      </c>
      <c r="Q98">
        <f>2.0/((1/S98-1/R98)+SIGN(S98)*SQRT((1/S98-1/R98)*(1/S98-1/R98) + 4*CW98/((CW98+1)*(CW98+1))*(2*1/S98*1/R98-1/R98*1/R98)))</f>
        <v>0</v>
      </c>
      <c r="R98">
        <f>IF(LEFT(CX98,1)&lt;&gt;"0",IF(LEFT(CX98,1)="1",3.0,CY98),$D$5+$E$5*(DP98*DI98/($K$5*1000))+$F$5*(DP98*DI98/($K$5*1000))*MAX(MIN(CV98,$J$5),$I$5)*MAX(MIN(CV98,$J$5),$I$5)+$G$5*MAX(MIN(CV98,$J$5),$I$5)*(DP98*DI98/($K$5*1000))+$H$5*(DP98*DI98/($K$5*1000))*(DP98*DI98/($K$5*1000)))</f>
        <v>0</v>
      </c>
      <c r="S98">
        <f>J98*(1000-(1000*0.61365*exp(17.502*W98/(240.97+W98))/(DI98+DJ98)+DD98)/2)/(1000*0.61365*exp(17.502*W98/(240.97+W98))/(DI98+DJ98)-DD98)</f>
        <v>0</v>
      </c>
      <c r="T98">
        <f>1/((CW98+1)/(Q98/1.6)+1/(R98/1.37)) + CW98/((CW98+1)/(Q98/1.6) + CW98/(R98/1.37))</f>
        <v>0</v>
      </c>
      <c r="U98">
        <f>(CR98*CU98)</f>
        <v>0</v>
      </c>
      <c r="V98">
        <f>(DK98+(U98+2*0.95*5.67E-8*(((DK98+$B$7)+273)^4-(DK98+273)^4)-44100*J98)/(1.84*29.3*R98+8*0.95*5.67E-8*(DK98+273)^3))</f>
        <v>0</v>
      </c>
      <c r="W98">
        <f>($C$7*DL98+$D$7*DM98+$E$7*V98)</f>
        <v>0</v>
      </c>
      <c r="X98">
        <f>0.61365*exp(17.502*W98/(240.97+W98))</f>
        <v>0</v>
      </c>
      <c r="Y98">
        <f>(Z98/AA98*100)</f>
        <v>0</v>
      </c>
      <c r="Z98">
        <f>DD98*(DI98+DJ98)/1000</f>
        <v>0</v>
      </c>
      <c r="AA98">
        <f>0.61365*exp(17.502*DK98/(240.97+DK98))</f>
        <v>0</v>
      </c>
      <c r="AB98">
        <f>(X98-DD98*(DI98+DJ98)/1000)</f>
        <v>0</v>
      </c>
      <c r="AC98">
        <f>(-J98*44100)</f>
        <v>0</v>
      </c>
      <c r="AD98">
        <f>2*29.3*R98*0.92*(DK98-W98)</f>
        <v>0</v>
      </c>
      <c r="AE98">
        <f>2*0.95*5.67E-8*(((DK98+$B$7)+273)^4-(W98+273)^4)</f>
        <v>0</v>
      </c>
      <c r="AF98">
        <f>U98+AE98+AC98+AD98</f>
        <v>0</v>
      </c>
      <c r="AG98">
        <f>DH98*AU98*(DC98-DB98*(1000-AU98*DE98)/(1000-AU98*DD98))/(100*CV98)</f>
        <v>0</v>
      </c>
      <c r="AH98">
        <f>1000*DH98*AU98*(DD98-DE98)/(100*CV98*(1000-AU98*DD98))</f>
        <v>0</v>
      </c>
      <c r="AI98">
        <f>(AJ98 - AK98 - DI98*1E3/(8.314*(DK98+273.15)) * AM98/DH98 * AL98) * DH98/(100*CV98) * (1000 - DE98)/1000</f>
        <v>0</v>
      </c>
      <c r="AJ98">
        <v>408.574096511317</v>
      </c>
      <c r="AK98">
        <v>383.1391515151514</v>
      </c>
      <c r="AL98">
        <v>4.627760726834837E-06</v>
      </c>
      <c r="AM98">
        <v>66.79738697613678</v>
      </c>
      <c r="AN98">
        <f>(AP98 - AO98 + DI98*1E3/(8.314*(DK98+273.15)) * AR98/DH98 * AQ98) * DH98/(100*CV98) * 1000/(1000 - AP98)</f>
        <v>0</v>
      </c>
      <c r="AO98">
        <v>20.93854885453796</v>
      </c>
      <c r="AP98">
        <v>29.73759696969697</v>
      </c>
      <c r="AQ98">
        <v>0.0002966067702875176</v>
      </c>
      <c r="AR98">
        <v>78.18566756768526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MAX(0,($B$13+$C$13*DP98)/(1+$D$13*DP98)*DI98/(DK98+273)*$E$13)</f>
        <v>0</v>
      </c>
      <c r="AX98" t="s">
        <v>418</v>
      </c>
      <c r="AY98" t="s">
        <v>418</v>
      </c>
      <c r="AZ98">
        <v>0</v>
      </c>
      <c r="BA98">
        <v>0</v>
      </c>
      <c r="BB98">
        <f>1-AZ98/BA98</f>
        <v>0</v>
      </c>
      <c r="BC98">
        <v>0</v>
      </c>
      <c r="BD98" t="s">
        <v>418</v>
      </c>
      <c r="BE98" t="s">
        <v>418</v>
      </c>
      <c r="BF98">
        <v>0</v>
      </c>
      <c r="BG98">
        <v>0</v>
      </c>
      <c r="BH98">
        <f>1-BF98/BG98</f>
        <v>0</v>
      </c>
      <c r="BI98">
        <v>0.5</v>
      </c>
      <c r="BJ98">
        <f>CS98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418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1222</v>
      </c>
      <c r="CA98">
        <v>300</v>
      </c>
      <c r="CB98">
        <v>300</v>
      </c>
      <c r="CC98">
        <v>300</v>
      </c>
      <c r="CD98">
        <v>10382.2</v>
      </c>
      <c r="CE98">
        <v>1.57</v>
      </c>
      <c r="CF98">
        <v>-0.00732194</v>
      </c>
      <c r="CG98">
        <v>1.47</v>
      </c>
      <c r="CH98" t="s">
        <v>418</v>
      </c>
      <c r="CI98" t="s">
        <v>418</v>
      </c>
      <c r="CJ98" t="s">
        <v>418</v>
      </c>
      <c r="CK98" t="s">
        <v>418</v>
      </c>
      <c r="CL98" t="s">
        <v>418</v>
      </c>
      <c r="CM98" t="s">
        <v>418</v>
      </c>
      <c r="CN98" t="s">
        <v>418</v>
      </c>
      <c r="CO98" t="s">
        <v>418</v>
      </c>
      <c r="CP98" t="s">
        <v>418</v>
      </c>
      <c r="CQ98" t="s">
        <v>418</v>
      </c>
      <c r="CR98">
        <f>$B$11*DQ98+$C$11*DR98+$F$11*EC98*(1-EF98)</f>
        <v>0</v>
      </c>
      <c r="CS98">
        <f>CR98*CT98</f>
        <v>0</v>
      </c>
      <c r="CT98">
        <f>($B$11*$D$9+$C$11*$D$9+$F$11*((EP98+EH98)/MAX(EP98+EH98+EQ98, 0.1)*$I$9+EQ98/MAX(EP98+EH98+EQ98, 0.1)*$J$9))/($B$11+$C$11+$F$11)</f>
        <v>0</v>
      </c>
      <c r="CU98">
        <f>($B$11*$K$9+$C$11*$K$9+$F$11*((EP98+EH98)/MAX(EP98+EH98+EQ98, 0.1)*$P$9+EQ98/MAX(EP98+EH98+EQ98, 0.1)*$Q$9))/($B$11+$C$11+$F$11)</f>
        <v>0</v>
      </c>
      <c r="CV98">
        <v>6</v>
      </c>
      <c r="CW98">
        <v>0.5</v>
      </c>
      <c r="CX98" t="s">
        <v>419</v>
      </c>
      <c r="CY98">
        <v>2</v>
      </c>
      <c r="CZ98" t="b">
        <v>1</v>
      </c>
      <c r="DA98">
        <v>1651775816.25</v>
      </c>
      <c r="DB98">
        <v>371.7499</v>
      </c>
      <c r="DC98">
        <v>400.0366</v>
      </c>
      <c r="DD98">
        <v>29.72779000000001</v>
      </c>
      <c r="DE98">
        <v>20.93827</v>
      </c>
      <c r="DF98">
        <v>373.0966999999999</v>
      </c>
      <c r="DG98">
        <v>29.66319</v>
      </c>
      <c r="DH98">
        <v>500.0636000000001</v>
      </c>
      <c r="DI98">
        <v>90.25331</v>
      </c>
      <c r="DJ98">
        <v>0.10003385</v>
      </c>
      <c r="DK98">
        <v>30.70715</v>
      </c>
      <c r="DL98">
        <v>29.6352</v>
      </c>
      <c r="DM98">
        <v>999.9</v>
      </c>
      <c r="DN98">
        <v>0</v>
      </c>
      <c r="DO98">
        <v>0</v>
      </c>
      <c r="DP98">
        <v>9998.99</v>
      </c>
      <c r="DQ98">
        <v>0</v>
      </c>
      <c r="DR98">
        <v>13.3774</v>
      </c>
      <c r="DS98">
        <v>-28.28691</v>
      </c>
      <c r="DT98">
        <v>383.1396</v>
      </c>
      <c r="DU98">
        <v>408.5919</v>
      </c>
      <c r="DV98">
        <v>8.789504000000001</v>
      </c>
      <c r="DW98">
        <v>400.0366</v>
      </c>
      <c r="DX98">
        <v>20.93827</v>
      </c>
      <c r="DY98">
        <v>2.683033</v>
      </c>
      <c r="DZ98">
        <v>1.889746</v>
      </c>
      <c r="EA98">
        <v>22.18156</v>
      </c>
      <c r="EB98">
        <v>16.54962</v>
      </c>
      <c r="EC98">
        <v>1499.977</v>
      </c>
      <c r="ED98">
        <v>0.9729918</v>
      </c>
      <c r="EE98">
        <v>0.02700798</v>
      </c>
      <c r="EF98">
        <v>0</v>
      </c>
      <c r="EG98">
        <v>2.44081</v>
      </c>
      <c r="EH98">
        <v>0</v>
      </c>
      <c r="EI98">
        <v>13038.81</v>
      </c>
      <c r="EJ98">
        <v>12533.15</v>
      </c>
      <c r="EK98">
        <v>37.312</v>
      </c>
      <c r="EL98">
        <v>38.687</v>
      </c>
      <c r="EM98">
        <v>37.625</v>
      </c>
      <c r="EN98">
        <v>38.062</v>
      </c>
      <c r="EO98">
        <v>37.25</v>
      </c>
      <c r="EP98">
        <v>1459.466</v>
      </c>
      <c r="EQ98">
        <v>40.511</v>
      </c>
      <c r="ER98">
        <v>0</v>
      </c>
      <c r="ES98">
        <v>66.60000014305115</v>
      </c>
      <c r="ET98">
        <v>0</v>
      </c>
      <c r="EU98">
        <v>2.336803846153846</v>
      </c>
      <c r="EV98">
        <v>-0.3564957243249855</v>
      </c>
      <c r="EW98">
        <v>-23.40854715995827</v>
      </c>
      <c r="EX98">
        <v>13041.61153846154</v>
      </c>
      <c r="EY98">
        <v>15</v>
      </c>
      <c r="EZ98">
        <v>1651775686</v>
      </c>
      <c r="FA98" t="s">
        <v>594</v>
      </c>
      <c r="FB98">
        <v>1651775686</v>
      </c>
      <c r="FC98">
        <v>1651775102.6</v>
      </c>
      <c r="FD98">
        <v>4</v>
      </c>
      <c r="FE98">
        <v>-0.02</v>
      </c>
      <c r="FF98">
        <v>-0.043</v>
      </c>
      <c r="FG98">
        <v>-0.705</v>
      </c>
      <c r="FH98">
        <v>0.035</v>
      </c>
      <c r="FI98">
        <v>0</v>
      </c>
      <c r="FJ98">
        <v>23</v>
      </c>
      <c r="FK98">
        <v>0.28</v>
      </c>
      <c r="FL98">
        <v>0.01</v>
      </c>
      <c r="FM98">
        <v>-28.3608375</v>
      </c>
      <c r="FN98">
        <v>0.7571673545966982</v>
      </c>
      <c r="FO98">
        <v>0.08505689768472631</v>
      </c>
      <c r="FP98">
        <v>0</v>
      </c>
      <c r="FQ98">
        <v>8.800089249999999</v>
      </c>
      <c r="FR98">
        <v>-0.112457898686685</v>
      </c>
      <c r="FS98">
        <v>0.01378786774441576</v>
      </c>
      <c r="FT98">
        <v>1</v>
      </c>
      <c r="FU98">
        <v>0</v>
      </c>
      <c r="FV98">
        <v>0</v>
      </c>
      <c r="FW98">
        <v>0</v>
      </c>
      <c r="FX98">
        <v>1</v>
      </c>
      <c r="FY98">
        <v>2</v>
      </c>
      <c r="FZ98">
        <v>3</v>
      </c>
      <c r="GA98" t="s">
        <v>421</v>
      </c>
      <c r="GB98">
        <v>2.97987</v>
      </c>
      <c r="GC98">
        <v>2.70606</v>
      </c>
      <c r="GD98">
        <v>0.0855292</v>
      </c>
      <c r="GE98">
        <v>0.08937150000000001</v>
      </c>
      <c r="GF98">
        <v>0.12324</v>
      </c>
      <c r="GG98">
        <v>0.09512909999999999</v>
      </c>
      <c r="GH98">
        <v>28862.4</v>
      </c>
      <c r="GI98">
        <v>28800.8</v>
      </c>
      <c r="GJ98">
        <v>29350</v>
      </c>
      <c r="GK98">
        <v>29260</v>
      </c>
      <c r="GL98">
        <v>34060.8</v>
      </c>
      <c r="GM98">
        <v>35250.1</v>
      </c>
      <c r="GN98">
        <v>41314.2</v>
      </c>
      <c r="GO98">
        <v>41760.4</v>
      </c>
      <c r="GP98">
        <v>1.95315</v>
      </c>
      <c r="GQ98">
        <v>1.8466</v>
      </c>
      <c r="GR98">
        <v>0.0697039</v>
      </c>
      <c r="GS98">
        <v>0</v>
      </c>
      <c r="GT98">
        <v>28.5012</v>
      </c>
      <c r="GU98">
        <v>999.9</v>
      </c>
      <c r="GV98">
        <v>44.2</v>
      </c>
      <c r="GW98">
        <v>34.8</v>
      </c>
      <c r="GX98">
        <v>27.3599</v>
      </c>
      <c r="GY98">
        <v>62.5886</v>
      </c>
      <c r="GZ98">
        <v>35.605</v>
      </c>
      <c r="HA98">
        <v>1</v>
      </c>
      <c r="HB98">
        <v>0.125724</v>
      </c>
      <c r="HC98">
        <v>0</v>
      </c>
      <c r="HD98">
        <v>20.3469</v>
      </c>
      <c r="HE98">
        <v>5.22343</v>
      </c>
      <c r="HF98">
        <v>12.0099</v>
      </c>
      <c r="HG98">
        <v>4.9898</v>
      </c>
      <c r="HH98">
        <v>3.29</v>
      </c>
      <c r="HI98">
        <v>566.1</v>
      </c>
      <c r="HJ98">
        <v>4060.7</v>
      </c>
      <c r="HK98">
        <v>4641</v>
      </c>
      <c r="HL98">
        <v>18.8</v>
      </c>
      <c r="HM98">
        <v>1.86767</v>
      </c>
      <c r="HN98">
        <v>1.86661</v>
      </c>
      <c r="HO98">
        <v>1.86614</v>
      </c>
      <c r="HP98">
        <v>1.866</v>
      </c>
      <c r="HQ98">
        <v>1.86783</v>
      </c>
      <c r="HR98">
        <v>1.87031</v>
      </c>
      <c r="HS98">
        <v>1.86904</v>
      </c>
      <c r="HT98">
        <v>1.87034</v>
      </c>
      <c r="HU98">
        <v>0</v>
      </c>
      <c r="HV98">
        <v>0</v>
      </c>
      <c r="HW98">
        <v>0</v>
      </c>
      <c r="HX98">
        <v>0</v>
      </c>
      <c r="HY98" t="s">
        <v>422</v>
      </c>
      <c r="HZ98" t="s">
        <v>423</v>
      </c>
      <c r="IA98" t="s">
        <v>424</v>
      </c>
      <c r="IB98" t="s">
        <v>424</v>
      </c>
      <c r="IC98" t="s">
        <v>424</v>
      </c>
      <c r="ID98" t="s">
        <v>424</v>
      </c>
      <c r="IE98">
        <v>0</v>
      </c>
      <c r="IF98">
        <v>100</v>
      </c>
      <c r="IG98">
        <v>100</v>
      </c>
      <c r="IH98">
        <v>-1.347</v>
      </c>
      <c r="II98">
        <v>0.0646</v>
      </c>
      <c r="IJ98">
        <v>-0.7030678540346029</v>
      </c>
      <c r="IK98">
        <v>-0.001826611574738555</v>
      </c>
      <c r="IL98">
        <v>3.313362389709971E-07</v>
      </c>
      <c r="IM98">
        <v>-1.629490614973607E-10</v>
      </c>
      <c r="IN98">
        <v>0.06459834545301171</v>
      </c>
      <c r="IO98">
        <v>0</v>
      </c>
      <c r="IP98">
        <v>0</v>
      </c>
      <c r="IQ98">
        <v>0</v>
      </c>
      <c r="IR98">
        <v>3</v>
      </c>
      <c r="IS98">
        <v>2280</v>
      </c>
      <c r="IT98">
        <v>1</v>
      </c>
      <c r="IU98">
        <v>25</v>
      </c>
      <c r="IV98">
        <v>2.2</v>
      </c>
      <c r="IW98">
        <v>11.9</v>
      </c>
      <c r="IX98">
        <v>1.01318</v>
      </c>
      <c r="IY98">
        <v>2.24243</v>
      </c>
      <c r="IZ98">
        <v>1.39648</v>
      </c>
      <c r="JA98">
        <v>2.35352</v>
      </c>
      <c r="JB98">
        <v>1.49536</v>
      </c>
      <c r="JC98">
        <v>2.33398</v>
      </c>
      <c r="JD98">
        <v>38.7964</v>
      </c>
      <c r="JE98">
        <v>24.0525</v>
      </c>
      <c r="JF98">
        <v>18</v>
      </c>
      <c r="JG98">
        <v>513.056</v>
      </c>
      <c r="JH98">
        <v>429.692</v>
      </c>
      <c r="JI98">
        <v>29.9149</v>
      </c>
      <c r="JJ98">
        <v>29.1502</v>
      </c>
      <c r="JK98">
        <v>30</v>
      </c>
      <c r="JL98">
        <v>29.0503</v>
      </c>
      <c r="JM98">
        <v>28.9762</v>
      </c>
      <c r="JN98">
        <v>20.2747</v>
      </c>
      <c r="JO98">
        <v>27.959</v>
      </c>
      <c r="JP98">
        <v>0</v>
      </c>
      <c r="JQ98">
        <v>-999.9</v>
      </c>
      <c r="JR98">
        <v>400</v>
      </c>
      <c r="JS98">
        <v>20.9641</v>
      </c>
      <c r="JT98">
        <v>100.328</v>
      </c>
      <c r="JU98">
        <v>100.231</v>
      </c>
    </row>
    <row r="99" spans="1:281">
      <c r="A99">
        <v>83</v>
      </c>
      <c r="B99">
        <v>1651775884.5</v>
      </c>
      <c r="C99">
        <v>4006.900000095367</v>
      </c>
      <c r="D99" t="s">
        <v>600</v>
      </c>
      <c r="E99" t="s">
        <v>601</v>
      </c>
      <c r="F99">
        <v>5</v>
      </c>
      <c r="G99" t="s">
        <v>572</v>
      </c>
      <c r="H99" t="s">
        <v>417</v>
      </c>
      <c r="I99">
        <v>1651775881.75</v>
      </c>
      <c r="J99">
        <f>(K99)/1000</f>
        <v>0</v>
      </c>
      <c r="K99">
        <f>IF(CZ99, AN99, AH99)</f>
        <v>0</v>
      </c>
      <c r="L99">
        <f>IF(CZ99, AI99, AG99)</f>
        <v>0</v>
      </c>
      <c r="M99">
        <f>DB99 - IF(AU99&gt;1, L99*CV99*100.0/(AW99*DP99), 0)</f>
        <v>0</v>
      </c>
      <c r="N99">
        <f>((T99-J99/2)*M99-L99)/(T99+J99/2)</f>
        <v>0</v>
      </c>
      <c r="O99">
        <f>N99*(DI99+DJ99)/1000.0</f>
        <v>0</v>
      </c>
      <c r="P99">
        <f>(DB99 - IF(AU99&gt;1, L99*CV99*100.0/(AW99*DP99), 0))*(DI99+DJ99)/1000.0</f>
        <v>0</v>
      </c>
      <c r="Q99">
        <f>2.0/((1/S99-1/R99)+SIGN(S99)*SQRT((1/S99-1/R99)*(1/S99-1/R99) + 4*CW99/((CW99+1)*(CW99+1))*(2*1/S99*1/R99-1/R99*1/R99)))</f>
        <v>0</v>
      </c>
      <c r="R99">
        <f>IF(LEFT(CX99,1)&lt;&gt;"0",IF(LEFT(CX99,1)="1",3.0,CY99),$D$5+$E$5*(DP99*DI99/($K$5*1000))+$F$5*(DP99*DI99/($K$5*1000))*MAX(MIN(CV99,$J$5),$I$5)*MAX(MIN(CV99,$J$5),$I$5)+$G$5*MAX(MIN(CV99,$J$5),$I$5)*(DP99*DI99/($K$5*1000))+$H$5*(DP99*DI99/($K$5*1000))*(DP99*DI99/($K$5*1000)))</f>
        <v>0</v>
      </c>
      <c r="S99">
        <f>J99*(1000-(1000*0.61365*exp(17.502*W99/(240.97+W99))/(DI99+DJ99)+DD99)/2)/(1000*0.61365*exp(17.502*W99/(240.97+W99))/(DI99+DJ99)-DD99)</f>
        <v>0</v>
      </c>
      <c r="T99">
        <f>1/((CW99+1)/(Q99/1.6)+1/(R99/1.37)) + CW99/((CW99+1)/(Q99/1.6) + CW99/(R99/1.37))</f>
        <v>0</v>
      </c>
      <c r="U99">
        <f>(CR99*CU99)</f>
        <v>0</v>
      </c>
      <c r="V99">
        <f>(DK99+(U99+2*0.95*5.67E-8*(((DK99+$B$7)+273)^4-(DK99+273)^4)-44100*J99)/(1.84*29.3*R99+8*0.95*5.67E-8*(DK99+273)^3))</f>
        <v>0</v>
      </c>
      <c r="W99">
        <f>($C$7*DL99+$D$7*DM99+$E$7*V99)</f>
        <v>0</v>
      </c>
      <c r="X99">
        <f>0.61365*exp(17.502*W99/(240.97+W99))</f>
        <v>0</v>
      </c>
      <c r="Y99">
        <f>(Z99/AA99*100)</f>
        <v>0</v>
      </c>
      <c r="Z99">
        <f>DD99*(DI99+DJ99)/1000</f>
        <v>0</v>
      </c>
      <c r="AA99">
        <f>0.61365*exp(17.502*DK99/(240.97+DK99))</f>
        <v>0</v>
      </c>
      <c r="AB99">
        <f>(X99-DD99*(DI99+DJ99)/1000)</f>
        <v>0</v>
      </c>
      <c r="AC99">
        <f>(-J99*44100)</f>
        <v>0</v>
      </c>
      <c r="AD99">
        <f>2*29.3*R99*0.92*(DK99-W99)</f>
        <v>0</v>
      </c>
      <c r="AE99">
        <f>2*0.95*5.67E-8*(((DK99+$B$7)+273)^4-(W99+273)^4)</f>
        <v>0</v>
      </c>
      <c r="AF99">
        <f>U99+AE99+AC99+AD99</f>
        <v>0</v>
      </c>
      <c r="AG99">
        <f>DH99*AU99*(DC99-DB99*(1000-AU99*DE99)/(1000-AU99*DD99))/(100*CV99)</f>
        <v>0</v>
      </c>
      <c r="AH99">
        <f>1000*DH99*AU99*(DD99-DE99)/(100*CV99*(1000-AU99*DD99))</f>
        <v>0</v>
      </c>
      <c r="AI99">
        <f>(AJ99 - AK99 - DI99*1E3/(8.314*(DK99+273.15)) * AM99/DH99 * AL99) * DH99/(100*CV99) * (1000 - DE99)/1000</f>
        <v>0</v>
      </c>
      <c r="AJ99">
        <v>612.7041558419826</v>
      </c>
      <c r="AK99">
        <v>579.7905151515151</v>
      </c>
      <c r="AL99">
        <v>0.03196644873466788</v>
      </c>
      <c r="AM99">
        <v>66.79738697613678</v>
      </c>
      <c r="AN99">
        <f>(AP99 - AO99 + DI99*1E3/(8.314*(DK99+273.15)) * AR99/DH99 * AQ99) * DH99/(100*CV99) * 1000/(1000 - AP99)</f>
        <v>0</v>
      </c>
      <c r="AO99">
        <v>20.68112664941257</v>
      </c>
      <c r="AP99">
        <v>29.58862242424243</v>
      </c>
      <c r="AQ99">
        <v>-2.663193799101762E-05</v>
      </c>
      <c r="AR99">
        <v>78.18566756768526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MAX(0,($B$13+$C$13*DP99)/(1+$D$13*DP99)*DI99/(DK99+273)*$E$13)</f>
        <v>0</v>
      </c>
      <c r="AX99" t="s">
        <v>573</v>
      </c>
      <c r="AY99">
        <v>10510</v>
      </c>
      <c r="AZ99">
        <v>590.42</v>
      </c>
      <c r="BA99">
        <v>2650.6</v>
      </c>
      <c r="BB99">
        <f>1-AZ99/BA99</f>
        <v>0</v>
      </c>
      <c r="BC99">
        <v>-1.816883183993991</v>
      </c>
      <c r="BD99" t="s">
        <v>602</v>
      </c>
      <c r="BE99">
        <v>10383</v>
      </c>
      <c r="BF99">
        <v>2.288204</v>
      </c>
      <c r="BG99">
        <v>3.30616</v>
      </c>
      <c r="BH99">
        <f>1-BF99/BG99</f>
        <v>0</v>
      </c>
      <c r="BI99">
        <v>0.5</v>
      </c>
      <c r="BJ99">
        <f>CS99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418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1223</v>
      </c>
      <c r="CA99">
        <v>300</v>
      </c>
      <c r="CB99">
        <v>300</v>
      </c>
      <c r="CC99">
        <v>300</v>
      </c>
      <c r="CD99">
        <v>10383</v>
      </c>
      <c r="CE99">
        <v>1.34</v>
      </c>
      <c r="CF99">
        <v>-0.00732275</v>
      </c>
      <c r="CG99">
        <v>0.2</v>
      </c>
      <c r="CH99" t="s">
        <v>418</v>
      </c>
      <c r="CI99" t="s">
        <v>418</v>
      </c>
      <c r="CJ99" t="s">
        <v>418</v>
      </c>
      <c r="CK99" t="s">
        <v>418</v>
      </c>
      <c r="CL99" t="s">
        <v>418</v>
      </c>
      <c r="CM99" t="s">
        <v>418</v>
      </c>
      <c r="CN99" t="s">
        <v>418</v>
      </c>
      <c r="CO99" t="s">
        <v>418</v>
      </c>
      <c r="CP99" t="s">
        <v>418</v>
      </c>
      <c r="CQ99" t="s">
        <v>418</v>
      </c>
      <c r="CR99">
        <f>$B$11*DQ99+$C$11*DR99+$F$11*EC99*(1-EF99)</f>
        <v>0</v>
      </c>
      <c r="CS99">
        <f>CR99*CT99</f>
        <v>0</v>
      </c>
      <c r="CT99">
        <f>($B$11*$D$9+$C$11*$D$9+$F$11*((EP99+EH99)/MAX(EP99+EH99+EQ99, 0.1)*$I$9+EQ99/MAX(EP99+EH99+EQ99, 0.1)*$J$9))/($B$11+$C$11+$F$11)</f>
        <v>0</v>
      </c>
      <c r="CU99">
        <f>($B$11*$K$9+$C$11*$K$9+$F$11*((EP99+EH99)/MAX(EP99+EH99+EQ99, 0.1)*$P$9+EQ99/MAX(EP99+EH99+EQ99, 0.1)*$Q$9))/($B$11+$C$11+$F$11)</f>
        <v>0</v>
      </c>
      <c r="CV99">
        <v>6</v>
      </c>
      <c r="CW99">
        <v>0.5</v>
      </c>
      <c r="CX99" t="s">
        <v>419</v>
      </c>
      <c r="CY99">
        <v>2</v>
      </c>
      <c r="CZ99" t="b">
        <v>1</v>
      </c>
      <c r="DA99">
        <v>1651775881.75</v>
      </c>
      <c r="DB99">
        <v>562.5613</v>
      </c>
      <c r="DC99">
        <v>600.0429</v>
      </c>
      <c r="DD99">
        <v>29.59225</v>
      </c>
      <c r="DE99">
        <v>20.6809</v>
      </c>
      <c r="DF99">
        <v>564.2185999999999</v>
      </c>
      <c r="DG99">
        <v>29.52765</v>
      </c>
      <c r="DH99">
        <v>500.0335999999999</v>
      </c>
      <c r="DI99">
        <v>90.25280000000001</v>
      </c>
      <c r="DJ99">
        <v>0.09989207999999999</v>
      </c>
      <c r="DK99">
        <v>30.6779</v>
      </c>
      <c r="DL99">
        <v>29.60837999999999</v>
      </c>
      <c r="DM99">
        <v>999.9</v>
      </c>
      <c r="DN99">
        <v>0</v>
      </c>
      <c r="DO99">
        <v>0</v>
      </c>
      <c r="DP99">
        <v>10013.5</v>
      </c>
      <c r="DQ99">
        <v>0</v>
      </c>
      <c r="DR99">
        <v>13.3774</v>
      </c>
      <c r="DS99">
        <v>-37.48163</v>
      </c>
      <c r="DT99">
        <v>579.7165</v>
      </c>
      <c r="DU99">
        <v>612.7143</v>
      </c>
      <c r="DV99">
        <v>8.911353</v>
      </c>
      <c r="DW99">
        <v>600.0429</v>
      </c>
      <c r="DX99">
        <v>20.6809</v>
      </c>
      <c r="DY99">
        <v>2.670783</v>
      </c>
      <c r="DZ99">
        <v>1.866508</v>
      </c>
      <c r="EA99">
        <v>22.10645</v>
      </c>
      <c r="EB99">
        <v>16.3552</v>
      </c>
      <c r="EC99">
        <v>1499.987</v>
      </c>
      <c r="ED99">
        <v>0.9729905999999999</v>
      </c>
      <c r="EE99">
        <v>0.02700906</v>
      </c>
      <c r="EF99">
        <v>0</v>
      </c>
      <c r="EG99">
        <v>2.320489999999999</v>
      </c>
      <c r="EH99">
        <v>0</v>
      </c>
      <c r="EI99">
        <v>13369.18</v>
      </c>
      <c r="EJ99">
        <v>12533.24</v>
      </c>
      <c r="EK99">
        <v>37.25</v>
      </c>
      <c r="EL99">
        <v>38.625</v>
      </c>
      <c r="EM99">
        <v>37.5746</v>
      </c>
      <c r="EN99">
        <v>38.0248</v>
      </c>
      <c r="EO99">
        <v>37.1746</v>
      </c>
      <c r="EP99">
        <v>1459.477</v>
      </c>
      <c r="EQ99">
        <v>40.51</v>
      </c>
      <c r="ER99">
        <v>0</v>
      </c>
      <c r="ES99">
        <v>132</v>
      </c>
      <c r="ET99">
        <v>0</v>
      </c>
      <c r="EU99">
        <v>2.288204</v>
      </c>
      <c r="EV99">
        <v>-0.7362922981240581</v>
      </c>
      <c r="EW99">
        <v>-232.3692310974206</v>
      </c>
      <c r="EX99">
        <v>13387.028</v>
      </c>
      <c r="EY99">
        <v>15</v>
      </c>
      <c r="EZ99">
        <v>1651775686</v>
      </c>
      <c r="FA99" t="s">
        <v>594</v>
      </c>
      <c r="FB99">
        <v>1651775686</v>
      </c>
      <c r="FC99">
        <v>1651775102.6</v>
      </c>
      <c r="FD99">
        <v>4</v>
      </c>
      <c r="FE99">
        <v>-0.02</v>
      </c>
      <c r="FF99">
        <v>-0.043</v>
      </c>
      <c r="FG99">
        <v>-0.705</v>
      </c>
      <c r="FH99">
        <v>0.035</v>
      </c>
      <c r="FI99">
        <v>0</v>
      </c>
      <c r="FJ99">
        <v>23</v>
      </c>
      <c r="FK99">
        <v>0.28</v>
      </c>
      <c r="FL99">
        <v>0.01</v>
      </c>
      <c r="FM99">
        <v>-37.88961463414634</v>
      </c>
      <c r="FN99">
        <v>3.13367456445993</v>
      </c>
      <c r="FO99">
        <v>0.3133507631416453</v>
      </c>
      <c r="FP99">
        <v>0</v>
      </c>
      <c r="FQ99">
        <v>8.910365365853657</v>
      </c>
      <c r="FR99">
        <v>0.07522933797910286</v>
      </c>
      <c r="FS99">
        <v>0.01356480149137085</v>
      </c>
      <c r="FT99">
        <v>1</v>
      </c>
      <c r="FU99">
        <v>0</v>
      </c>
      <c r="FV99">
        <v>0</v>
      </c>
      <c r="FW99">
        <v>0</v>
      </c>
      <c r="FX99">
        <v>1</v>
      </c>
      <c r="FY99">
        <v>2</v>
      </c>
      <c r="FZ99">
        <v>3</v>
      </c>
      <c r="GA99" t="s">
        <v>421</v>
      </c>
      <c r="GB99">
        <v>2.97988</v>
      </c>
      <c r="GC99">
        <v>2.70622</v>
      </c>
      <c r="GD99">
        <v>0.116491</v>
      </c>
      <c r="GE99">
        <v>0.120395</v>
      </c>
      <c r="GF99">
        <v>0.12282</v>
      </c>
      <c r="GG99">
        <v>0.09430860000000001</v>
      </c>
      <c r="GH99">
        <v>27885.2</v>
      </c>
      <c r="GI99">
        <v>27820.2</v>
      </c>
      <c r="GJ99">
        <v>29350.1</v>
      </c>
      <c r="GK99">
        <v>29260.8</v>
      </c>
      <c r="GL99">
        <v>34078.1</v>
      </c>
      <c r="GM99">
        <v>35284.1</v>
      </c>
      <c r="GN99">
        <v>41314.5</v>
      </c>
      <c r="GO99">
        <v>41761.7</v>
      </c>
      <c r="GP99">
        <v>1.95355</v>
      </c>
      <c r="GQ99">
        <v>1.8471</v>
      </c>
      <c r="GR99">
        <v>0.06890300000000001</v>
      </c>
      <c r="GS99">
        <v>0</v>
      </c>
      <c r="GT99">
        <v>28.4823</v>
      </c>
      <c r="GU99">
        <v>999.9</v>
      </c>
      <c r="GV99">
        <v>44.1</v>
      </c>
      <c r="GW99">
        <v>34.8</v>
      </c>
      <c r="GX99">
        <v>27.2954</v>
      </c>
      <c r="GY99">
        <v>62.6586</v>
      </c>
      <c r="GZ99">
        <v>36.0697</v>
      </c>
      <c r="HA99">
        <v>1</v>
      </c>
      <c r="HB99">
        <v>0.123841</v>
      </c>
      <c r="HC99">
        <v>0</v>
      </c>
      <c r="HD99">
        <v>20.3473</v>
      </c>
      <c r="HE99">
        <v>5.22433</v>
      </c>
      <c r="HF99">
        <v>12.0099</v>
      </c>
      <c r="HG99">
        <v>4.9908</v>
      </c>
      <c r="HH99">
        <v>3.29</v>
      </c>
      <c r="HI99">
        <v>567.6</v>
      </c>
      <c r="HJ99">
        <v>4070.3</v>
      </c>
      <c r="HK99">
        <v>4641</v>
      </c>
      <c r="HL99">
        <v>18.8</v>
      </c>
      <c r="HM99">
        <v>1.86768</v>
      </c>
      <c r="HN99">
        <v>1.86661</v>
      </c>
      <c r="HO99">
        <v>1.86615</v>
      </c>
      <c r="HP99">
        <v>1.866</v>
      </c>
      <c r="HQ99">
        <v>1.86783</v>
      </c>
      <c r="HR99">
        <v>1.87033</v>
      </c>
      <c r="HS99">
        <v>1.86901</v>
      </c>
      <c r="HT99">
        <v>1.87036</v>
      </c>
      <c r="HU99">
        <v>0</v>
      </c>
      <c r="HV99">
        <v>0</v>
      </c>
      <c r="HW99">
        <v>0</v>
      </c>
      <c r="HX99">
        <v>0</v>
      </c>
      <c r="HY99" t="s">
        <v>422</v>
      </c>
      <c r="HZ99" t="s">
        <v>423</v>
      </c>
      <c r="IA99" t="s">
        <v>424</v>
      </c>
      <c r="IB99" t="s">
        <v>424</v>
      </c>
      <c r="IC99" t="s">
        <v>424</v>
      </c>
      <c r="ID99" t="s">
        <v>424</v>
      </c>
      <c r="IE99">
        <v>0</v>
      </c>
      <c r="IF99">
        <v>100</v>
      </c>
      <c r="IG99">
        <v>100</v>
      </c>
      <c r="IH99">
        <v>-1.657</v>
      </c>
      <c r="II99">
        <v>0.0646</v>
      </c>
      <c r="IJ99">
        <v>-0.7030678540346029</v>
      </c>
      <c r="IK99">
        <v>-0.001826611574738555</v>
      </c>
      <c r="IL99">
        <v>3.313362389709971E-07</v>
      </c>
      <c r="IM99">
        <v>-1.629490614973607E-10</v>
      </c>
      <c r="IN99">
        <v>0.06459834545301171</v>
      </c>
      <c r="IO99">
        <v>0</v>
      </c>
      <c r="IP99">
        <v>0</v>
      </c>
      <c r="IQ99">
        <v>0</v>
      </c>
      <c r="IR99">
        <v>3</v>
      </c>
      <c r="IS99">
        <v>2280</v>
      </c>
      <c r="IT99">
        <v>1</v>
      </c>
      <c r="IU99">
        <v>25</v>
      </c>
      <c r="IV99">
        <v>3.3</v>
      </c>
      <c r="IW99">
        <v>13</v>
      </c>
      <c r="IX99">
        <v>1.39282</v>
      </c>
      <c r="IY99">
        <v>2.24487</v>
      </c>
      <c r="IZ99">
        <v>1.39648</v>
      </c>
      <c r="JA99">
        <v>2.35352</v>
      </c>
      <c r="JB99">
        <v>1.49536</v>
      </c>
      <c r="JC99">
        <v>2.36816</v>
      </c>
      <c r="JD99">
        <v>38.7964</v>
      </c>
      <c r="JE99">
        <v>24.0612</v>
      </c>
      <c r="JF99">
        <v>18</v>
      </c>
      <c r="JG99">
        <v>513.111</v>
      </c>
      <c r="JH99">
        <v>429.825</v>
      </c>
      <c r="JI99">
        <v>29.8969</v>
      </c>
      <c r="JJ99">
        <v>29.1256</v>
      </c>
      <c r="JK99">
        <v>30</v>
      </c>
      <c r="JL99">
        <v>29.0256</v>
      </c>
      <c r="JM99">
        <v>28.9529</v>
      </c>
      <c r="JN99">
        <v>27.888</v>
      </c>
      <c r="JO99">
        <v>28.8221</v>
      </c>
      <c r="JP99">
        <v>0</v>
      </c>
      <c r="JQ99">
        <v>-999.9</v>
      </c>
      <c r="JR99">
        <v>600</v>
      </c>
      <c r="JS99">
        <v>20.6494</v>
      </c>
      <c r="JT99">
        <v>100.329</v>
      </c>
      <c r="JU99">
        <v>100.234</v>
      </c>
    </row>
    <row r="100" spans="1:281">
      <c r="A100">
        <v>84</v>
      </c>
      <c r="B100">
        <v>1651775951.5</v>
      </c>
      <c r="C100">
        <v>4073.900000095367</v>
      </c>
      <c r="D100" t="s">
        <v>603</v>
      </c>
      <c r="E100" t="s">
        <v>604</v>
      </c>
      <c r="F100">
        <v>5</v>
      </c>
      <c r="G100" t="s">
        <v>572</v>
      </c>
      <c r="H100" t="s">
        <v>417</v>
      </c>
      <c r="I100">
        <v>1651775948.75</v>
      </c>
      <c r="J100">
        <f>(K100)/1000</f>
        <v>0</v>
      </c>
      <c r="K100">
        <f>IF(CZ100, AN100, AH100)</f>
        <v>0</v>
      </c>
      <c r="L100">
        <f>IF(CZ100, AI100, AG100)</f>
        <v>0</v>
      </c>
      <c r="M100">
        <f>DB100 - IF(AU100&gt;1, L100*CV100*100.0/(AW100*DP100), 0)</f>
        <v>0</v>
      </c>
      <c r="N100">
        <f>((T100-J100/2)*M100-L100)/(T100+J100/2)</f>
        <v>0</v>
      </c>
      <c r="O100">
        <f>N100*(DI100+DJ100)/1000.0</f>
        <v>0</v>
      </c>
      <c r="P100">
        <f>(DB100 - IF(AU100&gt;1, L100*CV100*100.0/(AW100*DP100), 0))*(DI100+DJ100)/1000.0</f>
        <v>0</v>
      </c>
      <c r="Q100">
        <f>2.0/((1/S100-1/R100)+SIGN(S100)*SQRT((1/S100-1/R100)*(1/S100-1/R100) + 4*CW100/((CW100+1)*(CW100+1))*(2*1/S100*1/R100-1/R100*1/R100)))</f>
        <v>0</v>
      </c>
      <c r="R100">
        <f>IF(LEFT(CX100,1)&lt;&gt;"0",IF(LEFT(CX100,1)="1",3.0,CY100),$D$5+$E$5*(DP100*DI100/($K$5*1000))+$F$5*(DP100*DI100/($K$5*1000))*MAX(MIN(CV100,$J$5),$I$5)*MAX(MIN(CV100,$J$5),$I$5)+$G$5*MAX(MIN(CV100,$J$5),$I$5)*(DP100*DI100/($K$5*1000))+$H$5*(DP100*DI100/($K$5*1000))*(DP100*DI100/($K$5*1000)))</f>
        <v>0</v>
      </c>
      <c r="S100">
        <f>J100*(1000-(1000*0.61365*exp(17.502*W100/(240.97+W100))/(DI100+DJ100)+DD100)/2)/(1000*0.61365*exp(17.502*W100/(240.97+W100))/(DI100+DJ100)-DD100)</f>
        <v>0</v>
      </c>
      <c r="T100">
        <f>1/((CW100+1)/(Q100/1.6)+1/(R100/1.37)) + CW100/((CW100+1)/(Q100/1.6) + CW100/(R100/1.37))</f>
        <v>0</v>
      </c>
      <c r="U100">
        <f>(CR100*CU100)</f>
        <v>0</v>
      </c>
      <c r="V100">
        <f>(DK100+(U100+2*0.95*5.67E-8*(((DK100+$B$7)+273)^4-(DK100+273)^4)-44100*J100)/(1.84*29.3*R100+8*0.95*5.67E-8*(DK100+273)^3))</f>
        <v>0</v>
      </c>
      <c r="W100">
        <f>($C$7*DL100+$D$7*DM100+$E$7*V100)</f>
        <v>0</v>
      </c>
      <c r="X100">
        <f>0.61365*exp(17.502*W100/(240.97+W100))</f>
        <v>0</v>
      </c>
      <c r="Y100">
        <f>(Z100/AA100*100)</f>
        <v>0</v>
      </c>
      <c r="Z100">
        <f>DD100*(DI100+DJ100)/1000</f>
        <v>0</v>
      </c>
      <c r="AA100">
        <f>0.61365*exp(17.502*DK100/(240.97+DK100))</f>
        <v>0</v>
      </c>
      <c r="AB100">
        <f>(X100-DD100*(DI100+DJ100)/1000)</f>
        <v>0</v>
      </c>
      <c r="AC100">
        <f>(-J100*44100)</f>
        <v>0</v>
      </c>
      <c r="AD100">
        <f>2*29.3*R100*0.92*(DK100-W100)</f>
        <v>0</v>
      </c>
      <c r="AE100">
        <f>2*0.95*5.67E-8*(((DK100+$B$7)+273)^4-(W100+273)^4)</f>
        <v>0</v>
      </c>
      <c r="AF100">
        <f>U100+AE100+AC100+AD100</f>
        <v>0</v>
      </c>
      <c r="AG100">
        <f>DH100*AU100*(DC100-DB100*(1000-AU100*DE100)/(1000-AU100*DD100))/(100*CV100)</f>
        <v>0</v>
      </c>
      <c r="AH100">
        <f>1000*DH100*AU100*(DD100-DE100)/(100*CV100*(1000-AU100*DD100))</f>
        <v>0</v>
      </c>
      <c r="AI100">
        <f>(AJ100 - AK100 - DI100*1E3/(8.314*(DK100+273.15)) * AM100/DH100 * AL100) * DH100/(100*CV100) * (1000 - DE100)/1000</f>
        <v>0</v>
      </c>
      <c r="AJ100">
        <v>816.8652778292371</v>
      </c>
      <c r="AK100">
        <v>781.3996121212126</v>
      </c>
      <c r="AL100">
        <v>0.006421000916261094</v>
      </c>
      <c r="AM100">
        <v>66.79738697613678</v>
      </c>
      <c r="AN100">
        <f>(AP100 - AO100 + DI100*1E3/(8.314*(DK100+273.15)) * AR100/DH100 * AQ100) * DH100/(100*CV100) * 1000/(1000 - AP100)</f>
        <v>0</v>
      </c>
      <c r="AO100">
        <v>20.68048595833082</v>
      </c>
      <c r="AP100">
        <v>29.47068424242424</v>
      </c>
      <c r="AQ100">
        <v>0.0002353440714068212</v>
      </c>
      <c r="AR100">
        <v>78.18566756768526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MAX(0,($B$13+$C$13*DP100)/(1+$D$13*DP100)*DI100/(DK100+273)*$E$13)</f>
        <v>0</v>
      </c>
      <c r="AX100" t="s">
        <v>418</v>
      </c>
      <c r="AY100" t="s">
        <v>418</v>
      </c>
      <c r="AZ100">
        <v>0</v>
      </c>
      <c r="BA100">
        <v>0</v>
      </c>
      <c r="BB100">
        <f>1-AZ100/BA100</f>
        <v>0</v>
      </c>
      <c r="BC100">
        <v>0</v>
      </c>
      <c r="BD100" t="s">
        <v>418</v>
      </c>
      <c r="BE100" t="s">
        <v>418</v>
      </c>
      <c r="BF100">
        <v>0</v>
      </c>
      <c r="BG100">
        <v>0</v>
      </c>
      <c r="BH100">
        <f>1-BF100/BG100</f>
        <v>0</v>
      </c>
      <c r="BI100">
        <v>0.5</v>
      </c>
      <c r="BJ100">
        <f>CS100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418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1223</v>
      </c>
      <c r="CA100">
        <v>300</v>
      </c>
      <c r="CB100">
        <v>300</v>
      </c>
      <c r="CC100">
        <v>300</v>
      </c>
      <c r="CD100">
        <v>10383</v>
      </c>
      <c r="CE100">
        <v>1.34</v>
      </c>
      <c r="CF100">
        <v>-0.00732275</v>
      </c>
      <c r="CG100">
        <v>0.2</v>
      </c>
      <c r="CH100" t="s">
        <v>418</v>
      </c>
      <c r="CI100" t="s">
        <v>418</v>
      </c>
      <c r="CJ100" t="s">
        <v>418</v>
      </c>
      <c r="CK100" t="s">
        <v>418</v>
      </c>
      <c r="CL100" t="s">
        <v>418</v>
      </c>
      <c r="CM100" t="s">
        <v>418</v>
      </c>
      <c r="CN100" t="s">
        <v>418</v>
      </c>
      <c r="CO100" t="s">
        <v>418</v>
      </c>
      <c r="CP100" t="s">
        <v>418</v>
      </c>
      <c r="CQ100" t="s">
        <v>418</v>
      </c>
      <c r="CR100">
        <f>$B$11*DQ100+$C$11*DR100+$F$11*EC100*(1-EF100)</f>
        <v>0</v>
      </c>
      <c r="CS100">
        <f>CR100*CT100</f>
        <v>0</v>
      </c>
      <c r="CT100">
        <f>($B$11*$D$9+$C$11*$D$9+$F$11*((EP100+EH100)/MAX(EP100+EH100+EQ100, 0.1)*$I$9+EQ100/MAX(EP100+EH100+EQ100, 0.1)*$J$9))/($B$11+$C$11+$F$11)</f>
        <v>0</v>
      </c>
      <c r="CU100">
        <f>($B$11*$K$9+$C$11*$K$9+$F$11*((EP100+EH100)/MAX(EP100+EH100+EQ100, 0.1)*$P$9+EQ100/MAX(EP100+EH100+EQ100, 0.1)*$Q$9))/($B$11+$C$11+$F$11)</f>
        <v>0</v>
      </c>
      <c r="CV100">
        <v>6</v>
      </c>
      <c r="CW100">
        <v>0.5</v>
      </c>
      <c r="CX100" t="s">
        <v>419</v>
      </c>
      <c r="CY100">
        <v>2</v>
      </c>
      <c r="CZ100" t="b">
        <v>1</v>
      </c>
      <c r="DA100">
        <v>1651775948.75</v>
      </c>
      <c r="DB100">
        <v>758.3489</v>
      </c>
      <c r="DC100">
        <v>799.9889999999998</v>
      </c>
      <c r="DD100">
        <v>29.47056</v>
      </c>
      <c r="DE100">
        <v>20.68081</v>
      </c>
      <c r="DF100">
        <v>760.3208999999999</v>
      </c>
      <c r="DG100">
        <v>29.40596</v>
      </c>
      <c r="DH100">
        <v>500.0461</v>
      </c>
      <c r="DI100">
        <v>90.25462999999999</v>
      </c>
      <c r="DJ100">
        <v>0.09997048</v>
      </c>
      <c r="DK100">
        <v>30.66579</v>
      </c>
      <c r="DL100">
        <v>29.5869</v>
      </c>
      <c r="DM100">
        <v>999.9</v>
      </c>
      <c r="DN100">
        <v>0</v>
      </c>
      <c r="DO100">
        <v>0</v>
      </c>
      <c r="DP100">
        <v>10005.37</v>
      </c>
      <c r="DQ100">
        <v>0</v>
      </c>
      <c r="DR100">
        <v>13.3774</v>
      </c>
      <c r="DS100">
        <v>-41.64002</v>
      </c>
      <c r="DT100">
        <v>781.3766000000002</v>
      </c>
      <c r="DU100">
        <v>816.883</v>
      </c>
      <c r="DV100">
        <v>8.789764</v>
      </c>
      <c r="DW100">
        <v>799.9889999999998</v>
      </c>
      <c r="DX100">
        <v>20.68081</v>
      </c>
      <c r="DY100">
        <v>2.659854</v>
      </c>
      <c r="DZ100">
        <v>1.866538</v>
      </c>
      <c r="EA100">
        <v>22.03917</v>
      </c>
      <c r="EB100">
        <v>16.35543</v>
      </c>
      <c r="EC100">
        <v>1499.973</v>
      </c>
      <c r="ED100">
        <v>0.9729905999999999</v>
      </c>
      <c r="EE100">
        <v>0.02700906</v>
      </c>
      <c r="EF100">
        <v>0</v>
      </c>
      <c r="EG100">
        <v>2.37344</v>
      </c>
      <c r="EH100">
        <v>0</v>
      </c>
      <c r="EI100">
        <v>13244.08</v>
      </c>
      <c r="EJ100">
        <v>12533.14</v>
      </c>
      <c r="EK100">
        <v>37.25</v>
      </c>
      <c r="EL100">
        <v>38.625</v>
      </c>
      <c r="EM100">
        <v>37.562</v>
      </c>
      <c r="EN100">
        <v>38</v>
      </c>
      <c r="EO100">
        <v>37.1622</v>
      </c>
      <c r="EP100">
        <v>1459.463</v>
      </c>
      <c r="EQ100">
        <v>40.51</v>
      </c>
      <c r="ER100">
        <v>0</v>
      </c>
      <c r="ES100">
        <v>66.60000014305115</v>
      </c>
      <c r="ET100">
        <v>0</v>
      </c>
      <c r="EU100">
        <v>2.340557692307693</v>
      </c>
      <c r="EV100">
        <v>-0.5486666776609507</v>
      </c>
      <c r="EW100">
        <v>-317.1965814239202</v>
      </c>
      <c r="EX100">
        <v>13268.73846153846</v>
      </c>
      <c r="EY100">
        <v>15</v>
      </c>
      <c r="EZ100">
        <v>1651775686</v>
      </c>
      <c r="FA100" t="s">
        <v>594</v>
      </c>
      <c r="FB100">
        <v>1651775686</v>
      </c>
      <c r="FC100">
        <v>1651775102.6</v>
      </c>
      <c r="FD100">
        <v>4</v>
      </c>
      <c r="FE100">
        <v>-0.02</v>
      </c>
      <c r="FF100">
        <v>-0.043</v>
      </c>
      <c r="FG100">
        <v>-0.705</v>
      </c>
      <c r="FH100">
        <v>0.035</v>
      </c>
      <c r="FI100">
        <v>0</v>
      </c>
      <c r="FJ100">
        <v>23</v>
      </c>
      <c r="FK100">
        <v>0.28</v>
      </c>
      <c r="FL100">
        <v>0.01</v>
      </c>
      <c r="FM100">
        <v>-42.08013414634146</v>
      </c>
      <c r="FN100">
        <v>3.558710801393668</v>
      </c>
      <c r="FO100">
        <v>0.3673407194960571</v>
      </c>
      <c r="FP100">
        <v>0</v>
      </c>
      <c r="FQ100">
        <v>8.833288536585366</v>
      </c>
      <c r="FR100">
        <v>-0.3982250174216057</v>
      </c>
      <c r="FS100">
        <v>0.04271593279950216</v>
      </c>
      <c r="FT100">
        <v>1</v>
      </c>
      <c r="FU100">
        <v>0</v>
      </c>
      <c r="FV100">
        <v>0</v>
      </c>
      <c r="FW100">
        <v>0</v>
      </c>
      <c r="FX100">
        <v>1</v>
      </c>
      <c r="FY100">
        <v>2</v>
      </c>
      <c r="FZ100">
        <v>3</v>
      </c>
      <c r="GA100" t="s">
        <v>421</v>
      </c>
      <c r="GB100">
        <v>2.97993</v>
      </c>
      <c r="GC100">
        <v>2.70609</v>
      </c>
      <c r="GD100">
        <v>0.143224</v>
      </c>
      <c r="GE100">
        <v>0.146639</v>
      </c>
      <c r="GF100">
        <v>0.122487</v>
      </c>
      <c r="GG100">
        <v>0.0943224</v>
      </c>
      <c r="GH100">
        <v>27041.9</v>
      </c>
      <c r="GI100">
        <v>26991.5</v>
      </c>
      <c r="GJ100">
        <v>29350.9</v>
      </c>
      <c r="GK100">
        <v>29262.6</v>
      </c>
      <c r="GL100">
        <v>34092.8</v>
      </c>
      <c r="GM100">
        <v>35286.1</v>
      </c>
      <c r="GN100">
        <v>41316</v>
      </c>
      <c r="GO100">
        <v>41764.2</v>
      </c>
      <c r="GP100">
        <v>1.95385</v>
      </c>
      <c r="GQ100">
        <v>1.84848</v>
      </c>
      <c r="GR100">
        <v>0.06839629999999999</v>
      </c>
      <c r="GS100">
        <v>0</v>
      </c>
      <c r="GT100">
        <v>28.4777</v>
      </c>
      <c r="GU100">
        <v>999.9</v>
      </c>
      <c r="GV100">
        <v>44.1</v>
      </c>
      <c r="GW100">
        <v>34.8</v>
      </c>
      <c r="GX100">
        <v>27.2976</v>
      </c>
      <c r="GY100">
        <v>62.5586</v>
      </c>
      <c r="GZ100">
        <v>35.6611</v>
      </c>
      <c r="HA100">
        <v>1</v>
      </c>
      <c r="HB100">
        <v>0.121974</v>
      </c>
      <c r="HC100">
        <v>0</v>
      </c>
      <c r="HD100">
        <v>20.347</v>
      </c>
      <c r="HE100">
        <v>5.22478</v>
      </c>
      <c r="HF100">
        <v>12.0098</v>
      </c>
      <c r="HG100">
        <v>4.99095</v>
      </c>
      <c r="HH100">
        <v>3.29</v>
      </c>
      <c r="HI100">
        <v>568.9</v>
      </c>
      <c r="HJ100">
        <v>4078.7</v>
      </c>
      <c r="HK100">
        <v>4641</v>
      </c>
      <c r="HL100">
        <v>18.8</v>
      </c>
      <c r="HM100">
        <v>1.86762</v>
      </c>
      <c r="HN100">
        <v>1.86661</v>
      </c>
      <c r="HO100">
        <v>1.8661</v>
      </c>
      <c r="HP100">
        <v>1.866</v>
      </c>
      <c r="HQ100">
        <v>1.86783</v>
      </c>
      <c r="HR100">
        <v>1.8703</v>
      </c>
      <c r="HS100">
        <v>1.86893</v>
      </c>
      <c r="HT100">
        <v>1.8703</v>
      </c>
      <c r="HU100">
        <v>0</v>
      </c>
      <c r="HV100">
        <v>0</v>
      </c>
      <c r="HW100">
        <v>0</v>
      </c>
      <c r="HX100">
        <v>0</v>
      </c>
      <c r="HY100" t="s">
        <v>422</v>
      </c>
      <c r="HZ100" t="s">
        <v>423</v>
      </c>
      <c r="IA100" t="s">
        <v>424</v>
      </c>
      <c r="IB100" t="s">
        <v>424</v>
      </c>
      <c r="IC100" t="s">
        <v>424</v>
      </c>
      <c r="ID100" t="s">
        <v>424</v>
      </c>
      <c r="IE100">
        <v>0</v>
      </c>
      <c r="IF100">
        <v>100</v>
      </c>
      <c r="IG100">
        <v>100</v>
      </c>
      <c r="IH100">
        <v>-1.972</v>
      </c>
      <c r="II100">
        <v>0.0646</v>
      </c>
      <c r="IJ100">
        <v>-0.7030678540346029</v>
      </c>
      <c r="IK100">
        <v>-0.001826611574738555</v>
      </c>
      <c r="IL100">
        <v>3.313362389709971E-07</v>
      </c>
      <c r="IM100">
        <v>-1.629490614973607E-10</v>
      </c>
      <c r="IN100">
        <v>0.06459834545301171</v>
      </c>
      <c r="IO100">
        <v>0</v>
      </c>
      <c r="IP100">
        <v>0</v>
      </c>
      <c r="IQ100">
        <v>0</v>
      </c>
      <c r="IR100">
        <v>3</v>
      </c>
      <c r="IS100">
        <v>2280</v>
      </c>
      <c r="IT100">
        <v>1</v>
      </c>
      <c r="IU100">
        <v>25</v>
      </c>
      <c r="IV100">
        <v>4.4</v>
      </c>
      <c r="IW100">
        <v>14.1</v>
      </c>
      <c r="IX100">
        <v>1.75171</v>
      </c>
      <c r="IY100">
        <v>2.23633</v>
      </c>
      <c r="IZ100">
        <v>1.39648</v>
      </c>
      <c r="JA100">
        <v>2.35352</v>
      </c>
      <c r="JB100">
        <v>1.49536</v>
      </c>
      <c r="JC100">
        <v>2.31567</v>
      </c>
      <c r="JD100">
        <v>38.7717</v>
      </c>
      <c r="JE100">
        <v>24.0525</v>
      </c>
      <c r="JF100">
        <v>18</v>
      </c>
      <c r="JG100">
        <v>513.105</v>
      </c>
      <c r="JH100">
        <v>430.486</v>
      </c>
      <c r="JI100">
        <v>29.8814</v>
      </c>
      <c r="JJ100">
        <v>29.1006</v>
      </c>
      <c r="JK100">
        <v>29.9999</v>
      </c>
      <c r="JL100">
        <v>29.0015</v>
      </c>
      <c r="JM100">
        <v>28.9298</v>
      </c>
      <c r="JN100">
        <v>35.0735</v>
      </c>
      <c r="JO100">
        <v>28.5888</v>
      </c>
      <c r="JP100">
        <v>0</v>
      </c>
      <c r="JQ100">
        <v>-999.9</v>
      </c>
      <c r="JR100">
        <v>800</v>
      </c>
      <c r="JS100">
        <v>20.7357</v>
      </c>
      <c r="JT100">
        <v>100.332</v>
      </c>
      <c r="JU100">
        <v>100.24</v>
      </c>
    </row>
    <row r="101" spans="1:281">
      <c r="A101">
        <v>85</v>
      </c>
      <c r="B101">
        <v>1651776017</v>
      </c>
      <c r="C101">
        <v>4139.400000095367</v>
      </c>
      <c r="D101" t="s">
        <v>605</v>
      </c>
      <c r="E101" t="s">
        <v>606</v>
      </c>
      <c r="F101">
        <v>5</v>
      </c>
      <c r="G101" t="s">
        <v>572</v>
      </c>
      <c r="H101" t="s">
        <v>417</v>
      </c>
      <c r="I101">
        <v>1651776014.25</v>
      </c>
      <c r="J101">
        <f>(K101)/1000</f>
        <v>0</v>
      </c>
      <c r="K101">
        <f>IF(CZ101, AN101, AH101)</f>
        <v>0</v>
      </c>
      <c r="L101">
        <f>IF(CZ101, AI101, AG101)</f>
        <v>0</v>
      </c>
      <c r="M101">
        <f>DB101 - IF(AU101&gt;1, L101*CV101*100.0/(AW101*DP101), 0)</f>
        <v>0</v>
      </c>
      <c r="N101">
        <f>((T101-J101/2)*M101-L101)/(T101+J101/2)</f>
        <v>0</v>
      </c>
      <c r="O101">
        <f>N101*(DI101+DJ101)/1000.0</f>
        <v>0</v>
      </c>
      <c r="P101">
        <f>(DB101 - IF(AU101&gt;1, L101*CV101*100.0/(AW101*DP101), 0))*(DI101+DJ101)/1000.0</f>
        <v>0</v>
      </c>
      <c r="Q101">
        <f>2.0/((1/S101-1/R101)+SIGN(S101)*SQRT((1/S101-1/R101)*(1/S101-1/R101) + 4*CW101/((CW101+1)*(CW101+1))*(2*1/S101*1/R101-1/R101*1/R101)))</f>
        <v>0</v>
      </c>
      <c r="R101">
        <f>IF(LEFT(CX101,1)&lt;&gt;"0",IF(LEFT(CX101,1)="1",3.0,CY101),$D$5+$E$5*(DP101*DI101/($K$5*1000))+$F$5*(DP101*DI101/($K$5*1000))*MAX(MIN(CV101,$J$5),$I$5)*MAX(MIN(CV101,$J$5),$I$5)+$G$5*MAX(MIN(CV101,$J$5),$I$5)*(DP101*DI101/($K$5*1000))+$H$5*(DP101*DI101/($K$5*1000))*(DP101*DI101/($K$5*1000)))</f>
        <v>0</v>
      </c>
      <c r="S101">
        <f>J101*(1000-(1000*0.61365*exp(17.502*W101/(240.97+W101))/(DI101+DJ101)+DD101)/2)/(1000*0.61365*exp(17.502*W101/(240.97+W101))/(DI101+DJ101)-DD101)</f>
        <v>0</v>
      </c>
      <c r="T101">
        <f>1/((CW101+1)/(Q101/1.6)+1/(R101/1.37)) + CW101/((CW101+1)/(Q101/1.6) + CW101/(R101/1.37))</f>
        <v>0</v>
      </c>
      <c r="U101">
        <f>(CR101*CU101)</f>
        <v>0</v>
      </c>
      <c r="V101">
        <f>(DK101+(U101+2*0.95*5.67E-8*(((DK101+$B$7)+273)^4-(DK101+273)^4)-44100*J101)/(1.84*29.3*R101+8*0.95*5.67E-8*(DK101+273)^3))</f>
        <v>0</v>
      </c>
      <c r="W101">
        <f>($C$7*DL101+$D$7*DM101+$E$7*V101)</f>
        <v>0</v>
      </c>
      <c r="X101">
        <f>0.61365*exp(17.502*W101/(240.97+W101))</f>
        <v>0</v>
      </c>
      <c r="Y101">
        <f>(Z101/AA101*100)</f>
        <v>0</v>
      </c>
      <c r="Z101">
        <f>DD101*(DI101+DJ101)/1000</f>
        <v>0</v>
      </c>
      <c r="AA101">
        <f>0.61365*exp(17.502*DK101/(240.97+DK101))</f>
        <v>0</v>
      </c>
      <c r="AB101">
        <f>(X101-DD101*(DI101+DJ101)/1000)</f>
        <v>0</v>
      </c>
      <c r="AC101">
        <f>(-J101*44100)</f>
        <v>0</v>
      </c>
      <c r="AD101">
        <f>2*29.3*R101*0.92*(DK101-W101)</f>
        <v>0</v>
      </c>
      <c r="AE101">
        <f>2*0.95*5.67E-8*(((DK101+$B$7)+273)^4-(W101+273)^4)</f>
        <v>0</v>
      </c>
      <c r="AF101">
        <f>U101+AE101+AC101+AD101</f>
        <v>0</v>
      </c>
      <c r="AG101">
        <f>DH101*AU101*(DC101-DB101*(1000-AU101*DE101)/(1000-AU101*DD101))/(100*CV101)</f>
        <v>0</v>
      </c>
      <c r="AH101">
        <f>1000*DH101*AU101*(DD101-DE101)/(100*CV101*(1000-AU101*DD101))</f>
        <v>0</v>
      </c>
      <c r="AI101">
        <f>(AJ101 - AK101 - DI101*1E3/(8.314*(DK101+273.15)) * AM101/DH101 * AL101) * DH101/(100*CV101) * (1000 - DE101)/1000</f>
        <v>0</v>
      </c>
      <c r="AJ101">
        <v>1021.619791659479</v>
      </c>
      <c r="AK101">
        <v>984.8267696969691</v>
      </c>
      <c r="AL101">
        <v>0.01015368876962757</v>
      </c>
      <c r="AM101">
        <v>66.79738697613678</v>
      </c>
      <c r="AN101">
        <f>(AP101 - AO101 + DI101*1E3/(8.314*(DK101+273.15)) * AR101/DH101 * AQ101) * DH101/(100*CV101) * 1000/(1000 - AP101)</f>
        <v>0</v>
      </c>
      <c r="AO101">
        <v>21.24497740316032</v>
      </c>
      <c r="AP101">
        <v>29.36058</v>
      </c>
      <c r="AQ101">
        <v>-7.128528426476989E-05</v>
      </c>
      <c r="AR101">
        <v>78.18566756768526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MAX(0,($B$13+$C$13*DP101)/(1+$D$13*DP101)*DI101/(DK101+273)*$E$13)</f>
        <v>0</v>
      </c>
      <c r="AX101" t="s">
        <v>573</v>
      </c>
      <c r="AY101">
        <v>10510</v>
      </c>
      <c r="AZ101">
        <v>590.42</v>
      </c>
      <c r="BA101">
        <v>2650.6</v>
      </c>
      <c r="BB101">
        <f>1-AZ101/BA101</f>
        <v>0</v>
      </c>
      <c r="BC101">
        <v>-1.816883183993991</v>
      </c>
      <c r="BD101" t="s">
        <v>607</v>
      </c>
      <c r="BE101">
        <v>10382.8</v>
      </c>
      <c r="BF101">
        <v>2.357288</v>
      </c>
      <c r="BG101">
        <v>2.2164</v>
      </c>
      <c r="BH101">
        <f>1-BF101/BG101</f>
        <v>0</v>
      </c>
      <c r="BI101">
        <v>0.5</v>
      </c>
      <c r="BJ101">
        <f>CS101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418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1224</v>
      </c>
      <c r="CA101">
        <v>300</v>
      </c>
      <c r="CB101">
        <v>300</v>
      </c>
      <c r="CC101">
        <v>300</v>
      </c>
      <c r="CD101">
        <v>10382.8</v>
      </c>
      <c r="CE101">
        <v>1.39</v>
      </c>
      <c r="CF101">
        <v>-0.00732282</v>
      </c>
      <c r="CG101">
        <v>-0.38</v>
      </c>
      <c r="CH101" t="s">
        <v>418</v>
      </c>
      <c r="CI101" t="s">
        <v>418</v>
      </c>
      <c r="CJ101" t="s">
        <v>418</v>
      </c>
      <c r="CK101" t="s">
        <v>418</v>
      </c>
      <c r="CL101" t="s">
        <v>418</v>
      </c>
      <c r="CM101" t="s">
        <v>418</v>
      </c>
      <c r="CN101" t="s">
        <v>418</v>
      </c>
      <c r="CO101" t="s">
        <v>418</v>
      </c>
      <c r="CP101" t="s">
        <v>418</v>
      </c>
      <c r="CQ101" t="s">
        <v>418</v>
      </c>
      <c r="CR101">
        <f>$B$11*DQ101+$C$11*DR101+$F$11*EC101*(1-EF101)</f>
        <v>0</v>
      </c>
      <c r="CS101">
        <f>CR101*CT101</f>
        <v>0</v>
      </c>
      <c r="CT101">
        <f>($B$11*$D$9+$C$11*$D$9+$F$11*((EP101+EH101)/MAX(EP101+EH101+EQ101, 0.1)*$I$9+EQ101/MAX(EP101+EH101+EQ101, 0.1)*$J$9))/($B$11+$C$11+$F$11)</f>
        <v>0</v>
      </c>
      <c r="CU101">
        <f>($B$11*$K$9+$C$11*$K$9+$F$11*((EP101+EH101)/MAX(EP101+EH101+EQ101, 0.1)*$P$9+EQ101/MAX(EP101+EH101+EQ101, 0.1)*$Q$9))/($B$11+$C$11+$F$11)</f>
        <v>0</v>
      </c>
      <c r="CV101">
        <v>6</v>
      </c>
      <c r="CW101">
        <v>0.5</v>
      </c>
      <c r="CX101" t="s">
        <v>419</v>
      </c>
      <c r="CY101">
        <v>2</v>
      </c>
      <c r="CZ101" t="b">
        <v>1</v>
      </c>
      <c r="DA101">
        <v>1651776014.25</v>
      </c>
      <c r="DB101">
        <v>955.8723</v>
      </c>
      <c r="DC101">
        <v>999.9204999999999</v>
      </c>
      <c r="DD101">
        <v>29.31923</v>
      </c>
      <c r="DE101">
        <v>21.25664</v>
      </c>
      <c r="DF101">
        <v>958.1645000000001</v>
      </c>
      <c r="DG101">
        <v>29.29823</v>
      </c>
      <c r="DH101">
        <v>500.0750000000001</v>
      </c>
      <c r="DI101">
        <v>90.24778000000001</v>
      </c>
      <c r="DJ101">
        <v>0.10002518</v>
      </c>
      <c r="DK101">
        <v>30.64971</v>
      </c>
      <c r="DL101">
        <v>29.64779</v>
      </c>
      <c r="DM101">
        <v>999.9</v>
      </c>
      <c r="DN101">
        <v>0</v>
      </c>
      <c r="DO101">
        <v>0</v>
      </c>
      <c r="DP101">
        <v>9998.875</v>
      </c>
      <c r="DQ101">
        <v>0</v>
      </c>
      <c r="DR101">
        <v>13.3774</v>
      </c>
      <c r="DS101">
        <v>-44.04808</v>
      </c>
      <c r="DT101">
        <v>984.7884000000001</v>
      </c>
      <c r="DU101">
        <v>1021.637</v>
      </c>
      <c r="DV101">
        <v>8.106193999999999</v>
      </c>
      <c r="DW101">
        <v>999.9204999999999</v>
      </c>
      <c r="DX101">
        <v>21.25664</v>
      </c>
      <c r="DY101">
        <v>2.649931</v>
      </c>
      <c r="DZ101">
        <v>1.918366</v>
      </c>
      <c r="EA101">
        <v>21.97788</v>
      </c>
      <c r="EB101">
        <v>16.78615</v>
      </c>
      <c r="EC101">
        <v>1499.963</v>
      </c>
      <c r="ED101">
        <v>0.9729949</v>
      </c>
      <c r="EE101">
        <v>0.02700496</v>
      </c>
      <c r="EF101">
        <v>0</v>
      </c>
      <c r="EG101">
        <v>2.28456</v>
      </c>
      <c r="EH101">
        <v>0</v>
      </c>
      <c r="EI101">
        <v>13109.72</v>
      </c>
      <c r="EJ101">
        <v>12533.03</v>
      </c>
      <c r="EK101">
        <v>37.187</v>
      </c>
      <c r="EL101">
        <v>38.562</v>
      </c>
      <c r="EM101">
        <v>37.5186</v>
      </c>
      <c r="EN101">
        <v>37.9496</v>
      </c>
      <c r="EO101">
        <v>37.125</v>
      </c>
      <c r="EP101">
        <v>1459.459</v>
      </c>
      <c r="EQ101">
        <v>40.504</v>
      </c>
      <c r="ER101">
        <v>0</v>
      </c>
      <c r="ES101">
        <v>132</v>
      </c>
      <c r="ET101">
        <v>0</v>
      </c>
      <c r="EU101">
        <v>2.357288</v>
      </c>
      <c r="EV101">
        <v>-0.1453923210932381</v>
      </c>
      <c r="EW101">
        <v>-214.4846157467821</v>
      </c>
      <c r="EX101">
        <v>13125.888</v>
      </c>
      <c r="EY101">
        <v>15</v>
      </c>
      <c r="EZ101">
        <v>1651776055</v>
      </c>
      <c r="FA101" t="s">
        <v>608</v>
      </c>
      <c r="FB101">
        <v>1651775686</v>
      </c>
      <c r="FC101">
        <v>1651776055</v>
      </c>
      <c r="FD101">
        <v>5</v>
      </c>
      <c r="FE101">
        <v>-0.02</v>
      </c>
      <c r="FF101">
        <v>0.008999999999999999</v>
      </c>
      <c r="FG101">
        <v>-0.705</v>
      </c>
      <c r="FH101">
        <v>0.021</v>
      </c>
      <c r="FI101">
        <v>0</v>
      </c>
      <c r="FJ101">
        <v>21</v>
      </c>
      <c r="FK101">
        <v>0.28</v>
      </c>
      <c r="FL101">
        <v>0.01</v>
      </c>
      <c r="FM101">
        <v>-44.456975</v>
      </c>
      <c r="FN101">
        <v>3.033052908067682</v>
      </c>
      <c r="FO101">
        <v>0.3002731837427378</v>
      </c>
      <c r="FP101">
        <v>0</v>
      </c>
      <c r="FQ101">
        <v>8.208651</v>
      </c>
      <c r="FR101">
        <v>-0.7506929831144404</v>
      </c>
      <c r="FS101">
        <v>0.07398450600632535</v>
      </c>
      <c r="FT101">
        <v>0</v>
      </c>
      <c r="FU101">
        <v>0</v>
      </c>
      <c r="FV101">
        <v>0</v>
      </c>
      <c r="FW101">
        <v>0</v>
      </c>
      <c r="FX101">
        <v>1</v>
      </c>
      <c r="FY101">
        <v>1</v>
      </c>
      <c r="FZ101">
        <v>3</v>
      </c>
      <c r="GA101" t="s">
        <v>467</v>
      </c>
      <c r="GB101">
        <v>2.97999</v>
      </c>
      <c r="GC101">
        <v>2.70613</v>
      </c>
      <c r="GD101">
        <v>0.166876</v>
      </c>
      <c r="GE101">
        <v>0.169753</v>
      </c>
      <c r="GF101">
        <v>0.122174</v>
      </c>
      <c r="GG101">
        <v>0.09630619999999999</v>
      </c>
      <c r="GH101">
        <v>26296.3</v>
      </c>
      <c r="GI101">
        <v>26261.4</v>
      </c>
      <c r="GJ101">
        <v>29352.1</v>
      </c>
      <c r="GK101">
        <v>29264</v>
      </c>
      <c r="GL101">
        <v>34106.7</v>
      </c>
      <c r="GM101">
        <v>35209.9</v>
      </c>
      <c r="GN101">
        <v>41317.6</v>
      </c>
      <c r="GO101">
        <v>41766.1</v>
      </c>
      <c r="GP101">
        <v>1.95352</v>
      </c>
      <c r="GQ101">
        <v>1.85028</v>
      </c>
      <c r="GR101">
        <v>0.07318330000000001</v>
      </c>
      <c r="GS101">
        <v>0</v>
      </c>
      <c r="GT101">
        <v>28.4604</v>
      </c>
      <c r="GU101">
        <v>999.9</v>
      </c>
      <c r="GV101">
        <v>44</v>
      </c>
      <c r="GW101">
        <v>34.8</v>
      </c>
      <c r="GX101">
        <v>27.2339</v>
      </c>
      <c r="GY101">
        <v>62.6486</v>
      </c>
      <c r="GZ101">
        <v>35.5128</v>
      </c>
      <c r="HA101">
        <v>1</v>
      </c>
      <c r="HB101">
        <v>0.120109</v>
      </c>
      <c r="HC101">
        <v>0</v>
      </c>
      <c r="HD101">
        <v>20.3474</v>
      </c>
      <c r="HE101">
        <v>5.22463</v>
      </c>
      <c r="HF101">
        <v>12.0098</v>
      </c>
      <c r="HG101">
        <v>4.99085</v>
      </c>
      <c r="HH101">
        <v>3.29</v>
      </c>
      <c r="HI101">
        <v>570.2</v>
      </c>
      <c r="HJ101">
        <v>4086.7</v>
      </c>
      <c r="HK101">
        <v>4641</v>
      </c>
      <c r="HL101">
        <v>18.8</v>
      </c>
      <c r="HM101">
        <v>1.86759</v>
      </c>
      <c r="HN101">
        <v>1.86659</v>
      </c>
      <c r="HO101">
        <v>1.86614</v>
      </c>
      <c r="HP101">
        <v>1.866</v>
      </c>
      <c r="HQ101">
        <v>1.86783</v>
      </c>
      <c r="HR101">
        <v>1.8703</v>
      </c>
      <c r="HS101">
        <v>1.86892</v>
      </c>
      <c r="HT101">
        <v>1.87038</v>
      </c>
      <c r="HU101">
        <v>0</v>
      </c>
      <c r="HV101">
        <v>0</v>
      </c>
      <c r="HW101">
        <v>0</v>
      </c>
      <c r="HX101">
        <v>0</v>
      </c>
      <c r="HY101" t="s">
        <v>422</v>
      </c>
      <c r="HZ101" t="s">
        <v>423</v>
      </c>
      <c r="IA101" t="s">
        <v>424</v>
      </c>
      <c r="IB101" t="s">
        <v>424</v>
      </c>
      <c r="IC101" t="s">
        <v>424</v>
      </c>
      <c r="ID101" t="s">
        <v>424</v>
      </c>
      <c r="IE101">
        <v>0</v>
      </c>
      <c r="IF101">
        <v>100</v>
      </c>
      <c r="IG101">
        <v>100</v>
      </c>
      <c r="IH101">
        <v>-2.293</v>
      </c>
      <c r="II101">
        <v>0.021</v>
      </c>
      <c r="IJ101">
        <v>-0.7030678540346029</v>
      </c>
      <c r="IK101">
        <v>-0.001826611574738555</v>
      </c>
      <c r="IL101">
        <v>3.313362389709971E-07</v>
      </c>
      <c r="IM101">
        <v>-1.629490614973607E-10</v>
      </c>
      <c r="IN101">
        <v>0.06459834545301171</v>
      </c>
      <c r="IO101">
        <v>0</v>
      </c>
      <c r="IP101">
        <v>0</v>
      </c>
      <c r="IQ101">
        <v>0</v>
      </c>
      <c r="IR101">
        <v>3</v>
      </c>
      <c r="IS101">
        <v>2280</v>
      </c>
      <c r="IT101">
        <v>1</v>
      </c>
      <c r="IU101">
        <v>25</v>
      </c>
      <c r="IV101">
        <v>5.5</v>
      </c>
      <c r="IW101">
        <v>15.2</v>
      </c>
      <c r="IX101">
        <v>2.09595</v>
      </c>
      <c r="IY101">
        <v>2.23389</v>
      </c>
      <c r="IZ101">
        <v>1.39648</v>
      </c>
      <c r="JA101">
        <v>2.35229</v>
      </c>
      <c r="JB101">
        <v>1.49536</v>
      </c>
      <c r="JC101">
        <v>2.31689</v>
      </c>
      <c r="JD101">
        <v>38.7471</v>
      </c>
      <c r="JE101">
        <v>24.0525</v>
      </c>
      <c r="JF101">
        <v>18</v>
      </c>
      <c r="JG101">
        <v>512.691</v>
      </c>
      <c r="JH101">
        <v>431.4</v>
      </c>
      <c r="JI101">
        <v>29.862</v>
      </c>
      <c r="JJ101">
        <v>29.0753</v>
      </c>
      <c r="JK101">
        <v>29.9999</v>
      </c>
      <c r="JL101">
        <v>28.9777</v>
      </c>
      <c r="JM101">
        <v>28.9063</v>
      </c>
      <c r="JN101">
        <v>41.9496</v>
      </c>
      <c r="JO101">
        <v>26.3079</v>
      </c>
      <c r="JP101">
        <v>0</v>
      </c>
      <c r="JQ101">
        <v>-999.9</v>
      </c>
      <c r="JR101">
        <v>1000</v>
      </c>
      <c r="JS101">
        <v>21.4355</v>
      </c>
      <c r="JT101">
        <v>100.336</v>
      </c>
      <c r="JU101">
        <v>100.244</v>
      </c>
    </row>
    <row r="102" spans="1:281">
      <c r="A102">
        <v>86</v>
      </c>
      <c r="B102">
        <v>1651776121</v>
      </c>
      <c r="C102">
        <v>4243.400000095367</v>
      </c>
      <c r="D102" t="s">
        <v>609</v>
      </c>
      <c r="E102" t="s">
        <v>610</v>
      </c>
      <c r="F102">
        <v>5</v>
      </c>
      <c r="G102" t="s">
        <v>572</v>
      </c>
      <c r="H102" t="s">
        <v>417</v>
      </c>
      <c r="I102">
        <v>1651776118</v>
      </c>
      <c r="J102">
        <f>(K102)/1000</f>
        <v>0</v>
      </c>
      <c r="K102">
        <f>IF(CZ102, AN102, AH102)</f>
        <v>0</v>
      </c>
      <c r="L102">
        <f>IF(CZ102, AI102, AG102)</f>
        <v>0</v>
      </c>
      <c r="M102">
        <f>DB102 - IF(AU102&gt;1, L102*CV102*100.0/(AW102*DP102), 0)</f>
        <v>0</v>
      </c>
      <c r="N102">
        <f>((T102-J102/2)*M102-L102)/(T102+J102/2)</f>
        <v>0</v>
      </c>
      <c r="O102">
        <f>N102*(DI102+DJ102)/1000.0</f>
        <v>0</v>
      </c>
      <c r="P102">
        <f>(DB102 - IF(AU102&gt;1, L102*CV102*100.0/(AW102*DP102), 0))*(DI102+DJ102)/1000.0</f>
        <v>0</v>
      </c>
      <c r="Q102">
        <f>2.0/((1/S102-1/R102)+SIGN(S102)*SQRT((1/S102-1/R102)*(1/S102-1/R102) + 4*CW102/((CW102+1)*(CW102+1))*(2*1/S102*1/R102-1/R102*1/R102)))</f>
        <v>0</v>
      </c>
      <c r="R102">
        <f>IF(LEFT(CX102,1)&lt;&gt;"0",IF(LEFT(CX102,1)="1",3.0,CY102),$D$5+$E$5*(DP102*DI102/($K$5*1000))+$F$5*(DP102*DI102/($K$5*1000))*MAX(MIN(CV102,$J$5),$I$5)*MAX(MIN(CV102,$J$5),$I$5)+$G$5*MAX(MIN(CV102,$J$5),$I$5)*(DP102*DI102/($K$5*1000))+$H$5*(DP102*DI102/($K$5*1000))*(DP102*DI102/($K$5*1000)))</f>
        <v>0</v>
      </c>
      <c r="S102">
        <f>J102*(1000-(1000*0.61365*exp(17.502*W102/(240.97+W102))/(DI102+DJ102)+DD102)/2)/(1000*0.61365*exp(17.502*W102/(240.97+W102))/(DI102+DJ102)-DD102)</f>
        <v>0</v>
      </c>
      <c r="T102">
        <f>1/((CW102+1)/(Q102/1.6)+1/(R102/1.37)) + CW102/((CW102+1)/(Q102/1.6) + CW102/(R102/1.37))</f>
        <v>0</v>
      </c>
      <c r="U102">
        <f>(CR102*CU102)</f>
        <v>0</v>
      </c>
      <c r="V102">
        <f>(DK102+(U102+2*0.95*5.67E-8*(((DK102+$B$7)+273)^4-(DK102+273)^4)-44100*J102)/(1.84*29.3*R102+8*0.95*5.67E-8*(DK102+273)^3))</f>
        <v>0</v>
      </c>
      <c r="W102">
        <f>($C$7*DL102+$D$7*DM102+$E$7*V102)</f>
        <v>0</v>
      </c>
      <c r="X102">
        <f>0.61365*exp(17.502*W102/(240.97+W102))</f>
        <v>0</v>
      </c>
      <c r="Y102">
        <f>(Z102/AA102*100)</f>
        <v>0</v>
      </c>
      <c r="Z102">
        <f>DD102*(DI102+DJ102)/1000</f>
        <v>0</v>
      </c>
      <c r="AA102">
        <f>0.61365*exp(17.502*DK102/(240.97+DK102))</f>
        <v>0</v>
      </c>
      <c r="AB102">
        <f>(X102-DD102*(DI102+DJ102)/1000)</f>
        <v>0</v>
      </c>
      <c r="AC102">
        <f>(-J102*44100)</f>
        <v>0</v>
      </c>
      <c r="AD102">
        <f>2*29.3*R102*0.92*(DK102-W102)</f>
        <v>0</v>
      </c>
      <c r="AE102">
        <f>2*0.95*5.67E-8*(((DK102+$B$7)+273)^4-(W102+273)^4)</f>
        <v>0</v>
      </c>
      <c r="AF102">
        <f>U102+AE102+AC102+AD102</f>
        <v>0</v>
      </c>
      <c r="AG102">
        <f>DH102*AU102*(DC102-DB102*(1000-AU102*DE102)/(1000-AU102*DD102))/(100*CV102)</f>
        <v>0</v>
      </c>
      <c r="AH102">
        <f>1000*DH102*AU102*(DD102-DE102)/(100*CV102*(1000-AU102*DD102))</f>
        <v>0</v>
      </c>
      <c r="AI102">
        <f>(AJ102 - AK102 - DI102*1E3/(8.314*(DK102+273.15)) * AM102/DH102 * AL102) * DH102/(100*CV102) * (1000 - DE102)/1000</f>
        <v>0</v>
      </c>
      <c r="AJ102">
        <v>1227.85221176394</v>
      </c>
      <c r="AK102">
        <v>1189.174181818182</v>
      </c>
      <c r="AL102">
        <v>0.003220805071479214</v>
      </c>
      <c r="AM102">
        <v>66.76036209233605</v>
      </c>
      <c r="AN102">
        <f>(AP102 - AO102 + DI102*1E3/(8.314*(DK102+273.15)) * AR102/DH102 * AQ102) * DH102/(100*CV102) * 1000/(1000 - AP102)</f>
        <v>0</v>
      </c>
      <c r="AO102">
        <v>22.73272804163523</v>
      </c>
      <c r="AP102">
        <v>29.57254121212121</v>
      </c>
      <c r="AQ102">
        <v>0.001195122930760389</v>
      </c>
      <c r="AR102">
        <v>78.04898784519082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MAX(0,($B$13+$C$13*DP102)/(1+$D$13*DP102)*DI102/(DK102+273)*$E$13)</f>
        <v>0</v>
      </c>
      <c r="AX102" t="s">
        <v>573</v>
      </c>
      <c r="AY102">
        <v>10510</v>
      </c>
      <c r="AZ102">
        <v>590.42</v>
      </c>
      <c r="BA102">
        <v>2650.6</v>
      </c>
      <c r="BB102">
        <f>1-AZ102/BA102</f>
        <v>0</v>
      </c>
      <c r="BC102">
        <v>-1.816883183993991</v>
      </c>
      <c r="BD102" t="s">
        <v>611</v>
      </c>
      <c r="BE102">
        <v>10382.2</v>
      </c>
      <c r="BF102">
        <v>2.4589</v>
      </c>
      <c r="BG102">
        <v>2.5228</v>
      </c>
      <c r="BH102">
        <f>1-BF102/BG102</f>
        <v>0</v>
      </c>
      <c r="BI102">
        <v>0.5</v>
      </c>
      <c r="BJ102">
        <f>CS102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418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1225</v>
      </c>
      <c r="CA102">
        <v>300</v>
      </c>
      <c r="CB102">
        <v>300</v>
      </c>
      <c r="CC102">
        <v>300</v>
      </c>
      <c r="CD102">
        <v>10382.2</v>
      </c>
      <c r="CE102">
        <v>1.38</v>
      </c>
      <c r="CF102">
        <v>-0.0073222</v>
      </c>
      <c r="CG102">
        <v>0.16</v>
      </c>
      <c r="CH102" t="s">
        <v>418</v>
      </c>
      <c r="CI102" t="s">
        <v>418</v>
      </c>
      <c r="CJ102" t="s">
        <v>418</v>
      </c>
      <c r="CK102" t="s">
        <v>418</v>
      </c>
      <c r="CL102" t="s">
        <v>418</v>
      </c>
      <c r="CM102" t="s">
        <v>418</v>
      </c>
      <c r="CN102" t="s">
        <v>418</v>
      </c>
      <c r="CO102" t="s">
        <v>418</v>
      </c>
      <c r="CP102" t="s">
        <v>418</v>
      </c>
      <c r="CQ102" t="s">
        <v>418</v>
      </c>
      <c r="CR102">
        <f>$B$11*DQ102+$C$11*DR102+$F$11*EC102*(1-EF102)</f>
        <v>0</v>
      </c>
      <c r="CS102">
        <f>CR102*CT102</f>
        <v>0</v>
      </c>
      <c r="CT102">
        <f>($B$11*$D$9+$C$11*$D$9+$F$11*((EP102+EH102)/MAX(EP102+EH102+EQ102, 0.1)*$I$9+EQ102/MAX(EP102+EH102+EQ102, 0.1)*$J$9))/($B$11+$C$11+$F$11)</f>
        <v>0</v>
      </c>
      <c r="CU102">
        <f>($B$11*$K$9+$C$11*$K$9+$F$11*((EP102+EH102)/MAX(EP102+EH102+EQ102, 0.1)*$P$9+EQ102/MAX(EP102+EH102+EQ102, 0.1)*$Q$9))/($B$11+$C$11+$F$11)</f>
        <v>0</v>
      </c>
      <c r="CV102">
        <v>6</v>
      </c>
      <c r="CW102">
        <v>0.5</v>
      </c>
      <c r="CX102" t="s">
        <v>419</v>
      </c>
      <c r="CY102">
        <v>2</v>
      </c>
      <c r="CZ102" t="b">
        <v>1</v>
      </c>
      <c r="DA102">
        <v>1651776118</v>
      </c>
      <c r="DB102">
        <v>1153.990909090909</v>
      </c>
      <c r="DC102">
        <v>1199.940909090909</v>
      </c>
      <c r="DD102">
        <v>29.56437272727273</v>
      </c>
      <c r="DE102">
        <v>22.73663636363637</v>
      </c>
      <c r="DF102">
        <v>1156.616363636364</v>
      </c>
      <c r="DG102">
        <v>29.49030909090909</v>
      </c>
      <c r="DH102">
        <v>500.0169090909091</v>
      </c>
      <c r="DI102">
        <v>90.24342727272727</v>
      </c>
      <c r="DJ102">
        <v>0.0999185909090909</v>
      </c>
      <c r="DK102">
        <v>30.63495454545455</v>
      </c>
      <c r="DL102">
        <v>29.74973636363637</v>
      </c>
      <c r="DM102">
        <v>999.9</v>
      </c>
      <c r="DN102">
        <v>0</v>
      </c>
      <c r="DO102">
        <v>0</v>
      </c>
      <c r="DP102">
        <v>10008.84545454546</v>
      </c>
      <c r="DQ102">
        <v>0</v>
      </c>
      <c r="DR102">
        <v>13.32972727272727</v>
      </c>
      <c r="DS102">
        <v>-45.94803636363636</v>
      </c>
      <c r="DT102">
        <v>1189.149090909091</v>
      </c>
      <c r="DU102">
        <v>1227.857272727273</v>
      </c>
      <c r="DV102">
        <v>6.827730909090909</v>
      </c>
      <c r="DW102">
        <v>1199.940909090909</v>
      </c>
      <c r="DX102">
        <v>22.73663636363637</v>
      </c>
      <c r="DY102">
        <v>2.667989090909091</v>
      </c>
      <c r="DZ102">
        <v>2.051831818181818</v>
      </c>
      <c r="EA102">
        <v>22.08928181818182</v>
      </c>
      <c r="EB102">
        <v>17.85008181818182</v>
      </c>
      <c r="EC102">
        <v>1500.015454545455</v>
      </c>
      <c r="ED102">
        <v>0.9729927272727271</v>
      </c>
      <c r="EE102">
        <v>0.02700714545454545</v>
      </c>
      <c r="EF102">
        <v>0</v>
      </c>
      <c r="EG102">
        <v>2.486827272727273</v>
      </c>
      <c r="EH102">
        <v>0</v>
      </c>
      <c r="EI102">
        <v>13089.49090909091</v>
      </c>
      <c r="EJ102">
        <v>12533.47272727273</v>
      </c>
      <c r="EK102">
        <v>37.187</v>
      </c>
      <c r="EL102">
        <v>38.562</v>
      </c>
      <c r="EM102">
        <v>37.5</v>
      </c>
      <c r="EN102">
        <v>37.937</v>
      </c>
      <c r="EO102">
        <v>37.125</v>
      </c>
      <c r="EP102">
        <v>1459.503636363636</v>
      </c>
      <c r="EQ102">
        <v>40.51181818181818</v>
      </c>
      <c r="ER102">
        <v>0</v>
      </c>
      <c r="ES102">
        <v>103.8000001907349</v>
      </c>
      <c r="ET102">
        <v>0</v>
      </c>
      <c r="EU102">
        <v>2.4589</v>
      </c>
      <c r="EV102">
        <v>-0.07935727732949283</v>
      </c>
      <c r="EW102">
        <v>-87.35384613407162</v>
      </c>
      <c r="EX102">
        <v>13095.48076923077</v>
      </c>
      <c r="EY102">
        <v>15</v>
      </c>
      <c r="EZ102">
        <v>1651776055</v>
      </c>
      <c r="FA102" t="s">
        <v>608</v>
      </c>
      <c r="FB102">
        <v>1651775686</v>
      </c>
      <c r="FC102">
        <v>1651776055</v>
      </c>
      <c r="FD102">
        <v>5</v>
      </c>
      <c r="FE102">
        <v>-0.02</v>
      </c>
      <c r="FF102">
        <v>0.008999999999999999</v>
      </c>
      <c r="FG102">
        <v>-0.705</v>
      </c>
      <c r="FH102">
        <v>0.021</v>
      </c>
      <c r="FI102">
        <v>0</v>
      </c>
      <c r="FJ102">
        <v>21</v>
      </c>
      <c r="FK102">
        <v>0.28</v>
      </c>
      <c r="FL102">
        <v>0.01</v>
      </c>
      <c r="FM102">
        <v>-46.2793775</v>
      </c>
      <c r="FN102">
        <v>2.822923452157698</v>
      </c>
      <c r="FO102">
        <v>0.2897056475869089</v>
      </c>
      <c r="FP102">
        <v>0</v>
      </c>
      <c r="FQ102">
        <v>6.88024875</v>
      </c>
      <c r="FR102">
        <v>-0.4433228893058487</v>
      </c>
      <c r="FS102">
        <v>0.0436057889613008</v>
      </c>
      <c r="FT102">
        <v>1</v>
      </c>
      <c r="FU102">
        <v>0</v>
      </c>
      <c r="FV102">
        <v>0</v>
      </c>
      <c r="FW102">
        <v>0</v>
      </c>
      <c r="FX102">
        <v>1</v>
      </c>
      <c r="FY102">
        <v>2</v>
      </c>
      <c r="FZ102">
        <v>3</v>
      </c>
      <c r="GA102" t="s">
        <v>421</v>
      </c>
      <c r="GB102">
        <v>2.98011</v>
      </c>
      <c r="GC102">
        <v>2.7063</v>
      </c>
      <c r="GD102">
        <v>0.188225</v>
      </c>
      <c r="GE102">
        <v>0.190683</v>
      </c>
      <c r="GF102">
        <v>0.122757</v>
      </c>
      <c r="GG102">
        <v>0.10089</v>
      </c>
      <c r="GH102">
        <v>25622.3</v>
      </c>
      <c r="GI102">
        <v>25600</v>
      </c>
      <c r="GJ102">
        <v>29352.2</v>
      </c>
      <c r="GK102">
        <v>29265.1</v>
      </c>
      <c r="GL102">
        <v>34084.1</v>
      </c>
      <c r="GM102">
        <v>35030.5</v>
      </c>
      <c r="GN102">
        <v>41317.7</v>
      </c>
      <c r="GO102">
        <v>41767.6</v>
      </c>
      <c r="GP102">
        <v>1.95257</v>
      </c>
      <c r="GQ102">
        <v>1.8541</v>
      </c>
      <c r="GR102">
        <v>0.08269029999999999</v>
      </c>
      <c r="GS102">
        <v>0</v>
      </c>
      <c r="GT102">
        <v>28.3972</v>
      </c>
      <c r="GU102">
        <v>999.9</v>
      </c>
      <c r="GV102">
        <v>43.9</v>
      </c>
      <c r="GW102">
        <v>34.8</v>
      </c>
      <c r="GX102">
        <v>27.1766</v>
      </c>
      <c r="GY102">
        <v>62.5986</v>
      </c>
      <c r="GZ102">
        <v>35.7452</v>
      </c>
      <c r="HA102">
        <v>1</v>
      </c>
      <c r="HB102">
        <v>0.116575</v>
      </c>
      <c r="HC102">
        <v>0</v>
      </c>
      <c r="HD102">
        <v>20.3469</v>
      </c>
      <c r="HE102">
        <v>5.22253</v>
      </c>
      <c r="HF102">
        <v>12.0099</v>
      </c>
      <c r="HG102">
        <v>4.9903</v>
      </c>
      <c r="HH102">
        <v>3.28955</v>
      </c>
      <c r="HI102">
        <v>572.2</v>
      </c>
      <c r="HJ102">
        <v>4097</v>
      </c>
      <c r="HK102">
        <v>4641.1</v>
      </c>
      <c r="HL102">
        <v>18.8</v>
      </c>
      <c r="HM102">
        <v>1.8676</v>
      </c>
      <c r="HN102">
        <v>1.86661</v>
      </c>
      <c r="HO102">
        <v>1.86615</v>
      </c>
      <c r="HP102">
        <v>1.866</v>
      </c>
      <c r="HQ102">
        <v>1.86783</v>
      </c>
      <c r="HR102">
        <v>1.87033</v>
      </c>
      <c r="HS102">
        <v>1.86902</v>
      </c>
      <c r="HT102">
        <v>1.87035</v>
      </c>
      <c r="HU102">
        <v>0</v>
      </c>
      <c r="HV102">
        <v>0</v>
      </c>
      <c r="HW102">
        <v>0</v>
      </c>
      <c r="HX102">
        <v>0</v>
      </c>
      <c r="HY102" t="s">
        <v>422</v>
      </c>
      <c r="HZ102" t="s">
        <v>423</v>
      </c>
      <c r="IA102" t="s">
        <v>424</v>
      </c>
      <c r="IB102" t="s">
        <v>424</v>
      </c>
      <c r="IC102" t="s">
        <v>424</v>
      </c>
      <c r="ID102" t="s">
        <v>424</v>
      </c>
      <c r="IE102">
        <v>0</v>
      </c>
      <c r="IF102">
        <v>100</v>
      </c>
      <c r="IG102">
        <v>100</v>
      </c>
      <c r="IH102">
        <v>-2.63</v>
      </c>
      <c r="II102">
        <v>0.074</v>
      </c>
      <c r="IJ102">
        <v>-0.7030678540346029</v>
      </c>
      <c r="IK102">
        <v>-0.001826611574738555</v>
      </c>
      <c r="IL102">
        <v>3.313362389709971E-07</v>
      </c>
      <c r="IM102">
        <v>-1.629490614973607E-10</v>
      </c>
      <c r="IN102">
        <v>0.07405293535727278</v>
      </c>
      <c r="IO102">
        <v>0</v>
      </c>
      <c r="IP102">
        <v>0</v>
      </c>
      <c r="IQ102">
        <v>0</v>
      </c>
      <c r="IR102">
        <v>3</v>
      </c>
      <c r="IS102">
        <v>2280</v>
      </c>
      <c r="IT102">
        <v>1</v>
      </c>
      <c r="IU102">
        <v>25</v>
      </c>
      <c r="IV102">
        <v>7.2</v>
      </c>
      <c r="IW102">
        <v>1.1</v>
      </c>
      <c r="IX102">
        <v>2.4292</v>
      </c>
      <c r="IY102">
        <v>2.2229</v>
      </c>
      <c r="IZ102">
        <v>1.39648</v>
      </c>
      <c r="JA102">
        <v>2.35352</v>
      </c>
      <c r="JB102">
        <v>1.49536</v>
      </c>
      <c r="JC102">
        <v>2.34741</v>
      </c>
      <c r="JD102">
        <v>38.7225</v>
      </c>
      <c r="JE102">
        <v>24.0525</v>
      </c>
      <c r="JF102">
        <v>18</v>
      </c>
      <c r="JG102">
        <v>511.741</v>
      </c>
      <c r="JH102">
        <v>433.418</v>
      </c>
      <c r="JI102">
        <v>29.8331</v>
      </c>
      <c r="JJ102">
        <v>29.0323</v>
      </c>
      <c r="JK102">
        <v>30</v>
      </c>
      <c r="JL102">
        <v>28.939</v>
      </c>
      <c r="JM102">
        <v>28.8658</v>
      </c>
      <c r="JN102">
        <v>48.6007</v>
      </c>
      <c r="JO102">
        <v>20.6709</v>
      </c>
      <c r="JP102">
        <v>0.234166</v>
      </c>
      <c r="JQ102">
        <v>-999.9</v>
      </c>
      <c r="JR102">
        <v>1200</v>
      </c>
      <c r="JS102">
        <v>22.9074</v>
      </c>
      <c r="JT102">
        <v>100.336</v>
      </c>
      <c r="JU102">
        <v>100.248</v>
      </c>
    </row>
    <row r="103" spans="1:281">
      <c r="A103">
        <v>87</v>
      </c>
      <c r="B103">
        <v>1651776188</v>
      </c>
      <c r="C103">
        <v>4310.400000095367</v>
      </c>
      <c r="D103" t="s">
        <v>612</v>
      </c>
      <c r="E103" t="s">
        <v>613</v>
      </c>
      <c r="F103">
        <v>5</v>
      </c>
      <c r="G103" t="s">
        <v>572</v>
      </c>
      <c r="H103" t="s">
        <v>417</v>
      </c>
      <c r="I103">
        <v>1651776185.25</v>
      </c>
      <c r="J103">
        <f>(K103)/1000</f>
        <v>0</v>
      </c>
      <c r="K103">
        <f>IF(CZ103, AN103, AH103)</f>
        <v>0</v>
      </c>
      <c r="L103">
        <f>IF(CZ103, AI103, AG103)</f>
        <v>0</v>
      </c>
      <c r="M103">
        <f>DB103 - IF(AU103&gt;1, L103*CV103*100.0/(AW103*DP103), 0)</f>
        <v>0</v>
      </c>
      <c r="N103">
        <f>((T103-J103/2)*M103-L103)/(T103+J103/2)</f>
        <v>0</v>
      </c>
      <c r="O103">
        <f>N103*(DI103+DJ103)/1000.0</f>
        <v>0</v>
      </c>
      <c r="P103">
        <f>(DB103 - IF(AU103&gt;1, L103*CV103*100.0/(AW103*DP103), 0))*(DI103+DJ103)/1000.0</f>
        <v>0</v>
      </c>
      <c r="Q103">
        <f>2.0/((1/S103-1/R103)+SIGN(S103)*SQRT((1/S103-1/R103)*(1/S103-1/R103) + 4*CW103/((CW103+1)*(CW103+1))*(2*1/S103*1/R103-1/R103*1/R103)))</f>
        <v>0</v>
      </c>
      <c r="R103">
        <f>IF(LEFT(CX103,1)&lt;&gt;"0",IF(LEFT(CX103,1)="1",3.0,CY103),$D$5+$E$5*(DP103*DI103/($K$5*1000))+$F$5*(DP103*DI103/($K$5*1000))*MAX(MIN(CV103,$J$5),$I$5)*MAX(MIN(CV103,$J$5),$I$5)+$G$5*MAX(MIN(CV103,$J$5),$I$5)*(DP103*DI103/($K$5*1000))+$H$5*(DP103*DI103/($K$5*1000))*(DP103*DI103/($K$5*1000)))</f>
        <v>0</v>
      </c>
      <c r="S103">
        <f>J103*(1000-(1000*0.61365*exp(17.502*W103/(240.97+W103))/(DI103+DJ103)+DD103)/2)/(1000*0.61365*exp(17.502*W103/(240.97+W103))/(DI103+DJ103)-DD103)</f>
        <v>0</v>
      </c>
      <c r="T103">
        <f>1/((CW103+1)/(Q103/1.6)+1/(R103/1.37)) + CW103/((CW103+1)/(Q103/1.6) + CW103/(R103/1.37))</f>
        <v>0</v>
      </c>
      <c r="U103">
        <f>(CR103*CU103)</f>
        <v>0</v>
      </c>
      <c r="V103">
        <f>(DK103+(U103+2*0.95*5.67E-8*(((DK103+$B$7)+273)^4-(DK103+273)^4)-44100*J103)/(1.84*29.3*R103+8*0.95*5.67E-8*(DK103+273)^3))</f>
        <v>0</v>
      </c>
      <c r="W103">
        <f>($C$7*DL103+$D$7*DM103+$E$7*V103)</f>
        <v>0</v>
      </c>
      <c r="X103">
        <f>0.61365*exp(17.502*W103/(240.97+W103))</f>
        <v>0</v>
      </c>
      <c r="Y103">
        <f>(Z103/AA103*100)</f>
        <v>0</v>
      </c>
      <c r="Z103">
        <f>DD103*(DI103+DJ103)/1000</f>
        <v>0</v>
      </c>
      <c r="AA103">
        <f>0.61365*exp(17.502*DK103/(240.97+DK103))</f>
        <v>0</v>
      </c>
      <c r="AB103">
        <f>(X103-DD103*(DI103+DJ103)/1000)</f>
        <v>0</v>
      </c>
      <c r="AC103">
        <f>(-J103*44100)</f>
        <v>0</v>
      </c>
      <c r="AD103">
        <f>2*29.3*R103*0.92*(DK103-W103)</f>
        <v>0</v>
      </c>
      <c r="AE103">
        <f>2*0.95*5.67E-8*(((DK103+$B$7)+273)^4-(W103+273)^4)</f>
        <v>0</v>
      </c>
      <c r="AF103">
        <f>U103+AE103+AC103+AD103</f>
        <v>0</v>
      </c>
      <c r="AG103">
        <f>DH103*AU103*(DC103-DB103*(1000-AU103*DE103)/(1000-AU103*DD103))/(100*CV103)</f>
        <v>0</v>
      </c>
      <c r="AH103">
        <f>1000*DH103*AU103*(DD103-DE103)/(100*CV103*(1000-AU103*DD103))</f>
        <v>0</v>
      </c>
      <c r="AI103">
        <f>(AJ103 - AK103 - DI103*1E3/(8.314*(DK103+273.15)) * AM103/DH103 * AL103) * DH103/(100*CV103) * (1000 - DE103)/1000</f>
        <v>0</v>
      </c>
      <c r="AJ103">
        <v>409.6825302912767</v>
      </c>
      <c r="AK103">
        <v>388.2966848484849</v>
      </c>
      <c r="AL103">
        <v>-0.07020939920455227</v>
      </c>
      <c r="AM103">
        <v>66.76036209233605</v>
      </c>
      <c r="AN103">
        <f>(AP103 - AO103 + DI103*1E3/(8.314*(DK103+273.15)) * AR103/DH103 * AQ103) * DH103/(100*CV103) * 1000/(1000 - AP103)</f>
        <v>0</v>
      </c>
      <c r="AO103">
        <v>23.68185767047526</v>
      </c>
      <c r="AP103">
        <v>29.99723393939393</v>
      </c>
      <c r="AQ103">
        <v>0.006366928651785534</v>
      </c>
      <c r="AR103">
        <v>78.04898784519082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MAX(0,($B$13+$C$13*DP103)/(1+$D$13*DP103)*DI103/(DK103+273)*$E$13)</f>
        <v>0</v>
      </c>
      <c r="AX103" t="s">
        <v>418</v>
      </c>
      <c r="AY103" t="s">
        <v>418</v>
      </c>
      <c r="AZ103">
        <v>0</v>
      </c>
      <c r="BA103">
        <v>0</v>
      </c>
      <c r="BB103">
        <f>1-AZ103/BA103</f>
        <v>0</v>
      </c>
      <c r="BC103">
        <v>0</v>
      </c>
      <c r="BD103" t="s">
        <v>418</v>
      </c>
      <c r="BE103" t="s">
        <v>418</v>
      </c>
      <c r="BF103">
        <v>0</v>
      </c>
      <c r="BG103">
        <v>0</v>
      </c>
      <c r="BH103">
        <f>1-BF103/BG103</f>
        <v>0</v>
      </c>
      <c r="BI103">
        <v>0.5</v>
      </c>
      <c r="BJ103">
        <f>CS103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418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1225</v>
      </c>
      <c r="CA103">
        <v>300</v>
      </c>
      <c r="CB103">
        <v>300</v>
      </c>
      <c r="CC103">
        <v>300</v>
      </c>
      <c r="CD103">
        <v>10382.2</v>
      </c>
      <c r="CE103">
        <v>1.38</v>
      </c>
      <c r="CF103">
        <v>-0.0073222</v>
      </c>
      <c r="CG103">
        <v>0.16</v>
      </c>
      <c r="CH103" t="s">
        <v>418</v>
      </c>
      <c r="CI103" t="s">
        <v>418</v>
      </c>
      <c r="CJ103" t="s">
        <v>418</v>
      </c>
      <c r="CK103" t="s">
        <v>418</v>
      </c>
      <c r="CL103" t="s">
        <v>418</v>
      </c>
      <c r="CM103" t="s">
        <v>418</v>
      </c>
      <c r="CN103" t="s">
        <v>418</v>
      </c>
      <c r="CO103" t="s">
        <v>418</v>
      </c>
      <c r="CP103" t="s">
        <v>418</v>
      </c>
      <c r="CQ103" t="s">
        <v>418</v>
      </c>
      <c r="CR103">
        <f>$B$11*DQ103+$C$11*DR103+$F$11*EC103*(1-EF103)</f>
        <v>0</v>
      </c>
      <c r="CS103">
        <f>CR103*CT103</f>
        <v>0</v>
      </c>
      <c r="CT103">
        <f>($B$11*$D$9+$C$11*$D$9+$F$11*((EP103+EH103)/MAX(EP103+EH103+EQ103, 0.1)*$I$9+EQ103/MAX(EP103+EH103+EQ103, 0.1)*$J$9))/($B$11+$C$11+$F$11)</f>
        <v>0</v>
      </c>
      <c r="CU103">
        <f>($B$11*$K$9+$C$11*$K$9+$F$11*((EP103+EH103)/MAX(EP103+EH103+EQ103, 0.1)*$P$9+EQ103/MAX(EP103+EH103+EQ103, 0.1)*$Q$9))/($B$11+$C$11+$F$11)</f>
        <v>0</v>
      </c>
      <c r="CV103">
        <v>6</v>
      </c>
      <c r="CW103">
        <v>0.5</v>
      </c>
      <c r="CX103" t="s">
        <v>419</v>
      </c>
      <c r="CY103">
        <v>2</v>
      </c>
      <c r="CZ103" t="b">
        <v>1</v>
      </c>
      <c r="DA103">
        <v>1651776185.25</v>
      </c>
      <c r="DB103">
        <v>376.808</v>
      </c>
      <c r="DC103">
        <v>399.9792</v>
      </c>
      <c r="DD103">
        <v>29.98737000000001</v>
      </c>
      <c r="DE103">
        <v>23.68805</v>
      </c>
      <c r="DF103">
        <v>378.1632</v>
      </c>
      <c r="DG103">
        <v>29.91332</v>
      </c>
      <c r="DH103">
        <v>500.034</v>
      </c>
      <c r="DI103">
        <v>90.24066000000001</v>
      </c>
      <c r="DJ103">
        <v>0.10007125</v>
      </c>
      <c r="DK103">
        <v>30.65097</v>
      </c>
      <c r="DL103">
        <v>29.81613</v>
      </c>
      <c r="DM103">
        <v>999.9</v>
      </c>
      <c r="DN103">
        <v>0</v>
      </c>
      <c r="DO103">
        <v>0</v>
      </c>
      <c r="DP103">
        <v>9983</v>
      </c>
      <c r="DQ103">
        <v>0</v>
      </c>
      <c r="DR103">
        <v>13.20907</v>
      </c>
      <c r="DS103">
        <v>-23.17115</v>
      </c>
      <c r="DT103">
        <v>388.4567</v>
      </c>
      <c r="DU103">
        <v>409.6838</v>
      </c>
      <c r="DV103">
        <v>6.299321999999999</v>
      </c>
      <c r="DW103">
        <v>399.9792</v>
      </c>
      <c r="DX103">
        <v>23.68805</v>
      </c>
      <c r="DY103">
        <v>2.706079</v>
      </c>
      <c r="DZ103">
        <v>2.137626</v>
      </c>
      <c r="EA103">
        <v>22.3221</v>
      </c>
      <c r="EB103">
        <v>18.50235</v>
      </c>
      <c r="EC103">
        <v>1500.029</v>
      </c>
      <c r="ED103">
        <v>0.972996</v>
      </c>
      <c r="EE103">
        <v>0.0270042</v>
      </c>
      <c r="EF103">
        <v>0</v>
      </c>
      <c r="EG103">
        <v>2.37481</v>
      </c>
      <c r="EH103">
        <v>0</v>
      </c>
      <c r="EI103">
        <v>12279.04</v>
      </c>
      <c r="EJ103">
        <v>12533.61</v>
      </c>
      <c r="EK103">
        <v>37.187</v>
      </c>
      <c r="EL103">
        <v>38.5124</v>
      </c>
      <c r="EM103">
        <v>37.5</v>
      </c>
      <c r="EN103">
        <v>37.9246</v>
      </c>
      <c r="EO103">
        <v>37.1124</v>
      </c>
      <c r="EP103">
        <v>1459.519</v>
      </c>
      <c r="EQ103">
        <v>40.51</v>
      </c>
      <c r="ER103">
        <v>0</v>
      </c>
      <c r="ES103">
        <v>66.80000019073486</v>
      </c>
      <c r="ET103">
        <v>0</v>
      </c>
      <c r="EU103">
        <v>2.310623076923077</v>
      </c>
      <c r="EV103">
        <v>0.5288820500667485</v>
      </c>
      <c r="EW103">
        <v>150.4581197437233</v>
      </c>
      <c r="EX103">
        <v>12267.37307692308</v>
      </c>
      <c r="EY103">
        <v>15</v>
      </c>
      <c r="EZ103">
        <v>1651776055</v>
      </c>
      <c r="FA103" t="s">
        <v>608</v>
      </c>
      <c r="FB103">
        <v>1651775686</v>
      </c>
      <c r="FC103">
        <v>1651776055</v>
      </c>
      <c r="FD103">
        <v>5</v>
      </c>
      <c r="FE103">
        <v>-0.02</v>
      </c>
      <c r="FF103">
        <v>0.008999999999999999</v>
      </c>
      <c r="FG103">
        <v>-0.705</v>
      </c>
      <c r="FH103">
        <v>0.021</v>
      </c>
      <c r="FI103">
        <v>0</v>
      </c>
      <c r="FJ103">
        <v>21</v>
      </c>
      <c r="FK103">
        <v>0.28</v>
      </c>
      <c r="FL103">
        <v>0.01</v>
      </c>
      <c r="FM103">
        <v>-21.9060175</v>
      </c>
      <c r="FN103">
        <v>-11.01447467166973</v>
      </c>
      <c r="FO103">
        <v>1.080932903303322</v>
      </c>
      <c r="FP103">
        <v>0</v>
      </c>
      <c r="FQ103">
        <v>6.3393625</v>
      </c>
      <c r="FR103">
        <v>-0.413406078799276</v>
      </c>
      <c r="FS103">
        <v>0.04546663896473985</v>
      </c>
      <c r="FT103">
        <v>1</v>
      </c>
      <c r="FU103">
        <v>0</v>
      </c>
      <c r="FV103">
        <v>0</v>
      </c>
      <c r="FW103">
        <v>0</v>
      </c>
      <c r="FX103">
        <v>1</v>
      </c>
      <c r="FY103">
        <v>2</v>
      </c>
      <c r="FZ103">
        <v>3</v>
      </c>
      <c r="GA103" t="s">
        <v>421</v>
      </c>
      <c r="GB103">
        <v>2.98008</v>
      </c>
      <c r="GC103">
        <v>2.70615</v>
      </c>
      <c r="GD103">
        <v>0.08642089999999999</v>
      </c>
      <c r="GE103">
        <v>0.0893992</v>
      </c>
      <c r="GF103">
        <v>0.123985</v>
      </c>
      <c r="GG103">
        <v>0.103771</v>
      </c>
      <c r="GH103">
        <v>28840.4</v>
      </c>
      <c r="GI103">
        <v>28807</v>
      </c>
      <c r="GJ103">
        <v>29355.3</v>
      </c>
      <c r="GK103">
        <v>29266.4</v>
      </c>
      <c r="GL103">
        <v>34036.6</v>
      </c>
      <c r="GM103">
        <v>34916.5</v>
      </c>
      <c r="GN103">
        <v>41321.2</v>
      </c>
      <c r="GO103">
        <v>41769.8</v>
      </c>
      <c r="GP103">
        <v>1.95282</v>
      </c>
      <c r="GQ103">
        <v>1.85305</v>
      </c>
      <c r="GR103">
        <v>0.0870414</v>
      </c>
      <c r="GS103">
        <v>0</v>
      </c>
      <c r="GT103">
        <v>28.4021</v>
      </c>
      <c r="GU103">
        <v>999.9</v>
      </c>
      <c r="GV103">
        <v>44.1</v>
      </c>
      <c r="GW103">
        <v>34.8</v>
      </c>
      <c r="GX103">
        <v>27.298</v>
      </c>
      <c r="GY103">
        <v>62.5886</v>
      </c>
      <c r="GZ103">
        <v>35.9856</v>
      </c>
      <c r="HA103">
        <v>1</v>
      </c>
      <c r="HB103">
        <v>0.113397</v>
      </c>
      <c r="HC103">
        <v>0</v>
      </c>
      <c r="HD103">
        <v>20.3474</v>
      </c>
      <c r="HE103">
        <v>5.22418</v>
      </c>
      <c r="HF103">
        <v>12.0099</v>
      </c>
      <c r="HG103">
        <v>4.99095</v>
      </c>
      <c r="HH103">
        <v>3.29</v>
      </c>
      <c r="HI103">
        <v>573.5</v>
      </c>
      <c r="HJ103">
        <v>4102.7</v>
      </c>
      <c r="HK103">
        <v>4641.7</v>
      </c>
      <c r="HL103">
        <v>18.9</v>
      </c>
      <c r="HM103">
        <v>1.86762</v>
      </c>
      <c r="HN103">
        <v>1.86661</v>
      </c>
      <c r="HO103">
        <v>1.86614</v>
      </c>
      <c r="HP103">
        <v>1.86601</v>
      </c>
      <c r="HQ103">
        <v>1.86783</v>
      </c>
      <c r="HR103">
        <v>1.87029</v>
      </c>
      <c r="HS103">
        <v>1.86899</v>
      </c>
      <c r="HT103">
        <v>1.87035</v>
      </c>
      <c r="HU103">
        <v>0</v>
      </c>
      <c r="HV103">
        <v>0</v>
      </c>
      <c r="HW103">
        <v>0</v>
      </c>
      <c r="HX103">
        <v>0</v>
      </c>
      <c r="HY103" t="s">
        <v>422</v>
      </c>
      <c r="HZ103" t="s">
        <v>423</v>
      </c>
      <c r="IA103" t="s">
        <v>424</v>
      </c>
      <c r="IB103" t="s">
        <v>424</v>
      </c>
      <c r="IC103" t="s">
        <v>424</v>
      </c>
      <c r="ID103" t="s">
        <v>424</v>
      </c>
      <c r="IE103">
        <v>0</v>
      </c>
      <c r="IF103">
        <v>100</v>
      </c>
      <c r="IG103">
        <v>100</v>
      </c>
      <c r="IH103">
        <v>-1.355</v>
      </c>
      <c r="II103">
        <v>0.074</v>
      </c>
      <c r="IJ103">
        <v>-0.7030678540346029</v>
      </c>
      <c r="IK103">
        <v>-0.001826611574738555</v>
      </c>
      <c r="IL103">
        <v>3.313362389709971E-07</v>
      </c>
      <c r="IM103">
        <v>-1.629490614973607E-10</v>
      </c>
      <c r="IN103">
        <v>0.07405293535727278</v>
      </c>
      <c r="IO103">
        <v>0</v>
      </c>
      <c r="IP103">
        <v>0</v>
      </c>
      <c r="IQ103">
        <v>0</v>
      </c>
      <c r="IR103">
        <v>3</v>
      </c>
      <c r="IS103">
        <v>2280</v>
      </c>
      <c r="IT103">
        <v>1</v>
      </c>
      <c r="IU103">
        <v>25</v>
      </c>
      <c r="IV103">
        <v>8.4</v>
      </c>
      <c r="IW103">
        <v>2.2</v>
      </c>
      <c r="IX103">
        <v>1.01074</v>
      </c>
      <c r="IY103">
        <v>2.2229</v>
      </c>
      <c r="IZ103">
        <v>1.39648</v>
      </c>
      <c r="JA103">
        <v>2.35229</v>
      </c>
      <c r="JB103">
        <v>1.49536</v>
      </c>
      <c r="JC103">
        <v>2.36694</v>
      </c>
      <c r="JD103">
        <v>38.6979</v>
      </c>
      <c r="JE103">
        <v>24.0612</v>
      </c>
      <c r="JF103">
        <v>18</v>
      </c>
      <c r="JG103">
        <v>511.618</v>
      </c>
      <c r="JH103">
        <v>432.541</v>
      </c>
      <c r="JI103">
        <v>29.8154</v>
      </c>
      <c r="JJ103">
        <v>28.9988</v>
      </c>
      <c r="JK103">
        <v>29.9999</v>
      </c>
      <c r="JL103">
        <v>28.9049</v>
      </c>
      <c r="JM103">
        <v>28.8327</v>
      </c>
      <c r="JN103">
        <v>20.2404</v>
      </c>
      <c r="JO103">
        <v>18.2557</v>
      </c>
      <c r="JP103">
        <v>2.54946</v>
      </c>
      <c r="JQ103">
        <v>-999.9</v>
      </c>
      <c r="JR103">
        <v>400</v>
      </c>
      <c r="JS103">
        <v>23.7168</v>
      </c>
      <c r="JT103">
        <v>100.346</v>
      </c>
      <c r="JU103">
        <v>100.253</v>
      </c>
    </row>
    <row r="104" spans="1:281">
      <c r="A104">
        <v>88</v>
      </c>
      <c r="B104">
        <v>1651776223</v>
      </c>
      <c r="C104">
        <v>4345.400000095367</v>
      </c>
      <c r="D104" t="s">
        <v>614</v>
      </c>
      <c r="E104" t="s">
        <v>615</v>
      </c>
      <c r="F104">
        <v>5</v>
      </c>
      <c r="G104" t="s">
        <v>616</v>
      </c>
      <c r="H104" t="s">
        <v>417</v>
      </c>
      <c r="I104">
        <v>1651776220</v>
      </c>
      <c r="J104">
        <f>(K104)/1000</f>
        <v>0</v>
      </c>
      <c r="K104">
        <f>IF(CZ104, AN104, AH104)</f>
        <v>0</v>
      </c>
      <c r="L104">
        <f>IF(CZ104, AI104, AG104)</f>
        <v>0</v>
      </c>
      <c r="M104">
        <f>DB104 - IF(AU104&gt;1, L104*CV104*100.0/(AW104*DP104), 0)</f>
        <v>0</v>
      </c>
      <c r="N104">
        <f>((T104-J104/2)*M104-L104)/(T104+J104/2)</f>
        <v>0</v>
      </c>
      <c r="O104">
        <f>N104*(DI104+DJ104)/1000.0</f>
        <v>0</v>
      </c>
      <c r="P104">
        <f>(DB104 - IF(AU104&gt;1, L104*CV104*100.0/(AW104*DP104), 0))*(DI104+DJ104)/1000.0</f>
        <v>0</v>
      </c>
      <c r="Q104">
        <f>2.0/((1/S104-1/R104)+SIGN(S104)*SQRT((1/S104-1/R104)*(1/S104-1/R104) + 4*CW104/((CW104+1)*(CW104+1))*(2*1/S104*1/R104-1/R104*1/R104)))</f>
        <v>0</v>
      </c>
      <c r="R104">
        <f>IF(LEFT(CX104,1)&lt;&gt;"0",IF(LEFT(CX104,1)="1",3.0,CY104),$D$5+$E$5*(DP104*DI104/($K$5*1000))+$F$5*(DP104*DI104/($K$5*1000))*MAX(MIN(CV104,$J$5),$I$5)*MAX(MIN(CV104,$J$5),$I$5)+$G$5*MAX(MIN(CV104,$J$5),$I$5)*(DP104*DI104/($K$5*1000))+$H$5*(DP104*DI104/($K$5*1000))*(DP104*DI104/($K$5*1000)))</f>
        <v>0</v>
      </c>
      <c r="S104">
        <f>J104*(1000-(1000*0.61365*exp(17.502*W104/(240.97+W104))/(DI104+DJ104)+DD104)/2)/(1000*0.61365*exp(17.502*W104/(240.97+W104))/(DI104+DJ104)-DD104)</f>
        <v>0</v>
      </c>
      <c r="T104">
        <f>1/((CW104+1)/(Q104/1.6)+1/(R104/1.37)) + CW104/((CW104+1)/(Q104/1.6) + CW104/(R104/1.37))</f>
        <v>0</v>
      </c>
      <c r="U104">
        <f>(CR104*CU104)</f>
        <v>0</v>
      </c>
      <c r="V104">
        <f>(DK104+(U104+2*0.95*5.67E-8*(((DK104+$B$7)+273)^4-(DK104+273)^4)-44100*J104)/(1.84*29.3*R104+8*0.95*5.67E-8*(DK104+273)^3))</f>
        <v>0</v>
      </c>
      <c r="W104">
        <f>($C$7*DL104+$D$7*DM104+$E$7*V104)</f>
        <v>0</v>
      </c>
      <c r="X104">
        <f>0.61365*exp(17.502*W104/(240.97+W104))</f>
        <v>0</v>
      </c>
      <c r="Y104">
        <f>(Z104/AA104*100)</f>
        <v>0</v>
      </c>
      <c r="Z104">
        <f>DD104*(DI104+DJ104)/1000</f>
        <v>0</v>
      </c>
      <c r="AA104">
        <f>0.61365*exp(17.502*DK104/(240.97+DK104))</f>
        <v>0</v>
      </c>
      <c r="AB104">
        <f>(X104-DD104*(DI104+DJ104)/1000)</f>
        <v>0</v>
      </c>
      <c r="AC104">
        <f>(-J104*44100)</f>
        <v>0</v>
      </c>
      <c r="AD104">
        <f>2*29.3*R104*0.92*(DK104-W104)</f>
        <v>0</v>
      </c>
      <c r="AE104">
        <f>2*0.95*5.67E-8*(((DK104+$B$7)+273)^4-(W104+273)^4)</f>
        <v>0</v>
      </c>
      <c r="AF104">
        <f>U104+AE104+AC104+AD104</f>
        <v>0</v>
      </c>
      <c r="AG104">
        <f>DH104*AU104*(DC104-DB104*(1000-AU104*DE104)/(1000-AU104*DD104))/(100*CV104)</f>
        <v>0</v>
      </c>
      <c r="AH104">
        <f>1000*DH104*AU104*(DD104-DE104)/(100*CV104*(1000-AU104*DD104))</f>
        <v>0</v>
      </c>
      <c r="AI104">
        <f>(AJ104 - AK104 - DI104*1E3/(8.314*(DK104+273.15)) * AM104/DH104 * AL104) * DH104/(100*CV104) * (1000 - DE104)/1000</f>
        <v>0</v>
      </c>
      <c r="AJ104">
        <v>409.7537481465666</v>
      </c>
      <c r="AK104">
        <v>386.7514060606059</v>
      </c>
      <c r="AL104">
        <v>-0.008860248616500123</v>
      </c>
      <c r="AM104">
        <v>66.76036209233605</v>
      </c>
      <c r="AN104">
        <f>(AP104 - AO104 + DI104*1E3/(8.314*(DK104+273.15)) * AR104/DH104 * AQ104) * DH104/(100*CV104) * 1000/(1000 - AP104)</f>
        <v>0</v>
      </c>
      <c r="AO104">
        <v>23.85143991455129</v>
      </c>
      <c r="AP104">
        <v>30.12833515151516</v>
      </c>
      <c r="AQ104">
        <v>0.001475626174537018</v>
      </c>
      <c r="AR104">
        <v>78.04898784519082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MAX(0,($B$13+$C$13*DP104)/(1+$D$13*DP104)*DI104/(DK104+273)*$E$13)</f>
        <v>0</v>
      </c>
      <c r="AX104" t="s">
        <v>573</v>
      </c>
      <c r="AY104">
        <v>10510</v>
      </c>
      <c r="AZ104">
        <v>590.42</v>
      </c>
      <c r="BA104">
        <v>2650.6</v>
      </c>
      <c r="BB104">
        <f>1-AZ104/BA104</f>
        <v>0</v>
      </c>
      <c r="BC104">
        <v>-1.816883183993991</v>
      </c>
      <c r="BD104" t="s">
        <v>617</v>
      </c>
      <c r="BE104">
        <v>10381.6</v>
      </c>
      <c r="BF104">
        <v>2.345111538461539</v>
      </c>
      <c r="BG104">
        <v>2.1832</v>
      </c>
      <c r="BH104">
        <f>1-BF104/BG104</f>
        <v>0</v>
      </c>
      <c r="BI104">
        <v>0.5</v>
      </c>
      <c r="BJ104">
        <f>CS104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418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1226</v>
      </c>
      <c r="CA104">
        <v>300</v>
      </c>
      <c r="CB104">
        <v>300</v>
      </c>
      <c r="CC104">
        <v>300</v>
      </c>
      <c r="CD104">
        <v>10381.6</v>
      </c>
      <c r="CE104">
        <v>1.64</v>
      </c>
      <c r="CF104">
        <v>-0.00732175</v>
      </c>
      <c r="CG104">
        <v>0.44</v>
      </c>
      <c r="CH104" t="s">
        <v>418</v>
      </c>
      <c r="CI104" t="s">
        <v>418</v>
      </c>
      <c r="CJ104" t="s">
        <v>418</v>
      </c>
      <c r="CK104" t="s">
        <v>418</v>
      </c>
      <c r="CL104" t="s">
        <v>418</v>
      </c>
      <c r="CM104" t="s">
        <v>418</v>
      </c>
      <c r="CN104" t="s">
        <v>418</v>
      </c>
      <c r="CO104" t="s">
        <v>418</v>
      </c>
      <c r="CP104" t="s">
        <v>418</v>
      </c>
      <c r="CQ104" t="s">
        <v>418</v>
      </c>
      <c r="CR104">
        <f>$B$11*DQ104+$C$11*DR104+$F$11*EC104*(1-EF104)</f>
        <v>0</v>
      </c>
      <c r="CS104">
        <f>CR104*CT104</f>
        <v>0</v>
      </c>
      <c r="CT104">
        <f>($B$11*$D$9+$C$11*$D$9+$F$11*((EP104+EH104)/MAX(EP104+EH104+EQ104, 0.1)*$I$9+EQ104/MAX(EP104+EH104+EQ104, 0.1)*$J$9))/($B$11+$C$11+$F$11)</f>
        <v>0</v>
      </c>
      <c r="CU104">
        <f>($B$11*$K$9+$C$11*$K$9+$F$11*((EP104+EH104)/MAX(EP104+EH104+EQ104, 0.1)*$P$9+EQ104/MAX(EP104+EH104+EQ104, 0.1)*$Q$9))/($B$11+$C$11+$F$11)</f>
        <v>0</v>
      </c>
      <c r="CV104">
        <v>6</v>
      </c>
      <c r="CW104">
        <v>0.5</v>
      </c>
      <c r="CX104" t="s">
        <v>419</v>
      </c>
      <c r="CY104">
        <v>2</v>
      </c>
      <c r="CZ104" t="b">
        <v>1</v>
      </c>
      <c r="DA104">
        <v>1651776220</v>
      </c>
      <c r="DB104">
        <v>375.1594545454545</v>
      </c>
      <c r="DC104">
        <v>399.9827272727272</v>
      </c>
      <c r="DD104">
        <v>30.11326363636364</v>
      </c>
      <c r="DE104">
        <v>23.85095454545455</v>
      </c>
      <c r="DF104">
        <v>376.5119090909091</v>
      </c>
      <c r="DG104">
        <v>30.03920909090909</v>
      </c>
      <c r="DH104">
        <v>500.0444545454545</v>
      </c>
      <c r="DI104">
        <v>90.23979090909091</v>
      </c>
      <c r="DJ104">
        <v>0.09996463636363638</v>
      </c>
      <c r="DK104">
        <v>30.63522727272727</v>
      </c>
      <c r="DL104">
        <v>29.80400909090909</v>
      </c>
      <c r="DM104">
        <v>999.9</v>
      </c>
      <c r="DN104">
        <v>0</v>
      </c>
      <c r="DO104">
        <v>0</v>
      </c>
      <c r="DP104">
        <v>10004.53636363636</v>
      </c>
      <c r="DQ104">
        <v>0</v>
      </c>
      <c r="DR104">
        <v>12.96835454545455</v>
      </c>
      <c r="DS104">
        <v>-24.82321818181818</v>
      </c>
      <c r="DT104">
        <v>386.8073636363636</v>
      </c>
      <c r="DU104">
        <v>409.7558181818182</v>
      </c>
      <c r="DV104">
        <v>6.262318181818182</v>
      </c>
      <c r="DW104">
        <v>399.9827272727272</v>
      </c>
      <c r="DX104">
        <v>23.85095454545455</v>
      </c>
      <c r="DY104">
        <v>2.717414545454545</v>
      </c>
      <c r="DZ104">
        <v>2.152304545454545</v>
      </c>
      <c r="EA104">
        <v>22.3908</v>
      </c>
      <c r="EB104">
        <v>18.61164545454546</v>
      </c>
      <c r="EC104">
        <v>1499.942727272727</v>
      </c>
      <c r="ED104">
        <v>0.9729927272727271</v>
      </c>
      <c r="EE104">
        <v>0.02700714545454545</v>
      </c>
      <c r="EF104">
        <v>0</v>
      </c>
      <c r="EG104">
        <v>2.307272727272728</v>
      </c>
      <c r="EH104">
        <v>0</v>
      </c>
      <c r="EI104">
        <v>12487.80909090909</v>
      </c>
      <c r="EJ104">
        <v>12532.87272727273</v>
      </c>
      <c r="EK104">
        <v>37.15318181818182</v>
      </c>
      <c r="EL104">
        <v>38.5</v>
      </c>
      <c r="EM104">
        <v>37.5</v>
      </c>
      <c r="EN104">
        <v>37.90881818181818</v>
      </c>
      <c r="EO104">
        <v>37.062</v>
      </c>
      <c r="EP104">
        <v>1459.431818181818</v>
      </c>
      <c r="EQ104">
        <v>40.51090909090909</v>
      </c>
      <c r="ER104">
        <v>0</v>
      </c>
      <c r="ES104">
        <v>101.6000001430511</v>
      </c>
      <c r="ET104">
        <v>0</v>
      </c>
      <c r="EU104">
        <v>2.345111538461539</v>
      </c>
      <c r="EV104">
        <v>-0.3692478879348434</v>
      </c>
      <c r="EW104">
        <v>398.0717951206857</v>
      </c>
      <c r="EX104">
        <v>12458.81538461538</v>
      </c>
      <c r="EY104">
        <v>15</v>
      </c>
      <c r="EZ104">
        <v>1651776055</v>
      </c>
      <c r="FA104" t="s">
        <v>608</v>
      </c>
      <c r="FB104">
        <v>1651775686</v>
      </c>
      <c r="FC104">
        <v>1651776055</v>
      </c>
      <c r="FD104">
        <v>5</v>
      </c>
      <c r="FE104">
        <v>-0.02</v>
      </c>
      <c r="FF104">
        <v>0.008999999999999999</v>
      </c>
      <c r="FG104">
        <v>-0.705</v>
      </c>
      <c r="FH104">
        <v>0.021</v>
      </c>
      <c r="FI104">
        <v>0</v>
      </c>
      <c r="FJ104">
        <v>21</v>
      </c>
      <c r="FK104">
        <v>0.28</v>
      </c>
      <c r="FL104">
        <v>0.01</v>
      </c>
      <c r="FM104">
        <v>-24.6070625</v>
      </c>
      <c r="FN104">
        <v>-1.813088555347052</v>
      </c>
      <c r="FO104">
        <v>0.1760470458251146</v>
      </c>
      <c r="FP104">
        <v>0</v>
      </c>
      <c r="FQ104">
        <v>6.27912125</v>
      </c>
      <c r="FR104">
        <v>-0.1930001876172646</v>
      </c>
      <c r="FS104">
        <v>0.02362856736955293</v>
      </c>
      <c r="FT104">
        <v>1</v>
      </c>
      <c r="FU104">
        <v>0</v>
      </c>
      <c r="FV104">
        <v>0</v>
      </c>
      <c r="FW104">
        <v>0</v>
      </c>
      <c r="FX104">
        <v>1</v>
      </c>
      <c r="FY104">
        <v>2</v>
      </c>
      <c r="FZ104">
        <v>3</v>
      </c>
      <c r="GA104" t="s">
        <v>421</v>
      </c>
      <c r="GB104">
        <v>2.98013</v>
      </c>
      <c r="GC104">
        <v>2.70626</v>
      </c>
      <c r="GD104">
        <v>0.0861534</v>
      </c>
      <c r="GE104">
        <v>0.08940960000000001</v>
      </c>
      <c r="GF104">
        <v>0.124354</v>
      </c>
      <c r="GG104">
        <v>0.104204</v>
      </c>
      <c r="GH104">
        <v>28849.6</v>
      </c>
      <c r="GI104">
        <v>28807.9</v>
      </c>
      <c r="GJ104">
        <v>29356</v>
      </c>
      <c r="GK104">
        <v>29267.7</v>
      </c>
      <c r="GL104">
        <v>34023.1</v>
      </c>
      <c r="GM104">
        <v>34901</v>
      </c>
      <c r="GN104">
        <v>41322.6</v>
      </c>
      <c r="GO104">
        <v>41771.8</v>
      </c>
      <c r="GP104">
        <v>1.9531</v>
      </c>
      <c r="GQ104">
        <v>1.8531</v>
      </c>
      <c r="GR104">
        <v>0.08665399999999999</v>
      </c>
      <c r="GS104">
        <v>0</v>
      </c>
      <c r="GT104">
        <v>28.3924</v>
      </c>
      <c r="GU104">
        <v>999.9</v>
      </c>
      <c r="GV104">
        <v>44.3</v>
      </c>
      <c r="GW104">
        <v>34.8</v>
      </c>
      <c r="GX104">
        <v>27.4237</v>
      </c>
      <c r="GY104">
        <v>62.7186</v>
      </c>
      <c r="GZ104">
        <v>35.9375</v>
      </c>
      <c r="HA104">
        <v>1</v>
      </c>
      <c r="HB104">
        <v>0.112132</v>
      </c>
      <c r="HC104">
        <v>0</v>
      </c>
      <c r="HD104">
        <v>20.3475</v>
      </c>
      <c r="HE104">
        <v>5.22328</v>
      </c>
      <c r="HF104">
        <v>12.0099</v>
      </c>
      <c r="HG104">
        <v>4.99085</v>
      </c>
      <c r="HH104">
        <v>3.29</v>
      </c>
      <c r="HI104">
        <v>574.3</v>
      </c>
      <c r="HJ104">
        <v>4106.2</v>
      </c>
      <c r="HK104">
        <v>4642.8</v>
      </c>
      <c r="HL104">
        <v>18.9</v>
      </c>
      <c r="HM104">
        <v>1.86761</v>
      </c>
      <c r="HN104">
        <v>1.86661</v>
      </c>
      <c r="HO104">
        <v>1.86615</v>
      </c>
      <c r="HP104">
        <v>1.866</v>
      </c>
      <c r="HQ104">
        <v>1.86783</v>
      </c>
      <c r="HR104">
        <v>1.87029</v>
      </c>
      <c r="HS104">
        <v>1.86902</v>
      </c>
      <c r="HT104">
        <v>1.87039</v>
      </c>
      <c r="HU104">
        <v>0</v>
      </c>
      <c r="HV104">
        <v>0</v>
      </c>
      <c r="HW104">
        <v>0</v>
      </c>
      <c r="HX104">
        <v>0</v>
      </c>
      <c r="HY104" t="s">
        <v>422</v>
      </c>
      <c r="HZ104" t="s">
        <v>423</v>
      </c>
      <c r="IA104" t="s">
        <v>424</v>
      </c>
      <c r="IB104" t="s">
        <v>424</v>
      </c>
      <c r="IC104" t="s">
        <v>424</v>
      </c>
      <c r="ID104" t="s">
        <v>424</v>
      </c>
      <c r="IE104">
        <v>0</v>
      </c>
      <c r="IF104">
        <v>100</v>
      </c>
      <c r="IG104">
        <v>100</v>
      </c>
      <c r="IH104">
        <v>-1.353</v>
      </c>
      <c r="II104">
        <v>0.074</v>
      </c>
      <c r="IJ104">
        <v>-0.7030678540346029</v>
      </c>
      <c r="IK104">
        <v>-0.001826611574738555</v>
      </c>
      <c r="IL104">
        <v>3.313362389709971E-07</v>
      </c>
      <c r="IM104">
        <v>-1.629490614973607E-10</v>
      </c>
      <c r="IN104">
        <v>0.07405293535727278</v>
      </c>
      <c r="IO104">
        <v>0</v>
      </c>
      <c r="IP104">
        <v>0</v>
      </c>
      <c r="IQ104">
        <v>0</v>
      </c>
      <c r="IR104">
        <v>3</v>
      </c>
      <c r="IS104">
        <v>2280</v>
      </c>
      <c r="IT104">
        <v>1</v>
      </c>
      <c r="IU104">
        <v>25</v>
      </c>
      <c r="IV104">
        <v>8.9</v>
      </c>
      <c r="IW104">
        <v>2.8</v>
      </c>
      <c r="IX104">
        <v>1.01074</v>
      </c>
      <c r="IY104">
        <v>2.229</v>
      </c>
      <c r="IZ104">
        <v>1.39648</v>
      </c>
      <c r="JA104">
        <v>2.35107</v>
      </c>
      <c r="JB104">
        <v>1.49536</v>
      </c>
      <c r="JC104">
        <v>2.34863</v>
      </c>
      <c r="JD104">
        <v>38.6979</v>
      </c>
      <c r="JE104">
        <v>24.0525</v>
      </c>
      <c r="JF104">
        <v>18</v>
      </c>
      <c r="JG104">
        <v>511.649</v>
      </c>
      <c r="JH104">
        <v>432.442</v>
      </c>
      <c r="JI104">
        <v>29.8049</v>
      </c>
      <c r="JJ104">
        <v>28.9802</v>
      </c>
      <c r="JK104">
        <v>29.9999</v>
      </c>
      <c r="JL104">
        <v>28.8872</v>
      </c>
      <c r="JM104">
        <v>28.815</v>
      </c>
      <c r="JN104">
        <v>20.2416</v>
      </c>
      <c r="JO104">
        <v>18.5346</v>
      </c>
      <c r="JP104">
        <v>3.67476</v>
      </c>
      <c r="JQ104">
        <v>-999.9</v>
      </c>
      <c r="JR104">
        <v>400</v>
      </c>
      <c r="JS104">
        <v>23.7305</v>
      </c>
      <c r="JT104">
        <v>100.349</v>
      </c>
      <c r="JU104">
        <v>100.258</v>
      </c>
    </row>
    <row r="105" spans="1:281">
      <c r="A105">
        <v>89</v>
      </c>
      <c r="B105">
        <v>1651776371.5</v>
      </c>
      <c r="C105">
        <v>4493.900000095367</v>
      </c>
      <c r="D105" t="s">
        <v>618</v>
      </c>
      <c r="E105" t="s">
        <v>619</v>
      </c>
      <c r="F105">
        <v>5</v>
      </c>
      <c r="G105" t="s">
        <v>616</v>
      </c>
      <c r="H105" t="s">
        <v>417</v>
      </c>
      <c r="I105">
        <v>1651776368.5</v>
      </c>
      <c r="J105">
        <f>(K105)/1000</f>
        <v>0</v>
      </c>
      <c r="K105">
        <f>IF(CZ105, AN105, AH105)</f>
        <v>0</v>
      </c>
      <c r="L105">
        <f>IF(CZ105, AI105, AG105)</f>
        <v>0</v>
      </c>
      <c r="M105">
        <f>DB105 - IF(AU105&gt;1, L105*CV105*100.0/(AW105*DP105), 0)</f>
        <v>0</v>
      </c>
      <c r="N105">
        <f>((T105-J105/2)*M105-L105)/(T105+J105/2)</f>
        <v>0</v>
      </c>
      <c r="O105">
        <f>N105*(DI105+DJ105)/1000.0</f>
        <v>0</v>
      </c>
      <c r="P105">
        <f>(DB105 - IF(AU105&gt;1, L105*CV105*100.0/(AW105*DP105), 0))*(DI105+DJ105)/1000.0</f>
        <v>0</v>
      </c>
      <c r="Q105">
        <f>2.0/((1/S105-1/R105)+SIGN(S105)*SQRT((1/S105-1/R105)*(1/S105-1/R105) + 4*CW105/((CW105+1)*(CW105+1))*(2*1/S105*1/R105-1/R105*1/R105)))</f>
        <v>0</v>
      </c>
      <c r="R105">
        <f>IF(LEFT(CX105,1)&lt;&gt;"0",IF(LEFT(CX105,1)="1",3.0,CY105),$D$5+$E$5*(DP105*DI105/($K$5*1000))+$F$5*(DP105*DI105/($K$5*1000))*MAX(MIN(CV105,$J$5),$I$5)*MAX(MIN(CV105,$J$5),$I$5)+$G$5*MAX(MIN(CV105,$J$5),$I$5)*(DP105*DI105/($K$5*1000))+$H$5*(DP105*DI105/($K$5*1000))*(DP105*DI105/($K$5*1000)))</f>
        <v>0</v>
      </c>
      <c r="S105">
        <f>J105*(1000-(1000*0.61365*exp(17.502*W105/(240.97+W105))/(DI105+DJ105)+DD105)/2)/(1000*0.61365*exp(17.502*W105/(240.97+W105))/(DI105+DJ105)-DD105)</f>
        <v>0</v>
      </c>
      <c r="T105">
        <f>1/((CW105+1)/(Q105/1.6)+1/(R105/1.37)) + CW105/((CW105+1)/(Q105/1.6) + CW105/(R105/1.37))</f>
        <v>0</v>
      </c>
      <c r="U105">
        <f>(CR105*CU105)</f>
        <v>0</v>
      </c>
      <c r="V105">
        <f>(DK105+(U105+2*0.95*5.67E-8*(((DK105+$B$7)+273)^4-(DK105+273)^4)-44100*J105)/(1.84*29.3*R105+8*0.95*5.67E-8*(DK105+273)^3))</f>
        <v>0</v>
      </c>
      <c r="W105">
        <f>($C$7*DL105+$D$7*DM105+$E$7*V105)</f>
        <v>0</v>
      </c>
      <c r="X105">
        <f>0.61365*exp(17.502*W105/(240.97+W105))</f>
        <v>0</v>
      </c>
      <c r="Y105">
        <f>(Z105/AA105*100)</f>
        <v>0</v>
      </c>
      <c r="Z105">
        <f>DD105*(DI105+DJ105)/1000</f>
        <v>0</v>
      </c>
      <c r="AA105">
        <f>0.61365*exp(17.502*DK105/(240.97+DK105))</f>
        <v>0</v>
      </c>
      <c r="AB105">
        <f>(X105-DD105*(DI105+DJ105)/1000)</f>
        <v>0</v>
      </c>
      <c r="AC105">
        <f>(-J105*44100)</f>
        <v>0</v>
      </c>
      <c r="AD105">
        <f>2*29.3*R105*0.92*(DK105-W105)</f>
        <v>0</v>
      </c>
      <c r="AE105">
        <f>2*0.95*5.67E-8*(((DK105+$B$7)+273)^4-(W105+273)^4)</f>
        <v>0</v>
      </c>
      <c r="AF105">
        <f>U105+AE105+AC105+AD105</f>
        <v>0</v>
      </c>
      <c r="AG105">
        <f>DH105*AU105*(DC105-DB105*(1000-AU105*DE105)/(1000-AU105*DD105))/(100*CV105)</f>
        <v>0</v>
      </c>
      <c r="AH105">
        <f>1000*DH105*AU105*(DD105-DE105)/(100*CV105*(1000-AU105*DD105))</f>
        <v>0</v>
      </c>
      <c r="AI105">
        <f>(AJ105 - AK105 - DI105*1E3/(8.314*(DK105+273.15)) * AM105/DH105 * AL105) * DH105/(100*CV105) * (1000 - DE105)/1000</f>
        <v>0</v>
      </c>
      <c r="AJ105">
        <v>409.6578972710823</v>
      </c>
      <c r="AK105">
        <v>385.0070606060606</v>
      </c>
      <c r="AL105">
        <v>-0.0007732141009968034</v>
      </c>
      <c r="AM105">
        <v>66.76036209233605</v>
      </c>
      <c r="AN105">
        <f>(AP105 - AO105 + DI105*1E3/(8.314*(DK105+273.15)) * AR105/DH105 * AQ105) * DH105/(100*CV105) * 1000/(1000 - AP105)</f>
        <v>0</v>
      </c>
      <c r="AO105">
        <v>23.47419878485362</v>
      </c>
      <c r="AP105">
        <v>30.07287636363635</v>
      </c>
      <c r="AQ105">
        <v>-0.006482321166139528</v>
      </c>
      <c r="AR105">
        <v>78.04898784519082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MAX(0,($B$13+$C$13*DP105)/(1+$D$13*DP105)*DI105/(DK105+273)*$E$13)</f>
        <v>0</v>
      </c>
      <c r="AX105" t="s">
        <v>573</v>
      </c>
      <c r="AY105">
        <v>10510</v>
      </c>
      <c r="AZ105">
        <v>590.42</v>
      </c>
      <c r="BA105">
        <v>2650.6</v>
      </c>
      <c r="BB105">
        <f>1-AZ105/BA105</f>
        <v>0</v>
      </c>
      <c r="BC105">
        <v>-1.816883183993991</v>
      </c>
      <c r="BD105" t="s">
        <v>620</v>
      </c>
      <c r="BE105">
        <v>10383</v>
      </c>
      <c r="BF105">
        <v>2.316511538461539</v>
      </c>
      <c r="BG105">
        <v>2.3868</v>
      </c>
      <c r="BH105">
        <f>1-BF105/BG105</f>
        <v>0</v>
      </c>
      <c r="BI105">
        <v>0.5</v>
      </c>
      <c r="BJ105">
        <f>CS105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418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1227</v>
      </c>
      <c r="CA105">
        <v>300</v>
      </c>
      <c r="CB105">
        <v>300</v>
      </c>
      <c r="CC105">
        <v>300</v>
      </c>
      <c r="CD105">
        <v>10383</v>
      </c>
      <c r="CE105">
        <v>1.21</v>
      </c>
      <c r="CF105">
        <v>-0.00732287</v>
      </c>
      <c r="CG105">
        <v>0.9399999999999999</v>
      </c>
      <c r="CH105" t="s">
        <v>418</v>
      </c>
      <c r="CI105" t="s">
        <v>418</v>
      </c>
      <c r="CJ105" t="s">
        <v>418</v>
      </c>
      <c r="CK105" t="s">
        <v>418</v>
      </c>
      <c r="CL105" t="s">
        <v>418</v>
      </c>
      <c r="CM105" t="s">
        <v>418</v>
      </c>
      <c r="CN105" t="s">
        <v>418</v>
      </c>
      <c r="CO105" t="s">
        <v>418</v>
      </c>
      <c r="CP105" t="s">
        <v>418</v>
      </c>
      <c r="CQ105" t="s">
        <v>418</v>
      </c>
      <c r="CR105">
        <f>$B$11*DQ105+$C$11*DR105+$F$11*EC105*(1-EF105)</f>
        <v>0</v>
      </c>
      <c r="CS105">
        <f>CR105*CT105</f>
        <v>0</v>
      </c>
      <c r="CT105">
        <f>($B$11*$D$9+$C$11*$D$9+$F$11*((EP105+EH105)/MAX(EP105+EH105+EQ105, 0.1)*$I$9+EQ105/MAX(EP105+EH105+EQ105, 0.1)*$J$9))/($B$11+$C$11+$F$11)</f>
        <v>0</v>
      </c>
      <c r="CU105">
        <f>($B$11*$K$9+$C$11*$K$9+$F$11*((EP105+EH105)/MAX(EP105+EH105+EQ105, 0.1)*$P$9+EQ105/MAX(EP105+EH105+EQ105, 0.1)*$Q$9))/($B$11+$C$11+$F$11)</f>
        <v>0</v>
      </c>
      <c r="CV105">
        <v>6</v>
      </c>
      <c r="CW105">
        <v>0.5</v>
      </c>
      <c r="CX105" t="s">
        <v>419</v>
      </c>
      <c r="CY105">
        <v>2</v>
      </c>
      <c r="CZ105" t="b">
        <v>1</v>
      </c>
      <c r="DA105">
        <v>1651776368.5</v>
      </c>
      <c r="DB105">
        <v>373.4455454545455</v>
      </c>
      <c r="DC105">
        <v>400.0470909090909</v>
      </c>
      <c r="DD105">
        <v>30.08466363636364</v>
      </c>
      <c r="DE105">
        <v>23.4744</v>
      </c>
      <c r="DF105">
        <v>374.7950909090908</v>
      </c>
      <c r="DG105">
        <v>30.0106090909091</v>
      </c>
      <c r="DH105">
        <v>500.0268181818182</v>
      </c>
      <c r="DI105">
        <v>90.23381818181817</v>
      </c>
      <c r="DJ105">
        <v>0.09981555454545456</v>
      </c>
      <c r="DK105">
        <v>30.60443636363636</v>
      </c>
      <c r="DL105">
        <v>29.76798181818182</v>
      </c>
      <c r="DM105">
        <v>999.9</v>
      </c>
      <c r="DN105">
        <v>0</v>
      </c>
      <c r="DO105">
        <v>0</v>
      </c>
      <c r="DP105">
        <v>10004.19545454545</v>
      </c>
      <c r="DQ105">
        <v>0</v>
      </c>
      <c r="DR105">
        <v>13.25234545454546</v>
      </c>
      <c r="DS105">
        <v>-26.60152727272727</v>
      </c>
      <c r="DT105">
        <v>385.0289090909091</v>
      </c>
      <c r="DU105">
        <v>409.6636363636363</v>
      </c>
      <c r="DV105">
        <v>6.610244545454546</v>
      </c>
      <c r="DW105">
        <v>400.0470909090909</v>
      </c>
      <c r="DX105">
        <v>23.4744</v>
      </c>
      <c r="DY105">
        <v>2.714652727272728</v>
      </c>
      <c r="DZ105">
        <v>2.118185454545455</v>
      </c>
      <c r="EA105">
        <v>22.3741</v>
      </c>
      <c r="EB105">
        <v>18.3566</v>
      </c>
      <c r="EC105">
        <v>1499.975454545455</v>
      </c>
      <c r="ED105">
        <v>0.9729910909090908</v>
      </c>
      <c r="EE105">
        <v>0.02700861818181819</v>
      </c>
      <c r="EF105">
        <v>0</v>
      </c>
      <c r="EG105">
        <v>2.2852</v>
      </c>
      <c r="EH105">
        <v>0</v>
      </c>
      <c r="EI105">
        <v>13469.48181818182</v>
      </c>
      <c r="EJ105">
        <v>12533.15454545455</v>
      </c>
      <c r="EK105">
        <v>37.062</v>
      </c>
      <c r="EL105">
        <v>38.45990909090909</v>
      </c>
      <c r="EM105">
        <v>37.41445454545454</v>
      </c>
      <c r="EN105">
        <v>37.86354545454546</v>
      </c>
      <c r="EO105">
        <v>37</v>
      </c>
      <c r="EP105">
        <v>1459.465454545454</v>
      </c>
      <c r="EQ105">
        <v>40.51</v>
      </c>
      <c r="ER105">
        <v>0</v>
      </c>
      <c r="ES105">
        <v>148.2000000476837</v>
      </c>
      <c r="ET105">
        <v>0</v>
      </c>
      <c r="EU105">
        <v>2.316511538461539</v>
      </c>
      <c r="EV105">
        <v>-0.3663145100974989</v>
      </c>
      <c r="EW105">
        <v>285.7025641911798</v>
      </c>
      <c r="EX105">
        <v>13448.79230769231</v>
      </c>
      <c r="EY105">
        <v>15</v>
      </c>
      <c r="EZ105">
        <v>1651776055</v>
      </c>
      <c r="FA105" t="s">
        <v>608</v>
      </c>
      <c r="FB105">
        <v>1651775686</v>
      </c>
      <c r="FC105">
        <v>1651776055</v>
      </c>
      <c r="FD105">
        <v>5</v>
      </c>
      <c r="FE105">
        <v>-0.02</v>
      </c>
      <c r="FF105">
        <v>0.008999999999999999</v>
      </c>
      <c r="FG105">
        <v>-0.705</v>
      </c>
      <c r="FH105">
        <v>0.021</v>
      </c>
      <c r="FI105">
        <v>0</v>
      </c>
      <c r="FJ105">
        <v>21</v>
      </c>
      <c r="FK105">
        <v>0.28</v>
      </c>
      <c r="FL105">
        <v>0.01</v>
      </c>
      <c r="FM105">
        <v>-26.5360487804878</v>
      </c>
      <c r="FN105">
        <v>-0.6044529616725079</v>
      </c>
      <c r="FO105">
        <v>0.06556268689694536</v>
      </c>
      <c r="FP105">
        <v>0</v>
      </c>
      <c r="FQ105">
        <v>6.536706341463415</v>
      </c>
      <c r="FR105">
        <v>0.5340779790940889</v>
      </c>
      <c r="FS105">
        <v>0.05937751721004961</v>
      </c>
      <c r="FT105">
        <v>0</v>
      </c>
      <c r="FU105">
        <v>0</v>
      </c>
      <c r="FV105">
        <v>0</v>
      </c>
      <c r="FW105">
        <v>0</v>
      </c>
      <c r="FX105">
        <v>1</v>
      </c>
      <c r="FY105">
        <v>1</v>
      </c>
      <c r="FZ105">
        <v>3</v>
      </c>
      <c r="GA105" t="s">
        <v>467</v>
      </c>
      <c r="GB105">
        <v>2.98018</v>
      </c>
      <c r="GC105">
        <v>2.70641</v>
      </c>
      <c r="GD105">
        <v>0.0858694</v>
      </c>
      <c r="GE105">
        <v>0.0894171</v>
      </c>
      <c r="GF105">
        <v>0.124206</v>
      </c>
      <c r="GG105">
        <v>0.103054</v>
      </c>
      <c r="GH105">
        <v>28862.8</v>
      </c>
      <c r="GI105">
        <v>28811.8</v>
      </c>
      <c r="GJ105">
        <v>29359.7</v>
      </c>
      <c r="GK105">
        <v>29271.5</v>
      </c>
      <c r="GL105">
        <v>34032.4</v>
      </c>
      <c r="GM105">
        <v>34951</v>
      </c>
      <c r="GN105">
        <v>41327.2</v>
      </c>
      <c r="GO105">
        <v>41777.2</v>
      </c>
      <c r="GP105">
        <v>1.95392</v>
      </c>
      <c r="GQ105">
        <v>1.85385</v>
      </c>
      <c r="GR105">
        <v>0.0832155</v>
      </c>
      <c r="GS105">
        <v>0</v>
      </c>
      <c r="GT105">
        <v>28.4066</v>
      </c>
      <c r="GU105">
        <v>999.9</v>
      </c>
      <c r="GV105">
        <v>44.4</v>
      </c>
      <c r="GW105">
        <v>34.8</v>
      </c>
      <c r="GX105">
        <v>27.4869</v>
      </c>
      <c r="GY105">
        <v>62.6787</v>
      </c>
      <c r="GZ105">
        <v>35.4728</v>
      </c>
      <c r="HA105">
        <v>1</v>
      </c>
      <c r="HB105">
        <v>0.10549</v>
      </c>
      <c r="HC105">
        <v>0</v>
      </c>
      <c r="HD105">
        <v>20.3469</v>
      </c>
      <c r="HE105">
        <v>5.22283</v>
      </c>
      <c r="HF105">
        <v>12.0098</v>
      </c>
      <c r="HG105">
        <v>4.99055</v>
      </c>
      <c r="HH105">
        <v>3.28963</v>
      </c>
      <c r="HI105">
        <v>577.3</v>
      </c>
      <c r="HJ105">
        <v>4119.3</v>
      </c>
      <c r="HK105">
        <v>4649.3</v>
      </c>
      <c r="HL105">
        <v>18.9</v>
      </c>
      <c r="HM105">
        <v>1.86759</v>
      </c>
      <c r="HN105">
        <v>1.86661</v>
      </c>
      <c r="HO105">
        <v>1.86614</v>
      </c>
      <c r="HP105">
        <v>1.866</v>
      </c>
      <c r="HQ105">
        <v>1.86783</v>
      </c>
      <c r="HR105">
        <v>1.87027</v>
      </c>
      <c r="HS105">
        <v>1.86896</v>
      </c>
      <c r="HT105">
        <v>1.87037</v>
      </c>
      <c r="HU105">
        <v>0</v>
      </c>
      <c r="HV105">
        <v>0</v>
      </c>
      <c r="HW105">
        <v>0</v>
      </c>
      <c r="HX105">
        <v>0</v>
      </c>
      <c r="HY105" t="s">
        <v>422</v>
      </c>
      <c r="HZ105" t="s">
        <v>423</v>
      </c>
      <c r="IA105" t="s">
        <v>424</v>
      </c>
      <c r="IB105" t="s">
        <v>424</v>
      </c>
      <c r="IC105" t="s">
        <v>424</v>
      </c>
      <c r="ID105" t="s">
        <v>424</v>
      </c>
      <c r="IE105">
        <v>0</v>
      </c>
      <c r="IF105">
        <v>100</v>
      </c>
      <c r="IG105">
        <v>100</v>
      </c>
      <c r="IH105">
        <v>-1.35</v>
      </c>
      <c r="II105">
        <v>0.074</v>
      </c>
      <c r="IJ105">
        <v>-0.7030678540346029</v>
      </c>
      <c r="IK105">
        <v>-0.001826611574738555</v>
      </c>
      <c r="IL105">
        <v>3.313362389709971E-07</v>
      </c>
      <c r="IM105">
        <v>-1.629490614973607E-10</v>
      </c>
      <c r="IN105">
        <v>0.07405293535727278</v>
      </c>
      <c r="IO105">
        <v>0</v>
      </c>
      <c r="IP105">
        <v>0</v>
      </c>
      <c r="IQ105">
        <v>0</v>
      </c>
      <c r="IR105">
        <v>3</v>
      </c>
      <c r="IS105">
        <v>2280</v>
      </c>
      <c r="IT105">
        <v>1</v>
      </c>
      <c r="IU105">
        <v>25</v>
      </c>
      <c r="IV105">
        <v>11.4</v>
      </c>
      <c r="IW105">
        <v>5.3</v>
      </c>
      <c r="IX105">
        <v>1.00952</v>
      </c>
      <c r="IY105">
        <v>2.23633</v>
      </c>
      <c r="IZ105">
        <v>1.39648</v>
      </c>
      <c r="JA105">
        <v>2.34985</v>
      </c>
      <c r="JB105">
        <v>1.49536</v>
      </c>
      <c r="JC105">
        <v>2.26196</v>
      </c>
      <c r="JD105">
        <v>38.6733</v>
      </c>
      <c r="JE105">
        <v>24.0525</v>
      </c>
      <c r="JF105">
        <v>18</v>
      </c>
      <c r="JG105">
        <v>511.506</v>
      </c>
      <c r="JH105">
        <v>432.306</v>
      </c>
      <c r="JI105">
        <v>29.7683</v>
      </c>
      <c r="JJ105">
        <v>28.8974</v>
      </c>
      <c r="JK105">
        <v>29.9999</v>
      </c>
      <c r="JL105">
        <v>28.8063</v>
      </c>
      <c r="JM105">
        <v>28.7342</v>
      </c>
      <c r="JN105">
        <v>20.2302</v>
      </c>
      <c r="JO105">
        <v>19.6766</v>
      </c>
      <c r="JP105">
        <v>6.68606</v>
      </c>
      <c r="JQ105">
        <v>-999.9</v>
      </c>
      <c r="JR105">
        <v>400</v>
      </c>
      <c r="JS105">
        <v>23.4025</v>
      </c>
      <c r="JT105">
        <v>100.361</v>
      </c>
      <c r="JU105">
        <v>100.271</v>
      </c>
    </row>
    <row r="106" spans="1:281">
      <c r="A106">
        <v>90</v>
      </c>
      <c r="B106">
        <v>1651776471.5</v>
      </c>
      <c r="C106">
        <v>4593.900000095367</v>
      </c>
      <c r="D106" t="s">
        <v>621</v>
      </c>
      <c r="E106" t="s">
        <v>622</v>
      </c>
      <c r="F106">
        <v>5</v>
      </c>
      <c r="G106" t="s">
        <v>616</v>
      </c>
      <c r="H106" t="s">
        <v>417</v>
      </c>
      <c r="I106">
        <v>1651776468.75</v>
      </c>
      <c r="J106">
        <f>(K106)/1000</f>
        <v>0</v>
      </c>
      <c r="K106">
        <f>IF(CZ106, AN106, AH106)</f>
        <v>0</v>
      </c>
      <c r="L106">
        <f>IF(CZ106, AI106, AG106)</f>
        <v>0</v>
      </c>
      <c r="M106">
        <f>DB106 - IF(AU106&gt;1, L106*CV106*100.0/(AW106*DP106), 0)</f>
        <v>0</v>
      </c>
      <c r="N106">
        <f>((T106-J106/2)*M106-L106)/(T106+J106/2)</f>
        <v>0</v>
      </c>
      <c r="O106">
        <f>N106*(DI106+DJ106)/1000.0</f>
        <v>0</v>
      </c>
      <c r="P106">
        <f>(DB106 - IF(AU106&gt;1, L106*CV106*100.0/(AW106*DP106), 0))*(DI106+DJ106)/1000.0</f>
        <v>0</v>
      </c>
      <c r="Q106">
        <f>2.0/((1/S106-1/R106)+SIGN(S106)*SQRT((1/S106-1/R106)*(1/S106-1/R106) + 4*CW106/((CW106+1)*(CW106+1))*(2*1/S106*1/R106-1/R106*1/R106)))</f>
        <v>0</v>
      </c>
      <c r="R106">
        <f>IF(LEFT(CX106,1)&lt;&gt;"0",IF(LEFT(CX106,1)="1",3.0,CY106),$D$5+$E$5*(DP106*DI106/($K$5*1000))+$F$5*(DP106*DI106/($K$5*1000))*MAX(MIN(CV106,$J$5),$I$5)*MAX(MIN(CV106,$J$5),$I$5)+$G$5*MAX(MIN(CV106,$J$5),$I$5)*(DP106*DI106/($K$5*1000))+$H$5*(DP106*DI106/($K$5*1000))*(DP106*DI106/($K$5*1000)))</f>
        <v>0</v>
      </c>
      <c r="S106">
        <f>J106*(1000-(1000*0.61365*exp(17.502*W106/(240.97+W106))/(DI106+DJ106)+DD106)/2)/(1000*0.61365*exp(17.502*W106/(240.97+W106))/(DI106+DJ106)-DD106)</f>
        <v>0</v>
      </c>
      <c r="T106">
        <f>1/((CW106+1)/(Q106/1.6)+1/(R106/1.37)) + CW106/((CW106+1)/(Q106/1.6) + CW106/(R106/1.37))</f>
        <v>0</v>
      </c>
      <c r="U106">
        <f>(CR106*CU106)</f>
        <v>0</v>
      </c>
      <c r="V106">
        <f>(DK106+(U106+2*0.95*5.67E-8*(((DK106+$B$7)+273)^4-(DK106+273)^4)-44100*J106)/(1.84*29.3*R106+8*0.95*5.67E-8*(DK106+273)^3))</f>
        <v>0</v>
      </c>
      <c r="W106">
        <f>($C$7*DL106+$D$7*DM106+$E$7*V106)</f>
        <v>0</v>
      </c>
      <c r="X106">
        <f>0.61365*exp(17.502*W106/(240.97+W106))</f>
        <v>0</v>
      </c>
      <c r="Y106">
        <f>(Z106/AA106*100)</f>
        <v>0</v>
      </c>
      <c r="Z106">
        <f>DD106*(DI106+DJ106)/1000</f>
        <v>0</v>
      </c>
      <c r="AA106">
        <f>0.61365*exp(17.502*DK106/(240.97+DK106))</f>
        <v>0</v>
      </c>
      <c r="AB106">
        <f>(X106-DD106*(DI106+DJ106)/1000)</f>
        <v>0</v>
      </c>
      <c r="AC106">
        <f>(-J106*44100)</f>
        <v>0</v>
      </c>
      <c r="AD106">
        <f>2*29.3*R106*0.92*(DK106-W106)</f>
        <v>0</v>
      </c>
      <c r="AE106">
        <f>2*0.95*5.67E-8*(((DK106+$B$7)+273)^4-(W106+273)^4)</f>
        <v>0</v>
      </c>
      <c r="AF106">
        <f>U106+AE106+AC106+AD106</f>
        <v>0</v>
      </c>
      <c r="AG106">
        <f>DH106*AU106*(DC106-DB106*(1000-AU106*DE106)/(1000-AU106*DD106))/(100*CV106)</f>
        <v>0</v>
      </c>
      <c r="AH106">
        <f>1000*DH106*AU106*(DD106-DE106)/(100*CV106*(1000-AU106*DD106))</f>
        <v>0</v>
      </c>
      <c r="AI106">
        <f>(AJ106 - AK106 - DI106*1E3/(8.314*(DK106+273.15)) * AM106/DH106 * AL106) * DH106/(100*CV106) * (1000 - DE106)/1000</f>
        <v>0</v>
      </c>
      <c r="AJ106">
        <v>307.0902594591327</v>
      </c>
      <c r="AK106">
        <v>288.4314121212121</v>
      </c>
      <c r="AL106">
        <v>-0.0004295815173005012</v>
      </c>
      <c r="AM106">
        <v>66.76036209233605</v>
      </c>
      <c r="AN106">
        <f>(AP106 - AO106 + DI106*1E3/(8.314*(DK106+273.15)) * AR106/DH106 * AQ106) * DH106/(100*CV106) * 1000/(1000 - AP106)</f>
        <v>0</v>
      </c>
      <c r="AO106">
        <v>23.22210714109388</v>
      </c>
      <c r="AP106">
        <v>30.08264303030301</v>
      </c>
      <c r="AQ106">
        <v>-0.0001144440636531884</v>
      </c>
      <c r="AR106">
        <v>78.04898784519082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MAX(0,($B$13+$C$13*DP106)/(1+$D$13*DP106)*DI106/(DK106+273)*$E$13)</f>
        <v>0</v>
      </c>
      <c r="AX106" t="s">
        <v>573</v>
      </c>
      <c r="AY106">
        <v>10510</v>
      </c>
      <c r="AZ106">
        <v>590.42</v>
      </c>
      <c r="BA106">
        <v>2650.6</v>
      </c>
      <c r="BB106">
        <f>1-AZ106/BA106</f>
        <v>0</v>
      </c>
      <c r="BC106">
        <v>-1.816883183993991</v>
      </c>
      <c r="BD106" t="s">
        <v>623</v>
      </c>
      <c r="BE106">
        <v>10382.7</v>
      </c>
      <c r="BF106">
        <v>2.391344</v>
      </c>
      <c r="BG106">
        <v>3.1012</v>
      </c>
      <c r="BH106">
        <f>1-BF106/BG106</f>
        <v>0</v>
      </c>
      <c r="BI106">
        <v>0.5</v>
      </c>
      <c r="BJ106">
        <f>CS106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418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1228</v>
      </c>
      <c r="CA106">
        <v>300</v>
      </c>
      <c r="CB106">
        <v>300</v>
      </c>
      <c r="CC106">
        <v>300</v>
      </c>
      <c r="CD106">
        <v>10382.7</v>
      </c>
      <c r="CE106">
        <v>1.76</v>
      </c>
      <c r="CF106">
        <v>-0.00732263</v>
      </c>
      <c r="CG106">
        <v>-0.04</v>
      </c>
      <c r="CH106" t="s">
        <v>418</v>
      </c>
      <c r="CI106" t="s">
        <v>418</v>
      </c>
      <c r="CJ106" t="s">
        <v>418</v>
      </c>
      <c r="CK106" t="s">
        <v>418</v>
      </c>
      <c r="CL106" t="s">
        <v>418</v>
      </c>
      <c r="CM106" t="s">
        <v>418</v>
      </c>
      <c r="CN106" t="s">
        <v>418</v>
      </c>
      <c r="CO106" t="s">
        <v>418</v>
      </c>
      <c r="CP106" t="s">
        <v>418</v>
      </c>
      <c r="CQ106" t="s">
        <v>418</v>
      </c>
      <c r="CR106">
        <f>$B$11*DQ106+$C$11*DR106+$F$11*EC106*(1-EF106)</f>
        <v>0</v>
      </c>
      <c r="CS106">
        <f>CR106*CT106</f>
        <v>0</v>
      </c>
      <c r="CT106">
        <f>($B$11*$D$9+$C$11*$D$9+$F$11*((EP106+EH106)/MAX(EP106+EH106+EQ106, 0.1)*$I$9+EQ106/MAX(EP106+EH106+EQ106, 0.1)*$J$9))/($B$11+$C$11+$F$11)</f>
        <v>0</v>
      </c>
      <c r="CU106">
        <f>($B$11*$K$9+$C$11*$K$9+$F$11*((EP106+EH106)/MAX(EP106+EH106+EQ106, 0.1)*$P$9+EQ106/MAX(EP106+EH106+EQ106, 0.1)*$Q$9))/($B$11+$C$11+$F$11)</f>
        <v>0</v>
      </c>
      <c r="CV106">
        <v>6</v>
      </c>
      <c r="CW106">
        <v>0.5</v>
      </c>
      <c r="CX106" t="s">
        <v>419</v>
      </c>
      <c r="CY106">
        <v>2</v>
      </c>
      <c r="CZ106" t="b">
        <v>1</v>
      </c>
      <c r="DA106">
        <v>1651776468.75</v>
      </c>
      <c r="DB106">
        <v>279.7728</v>
      </c>
      <c r="DC106">
        <v>299.9599</v>
      </c>
      <c r="DD106">
        <v>30.08225000000001</v>
      </c>
      <c r="DE106">
        <v>23.22127</v>
      </c>
      <c r="DF106">
        <v>280.9665</v>
      </c>
      <c r="DG106">
        <v>30.00819</v>
      </c>
      <c r="DH106">
        <v>500.0611</v>
      </c>
      <c r="DI106">
        <v>90.22856</v>
      </c>
      <c r="DJ106">
        <v>0.1000174</v>
      </c>
      <c r="DK106">
        <v>30.58891</v>
      </c>
      <c r="DL106">
        <v>29.74603</v>
      </c>
      <c r="DM106">
        <v>999.9</v>
      </c>
      <c r="DN106">
        <v>0</v>
      </c>
      <c r="DO106">
        <v>0</v>
      </c>
      <c r="DP106">
        <v>9999.679</v>
      </c>
      <c r="DQ106">
        <v>0</v>
      </c>
      <c r="DR106">
        <v>13.12279</v>
      </c>
      <c r="DS106">
        <v>-20.18702</v>
      </c>
      <c r="DT106">
        <v>288.4501</v>
      </c>
      <c r="DU106">
        <v>307.0907</v>
      </c>
      <c r="DV106">
        <v>6.860965</v>
      </c>
      <c r="DW106">
        <v>299.9599</v>
      </c>
      <c r="DX106">
        <v>23.22127</v>
      </c>
      <c r="DY106">
        <v>2.714277</v>
      </c>
      <c r="DZ106">
        <v>2.095222</v>
      </c>
      <c r="EA106">
        <v>22.37181</v>
      </c>
      <c r="EB106">
        <v>18.18291</v>
      </c>
      <c r="EC106">
        <v>1499.988</v>
      </c>
      <c r="ED106">
        <v>0.9729912000000001</v>
      </c>
      <c r="EE106">
        <v>0.02700852</v>
      </c>
      <c r="EF106">
        <v>0</v>
      </c>
      <c r="EG106">
        <v>2.257649999999999</v>
      </c>
      <c r="EH106">
        <v>0</v>
      </c>
      <c r="EI106">
        <v>13047.53</v>
      </c>
      <c r="EJ106">
        <v>12533.25</v>
      </c>
      <c r="EK106">
        <v>37.0372</v>
      </c>
      <c r="EL106">
        <v>38.437</v>
      </c>
      <c r="EM106">
        <v>37.375</v>
      </c>
      <c r="EN106">
        <v>37.7872</v>
      </c>
      <c r="EO106">
        <v>36.937</v>
      </c>
      <c r="EP106">
        <v>1459.478</v>
      </c>
      <c r="EQ106">
        <v>40.51</v>
      </c>
      <c r="ER106">
        <v>0</v>
      </c>
      <c r="ES106">
        <v>99.59999990463257</v>
      </c>
      <c r="ET106">
        <v>0</v>
      </c>
      <c r="EU106">
        <v>2.391344</v>
      </c>
      <c r="EV106">
        <v>-1.10488461357595</v>
      </c>
      <c r="EW106">
        <v>174.8307694405451</v>
      </c>
      <c r="EX106">
        <v>13035.24</v>
      </c>
      <c r="EY106">
        <v>15</v>
      </c>
      <c r="EZ106">
        <v>1651776055</v>
      </c>
      <c r="FA106" t="s">
        <v>608</v>
      </c>
      <c r="FB106">
        <v>1651775686</v>
      </c>
      <c r="FC106">
        <v>1651776055</v>
      </c>
      <c r="FD106">
        <v>5</v>
      </c>
      <c r="FE106">
        <v>-0.02</v>
      </c>
      <c r="FF106">
        <v>0.008999999999999999</v>
      </c>
      <c r="FG106">
        <v>-0.705</v>
      </c>
      <c r="FH106">
        <v>0.021</v>
      </c>
      <c r="FI106">
        <v>0</v>
      </c>
      <c r="FJ106">
        <v>21</v>
      </c>
      <c r="FK106">
        <v>0.28</v>
      </c>
      <c r="FL106">
        <v>0.01</v>
      </c>
      <c r="FM106">
        <v>-20.180045</v>
      </c>
      <c r="FN106">
        <v>0.04735609756096812</v>
      </c>
      <c r="FO106">
        <v>0.0184659950991003</v>
      </c>
      <c r="FP106">
        <v>1</v>
      </c>
      <c r="FQ106">
        <v>6.829449249999999</v>
      </c>
      <c r="FR106">
        <v>0.2117078048780391</v>
      </c>
      <c r="FS106">
        <v>0.02088684482964092</v>
      </c>
      <c r="FT106">
        <v>1</v>
      </c>
      <c r="FU106">
        <v>0</v>
      </c>
      <c r="FV106">
        <v>0</v>
      </c>
      <c r="FW106">
        <v>0</v>
      </c>
      <c r="FX106">
        <v>1</v>
      </c>
      <c r="FY106">
        <v>3</v>
      </c>
      <c r="FZ106">
        <v>3</v>
      </c>
      <c r="GA106" t="s">
        <v>581</v>
      </c>
      <c r="GB106">
        <v>2.98032</v>
      </c>
      <c r="GC106">
        <v>2.70615</v>
      </c>
      <c r="GD106">
        <v>0.0680385</v>
      </c>
      <c r="GE106">
        <v>0.0711277</v>
      </c>
      <c r="GF106">
        <v>0.124241</v>
      </c>
      <c r="GG106">
        <v>0.102283</v>
      </c>
      <c r="GH106">
        <v>29427.8</v>
      </c>
      <c r="GI106">
        <v>29391.7</v>
      </c>
      <c r="GJ106">
        <v>29361.3</v>
      </c>
      <c r="GK106">
        <v>29272.4</v>
      </c>
      <c r="GL106">
        <v>34032.7</v>
      </c>
      <c r="GM106">
        <v>34982.8</v>
      </c>
      <c r="GN106">
        <v>41329.9</v>
      </c>
      <c r="GO106">
        <v>41779.3</v>
      </c>
      <c r="GP106">
        <v>1.95485</v>
      </c>
      <c r="GQ106">
        <v>1.8541</v>
      </c>
      <c r="GR106">
        <v>0.081867</v>
      </c>
      <c r="GS106">
        <v>0</v>
      </c>
      <c r="GT106">
        <v>28.4134</v>
      </c>
      <c r="GU106">
        <v>999.9</v>
      </c>
      <c r="GV106">
        <v>44.3</v>
      </c>
      <c r="GW106">
        <v>34.8</v>
      </c>
      <c r="GX106">
        <v>27.4265</v>
      </c>
      <c r="GY106">
        <v>62.6087</v>
      </c>
      <c r="GZ106">
        <v>35.7492</v>
      </c>
      <c r="HA106">
        <v>1</v>
      </c>
      <c r="HB106">
        <v>0.101801</v>
      </c>
      <c r="HC106">
        <v>0</v>
      </c>
      <c r="HD106">
        <v>20.3473</v>
      </c>
      <c r="HE106">
        <v>5.22343</v>
      </c>
      <c r="HF106">
        <v>12.0099</v>
      </c>
      <c r="HG106">
        <v>4.9901</v>
      </c>
      <c r="HH106">
        <v>3.29</v>
      </c>
      <c r="HI106">
        <v>579.3</v>
      </c>
      <c r="HJ106">
        <v>4128.2</v>
      </c>
      <c r="HK106">
        <v>4654.8</v>
      </c>
      <c r="HL106">
        <v>18.9</v>
      </c>
      <c r="HM106">
        <v>1.86762</v>
      </c>
      <c r="HN106">
        <v>1.86661</v>
      </c>
      <c r="HO106">
        <v>1.86613</v>
      </c>
      <c r="HP106">
        <v>1.866</v>
      </c>
      <c r="HQ106">
        <v>1.86783</v>
      </c>
      <c r="HR106">
        <v>1.87027</v>
      </c>
      <c r="HS106">
        <v>1.86894</v>
      </c>
      <c r="HT106">
        <v>1.87035</v>
      </c>
      <c r="HU106">
        <v>0</v>
      </c>
      <c r="HV106">
        <v>0</v>
      </c>
      <c r="HW106">
        <v>0</v>
      </c>
      <c r="HX106">
        <v>0</v>
      </c>
      <c r="HY106" t="s">
        <v>422</v>
      </c>
      <c r="HZ106" t="s">
        <v>423</v>
      </c>
      <c r="IA106" t="s">
        <v>424</v>
      </c>
      <c r="IB106" t="s">
        <v>424</v>
      </c>
      <c r="IC106" t="s">
        <v>424</v>
      </c>
      <c r="ID106" t="s">
        <v>424</v>
      </c>
      <c r="IE106">
        <v>0</v>
      </c>
      <c r="IF106">
        <v>100</v>
      </c>
      <c r="IG106">
        <v>100</v>
      </c>
      <c r="IH106">
        <v>-1.194</v>
      </c>
      <c r="II106">
        <v>0.074</v>
      </c>
      <c r="IJ106">
        <v>-0.7030678540346029</v>
      </c>
      <c r="IK106">
        <v>-0.001826611574738555</v>
      </c>
      <c r="IL106">
        <v>3.313362389709971E-07</v>
      </c>
      <c r="IM106">
        <v>-1.629490614973607E-10</v>
      </c>
      <c r="IN106">
        <v>0.07405293535727278</v>
      </c>
      <c r="IO106">
        <v>0</v>
      </c>
      <c r="IP106">
        <v>0</v>
      </c>
      <c r="IQ106">
        <v>0</v>
      </c>
      <c r="IR106">
        <v>3</v>
      </c>
      <c r="IS106">
        <v>2280</v>
      </c>
      <c r="IT106">
        <v>1</v>
      </c>
      <c r="IU106">
        <v>25</v>
      </c>
      <c r="IV106">
        <v>13.1</v>
      </c>
      <c r="IW106">
        <v>6.9</v>
      </c>
      <c r="IX106">
        <v>0.805664</v>
      </c>
      <c r="IY106">
        <v>2.23511</v>
      </c>
      <c r="IZ106">
        <v>1.39648</v>
      </c>
      <c r="JA106">
        <v>2.35229</v>
      </c>
      <c r="JB106">
        <v>1.49536</v>
      </c>
      <c r="JC106">
        <v>2.34985</v>
      </c>
      <c r="JD106">
        <v>38.6487</v>
      </c>
      <c r="JE106">
        <v>24.0525</v>
      </c>
      <c r="JF106">
        <v>18</v>
      </c>
      <c r="JG106">
        <v>511.666</v>
      </c>
      <c r="JH106">
        <v>432.07</v>
      </c>
      <c r="JI106">
        <v>29.7453</v>
      </c>
      <c r="JJ106">
        <v>28.8455</v>
      </c>
      <c r="JK106">
        <v>29.9999</v>
      </c>
      <c r="JL106">
        <v>28.7535</v>
      </c>
      <c r="JM106">
        <v>28.6813</v>
      </c>
      <c r="JN106">
        <v>16.148</v>
      </c>
      <c r="JO106">
        <v>20.0839</v>
      </c>
      <c r="JP106">
        <v>7.4313</v>
      </c>
      <c r="JQ106">
        <v>-999.9</v>
      </c>
      <c r="JR106">
        <v>300</v>
      </c>
      <c r="JS106">
        <v>23.236</v>
      </c>
      <c r="JT106">
        <v>100.367</v>
      </c>
      <c r="JU106">
        <v>100.275</v>
      </c>
    </row>
    <row r="107" spans="1:281">
      <c r="A107">
        <v>91</v>
      </c>
      <c r="B107">
        <v>1651776555</v>
      </c>
      <c r="C107">
        <v>4677.400000095367</v>
      </c>
      <c r="D107" t="s">
        <v>624</v>
      </c>
      <c r="E107" t="s">
        <v>625</v>
      </c>
      <c r="F107">
        <v>5</v>
      </c>
      <c r="G107" t="s">
        <v>616</v>
      </c>
      <c r="H107" t="s">
        <v>417</v>
      </c>
      <c r="I107">
        <v>1651776552</v>
      </c>
      <c r="J107">
        <f>(K107)/1000</f>
        <v>0</v>
      </c>
      <c r="K107">
        <f>IF(CZ107, AN107, AH107)</f>
        <v>0</v>
      </c>
      <c r="L107">
        <f>IF(CZ107, AI107, AG107)</f>
        <v>0</v>
      </c>
      <c r="M107">
        <f>DB107 - IF(AU107&gt;1, L107*CV107*100.0/(AW107*DP107), 0)</f>
        <v>0</v>
      </c>
      <c r="N107">
        <f>((T107-J107/2)*M107-L107)/(T107+J107/2)</f>
        <v>0</v>
      </c>
      <c r="O107">
        <f>N107*(DI107+DJ107)/1000.0</f>
        <v>0</v>
      </c>
      <c r="P107">
        <f>(DB107 - IF(AU107&gt;1, L107*CV107*100.0/(AW107*DP107), 0))*(DI107+DJ107)/1000.0</f>
        <v>0</v>
      </c>
      <c r="Q107">
        <f>2.0/((1/S107-1/R107)+SIGN(S107)*SQRT((1/S107-1/R107)*(1/S107-1/R107) + 4*CW107/((CW107+1)*(CW107+1))*(2*1/S107*1/R107-1/R107*1/R107)))</f>
        <v>0</v>
      </c>
      <c r="R107">
        <f>IF(LEFT(CX107,1)&lt;&gt;"0",IF(LEFT(CX107,1)="1",3.0,CY107),$D$5+$E$5*(DP107*DI107/($K$5*1000))+$F$5*(DP107*DI107/($K$5*1000))*MAX(MIN(CV107,$J$5),$I$5)*MAX(MIN(CV107,$J$5),$I$5)+$G$5*MAX(MIN(CV107,$J$5),$I$5)*(DP107*DI107/($K$5*1000))+$H$5*(DP107*DI107/($K$5*1000))*(DP107*DI107/($K$5*1000)))</f>
        <v>0</v>
      </c>
      <c r="S107">
        <f>J107*(1000-(1000*0.61365*exp(17.502*W107/(240.97+W107))/(DI107+DJ107)+DD107)/2)/(1000*0.61365*exp(17.502*W107/(240.97+W107))/(DI107+DJ107)-DD107)</f>
        <v>0</v>
      </c>
      <c r="T107">
        <f>1/((CW107+1)/(Q107/1.6)+1/(R107/1.37)) + CW107/((CW107+1)/(Q107/1.6) + CW107/(R107/1.37))</f>
        <v>0</v>
      </c>
      <c r="U107">
        <f>(CR107*CU107)</f>
        <v>0</v>
      </c>
      <c r="V107">
        <f>(DK107+(U107+2*0.95*5.67E-8*(((DK107+$B$7)+273)^4-(DK107+273)^4)-44100*J107)/(1.84*29.3*R107+8*0.95*5.67E-8*(DK107+273)^3))</f>
        <v>0</v>
      </c>
      <c r="W107">
        <f>($C$7*DL107+$D$7*DM107+$E$7*V107)</f>
        <v>0</v>
      </c>
      <c r="X107">
        <f>0.61365*exp(17.502*W107/(240.97+W107))</f>
        <v>0</v>
      </c>
      <c r="Y107">
        <f>(Z107/AA107*100)</f>
        <v>0</v>
      </c>
      <c r="Z107">
        <f>DD107*(DI107+DJ107)/1000</f>
        <v>0</v>
      </c>
      <c r="AA107">
        <f>0.61365*exp(17.502*DK107/(240.97+DK107))</f>
        <v>0</v>
      </c>
      <c r="AB107">
        <f>(X107-DD107*(DI107+DJ107)/1000)</f>
        <v>0</v>
      </c>
      <c r="AC107">
        <f>(-J107*44100)</f>
        <v>0</v>
      </c>
      <c r="AD107">
        <f>2*29.3*R107*0.92*(DK107-W107)</f>
        <v>0</v>
      </c>
      <c r="AE107">
        <f>2*0.95*5.67E-8*(((DK107+$B$7)+273)^4-(W107+273)^4)</f>
        <v>0</v>
      </c>
      <c r="AF107">
        <f>U107+AE107+AC107+AD107</f>
        <v>0</v>
      </c>
      <c r="AG107">
        <f>DH107*AU107*(DC107-DB107*(1000-AU107*DE107)/(1000-AU107*DD107))/(100*CV107)</f>
        <v>0</v>
      </c>
      <c r="AH107">
        <f>1000*DH107*AU107*(DD107-DE107)/(100*CV107*(1000-AU107*DD107))</f>
        <v>0</v>
      </c>
      <c r="AI107">
        <f>(AJ107 - AK107 - DI107*1E3/(8.314*(DK107+273.15)) * AM107/DH107 * AL107) * DH107/(100*CV107) * (1000 - DE107)/1000</f>
        <v>0</v>
      </c>
      <c r="AJ107">
        <v>204.6529969052604</v>
      </c>
      <c r="AK107">
        <v>193.3399393939394</v>
      </c>
      <c r="AL107">
        <v>-0.0003684639023746469</v>
      </c>
      <c r="AM107">
        <v>66.76036209233605</v>
      </c>
      <c r="AN107">
        <f>(AP107 - AO107 + DI107*1E3/(8.314*(DK107+273.15)) * AR107/DH107 * AQ107) * DH107/(100*CV107) * 1000/(1000 - AP107)</f>
        <v>0</v>
      </c>
      <c r="AO107">
        <v>22.81872725902153</v>
      </c>
      <c r="AP107">
        <v>29.97838242424242</v>
      </c>
      <c r="AQ107">
        <v>1.901500659400579E-05</v>
      </c>
      <c r="AR107">
        <v>78.04898784519082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MAX(0,($B$13+$C$13*DP107)/(1+$D$13*DP107)*DI107/(DK107+273)*$E$13)</f>
        <v>0</v>
      </c>
      <c r="AX107" t="s">
        <v>418</v>
      </c>
      <c r="AY107" t="s">
        <v>418</v>
      </c>
      <c r="AZ107">
        <v>0</v>
      </c>
      <c r="BA107">
        <v>0</v>
      </c>
      <c r="BB107">
        <f>1-AZ107/BA107</f>
        <v>0</v>
      </c>
      <c r="BC107">
        <v>0</v>
      </c>
      <c r="BD107" t="s">
        <v>418</v>
      </c>
      <c r="BE107" t="s">
        <v>418</v>
      </c>
      <c r="BF107">
        <v>0</v>
      </c>
      <c r="BG107">
        <v>0</v>
      </c>
      <c r="BH107">
        <f>1-BF107/BG107</f>
        <v>0</v>
      </c>
      <c r="BI107">
        <v>0.5</v>
      </c>
      <c r="BJ107">
        <f>CS107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418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1228</v>
      </c>
      <c r="CA107">
        <v>300</v>
      </c>
      <c r="CB107">
        <v>300</v>
      </c>
      <c r="CC107">
        <v>300</v>
      </c>
      <c r="CD107">
        <v>10382.7</v>
      </c>
      <c r="CE107">
        <v>1.76</v>
      </c>
      <c r="CF107">
        <v>-0.00732263</v>
      </c>
      <c r="CG107">
        <v>-0.04</v>
      </c>
      <c r="CH107" t="s">
        <v>418</v>
      </c>
      <c r="CI107" t="s">
        <v>418</v>
      </c>
      <c r="CJ107" t="s">
        <v>418</v>
      </c>
      <c r="CK107" t="s">
        <v>418</v>
      </c>
      <c r="CL107" t="s">
        <v>418</v>
      </c>
      <c r="CM107" t="s">
        <v>418</v>
      </c>
      <c r="CN107" t="s">
        <v>418</v>
      </c>
      <c r="CO107" t="s">
        <v>418</v>
      </c>
      <c r="CP107" t="s">
        <v>418</v>
      </c>
      <c r="CQ107" t="s">
        <v>418</v>
      </c>
      <c r="CR107">
        <f>$B$11*DQ107+$C$11*DR107+$F$11*EC107*(1-EF107)</f>
        <v>0</v>
      </c>
      <c r="CS107">
        <f>CR107*CT107</f>
        <v>0</v>
      </c>
      <c r="CT107">
        <f>($B$11*$D$9+$C$11*$D$9+$F$11*((EP107+EH107)/MAX(EP107+EH107+EQ107, 0.1)*$I$9+EQ107/MAX(EP107+EH107+EQ107, 0.1)*$J$9))/($B$11+$C$11+$F$11)</f>
        <v>0</v>
      </c>
      <c r="CU107">
        <f>($B$11*$K$9+$C$11*$K$9+$F$11*((EP107+EH107)/MAX(EP107+EH107+EQ107, 0.1)*$P$9+EQ107/MAX(EP107+EH107+EQ107, 0.1)*$Q$9))/($B$11+$C$11+$F$11)</f>
        <v>0</v>
      </c>
      <c r="CV107">
        <v>6</v>
      </c>
      <c r="CW107">
        <v>0.5</v>
      </c>
      <c r="CX107" t="s">
        <v>419</v>
      </c>
      <c r="CY107">
        <v>2</v>
      </c>
      <c r="CZ107" t="b">
        <v>1</v>
      </c>
      <c r="DA107">
        <v>1651776552</v>
      </c>
      <c r="DB107">
        <v>187.5536363636364</v>
      </c>
      <c r="DC107">
        <v>199.9883636363636</v>
      </c>
      <c r="DD107">
        <v>29.97373636363636</v>
      </c>
      <c r="DE107">
        <v>22.81829090909091</v>
      </c>
      <c r="DF107">
        <v>188.5903636363637</v>
      </c>
      <c r="DG107">
        <v>29.89968181818182</v>
      </c>
      <c r="DH107">
        <v>500.0284545454546</v>
      </c>
      <c r="DI107">
        <v>90.22996363636364</v>
      </c>
      <c r="DJ107">
        <v>0.09984447272727272</v>
      </c>
      <c r="DK107">
        <v>30.58884545454546</v>
      </c>
      <c r="DL107">
        <v>29.73126363636364</v>
      </c>
      <c r="DM107">
        <v>999.9</v>
      </c>
      <c r="DN107">
        <v>0</v>
      </c>
      <c r="DO107">
        <v>0</v>
      </c>
      <c r="DP107">
        <v>10007.95</v>
      </c>
      <c r="DQ107">
        <v>0</v>
      </c>
      <c r="DR107">
        <v>13.265</v>
      </c>
      <c r="DS107">
        <v>-12.43483636363636</v>
      </c>
      <c r="DT107">
        <v>193.3489090909091</v>
      </c>
      <c r="DU107">
        <v>204.6584545454545</v>
      </c>
      <c r="DV107">
        <v>7.155443636363636</v>
      </c>
      <c r="DW107">
        <v>199.9883636363636</v>
      </c>
      <c r="DX107">
        <v>22.81829090909091</v>
      </c>
      <c r="DY107">
        <v>2.70453</v>
      </c>
      <c r="DZ107">
        <v>2.058894545454546</v>
      </c>
      <c r="EA107">
        <v>22.31265454545455</v>
      </c>
      <c r="EB107">
        <v>17.90465454545454</v>
      </c>
      <c r="EC107">
        <v>1500.019090909091</v>
      </c>
      <c r="ED107">
        <v>0.9729921818181816</v>
      </c>
      <c r="EE107">
        <v>0.02700763636363637</v>
      </c>
      <c r="EF107">
        <v>0</v>
      </c>
      <c r="EG107">
        <v>2.392745454545455</v>
      </c>
      <c r="EH107">
        <v>0</v>
      </c>
      <c r="EI107">
        <v>12436.11818181818</v>
      </c>
      <c r="EJ107">
        <v>12533.50909090909</v>
      </c>
      <c r="EK107">
        <v>37</v>
      </c>
      <c r="EL107">
        <v>38.40881818181818</v>
      </c>
      <c r="EM107">
        <v>37.375</v>
      </c>
      <c r="EN107">
        <v>37.75</v>
      </c>
      <c r="EO107">
        <v>36.937</v>
      </c>
      <c r="EP107">
        <v>1459.508181818182</v>
      </c>
      <c r="EQ107">
        <v>40.51090909090909</v>
      </c>
      <c r="ER107">
        <v>0</v>
      </c>
      <c r="ES107">
        <v>82.80000019073486</v>
      </c>
      <c r="ET107">
        <v>0</v>
      </c>
      <c r="EU107">
        <v>2.399307692307692</v>
      </c>
      <c r="EV107">
        <v>-0.2693948676341045</v>
      </c>
      <c r="EW107">
        <v>15.57948721203529</v>
      </c>
      <c r="EX107">
        <v>12434.60384615384</v>
      </c>
      <c r="EY107">
        <v>15</v>
      </c>
      <c r="EZ107">
        <v>1651776055</v>
      </c>
      <c r="FA107" t="s">
        <v>608</v>
      </c>
      <c r="FB107">
        <v>1651775686</v>
      </c>
      <c r="FC107">
        <v>1651776055</v>
      </c>
      <c r="FD107">
        <v>5</v>
      </c>
      <c r="FE107">
        <v>-0.02</v>
      </c>
      <c r="FF107">
        <v>0.008999999999999999</v>
      </c>
      <c r="FG107">
        <v>-0.705</v>
      </c>
      <c r="FH107">
        <v>0.021</v>
      </c>
      <c r="FI107">
        <v>0</v>
      </c>
      <c r="FJ107">
        <v>21</v>
      </c>
      <c r="FK107">
        <v>0.28</v>
      </c>
      <c r="FL107">
        <v>0.01</v>
      </c>
      <c r="FM107">
        <v>-12.43116585365854</v>
      </c>
      <c r="FN107">
        <v>-0.09668989547039131</v>
      </c>
      <c r="FO107">
        <v>0.04314917747714535</v>
      </c>
      <c r="FP107">
        <v>1</v>
      </c>
      <c r="FQ107">
        <v>7.141846097560975</v>
      </c>
      <c r="FR107">
        <v>0.1012494773519268</v>
      </c>
      <c r="FS107">
        <v>0.01009897263020366</v>
      </c>
      <c r="FT107">
        <v>1</v>
      </c>
      <c r="FU107">
        <v>0</v>
      </c>
      <c r="FV107">
        <v>0</v>
      </c>
      <c r="FW107">
        <v>0</v>
      </c>
      <c r="FX107">
        <v>1</v>
      </c>
      <c r="FY107">
        <v>3</v>
      </c>
      <c r="FZ107">
        <v>3</v>
      </c>
      <c r="GA107" t="s">
        <v>581</v>
      </c>
      <c r="GB107">
        <v>2.98028</v>
      </c>
      <c r="GC107">
        <v>2.70627</v>
      </c>
      <c r="GD107">
        <v>0.0481145</v>
      </c>
      <c r="GE107">
        <v>0.0502406</v>
      </c>
      <c r="GF107">
        <v>0.123964</v>
      </c>
      <c r="GG107">
        <v>0.101065</v>
      </c>
      <c r="GH107">
        <v>30058.5</v>
      </c>
      <c r="GI107">
        <v>30053.8</v>
      </c>
      <c r="GJ107">
        <v>29362.5</v>
      </c>
      <c r="GK107">
        <v>29273.3</v>
      </c>
      <c r="GL107">
        <v>34044.8</v>
      </c>
      <c r="GM107">
        <v>35031.5</v>
      </c>
      <c r="GN107">
        <v>41332</v>
      </c>
      <c r="GO107">
        <v>41780.4</v>
      </c>
      <c r="GP107">
        <v>1.9556</v>
      </c>
      <c r="GQ107">
        <v>1.85385</v>
      </c>
      <c r="GR107">
        <v>0.0777468</v>
      </c>
      <c r="GS107">
        <v>0</v>
      </c>
      <c r="GT107">
        <v>28.469</v>
      </c>
      <c r="GU107">
        <v>999.9</v>
      </c>
      <c r="GV107">
        <v>44.3</v>
      </c>
      <c r="GW107">
        <v>34.8</v>
      </c>
      <c r="GX107">
        <v>27.4262</v>
      </c>
      <c r="GY107">
        <v>62.6987</v>
      </c>
      <c r="GZ107">
        <v>35.9135</v>
      </c>
      <c r="HA107">
        <v>1</v>
      </c>
      <c r="HB107">
        <v>0.0987932</v>
      </c>
      <c r="HC107">
        <v>0</v>
      </c>
      <c r="HD107">
        <v>20.3473</v>
      </c>
      <c r="HE107">
        <v>5.22523</v>
      </c>
      <c r="HF107">
        <v>12.0099</v>
      </c>
      <c r="HG107">
        <v>4.99135</v>
      </c>
      <c r="HH107">
        <v>3.29</v>
      </c>
      <c r="HI107">
        <v>581</v>
      </c>
      <c r="HJ107">
        <v>4136.4</v>
      </c>
      <c r="HK107">
        <v>4659.9</v>
      </c>
      <c r="HL107">
        <v>19</v>
      </c>
      <c r="HM107">
        <v>1.86762</v>
      </c>
      <c r="HN107">
        <v>1.86661</v>
      </c>
      <c r="HO107">
        <v>1.86614</v>
      </c>
      <c r="HP107">
        <v>1.866</v>
      </c>
      <c r="HQ107">
        <v>1.86783</v>
      </c>
      <c r="HR107">
        <v>1.87031</v>
      </c>
      <c r="HS107">
        <v>1.869</v>
      </c>
      <c r="HT107">
        <v>1.87034</v>
      </c>
      <c r="HU107">
        <v>0</v>
      </c>
      <c r="HV107">
        <v>0</v>
      </c>
      <c r="HW107">
        <v>0</v>
      </c>
      <c r="HX107">
        <v>0</v>
      </c>
      <c r="HY107" t="s">
        <v>422</v>
      </c>
      <c r="HZ107" t="s">
        <v>423</v>
      </c>
      <c r="IA107" t="s">
        <v>424</v>
      </c>
      <c r="IB107" t="s">
        <v>424</v>
      </c>
      <c r="IC107" t="s">
        <v>424</v>
      </c>
      <c r="ID107" t="s">
        <v>424</v>
      </c>
      <c r="IE107">
        <v>0</v>
      </c>
      <c r="IF107">
        <v>100</v>
      </c>
      <c r="IG107">
        <v>100</v>
      </c>
      <c r="IH107">
        <v>-1.036</v>
      </c>
      <c r="II107">
        <v>0.0741</v>
      </c>
      <c r="IJ107">
        <v>-0.7030678540346029</v>
      </c>
      <c r="IK107">
        <v>-0.001826611574738555</v>
      </c>
      <c r="IL107">
        <v>3.313362389709971E-07</v>
      </c>
      <c r="IM107">
        <v>-1.629490614973607E-10</v>
      </c>
      <c r="IN107">
        <v>0.07405293535727278</v>
      </c>
      <c r="IO107">
        <v>0</v>
      </c>
      <c r="IP107">
        <v>0</v>
      </c>
      <c r="IQ107">
        <v>0</v>
      </c>
      <c r="IR107">
        <v>3</v>
      </c>
      <c r="IS107">
        <v>2280</v>
      </c>
      <c r="IT107">
        <v>1</v>
      </c>
      <c r="IU107">
        <v>25</v>
      </c>
      <c r="IV107">
        <v>14.5</v>
      </c>
      <c r="IW107">
        <v>8.300000000000001</v>
      </c>
      <c r="IX107">
        <v>0.592041</v>
      </c>
      <c r="IY107">
        <v>2.24731</v>
      </c>
      <c r="IZ107">
        <v>1.39648</v>
      </c>
      <c r="JA107">
        <v>2.35107</v>
      </c>
      <c r="JB107">
        <v>1.49536</v>
      </c>
      <c r="JC107">
        <v>2.36328</v>
      </c>
      <c r="JD107">
        <v>38.6241</v>
      </c>
      <c r="JE107">
        <v>24.0612</v>
      </c>
      <c r="JF107">
        <v>18</v>
      </c>
      <c r="JG107">
        <v>511.777</v>
      </c>
      <c r="JH107">
        <v>431.589</v>
      </c>
      <c r="JI107">
        <v>29.7321</v>
      </c>
      <c r="JJ107">
        <v>28.8014</v>
      </c>
      <c r="JK107">
        <v>29.9999</v>
      </c>
      <c r="JL107">
        <v>28.7086</v>
      </c>
      <c r="JM107">
        <v>28.6361</v>
      </c>
      <c r="JN107">
        <v>11.8409</v>
      </c>
      <c r="JO107">
        <v>21.3564</v>
      </c>
      <c r="JP107">
        <v>7.4313</v>
      </c>
      <c r="JQ107">
        <v>-999.9</v>
      </c>
      <c r="JR107">
        <v>200</v>
      </c>
      <c r="JS107">
        <v>22.7807</v>
      </c>
      <c r="JT107">
        <v>100.371</v>
      </c>
      <c r="JU107">
        <v>100.278</v>
      </c>
    </row>
    <row r="108" spans="1:281">
      <c r="A108">
        <v>92</v>
      </c>
      <c r="B108">
        <v>1651776665</v>
      </c>
      <c r="C108">
        <v>4787.400000095367</v>
      </c>
      <c r="D108" t="s">
        <v>626</v>
      </c>
      <c r="E108" t="s">
        <v>627</v>
      </c>
      <c r="F108">
        <v>5</v>
      </c>
      <c r="G108" t="s">
        <v>616</v>
      </c>
      <c r="H108" t="s">
        <v>417</v>
      </c>
      <c r="I108">
        <v>1651776662</v>
      </c>
      <c r="J108">
        <f>(K108)/1000</f>
        <v>0</v>
      </c>
      <c r="K108">
        <f>IF(CZ108, AN108, AH108)</f>
        <v>0</v>
      </c>
      <c r="L108">
        <f>IF(CZ108, AI108, AG108)</f>
        <v>0</v>
      </c>
      <c r="M108">
        <f>DB108 - IF(AU108&gt;1, L108*CV108*100.0/(AW108*DP108), 0)</f>
        <v>0</v>
      </c>
      <c r="N108">
        <f>((T108-J108/2)*M108-L108)/(T108+J108/2)</f>
        <v>0</v>
      </c>
      <c r="O108">
        <f>N108*(DI108+DJ108)/1000.0</f>
        <v>0</v>
      </c>
      <c r="P108">
        <f>(DB108 - IF(AU108&gt;1, L108*CV108*100.0/(AW108*DP108), 0))*(DI108+DJ108)/1000.0</f>
        <v>0</v>
      </c>
      <c r="Q108">
        <f>2.0/((1/S108-1/R108)+SIGN(S108)*SQRT((1/S108-1/R108)*(1/S108-1/R108) + 4*CW108/((CW108+1)*(CW108+1))*(2*1/S108*1/R108-1/R108*1/R108)))</f>
        <v>0</v>
      </c>
      <c r="R108">
        <f>IF(LEFT(CX108,1)&lt;&gt;"0",IF(LEFT(CX108,1)="1",3.0,CY108),$D$5+$E$5*(DP108*DI108/($K$5*1000))+$F$5*(DP108*DI108/($K$5*1000))*MAX(MIN(CV108,$J$5),$I$5)*MAX(MIN(CV108,$J$5),$I$5)+$G$5*MAX(MIN(CV108,$J$5),$I$5)*(DP108*DI108/($K$5*1000))+$H$5*(DP108*DI108/($K$5*1000))*(DP108*DI108/($K$5*1000)))</f>
        <v>0</v>
      </c>
      <c r="S108">
        <f>J108*(1000-(1000*0.61365*exp(17.502*W108/(240.97+W108))/(DI108+DJ108)+DD108)/2)/(1000*0.61365*exp(17.502*W108/(240.97+W108))/(DI108+DJ108)-DD108)</f>
        <v>0</v>
      </c>
      <c r="T108">
        <f>1/((CW108+1)/(Q108/1.6)+1/(R108/1.37)) + CW108/((CW108+1)/(Q108/1.6) + CW108/(R108/1.37))</f>
        <v>0</v>
      </c>
      <c r="U108">
        <f>(CR108*CU108)</f>
        <v>0</v>
      </c>
      <c r="V108">
        <f>(DK108+(U108+2*0.95*5.67E-8*(((DK108+$B$7)+273)^4-(DK108+273)^4)-44100*J108)/(1.84*29.3*R108+8*0.95*5.67E-8*(DK108+273)^3))</f>
        <v>0</v>
      </c>
      <c r="W108">
        <f>($C$7*DL108+$D$7*DM108+$E$7*V108)</f>
        <v>0</v>
      </c>
      <c r="X108">
        <f>0.61365*exp(17.502*W108/(240.97+W108))</f>
        <v>0</v>
      </c>
      <c r="Y108">
        <f>(Z108/AA108*100)</f>
        <v>0</v>
      </c>
      <c r="Z108">
        <f>DD108*(DI108+DJ108)/1000</f>
        <v>0</v>
      </c>
      <c r="AA108">
        <f>0.61365*exp(17.502*DK108/(240.97+DK108))</f>
        <v>0</v>
      </c>
      <c r="AB108">
        <f>(X108-DD108*(DI108+DJ108)/1000)</f>
        <v>0</v>
      </c>
      <c r="AC108">
        <f>(-J108*44100)</f>
        <v>0</v>
      </c>
      <c r="AD108">
        <f>2*29.3*R108*0.92*(DK108-W108)</f>
        <v>0</v>
      </c>
      <c r="AE108">
        <f>2*0.95*5.67E-8*(((DK108+$B$7)+273)^4-(W108+273)^4)</f>
        <v>0</v>
      </c>
      <c r="AF108">
        <f>U108+AE108+AC108+AD108</f>
        <v>0</v>
      </c>
      <c r="AG108">
        <f>DH108*AU108*(DC108-DB108*(1000-AU108*DE108)/(1000-AU108*DD108))/(100*CV108)</f>
        <v>0</v>
      </c>
      <c r="AH108">
        <f>1000*DH108*AU108*(DD108-DE108)/(100*CV108*(1000-AU108*DD108))</f>
        <v>0</v>
      </c>
      <c r="AI108">
        <f>(AJ108 - AK108 - DI108*1E3/(8.314*(DK108+273.15)) * AM108/DH108 * AL108) * DH108/(100*CV108) * (1000 - DE108)/1000</f>
        <v>0</v>
      </c>
      <c r="AJ108">
        <v>102.3269257431571</v>
      </c>
      <c r="AK108">
        <v>99.28111515151518</v>
      </c>
      <c r="AL108">
        <v>-0.0002018466785445655</v>
      </c>
      <c r="AM108">
        <v>66.75800967230636</v>
      </c>
      <c r="AN108">
        <f>(AP108 - AO108 + DI108*1E3/(8.314*(DK108+273.15)) * AR108/DH108 * AQ108) * DH108/(100*CV108) * 1000/(1000 - AP108)</f>
        <v>0</v>
      </c>
      <c r="AO108">
        <v>22.4831262884096</v>
      </c>
      <c r="AP108">
        <v>29.9572612121212</v>
      </c>
      <c r="AQ108">
        <v>-0.005377201961317248</v>
      </c>
      <c r="AR108">
        <v>78.04962189879974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MAX(0,($B$13+$C$13*DP108)/(1+$D$13*DP108)*DI108/(DK108+273)*$E$13)</f>
        <v>0</v>
      </c>
      <c r="AX108" t="s">
        <v>573</v>
      </c>
      <c r="AY108">
        <v>10510</v>
      </c>
      <c r="AZ108">
        <v>590.42</v>
      </c>
      <c r="BA108">
        <v>2650.6</v>
      </c>
      <c r="BB108">
        <f>1-AZ108/BA108</f>
        <v>0</v>
      </c>
      <c r="BC108">
        <v>-1.816883183993991</v>
      </c>
      <c r="BD108" t="s">
        <v>628</v>
      </c>
      <c r="BE108">
        <v>10382.4</v>
      </c>
      <c r="BF108">
        <v>2.430796153846154</v>
      </c>
      <c r="BG108">
        <v>1.8836</v>
      </c>
      <c r="BH108">
        <f>1-BF108/BG108</f>
        <v>0</v>
      </c>
      <c r="BI108">
        <v>0.5</v>
      </c>
      <c r="BJ108">
        <f>CS108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418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1229</v>
      </c>
      <c r="CA108">
        <v>300</v>
      </c>
      <c r="CB108">
        <v>300</v>
      </c>
      <c r="CC108">
        <v>300</v>
      </c>
      <c r="CD108">
        <v>10382.4</v>
      </c>
      <c r="CE108">
        <v>1.56</v>
      </c>
      <c r="CF108">
        <v>-0.00732201</v>
      </c>
      <c r="CG108">
        <v>0.86</v>
      </c>
      <c r="CH108" t="s">
        <v>418</v>
      </c>
      <c r="CI108" t="s">
        <v>418</v>
      </c>
      <c r="CJ108" t="s">
        <v>418</v>
      </c>
      <c r="CK108" t="s">
        <v>418</v>
      </c>
      <c r="CL108" t="s">
        <v>418</v>
      </c>
      <c r="CM108" t="s">
        <v>418</v>
      </c>
      <c r="CN108" t="s">
        <v>418</v>
      </c>
      <c r="CO108" t="s">
        <v>418</v>
      </c>
      <c r="CP108" t="s">
        <v>418</v>
      </c>
      <c r="CQ108" t="s">
        <v>418</v>
      </c>
      <c r="CR108">
        <f>$B$11*DQ108+$C$11*DR108+$F$11*EC108*(1-EF108)</f>
        <v>0</v>
      </c>
      <c r="CS108">
        <f>CR108*CT108</f>
        <v>0</v>
      </c>
      <c r="CT108">
        <f>($B$11*$D$9+$C$11*$D$9+$F$11*((EP108+EH108)/MAX(EP108+EH108+EQ108, 0.1)*$I$9+EQ108/MAX(EP108+EH108+EQ108, 0.1)*$J$9))/($B$11+$C$11+$F$11)</f>
        <v>0</v>
      </c>
      <c r="CU108">
        <f>($B$11*$K$9+$C$11*$K$9+$F$11*((EP108+EH108)/MAX(EP108+EH108+EQ108, 0.1)*$P$9+EQ108/MAX(EP108+EH108+EQ108, 0.1)*$Q$9))/($B$11+$C$11+$F$11)</f>
        <v>0</v>
      </c>
      <c r="CV108">
        <v>6</v>
      </c>
      <c r="CW108">
        <v>0.5</v>
      </c>
      <c r="CX108" t="s">
        <v>419</v>
      </c>
      <c r="CY108">
        <v>2</v>
      </c>
      <c r="CZ108" t="b">
        <v>1</v>
      </c>
      <c r="DA108">
        <v>1651776662</v>
      </c>
      <c r="DB108">
        <v>96.31154545454547</v>
      </c>
      <c r="DC108">
        <v>100.0093</v>
      </c>
      <c r="DD108">
        <v>29.96932727272727</v>
      </c>
      <c r="DE108">
        <v>22.47775454545454</v>
      </c>
      <c r="DF108">
        <v>97.09311818181818</v>
      </c>
      <c r="DG108">
        <v>29.89439090909091</v>
      </c>
      <c r="DH108">
        <v>500.0445454545455</v>
      </c>
      <c r="DI108">
        <v>90.22834545454545</v>
      </c>
      <c r="DJ108">
        <v>0.1000152272727273</v>
      </c>
      <c r="DK108">
        <v>30.56040909090909</v>
      </c>
      <c r="DL108">
        <v>29.69510909090909</v>
      </c>
      <c r="DM108">
        <v>999.9</v>
      </c>
      <c r="DN108">
        <v>0</v>
      </c>
      <c r="DO108">
        <v>0</v>
      </c>
      <c r="DP108">
        <v>9996.027272727273</v>
      </c>
      <c r="DQ108">
        <v>0</v>
      </c>
      <c r="DR108">
        <v>13.19459090909091</v>
      </c>
      <c r="DS108">
        <v>-3.697800909090909</v>
      </c>
      <c r="DT108">
        <v>99.2871</v>
      </c>
      <c r="DU108">
        <v>102.3090909090909</v>
      </c>
      <c r="DV108">
        <v>7.491558181818181</v>
      </c>
      <c r="DW108">
        <v>100.0093</v>
      </c>
      <c r="DX108">
        <v>22.47775454545454</v>
      </c>
      <c r="DY108">
        <v>2.704081818181818</v>
      </c>
      <c r="DZ108">
        <v>2.028131818181818</v>
      </c>
      <c r="EA108">
        <v>22.30994545454546</v>
      </c>
      <c r="EB108">
        <v>17.6657</v>
      </c>
      <c r="EC108">
        <v>1499.986363636363</v>
      </c>
      <c r="ED108">
        <v>0.9729905454545453</v>
      </c>
      <c r="EE108">
        <v>0.02700910909090909</v>
      </c>
      <c r="EF108">
        <v>0</v>
      </c>
      <c r="EG108">
        <v>2.465127272727273</v>
      </c>
      <c r="EH108">
        <v>0</v>
      </c>
      <c r="EI108">
        <v>12300.09090909091</v>
      </c>
      <c r="EJ108">
        <v>12533.23636363636</v>
      </c>
      <c r="EK108">
        <v>36.937</v>
      </c>
      <c r="EL108">
        <v>38.36354545454546</v>
      </c>
      <c r="EM108">
        <v>37.28381818181818</v>
      </c>
      <c r="EN108">
        <v>37.687</v>
      </c>
      <c r="EO108">
        <v>36.875</v>
      </c>
      <c r="EP108">
        <v>1459.476363636363</v>
      </c>
      <c r="EQ108">
        <v>40.51</v>
      </c>
      <c r="ER108">
        <v>0</v>
      </c>
      <c r="ES108">
        <v>193.2000000476837</v>
      </c>
      <c r="ET108">
        <v>0</v>
      </c>
      <c r="EU108">
        <v>2.430796153846154</v>
      </c>
      <c r="EV108">
        <v>-0.3448786188306273</v>
      </c>
      <c r="EW108">
        <v>24.35897438483915</v>
      </c>
      <c r="EX108">
        <v>12298.27307692308</v>
      </c>
      <c r="EY108">
        <v>15</v>
      </c>
      <c r="EZ108">
        <v>1651776624.5</v>
      </c>
      <c r="FA108" t="s">
        <v>629</v>
      </c>
      <c r="FB108">
        <v>1651776616.5</v>
      </c>
      <c r="FC108">
        <v>1651776624.5</v>
      </c>
      <c r="FD108">
        <v>6</v>
      </c>
      <c r="FE108">
        <v>0.096</v>
      </c>
      <c r="FF108">
        <v>0.001</v>
      </c>
      <c r="FG108">
        <v>-0.788</v>
      </c>
      <c r="FH108">
        <v>0.041</v>
      </c>
      <c r="FI108">
        <v>100</v>
      </c>
      <c r="FJ108">
        <v>23</v>
      </c>
      <c r="FK108">
        <v>0.21</v>
      </c>
      <c r="FL108">
        <v>0.01</v>
      </c>
      <c r="FM108">
        <v>-3.672896341463415</v>
      </c>
      <c r="FN108">
        <v>0.06969052264807729</v>
      </c>
      <c r="FO108">
        <v>0.03649349355681043</v>
      </c>
      <c r="FP108">
        <v>1</v>
      </c>
      <c r="FQ108">
        <v>7.496920000000001</v>
      </c>
      <c r="FR108">
        <v>-0.0537660627177577</v>
      </c>
      <c r="FS108">
        <v>0.01181666908619696</v>
      </c>
      <c r="FT108">
        <v>1</v>
      </c>
      <c r="FU108">
        <v>0</v>
      </c>
      <c r="FV108">
        <v>0</v>
      </c>
      <c r="FW108">
        <v>0</v>
      </c>
      <c r="FX108">
        <v>1</v>
      </c>
      <c r="FY108">
        <v>3</v>
      </c>
      <c r="FZ108">
        <v>3</v>
      </c>
      <c r="GA108" t="s">
        <v>581</v>
      </c>
      <c r="GB108">
        <v>2.98046</v>
      </c>
      <c r="GC108">
        <v>2.70617</v>
      </c>
      <c r="GD108">
        <v>0.0257217</v>
      </c>
      <c r="GE108">
        <v>0.0262368</v>
      </c>
      <c r="GF108">
        <v>0.123903</v>
      </c>
      <c r="GG108">
        <v>0.0999478</v>
      </c>
      <c r="GH108">
        <v>30768.4</v>
      </c>
      <c r="GI108">
        <v>30816.1</v>
      </c>
      <c r="GJ108">
        <v>29364.9</v>
      </c>
      <c r="GK108">
        <v>29275.8</v>
      </c>
      <c r="GL108">
        <v>34048.8</v>
      </c>
      <c r="GM108">
        <v>35078.4</v>
      </c>
      <c r="GN108">
        <v>41334.7</v>
      </c>
      <c r="GO108">
        <v>41784.2</v>
      </c>
      <c r="GP108">
        <v>1.95595</v>
      </c>
      <c r="GQ108">
        <v>1.8538</v>
      </c>
      <c r="GR108">
        <v>0.074964</v>
      </c>
      <c r="GS108">
        <v>0</v>
      </c>
      <c r="GT108">
        <v>28.4749</v>
      </c>
      <c r="GU108">
        <v>999.9</v>
      </c>
      <c r="GV108">
        <v>44.2</v>
      </c>
      <c r="GW108">
        <v>34.8</v>
      </c>
      <c r="GX108">
        <v>27.3609</v>
      </c>
      <c r="GY108">
        <v>62.7087</v>
      </c>
      <c r="GZ108">
        <v>35.9936</v>
      </c>
      <c r="HA108">
        <v>1</v>
      </c>
      <c r="HB108">
        <v>0.0946037</v>
      </c>
      <c r="HC108">
        <v>0</v>
      </c>
      <c r="HD108">
        <v>20.3475</v>
      </c>
      <c r="HE108">
        <v>5.22328</v>
      </c>
      <c r="HF108">
        <v>12.0099</v>
      </c>
      <c r="HG108">
        <v>4.99115</v>
      </c>
      <c r="HH108">
        <v>3.29</v>
      </c>
      <c r="HI108">
        <v>583.2</v>
      </c>
      <c r="HJ108">
        <v>4147.1</v>
      </c>
      <c r="HK108">
        <v>4666.7</v>
      </c>
      <c r="HL108">
        <v>19</v>
      </c>
      <c r="HM108">
        <v>1.86759</v>
      </c>
      <c r="HN108">
        <v>1.86661</v>
      </c>
      <c r="HO108">
        <v>1.86613</v>
      </c>
      <c r="HP108">
        <v>1.866</v>
      </c>
      <c r="HQ108">
        <v>1.86783</v>
      </c>
      <c r="HR108">
        <v>1.87027</v>
      </c>
      <c r="HS108">
        <v>1.86894</v>
      </c>
      <c r="HT108">
        <v>1.87033</v>
      </c>
      <c r="HU108">
        <v>0</v>
      </c>
      <c r="HV108">
        <v>0</v>
      </c>
      <c r="HW108">
        <v>0</v>
      </c>
      <c r="HX108">
        <v>0</v>
      </c>
      <c r="HY108" t="s">
        <v>422</v>
      </c>
      <c r="HZ108" t="s">
        <v>423</v>
      </c>
      <c r="IA108" t="s">
        <v>424</v>
      </c>
      <c r="IB108" t="s">
        <v>424</v>
      </c>
      <c r="IC108" t="s">
        <v>424</v>
      </c>
      <c r="ID108" t="s">
        <v>424</v>
      </c>
      <c r="IE108">
        <v>0</v>
      </c>
      <c r="IF108">
        <v>100</v>
      </c>
      <c r="IG108">
        <v>100</v>
      </c>
      <c r="IH108">
        <v>-0.782</v>
      </c>
      <c r="II108">
        <v>0.07489999999999999</v>
      </c>
      <c r="IJ108">
        <v>-0.6071950666292085</v>
      </c>
      <c r="IK108">
        <v>-0.001826611574738555</v>
      </c>
      <c r="IL108">
        <v>3.313362389709971E-07</v>
      </c>
      <c r="IM108">
        <v>-1.629490614973607E-10</v>
      </c>
      <c r="IN108">
        <v>0.07492716417395162</v>
      </c>
      <c r="IO108">
        <v>0</v>
      </c>
      <c r="IP108">
        <v>0</v>
      </c>
      <c r="IQ108">
        <v>0</v>
      </c>
      <c r="IR108">
        <v>3</v>
      </c>
      <c r="IS108">
        <v>2280</v>
      </c>
      <c r="IT108">
        <v>1</v>
      </c>
      <c r="IU108">
        <v>25</v>
      </c>
      <c r="IV108">
        <v>0.8</v>
      </c>
      <c r="IW108">
        <v>0.7</v>
      </c>
      <c r="IX108">
        <v>0.369873</v>
      </c>
      <c r="IY108">
        <v>2.27783</v>
      </c>
      <c r="IZ108">
        <v>1.39648</v>
      </c>
      <c r="JA108">
        <v>2.35107</v>
      </c>
      <c r="JB108">
        <v>1.49536</v>
      </c>
      <c r="JC108">
        <v>2.35962</v>
      </c>
      <c r="JD108">
        <v>38.5995</v>
      </c>
      <c r="JE108">
        <v>24.0612</v>
      </c>
      <c r="JF108">
        <v>18</v>
      </c>
      <c r="JG108">
        <v>511.562</v>
      </c>
      <c r="JH108">
        <v>431.151</v>
      </c>
      <c r="JI108">
        <v>29.7133</v>
      </c>
      <c r="JJ108">
        <v>28.7478</v>
      </c>
      <c r="JK108">
        <v>30</v>
      </c>
      <c r="JL108">
        <v>28.6561</v>
      </c>
      <c r="JM108">
        <v>28.5804</v>
      </c>
      <c r="JN108">
        <v>7.38617</v>
      </c>
      <c r="JO108">
        <v>22.6085</v>
      </c>
      <c r="JP108">
        <v>7.7961</v>
      </c>
      <c r="JQ108">
        <v>-999.9</v>
      </c>
      <c r="JR108">
        <v>100</v>
      </c>
      <c r="JS108">
        <v>22.3796</v>
      </c>
      <c r="JT108">
        <v>100.379</v>
      </c>
      <c r="JU108">
        <v>100.286</v>
      </c>
    </row>
    <row r="109" spans="1:281">
      <c r="A109">
        <v>93</v>
      </c>
      <c r="B109">
        <v>1651776787</v>
      </c>
      <c r="C109">
        <v>4909.400000095367</v>
      </c>
      <c r="D109" t="s">
        <v>630</v>
      </c>
      <c r="E109" t="s">
        <v>631</v>
      </c>
      <c r="F109">
        <v>5</v>
      </c>
      <c r="G109" t="s">
        <v>616</v>
      </c>
      <c r="H109" t="s">
        <v>417</v>
      </c>
      <c r="I109">
        <v>1651776784.25</v>
      </c>
      <c r="J109">
        <f>(K109)/1000</f>
        <v>0</v>
      </c>
      <c r="K109">
        <f>IF(CZ109, AN109, AH109)</f>
        <v>0</v>
      </c>
      <c r="L109">
        <f>IF(CZ109, AI109, AG109)</f>
        <v>0</v>
      </c>
      <c r="M109">
        <f>DB109 - IF(AU109&gt;1, L109*CV109*100.0/(AW109*DP109), 0)</f>
        <v>0</v>
      </c>
      <c r="N109">
        <f>((T109-J109/2)*M109-L109)/(T109+J109/2)</f>
        <v>0</v>
      </c>
      <c r="O109">
        <f>N109*(DI109+DJ109)/1000.0</f>
        <v>0</v>
      </c>
      <c r="P109">
        <f>(DB109 - IF(AU109&gt;1, L109*CV109*100.0/(AW109*DP109), 0))*(DI109+DJ109)/1000.0</f>
        <v>0</v>
      </c>
      <c r="Q109">
        <f>2.0/((1/S109-1/R109)+SIGN(S109)*SQRT((1/S109-1/R109)*(1/S109-1/R109) + 4*CW109/((CW109+1)*(CW109+1))*(2*1/S109*1/R109-1/R109*1/R109)))</f>
        <v>0</v>
      </c>
      <c r="R109">
        <f>IF(LEFT(CX109,1)&lt;&gt;"0",IF(LEFT(CX109,1)="1",3.0,CY109),$D$5+$E$5*(DP109*DI109/($K$5*1000))+$F$5*(DP109*DI109/($K$5*1000))*MAX(MIN(CV109,$J$5),$I$5)*MAX(MIN(CV109,$J$5),$I$5)+$G$5*MAX(MIN(CV109,$J$5),$I$5)*(DP109*DI109/($K$5*1000))+$H$5*(DP109*DI109/($K$5*1000))*(DP109*DI109/($K$5*1000)))</f>
        <v>0</v>
      </c>
      <c r="S109">
        <f>J109*(1000-(1000*0.61365*exp(17.502*W109/(240.97+W109))/(DI109+DJ109)+DD109)/2)/(1000*0.61365*exp(17.502*W109/(240.97+W109))/(DI109+DJ109)-DD109)</f>
        <v>0</v>
      </c>
      <c r="T109">
        <f>1/((CW109+1)/(Q109/1.6)+1/(R109/1.37)) + CW109/((CW109+1)/(Q109/1.6) + CW109/(R109/1.37))</f>
        <v>0</v>
      </c>
      <c r="U109">
        <f>(CR109*CU109)</f>
        <v>0</v>
      </c>
      <c r="V109">
        <f>(DK109+(U109+2*0.95*5.67E-8*(((DK109+$B$7)+273)^4-(DK109+273)^4)-44100*J109)/(1.84*29.3*R109+8*0.95*5.67E-8*(DK109+273)^3))</f>
        <v>0</v>
      </c>
      <c r="W109">
        <f>($C$7*DL109+$D$7*DM109+$E$7*V109)</f>
        <v>0</v>
      </c>
      <c r="X109">
        <f>0.61365*exp(17.502*W109/(240.97+W109))</f>
        <v>0</v>
      </c>
      <c r="Y109">
        <f>(Z109/AA109*100)</f>
        <v>0</v>
      </c>
      <c r="Z109">
        <f>DD109*(DI109+DJ109)/1000</f>
        <v>0</v>
      </c>
      <c r="AA109">
        <f>0.61365*exp(17.502*DK109/(240.97+DK109))</f>
        <v>0</v>
      </c>
      <c r="AB109">
        <f>(X109-DD109*(DI109+DJ109)/1000)</f>
        <v>0</v>
      </c>
      <c r="AC109">
        <f>(-J109*44100)</f>
        <v>0</v>
      </c>
      <c r="AD109">
        <f>2*29.3*R109*0.92*(DK109-W109)</f>
        <v>0</v>
      </c>
      <c r="AE109">
        <f>2*0.95*5.67E-8*(((DK109+$B$7)+273)^4-(W109+273)^4)</f>
        <v>0</v>
      </c>
      <c r="AF109">
        <f>U109+AE109+AC109+AD109</f>
        <v>0</v>
      </c>
      <c r="AG109">
        <f>DH109*AU109*(DC109-DB109*(1000-AU109*DE109)/(1000-AU109*DD109))/(100*CV109)</f>
        <v>0</v>
      </c>
      <c r="AH109">
        <f>1000*DH109*AU109*(DD109-DE109)/(100*CV109*(1000-AU109*DD109))</f>
        <v>0</v>
      </c>
      <c r="AI109">
        <f>(AJ109 - AK109 - DI109*1E3/(8.314*(DK109+273.15)) * AM109/DH109 * AL109) * DH109/(100*CV109) * (1000 - DE109)/1000</f>
        <v>0</v>
      </c>
      <c r="AJ109">
        <v>51.09079763214165</v>
      </c>
      <c r="AK109">
        <v>52.26094909090907</v>
      </c>
      <c r="AL109">
        <v>-7.257777186093039E-05</v>
      </c>
      <c r="AM109">
        <v>66.75848829932659</v>
      </c>
      <c r="AN109">
        <f>(AP109 - AO109 + DI109*1E3/(8.314*(DK109+273.15)) * AR109/DH109 * AQ109) * DH109/(100*CV109) * 1000/(1000 - AP109)</f>
        <v>0</v>
      </c>
      <c r="AO109">
        <v>21.99214082732129</v>
      </c>
      <c r="AP109">
        <v>29.82734666666666</v>
      </c>
      <c r="AQ109">
        <v>-0.005368785007085866</v>
      </c>
      <c r="AR109">
        <v>78.04946036938225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MAX(0,($B$13+$C$13*DP109)/(1+$D$13*DP109)*DI109/(DK109+273)*$E$13)</f>
        <v>0</v>
      </c>
      <c r="AX109" t="s">
        <v>573</v>
      </c>
      <c r="AY109">
        <v>10510</v>
      </c>
      <c r="AZ109">
        <v>590.42</v>
      </c>
      <c r="BA109">
        <v>2650.6</v>
      </c>
      <c r="BB109">
        <f>1-AZ109/BA109</f>
        <v>0</v>
      </c>
      <c r="BC109">
        <v>-1.816883183993991</v>
      </c>
      <c r="BD109" t="s">
        <v>632</v>
      </c>
      <c r="BE109">
        <v>10382.7</v>
      </c>
      <c r="BF109">
        <v>2.352324</v>
      </c>
      <c r="BG109">
        <v>3.0736</v>
      </c>
      <c r="BH109">
        <f>1-BF109/BG109</f>
        <v>0</v>
      </c>
      <c r="BI109">
        <v>0.5</v>
      </c>
      <c r="BJ109">
        <f>CS109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418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1230</v>
      </c>
      <c r="CA109">
        <v>300</v>
      </c>
      <c r="CB109">
        <v>300</v>
      </c>
      <c r="CC109">
        <v>300</v>
      </c>
      <c r="CD109">
        <v>10382.7</v>
      </c>
      <c r="CE109">
        <v>1.6</v>
      </c>
      <c r="CF109">
        <v>-0.00732222</v>
      </c>
      <c r="CG109">
        <v>0.54</v>
      </c>
      <c r="CH109" t="s">
        <v>418</v>
      </c>
      <c r="CI109" t="s">
        <v>418</v>
      </c>
      <c r="CJ109" t="s">
        <v>418</v>
      </c>
      <c r="CK109" t="s">
        <v>418</v>
      </c>
      <c r="CL109" t="s">
        <v>418</v>
      </c>
      <c r="CM109" t="s">
        <v>418</v>
      </c>
      <c r="CN109" t="s">
        <v>418</v>
      </c>
      <c r="CO109" t="s">
        <v>418</v>
      </c>
      <c r="CP109" t="s">
        <v>418</v>
      </c>
      <c r="CQ109" t="s">
        <v>418</v>
      </c>
      <c r="CR109">
        <f>$B$11*DQ109+$C$11*DR109+$F$11*EC109*(1-EF109)</f>
        <v>0</v>
      </c>
      <c r="CS109">
        <f>CR109*CT109</f>
        <v>0</v>
      </c>
      <c r="CT109">
        <f>($B$11*$D$9+$C$11*$D$9+$F$11*((EP109+EH109)/MAX(EP109+EH109+EQ109, 0.1)*$I$9+EQ109/MAX(EP109+EH109+EQ109, 0.1)*$J$9))/($B$11+$C$11+$F$11)</f>
        <v>0</v>
      </c>
      <c r="CU109">
        <f>($B$11*$K$9+$C$11*$K$9+$F$11*((EP109+EH109)/MAX(EP109+EH109+EQ109, 0.1)*$P$9+EQ109/MAX(EP109+EH109+EQ109, 0.1)*$Q$9))/($B$11+$C$11+$F$11)</f>
        <v>0</v>
      </c>
      <c r="CV109">
        <v>6</v>
      </c>
      <c r="CW109">
        <v>0.5</v>
      </c>
      <c r="CX109" t="s">
        <v>419</v>
      </c>
      <c r="CY109">
        <v>2</v>
      </c>
      <c r="CZ109" t="b">
        <v>1</v>
      </c>
      <c r="DA109">
        <v>1651776784.25</v>
      </c>
      <c r="DB109">
        <v>50.70202</v>
      </c>
      <c r="DC109">
        <v>49.98311</v>
      </c>
      <c r="DD109">
        <v>29.83411</v>
      </c>
      <c r="DE109">
        <v>21.99197</v>
      </c>
      <c r="DF109">
        <v>51.41989</v>
      </c>
      <c r="DG109">
        <v>29.75775</v>
      </c>
      <c r="DH109">
        <v>500.0464</v>
      </c>
      <c r="DI109">
        <v>90.21853000000002</v>
      </c>
      <c r="DJ109">
        <v>0.09988983</v>
      </c>
      <c r="DK109">
        <v>30.5336</v>
      </c>
      <c r="DL109">
        <v>29.63508</v>
      </c>
      <c r="DM109">
        <v>999.9</v>
      </c>
      <c r="DN109">
        <v>0</v>
      </c>
      <c r="DO109">
        <v>0</v>
      </c>
      <c r="DP109">
        <v>10000.89</v>
      </c>
      <c r="DQ109">
        <v>0</v>
      </c>
      <c r="DR109">
        <v>13.3212</v>
      </c>
      <c r="DS109">
        <v>0.7189196000000001</v>
      </c>
      <c r="DT109">
        <v>52.26121000000001</v>
      </c>
      <c r="DU109">
        <v>51.10706</v>
      </c>
      <c r="DV109">
        <v>7.842167000000001</v>
      </c>
      <c r="DW109">
        <v>49.98311</v>
      </c>
      <c r="DX109">
        <v>21.99197</v>
      </c>
      <c r="DY109">
        <v>2.691591</v>
      </c>
      <c r="DZ109">
        <v>1.984084</v>
      </c>
      <c r="EA109">
        <v>22.23387</v>
      </c>
      <c r="EB109">
        <v>17.31789000000001</v>
      </c>
      <c r="EC109">
        <v>1500.022</v>
      </c>
      <c r="ED109">
        <v>0.973011</v>
      </c>
      <c r="EE109">
        <v>0.0269894</v>
      </c>
      <c r="EF109">
        <v>0</v>
      </c>
      <c r="EG109">
        <v>2.42911</v>
      </c>
      <c r="EH109">
        <v>0</v>
      </c>
      <c r="EI109">
        <v>12454.95</v>
      </c>
      <c r="EJ109">
        <v>12533.6</v>
      </c>
      <c r="EK109">
        <v>36.875</v>
      </c>
      <c r="EL109">
        <v>38.312</v>
      </c>
      <c r="EM109">
        <v>37.25</v>
      </c>
      <c r="EN109">
        <v>37.625</v>
      </c>
      <c r="EO109">
        <v>36.812</v>
      </c>
      <c r="EP109">
        <v>1459.542</v>
      </c>
      <c r="EQ109">
        <v>40.48</v>
      </c>
      <c r="ER109">
        <v>0</v>
      </c>
      <c r="ES109">
        <v>121.8000001907349</v>
      </c>
      <c r="ET109">
        <v>0</v>
      </c>
      <c r="EU109">
        <v>2.352324</v>
      </c>
      <c r="EV109">
        <v>0.04039999146278605</v>
      </c>
      <c r="EW109">
        <v>57.23846145890642</v>
      </c>
      <c r="EX109">
        <v>12450.972</v>
      </c>
      <c r="EY109">
        <v>15</v>
      </c>
      <c r="EZ109">
        <v>1651776749</v>
      </c>
      <c r="FA109" t="s">
        <v>633</v>
      </c>
      <c r="FB109">
        <v>1651776740</v>
      </c>
      <c r="FC109">
        <v>1651776749</v>
      </c>
      <c r="FD109">
        <v>7</v>
      </c>
      <c r="FE109">
        <v>-0.018</v>
      </c>
      <c r="FF109">
        <v>0.001</v>
      </c>
      <c r="FG109">
        <v>-0.716</v>
      </c>
      <c r="FH109">
        <v>0.032</v>
      </c>
      <c r="FI109">
        <v>50</v>
      </c>
      <c r="FJ109">
        <v>22</v>
      </c>
      <c r="FK109">
        <v>0.23</v>
      </c>
      <c r="FL109">
        <v>0.01</v>
      </c>
      <c r="FM109">
        <v>0.723673675</v>
      </c>
      <c r="FN109">
        <v>0.04524325328330107</v>
      </c>
      <c r="FO109">
        <v>0.02888723285500665</v>
      </c>
      <c r="FP109">
        <v>1</v>
      </c>
      <c r="FQ109">
        <v>7.8651725</v>
      </c>
      <c r="FR109">
        <v>-0.1291544465290861</v>
      </c>
      <c r="FS109">
        <v>0.01638309948544538</v>
      </c>
      <c r="FT109">
        <v>1</v>
      </c>
      <c r="FU109">
        <v>0</v>
      </c>
      <c r="FV109">
        <v>0</v>
      </c>
      <c r="FW109">
        <v>0</v>
      </c>
      <c r="FX109">
        <v>1</v>
      </c>
      <c r="FY109">
        <v>3</v>
      </c>
      <c r="FZ109">
        <v>3</v>
      </c>
      <c r="GA109" t="s">
        <v>581</v>
      </c>
      <c r="GB109">
        <v>2.98051</v>
      </c>
      <c r="GC109">
        <v>2.7061</v>
      </c>
      <c r="GD109">
        <v>0.0137293</v>
      </c>
      <c r="GE109">
        <v>0.0132353</v>
      </c>
      <c r="GF109">
        <v>0.12354</v>
      </c>
      <c r="GG109">
        <v>0.0985212</v>
      </c>
      <c r="GH109">
        <v>31150.9</v>
      </c>
      <c r="GI109">
        <v>31230.6</v>
      </c>
      <c r="GJ109">
        <v>29368.2</v>
      </c>
      <c r="GK109">
        <v>29278.5</v>
      </c>
      <c r="GL109">
        <v>34066.6</v>
      </c>
      <c r="GM109">
        <v>35137.8</v>
      </c>
      <c r="GN109">
        <v>41339.4</v>
      </c>
      <c r="GO109">
        <v>41788.1</v>
      </c>
      <c r="GP109">
        <v>1.95665</v>
      </c>
      <c r="GQ109">
        <v>1.8536</v>
      </c>
      <c r="GR109">
        <v>0.07145849999999999</v>
      </c>
      <c r="GS109">
        <v>0</v>
      </c>
      <c r="GT109">
        <v>28.4702</v>
      </c>
      <c r="GU109">
        <v>999.9</v>
      </c>
      <c r="GV109">
        <v>44.2</v>
      </c>
      <c r="GW109">
        <v>34.7</v>
      </c>
      <c r="GX109">
        <v>27.2163</v>
      </c>
      <c r="GY109">
        <v>62.5988</v>
      </c>
      <c r="GZ109">
        <v>35.5689</v>
      </c>
      <c r="HA109">
        <v>1</v>
      </c>
      <c r="HB109">
        <v>0.0897078</v>
      </c>
      <c r="HC109">
        <v>0</v>
      </c>
      <c r="HD109">
        <v>20.347</v>
      </c>
      <c r="HE109">
        <v>5.22073</v>
      </c>
      <c r="HF109">
        <v>12.0099</v>
      </c>
      <c r="HG109">
        <v>4.99015</v>
      </c>
      <c r="HH109">
        <v>3.28925</v>
      </c>
      <c r="HI109">
        <v>585.4</v>
      </c>
      <c r="HJ109">
        <v>4158.8</v>
      </c>
      <c r="HK109">
        <v>4673.3</v>
      </c>
      <c r="HL109">
        <v>19</v>
      </c>
      <c r="HM109">
        <v>1.8676</v>
      </c>
      <c r="HN109">
        <v>1.86661</v>
      </c>
      <c r="HO109">
        <v>1.86612</v>
      </c>
      <c r="HP109">
        <v>1.866</v>
      </c>
      <c r="HQ109">
        <v>1.86783</v>
      </c>
      <c r="HR109">
        <v>1.8703</v>
      </c>
      <c r="HS109">
        <v>1.86897</v>
      </c>
      <c r="HT109">
        <v>1.87035</v>
      </c>
      <c r="HU109">
        <v>0</v>
      </c>
      <c r="HV109">
        <v>0</v>
      </c>
      <c r="HW109">
        <v>0</v>
      </c>
      <c r="HX109">
        <v>0</v>
      </c>
      <c r="HY109" t="s">
        <v>422</v>
      </c>
      <c r="HZ109" t="s">
        <v>423</v>
      </c>
      <c r="IA109" t="s">
        <v>424</v>
      </c>
      <c r="IB109" t="s">
        <v>424</v>
      </c>
      <c r="IC109" t="s">
        <v>424</v>
      </c>
      <c r="ID109" t="s">
        <v>424</v>
      </c>
      <c r="IE109">
        <v>0</v>
      </c>
      <c r="IF109">
        <v>100</v>
      </c>
      <c r="IG109">
        <v>100</v>
      </c>
      <c r="IH109">
        <v>-0.718</v>
      </c>
      <c r="II109">
        <v>0.0764</v>
      </c>
      <c r="IJ109">
        <v>-0.6247870778726103</v>
      </c>
      <c r="IK109">
        <v>-0.001826611574738555</v>
      </c>
      <c r="IL109">
        <v>3.313362389709971E-07</v>
      </c>
      <c r="IM109">
        <v>-1.629490614973607E-10</v>
      </c>
      <c r="IN109">
        <v>0.07638321090575023</v>
      </c>
      <c r="IO109">
        <v>0</v>
      </c>
      <c r="IP109">
        <v>0</v>
      </c>
      <c r="IQ109">
        <v>0</v>
      </c>
      <c r="IR109">
        <v>3</v>
      </c>
      <c r="IS109">
        <v>2280</v>
      </c>
      <c r="IT109">
        <v>1</v>
      </c>
      <c r="IU109">
        <v>25</v>
      </c>
      <c r="IV109">
        <v>0.8</v>
      </c>
      <c r="IW109">
        <v>0.6</v>
      </c>
      <c r="IX109">
        <v>0.258789</v>
      </c>
      <c r="IY109">
        <v>2.31079</v>
      </c>
      <c r="IZ109">
        <v>1.39648</v>
      </c>
      <c r="JA109">
        <v>2.35107</v>
      </c>
      <c r="JB109">
        <v>1.49536</v>
      </c>
      <c r="JC109">
        <v>2.27417</v>
      </c>
      <c r="JD109">
        <v>38.575</v>
      </c>
      <c r="JE109">
        <v>24.0525</v>
      </c>
      <c r="JF109">
        <v>18</v>
      </c>
      <c r="JG109">
        <v>511.478</v>
      </c>
      <c r="JH109">
        <v>430.55</v>
      </c>
      <c r="JI109">
        <v>29.6867</v>
      </c>
      <c r="JJ109">
        <v>28.6852</v>
      </c>
      <c r="JK109">
        <v>30</v>
      </c>
      <c r="JL109">
        <v>28.5922</v>
      </c>
      <c r="JM109">
        <v>28.5147</v>
      </c>
      <c r="JN109">
        <v>5.18087</v>
      </c>
      <c r="JO109">
        <v>24.289</v>
      </c>
      <c r="JP109">
        <v>7.47399</v>
      </c>
      <c r="JQ109">
        <v>-999.9</v>
      </c>
      <c r="JR109">
        <v>50</v>
      </c>
      <c r="JS109">
        <v>21.9086</v>
      </c>
      <c r="JT109">
        <v>100.39</v>
      </c>
      <c r="JU109">
        <v>100.296</v>
      </c>
    </row>
    <row r="110" spans="1:281">
      <c r="A110">
        <v>94</v>
      </c>
      <c r="B110">
        <v>1651776909</v>
      </c>
      <c r="C110">
        <v>5031.400000095367</v>
      </c>
      <c r="D110" t="s">
        <v>634</v>
      </c>
      <c r="E110" t="s">
        <v>635</v>
      </c>
      <c r="F110">
        <v>5</v>
      </c>
      <c r="G110" t="s">
        <v>616</v>
      </c>
      <c r="H110" t="s">
        <v>417</v>
      </c>
      <c r="I110">
        <v>1651776906</v>
      </c>
      <c r="J110">
        <f>(K110)/1000</f>
        <v>0</v>
      </c>
      <c r="K110">
        <f>IF(CZ110, AN110, AH110)</f>
        <v>0</v>
      </c>
      <c r="L110">
        <f>IF(CZ110, AI110, AG110)</f>
        <v>0</v>
      </c>
      <c r="M110">
        <f>DB110 - IF(AU110&gt;1, L110*CV110*100.0/(AW110*DP110), 0)</f>
        <v>0</v>
      </c>
      <c r="N110">
        <f>((T110-J110/2)*M110-L110)/(T110+J110/2)</f>
        <v>0</v>
      </c>
      <c r="O110">
        <f>N110*(DI110+DJ110)/1000.0</f>
        <v>0</v>
      </c>
      <c r="P110">
        <f>(DB110 - IF(AU110&gt;1, L110*CV110*100.0/(AW110*DP110), 0))*(DI110+DJ110)/1000.0</f>
        <v>0</v>
      </c>
      <c r="Q110">
        <f>2.0/((1/S110-1/R110)+SIGN(S110)*SQRT((1/S110-1/R110)*(1/S110-1/R110) + 4*CW110/((CW110+1)*(CW110+1))*(2*1/S110*1/R110-1/R110*1/R110)))</f>
        <v>0</v>
      </c>
      <c r="R110">
        <f>IF(LEFT(CX110,1)&lt;&gt;"0",IF(LEFT(CX110,1)="1",3.0,CY110),$D$5+$E$5*(DP110*DI110/($K$5*1000))+$F$5*(DP110*DI110/($K$5*1000))*MAX(MIN(CV110,$J$5),$I$5)*MAX(MIN(CV110,$J$5),$I$5)+$G$5*MAX(MIN(CV110,$J$5),$I$5)*(DP110*DI110/($K$5*1000))+$H$5*(DP110*DI110/($K$5*1000))*(DP110*DI110/($K$5*1000)))</f>
        <v>0</v>
      </c>
      <c r="S110">
        <f>J110*(1000-(1000*0.61365*exp(17.502*W110/(240.97+W110))/(DI110+DJ110)+DD110)/2)/(1000*0.61365*exp(17.502*W110/(240.97+W110))/(DI110+DJ110)-DD110)</f>
        <v>0</v>
      </c>
      <c r="T110">
        <f>1/((CW110+1)/(Q110/1.6)+1/(R110/1.37)) + CW110/((CW110+1)/(Q110/1.6) + CW110/(R110/1.37))</f>
        <v>0</v>
      </c>
      <c r="U110">
        <f>(CR110*CU110)</f>
        <v>0</v>
      </c>
      <c r="V110">
        <f>(DK110+(U110+2*0.95*5.67E-8*(((DK110+$B$7)+273)^4-(DK110+273)^4)-44100*J110)/(1.84*29.3*R110+8*0.95*5.67E-8*(DK110+273)^3))</f>
        <v>0</v>
      </c>
      <c r="W110">
        <f>($C$7*DL110+$D$7*DM110+$E$7*V110)</f>
        <v>0</v>
      </c>
      <c r="X110">
        <f>0.61365*exp(17.502*W110/(240.97+W110))</f>
        <v>0</v>
      </c>
      <c r="Y110">
        <f>(Z110/AA110*100)</f>
        <v>0</v>
      </c>
      <c r="Z110">
        <f>DD110*(DI110+DJ110)/1000</f>
        <v>0</v>
      </c>
      <c r="AA110">
        <f>0.61365*exp(17.502*DK110/(240.97+DK110))</f>
        <v>0</v>
      </c>
      <c r="AB110">
        <f>(X110-DD110*(DI110+DJ110)/1000)</f>
        <v>0</v>
      </c>
      <c r="AC110">
        <f>(-J110*44100)</f>
        <v>0</v>
      </c>
      <c r="AD110">
        <f>2*29.3*R110*0.92*(DK110-W110)</f>
        <v>0</v>
      </c>
      <c r="AE110">
        <f>2*0.95*5.67E-8*(((DK110+$B$7)+273)^4-(W110+273)^4)</f>
        <v>0</v>
      </c>
      <c r="AF110">
        <f>U110+AE110+AC110+AD110</f>
        <v>0</v>
      </c>
      <c r="AG110">
        <f>DH110*AU110*(DC110-DB110*(1000-AU110*DE110)/(1000-AU110*DD110))/(100*CV110)</f>
        <v>0</v>
      </c>
      <c r="AH110">
        <f>1000*DH110*AU110*(DD110-DE110)/(100*CV110*(1000-AU110*DD110))</f>
        <v>0</v>
      </c>
      <c r="AI110">
        <f>(AJ110 - AK110 - DI110*1E3/(8.314*(DK110+273.15)) * AM110/DH110 * AL110) * DH110/(100*CV110) * (1000 - DE110)/1000</f>
        <v>0</v>
      </c>
      <c r="AJ110">
        <v>0.4372707966169539</v>
      </c>
      <c r="AK110">
        <v>5.570604242424242</v>
      </c>
      <c r="AL110">
        <v>0.0001066440039404646</v>
      </c>
      <c r="AM110">
        <v>66.75863831928736</v>
      </c>
      <c r="AN110">
        <f>(AP110 - AO110 + DI110*1E3/(8.314*(DK110+273.15)) * AR110/DH110 * AQ110) * DH110/(100*CV110) * 1000/(1000 - AP110)</f>
        <v>0</v>
      </c>
      <c r="AO110">
        <v>21.50933525893965</v>
      </c>
      <c r="AP110">
        <v>29.67806242424242</v>
      </c>
      <c r="AQ110">
        <v>-0.008728087509663881</v>
      </c>
      <c r="AR110">
        <v>78.04937141431746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MAX(0,($B$13+$C$13*DP110)/(1+$D$13*DP110)*DI110/(DK110+273)*$E$13)</f>
        <v>0</v>
      </c>
      <c r="AX110" t="s">
        <v>573</v>
      </c>
      <c r="AY110">
        <v>10510</v>
      </c>
      <c r="AZ110">
        <v>590.42</v>
      </c>
      <c r="BA110">
        <v>2650.6</v>
      </c>
      <c r="BB110">
        <f>1-AZ110/BA110</f>
        <v>0</v>
      </c>
      <c r="BC110">
        <v>-1.816883183993991</v>
      </c>
      <c r="BD110" t="s">
        <v>636</v>
      </c>
      <c r="BE110">
        <v>10383.1</v>
      </c>
      <c r="BF110">
        <v>2.350068</v>
      </c>
      <c r="BG110">
        <v>2.46</v>
      </c>
      <c r="BH110">
        <f>1-BF110/BG110</f>
        <v>0</v>
      </c>
      <c r="BI110">
        <v>0.5</v>
      </c>
      <c r="BJ110">
        <f>CS110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418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1231</v>
      </c>
      <c r="CA110">
        <v>300</v>
      </c>
      <c r="CB110">
        <v>300</v>
      </c>
      <c r="CC110">
        <v>300</v>
      </c>
      <c r="CD110">
        <v>10383.1</v>
      </c>
      <c r="CE110">
        <v>1.25</v>
      </c>
      <c r="CF110">
        <v>-0.00732244</v>
      </c>
      <c r="CG110">
        <v>1.11</v>
      </c>
      <c r="CH110" t="s">
        <v>418</v>
      </c>
      <c r="CI110" t="s">
        <v>418</v>
      </c>
      <c r="CJ110" t="s">
        <v>418</v>
      </c>
      <c r="CK110" t="s">
        <v>418</v>
      </c>
      <c r="CL110" t="s">
        <v>418</v>
      </c>
      <c r="CM110" t="s">
        <v>418</v>
      </c>
      <c r="CN110" t="s">
        <v>418</v>
      </c>
      <c r="CO110" t="s">
        <v>418</v>
      </c>
      <c r="CP110" t="s">
        <v>418</v>
      </c>
      <c r="CQ110" t="s">
        <v>418</v>
      </c>
      <c r="CR110">
        <f>$B$11*DQ110+$C$11*DR110+$F$11*EC110*(1-EF110)</f>
        <v>0</v>
      </c>
      <c r="CS110">
        <f>CR110*CT110</f>
        <v>0</v>
      </c>
      <c r="CT110">
        <f>($B$11*$D$9+$C$11*$D$9+$F$11*((EP110+EH110)/MAX(EP110+EH110+EQ110, 0.1)*$I$9+EQ110/MAX(EP110+EH110+EQ110, 0.1)*$J$9))/($B$11+$C$11+$F$11)</f>
        <v>0</v>
      </c>
      <c r="CU110">
        <f>($B$11*$K$9+$C$11*$K$9+$F$11*((EP110+EH110)/MAX(EP110+EH110+EQ110, 0.1)*$P$9+EQ110/MAX(EP110+EH110+EQ110, 0.1)*$Q$9))/($B$11+$C$11+$F$11)</f>
        <v>0</v>
      </c>
      <c r="CV110">
        <v>6</v>
      </c>
      <c r="CW110">
        <v>0.5</v>
      </c>
      <c r="CX110" t="s">
        <v>419</v>
      </c>
      <c r="CY110">
        <v>2</v>
      </c>
      <c r="CZ110" t="b">
        <v>1</v>
      </c>
      <c r="DA110">
        <v>1651776906</v>
      </c>
      <c r="DB110">
        <v>5.400022727272727</v>
      </c>
      <c r="DC110">
        <v>0.4288147272727273</v>
      </c>
      <c r="DD110">
        <v>29.69371818181818</v>
      </c>
      <c r="DE110">
        <v>21.50952727272727</v>
      </c>
      <c r="DF110">
        <v>6.120346363636364</v>
      </c>
      <c r="DG110">
        <v>29.61380909090909</v>
      </c>
      <c r="DH110">
        <v>500.0673636363636</v>
      </c>
      <c r="DI110">
        <v>90.21152727272728</v>
      </c>
      <c r="DJ110">
        <v>0.1001043363636364</v>
      </c>
      <c r="DK110">
        <v>30.50727272727273</v>
      </c>
      <c r="DL110">
        <v>29.58810909090909</v>
      </c>
      <c r="DM110">
        <v>999.9</v>
      </c>
      <c r="DN110">
        <v>0</v>
      </c>
      <c r="DO110">
        <v>0</v>
      </c>
      <c r="DP110">
        <v>10000.11363636364</v>
      </c>
      <c r="DQ110">
        <v>0</v>
      </c>
      <c r="DR110">
        <v>13.3212</v>
      </c>
      <c r="DS110">
        <v>4.971208181818182</v>
      </c>
      <c r="DT110">
        <v>5.565276363636364</v>
      </c>
      <c r="DU110">
        <v>0.4382410909090909</v>
      </c>
      <c r="DV110">
        <v>8.184194545454545</v>
      </c>
      <c r="DW110">
        <v>0.4288147272727273</v>
      </c>
      <c r="DX110">
        <v>21.50952727272727</v>
      </c>
      <c r="DY110">
        <v>2.678715454545455</v>
      </c>
      <c r="DZ110">
        <v>1.940407272727273</v>
      </c>
      <c r="EA110">
        <v>22.15513636363636</v>
      </c>
      <c r="EB110">
        <v>16.96626363636364</v>
      </c>
      <c r="EC110">
        <v>1499.977272727273</v>
      </c>
      <c r="ED110">
        <v>0.9730077272727272</v>
      </c>
      <c r="EE110">
        <v>0.02699229090909091</v>
      </c>
      <c r="EF110">
        <v>0</v>
      </c>
      <c r="EG110">
        <v>2.478345454545455</v>
      </c>
      <c r="EH110">
        <v>0</v>
      </c>
      <c r="EI110">
        <v>12773.75454545455</v>
      </c>
      <c r="EJ110">
        <v>12533.21818181818</v>
      </c>
      <c r="EK110">
        <v>36.83490909090909</v>
      </c>
      <c r="EL110">
        <v>38.25</v>
      </c>
      <c r="EM110">
        <v>37.187</v>
      </c>
      <c r="EN110">
        <v>37.562</v>
      </c>
      <c r="EO110">
        <v>36.78945454545455</v>
      </c>
      <c r="EP110">
        <v>1459.486363636364</v>
      </c>
      <c r="EQ110">
        <v>40.49090909090909</v>
      </c>
      <c r="ER110">
        <v>0</v>
      </c>
      <c r="ES110">
        <v>121.4000000953674</v>
      </c>
      <c r="ET110">
        <v>0</v>
      </c>
      <c r="EU110">
        <v>2.350068</v>
      </c>
      <c r="EV110">
        <v>0.7246230673880919</v>
      </c>
      <c r="EW110">
        <v>100.72307677345</v>
      </c>
      <c r="EX110">
        <v>12766.632</v>
      </c>
      <c r="EY110">
        <v>15</v>
      </c>
      <c r="EZ110">
        <v>1651776863.5</v>
      </c>
      <c r="FA110" t="s">
        <v>637</v>
      </c>
      <c r="FB110">
        <v>1651776848</v>
      </c>
      <c r="FC110">
        <v>1651776863.5</v>
      </c>
      <c r="FD110">
        <v>8</v>
      </c>
      <c r="FE110">
        <v>-0.08400000000000001</v>
      </c>
      <c r="FF110">
        <v>0.004</v>
      </c>
      <c r="FG110">
        <v>-0.711</v>
      </c>
      <c r="FH110">
        <v>0.03</v>
      </c>
      <c r="FI110">
        <v>1</v>
      </c>
      <c r="FJ110">
        <v>22</v>
      </c>
      <c r="FK110">
        <v>0.18</v>
      </c>
      <c r="FL110">
        <v>0.01</v>
      </c>
      <c r="FM110">
        <v>5.014212682926829</v>
      </c>
      <c r="FN110">
        <v>-0.3936008362369336</v>
      </c>
      <c r="FO110">
        <v>0.04319887617239594</v>
      </c>
      <c r="FP110">
        <v>0</v>
      </c>
      <c r="FQ110">
        <v>8.152233414634146</v>
      </c>
      <c r="FR110">
        <v>0.1908271777003651</v>
      </c>
      <c r="FS110">
        <v>0.03453012044011091</v>
      </c>
      <c r="FT110">
        <v>1</v>
      </c>
      <c r="FU110">
        <v>0</v>
      </c>
      <c r="FV110">
        <v>0</v>
      </c>
      <c r="FW110">
        <v>0</v>
      </c>
      <c r="FX110">
        <v>1</v>
      </c>
      <c r="FY110">
        <v>2</v>
      </c>
      <c r="FZ110">
        <v>3</v>
      </c>
      <c r="GA110" t="s">
        <v>421</v>
      </c>
      <c r="GB110">
        <v>2.98061</v>
      </c>
      <c r="GC110">
        <v>2.70632</v>
      </c>
      <c r="GD110">
        <v>0.0016278</v>
      </c>
      <c r="GE110">
        <v>0.000115528</v>
      </c>
      <c r="GF110">
        <v>0.123112</v>
      </c>
      <c r="GG110">
        <v>0.09700839999999999</v>
      </c>
      <c r="GH110">
        <v>31537.1</v>
      </c>
      <c r="GI110">
        <v>31648.6</v>
      </c>
      <c r="GJ110">
        <v>29371.5</v>
      </c>
      <c r="GK110">
        <v>29280.8</v>
      </c>
      <c r="GL110">
        <v>34086.8</v>
      </c>
      <c r="GM110">
        <v>35200.3</v>
      </c>
      <c r="GN110">
        <v>41344.1</v>
      </c>
      <c r="GO110">
        <v>41791.6</v>
      </c>
      <c r="GP110">
        <v>1.95793</v>
      </c>
      <c r="GQ110">
        <v>1.85285</v>
      </c>
      <c r="GR110">
        <v>0.0690296</v>
      </c>
      <c r="GS110">
        <v>0</v>
      </c>
      <c r="GT110">
        <v>28.4555</v>
      </c>
      <c r="GU110">
        <v>999.9</v>
      </c>
      <c r="GV110">
        <v>44.1</v>
      </c>
      <c r="GW110">
        <v>34.7</v>
      </c>
      <c r="GX110">
        <v>27.1577</v>
      </c>
      <c r="GY110">
        <v>62.7888</v>
      </c>
      <c r="GZ110">
        <v>36.0056</v>
      </c>
      <c r="HA110">
        <v>1</v>
      </c>
      <c r="HB110">
        <v>0.0850559</v>
      </c>
      <c r="HC110">
        <v>0</v>
      </c>
      <c r="HD110">
        <v>20.3477</v>
      </c>
      <c r="HE110">
        <v>5.22313</v>
      </c>
      <c r="HF110">
        <v>12.0098</v>
      </c>
      <c r="HG110">
        <v>4.9898</v>
      </c>
      <c r="HH110">
        <v>3.29</v>
      </c>
      <c r="HI110">
        <v>587.8</v>
      </c>
      <c r="HJ110">
        <v>4172</v>
      </c>
      <c r="HK110">
        <v>4680.1</v>
      </c>
      <c r="HL110">
        <v>19.1</v>
      </c>
      <c r="HM110">
        <v>1.86768</v>
      </c>
      <c r="HN110">
        <v>1.86661</v>
      </c>
      <c r="HO110">
        <v>1.86615</v>
      </c>
      <c r="HP110">
        <v>1.866</v>
      </c>
      <c r="HQ110">
        <v>1.86783</v>
      </c>
      <c r="HR110">
        <v>1.87033</v>
      </c>
      <c r="HS110">
        <v>1.869</v>
      </c>
      <c r="HT110">
        <v>1.8704</v>
      </c>
      <c r="HU110">
        <v>0</v>
      </c>
      <c r="HV110">
        <v>0</v>
      </c>
      <c r="HW110">
        <v>0</v>
      </c>
      <c r="HX110">
        <v>0</v>
      </c>
      <c r="HY110" t="s">
        <v>422</v>
      </c>
      <c r="HZ110" t="s">
        <v>423</v>
      </c>
      <c r="IA110" t="s">
        <v>424</v>
      </c>
      <c r="IB110" t="s">
        <v>424</v>
      </c>
      <c r="IC110" t="s">
        <v>424</v>
      </c>
      <c r="ID110" t="s">
        <v>424</v>
      </c>
      <c r="IE110">
        <v>0</v>
      </c>
      <c r="IF110">
        <v>100</v>
      </c>
      <c r="IG110">
        <v>100</v>
      </c>
      <c r="IH110">
        <v>-0.72</v>
      </c>
      <c r="II110">
        <v>0.08</v>
      </c>
      <c r="IJ110">
        <v>-0.7091561180838537</v>
      </c>
      <c r="IK110">
        <v>-0.001826611574738555</v>
      </c>
      <c r="IL110">
        <v>3.313362389709971E-07</v>
      </c>
      <c r="IM110">
        <v>-1.629490614973607E-10</v>
      </c>
      <c r="IN110">
        <v>0.07991473832466114</v>
      </c>
      <c r="IO110">
        <v>0</v>
      </c>
      <c r="IP110">
        <v>0</v>
      </c>
      <c r="IQ110">
        <v>0</v>
      </c>
      <c r="IR110">
        <v>3</v>
      </c>
      <c r="IS110">
        <v>2280</v>
      </c>
      <c r="IT110">
        <v>1</v>
      </c>
      <c r="IU110">
        <v>25</v>
      </c>
      <c r="IV110">
        <v>1</v>
      </c>
      <c r="IW110">
        <v>0.8</v>
      </c>
      <c r="IX110">
        <v>0.0317383</v>
      </c>
      <c r="IY110">
        <v>4.99878</v>
      </c>
      <c r="IZ110">
        <v>1.39648</v>
      </c>
      <c r="JA110">
        <v>2.34985</v>
      </c>
      <c r="JB110">
        <v>1.49536</v>
      </c>
      <c r="JC110">
        <v>2.35352</v>
      </c>
      <c r="JD110">
        <v>38.5995</v>
      </c>
      <c r="JE110">
        <v>24.0525</v>
      </c>
      <c r="JF110">
        <v>18</v>
      </c>
      <c r="JG110">
        <v>511.745</v>
      </c>
      <c r="JH110">
        <v>429.611</v>
      </c>
      <c r="JI110">
        <v>29.6558</v>
      </c>
      <c r="JJ110">
        <v>28.6203</v>
      </c>
      <c r="JK110">
        <v>29.9998</v>
      </c>
      <c r="JL110">
        <v>28.5254</v>
      </c>
      <c r="JM110">
        <v>28.4477</v>
      </c>
      <c r="JN110">
        <v>0</v>
      </c>
      <c r="JO110">
        <v>25.693</v>
      </c>
      <c r="JP110">
        <v>6.76492</v>
      </c>
      <c r="JQ110">
        <v>-999.9</v>
      </c>
      <c r="JR110">
        <v>0</v>
      </c>
      <c r="JS110">
        <v>21.4843</v>
      </c>
      <c r="JT110">
        <v>100.401</v>
      </c>
      <c r="JU110">
        <v>100.304</v>
      </c>
    </row>
    <row r="111" spans="1:281">
      <c r="A111">
        <v>95</v>
      </c>
      <c r="B111">
        <v>1651777005</v>
      </c>
      <c r="C111">
        <v>5127.400000095367</v>
      </c>
      <c r="D111" t="s">
        <v>638</v>
      </c>
      <c r="E111" t="s">
        <v>639</v>
      </c>
      <c r="F111">
        <v>5</v>
      </c>
      <c r="G111" t="s">
        <v>616</v>
      </c>
      <c r="H111" t="s">
        <v>417</v>
      </c>
      <c r="I111">
        <v>1651777002.25</v>
      </c>
      <c r="J111">
        <f>(K111)/1000</f>
        <v>0</v>
      </c>
      <c r="K111">
        <f>IF(CZ111, AN111, AH111)</f>
        <v>0</v>
      </c>
      <c r="L111">
        <f>IF(CZ111, AI111, AG111)</f>
        <v>0</v>
      </c>
      <c r="M111">
        <f>DB111 - IF(AU111&gt;1, L111*CV111*100.0/(AW111*DP111), 0)</f>
        <v>0</v>
      </c>
      <c r="N111">
        <f>((T111-J111/2)*M111-L111)/(T111+J111/2)</f>
        <v>0</v>
      </c>
      <c r="O111">
        <f>N111*(DI111+DJ111)/1000.0</f>
        <v>0</v>
      </c>
      <c r="P111">
        <f>(DB111 - IF(AU111&gt;1, L111*CV111*100.0/(AW111*DP111), 0))*(DI111+DJ111)/1000.0</f>
        <v>0</v>
      </c>
      <c r="Q111">
        <f>2.0/((1/S111-1/R111)+SIGN(S111)*SQRT((1/S111-1/R111)*(1/S111-1/R111) + 4*CW111/((CW111+1)*(CW111+1))*(2*1/S111*1/R111-1/R111*1/R111)))</f>
        <v>0</v>
      </c>
      <c r="R111">
        <f>IF(LEFT(CX111,1)&lt;&gt;"0",IF(LEFT(CX111,1)="1",3.0,CY111),$D$5+$E$5*(DP111*DI111/($K$5*1000))+$F$5*(DP111*DI111/($K$5*1000))*MAX(MIN(CV111,$J$5),$I$5)*MAX(MIN(CV111,$J$5),$I$5)+$G$5*MAX(MIN(CV111,$J$5),$I$5)*(DP111*DI111/($K$5*1000))+$H$5*(DP111*DI111/($K$5*1000))*(DP111*DI111/($K$5*1000)))</f>
        <v>0</v>
      </c>
      <c r="S111">
        <f>J111*(1000-(1000*0.61365*exp(17.502*W111/(240.97+W111))/(DI111+DJ111)+DD111)/2)/(1000*0.61365*exp(17.502*W111/(240.97+W111))/(DI111+DJ111)-DD111)</f>
        <v>0</v>
      </c>
      <c r="T111">
        <f>1/((CW111+1)/(Q111/1.6)+1/(R111/1.37)) + CW111/((CW111+1)/(Q111/1.6) + CW111/(R111/1.37))</f>
        <v>0</v>
      </c>
      <c r="U111">
        <f>(CR111*CU111)</f>
        <v>0</v>
      </c>
      <c r="V111">
        <f>(DK111+(U111+2*0.95*5.67E-8*(((DK111+$B$7)+273)^4-(DK111+273)^4)-44100*J111)/(1.84*29.3*R111+8*0.95*5.67E-8*(DK111+273)^3))</f>
        <v>0</v>
      </c>
      <c r="W111">
        <f>($C$7*DL111+$D$7*DM111+$E$7*V111)</f>
        <v>0</v>
      </c>
      <c r="X111">
        <f>0.61365*exp(17.502*W111/(240.97+W111))</f>
        <v>0</v>
      </c>
      <c r="Y111">
        <f>(Z111/AA111*100)</f>
        <v>0</v>
      </c>
      <c r="Z111">
        <f>DD111*(DI111+DJ111)/1000</f>
        <v>0</v>
      </c>
      <c r="AA111">
        <f>0.61365*exp(17.502*DK111/(240.97+DK111))</f>
        <v>0</v>
      </c>
      <c r="AB111">
        <f>(X111-DD111*(DI111+DJ111)/1000)</f>
        <v>0</v>
      </c>
      <c r="AC111">
        <f>(-J111*44100)</f>
        <v>0</v>
      </c>
      <c r="AD111">
        <f>2*29.3*R111*0.92*(DK111-W111)</f>
        <v>0</v>
      </c>
      <c r="AE111">
        <f>2*0.95*5.67E-8*(((DK111+$B$7)+273)^4-(W111+273)^4)</f>
        <v>0</v>
      </c>
      <c r="AF111">
        <f>U111+AE111+AC111+AD111</f>
        <v>0</v>
      </c>
      <c r="AG111">
        <f>DH111*AU111*(DC111-DB111*(1000-AU111*DE111)/(1000-AU111*DD111))/(100*CV111)</f>
        <v>0</v>
      </c>
      <c r="AH111">
        <f>1000*DH111*AU111*(DD111-DE111)/(100*CV111*(1000-AU111*DD111))</f>
        <v>0</v>
      </c>
      <c r="AI111">
        <f>(AJ111 - AK111 - DI111*1E3/(8.314*(DK111+273.15)) * AM111/DH111 * AL111) * DH111/(100*CV111) * (1000 - DE111)/1000</f>
        <v>0</v>
      </c>
      <c r="AJ111">
        <v>408.7271319396751</v>
      </c>
      <c r="AK111">
        <v>382.9202848484849</v>
      </c>
      <c r="AL111">
        <v>0.001342621964935406</v>
      </c>
      <c r="AM111">
        <v>66.75863831928736</v>
      </c>
      <c r="AN111">
        <f>(AP111 - AO111 + DI111*1E3/(8.314*(DK111+273.15)) * AR111/DH111 * AQ111) * DH111/(100*CV111) * 1000/(1000 - AP111)</f>
        <v>0</v>
      </c>
      <c r="AO111">
        <v>20.93995965252081</v>
      </c>
      <c r="AP111">
        <v>29.34978363636363</v>
      </c>
      <c r="AQ111">
        <v>-2.621349407712142E-06</v>
      </c>
      <c r="AR111">
        <v>78.04937141431746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MAX(0,($B$13+$C$13*DP111)/(1+$D$13*DP111)*DI111/(DK111+273)*$E$13)</f>
        <v>0</v>
      </c>
      <c r="AX111" t="s">
        <v>573</v>
      </c>
      <c r="AY111">
        <v>10510</v>
      </c>
      <c r="AZ111">
        <v>590.42</v>
      </c>
      <c r="BA111">
        <v>2650.6</v>
      </c>
      <c r="BB111">
        <f>1-AZ111/BA111</f>
        <v>0</v>
      </c>
      <c r="BC111">
        <v>-1.816883183993991</v>
      </c>
      <c r="BD111" t="s">
        <v>640</v>
      </c>
      <c r="BE111">
        <v>10384.2</v>
      </c>
      <c r="BF111">
        <v>2.405407692307692</v>
      </c>
      <c r="BG111">
        <v>1.8424</v>
      </c>
      <c r="BH111">
        <f>1-BF111/BG111</f>
        <v>0</v>
      </c>
      <c r="BI111">
        <v>0.5</v>
      </c>
      <c r="BJ111">
        <f>CS111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418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1232</v>
      </c>
      <c r="CA111">
        <v>300</v>
      </c>
      <c r="CB111">
        <v>300</v>
      </c>
      <c r="CC111">
        <v>300</v>
      </c>
      <c r="CD111">
        <v>10384.2</v>
      </c>
      <c r="CE111">
        <v>2.03</v>
      </c>
      <c r="CF111">
        <v>-0.00732362</v>
      </c>
      <c r="CG111">
        <v>0.95</v>
      </c>
      <c r="CH111" t="s">
        <v>418</v>
      </c>
      <c r="CI111" t="s">
        <v>418</v>
      </c>
      <c r="CJ111" t="s">
        <v>418</v>
      </c>
      <c r="CK111" t="s">
        <v>418</v>
      </c>
      <c r="CL111" t="s">
        <v>418</v>
      </c>
      <c r="CM111" t="s">
        <v>418</v>
      </c>
      <c r="CN111" t="s">
        <v>418</v>
      </c>
      <c r="CO111" t="s">
        <v>418</v>
      </c>
      <c r="CP111" t="s">
        <v>418</v>
      </c>
      <c r="CQ111" t="s">
        <v>418</v>
      </c>
      <c r="CR111">
        <f>$B$11*DQ111+$C$11*DR111+$F$11*EC111*(1-EF111)</f>
        <v>0</v>
      </c>
      <c r="CS111">
        <f>CR111*CT111</f>
        <v>0</v>
      </c>
      <c r="CT111">
        <f>($B$11*$D$9+$C$11*$D$9+$F$11*((EP111+EH111)/MAX(EP111+EH111+EQ111, 0.1)*$I$9+EQ111/MAX(EP111+EH111+EQ111, 0.1)*$J$9))/($B$11+$C$11+$F$11)</f>
        <v>0</v>
      </c>
      <c r="CU111">
        <f>($B$11*$K$9+$C$11*$K$9+$F$11*((EP111+EH111)/MAX(EP111+EH111+EQ111, 0.1)*$P$9+EQ111/MAX(EP111+EH111+EQ111, 0.1)*$Q$9))/($B$11+$C$11+$F$11)</f>
        <v>0</v>
      </c>
      <c r="CV111">
        <v>6</v>
      </c>
      <c r="CW111">
        <v>0.5</v>
      </c>
      <c r="CX111" t="s">
        <v>419</v>
      </c>
      <c r="CY111">
        <v>2</v>
      </c>
      <c r="CZ111" t="b">
        <v>1</v>
      </c>
      <c r="DA111">
        <v>1651777002.25</v>
      </c>
      <c r="DB111">
        <v>371.6623</v>
      </c>
      <c r="DC111">
        <v>400.169</v>
      </c>
      <c r="DD111">
        <v>29.35141</v>
      </c>
      <c r="DE111">
        <v>20.93941</v>
      </c>
      <c r="DF111">
        <v>373.0152</v>
      </c>
      <c r="DG111">
        <v>29.2715</v>
      </c>
      <c r="DH111">
        <v>500.0304</v>
      </c>
      <c r="DI111">
        <v>90.20676</v>
      </c>
      <c r="DJ111">
        <v>0.09998875999999998</v>
      </c>
      <c r="DK111">
        <v>30.47499999999999</v>
      </c>
      <c r="DL111">
        <v>29.49087000000001</v>
      </c>
      <c r="DM111">
        <v>999.9</v>
      </c>
      <c r="DN111">
        <v>0</v>
      </c>
      <c r="DO111">
        <v>0</v>
      </c>
      <c r="DP111">
        <v>10003.36</v>
      </c>
      <c r="DQ111">
        <v>0</v>
      </c>
      <c r="DR111">
        <v>13.33142</v>
      </c>
      <c r="DS111">
        <v>-28.50659</v>
      </c>
      <c r="DT111">
        <v>382.9010999999999</v>
      </c>
      <c r="DU111">
        <v>408.7273</v>
      </c>
      <c r="DV111">
        <v>8.411992999999999</v>
      </c>
      <c r="DW111">
        <v>400.169</v>
      </c>
      <c r="DX111">
        <v>20.93941</v>
      </c>
      <c r="DY111">
        <v>2.647694</v>
      </c>
      <c r="DZ111">
        <v>1.888876</v>
      </c>
      <c r="EA111">
        <v>21.96406</v>
      </c>
      <c r="EB111">
        <v>16.54235</v>
      </c>
      <c r="EC111">
        <v>1500.035</v>
      </c>
      <c r="ED111">
        <v>0.9730079999999999</v>
      </c>
      <c r="EE111">
        <v>0.02699205</v>
      </c>
      <c r="EF111">
        <v>0</v>
      </c>
      <c r="EG111">
        <v>2.52786</v>
      </c>
      <c r="EH111">
        <v>0</v>
      </c>
      <c r="EI111">
        <v>12945.33</v>
      </c>
      <c r="EJ111">
        <v>12533.69</v>
      </c>
      <c r="EK111">
        <v>36.7996</v>
      </c>
      <c r="EL111">
        <v>38.187</v>
      </c>
      <c r="EM111">
        <v>37.1374</v>
      </c>
      <c r="EN111">
        <v>37.5</v>
      </c>
      <c r="EO111">
        <v>36.75</v>
      </c>
      <c r="EP111">
        <v>1459.544</v>
      </c>
      <c r="EQ111">
        <v>40.49100000000001</v>
      </c>
      <c r="ER111">
        <v>0</v>
      </c>
      <c r="ES111">
        <v>95.40000009536743</v>
      </c>
      <c r="ET111">
        <v>0</v>
      </c>
      <c r="EU111">
        <v>2.405407692307692</v>
      </c>
      <c r="EV111">
        <v>0.4778051345102408</v>
      </c>
      <c r="EW111">
        <v>167.3846152341776</v>
      </c>
      <c r="EX111">
        <v>12932.73076923077</v>
      </c>
      <c r="EY111">
        <v>15</v>
      </c>
      <c r="EZ111">
        <v>1651776863.5</v>
      </c>
      <c r="FA111" t="s">
        <v>637</v>
      </c>
      <c r="FB111">
        <v>1651776848</v>
      </c>
      <c r="FC111">
        <v>1651776863.5</v>
      </c>
      <c r="FD111">
        <v>8</v>
      </c>
      <c r="FE111">
        <v>-0.08400000000000001</v>
      </c>
      <c r="FF111">
        <v>0.004</v>
      </c>
      <c r="FG111">
        <v>-0.711</v>
      </c>
      <c r="FH111">
        <v>0.03</v>
      </c>
      <c r="FI111">
        <v>1</v>
      </c>
      <c r="FJ111">
        <v>22</v>
      </c>
      <c r="FK111">
        <v>0.18</v>
      </c>
      <c r="FL111">
        <v>0.01</v>
      </c>
      <c r="FM111">
        <v>-28.55298536585366</v>
      </c>
      <c r="FN111">
        <v>0.02194494773516545</v>
      </c>
      <c r="FO111">
        <v>0.04783381068217722</v>
      </c>
      <c r="FP111">
        <v>1</v>
      </c>
      <c r="FQ111">
        <v>8.419777073170732</v>
      </c>
      <c r="FR111">
        <v>-0.06525554006965741</v>
      </c>
      <c r="FS111">
        <v>0.009242930916190918</v>
      </c>
      <c r="FT111">
        <v>1</v>
      </c>
      <c r="FU111">
        <v>0</v>
      </c>
      <c r="FV111">
        <v>0</v>
      </c>
      <c r="FW111">
        <v>0</v>
      </c>
      <c r="FX111">
        <v>1</v>
      </c>
      <c r="FY111">
        <v>3</v>
      </c>
      <c r="FZ111">
        <v>3</v>
      </c>
      <c r="GA111" t="s">
        <v>581</v>
      </c>
      <c r="GB111">
        <v>2.98067</v>
      </c>
      <c r="GC111">
        <v>2.70626</v>
      </c>
      <c r="GD111">
        <v>0.0855967</v>
      </c>
      <c r="GE111">
        <v>0.0894649</v>
      </c>
      <c r="GF111">
        <v>0.122188</v>
      </c>
      <c r="GG111">
        <v>0.09520770000000001</v>
      </c>
      <c r="GH111">
        <v>28885.9</v>
      </c>
      <c r="GI111">
        <v>28822.1</v>
      </c>
      <c r="GJ111">
        <v>29372.4</v>
      </c>
      <c r="GK111">
        <v>29282.1</v>
      </c>
      <c r="GL111">
        <v>34125.9</v>
      </c>
      <c r="GM111">
        <v>35274.8</v>
      </c>
      <c r="GN111">
        <v>41345.6</v>
      </c>
      <c r="GO111">
        <v>41793.7</v>
      </c>
      <c r="GP111">
        <v>1.95865</v>
      </c>
      <c r="GQ111">
        <v>1.85405</v>
      </c>
      <c r="GR111">
        <v>0.0641346</v>
      </c>
      <c r="GS111">
        <v>0</v>
      </c>
      <c r="GT111">
        <v>28.4434</v>
      </c>
      <c r="GU111">
        <v>999.9</v>
      </c>
      <c r="GV111">
        <v>44.2</v>
      </c>
      <c r="GW111">
        <v>34.7</v>
      </c>
      <c r="GX111">
        <v>27.2172</v>
      </c>
      <c r="GY111">
        <v>62.7288</v>
      </c>
      <c r="GZ111">
        <v>35.7893</v>
      </c>
      <c r="HA111">
        <v>1</v>
      </c>
      <c r="HB111">
        <v>0.08182159999999999</v>
      </c>
      <c r="HC111">
        <v>0</v>
      </c>
      <c r="HD111">
        <v>20.3481</v>
      </c>
      <c r="HE111">
        <v>5.22463</v>
      </c>
      <c r="HF111">
        <v>12.0099</v>
      </c>
      <c r="HG111">
        <v>4.9908</v>
      </c>
      <c r="HH111">
        <v>3.29</v>
      </c>
      <c r="HI111">
        <v>589.7</v>
      </c>
      <c r="HJ111">
        <v>4183.8</v>
      </c>
      <c r="HK111">
        <v>4684.8</v>
      </c>
      <c r="HL111">
        <v>19.1</v>
      </c>
      <c r="HM111">
        <v>1.86759</v>
      </c>
      <c r="HN111">
        <v>1.86659</v>
      </c>
      <c r="HO111">
        <v>1.86611</v>
      </c>
      <c r="HP111">
        <v>1.866</v>
      </c>
      <c r="HQ111">
        <v>1.86783</v>
      </c>
      <c r="HR111">
        <v>1.87029</v>
      </c>
      <c r="HS111">
        <v>1.86896</v>
      </c>
      <c r="HT111">
        <v>1.87034</v>
      </c>
      <c r="HU111">
        <v>0</v>
      </c>
      <c r="HV111">
        <v>0</v>
      </c>
      <c r="HW111">
        <v>0</v>
      </c>
      <c r="HX111">
        <v>0</v>
      </c>
      <c r="HY111" t="s">
        <v>422</v>
      </c>
      <c r="HZ111" t="s">
        <v>423</v>
      </c>
      <c r="IA111" t="s">
        <v>424</v>
      </c>
      <c r="IB111" t="s">
        <v>424</v>
      </c>
      <c r="IC111" t="s">
        <v>424</v>
      </c>
      <c r="ID111" t="s">
        <v>424</v>
      </c>
      <c r="IE111">
        <v>0</v>
      </c>
      <c r="IF111">
        <v>100</v>
      </c>
      <c r="IG111">
        <v>100</v>
      </c>
      <c r="IH111">
        <v>-1.352</v>
      </c>
      <c r="II111">
        <v>0.0799</v>
      </c>
      <c r="IJ111">
        <v>-0.7091561180838537</v>
      </c>
      <c r="IK111">
        <v>-0.001826611574738555</v>
      </c>
      <c r="IL111">
        <v>3.313362389709971E-07</v>
      </c>
      <c r="IM111">
        <v>-1.629490614973607E-10</v>
      </c>
      <c r="IN111">
        <v>0.07991473832466114</v>
      </c>
      <c r="IO111">
        <v>0</v>
      </c>
      <c r="IP111">
        <v>0</v>
      </c>
      <c r="IQ111">
        <v>0</v>
      </c>
      <c r="IR111">
        <v>3</v>
      </c>
      <c r="IS111">
        <v>2280</v>
      </c>
      <c r="IT111">
        <v>1</v>
      </c>
      <c r="IU111">
        <v>25</v>
      </c>
      <c r="IV111">
        <v>2.6</v>
      </c>
      <c r="IW111">
        <v>2.4</v>
      </c>
      <c r="IX111">
        <v>1.01562</v>
      </c>
      <c r="IY111">
        <v>2.24854</v>
      </c>
      <c r="IZ111">
        <v>1.39648</v>
      </c>
      <c r="JA111">
        <v>2.34985</v>
      </c>
      <c r="JB111">
        <v>1.49536</v>
      </c>
      <c r="JC111">
        <v>2.34009</v>
      </c>
      <c r="JD111">
        <v>38.5995</v>
      </c>
      <c r="JE111">
        <v>24.0612</v>
      </c>
      <c r="JF111">
        <v>18</v>
      </c>
      <c r="JG111">
        <v>511.771</v>
      </c>
      <c r="JH111">
        <v>429.977</v>
      </c>
      <c r="JI111">
        <v>29.6296</v>
      </c>
      <c r="JJ111">
        <v>28.5728</v>
      </c>
      <c r="JK111">
        <v>30</v>
      </c>
      <c r="JL111">
        <v>28.4727</v>
      </c>
      <c r="JM111">
        <v>28.3991</v>
      </c>
      <c r="JN111">
        <v>20.3446</v>
      </c>
      <c r="JO111">
        <v>28.1705</v>
      </c>
      <c r="JP111">
        <v>5.27353</v>
      </c>
      <c r="JQ111">
        <v>-999.9</v>
      </c>
      <c r="JR111">
        <v>400</v>
      </c>
      <c r="JS111">
        <v>20.8443</v>
      </c>
      <c r="JT111">
        <v>100.405</v>
      </c>
      <c r="JU111">
        <v>100.309</v>
      </c>
    </row>
    <row r="112" spans="1:281">
      <c r="A112">
        <v>96</v>
      </c>
      <c r="B112">
        <v>1651777071.1</v>
      </c>
      <c r="C112">
        <v>5193.5</v>
      </c>
      <c r="D112" t="s">
        <v>641</v>
      </c>
      <c r="E112" t="s">
        <v>642</v>
      </c>
      <c r="F112">
        <v>5</v>
      </c>
      <c r="G112" t="s">
        <v>616</v>
      </c>
      <c r="H112" t="s">
        <v>417</v>
      </c>
      <c r="I112">
        <v>1651777068.1</v>
      </c>
      <c r="J112">
        <f>(K112)/1000</f>
        <v>0</v>
      </c>
      <c r="K112">
        <f>IF(CZ112, AN112, AH112)</f>
        <v>0</v>
      </c>
      <c r="L112">
        <f>IF(CZ112, AI112, AG112)</f>
        <v>0</v>
      </c>
      <c r="M112">
        <f>DB112 - IF(AU112&gt;1, L112*CV112*100.0/(AW112*DP112), 0)</f>
        <v>0</v>
      </c>
      <c r="N112">
        <f>((T112-J112/2)*M112-L112)/(T112+J112/2)</f>
        <v>0</v>
      </c>
      <c r="O112">
        <f>N112*(DI112+DJ112)/1000.0</f>
        <v>0</v>
      </c>
      <c r="P112">
        <f>(DB112 - IF(AU112&gt;1, L112*CV112*100.0/(AW112*DP112), 0))*(DI112+DJ112)/1000.0</f>
        <v>0</v>
      </c>
      <c r="Q112">
        <f>2.0/((1/S112-1/R112)+SIGN(S112)*SQRT((1/S112-1/R112)*(1/S112-1/R112) + 4*CW112/((CW112+1)*(CW112+1))*(2*1/S112*1/R112-1/R112*1/R112)))</f>
        <v>0</v>
      </c>
      <c r="R112">
        <f>IF(LEFT(CX112,1)&lt;&gt;"0",IF(LEFT(CX112,1)="1",3.0,CY112),$D$5+$E$5*(DP112*DI112/($K$5*1000))+$F$5*(DP112*DI112/($K$5*1000))*MAX(MIN(CV112,$J$5),$I$5)*MAX(MIN(CV112,$J$5),$I$5)+$G$5*MAX(MIN(CV112,$J$5),$I$5)*(DP112*DI112/($K$5*1000))+$H$5*(DP112*DI112/($K$5*1000))*(DP112*DI112/($K$5*1000)))</f>
        <v>0</v>
      </c>
      <c r="S112">
        <f>J112*(1000-(1000*0.61365*exp(17.502*W112/(240.97+W112))/(DI112+DJ112)+DD112)/2)/(1000*0.61365*exp(17.502*W112/(240.97+W112))/(DI112+DJ112)-DD112)</f>
        <v>0</v>
      </c>
      <c r="T112">
        <f>1/((CW112+1)/(Q112/1.6)+1/(R112/1.37)) + CW112/((CW112+1)/(Q112/1.6) + CW112/(R112/1.37))</f>
        <v>0</v>
      </c>
      <c r="U112">
        <f>(CR112*CU112)</f>
        <v>0</v>
      </c>
      <c r="V112">
        <f>(DK112+(U112+2*0.95*5.67E-8*(((DK112+$B$7)+273)^4-(DK112+273)^4)-44100*J112)/(1.84*29.3*R112+8*0.95*5.67E-8*(DK112+273)^3))</f>
        <v>0</v>
      </c>
      <c r="W112">
        <f>($C$7*DL112+$D$7*DM112+$E$7*V112)</f>
        <v>0</v>
      </c>
      <c r="X112">
        <f>0.61365*exp(17.502*W112/(240.97+W112))</f>
        <v>0</v>
      </c>
      <c r="Y112">
        <f>(Z112/AA112*100)</f>
        <v>0</v>
      </c>
      <c r="Z112">
        <f>DD112*(DI112+DJ112)/1000</f>
        <v>0</v>
      </c>
      <c r="AA112">
        <f>0.61365*exp(17.502*DK112/(240.97+DK112))</f>
        <v>0</v>
      </c>
      <c r="AB112">
        <f>(X112-DD112*(DI112+DJ112)/1000)</f>
        <v>0</v>
      </c>
      <c r="AC112">
        <f>(-J112*44100)</f>
        <v>0</v>
      </c>
      <c r="AD112">
        <f>2*29.3*R112*0.92*(DK112-W112)</f>
        <v>0</v>
      </c>
      <c r="AE112">
        <f>2*0.95*5.67E-8*(((DK112+$B$7)+273)^4-(W112+273)^4)</f>
        <v>0</v>
      </c>
      <c r="AF112">
        <f>U112+AE112+AC112+AD112</f>
        <v>0</v>
      </c>
      <c r="AG112">
        <f>DH112*AU112*(DC112-DB112*(1000-AU112*DE112)/(1000-AU112*DD112))/(100*CV112)</f>
        <v>0</v>
      </c>
      <c r="AH112">
        <f>1000*DH112*AU112*(DD112-DE112)/(100*CV112*(1000-AU112*DD112))</f>
        <v>0</v>
      </c>
      <c r="AI112">
        <f>(AJ112 - AK112 - DI112*1E3/(8.314*(DK112+273.15)) * AM112/DH112 * AL112) * DH112/(100*CV112) * (1000 - DE112)/1000</f>
        <v>0</v>
      </c>
      <c r="AJ112">
        <v>408.4833728898437</v>
      </c>
      <c r="AK112">
        <v>383.372812121212</v>
      </c>
      <c r="AL112">
        <v>0.003199530746465087</v>
      </c>
      <c r="AM112">
        <v>66.75863831928736</v>
      </c>
      <c r="AN112">
        <f>(AP112 - AO112 + DI112*1E3/(8.314*(DK112+273.15)) * AR112/DH112 * AQ112) * DH112/(100*CV112) * 1000/(1000 - AP112)</f>
        <v>0</v>
      </c>
      <c r="AO112">
        <v>20.63519700307119</v>
      </c>
      <c r="AP112">
        <v>29.22841515151515</v>
      </c>
      <c r="AQ112">
        <v>-3.429081093450196E-05</v>
      </c>
      <c r="AR112">
        <v>78.04937141431746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MAX(0,($B$13+$C$13*DP112)/(1+$D$13*DP112)*DI112/(DK112+273)*$E$13)</f>
        <v>0</v>
      </c>
      <c r="AX112" t="s">
        <v>418</v>
      </c>
      <c r="AY112" t="s">
        <v>418</v>
      </c>
      <c r="AZ112">
        <v>0</v>
      </c>
      <c r="BA112">
        <v>0</v>
      </c>
      <c r="BB112">
        <f>1-AZ112/BA112</f>
        <v>0</v>
      </c>
      <c r="BC112">
        <v>0</v>
      </c>
      <c r="BD112" t="s">
        <v>418</v>
      </c>
      <c r="BE112" t="s">
        <v>418</v>
      </c>
      <c r="BF112">
        <v>0</v>
      </c>
      <c r="BG112">
        <v>0</v>
      </c>
      <c r="BH112">
        <f>1-BF112/BG112</f>
        <v>0</v>
      </c>
      <c r="BI112">
        <v>0.5</v>
      </c>
      <c r="BJ112">
        <f>CS112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418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1232</v>
      </c>
      <c r="CA112">
        <v>300</v>
      </c>
      <c r="CB112">
        <v>300</v>
      </c>
      <c r="CC112">
        <v>300</v>
      </c>
      <c r="CD112">
        <v>10384.2</v>
      </c>
      <c r="CE112">
        <v>2.03</v>
      </c>
      <c r="CF112">
        <v>-0.00732362</v>
      </c>
      <c r="CG112">
        <v>0.95</v>
      </c>
      <c r="CH112" t="s">
        <v>418</v>
      </c>
      <c r="CI112" t="s">
        <v>418</v>
      </c>
      <c r="CJ112" t="s">
        <v>418</v>
      </c>
      <c r="CK112" t="s">
        <v>418</v>
      </c>
      <c r="CL112" t="s">
        <v>418</v>
      </c>
      <c r="CM112" t="s">
        <v>418</v>
      </c>
      <c r="CN112" t="s">
        <v>418</v>
      </c>
      <c r="CO112" t="s">
        <v>418</v>
      </c>
      <c r="CP112" t="s">
        <v>418</v>
      </c>
      <c r="CQ112" t="s">
        <v>418</v>
      </c>
      <c r="CR112">
        <f>$B$11*DQ112+$C$11*DR112+$F$11*EC112*(1-EF112)</f>
        <v>0</v>
      </c>
      <c r="CS112">
        <f>CR112*CT112</f>
        <v>0</v>
      </c>
      <c r="CT112">
        <f>($B$11*$D$9+$C$11*$D$9+$F$11*((EP112+EH112)/MAX(EP112+EH112+EQ112, 0.1)*$I$9+EQ112/MAX(EP112+EH112+EQ112, 0.1)*$J$9))/($B$11+$C$11+$F$11)</f>
        <v>0</v>
      </c>
      <c r="CU112">
        <f>($B$11*$K$9+$C$11*$K$9+$F$11*((EP112+EH112)/MAX(EP112+EH112+EQ112, 0.1)*$P$9+EQ112/MAX(EP112+EH112+EQ112, 0.1)*$Q$9))/($B$11+$C$11+$F$11)</f>
        <v>0</v>
      </c>
      <c r="CV112">
        <v>6</v>
      </c>
      <c r="CW112">
        <v>0.5</v>
      </c>
      <c r="CX112" t="s">
        <v>419</v>
      </c>
      <c r="CY112">
        <v>2</v>
      </c>
      <c r="CZ112" t="b">
        <v>1</v>
      </c>
      <c r="DA112">
        <v>1651777068.1</v>
      </c>
      <c r="DB112">
        <v>372.1499090909091</v>
      </c>
      <c r="DC112">
        <v>400.0686363636363</v>
      </c>
      <c r="DD112">
        <v>29.22947272727272</v>
      </c>
      <c r="DE112">
        <v>20.63471818181818</v>
      </c>
      <c r="DF112">
        <v>373.5036363636364</v>
      </c>
      <c r="DG112">
        <v>29.14955454545455</v>
      </c>
      <c r="DH112">
        <v>500.058</v>
      </c>
      <c r="DI112">
        <v>90.2063</v>
      </c>
      <c r="DJ112">
        <v>0.09996572727272725</v>
      </c>
      <c r="DK112">
        <v>30.46194545454545</v>
      </c>
      <c r="DL112">
        <v>29.46474545454546</v>
      </c>
      <c r="DM112">
        <v>999.9</v>
      </c>
      <c r="DN112">
        <v>0</v>
      </c>
      <c r="DO112">
        <v>0</v>
      </c>
      <c r="DP112">
        <v>10006.35727272727</v>
      </c>
      <c r="DQ112">
        <v>0</v>
      </c>
      <c r="DR112">
        <v>13.3212</v>
      </c>
      <c r="DS112">
        <v>-27.91866363636364</v>
      </c>
      <c r="DT112">
        <v>383.3551818181818</v>
      </c>
      <c r="DU112">
        <v>408.4979090909091</v>
      </c>
      <c r="DV112">
        <v>8.59474</v>
      </c>
      <c r="DW112">
        <v>400.0686363636363</v>
      </c>
      <c r="DX112">
        <v>20.63471818181818</v>
      </c>
      <c r="DY112">
        <v>2.636683636363636</v>
      </c>
      <c r="DZ112">
        <v>1.861382727272727</v>
      </c>
      <c r="EA112">
        <v>21.89575454545454</v>
      </c>
      <c r="EB112">
        <v>16.31203636363636</v>
      </c>
      <c r="EC112">
        <v>1499.968181818182</v>
      </c>
      <c r="ED112">
        <v>0.9730082727272727</v>
      </c>
      <c r="EE112">
        <v>0.02699180909090909</v>
      </c>
      <c r="EF112">
        <v>0</v>
      </c>
      <c r="EG112">
        <v>2.378727272727273</v>
      </c>
      <c r="EH112">
        <v>0</v>
      </c>
      <c r="EI112">
        <v>12973.10909090909</v>
      </c>
      <c r="EJ112">
        <v>12533.13636363636</v>
      </c>
      <c r="EK112">
        <v>36.812</v>
      </c>
      <c r="EL112">
        <v>38.15318181818182</v>
      </c>
      <c r="EM112">
        <v>37.125</v>
      </c>
      <c r="EN112">
        <v>37.45418181818182</v>
      </c>
      <c r="EO112">
        <v>36.75</v>
      </c>
      <c r="EP112">
        <v>1459.478181818182</v>
      </c>
      <c r="EQ112">
        <v>40.49</v>
      </c>
      <c r="ER112">
        <v>0</v>
      </c>
      <c r="ES112">
        <v>65.40000009536743</v>
      </c>
      <c r="ET112">
        <v>0</v>
      </c>
      <c r="EU112">
        <v>2.407115384615385</v>
      </c>
      <c r="EV112">
        <v>-0.5783589787785787</v>
      </c>
      <c r="EW112">
        <v>-6.447863218906543</v>
      </c>
      <c r="EX112">
        <v>12973.46153846154</v>
      </c>
      <c r="EY112">
        <v>15</v>
      </c>
      <c r="EZ112">
        <v>1651776863.5</v>
      </c>
      <c r="FA112" t="s">
        <v>637</v>
      </c>
      <c r="FB112">
        <v>1651776848</v>
      </c>
      <c r="FC112">
        <v>1651776863.5</v>
      </c>
      <c r="FD112">
        <v>8</v>
      </c>
      <c r="FE112">
        <v>-0.08400000000000001</v>
      </c>
      <c r="FF112">
        <v>0.004</v>
      </c>
      <c r="FG112">
        <v>-0.711</v>
      </c>
      <c r="FH112">
        <v>0.03</v>
      </c>
      <c r="FI112">
        <v>1</v>
      </c>
      <c r="FJ112">
        <v>22</v>
      </c>
      <c r="FK112">
        <v>0.18</v>
      </c>
      <c r="FL112">
        <v>0.01</v>
      </c>
      <c r="FM112">
        <v>-27.923845</v>
      </c>
      <c r="FN112">
        <v>0.02506491557225318</v>
      </c>
      <c r="FO112">
        <v>0.02465184526561872</v>
      </c>
      <c r="FP112">
        <v>1</v>
      </c>
      <c r="FQ112">
        <v>8.5850765</v>
      </c>
      <c r="FR112">
        <v>0.1491840900562715</v>
      </c>
      <c r="FS112">
        <v>0.01832205127025904</v>
      </c>
      <c r="FT112">
        <v>1</v>
      </c>
      <c r="FU112">
        <v>0</v>
      </c>
      <c r="FV112">
        <v>0</v>
      </c>
      <c r="FW112">
        <v>0</v>
      </c>
      <c r="FX112">
        <v>1</v>
      </c>
      <c r="FY112">
        <v>3</v>
      </c>
      <c r="FZ112">
        <v>3</v>
      </c>
      <c r="GA112" t="s">
        <v>581</v>
      </c>
      <c r="GB112">
        <v>2.9807</v>
      </c>
      <c r="GC112">
        <v>2.70622</v>
      </c>
      <c r="GD112">
        <v>0.0856944</v>
      </c>
      <c r="GE112">
        <v>0.08946229999999999</v>
      </c>
      <c r="GF112">
        <v>0.121847</v>
      </c>
      <c r="GG112">
        <v>0.09424</v>
      </c>
      <c r="GH112">
        <v>28883.9</v>
      </c>
      <c r="GI112">
        <v>28823.6</v>
      </c>
      <c r="GJ112">
        <v>29373.3</v>
      </c>
      <c r="GK112">
        <v>29283.4</v>
      </c>
      <c r="GL112">
        <v>34139.9</v>
      </c>
      <c r="GM112">
        <v>35314.8</v>
      </c>
      <c r="GN112">
        <v>41346.5</v>
      </c>
      <c r="GO112">
        <v>41795.8</v>
      </c>
      <c r="GP112">
        <v>1.95898</v>
      </c>
      <c r="GQ112">
        <v>1.85443</v>
      </c>
      <c r="GR112">
        <v>0.06359819999999999</v>
      </c>
      <c r="GS112">
        <v>0</v>
      </c>
      <c r="GT112">
        <v>28.4256</v>
      </c>
      <c r="GU112">
        <v>999.9</v>
      </c>
      <c r="GV112">
        <v>44.2</v>
      </c>
      <c r="GW112">
        <v>34.7</v>
      </c>
      <c r="GX112">
        <v>27.2219</v>
      </c>
      <c r="GY112">
        <v>62.5161</v>
      </c>
      <c r="GZ112">
        <v>35.633</v>
      </c>
      <c r="HA112">
        <v>1</v>
      </c>
      <c r="HB112">
        <v>0.0796646</v>
      </c>
      <c r="HC112">
        <v>0</v>
      </c>
      <c r="HD112">
        <v>20.3479</v>
      </c>
      <c r="HE112">
        <v>5.22343</v>
      </c>
      <c r="HF112">
        <v>12.0099</v>
      </c>
      <c r="HG112">
        <v>4.99115</v>
      </c>
      <c r="HH112">
        <v>3.29</v>
      </c>
      <c r="HI112">
        <v>591.2</v>
      </c>
      <c r="HJ112">
        <v>4193.4</v>
      </c>
      <c r="HK112">
        <v>4687.6</v>
      </c>
      <c r="HL112">
        <v>19.1</v>
      </c>
      <c r="HM112">
        <v>1.86758</v>
      </c>
      <c r="HN112">
        <v>1.8666</v>
      </c>
      <c r="HO112">
        <v>1.86614</v>
      </c>
      <c r="HP112">
        <v>1.866</v>
      </c>
      <c r="HQ112">
        <v>1.86783</v>
      </c>
      <c r="HR112">
        <v>1.87027</v>
      </c>
      <c r="HS112">
        <v>1.86893</v>
      </c>
      <c r="HT112">
        <v>1.87029</v>
      </c>
      <c r="HU112">
        <v>0</v>
      </c>
      <c r="HV112">
        <v>0</v>
      </c>
      <c r="HW112">
        <v>0</v>
      </c>
      <c r="HX112">
        <v>0</v>
      </c>
      <c r="HY112" t="s">
        <v>422</v>
      </c>
      <c r="HZ112" t="s">
        <v>423</v>
      </c>
      <c r="IA112" t="s">
        <v>424</v>
      </c>
      <c r="IB112" t="s">
        <v>424</v>
      </c>
      <c r="IC112" t="s">
        <v>424</v>
      </c>
      <c r="ID112" t="s">
        <v>424</v>
      </c>
      <c r="IE112">
        <v>0</v>
      </c>
      <c r="IF112">
        <v>100</v>
      </c>
      <c r="IG112">
        <v>100</v>
      </c>
      <c r="IH112">
        <v>-1.354</v>
      </c>
      <c r="II112">
        <v>0.08</v>
      </c>
      <c r="IJ112">
        <v>-0.7091561180838537</v>
      </c>
      <c r="IK112">
        <v>-0.001826611574738555</v>
      </c>
      <c r="IL112">
        <v>3.313362389709971E-07</v>
      </c>
      <c r="IM112">
        <v>-1.629490614973607E-10</v>
      </c>
      <c r="IN112">
        <v>0.07991473832466114</v>
      </c>
      <c r="IO112">
        <v>0</v>
      </c>
      <c r="IP112">
        <v>0</v>
      </c>
      <c r="IQ112">
        <v>0</v>
      </c>
      <c r="IR112">
        <v>3</v>
      </c>
      <c r="IS112">
        <v>2280</v>
      </c>
      <c r="IT112">
        <v>1</v>
      </c>
      <c r="IU112">
        <v>25</v>
      </c>
      <c r="IV112">
        <v>3.7</v>
      </c>
      <c r="IW112">
        <v>3.5</v>
      </c>
      <c r="IX112">
        <v>1.01318</v>
      </c>
      <c r="IY112">
        <v>2.24243</v>
      </c>
      <c r="IZ112">
        <v>1.39648</v>
      </c>
      <c r="JA112">
        <v>2.35107</v>
      </c>
      <c r="JB112">
        <v>1.49536</v>
      </c>
      <c r="JC112">
        <v>2.36328</v>
      </c>
      <c r="JD112">
        <v>38.5504</v>
      </c>
      <c r="JE112">
        <v>24.0612</v>
      </c>
      <c r="JF112">
        <v>18</v>
      </c>
      <c r="JG112">
        <v>511.695</v>
      </c>
      <c r="JH112">
        <v>429.951</v>
      </c>
      <c r="JI112">
        <v>29.611</v>
      </c>
      <c r="JJ112">
        <v>28.5409</v>
      </c>
      <c r="JK112">
        <v>29.9998</v>
      </c>
      <c r="JL112">
        <v>28.4388</v>
      </c>
      <c r="JM112">
        <v>28.3649</v>
      </c>
      <c r="JN112">
        <v>20.2798</v>
      </c>
      <c r="JO112">
        <v>28.4202</v>
      </c>
      <c r="JP112">
        <v>4.14702</v>
      </c>
      <c r="JQ112">
        <v>-999.9</v>
      </c>
      <c r="JR112">
        <v>400</v>
      </c>
      <c r="JS112">
        <v>20.7081</v>
      </c>
      <c r="JT112">
        <v>100.407</v>
      </c>
      <c r="JU112">
        <v>100.314</v>
      </c>
    </row>
    <row r="113" spans="1:281">
      <c r="A113">
        <v>97</v>
      </c>
      <c r="B113">
        <v>1651777191.6</v>
      </c>
      <c r="C113">
        <v>5314</v>
      </c>
      <c r="D113" t="s">
        <v>643</v>
      </c>
      <c r="E113" t="s">
        <v>644</v>
      </c>
      <c r="F113">
        <v>5</v>
      </c>
      <c r="G113" t="s">
        <v>616</v>
      </c>
      <c r="H113" t="s">
        <v>417</v>
      </c>
      <c r="I113">
        <v>1651777188.85</v>
      </c>
      <c r="J113">
        <f>(K113)/1000</f>
        <v>0</v>
      </c>
      <c r="K113">
        <f>IF(CZ113, AN113, AH113)</f>
        <v>0</v>
      </c>
      <c r="L113">
        <f>IF(CZ113, AI113, AG113)</f>
        <v>0</v>
      </c>
      <c r="M113">
        <f>DB113 - IF(AU113&gt;1, L113*CV113*100.0/(AW113*DP113), 0)</f>
        <v>0</v>
      </c>
      <c r="N113">
        <f>((T113-J113/2)*M113-L113)/(T113+J113/2)</f>
        <v>0</v>
      </c>
      <c r="O113">
        <f>N113*(DI113+DJ113)/1000.0</f>
        <v>0</v>
      </c>
      <c r="P113">
        <f>(DB113 - IF(AU113&gt;1, L113*CV113*100.0/(AW113*DP113), 0))*(DI113+DJ113)/1000.0</f>
        <v>0</v>
      </c>
      <c r="Q113">
        <f>2.0/((1/S113-1/R113)+SIGN(S113)*SQRT((1/S113-1/R113)*(1/S113-1/R113) + 4*CW113/((CW113+1)*(CW113+1))*(2*1/S113*1/R113-1/R113*1/R113)))</f>
        <v>0</v>
      </c>
      <c r="R113">
        <f>IF(LEFT(CX113,1)&lt;&gt;"0",IF(LEFT(CX113,1)="1",3.0,CY113),$D$5+$E$5*(DP113*DI113/($K$5*1000))+$F$5*(DP113*DI113/($K$5*1000))*MAX(MIN(CV113,$J$5),$I$5)*MAX(MIN(CV113,$J$5),$I$5)+$G$5*MAX(MIN(CV113,$J$5),$I$5)*(DP113*DI113/($K$5*1000))+$H$5*(DP113*DI113/($K$5*1000))*(DP113*DI113/($K$5*1000)))</f>
        <v>0</v>
      </c>
      <c r="S113">
        <f>J113*(1000-(1000*0.61365*exp(17.502*W113/(240.97+W113))/(DI113+DJ113)+DD113)/2)/(1000*0.61365*exp(17.502*W113/(240.97+W113))/(DI113+DJ113)-DD113)</f>
        <v>0</v>
      </c>
      <c r="T113">
        <f>1/((CW113+1)/(Q113/1.6)+1/(R113/1.37)) + CW113/((CW113+1)/(Q113/1.6) + CW113/(R113/1.37))</f>
        <v>0</v>
      </c>
      <c r="U113">
        <f>(CR113*CU113)</f>
        <v>0</v>
      </c>
      <c r="V113">
        <f>(DK113+(U113+2*0.95*5.67E-8*(((DK113+$B$7)+273)^4-(DK113+273)^4)-44100*J113)/(1.84*29.3*R113+8*0.95*5.67E-8*(DK113+273)^3))</f>
        <v>0</v>
      </c>
      <c r="W113">
        <f>($C$7*DL113+$D$7*DM113+$E$7*V113)</f>
        <v>0</v>
      </c>
      <c r="X113">
        <f>0.61365*exp(17.502*W113/(240.97+W113))</f>
        <v>0</v>
      </c>
      <c r="Y113">
        <f>(Z113/AA113*100)</f>
        <v>0</v>
      </c>
      <c r="Z113">
        <f>DD113*(DI113+DJ113)/1000</f>
        <v>0</v>
      </c>
      <c r="AA113">
        <f>0.61365*exp(17.502*DK113/(240.97+DK113))</f>
        <v>0</v>
      </c>
      <c r="AB113">
        <f>(X113-DD113*(DI113+DJ113)/1000)</f>
        <v>0</v>
      </c>
      <c r="AC113">
        <f>(-J113*44100)</f>
        <v>0</v>
      </c>
      <c r="AD113">
        <f>2*29.3*R113*0.92*(DK113-W113)</f>
        <v>0</v>
      </c>
      <c r="AE113">
        <f>2*0.95*5.67E-8*(((DK113+$B$7)+273)^4-(W113+273)^4)</f>
        <v>0</v>
      </c>
      <c r="AF113">
        <f>U113+AE113+AC113+AD113</f>
        <v>0</v>
      </c>
      <c r="AG113">
        <f>DH113*AU113*(DC113-DB113*(1000-AU113*DE113)/(1000-AU113*DD113))/(100*CV113)</f>
        <v>0</v>
      </c>
      <c r="AH113">
        <f>1000*DH113*AU113*(DD113-DE113)/(100*CV113*(1000-AU113*DD113))</f>
        <v>0</v>
      </c>
      <c r="AI113">
        <f>(AJ113 - AK113 - DI113*1E3/(8.314*(DK113+273.15)) * AM113/DH113 * AL113) * DH113/(100*CV113) * (1000 - DE113)/1000</f>
        <v>0</v>
      </c>
      <c r="AJ113">
        <v>612.4489794322031</v>
      </c>
      <c r="AK113">
        <v>580.627624242424</v>
      </c>
      <c r="AL113">
        <v>0.0005635972591579735</v>
      </c>
      <c r="AM113">
        <v>66.75863831928736</v>
      </c>
      <c r="AN113">
        <f>(AP113 - AO113 + DI113*1E3/(8.314*(DK113+273.15)) * AR113/DH113 * AQ113) * DH113/(100*CV113) * 1000/(1000 - AP113)</f>
        <v>0</v>
      </c>
      <c r="AO113">
        <v>20.20610876330099</v>
      </c>
      <c r="AP113">
        <v>28.99170242424241</v>
      </c>
      <c r="AQ113">
        <v>-0.00367554931772432</v>
      </c>
      <c r="AR113">
        <v>78.04937141431746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MAX(0,($B$13+$C$13*DP113)/(1+$D$13*DP113)*DI113/(DK113+273)*$E$13)</f>
        <v>0</v>
      </c>
      <c r="AX113" t="s">
        <v>573</v>
      </c>
      <c r="AY113">
        <v>10510</v>
      </c>
      <c r="AZ113">
        <v>590.42</v>
      </c>
      <c r="BA113">
        <v>2650.6</v>
      </c>
      <c r="BB113">
        <f>1-AZ113/BA113</f>
        <v>0</v>
      </c>
      <c r="BC113">
        <v>-1.816883183993991</v>
      </c>
      <c r="BD113" t="s">
        <v>645</v>
      </c>
      <c r="BE113">
        <v>10385.3</v>
      </c>
      <c r="BF113">
        <v>2.338084</v>
      </c>
      <c r="BG113">
        <v>3.1168</v>
      </c>
      <c r="BH113">
        <f>1-BF113/BG113</f>
        <v>0</v>
      </c>
      <c r="BI113">
        <v>0.5</v>
      </c>
      <c r="BJ113">
        <f>CS113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418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1233</v>
      </c>
      <c r="CA113">
        <v>300</v>
      </c>
      <c r="CB113">
        <v>300</v>
      </c>
      <c r="CC113">
        <v>300</v>
      </c>
      <c r="CD113">
        <v>10385.3</v>
      </c>
      <c r="CE113">
        <v>1.46</v>
      </c>
      <c r="CF113">
        <v>-0.00732455</v>
      </c>
      <c r="CG113">
        <v>1.16</v>
      </c>
      <c r="CH113" t="s">
        <v>418</v>
      </c>
      <c r="CI113" t="s">
        <v>418</v>
      </c>
      <c r="CJ113" t="s">
        <v>418</v>
      </c>
      <c r="CK113" t="s">
        <v>418</v>
      </c>
      <c r="CL113" t="s">
        <v>418</v>
      </c>
      <c r="CM113" t="s">
        <v>418</v>
      </c>
      <c r="CN113" t="s">
        <v>418</v>
      </c>
      <c r="CO113" t="s">
        <v>418</v>
      </c>
      <c r="CP113" t="s">
        <v>418</v>
      </c>
      <c r="CQ113" t="s">
        <v>418</v>
      </c>
      <c r="CR113">
        <f>$B$11*DQ113+$C$11*DR113+$F$11*EC113*(1-EF113)</f>
        <v>0</v>
      </c>
      <c r="CS113">
        <f>CR113*CT113</f>
        <v>0</v>
      </c>
      <c r="CT113">
        <f>($B$11*$D$9+$C$11*$D$9+$F$11*((EP113+EH113)/MAX(EP113+EH113+EQ113, 0.1)*$I$9+EQ113/MAX(EP113+EH113+EQ113, 0.1)*$J$9))/($B$11+$C$11+$F$11)</f>
        <v>0</v>
      </c>
      <c r="CU113">
        <f>($B$11*$K$9+$C$11*$K$9+$F$11*((EP113+EH113)/MAX(EP113+EH113+EQ113, 0.1)*$P$9+EQ113/MAX(EP113+EH113+EQ113, 0.1)*$Q$9))/($B$11+$C$11+$F$11)</f>
        <v>0</v>
      </c>
      <c r="CV113">
        <v>6</v>
      </c>
      <c r="CW113">
        <v>0.5</v>
      </c>
      <c r="CX113" t="s">
        <v>419</v>
      </c>
      <c r="CY113">
        <v>2</v>
      </c>
      <c r="CZ113" t="b">
        <v>1</v>
      </c>
      <c r="DA113">
        <v>1651777188.85</v>
      </c>
      <c r="DB113">
        <v>563.7808</v>
      </c>
      <c r="DC113">
        <v>600.0677000000001</v>
      </c>
      <c r="DD113">
        <v>29.0005</v>
      </c>
      <c r="DE113">
        <v>20.20511</v>
      </c>
      <c r="DF113">
        <v>565.4465</v>
      </c>
      <c r="DG113">
        <v>28.92059</v>
      </c>
      <c r="DH113">
        <v>500.0508999999999</v>
      </c>
      <c r="DI113">
        <v>90.20314999999999</v>
      </c>
      <c r="DJ113">
        <v>0.10003536</v>
      </c>
      <c r="DK113">
        <v>30.39583</v>
      </c>
      <c r="DL113">
        <v>29.38669</v>
      </c>
      <c r="DM113">
        <v>999.9</v>
      </c>
      <c r="DN113">
        <v>0</v>
      </c>
      <c r="DO113">
        <v>0</v>
      </c>
      <c r="DP113">
        <v>9995.119999999999</v>
      </c>
      <c r="DQ113">
        <v>0</v>
      </c>
      <c r="DR113">
        <v>12.83948</v>
      </c>
      <c r="DS113">
        <v>-36.28696</v>
      </c>
      <c r="DT113">
        <v>580.6191</v>
      </c>
      <c r="DU113">
        <v>612.4422999999999</v>
      </c>
      <c r="DV113">
        <v>8.795382</v>
      </c>
      <c r="DW113">
        <v>600.0677000000001</v>
      </c>
      <c r="DX113">
        <v>20.20511</v>
      </c>
      <c r="DY113">
        <v>2.615939</v>
      </c>
      <c r="DZ113">
        <v>1.822566</v>
      </c>
      <c r="EA113">
        <v>21.76639</v>
      </c>
      <c r="EB113">
        <v>15.98168</v>
      </c>
      <c r="EC113">
        <v>1500.019</v>
      </c>
      <c r="ED113">
        <v>0.9730062</v>
      </c>
      <c r="EE113">
        <v>0.02699364</v>
      </c>
      <c r="EF113">
        <v>0</v>
      </c>
      <c r="EG113">
        <v>2.29993</v>
      </c>
      <c r="EH113">
        <v>0</v>
      </c>
      <c r="EI113">
        <v>13244.71</v>
      </c>
      <c r="EJ113">
        <v>12533.57</v>
      </c>
      <c r="EK113">
        <v>36.687</v>
      </c>
      <c r="EL113">
        <v>38.125</v>
      </c>
      <c r="EM113">
        <v>37.062</v>
      </c>
      <c r="EN113">
        <v>37.3874</v>
      </c>
      <c r="EO113">
        <v>36.625</v>
      </c>
      <c r="EP113">
        <v>1459.529</v>
      </c>
      <c r="EQ113">
        <v>40.49</v>
      </c>
      <c r="ER113">
        <v>0</v>
      </c>
      <c r="ES113">
        <v>186</v>
      </c>
      <c r="ET113">
        <v>0</v>
      </c>
      <c r="EU113">
        <v>2.338084</v>
      </c>
      <c r="EV113">
        <v>0.2258769124968773</v>
      </c>
      <c r="EW113">
        <v>-131.2000002249639</v>
      </c>
      <c r="EX113">
        <v>13254.072</v>
      </c>
      <c r="EY113">
        <v>15</v>
      </c>
      <c r="EZ113">
        <v>1651776863.5</v>
      </c>
      <c r="FA113" t="s">
        <v>637</v>
      </c>
      <c r="FB113">
        <v>1651776848</v>
      </c>
      <c r="FC113">
        <v>1651776863.5</v>
      </c>
      <c r="FD113">
        <v>8</v>
      </c>
      <c r="FE113">
        <v>-0.08400000000000001</v>
      </c>
      <c r="FF113">
        <v>0.004</v>
      </c>
      <c r="FG113">
        <v>-0.711</v>
      </c>
      <c r="FH113">
        <v>0.03</v>
      </c>
      <c r="FI113">
        <v>1</v>
      </c>
      <c r="FJ113">
        <v>22</v>
      </c>
      <c r="FK113">
        <v>0.18</v>
      </c>
      <c r="FL113">
        <v>0.01</v>
      </c>
      <c r="FM113">
        <v>-36.2961</v>
      </c>
      <c r="FN113">
        <v>0.2123166979362997</v>
      </c>
      <c r="FO113">
        <v>0.03668327275475829</v>
      </c>
      <c r="FP113">
        <v>0</v>
      </c>
      <c r="FQ113">
        <v>8.795315250000002</v>
      </c>
      <c r="FR113">
        <v>0.1390850656660354</v>
      </c>
      <c r="FS113">
        <v>0.02597147146269345</v>
      </c>
      <c r="FT113">
        <v>1</v>
      </c>
      <c r="FU113">
        <v>0</v>
      </c>
      <c r="FV113">
        <v>0</v>
      </c>
      <c r="FW113">
        <v>0</v>
      </c>
      <c r="FX113">
        <v>1</v>
      </c>
      <c r="FY113">
        <v>2</v>
      </c>
      <c r="FZ113">
        <v>3</v>
      </c>
      <c r="GA113" t="s">
        <v>421</v>
      </c>
      <c r="GB113">
        <v>2.98074</v>
      </c>
      <c r="GC113">
        <v>2.70618</v>
      </c>
      <c r="GD113">
        <v>0.116766</v>
      </c>
      <c r="GE113">
        <v>0.1205</v>
      </c>
      <c r="GF113">
        <v>0.121173</v>
      </c>
      <c r="GG113">
        <v>0.0928587</v>
      </c>
      <c r="GH113">
        <v>27904.4</v>
      </c>
      <c r="GI113">
        <v>27843.2</v>
      </c>
      <c r="GJ113">
        <v>29375.3</v>
      </c>
      <c r="GK113">
        <v>29285.6</v>
      </c>
      <c r="GL113">
        <v>34169.1</v>
      </c>
      <c r="GM113">
        <v>35372.4</v>
      </c>
      <c r="GN113">
        <v>41349.3</v>
      </c>
      <c r="GO113">
        <v>41798.6</v>
      </c>
      <c r="GP113">
        <v>1.9601</v>
      </c>
      <c r="GQ113">
        <v>1.85602</v>
      </c>
      <c r="GR113">
        <v>0.0624657</v>
      </c>
      <c r="GS113">
        <v>0</v>
      </c>
      <c r="GT113">
        <v>28.3754</v>
      </c>
      <c r="GU113">
        <v>999.9</v>
      </c>
      <c r="GV113">
        <v>43.6</v>
      </c>
      <c r="GW113">
        <v>34.7</v>
      </c>
      <c r="GX113">
        <v>26.8519</v>
      </c>
      <c r="GY113">
        <v>62.6361</v>
      </c>
      <c r="GZ113">
        <v>35.6731</v>
      </c>
      <c r="HA113">
        <v>1</v>
      </c>
      <c r="HB113">
        <v>0.0755996</v>
      </c>
      <c r="HC113">
        <v>0</v>
      </c>
      <c r="HD113">
        <v>20.3478</v>
      </c>
      <c r="HE113">
        <v>5.22463</v>
      </c>
      <c r="HF113">
        <v>12.0099</v>
      </c>
      <c r="HG113">
        <v>4.9909</v>
      </c>
      <c r="HH113">
        <v>3.29</v>
      </c>
      <c r="HI113">
        <v>593.6</v>
      </c>
      <c r="HJ113">
        <v>4208.2</v>
      </c>
      <c r="HK113">
        <v>4690.3</v>
      </c>
      <c r="HL113">
        <v>19.1</v>
      </c>
      <c r="HM113">
        <v>1.86757</v>
      </c>
      <c r="HN113">
        <v>1.8666</v>
      </c>
      <c r="HO113">
        <v>1.86612</v>
      </c>
      <c r="HP113">
        <v>1.866</v>
      </c>
      <c r="HQ113">
        <v>1.86783</v>
      </c>
      <c r="HR113">
        <v>1.87027</v>
      </c>
      <c r="HS113">
        <v>1.86895</v>
      </c>
      <c r="HT113">
        <v>1.8703</v>
      </c>
      <c r="HU113">
        <v>0</v>
      </c>
      <c r="HV113">
        <v>0</v>
      </c>
      <c r="HW113">
        <v>0</v>
      </c>
      <c r="HX113">
        <v>0</v>
      </c>
      <c r="HY113" t="s">
        <v>422</v>
      </c>
      <c r="HZ113" t="s">
        <v>423</v>
      </c>
      <c r="IA113" t="s">
        <v>424</v>
      </c>
      <c r="IB113" t="s">
        <v>424</v>
      </c>
      <c r="IC113" t="s">
        <v>424</v>
      </c>
      <c r="ID113" t="s">
        <v>424</v>
      </c>
      <c r="IE113">
        <v>0</v>
      </c>
      <c r="IF113">
        <v>100</v>
      </c>
      <c r="IG113">
        <v>100</v>
      </c>
      <c r="IH113">
        <v>-1.666</v>
      </c>
      <c r="II113">
        <v>0.0799</v>
      </c>
      <c r="IJ113">
        <v>-0.7091561180838537</v>
      </c>
      <c r="IK113">
        <v>-0.001826611574738555</v>
      </c>
      <c r="IL113">
        <v>3.313362389709971E-07</v>
      </c>
      <c r="IM113">
        <v>-1.629490614973607E-10</v>
      </c>
      <c r="IN113">
        <v>0.07991473832466114</v>
      </c>
      <c r="IO113">
        <v>0</v>
      </c>
      <c r="IP113">
        <v>0</v>
      </c>
      <c r="IQ113">
        <v>0</v>
      </c>
      <c r="IR113">
        <v>3</v>
      </c>
      <c r="IS113">
        <v>2280</v>
      </c>
      <c r="IT113">
        <v>1</v>
      </c>
      <c r="IU113">
        <v>25</v>
      </c>
      <c r="IV113">
        <v>5.7</v>
      </c>
      <c r="IW113">
        <v>5.5</v>
      </c>
      <c r="IX113">
        <v>1.39282</v>
      </c>
      <c r="IY113">
        <v>2.25098</v>
      </c>
      <c r="IZ113">
        <v>1.39648</v>
      </c>
      <c r="JA113">
        <v>2.35352</v>
      </c>
      <c r="JB113">
        <v>1.49536</v>
      </c>
      <c r="JC113">
        <v>2.36816</v>
      </c>
      <c r="JD113">
        <v>38.5259</v>
      </c>
      <c r="JE113">
        <v>24.0612</v>
      </c>
      <c r="JF113">
        <v>18</v>
      </c>
      <c r="JG113">
        <v>511.924</v>
      </c>
      <c r="JH113">
        <v>430.476</v>
      </c>
      <c r="JI113">
        <v>29.5671</v>
      </c>
      <c r="JJ113">
        <v>28.484</v>
      </c>
      <c r="JK113">
        <v>29.9998</v>
      </c>
      <c r="JL113">
        <v>28.3794</v>
      </c>
      <c r="JM113">
        <v>28.3054</v>
      </c>
      <c r="JN113">
        <v>27.8728</v>
      </c>
      <c r="JO113">
        <v>28.4634</v>
      </c>
      <c r="JP113">
        <v>1.9057</v>
      </c>
      <c r="JQ113">
        <v>-999.9</v>
      </c>
      <c r="JR113">
        <v>600</v>
      </c>
      <c r="JS113">
        <v>20.2905</v>
      </c>
      <c r="JT113">
        <v>100.414</v>
      </c>
      <c r="JU113">
        <v>100.321</v>
      </c>
    </row>
    <row r="114" spans="1:281">
      <c r="A114">
        <v>98</v>
      </c>
      <c r="B114">
        <v>1651777313.6</v>
      </c>
      <c r="C114">
        <v>5436</v>
      </c>
      <c r="D114" t="s">
        <v>646</v>
      </c>
      <c r="E114" t="s">
        <v>647</v>
      </c>
      <c r="F114">
        <v>5</v>
      </c>
      <c r="G114" t="s">
        <v>616</v>
      </c>
      <c r="H114" t="s">
        <v>417</v>
      </c>
      <c r="I114">
        <v>1651777310.85</v>
      </c>
      <c r="J114">
        <f>(K114)/1000</f>
        <v>0</v>
      </c>
      <c r="K114">
        <f>IF(CZ114, AN114, AH114)</f>
        <v>0</v>
      </c>
      <c r="L114">
        <f>IF(CZ114, AI114, AG114)</f>
        <v>0</v>
      </c>
      <c r="M114">
        <f>DB114 - IF(AU114&gt;1, L114*CV114*100.0/(AW114*DP114), 0)</f>
        <v>0</v>
      </c>
      <c r="N114">
        <f>((T114-J114/2)*M114-L114)/(T114+J114/2)</f>
        <v>0</v>
      </c>
      <c r="O114">
        <f>N114*(DI114+DJ114)/1000.0</f>
        <v>0</v>
      </c>
      <c r="P114">
        <f>(DB114 - IF(AU114&gt;1, L114*CV114*100.0/(AW114*DP114), 0))*(DI114+DJ114)/1000.0</f>
        <v>0</v>
      </c>
      <c r="Q114">
        <f>2.0/((1/S114-1/R114)+SIGN(S114)*SQRT((1/S114-1/R114)*(1/S114-1/R114) + 4*CW114/((CW114+1)*(CW114+1))*(2*1/S114*1/R114-1/R114*1/R114)))</f>
        <v>0</v>
      </c>
      <c r="R114">
        <f>IF(LEFT(CX114,1)&lt;&gt;"0",IF(LEFT(CX114,1)="1",3.0,CY114),$D$5+$E$5*(DP114*DI114/($K$5*1000))+$F$5*(DP114*DI114/($K$5*1000))*MAX(MIN(CV114,$J$5),$I$5)*MAX(MIN(CV114,$J$5),$I$5)+$G$5*MAX(MIN(CV114,$J$5),$I$5)*(DP114*DI114/($K$5*1000))+$H$5*(DP114*DI114/($K$5*1000))*(DP114*DI114/($K$5*1000)))</f>
        <v>0</v>
      </c>
      <c r="S114">
        <f>J114*(1000-(1000*0.61365*exp(17.502*W114/(240.97+W114))/(DI114+DJ114)+DD114)/2)/(1000*0.61365*exp(17.502*W114/(240.97+W114))/(DI114+DJ114)-DD114)</f>
        <v>0</v>
      </c>
      <c r="T114">
        <f>1/((CW114+1)/(Q114/1.6)+1/(R114/1.37)) + CW114/((CW114+1)/(Q114/1.6) + CW114/(R114/1.37))</f>
        <v>0</v>
      </c>
      <c r="U114">
        <f>(CR114*CU114)</f>
        <v>0</v>
      </c>
      <c r="V114">
        <f>(DK114+(U114+2*0.95*5.67E-8*(((DK114+$B$7)+273)^4-(DK114+273)^4)-44100*J114)/(1.84*29.3*R114+8*0.95*5.67E-8*(DK114+273)^3))</f>
        <v>0</v>
      </c>
      <c r="W114">
        <f>($C$7*DL114+$D$7*DM114+$E$7*V114)</f>
        <v>0</v>
      </c>
      <c r="X114">
        <f>0.61365*exp(17.502*W114/(240.97+W114))</f>
        <v>0</v>
      </c>
      <c r="Y114">
        <f>(Z114/AA114*100)</f>
        <v>0</v>
      </c>
      <c r="Z114">
        <f>DD114*(DI114+DJ114)/1000</f>
        <v>0</v>
      </c>
      <c r="AA114">
        <f>0.61365*exp(17.502*DK114/(240.97+DK114))</f>
        <v>0</v>
      </c>
      <c r="AB114">
        <f>(X114-DD114*(DI114+DJ114)/1000)</f>
        <v>0</v>
      </c>
      <c r="AC114">
        <f>(-J114*44100)</f>
        <v>0</v>
      </c>
      <c r="AD114">
        <f>2*29.3*R114*0.92*(DK114-W114)</f>
        <v>0</v>
      </c>
      <c r="AE114">
        <f>2*0.95*5.67E-8*(((DK114+$B$7)+273)^4-(W114+273)^4)</f>
        <v>0</v>
      </c>
      <c r="AF114">
        <f>U114+AE114+AC114+AD114</f>
        <v>0</v>
      </c>
      <c r="AG114">
        <f>DH114*AU114*(DC114-DB114*(1000-AU114*DE114)/(1000-AU114*DD114))/(100*CV114)</f>
        <v>0</v>
      </c>
      <c r="AH114">
        <f>1000*DH114*AU114*(DD114-DE114)/(100*CV114*(1000-AU114*DD114))</f>
        <v>0</v>
      </c>
      <c r="AI114">
        <f>(AJ114 - AK114 - DI114*1E3/(8.314*(DK114+273.15)) * AM114/DH114 * AL114) * DH114/(100*CV114) * (1000 - DE114)/1000</f>
        <v>0</v>
      </c>
      <c r="AJ114">
        <v>816.5105726811124</v>
      </c>
      <c r="AK114">
        <v>780.4737999999999</v>
      </c>
      <c r="AL114">
        <v>0.03391545044795477</v>
      </c>
      <c r="AM114">
        <v>66.75863831928736</v>
      </c>
      <c r="AN114">
        <f>(AP114 - AO114 + DI114*1E3/(8.314*(DK114+273.15)) * AR114/DH114 * AQ114) * DH114/(100*CV114) * 1000/(1000 - AP114)</f>
        <v>0</v>
      </c>
      <c r="AO114">
        <v>20.20301550367709</v>
      </c>
      <c r="AP114">
        <v>28.85246181818181</v>
      </c>
      <c r="AQ114">
        <v>2.597755902806054E-05</v>
      </c>
      <c r="AR114">
        <v>78.04937141431746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MAX(0,($B$13+$C$13*DP114)/(1+$D$13*DP114)*DI114/(DK114+273)*$E$13)</f>
        <v>0</v>
      </c>
      <c r="AX114" t="s">
        <v>573</v>
      </c>
      <c r="AY114">
        <v>10510</v>
      </c>
      <c r="AZ114">
        <v>590.42</v>
      </c>
      <c r="BA114">
        <v>2650.6</v>
      </c>
      <c r="BB114">
        <f>1-AZ114/BA114</f>
        <v>0</v>
      </c>
      <c r="BC114">
        <v>-1.816883183993991</v>
      </c>
      <c r="BD114" t="s">
        <v>648</v>
      </c>
      <c r="BE114">
        <v>10385.8</v>
      </c>
      <c r="BF114">
        <v>2.370303846153846</v>
      </c>
      <c r="BG114">
        <v>2.6288</v>
      </c>
      <c r="BH114">
        <f>1-BF114/BG114</f>
        <v>0</v>
      </c>
      <c r="BI114">
        <v>0.5</v>
      </c>
      <c r="BJ114">
        <f>CS114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418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1234</v>
      </c>
      <c r="CA114">
        <v>300</v>
      </c>
      <c r="CB114">
        <v>300</v>
      </c>
      <c r="CC114">
        <v>300</v>
      </c>
      <c r="CD114">
        <v>10385.8</v>
      </c>
      <c r="CE114">
        <v>1.53</v>
      </c>
      <c r="CF114">
        <v>-0.00732501</v>
      </c>
      <c r="CG114">
        <v>0.43</v>
      </c>
      <c r="CH114" t="s">
        <v>418</v>
      </c>
      <c r="CI114" t="s">
        <v>418</v>
      </c>
      <c r="CJ114" t="s">
        <v>418</v>
      </c>
      <c r="CK114" t="s">
        <v>418</v>
      </c>
      <c r="CL114" t="s">
        <v>418</v>
      </c>
      <c r="CM114" t="s">
        <v>418</v>
      </c>
      <c r="CN114" t="s">
        <v>418</v>
      </c>
      <c r="CO114" t="s">
        <v>418</v>
      </c>
      <c r="CP114" t="s">
        <v>418</v>
      </c>
      <c r="CQ114" t="s">
        <v>418</v>
      </c>
      <c r="CR114">
        <f>$B$11*DQ114+$C$11*DR114+$F$11*EC114*(1-EF114)</f>
        <v>0</v>
      </c>
      <c r="CS114">
        <f>CR114*CT114</f>
        <v>0</v>
      </c>
      <c r="CT114">
        <f>($B$11*$D$9+$C$11*$D$9+$F$11*((EP114+EH114)/MAX(EP114+EH114+EQ114, 0.1)*$I$9+EQ114/MAX(EP114+EH114+EQ114, 0.1)*$J$9))/($B$11+$C$11+$F$11)</f>
        <v>0</v>
      </c>
      <c r="CU114">
        <f>($B$11*$K$9+$C$11*$K$9+$F$11*((EP114+EH114)/MAX(EP114+EH114+EQ114, 0.1)*$P$9+EQ114/MAX(EP114+EH114+EQ114, 0.1)*$Q$9))/($B$11+$C$11+$F$11)</f>
        <v>0</v>
      </c>
      <c r="CV114">
        <v>6</v>
      </c>
      <c r="CW114">
        <v>0.5</v>
      </c>
      <c r="CX114" t="s">
        <v>419</v>
      </c>
      <c r="CY114">
        <v>2</v>
      </c>
      <c r="CZ114" t="b">
        <v>1</v>
      </c>
      <c r="DA114">
        <v>1651777310.85</v>
      </c>
      <c r="DB114">
        <v>757.8833000000001</v>
      </c>
      <c r="DC114">
        <v>799.9916999999999</v>
      </c>
      <c r="DD114">
        <v>28.85058</v>
      </c>
      <c r="DE114">
        <v>20.20352</v>
      </c>
      <c r="DF114">
        <v>759.8610000000001</v>
      </c>
      <c r="DG114">
        <v>28.77066</v>
      </c>
      <c r="DH114">
        <v>500.0452</v>
      </c>
      <c r="DI114">
        <v>90.20185000000001</v>
      </c>
      <c r="DJ114">
        <v>0.10003092</v>
      </c>
      <c r="DK114">
        <v>30.35559</v>
      </c>
      <c r="DL114">
        <v>29.36048</v>
      </c>
      <c r="DM114">
        <v>999.9</v>
      </c>
      <c r="DN114">
        <v>0</v>
      </c>
      <c r="DO114">
        <v>0</v>
      </c>
      <c r="DP114">
        <v>10001.25</v>
      </c>
      <c r="DQ114">
        <v>0</v>
      </c>
      <c r="DR114">
        <v>13.22956</v>
      </c>
      <c r="DS114">
        <v>-42.10805000000001</v>
      </c>
      <c r="DT114">
        <v>780.3983000000001</v>
      </c>
      <c r="DU114">
        <v>816.4875</v>
      </c>
      <c r="DV114">
        <v>8.647055</v>
      </c>
      <c r="DW114">
        <v>799.9916999999999</v>
      </c>
      <c r="DX114">
        <v>20.20352</v>
      </c>
      <c r="DY114">
        <v>2.602374</v>
      </c>
      <c r="DZ114">
        <v>1.822395</v>
      </c>
      <c r="EA114">
        <v>21.68134</v>
      </c>
      <c r="EB114">
        <v>15.98023</v>
      </c>
      <c r="EC114">
        <v>1499.998</v>
      </c>
      <c r="ED114">
        <v>0.9730045</v>
      </c>
      <c r="EE114">
        <v>0.02699524</v>
      </c>
      <c r="EF114">
        <v>0</v>
      </c>
      <c r="EG114">
        <v>2.37682</v>
      </c>
      <c r="EH114">
        <v>0</v>
      </c>
      <c r="EI114">
        <v>13406.27</v>
      </c>
      <c r="EJ114">
        <v>12533.35</v>
      </c>
      <c r="EK114">
        <v>36.625</v>
      </c>
      <c r="EL114">
        <v>38.062</v>
      </c>
      <c r="EM114">
        <v>37</v>
      </c>
      <c r="EN114">
        <v>37.3372</v>
      </c>
      <c r="EO114">
        <v>36.5872</v>
      </c>
      <c r="EP114">
        <v>1459.508</v>
      </c>
      <c r="EQ114">
        <v>40.49</v>
      </c>
      <c r="ER114">
        <v>0</v>
      </c>
      <c r="ES114">
        <v>121.7999999523163</v>
      </c>
      <c r="ET114">
        <v>0</v>
      </c>
      <c r="EU114">
        <v>2.370303846153846</v>
      </c>
      <c r="EV114">
        <v>0.4531658059411874</v>
      </c>
      <c r="EW114">
        <v>-57.92820497403205</v>
      </c>
      <c r="EX114">
        <v>13410.76923076923</v>
      </c>
      <c r="EY114">
        <v>15</v>
      </c>
      <c r="EZ114">
        <v>1651776863.5</v>
      </c>
      <c r="FA114" t="s">
        <v>637</v>
      </c>
      <c r="FB114">
        <v>1651776848</v>
      </c>
      <c r="FC114">
        <v>1651776863.5</v>
      </c>
      <c r="FD114">
        <v>8</v>
      </c>
      <c r="FE114">
        <v>-0.08400000000000001</v>
      </c>
      <c r="FF114">
        <v>0.004</v>
      </c>
      <c r="FG114">
        <v>-0.711</v>
      </c>
      <c r="FH114">
        <v>0.03</v>
      </c>
      <c r="FI114">
        <v>1</v>
      </c>
      <c r="FJ114">
        <v>22</v>
      </c>
      <c r="FK114">
        <v>0.18</v>
      </c>
      <c r="FL114">
        <v>0.01</v>
      </c>
      <c r="FM114">
        <v>-42.11984750000001</v>
      </c>
      <c r="FN114">
        <v>0.106440900562878</v>
      </c>
      <c r="FO114">
        <v>0.02921617691878909</v>
      </c>
      <c r="FP114">
        <v>0</v>
      </c>
      <c r="FQ114">
        <v>8.688495</v>
      </c>
      <c r="FR114">
        <v>-0.2232992870544333</v>
      </c>
      <c r="FS114">
        <v>0.02305322970865492</v>
      </c>
      <c r="FT114">
        <v>1</v>
      </c>
      <c r="FU114">
        <v>0</v>
      </c>
      <c r="FV114">
        <v>0</v>
      </c>
      <c r="FW114">
        <v>0</v>
      </c>
      <c r="FX114">
        <v>1</v>
      </c>
      <c r="FY114">
        <v>2</v>
      </c>
      <c r="FZ114">
        <v>3</v>
      </c>
      <c r="GA114" t="s">
        <v>421</v>
      </c>
      <c r="GB114">
        <v>2.9808</v>
      </c>
      <c r="GC114">
        <v>2.70621</v>
      </c>
      <c r="GD114">
        <v>0.143294</v>
      </c>
      <c r="GE114">
        <v>0.146759</v>
      </c>
      <c r="GF114">
        <v>0.120795</v>
      </c>
      <c r="GG114">
        <v>0.0928959</v>
      </c>
      <c r="GH114">
        <v>27070.8</v>
      </c>
      <c r="GI114">
        <v>27016.6</v>
      </c>
      <c r="GJ114">
        <v>29380.1</v>
      </c>
      <c r="GK114">
        <v>29290.7</v>
      </c>
      <c r="GL114">
        <v>34189.6</v>
      </c>
      <c r="GM114">
        <v>35377.8</v>
      </c>
      <c r="GN114">
        <v>41355.6</v>
      </c>
      <c r="GO114">
        <v>41806.3</v>
      </c>
      <c r="GP114">
        <v>1.96052</v>
      </c>
      <c r="GQ114">
        <v>1.8576</v>
      </c>
      <c r="GR114">
        <v>0.0639111</v>
      </c>
      <c r="GS114">
        <v>0</v>
      </c>
      <c r="GT114">
        <v>28.3199</v>
      </c>
      <c r="GU114">
        <v>999.9</v>
      </c>
      <c r="GV114">
        <v>43.4</v>
      </c>
      <c r="GW114">
        <v>34.7</v>
      </c>
      <c r="GX114">
        <v>26.7262</v>
      </c>
      <c r="GY114">
        <v>62.7961</v>
      </c>
      <c r="GZ114">
        <v>35.6971</v>
      </c>
      <c r="HA114">
        <v>1</v>
      </c>
      <c r="HB114">
        <v>0.07012699999999999</v>
      </c>
      <c r="HC114">
        <v>0</v>
      </c>
      <c r="HD114">
        <v>20.3478</v>
      </c>
      <c r="HE114">
        <v>5.22463</v>
      </c>
      <c r="HF114">
        <v>12.0099</v>
      </c>
      <c r="HG114">
        <v>4.99095</v>
      </c>
      <c r="HH114">
        <v>3.29</v>
      </c>
      <c r="HI114">
        <v>596.1</v>
      </c>
      <c r="HJ114">
        <v>4224.5</v>
      </c>
      <c r="HK114">
        <v>4690.9</v>
      </c>
      <c r="HL114">
        <v>19.2</v>
      </c>
      <c r="HM114">
        <v>1.86759</v>
      </c>
      <c r="HN114">
        <v>1.86661</v>
      </c>
      <c r="HO114">
        <v>1.86612</v>
      </c>
      <c r="HP114">
        <v>1.866</v>
      </c>
      <c r="HQ114">
        <v>1.8678</v>
      </c>
      <c r="HR114">
        <v>1.87027</v>
      </c>
      <c r="HS114">
        <v>1.86892</v>
      </c>
      <c r="HT114">
        <v>1.87033</v>
      </c>
      <c r="HU114">
        <v>0</v>
      </c>
      <c r="HV114">
        <v>0</v>
      </c>
      <c r="HW114">
        <v>0</v>
      </c>
      <c r="HX114">
        <v>0</v>
      </c>
      <c r="HY114" t="s">
        <v>422</v>
      </c>
      <c r="HZ114" t="s">
        <v>423</v>
      </c>
      <c r="IA114" t="s">
        <v>424</v>
      </c>
      <c r="IB114" t="s">
        <v>424</v>
      </c>
      <c r="IC114" t="s">
        <v>424</v>
      </c>
      <c r="ID114" t="s">
        <v>424</v>
      </c>
      <c r="IE114">
        <v>0</v>
      </c>
      <c r="IF114">
        <v>100</v>
      </c>
      <c r="IG114">
        <v>100</v>
      </c>
      <c r="IH114">
        <v>-1.977</v>
      </c>
      <c r="II114">
        <v>0.0799</v>
      </c>
      <c r="IJ114">
        <v>-0.7091561180838537</v>
      </c>
      <c r="IK114">
        <v>-0.001826611574738555</v>
      </c>
      <c r="IL114">
        <v>3.313362389709971E-07</v>
      </c>
      <c r="IM114">
        <v>-1.629490614973607E-10</v>
      </c>
      <c r="IN114">
        <v>0.07991473832466114</v>
      </c>
      <c r="IO114">
        <v>0</v>
      </c>
      <c r="IP114">
        <v>0</v>
      </c>
      <c r="IQ114">
        <v>0</v>
      </c>
      <c r="IR114">
        <v>3</v>
      </c>
      <c r="IS114">
        <v>2280</v>
      </c>
      <c r="IT114">
        <v>1</v>
      </c>
      <c r="IU114">
        <v>25</v>
      </c>
      <c r="IV114">
        <v>7.8</v>
      </c>
      <c r="IW114">
        <v>7.5</v>
      </c>
      <c r="IX114">
        <v>1.75171</v>
      </c>
      <c r="IY114">
        <v>2.23633</v>
      </c>
      <c r="IZ114">
        <v>1.39648</v>
      </c>
      <c r="JA114">
        <v>2.35352</v>
      </c>
      <c r="JB114">
        <v>1.49536</v>
      </c>
      <c r="JC114">
        <v>2.3584</v>
      </c>
      <c r="JD114">
        <v>38.4769</v>
      </c>
      <c r="JE114">
        <v>24.0612</v>
      </c>
      <c r="JF114">
        <v>18</v>
      </c>
      <c r="JG114">
        <v>511.72</v>
      </c>
      <c r="JH114">
        <v>431.01</v>
      </c>
      <c r="JI114">
        <v>29.5247</v>
      </c>
      <c r="JJ114">
        <v>28.4287</v>
      </c>
      <c r="JK114">
        <v>29.9999</v>
      </c>
      <c r="JL114">
        <v>28.3228</v>
      </c>
      <c r="JM114">
        <v>28.2492</v>
      </c>
      <c r="JN114">
        <v>35.0695</v>
      </c>
      <c r="JO114">
        <v>28.0213</v>
      </c>
      <c r="JP114">
        <v>0</v>
      </c>
      <c r="JQ114">
        <v>-999.9</v>
      </c>
      <c r="JR114">
        <v>800</v>
      </c>
      <c r="JS114">
        <v>20.3092</v>
      </c>
      <c r="JT114">
        <v>100.43</v>
      </c>
      <c r="JU114">
        <v>100.339</v>
      </c>
    </row>
    <row r="115" spans="1:281">
      <c r="A115">
        <v>99</v>
      </c>
      <c r="B115">
        <v>1651777435.6</v>
      </c>
      <c r="C115">
        <v>5558</v>
      </c>
      <c r="D115" t="s">
        <v>649</v>
      </c>
      <c r="E115" t="s">
        <v>650</v>
      </c>
      <c r="F115">
        <v>5</v>
      </c>
      <c r="G115" t="s">
        <v>616</v>
      </c>
      <c r="H115" t="s">
        <v>417</v>
      </c>
      <c r="I115">
        <v>1651777432.85</v>
      </c>
      <c r="J115">
        <f>(K115)/1000</f>
        <v>0</v>
      </c>
      <c r="K115">
        <f>IF(CZ115, AN115, AH115)</f>
        <v>0</v>
      </c>
      <c r="L115">
        <f>IF(CZ115, AI115, AG115)</f>
        <v>0</v>
      </c>
      <c r="M115">
        <f>DB115 - IF(AU115&gt;1, L115*CV115*100.0/(AW115*DP115), 0)</f>
        <v>0</v>
      </c>
      <c r="N115">
        <f>((T115-J115/2)*M115-L115)/(T115+J115/2)</f>
        <v>0</v>
      </c>
      <c r="O115">
        <f>N115*(DI115+DJ115)/1000.0</f>
        <v>0</v>
      </c>
      <c r="P115">
        <f>(DB115 - IF(AU115&gt;1, L115*CV115*100.0/(AW115*DP115), 0))*(DI115+DJ115)/1000.0</f>
        <v>0</v>
      </c>
      <c r="Q115">
        <f>2.0/((1/S115-1/R115)+SIGN(S115)*SQRT((1/S115-1/R115)*(1/S115-1/R115) + 4*CW115/((CW115+1)*(CW115+1))*(2*1/S115*1/R115-1/R115*1/R115)))</f>
        <v>0</v>
      </c>
      <c r="R115">
        <f>IF(LEFT(CX115,1)&lt;&gt;"0",IF(LEFT(CX115,1)="1",3.0,CY115),$D$5+$E$5*(DP115*DI115/($K$5*1000))+$F$5*(DP115*DI115/($K$5*1000))*MAX(MIN(CV115,$J$5),$I$5)*MAX(MIN(CV115,$J$5),$I$5)+$G$5*MAX(MIN(CV115,$J$5),$I$5)*(DP115*DI115/($K$5*1000))+$H$5*(DP115*DI115/($K$5*1000))*(DP115*DI115/($K$5*1000)))</f>
        <v>0</v>
      </c>
      <c r="S115">
        <f>J115*(1000-(1000*0.61365*exp(17.502*W115/(240.97+W115))/(DI115+DJ115)+DD115)/2)/(1000*0.61365*exp(17.502*W115/(240.97+W115))/(DI115+DJ115)-DD115)</f>
        <v>0</v>
      </c>
      <c r="T115">
        <f>1/((CW115+1)/(Q115/1.6)+1/(R115/1.37)) + CW115/((CW115+1)/(Q115/1.6) + CW115/(R115/1.37))</f>
        <v>0</v>
      </c>
      <c r="U115">
        <f>(CR115*CU115)</f>
        <v>0</v>
      </c>
      <c r="V115">
        <f>(DK115+(U115+2*0.95*5.67E-8*(((DK115+$B$7)+273)^4-(DK115+273)^4)-44100*J115)/(1.84*29.3*R115+8*0.95*5.67E-8*(DK115+273)^3))</f>
        <v>0</v>
      </c>
      <c r="W115">
        <f>($C$7*DL115+$D$7*DM115+$E$7*V115)</f>
        <v>0</v>
      </c>
      <c r="X115">
        <f>0.61365*exp(17.502*W115/(240.97+W115))</f>
        <v>0</v>
      </c>
      <c r="Y115">
        <f>(Z115/AA115*100)</f>
        <v>0</v>
      </c>
      <c r="Z115">
        <f>DD115*(DI115+DJ115)/1000</f>
        <v>0</v>
      </c>
      <c r="AA115">
        <f>0.61365*exp(17.502*DK115/(240.97+DK115))</f>
        <v>0</v>
      </c>
      <c r="AB115">
        <f>(X115-DD115*(DI115+DJ115)/1000)</f>
        <v>0</v>
      </c>
      <c r="AC115">
        <f>(-J115*44100)</f>
        <v>0</v>
      </c>
      <c r="AD115">
        <f>2*29.3*R115*0.92*(DK115-W115)</f>
        <v>0</v>
      </c>
      <c r="AE115">
        <f>2*0.95*5.67E-8*(((DK115+$B$7)+273)^4-(W115+273)^4)</f>
        <v>0</v>
      </c>
      <c r="AF115">
        <f>U115+AE115+AC115+AD115</f>
        <v>0</v>
      </c>
      <c r="AG115">
        <f>DH115*AU115*(DC115-DB115*(1000-AU115*DE115)/(1000-AU115*DD115))/(100*CV115)</f>
        <v>0</v>
      </c>
      <c r="AH115">
        <f>1000*DH115*AU115*(DD115-DE115)/(100*CV115*(1000-AU115*DD115))</f>
        <v>0</v>
      </c>
      <c r="AI115">
        <f>(AJ115 - AK115 - DI115*1E3/(8.314*(DK115+273.15)) * AM115/DH115 * AL115) * DH115/(100*CV115) * (1000 - DE115)/1000</f>
        <v>0</v>
      </c>
      <c r="AJ115">
        <v>1021.155282809846</v>
      </c>
      <c r="AK115">
        <v>983.0812727272724</v>
      </c>
      <c r="AL115">
        <v>0.005407663806493157</v>
      </c>
      <c r="AM115">
        <v>66.75863831928736</v>
      </c>
      <c r="AN115">
        <f>(AP115 - AO115 + DI115*1E3/(8.314*(DK115+273.15)) * AR115/DH115 * AQ115) * DH115/(100*CV115) * 1000/(1000 - AP115)</f>
        <v>0</v>
      </c>
      <c r="AO115">
        <v>20.72742659008541</v>
      </c>
      <c r="AP115">
        <v>28.70999515151513</v>
      </c>
      <c r="AQ115">
        <v>0.0005379591049500201</v>
      </c>
      <c r="AR115">
        <v>78.04937141431746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MAX(0,($B$13+$C$13*DP115)/(1+$D$13*DP115)*DI115/(DK115+273)*$E$13)</f>
        <v>0</v>
      </c>
      <c r="AX115" t="s">
        <v>573</v>
      </c>
      <c r="AY115">
        <v>10510</v>
      </c>
      <c r="AZ115">
        <v>590.42</v>
      </c>
      <c r="BA115">
        <v>2650.6</v>
      </c>
      <c r="BB115">
        <f>1-AZ115/BA115</f>
        <v>0</v>
      </c>
      <c r="BC115">
        <v>-1.816883183993991</v>
      </c>
      <c r="BD115" t="s">
        <v>651</v>
      </c>
      <c r="BE115">
        <v>10385.5</v>
      </c>
      <c r="BF115">
        <v>2.417824</v>
      </c>
      <c r="BG115">
        <v>2.4492</v>
      </c>
      <c r="BH115">
        <f>1-BF115/BG115</f>
        <v>0</v>
      </c>
      <c r="BI115">
        <v>0.5</v>
      </c>
      <c r="BJ115">
        <f>CS115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418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1235</v>
      </c>
      <c r="CA115">
        <v>300</v>
      </c>
      <c r="CB115">
        <v>300</v>
      </c>
      <c r="CC115">
        <v>300</v>
      </c>
      <c r="CD115">
        <v>10385.5</v>
      </c>
      <c r="CE115">
        <v>0.72</v>
      </c>
      <c r="CF115">
        <v>-0.00732487</v>
      </c>
      <c r="CG115">
        <v>0.75</v>
      </c>
      <c r="CH115" t="s">
        <v>418</v>
      </c>
      <c r="CI115" t="s">
        <v>418</v>
      </c>
      <c r="CJ115" t="s">
        <v>418</v>
      </c>
      <c r="CK115" t="s">
        <v>418</v>
      </c>
      <c r="CL115" t="s">
        <v>418</v>
      </c>
      <c r="CM115" t="s">
        <v>418</v>
      </c>
      <c r="CN115" t="s">
        <v>418</v>
      </c>
      <c r="CO115" t="s">
        <v>418</v>
      </c>
      <c r="CP115" t="s">
        <v>418</v>
      </c>
      <c r="CQ115" t="s">
        <v>418</v>
      </c>
      <c r="CR115">
        <f>$B$11*DQ115+$C$11*DR115+$F$11*EC115*(1-EF115)</f>
        <v>0</v>
      </c>
      <c r="CS115">
        <f>CR115*CT115</f>
        <v>0</v>
      </c>
      <c r="CT115">
        <f>($B$11*$D$9+$C$11*$D$9+$F$11*((EP115+EH115)/MAX(EP115+EH115+EQ115, 0.1)*$I$9+EQ115/MAX(EP115+EH115+EQ115, 0.1)*$J$9))/($B$11+$C$11+$F$11)</f>
        <v>0</v>
      </c>
      <c r="CU115">
        <f>($B$11*$K$9+$C$11*$K$9+$F$11*((EP115+EH115)/MAX(EP115+EH115+EQ115, 0.1)*$P$9+EQ115/MAX(EP115+EH115+EQ115, 0.1)*$Q$9))/($B$11+$C$11+$F$11)</f>
        <v>0</v>
      </c>
      <c r="CV115">
        <v>6</v>
      </c>
      <c r="CW115">
        <v>0.5</v>
      </c>
      <c r="CX115" t="s">
        <v>419</v>
      </c>
      <c r="CY115">
        <v>2</v>
      </c>
      <c r="CZ115" t="b">
        <v>1</v>
      </c>
      <c r="DA115">
        <v>1651777432.85</v>
      </c>
      <c r="DB115">
        <v>954.8299000000001</v>
      </c>
      <c r="DC115">
        <v>999.9761999999998</v>
      </c>
      <c r="DD115">
        <v>28.70166</v>
      </c>
      <c r="DE115">
        <v>20.73273</v>
      </c>
      <c r="DF115">
        <v>957.1265999999999</v>
      </c>
      <c r="DG115">
        <v>28.62175</v>
      </c>
      <c r="DH115">
        <v>500.0417</v>
      </c>
      <c r="DI115">
        <v>90.1985</v>
      </c>
      <c r="DJ115">
        <v>0.1000783</v>
      </c>
      <c r="DK115">
        <v>30.29307</v>
      </c>
      <c r="DL115">
        <v>29.34796</v>
      </c>
      <c r="DM115">
        <v>999.9</v>
      </c>
      <c r="DN115">
        <v>0</v>
      </c>
      <c r="DO115">
        <v>0</v>
      </c>
      <c r="DP115">
        <v>9995.135</v>
      </c>
      <c r="DQ115">
        <v>0</v>
      </c>
      <c r="DR115">
        <v>13.22788</v>
      </c>
      <c r="DS115">
        <v>-45.14634</v>
      </c>
      <c r="DT115">
        <v>983.0448999999999</v>
      </c>
      <c r="DU115">
        <v>1021.15</v>
      </c>
      <c r="DV115">
        <v>7.968928</v>
      </c>
      <c r="DW115">
        <v>999.9761999999998</v>
      </c>
      <c r="DX115">
        <v>20.73273</v>
      </c>
      <c r="DY115">
        <v>2.588848</v>
      </c>
      <c r="DZ115">
        <v>1.870061</v>
      </c>
      <c r="EA115">
        <v>21.59611</v>
      </c>
      <c r="EB115">
        <v>16.38503</v>
      </c>
      <c r="EC115">
        <v>1500.01</v>
      </c>
      <c r="ED115">
        <v>0.9730056000000001</v>
      </c>
      <c r="EE115">
        <v>0.02699417</v>
      </c>
      <c r="EF115">
        <v>0</v>
      </c>
      <c r="EG115">
        <v>2.43747</v>
      </c>
      <c r="EH115">
        <v>0</v>
      </c>
      <c r="EI115">
        <v>13430.12</v>
      </c>
      <c r="EJ115">
        <v>12533.5</v>
      </c>
      <c r="EK115">
        <v>36.625</v>
      </c>
      <c r="EL115">
        <v>38</v>
      </c>
      <c r="EM115">
        <v>36.937</v>
      </c>
      <c r="EN115">
        <v>37.375</v>
      </c>
      <c r="EO115">
        <v>36.562</v>
      </c>
      <c r="EP115">
        <v>1459.519</v>
      </c>
      <c r="EQ115">
        <v>40.49100000000001</v>
      </c>
      <c r="ER115">
        <v>0</v>
      </c>
      <c r="ES115">
        <v>121.3999998569489</v>
      </c>
      <c r="ET115">
        <v>0</v>
      </c>
      <c r="EU115">
        <v>2.417824</v>
      </c>
      <c r="EV115">
        <v>0.6919615344614906</v>
      </c>
      <c r="EW115">
        <v>-87.9384616360942</v>
      </c>
      <c r="EX115">
        <v>13436.932</v>
      </c>
      <c r="EY115">
        <v>15</v>
      </c>
      <c r="EZ115">
        <v>1651776863.5</v>
      </c>
      <c r="FA115" t="s">
        <v>637</v>
      </c>
      <c r="FB115">
        <v>1651776848</v>
      </c>
      <c r="FC115">
        <v>1651776863.5</v>
      </c>
      <c r="FD115">
        <v>8</v>
      </c>
      <c r="FE115">
        <v>-0.08400000000000001</v>
      </c>
      <c r="FF115">
        <v>0.004</v>
      </c>
      <c r="FG115">
        <v>-0.711</v>
      </c>
      <c r="FH115">
        <v>0.03</v>
      </c>
      <c r="FI115">
        <v>1</v>
      </c>
      <c r="FJ115">
        <v>22</v>
      </c>
      <c r="FK115">
        <v>0.18</v>
      </c>
      <c r="FL115">
        <v>0.01</v>
      </c>
      <c r="FM115">
        <v>-45.25037804878049</v>
      </c>
      <c r="FN115">
        <v>0.7207881533101462</v>
      </c>
      <c r="FO115">
        <v>0.09178197791158921</v>
      </c>
      <c r="FP115">
        <v>0</v>
      </c>
      <c r="FQ115">
        <v>8.068918536585365</v>
      </c>
      <c r="FR115">
        <v>-0.5981443902439018</v>
      </c>
      <c r="FS115">
        <v>0.06163298038411856</v>
      </c>
      <c r="FT115">
        <v>0</v>
      </c>
      <c r="FU115">
        <v>0</v>
      </c>
      <c r="FV115">
        <v>0</v>
      </c>
      <c r="FW115">
        <v>0</v>
      </c>
      <c r="FX115">
        <v>1</v>
      </c>
      <c r="FY115">
        <v>1</v>
      </c>
      <c r="FZ115">
        <v>3</v>
      </c>
      <c r="GA115" t="s">
        <v>467</v>
      </c>
      <c r="GB115">
        <v>2.98089</v>
      </c>
      <c r="GC115">
        <v>2.70622</v>
      </c>
      <c r="GD115">
        <v>0.166901</v>
      </c>
      <c r="GE115">
        <v>0.169914</v>
      </c>
      <c r="GF115">
        <v>0.120394</v>
      </c>
      <c r="GG115">
        <v>0.0946645</v>
      </c>
      <c r="GH115">
        <v>26327.6</v>
      </c>
      <c r="GI115">
        <v>26286.5</v>
      </c>
      <c r="GJ115">
        <v>29383.1</v>
      </c>
      <c r="GK115">
        <v>29294.1</v>
      </c>
      <c r="GL115">
        <v>34209.5</v>
      </c>
      <c r="GM115">
        <v>35312.6</v>
      </c>
      <c r="GN115">
        <v>41360.3</v>
      </c>
      <c r="GO115">
        <v>41811.4</v>
      </c>
      <c r="GP115">
        <v>1.9602</v>
      </c>
      <c r="GQ115">
        <v>1.8597</v>
      </c>
      <c r="GR115">
        <v>0.0731125</v>
      </c>
      <c r="GS115">
        <v>0</v>
      </c>
      <c r="GT115">
        <v>28.1646</v>
      </c>
      <c r="GU115">
        <v>999.9</v>
      </c>
      <c r="GV115">
        <v>43.4</v>
      </c>
      <c r="GW115">
        <v>34.6</v>
      </c>
      <c r="GX115">
        <v>26.5821</v>
      </c>
      <c r="GY115">
        <v>62.8361</v>
      </c>
      <c r="GZ115">
        <v>35.7171</v>
      </c>
      <c r="HA115">
        <v>1</v>
      </c>
      <c r="HB115">
        <v>0.0659146</v>
      </c>
      <c r="HC115">
        <v>0</v>
      </c>
      <c r="HD115">
        <v>20.3478</v>
      </c>
      <c r="HE115">
        <v>5.22433</v>
      </c>
      <c r="HF115">
        <v>12.0099</v>
      </c>
      <c r="HG115">
        <v>4.99105</v>
      </c>
      <c r="HH115">
        <v>3.29</v>
      </c>
      <c r="HI115">
        <v>598.5</v>
      </c>
      <c r="HJ115">
        <v>4239</v>
      </c>
      <c r="HK115">
        <v>4690.9</v>
      </c>
      <c r="HL115">
        <v>19.2</v>
      </c>
      <c r="HM115">
        <v>1.86761</v>
      </c>
      <c r="HN115">
        <v>1.86661</v>
      </c>
      <c r="HO115">
        <v>1.86612</v>
      </c>
      <c r="HP115">
        <v>1.866</v>
      </c>
      <c r="HQ115">
        <v>1.86782</v>
      </c>
      <c r="HR115">
        <v>1.87027</v>
      </c>
      <c r="HS115">
        <v>1.86893</v>
      </c>
      <c r="HT115">
        <v>1.87035</v>
      </c>
      <c r="HU115">
        <v>0</v>
      </c>
      <c r="HV115">
        <v>0</v>
      </c>
      <c r="HW115">
        <v>0</v>
      </c>
      <c r="HX115">
        <v>0</v>
      </c>
      <c r="HY115" t="s">
        <v>422</v>
      </c>
      <c r="HZ115" t="s">
        <v>423</v>
      </c>
      <c r="IA115" t="s">
        <v>424</v>
      </c>
      <c r="IB115" t="s">
        <v>424</v>
      </c>
      <c r="IC115" t="s">
        <v>424</v>
      </c>
      <c r="ID115" t="s">
        <v>424</v>
      </c>
      <c r="IE115">
        <v>0</v>
      </c>
      <c r="IF115">
        <v>100</v>
      </c>
      <c r="IG115">
        <v>100</v>
      </c>
      <c r="IH115">
        <v>-2.297</v>
      </c>
      <c r="II115">
        <v>0.0799</v>
      </c>
      <c r="IJ115">
        <v>-0.7091561180838537</v>
      </c>
      <c r="IK115">
        <v>-0.001826611574738555</v>
      </c>
      <c r="IL115">
        <v>3.313362389709971E-07</v>
      </c>
      <c r="IM115">
        <v>-1.629490614973607E-10</v>
      </c>
      <c r="IN115">
        <v>0.07991473832466114</v>
      </c>
      <c r="IO115">
        <v>0</v>
      </c>
      <c r="IP115">
        <v>0</v>
      </c>
      <c r="IQ115">
        <v>0</v>
      </c>
      <c r="IR115">
        <v>3</v>
      </c>
      <c r="IS115">
        <v>2280</v>
      </c>
      <c r="IT115">
        <v>1</v>
      </c>
      <c r="IU115">
        <v>25</v>
      </c>
      <c r="IV115">
        <v>9.800000000000001</v>
      </c>
      <c r="IW115">
        <v>9.5</v>
      </c>
      <c r="IX115">
        <v>2.09595</v>
      </c>
      <c r="IY115">
        <v>2.22656</v>
      </c>
      <c r="IZ115">
        <v>1.39648</v>
      </c>
      <c r="JA115">
        <v>2.35352</v>
      </c>
      <c r="JB115">
        <v>1.49536</v>
      </c>
      <c r="JC115">
        <v>2.36084</v>
      </c>
      <c r="JD115">
        <v>38.4524</v>
      </c>
      <c r="JE115">
        <v>24.0612</v>
      </c>
      <c r="JF115">
        <v>18</v>
      </c>
      <c r="JG115">
        <v>511.068</v>
      </c>
      <c r="JH115">
        <v>431.904</v>
      </c>
      <c r="JI115">
        <v>29.474</v>
      </c>
      <c r="JJ115">
        <v>28.3761</v>
      </c>
      <c r="JK115">
        <v>30</v>
      </c>
      <c r="JL115">
        <v>28.2712</v>
      </c>
      <c r="JM115">
        <v>28.1992</v>
      </c>
      <c r="JN115">
        <v>41.9444</v>
      </c>
      <c r="JO115">
        <v>26.4842</v>
      </c>
      <c r="JP115">
        <v>0</v>
      </c>
      <c r="JQ115">
        <v>-999.9</v>
      </c>
      <c r="JR115">
        <v>1000</v>
      </c>
      <c r="JS115">
        <v>20.8184</v>
      </c>
      <c r="JT115">
        <v>100.441</v>
      </c>
      <c r="JU115">
        <v>100.351</v>
      </c>
    </row>
    <row r="116" spans="1:281">
      <c r="A116">
        <v>100</v>
      </c>
      <c r="B116">
        <v>1651777557.6</v>
      </c>
      <c r="C116">
        <v>5680</v>
      </c>
      <c r="D116" t="s">
        <v>652</v>
      </c>
      <c r="E116" t="s">
        <v>653</v>
      </c>
      <c r="F116">
        <v>5</v>
      </c>
      <c r="G116" t="s">
        <v>616</v>
      </c>
      <c r="H116" t="s">
        <v>417</v>
      </c>
      <c r="I116">
        <v>1651777554.85</v>
      </c>
      <c r="J116">
        <f>(K116)/1000</f>
        <v>0</v>
      </c>
      <c r="K116">
        <f>IF(CZ116, AN116, AH116)</f>
        <v>0</v>
      </c>
      <c r="L116">
        <f>IF(CZ116, AI116, AG116)</f>
        <v>0</v>
      </c>
      <c r="M116">
        <f>DB116 - IF(AU116&gt;1, L116*CV116*100.0/(AW116*DP116), 0)</f>
        <v>0</v>
      </c>
      <c r="N116">
        <f>((T116-J116/2)*M116-L116)/(T116+J116/2)</f>
        <v>0</v>
      </c>
      <c r="O116">
        <f>N116*(DI116+DJ116)/1000.0</f>
        <v>0</v>
      </c>
      <c r="P116">
        <f>(DB116 - IF(AU116&gt;1, L116*CV116*100.0/(AW116*DP116), 0))*(DI116+DJ116)/1000.0</f>
        <v>0</v>
      </c>
      <c r="Q116">
        <f>2.0/((1/S116-1/R116)+SIGN(S116)*SQRT((1/S116-1/R116)*(1/S116-1/R116) + 4*CW116/((CW116+1)*(CW116+1))*(2*1/S116*1/R116-1/R116*1/R116)))</f>
        <v>0</v>
      </c>
      <c r="R116">
        <f>IF(LEFT(CX116,1)&lt;&gt;"0",IF(LEFT(CX116,1)="1",3.0,CY116),$D$5+$E$5*(DP116*DI116/($K$5*1000))+$F$5*(DP116*DI116/($K$5*1000))*MAX(MIN(CV116,$J$5),$I$5)*MAX(MIN(CV116,$J$5),$I$5)+$G$5*MAX(MIN(CV116,$J$5),$I$5)*(DP116*DI116/($K$5*1000))+$H$5*(DP116*DI116/($K$5*1000))*(DP116*DI116/($K$5*1000)))</f>
        <v>0</v>
      </c>
      <c r="S116">
        <f>J116*(1000-(1000*0.61365*exp(17.502*W116/(240.97+W116))/(DI116+DJ116)+DD116)/2)/(1000*0.61365*exp(17.502*W116/(240.97+W116))/(DI116+DJ116)-DD116)</f>
        <v>0</v>
      </c>
      <c r="T116">
        <f>1/((CW116+1)/(Q116/1.6)+1/(R116/1.37)) + CW116/((CW116+1)/(Q116/1.6) + CW116/(R116/1.37))</f>
        <v>0</v>
      </c>
      <c r="U116">
        <f>(CR116*CU116)</f>
        <v>0</v>
      </c>
      <c r="V116">
        <f>(DK116+(U116+2*0.95*5.67E-8*(((DK116+$B$7)+273)^4-(DK116+273)^4)-44100*J116)/(1.84*29.3*R116+8*0.95*5.67E-8*(DK116+273)^3))</f>
        <v>0</v>
      </c>
      <c r="W116">
        <f>($C$7*DL116+$D$7*DM116+$E$7*V116)</f>
        <v>0</v>
      </c>
      <c r="X116">
        <f>0.61365*exp(17.502*W116/(240.97+W116))</f>
        <v>0</v>
      </c>
      <c r="Y116">
        <f>(Z116/AA116*100)</f>
        <v>0</v>
      </c>
      <c r="Z116">
        <f>DD116*(DI116+DJ116)/1000</f>
        <v>0</v>
      </c>
      <c r="AA116">
        <f>0.61365*exp(17.502*DK116/(240.97+DK116))</f>
        <v>0</v>
      </c>
      <c r="AB116">
        <f>(X116-DD116*(DI116+DJ116)/1000)</f>
        <v>0</v>
      </c>
      <c r="AC116">
        <f>(-J116*44100)</f>
        <v>0</v>
      </c>
      <c r="AD116">
        <f>2*29.3*R116*0.92*(DK116-W116)</f>
        <v>0</v>
      </c>
      <c r="AE116">
        <f>2*0.95*5.67E-8*(((DK116+$B$7)+273)^4-(W116+273)^4)</f>
        <v>0</v>
      </c>
      <c r="AF116">
        <f>U116+AE116+AC116+AD116</f>
        <v>0</v>
      </c>
      <c r="AG116">
        <f>DH116*AU116*(DC116-DB116*(1000-AU116*DE116)/(1000-AU116*DD116))/(100*CV116)</f>
        <v>0</v>
      </c>
      <c r="AH116">
        <f>1000*DH116*AU116*(DD116-DE116)/(100*CV116*(1000-AU116*DD116))</f>
        <v>0</v>
      </c>
      <c r="AI116">
        <f>(AJ116 - AK116 - DI116*1E3/(8.314*(DK116+273.15)) * AM116/DH116 * AL116) * DH116/(100*CV116) * (1000 - DE116)/1000</f>
        <v>0</v>
      </c>
      <c r="AJ116">
        <v>1226.455696839932</v>
      </c>
      <c r="AK116">
        <v>1187.224727272727</v>
      </c>
      <c r="AL116">
        <v>0.03077139956120373</v>
      </c>
      <c r="AM116">
        <v>66.75863831928736</v>
      </c>
      <c r="AN116">
        <f>(AP116 - AO116 + DI116*1E3/(8.314*(DK116+273.15)) * AR116/DH116 * AQ116) * DH116/(100*CV116) * 1000/(1000 - AP116)</f>
        <v>0</v>
      </c>
      <c r="AO116">
        <v>21.62056952682129</v>
      </c>
      <c r="AP116">
        <v>28.76077696969696</v>
      </c>
      <c r="AQ116">
        <v>-7.104205513553041E-05</v>
      </c>
      <c r="AR116">
        <v>78.04937141431746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MAX(0,($B$13+$C$13*DP116)/(1+$D$13*DP116)*DI116/(DK116+273)*$E$13)</f>
        <v>0</v>
      </c>
      <c r="AX116" t="s">
        <v>573</v>
      </c>
      <c r="AY116">
        <v>10510</v>
      </c>
      <c r="AZ116">
        <v>590.42</v>
      </c>
      <c r="BA116">
        <v>2650.6</v>
      </c>
      <c r="BB116">
        <f>1-AZ116/BA116</f>
        <v>0</v>
      </c>
      <c r="BC116">
        <v>-1.816883183993991</v>
      </c>
      <c r="BD116" t="s">
        <v>654</v>
      </c>
      <c r="BE116">
        <v>10380.1</v>
      </c>
      <c r="BF116">
        <v>2.349842307692307</v>
      </c>
      <c r="BG116">
        <v>3.4116</v>
      </c>
      <c r="BH116">
        <f>1-BF116/BG116</f>
        <v>0</v>
      </c>
      <c r="BI116">
        <v>0.5</v>
      </c>
      <c r="BJ116">
        <f>CS116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418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1236</v>
      </c>
      <c r="CA116">
        <v>300</v>
      </c>
      <c r="CB116">
        <v>300</v>
      </c>
      <c r="CC116">
        <v>300</v>
      </c>
      <c r="CD116">
        <v>10380.1</v>
      </c>
      <c r="CE116">
        <v>1.39</v>
      </c>
      <c r="CF116">
        <v>-0.0073215</v>
      </c>
      <c r="CG116">
        <v>-0.28</v>
      </c>
      <c r="CH116" t="s">
        <v>418</v>
      </c>
      <c r="CI116" t="s">
        <v>418</v>
      </c>
      <c r="CJ116" t="s">
        <v>418</v>
      </c>
      <c r="CK116" t="s">
        <v>418</v>
      </c>
      <c r="CL116" t="s">
        <v>418</v>
      </c>
      <c r="CM116" t="s">
        <v>418</v>
      </c>
      <c r="CN116" t="s">
        <v>418</v>
      </c>
      <c r="CO116" t="s">
        <v>418</v>
      </c>
      <c r="CP116" t="s">
        <v>418</v>
      </c>
      <c r="CQ116" t="s">
        <v>418</v>
      </c>
      <c r="CR116">
        <f>$B$11*DQ116+$C$11*DR116+$F$11*EC116*(1-EF116)</f>
        <v>0</v>
      </c>
      <c r="CS116">
        <f>CR116*CT116</f>
        <v>0</v>
      </c>
      <c r="CT116">
        <f>($B$11*$D$9+$C$11*$D$9+$F$11*((EP116+EH116)/MAX(EP116+EH116+EQ116, 0.1)*$I$9+EQ116/MAX(EP116+EH116+EQ116, 0.1)*$J$9))/($B$11+$C$11+$F$11)</f>
        <v>0</v>
      </c>
      <c r="CU116">
        <f>($B$11*$K$9+$C$11*$K$9+$F$11*((EP116+EH116)/MAX(EP116+EH116+EQ116, 0.1)*$P$9+EQ116/MAX(EP116+EH116+EQ116, 0.1)*$Q$9))/($B$11+$C$11+$F$11)</f>
        <v>0</v>
      </c>
      <c r="CV116">
        <v>6</v>
      </c>
      <c r="CW116">
        <v>0.5</v>
      </c>
      <c r="CX116" t="s">
        <v>419</v>
      </c>
      <c r="CY116">
        <v>2</v>
      </c>
      <c r="CZ116" t="b">
        <v>1</v>
      </c>
      <c r="DA116">
        <v>1651777554.85</v>
      </c>
      <c r="DB116">
        <v>1153.015</v>
      </c>
      <c r="DC116">
        <v>1199.956</v>
      </c>
      <c r="DD116">
        <v>28.75674</v>
      </c>
      <c r="DE116">
        <v>21.63674</v>
      </c>
      <c r="DF116">
        <v>1155.644</v>
      </c>
      <c r="DG116">
        <v>28.67681</v>
      </c>
      <c r="DH116">
        <v>500.0553</v>
      </c>
      <c r="DI116">
        <v>90.19933</v>
      </c>
      <c r="DJ116">
        <v>0.10002061</v>
      </c>
      <c r="DK116">
        <v>30.27086</v>
      </c>
      <c r="DL116">
        <v>29.4201</v>
      </c>
      <c r="DM116">
        <v>999.9</v>
      </c>
      <c r="DN116">
        <v>0</v>
      </c>
      <c r="DO116">
        <v>0</v>
      </c>
      <c r="DP116">
        <v>9999.494999999999</v>
      </c>
      <c r="DQ116">
        <v>0</v>
      </c>
      <c r="DR116">
        <v>13.265</v>
      </c>
      <c r="DS116">
        <v>-46.94067</v>
      </c>
      <c r="DT116">
        <v>1187.154</v>
      </c>
      <c r="DU116">
        <v>1226.493</v>
      </c>
      <c r="DV116">
        <v>7.120009</v>
      </c>
      <c r="DW116">
        <v>1199.956</v>
      </c>
      <c r="DX116">
        <v>21.63674</v>
      </c>
      <c r="DY116">
        <v>2.593838</v>
      </c>
      <c r="DZ116">
        <v>1.951618</v>
      </c>
      <c r="EA116">
        <v>21.62761</v>
      </c>
      <c r="EB116">
        <v>17.05717</v>
      </c>
      <c r="EC116">
        <v>1499.998</v>
      </c>
      <c r="ED116">
        <v>0.973006</v>
      </c>
      <c r="EE116">
        <v>0.0269936</v>
      </c>
      <c r="EF116">
        <v>0</v>
      </c>
      <c r="EG116">
        <v>2.37358</v>
      </c>
      <c r="EH116">
        <v>0</v>
      </c>
      <c r="EI116">
        <v>13381.22</v>
      </c>
      <c r="EJ116">
        <v>12533.38</v>
      </c>
      <c r="EK116">
        <v>37.24980000000001</v>
      </c>
      <c r="EL116">
        <v>39.0498</v>
      </c>
      <c r="EM116">
        <v>37.5872</v>
      </c>
      <c r="EN116">
        <v>38.3248</v>
      </c>
      <c r="EO116">
        <v>37.24980000000001</v>
      </c>
      <c r="EP116">
        <v>1459.508</v>
      </c>
      <c r="EQ116">
        <v>40.49</v>
      </c>
      <c r="ER116">
        <v>0</v>
      </c>
      <c r="ES116">
        <v>121.7999999523163</v>
      </c>
      <c r="ET116">
        <v>0</v>
      </c>
      <c r="EU116">
        <v>2.349842307692307</v>
      </c>
      <c r="EV116">
        <v>-0.6731247816680042</v>
      </c>
      <c r="EW116">
        <v>-69.00512807794416</v>
      </c>
      <c r="EX116">
        <v>13386.25384615385</v>
      </c>
      <c r="EY116">
        <v>15</v>
      </c>
      <c r="EZ116">
        <v>1651776863.5</v>
      </c>
      <c r="FA116" t="s">
        <v>637</v>
      </c>
      <c r="FB116">
        <v>1651776848</v>
      </c>
      <c r="FC116">
        <v>1651776863.5</v>
      </c>
      <c r="FD116">
        <v>8</v>
      </c>
      <c r="FE116">
        <v>-0.08400000000000001</v>
      </c>
      <c r="FF116">
        <v>0.004</v>
      </c>
      <c r="FG116">
        <v>-0.711</v>
      </c>
      <c r="FH116">
        <v>0.03</v>
      </c>
      <c r="FI116">
        <v>1</v>
      </c>
      <c r="FJ116">
        <v>22</v>
      </c>
      <c r="FK116">
        <v>0.18</v>
      </c>
      <c r="FL116">
        <v>0.01</v>
      </c>
      <c r="FM116">
        <v>-46.9818975</v>
      </c>
      <c r="FN116">
        <v>0.4518878048781733</v>
      </c>
      <c r="FO116">
        <v>0.0785968049207474</v>
      </c>
      <c r="FP116">
        <v>0</v>
      </c>
      <c r="FQ116">
        <v>7.18022225</v>
      </c>
      <c r="FR116">
        <v>-0.4047848780487766</v>
      </c>
      <c r="FS116">
        <v>0.04200254703512033</v>
      </c>
      <c r="FT116">
        <v>1</v>
      </c>
      <c r="FU116">
        <v>0</v>
      </c>
      <c r="FV116">
        <v>0</v>
      </c>
      <c r="FW116">
        <v>0</v>
      </c>
      <c r="FX116">
        <v>1</v>
      </c>
      <c r="FY116">
        <v>2</v>
      </c>
      <c r="FZ116">
        <v>3</v>
      </c>
      <c r="GA116" t="s">
        <v>421</v>
      </c>
      <c r="GB116">
        <v>2.98094</v>
      </c>
      <c r="GC116">
        <v>2.7061</v>
      </c>
      <c r="GD116">
        <v>0.188297</v>
      </c>
      <c r="GE116">
        <v>0.190846</v>
      </c>
      <c r="GF116">
        <v>0.120551</v>
      </c>
      <c r="GG116">
        <v>0.0976163</v>
      </c>
      <c r="GH116">
        <v>25650.6</v>
      </c>
      <c r="GI116">
        <v>25623.5</v>
      </c>
      <c r="GJ116">
        <v>29382.2</v>
      </c>
      <c r="GK116">
        <v>29294.1</v>
      </c>
      <c r="GL116">
        <v>34202.1</v>
      </c>
      <c r="GM116">
        <v>35196.4</v>
      </c>
      <c r="GN116">
        <v>41358.6</v>
      </c>
      <c r="GO116">
        <v>41811.7</v>
      </c>
      <c r="GP116">
        <v>1.95993</v>
      </c>
      <c r="GQ116">
        <v>1.86292</v>
      </c>
      <c r="GR116">
        <v>0.0813454</v>
      </c>
      <c r="GS116">
        <v>0</v>
      </c>
      <c r="GT116">
        <v>28.1004</v>
      </c>
      <c r="GU116">
        <v>999.9</v>
      </c>
      <c r="GV116">
        <v>43.3</v>
      </c>
      <c r="GW116">
        <v>34.6</v>
      </c>
      <c r="GX116">
        <v>26.5198</v>
      </c>
      <c r="GY116">
        <v>62.7861</v>
      </c>
      <c r="GZ116">
        <v>35.8734</v>
      </c>
      <c r="HA116">
        <v>1</v>
      </c>
      <c r="HB116">
        <v>0.0641844</v>
      </c>
      <c r="HC116">
        <v>0</v>
      </c>
      <c r="HD116">
        <v>20.3497</v>
      </c>
      <c r="HE116">
        <v>5.22418</v>
      </c>
      <c r="HF116">
        <v>12.0099</v>
      </c>
      <c r="HG116">
        <v>4.99115</v>
      </c>
      <c r="HH116">
        <v>3.29</v>
      </c>
      <c r="HI116">
        <v>601.1</v>
      </c>
      <c r="HJ116">
        <v>4253</v>
      </c>
      <c r="HK116">
        <v>4690.9</v>
      </c>
      <c r="HL116">
        <v>19.2</v>
      </c>
      <c r="HM116">
        <v>1.86756</v>
      </c>
      <c r="HN116">
        <v>1.8666</v>
      </c>
      <c r="HO116">
        <v>1.86614</v>
      </c>
      <c r="HP116">
        <v>1.866</v>
      </c>
      <c r="HQ116">
        <v>1.86783</v>
      </c>
      <c r="HR116">
        <v>1.87029</v>
      </c>
      <c r="HS116">
        <v>1.86894</v>
      </c>
      <c r="HT116">
        <v>1.87032</v>
      </c>
      <c r="HU116">
        <v>0</v>
      </c>
      <c r="HV116">
        <v>0</v>
      </c>
      <c r="HW116">
        <v>0</v>
      </c>
      <c r="HX116">
        <v>0</v>
      </c>
      <c r="HY116" t="s">
        <v>422</v>
      </c>
      <c r="HZ116" t="s">
        <v>423</v>
      </c>
      <c r="IA116" t="s">
        <v>424</v>
      </c>
      <c r="IB116" t="s">
        <v>424</v>
      </c>
      <c r="IC116" t="s">
        <v>424</v>
      </c>
      <c r="ID116" t="s">
        <v>424</v>
      </c>
      <c r="IE116">
        <v>0</v>
      </c>
      <c r="IF116">
        <v>100</v>
      </c>
      <c r="IG116">
        <v>100</v>
      </c>
      <c r="IH116">
        <v>-2.63</v>
      </c>
      <c r="II116">
        <v>0.0799</v>
      </c>
      <c r="IJ116">
        <v>-0.7091561180838537</v>
      </c>
      <c r="IK116">
        <v>-0.001826611574738555</v>
      </c>
      <c r="IL116">
        <v>3.313362389709971E-07</v>
      </c>
      <c r="IM116">
        <v>-1.629490614973607E-10</v>
      </c>
      <c r="IN116">
        <v>0.07991473832466114</v>
      </c>
      <c r="IO116">
        <v>0</v>
      </c>
      <c r="IP116">
        <v>0</v>
      </c>
      <c r="IQ116">
        <v>0</v>
      </c>
      <c r="IR116">
        <v>3</v>
      </c>
      <c r="IS116">
        <v>2280</v>
      </c>
      <c r="IT116">
        <v>1</v>
      </c>
      <c r="IU116">
        <v>25</v>
      </c>
      <c r="IV116">
        <v>11.8</v>
      </c>
      <c r="IW116">
        <v>11.6</v>
      </c>
      <c r="IX116">
        <v>2.42798</v>
      </c>
      <c r="IY116">
        <v>2.22412</v>
      </c>
      <c r="IZ116">
        <v>1.39648</v>
      </c>
      <c r="JA116">
        <v>2.35352</v>
      </c>
      <c r="JB116">
        <v>1.49536</v>
      </c>
      <c r="JC116">
        <v>2.30225</v>
      </c>
      <c r="JD116">
        <v>38.4034</v>
      </c>
      <c r="JE116">
        <v>24.0612</v>
      </c>
      <c r="JF116">
        <v>18</v>
      </c>
      <c r="JG116">
        <v>510.591</v>
      </c>
      <c r="JH116">
        <v>433.595</v>
      </c>
      <c r="JI116">
        <v>29.4262</v>
      </c>
      <c r="JJ116">
        <v>28.3445</v>
      </c>
      <c r="JK116">
        <v>30</v>
      </c>
      <c r="JL116">
        <v>28.2363</v>
      </c>
      <c r="JM116">
        <v>28.165</v>
      </c>
      <c r="JN116">
        <v>48.5739</v>
      </c>
      <c r="JO116">
        <v>22.9843</v>
      </c>
      <c r="JP116">
        <v>0</v>
      </c>
      <c r="JQ116">
        <v>-999.9</v>
      </c>
      <c r="JR116">
        <v>1200</v>
      </c>
      <c r="JS116">
        <v>21.7594</v>
      </c>
      <c r="JT116">
        <v>100.437</v>
      </c>
      <c r="JU116">
        <v>100.351</v>
      </c>
    </row>
    <row r="117" spans="1:281">
      <c r="A117">
        <v>101</v>
      </c>
      <c r="B117">
        <v>1651777679.6</v>
      </c>
      <c r="C117">
        <v>5802</v>
      </c>
      <c r="D117" t="s">
        <v>655</v>
      </c>
      <c r="E117" t="s">
        <v>656</v>
      </c>
      <c r="F117">
        <v>5</v>
      </c>
      <c r="G117" t="s">
        <v>616</v>
      </c>
      <c r="H117" t="s">
        <v>417</v>
      </c>
      <c r="I117">
        <v>1651777676.85</v>
      </c>
      <c r="J117">
        <f>(K117)/1000</f>
        <v>0</v>
      </c>
      <c r="K117">
        <f>IF(CZ117, AN117, AH117)</f>
        <v>0</v>
      </c>
      <c r="L117">
        <f>IF(CZ117, AI117, AG117)</f>
        <v>0</v>
      </c>
      <c r="M117">
        <f>DB117 - IF(AU117&gt;1, L117*CV117*100.0/(AW117*DP117), 0)</f>
        <v>0</v>
      </c>
      <c r="N117">
        <f>((T117-J117/2)*M117-L117)/(T117+J117/2)</f>
        <v>0</v>
      </c>
      <c r="O117">
        <f>N117*(DI117+DJ117)/1000.0</f>
        <v>0</v>
      </c>
      <c r="P117">
        <f>(DB117 - IF(AU117&gt;1, L117*CV117*100.0/(AW117*DP117), 0))*(DI117+DJ117)/1000.0</f>
        <v>0</v>
      </c>
      <c r="Q117">
        <f>2.0/((1/S117-1/R117)+SIGN(S117)*SQRT((1/S117-1/R117)*(1/S117-1/R117) + 4*CW117/((CW117+1)*(CW117+1))*(2*1/S117*1/R117-1/R117*1/R117)))</f>
        <v>0</v>
      </c>
      <c r="R117">
        <f>IF(LEFT(CX117,1)&lt;&gt;"0",IF(LEFT(CX117,1)="1",3.0,CY117),$D$5+$E$5*(DP117*DI117/($K$5*1000))+$F$5*(DP117*DI117/($K$5*1000))*MAX(MIN(CV117,$J$5),$I$5)*MAX(MIN(CV117,$J$5),$I$5)+$G$5*MAX(MIN(CV117,$J$5),$I$5)*(DP117*DI117/($K$5*1000))+$H$5*(DP117*DI117/($K$5*1000))*(DP117*DI117/($K$5*1000)))</f>
        <v>0</v>
      </c>
      <c r="S117">
        <f>J117*(1000-(1000*0.61365*exp(17.502*W117/(240.97+W117))/(DI117+DJ117)+DD117)/2)/(1000*0.61365*exp(17.502*W117/(240.97+W117))/(DI117+DJ117)-DD117)</f>
        <v>0</v>
      </c>
      <c r="T117">
        <f>1/((CW117+1)/(Q117/1.6)+1/(R117/1.37)) + CW117/((CW117+1)/(Q117/1.6) + CW117/(R117/1.37))</f>
        <v>0</v>
      </c>
      <c r="U117">
        <f>(CR117*CU117)</f>
        <v>0</v>
      </c>
      <c r="V117">
        <f>(DK117+(U117+2*0.95*5.67E-8*(((DK117+$B$7)+273)^4-(DK117+273)^4)-44100*J117)/(1.84*29.3*R117+8*0.95*5.67E-8*(DK117+273)^3))</f>
        <v>0</v>
      </c>
      <c r="W117">
        <f>($C$7*DL117+$D$7*DM117+$E$7*V117)</f>
        <v>0</v>
      </c>
      <c r="X117">
        <f>0.61365*exp(17.502*W117/(240.97+W117))</f>
        <v>0</v>
      </c>
      <c r="Y117">
        <f>(Z117/AA117*100)</f>
        <v>0</v>
      </c>
      <c r="Z117">
        <f>DD117*(DI117+DJ117)/1000</f>
        <v>0</v>
      </c>
      <c r="AA117">
        <f>0.61365*exp(17.502*DK117/(240.97+DK117))</f>
        <v>0</v>
      </c>
      <c r="AB117">
        <f>(X117-DD117*(DI117+DJ117)/1000)</f>
        <v>0</v>
      </c>
      <c r="AC117">
        <f>(-J117*44100)</f>
        <v>0</v>
      </c>
      <c r="AD117">
        <f>2*29.3*R117*0.92*(DK117-W117)</f>
        <v>0</v>
      </c>
      <c r="AE117">
        <f>2*0.95*5.67E-8*(((DK117+$B$7)+273)^4-(W117+273)^4)</f>
        <v>0</v>
      </c>
      <c r="AF117">
        <f>U117+AE117+AC117+AD117</f>
        <v>0</v>
      </c>
      <c r="AG117">
        <f>DH117*AU117*(DC117-DB117*(1000-AU117*DE117)/(1000-AU117*DD117))/(100*CV117)</f>
        <v>0</v>
      </c>
      <c r="AH117">
        <f>1000*DH117*AU117*(DD117-DE117)/(100*CV117*(1000-AU117*DD117))</f>
        <v>0</v>
      </c>
      <c r="AI117">
        <f>(AJ117 - AK117 - DI117*1E3/(8.314*(DK117+273.15)) * AM117/DH117 * AL117) * DH117/(100*CV117) * (1000 - DE117)/1000</f>
        <v>0</v>
      </c>
      <c r="AJ117">
        <v>409.146887719762</v>
      </c>
      <c r="AK117">
        <v>385.1215636363636</v>
      </c>
      <c r="AL117">
        <v>-0.02015198769352511</v>
      </c>
      <c r="AM117">
        <v>66.75863831928736</v>
      </c>
      <c r="AN117">
        <f>(AP117 - AO117 + DI117*1E3/(8.314*(DK117+273.15)) * AR117/DH117 * AQ117) * DH117/(100*CV117) * 1000/(1000 - AP117)</f>
        <v>0</v>
      </c>
      <c r="AO117">
        <v>22.35017841822903</v>
      </c>
      <c r="AP117">
        <v>29.11969333333333</v>
      </c>
      <c r="AQ117">
        <v>-1.39803507613501E-05</v>
      </c>
      <c r="AR117">
        <v>78.04937141431746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MAX(0,($B$13+$C$13*DP117)/(1+$D$13*DP117)*DI117/(DK117+273)*$E$13)</f>
        <v>0</v>
      </c>
      <c r="AX117" t="s">
        <v>573</v>
      </c>
      <c r="AY117">
        <v>10510</v>
      </c>
      <c r="AZ117">
        <v>590.42</v>
      </c>
      <c r="BA117">
        <v>2650.6</v>
      </c>
      <c r="BB117">
        <f>1-AZ117/BA117</f>
        <v>0</v>
      </c>
      <c r="BC117">
        <v>-1.816883183993991</v>
      </c>
      <c r="BD117" t="s">
        <v>657</v>
      </c>
      <c r="BE117">
        <v>10363.6</v>
      </c>
      <c r="BF117">
        <v>2.324216</v>
      </c>
      <c r="BG117">
        <v>2.2624</v>
      </c>
      <c r="BH117">
        <f>1-BF117/BG117</f>
        <v>0</v>
      </c>
      <c r="BI117">
        <v>0.5</v>
      </c>
      <c r="BJ117">
        <f>CS117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418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1237</v>
      </c>
      <c r="CA117">
        <v>300</v>
      </c>
      <c r="CB117">
        <v>300</v>
      </c>
      <c r="CC117">
        <v>300</v>
      </c>
      <c r="CD117">
        <v>10363.6</v>
      </c>
      <c r="CE117">
        <v>1.28</v>
      </c>
      <c r="CF117">
        <v>-0.00730868</v>
      </c>
      <c r="CG117">
        <v>1.34</v>
      </c>
      <c r="CH117" t="s">
        <v>418</v>
      </c>
      <c r="CI117" t="s">
        <v>418</v>
      </c>
      <c r="CJ117" t="s">
        <v>418</v>
      </c>
      <c r="CK117" t="s">
        <v>418</v>
      </c>
      <c r="CL117" t="s">
        <v>418</v>
      </c>
      <c r="CM117" t="s">
        <v>418</v>
      </c>
      <c r="CN117" t="s">
        <v>418</v>
      </c>
      <c r="CO117" t="s">
        <v>418</v>
      </c>
      <c r="CP117" t="s">
        <v>418</v>
      </c>
      <c r="CQ117" t="s">
        <v>418</v>
      </c>
      <c r="CR117">
        <f>$B$11*DQ117+$C$11*DR117+$F$11*EC117*(1-EF117)</f>
        <v>0</v>
      </c>
      <c r="CS117">
        <f>CR117*CT117</f>
        <v>0</v>
      </c>
      <c r="CT117">
        <f>($B$11*$D$9+$C$11*$D$9+$F$11*((EP117+EH117)/MAX(EP117+EH117+EQ117, 0.1)*$I$9+EQ117/MAX(EP117+EH117+EQ117, 0.1)*$J$9))/($B$11+$C$11+$F$11)</f>
        <v>0</v>
      </c>
      <c r="CU117">
        <f>($B$11*$K$9+$C$11*$K$9+$F$11*((EP117+EH117)/MAX(EP117+EH117+EQ117, 0.1)*$P$9+EQ117/MAX(EP117+EH117+EQ117, 0.1)*$Q$9))/($B$11+$C$11+$F$11)</f>
        <v>0</v>
      </c>
      <c r="CV117">
        <v>6</v>
      </c>
      <c r="CW117">
        <v>0.5</v>
      </c>
      <c r="CX117" t="s">
        <v>419</v>
      </c>
      <c r="CY117">
        <v>2</v>
      </c>
      <c r="CZ117" t="b">
        <v>1</v>
      </c>
      <c r="DA117">
        <v>1651777676.85</v>
      </c>
      <c r="DB117">
        <v>373.9521999999999</v>
      </c>
      <c r="DC117">
        <v>399.9984</v>
      </c>
      <c r="DD117">
        <v>29.11763</v>
      </c>
      <c r="DE117">
        <v>22.34987</v>
      </c>
      <c r="DF117">
        <v>375.309</v>
      </c>
      <c r="DG117">
        <v>29.0377</v>
      </c>
      <c r="DH117">
        <v>500.0612000000001</v>
      </c>
      <c r="DI117">
        <v>90.20042000000001</v>
      </c>
      <c r="DJ117">
        <v>0.10003809</v>
      </c>
      <c r="DK117">
        <v>30.37272</v>
      </c>
      <c r="DL117">
        <v>29.50109</v>
      </c>
      <c r="DM117">
        <v>999.9</v>
      </c>
      <c r="DN117">
        <v>0</v>
      </c>
      <c r="DO117">
        <v>0</v>
      </c>
      <c r="DP117">
        <v>10004.115</v>
      </c>
      <c r="DQ117">
        <v>0</v>
      </c>
      <c r="DR117">
        <v>13.265</v>
      </c>
      <c r="DS117">
        <v>-26.04631</v>
      </c>
      <c r="DT117">
        <v>385.1674</v>
      </c>
      <c r="DU117">
        <v>409.1428</v>
      </c>
      <c r="DV117">
        <v>6.767738999999999</v>
      </c>
      <c r="DW117">
        <v>399.9984</v>
      </c>
      <c r="DX117">
        <v>22.34987</v>
      </c>
      <c r="DY117">
        <v>2.62642</v>
      </c>
      <c r="DZ117">
        <v>2.015969</v>
      </c>
      <c r="EA117">
        <v>21.83189</v>
      </c>
      <c r="EB117">
        <v>17.57032</v>
      </c>
      <c r="EC117">
        <v>1499.957</v>
      </c>
      <c r="ED117">
        <v>0.9730065999999999</v>
      </c>
      <c r="EE117">
        <v>0.02699352</v>
      </c>
      <c r="EF117">
        <v>0</v>
      </c>
      <c r="EG117">
        <v>2.35565</v>
      </c>
      <c r="EH117">
        <v>0</v>
      </c>
      <c r="EI117">
        <v>12836.84</v>
      </c>
      <c r="EJ117">
        <v>12533.05</v>
      </c>
      <c r="EK117">
        <v>39.5372</v>
      </c>
      <c r="EL117">
        <v>41.62480000000001</v>
      </c>
      <c r="EM117">
        <v>39.7872</v>
      </c>
      <c r="EN117">
        <v>41.37480000000001</v>
      </c>
      <c r="EO117">
        <v>39.39980000000001</v>
      </c>
      <c r="EP117">
        <v>1459.466</v>
      </c>
      <c r="EQ117">
        <v>40.49100000000001</v>
      </c>
      <c r="ER117">
        <v>0</v>
      </c>
      <c r="ES117">
        <v>121.3999998569489</v>
      </c>
      <c r="ET117">
        <v>0</v>
      </c>
      <c r="EU117">
        <v>2.324216</v>
      </c>
      <c r="EV117">
        <v>0.5117307603094213</v>
      </c>
      <c r="EW117">
        <v>560.9615393227893</v>
      </c>
      <c r="EX117">
        <v>12793.628</v>
      </c>
      <c r="EY117">
        <v>15</v>
      </c>
      <c r="EZ117">
        <v>1651776863.5</v>
      </c>
      <c r="FA117" t="s">
        <v>637</v>
      </c>
      <c r="FB117">
        <v>1651776848</v>
      </c>
      <c r="FC117">
        <v>1651776863.5</v>
      </c>
      <c r="FD117">
        <v>8</v>
      </c>
      <c r="FE117">
        <v>-0.08400000000000001</v>
      </c>
      <c r="FF117">
        <v>0.004</v>
      </c>
      <c r="FG117">
        <v>-0.711</v>
      </c>
      <c r="FH117">
        <v>0.03</v>
      </c>
      <c r="FI117">
        <v>1</v>
      </c>
      <c r="FJ117">
        <v>22</v>
      </c>
      <c r="FK117">
        <v>0.18</v>
      </c>
      <c r="FL117">
        <v>0.01</v>
      </c>
      <c r="FM117">
        <v>-25.86414634146342</v>
      </c>
      <c r="FN117">
        <v>-1.407305226480804</v>
      </c>
      <c r="FO117">
        <v>0.1418267013588148</v>
      </c>
      <c r="FP117">
        <v>0</v>
      </c>
      <c r="FQ117">
        <v>6.760035365853659</v>
      </c>
      <c r="FR117">
        <v>0.07417484320557627</v>
      </c>
      <c r="FS117">
        <v>0.007773798737899677</v>
      </c>
      <c r="FT117">
        <v>1</v>
      </c>
      <c r="FU117">
        <v>0</v>
      </c>
      <c r="FV117">
        <v>0</v>
      </c>
      <c r="FW117">
        <v>0</v>
      </c>
      <c r="FX117">
        <v>1</v>
      </c>
      <c r="FY117">
        <v>2</v>
      </c>
      <c r="FZ117">
        <v>3</v>
      </c>
      <c r="GA117" t="s">
        <v>421</v>
      </c>
      <c r="GB117">
        <v>2.98098</v>
      </c>
      <c r="GC117">
        <v>2.70618</v>
      </c>
      <c r="GD117">
        <v>0.08604920000000001</v>
      </c>
      <c r="GE117">
        <v>0.0895116</v>
      </c>
      <c r="GF117">
        <v>0.121594</v>
      </c>
      <c r="GG117">
        <v>0.0997017</v>
      </c>
      <c r="GH117">
        <v>28881.6</v>
      </c>
      <c r="GI117">
        <v>28832</v>
      </c>
      <c r="GJ117">
        <v>29381</v>
      </c>
      <c r="GK117">
        <v>29292.7</v>
      </c>
      <c r="GL117">
        <v>34157.3</v>
      </c>
      <c r="GM117">
        <v>35109.8</v>
      </c>
      <c r="GN117">
        <v>41356.4</v>
      </c>
      <c r="GO117">
        <v>41809.1</v>
      </c>
      <c r="GP117">
        <v>1.9599</v>
      </c>
      <c r="GQ117">
        <v>1.86192</v>
      </c>
      <c r="GR117">
        <v>0.08720899999999999</v>
      </c>
      <c r="GS117">
        <v>0</v>
      </c>
      <c r="GT117">
        <v>28.0865</v>
      </c>
      <c r="GU117">
        <v>999.9</v>
      </c>
      <c r="GV117">
        <v>43.3</v>
      </c>
      <c r="GW117">
        <v>34.6</v>
      </c>
      <c r="GX117">
        <v>26.5195</v>
      </c>
      <c r="GY117">
        <v>62.6161</v>
      </c>
      <c r="GZ117">
        <v>35.5609</v>
      </c>
      <c r="HA117">
        <v>1</v>
      </c>
      <c r="HB117">
        <v>0.06387959999999999</v>
      </c>
      <c r="HC117">
        <v>0</v>
      </c>
      <c r="HD117">
        <v>20.3494</v>
      </c>
      <c r="HE117">
        <v>5.22553</v>
      </c>
      <c r="HF117">
        <v>12.0095</v>
      </c>
      <c r="HG117">
        <v>4.9911</v>
      </c>
      <c r="HH117">
        <v>3.29</v>
      </c>
      <c r="HI117">
        <v>603.7</v>
      </c>
      <c r="HJ117">
        <v>4264.8</v>
      </c>
      <c r="HK117">
        <v>4691</v>
      </c>
      <c r="HL117">
        <v>19.3</v>
      </c>
      <c r="HM117">
        <v>1.86758</v>
      </c>
      <c r="HN117">
        <v>1.86661</v>
      </c>
      <c r="HO117">
        <v>1.86613</v>
      </c>
      <c r="HP117">
        <v>1.866</v>
      </c>
      <c r="HQ117">
        <v>1.86783</v>
      </c>
      <c r="HR117">
        <v>1.87027</v>
      </c>
      <c r="HS117">
        <v>1.86891</v>
      </c>
      <c r="HT117">
        <v>1.87031</v>
      </c>
      <c r="HU117">
        <v>0</v>
      </c>
      <c r="HV117">
        <v>0</v>
      </c>
      <c r="HW117">
        <v>0</v>
      </c>
      <c r="HX117">
        <v>0</v>
      </c>
      <c r="HY117" t="s">
        <v>422</v>
      </c>
      <c r="HZ117" t="s">
        <v>423</v>
      </c>
      <c r="IA117" t="s">
        <v>424</v>
      </c>
      <c r="IB117" t="s">
        <v>424</v>
      </c>
      <c r="IC117" t="s">
        <v>424</v>
      </c>
      <c r="ID117" t="s">
        <v>424</v>
      </c>
      <c r="IE117">
        <v>0</v>
      </c>
      <c r="IF117">
        <v>100</v>
      </c>
      <c r="IG117">
        <v>100</v>
      </c>
      <c r="IH117">
        <v>-1.356</v>
      </c>
      <c r="II117">
        <v>0.0799</v>
      </c>
      <c r="IJ117">
        <v>-0.7091561180838537</v>
      </c>
      <c r="IK117">
        <v>-0.001826611574738555</v>
      </c>
      <c r="IL117">
        <v>3.313362389709971E-07</v>
      </c>
      <c r="IM117">
        <v>-1.629490614973607E-10</v>
      </c>
      <c r="IN117">
        <v>0.07991473832466114</v>
      </c>
      <c r="IO117">
        <v>0</v>
      </c>
      <c r="IP117">
        <v>0</v>
      </c>
      <c r="IQ117">
        <v>0</v>
      </c>
      <c r="IR117">
        <v>3</v>
      </c>
      <c r="IS117">
        <v>2280</v>
      </c>
      <c r="IT117">
        <v>1</v>
      </c>
      <c r="IU117">
        <v>25</v>
      </c>
      <c r="IV117">
        <v>13.9</v>
      </c>
      <c r="IW117">
        <v>13.6</v>
      </c>
      <c r="IX117">
        <v>1.00952</v>
      </c>
      <c r="IY117">
        <v>2.229</v>
      </c>
      <c r="IZ117">
        <v>1.39648</v>
      </c>
      <c r="JA117">
        <v>2.35229</v>
      </c>
      <c r="JB117">
        <v>1.49536</v>
      </c>
      <c r="JC117">
        <v>2.38159</v>
      </c>
      <c r="JD117">
        <v>38.379</v>
      </c>
      <c r="JE117">
        <v>24.0612</v>
      </c>
      <c r="JF117">
        <v>18</v>
      </c>
      <c r="JG117">
        <v>510.432</v>
      </c>
      <c r="JH117">
        <v>432.867</v>
      </c>
      <c r="JI117">
        <v>29.3948</v>
      </c>
      <c r="JJ117">
        <v>28.3301</v>
      </c>
      <c r="JK117">
        <v>30.0001</v>
      </c>
      <c r="JL117">
        <v>28.2195</v>
      </c>
      <c r="JM117">
        <v>28.1481</v>
      </c>
      <c r="JN117">
        <v>20.2274</v>
      </c>
      <c r="JO117">
        <v>20.1746</v>
      </c>
      <c r="JP117">
        <v>0.373006</v>
      </c>
      <c r="JQ117">
        <v>-999.9</v>
      </c>
      <c r="JR117">
        <v>400</v>
      </c>
      <c r="JS117">
        <v>22.4032</v>
      </c>
      <c r="JT117">
        <v>100.432</v>
      </c>
      <c r="JU117">
        <v>100.345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23</v>
      </c>
    </row>
    <row r="14" spans="1:2">
      <c r="A14" t="s">
        <v>25</v>
      </c>
      <c r="B14" t="s">
        <v>21</v>
      </c>
    </row>
    <row r="15" spans="1:2">
      <c r="A15" t="s">
        <v>26</v>
      </c>
      <c r="B15" t="s">
        <v>11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30</v>
      </c>
    </row>
    <row r="19" spans="1:2">
      <c r="A19" t="s">
        <v>32</v>
      </c>
      <c r="B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2022-05-05T19:08:33Z</dcterms:created>
  <dcterms:modified xsi:type="dcterms:W3CDTF">2022-05-05T19:08:33Z</dcterms:modified>
</cp:coreProperties>
</file>